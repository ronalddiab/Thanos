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C36DE5AF-5C12-4348-915D-26C83DA7E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<sst xmlns="http://schemas.openxmlformats.org/spreadsheetml/2006/main" count="888" uniqueCount="417">
  <si>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</si>
  <si>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</si>
  <si>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</si>
  <si>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</si>
  <si>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</si>
  <si>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</si>
  <si>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</si>
  <si>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</si>
  <si>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</si>
  <si>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</si>
  <si>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</si>
  <si>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</si>
  <si>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</si>
  <si>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</si>
  <si>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</si>
  <si>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</si>
  <si>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</si>
  <si>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</si>
  <si>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</si>
  <si>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</si>
  <si>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</si>
  <si>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</si>
  <si>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</si>
  <si>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</si>
  <si>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</si>
  <si>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</si>
  <si>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</si>
  <si>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</si>
  <si>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</si>
  <si>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</si>
  <si>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</si>
  <si>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</si>
  <si>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</si>
  <si>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</si>
  <si>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</si>
  <si>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</si>
  <si>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</si>
  <si>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</si>
  <si>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</si>
  <si>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</si>
  <si>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</si>
  <si>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</si>
  <si>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</si>
  <si>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</si>
  <si>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</si>
  <si>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</si>
  <si>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</si>
  <si>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</si>
  <si>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</si>
  <si>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</si>
  <si>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</si>
  <si>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July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</si>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</sst>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1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D34" sqref="D34:K34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49" t="s">
        <v>0</v>
      </c>
      <c r="B1" s="750" t="s">
        <v>1</v>
      </c>
      <c r="C1" s="750" t="s">
        <v>2</v>
      </c>
      <c r="D1" s="750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1" t="s">
        <v>11</v>
      </c>
      <c r="B2" s="752">
        <v>1</v>
      </c>
      <c r="C2" s="773">
        <v>7</v>
      </c>
      <c r="D2" s="753">
        <v>2021</v>
      </c>
      <c r="E2" s="802">
        <v>37683.18</v>
      </c>
      <c r="F2" s="747">
        <v>1.32</v>
      </c>
      <c r="G2" s="802">
        <f>963.56+217.5</f>
        <v>1181.06</v>
      </c>
      <c r="H2" s="747">
        <v>3.89</v>
      </c>
      <c r="I2" s="802">
        <v>352.77</v>
      </c>
      <c r="J2" s="747">
        <v>10</v>
      </c>
      <c r="K2" s="748">
        <v>178</v>
      </c>
    </row>
    <row r="3" spans="1:12">
      <c r="A3" s="754" t="s">
        <v>11</v>
      </c>
      <c r="B3" s="732">
        <f>B2+1</f>
        <v>2</v>
      </c>
      <c r="C3" s="773">
        <v>7</v>
      </c>
      <c r="D3" s="753">
        <v>2021</v>
      </c>
      <c r="E3" s="802">
        <v>37683.18</v>
      </c>
      <c r="F3" s="747">
        <f>F2</f>
        <v>1.32</v>
      </c>
      <c r="G3" s="802">
        <f t="shared" ref="G3:G32" si="0">963.56+217.5</f>
        <v>1181.06</v>
      </c>
      <c r="H3" s="747">
        <v>3.89</v>
      </c>
      <c r="I3" s="802">
        <v>352.77</v>
      </c>
      <c r="J3" s="747">
        <v>10</v>
      </c>
      <c r="K3" s="748">
        <v>178</v>
      </c>
    </row>
    <row r="4" spans="1:12">
      <c r="A4" s="754" t="s">
        <v>11</v>
      </c>
      <c r="B4" s="732">
        <f t="shared" ref="B4:B32" si="1">B3+1</f>
        <v>3</v>
      </c>
      <c r="C4" s="773">
        <v>7</v>
      </c>
      <c r="D4" s="753">
        <v>2021</v>
      </c>
      <c r="E4" s="802">
        <v>37683.18</v>
      </c>
      <c r="F4" s="747">
        <f t="shared" ref="F4:F32" si="2">F3</f>
        <v>1.32</v>
      </c>
      <c r="G4" s="802">
        <f t="shared" si="0"/>
        <v>1181.06</v>
      </c>
      <c r="H4" s="747">
        <v>3.89</v>
      </c>
      <c r="I4" s="802">
        <v>352.77</v>
      </c>
      <c r="J4" s="747">
        <v>10</v>
      </c>
      <c r="K4" s="748">
        <v>178</v>
      </c>
    </row>
    <row r="5" spans="1:12">
      <c r="A5" s="754" t="s">
        <v>11</v>
      </c>
      <c r="B5" s="732">
        <f t="shared" si="1"/>
        <v>4</v>
      </c>
      <c r="C5" s="773">
        <v>7</v>
      </c>
      <c r="D5" s="753">
        <v>2021</v>
      </c>
      <c r="E5" s="802">
        <v>37683.18</v>
      </c>
      <c r="F5" s="747">
        <f t="shared" si="2"/>
        <v>1.32</v>
      </c>
      <c r="G5" s="802">
        <f t="shared" si="0"/>
        <v>1181.06</v>
      </c>
      <c r="H5" s="747">
        <v>3.89</v>
      </c>
      <c r="I5" s="802">
        <v>352.77</v>
      </c>
      <c r="J5" s="747">
        <v>10</v>
      </c>
      <c r="K5" s="748">
        <v>178</v>
      </c>
    </row>
    <row r="6" spans="1:12">
      <c r="A6" s="754" t="s">
        <v>11</v>
      </c>
      <c r="B6" s="732">
        <f t="shared" si="1"/>
        <v>5</v>
      </c>
      <c r="C6" s="773">
        <v>7</v>
      </c>
      <c r="D6" s="753">
        <v>2021</v>
      </c>
      <c r="E6" s="802">
        <v>37683.18</v>
      </c>
      <c r="F6" s="747">
        <f t="shared" si="2"/>
        <v>1.32</v>
      </c>
      <c r="G6" s="802">
        <f t="shared" si="0"/>
        <v>1181.06</v>
      </c>
      <c r="H6" s="747">
        <v>3.89</v>
      </c>
      <c r="I6" s="802">
        <v>352.77</v>
      </c>
      <c r="J6" s="747">
        <v>10</v>
      </c>
      <c r="K6" s="748">
        <v>178</v>
      </c>
    </row>
    <row r="7" spans="1:12">
      <c r="A7" s="754" t="s">
        <v>11</v>
      </c>
      <c r="B7" s="732">
        <f t="shared" si="1"/>
        <v>6</v>
      </c>
      <c r="C7" s="773">
        <v>7</v>
      </c>
      <c r="D7" s="753">
        <v>2021</v>
      </c>
      <c r="E7" s="802">
        <v>37683.18</v>
      </c>
      <c r="F7" s="747">
        <f t="shared" si="2"/>
        <v>1.32</v>
      </c>
      <c r="G7" s="802">
        <f t="shared" si="0"/>
        <v>1181.06</v>
      </c>
      <c r="H7" s="747">
        <v>3.89</v>
      </c>
      <c r="I7" s="802">
        <v>352.77</v>
      </c>
      <c r="J7" s="747">
        <v>10</v>
      </c>
      <c r="K7" s="748">
        <v>178</v>
      </c>
    </row>
    <row r="8" spans="1:12">
      <c r="A8" s="754" t="s">
        <v>11</v>
      </c>
      <c r="B8" s="732">
        <f t="shared" si="1"/>
        <v>7</v>
      </c>
      <c r="C8" s="773">
        <v>7</v>
      </c>
      <c r="D8" s="753">
        <v>2021</v>
      </c>
      <c r="E8" s="802">
        <v>37683.18</v>
      </c>
      <c r="F8" s="747">
        <f t="shared" si="2"/>
        <v>1.32</v>
      </c>
      <c r="G8" s="802">
        <f t="shared" si="0"/>
        <v>1181.06</v>
      </c>
      <c r="H8" s="747">
        <v>3.89</v>
      </c>
      <c r="I8" s="802">
        <v>352.77</v>
      </c>
      <c r="J8" s="747">
        <v>10</v>
      </c>
      <c r="K8" s="748">
        <v>178</v>
      </c>
    </row>
    <row r="9" spans="1:12">
      <c r="A9" s="754" t="s">
        <v>11</v>
      </c>
      <c r="B9" s="732">
        <f t="shared" si="1"/>
        <v>8</v>
      </c>
      <c r="C9" s="773">
        <v>7</v>
      </c>
      <c r="D9" s="753">
        <v>2021</v>
      </c>
      <c r="E9" s="802">
        <v>37683.18</v>
      </c>
      <c r="F9" s="747">
        <f t="shared" si="2"/>
        <v>1.32</v>
      </c>
      <c r="G9" s="802">
        <f t="shared" si="0"/>
        <v>1181.06</v>
      </c>
      <c r="H9" s="747">
        <v>3.89</v>
      </c>
      <c r="I9" s="802">
        <v>352.77</v>
      </c>
      <c r="J9" s="747">
        <v>10</v>
      </c>
      <c r="K9" s="748">
        <v>178</v>
      </c>
    </row>
    <row r="10" spans="1:12">
      <c r="A10" s="754" t="s">
        <v>11</v>
      </c>
      <c r="B10" s="732">
        <f t="shared" si="1"/>
        <v>9</v>
      </c>
      <c r="C10" s="773">
        <v>7</v>
      </c>
      <c r="D10" s="753">
        <v>2021</v>
      </c>
      <c r="E10" s="802">
        <v>37683.18</v>
      </c>
      <c r="F10" s="747">
        <f t="shared" si="2"/>
        <v>1.32</v>
      </c>
      <c r="G10" s="802">
        <f t="shared" si="0"/>
        <v>1181.06</v>
      </c>
      <c r="H10" s="747">
        <v>3.89</v>
      </c>
      <c r="I10" s="802">
        <v>352.77</v>
      </c>
      <c r="J10" s="747">
        <v>10</v>
      </c>
      <c r="K10" s="748">
        <v>178</v>
      </c>
    </row>
    <row r="11" spans="1:12">
      <c r="A11" s="754" t="s">
        <v>11</v>
      </c>
      <c r="B11" s="732">
        <f t="shared" si="1"/>
        <v>10</v>
      </c>
      <c r="C11" s="773">
        <v>7</v>
      </c>
      <c r="D11" s="753">
        <v>2021</v>
      </c>
      <c r="E11" s="802">
        <v>37683.18</v>
      </c>
      <c r="F11" s="747">
        <f t="shared" si="2"/>
        <v>1.32</v>
      </c>
      <c r="G11" s="802">
        <f t="shared" si="0"/>
        <v>1181.06</v>
      </c>
      <c r="H11" s="747">
        <v>3.89</v>
      </c>
      <c r="I11" s="802">
        <v>352.77</v>
      </c>
      <c r="J11" s="747">
        <v>10</v>
      </c>
      <c r="K11" s="748">
        <v>178</v>
      </c>
    </row>
    <row r="12" spans="1:12">
      <c r="A12" s="754" t="s">
        <v>11</v>
      </c>
      <c r="B12" s="732">
        <f t="shared" si="1"/>
        <v>11</v>
      </c>
      <c r="C12" s="773">
        <v>7</v>
      </c>
      <c r="D12" s="753">
        <v>2021</v>
      </c>
      <c r="E12" s="802">
        <v>37683.18</v>
      </c>
      <c r="F12" s="747">
        <f t="shared" si="2"/>
        <v>1.32</v>
      </c>
      <c r="G12" s="802">
        <f t="shared" si="0"/>
        <v>1181.06</v>
      </c>
      <c r="H12" s="747">
        <v>3.89</v>
      </c>
      <c r="I12" s="802">
        <v>352.77</v>
      </c>
      <c r="J12" s="747">
        <v>10</v>
      </c>
      <c r="K12" s="748">
        <v>178</v>
      </c>
      <c r="L12" s="735" t="s">
        <v>12</v>
      </c>
    </row>
    <row r="13" spans="1:12">
      <c r="A13" s="754" t="s">
        <v>11</v>
      </c>
      <c r="B13" s="732">
        <f t="shared" si="1"/>
        <v>12</v>
      </c>
      <c r="C13" s="773">
        <v>7</v>
      </c>
      <c r="D13" s="753">
        <v>2021</v>
      </c>
      <c r="E13" s="802">
        <v>37683.18</v>
      </c>
      <c r="F13" s="747">
        <f t="shared" si="2"/>
        <v>1.32</v>
      </c>
      <c r="G13" s="802">
        <f t="shared" si="0"/>
        <v>1181.06</v>
      </c>
      <c r="H13" s="747">
        <v>3.89</v>
      </c>
      <c r="I13" s="802">
        <v>352.77</v>
      </c>
      <c r="J13" s="747">
        <v>10</v>
      </c>
      <c r="K13" s="748">
        <v>178</v>
      </c>
      <c r="L13" s="735" t="s">
        <v>13</v>
      </c>
    </row>
    <row r="14" spans="1:12">
      <c r="A14" s="754" t="s">
        <v>11</v>
      </c>
      <c r="B14" s="732">
        <f t="shared" si="1"/>
        <v>13</v>
      </c>
      <c r="C14" s="773">
        <v>7</v>
      </c>
      <c r="D14" s="753">
        <v>2021</v>
      </c>
      <c r="E14" s="802">
        <v>37683.18</v>
      </c>
      <c r="F14" s="747">
        <f t="shared" si="2"/>
        <v>1.32</v>
      </c>
      <c r="G14" s="802">
        <f t="shared" si="0"/>
        <v>1181.06</v>
      </c>
      <c r="H14" s="747">
        <v>3.89</v>
      </c>
      <c r="I14" s="802">
        <v>352.77</v>
      </c>
      <c r="J14" s="747">
        <v>10</v>
      </c>
      <c r="K14" s="748">
        <v>178</v>
      </c>
    </row>
    <row r="15" spans="1:12">
      <c r="A15" s="754" t="s">
        <v>11</v>
      </c>
      <c r="B15" s="732">
        <f t="shared" si="1"/>
        <v>14</v>
      </c>
      <c r="C15" s="773">
        <v>7</v>
      </c>
      <c r="D15" s="753">
        <v>2021</v>
      </c>
      <c r="E15" s="802">
        <v>37683.18</v>
      </c>
      <c r="F15" s="747">
        <f t="shared" si="2"/>
        <v>1.32</v>
      </c>
      <c r="G15" s="802">
        <f t="shared" si="0"/>
        <v>1181.06</v>
      </c>
      <c r="H15" s="747">
        <v>3.89</v>
      </c>
      <c r="I15" s="802">
        <v>352.77</v>
      </c>
      <c r="J15" s="747">
        <v>10</v>
      </c>
      <c r="K15" s="748">
        <v>178</v>
      </c>
    </row>
    <row r="16" spans="1:12">
      <c r="A16" s="754" t="s">
        <v>11</v>
      </c>
      <c r="B16" s="732">
        <f t="shared" si="1"/>
        <v>15</v>
      </c>
      <c r="C16" s="773">
        <v>7</v>
      </c>
      <c r="D16" s="753">
        <v>2021</v>
      </c>
      <c r="E16" s="802">
        <v>37683.18</v>
      </c>
      <c r="F16" s="747">
        <f t="shared" si="2"/>
        <v>1.32</v>
      </c>
      <c r="G16" s="802">
        <f t="shared" si="0"/>
        <v>1181.06</v>
      </c>
      <c r="H16" s="747">
        <v>3.89</v>
      </c>
      <c r="I16" s="802">
        <v>352.77</v>
      </c>
      <c r="J16" s="747">
        <v>10</v>
      </c>
      <c r="K16" s="748">
        <v>178</v>
      </c>
    </row>
    <row r="17" spans="1:11">
      <c r="A17" s="754" t="s">
        <v>11</v>
      </c>
      <c r="B17" s="732">
        <f t="shared" si="1"/>
        <v>16</v>
      </c>
      <c r="C17" s="773">
        <v>7</v>
      </c>
      <c r="D17" s="753">
        <v>2021</v>
      </c>
      <c r="E17" s="802">
        <v>37683.18</v>
      </c>
      <c r="F17" s="747">
        <f t="shared" si="2"/>
        <v>1.32</v>
      </c>
      <c r="G17" s="802">
        <f t="shared" si="0"/>
        <v>1181.06</v>
      </c>
      <c r="H17" s="747">
        <v>3.89</v>
      </c>
      <c r="I17" s="802">
        <v>352.77</v>
      </c>
      <c r="J17" s="747">
        <v>10</v>
      </c>
      <c r="K17" s="748">
        <v>178</v>
      </c>
    </row>
    <row r="18" spans="1:11">
      <c r="A18" s="754" t="s">
        <v>11</v>
      </c>
      <c r="B18" s="732">
        <f t="shared" si="1"/>
        <v>17</v>
      </c>
      <c r="C18" s="773">
        <v>7</v>
      </c>
      <c r="D18" s="753">
        <v>2021</v>
      </c>
      <c r="E18" s="802">
        <v>37683.18</v>
      </c>
      <c r="F18" s="747">
        <f t="shared" si="2"/>
        <v>1.32</v>
      </c>
      <c r="G18" s="802">
        <f t="shared" si="0"/>
        <v>1181.06</v>
      </c>
      <c r="H18" s="747">
        <v>3.89</v>
      </c>
      <c r="I18" s="802">
        <v>352.77</v>
      </c>
      <c r="J18" s="747">
        <v>10</v>
      </c>
      <c r="K18" s="748">
        <v>178</v>
      </c>
    </row>
    <row r="19" spans="1:11">
      <c r="A19" s="754" t="s">
        <v>11</v>
      </c>
      <c r="B19" s="732">
        <f t="shared" si="1"/>
        <v>18</v>
      </c>
      <c r="C19" s="773">
        <v>7</v>
      </c>
      <c r="D19" s="753">
        <v>2021</v>
      </c>
      <c r="E19" s="802">
        <v>37683.18</v>
      </c>
      <c r="F19" s="747">
        <f t="shared" si="2"/>
        <v>1.32</v>
      </c>
      <c r="G19" s="802">
        <f t="shared" si="0"/>
        <v>1181.06</v>
      </c>
      <c r="H19" s="747">
        <v>3.89</v>
      </c>
      <c r="I19" s="802">
        <v>352.77</v>
      </c>
      <c r="J19" s="747">
        <v>10</v>
      </c>
      <c r="K19" s="748">
        <v>178</v>
      </c>
    </row>
    <row r="20" spans="1:11">
      <c r="A20" s="754" t="s">
        <v>11</v>
      </c>
      <c r="B20" s="732">
        <f t="shared" si="1"/>
        <v>19</v>
      </c>
      <c r="C20" s="773">
        <v>7</v>
      </c>
      <c r="D20" s="753">
        <v>2021</v>
      </c>
      <c r="E20" s="802">
        <v>37683.18</v>
      </c>
      <c r="F20" s="747">
        <f t="shared" si="2"/>
        <v>1.32</v>
      </c>
      <c r="G20" s="802">
        <f t="shared" si="0"/>
        <v>1181.06</v>
      </c>
      <c r="H20" s="747">
        <v>3.89</v>
      </c>
      <c r="I20" s="802">
        <v>352.77</v>
      </c>
      <c r="J20" s="747">
        <v>10</v>
      </c>
      <c r="K20" s="748">
        <v>178</v>
      </c>
    </row>
    <row r="21" spans="1:11">
      <c r="A21" s="754" t="s">
        <v>11</v>
      </c>
      <c r="B21" s="732">
        <f t="shared" si="1"/>
        <v>20</v>
      </c>
      <c r="C21" s="773">
        <v>7</v>
      </c>
      <c r="D21" s="753">
        <v>2021</v>
      </c>
      <c r="E21" s="802">
        <v>37683.18</v>
      </c>
      <c r="F21" s="747">
        <f t="shared" si="2"/>
        <v>1.32</v>
      </c>
      <c r="G21" s="802">
        <f t="shared" si="0"/>
        <v>1181.06</v>
      </c>
      <c r="H21" s="747">
        <v>3.89</v>
      </c>
      <c r="I21" s="802">
        <v>352.77</v>
      </c>
      <c r="J21" s="747">
        <v>10</v>
      </c>
      <c r="K21" s="748">
        <v>178</v>
      </c>
    </row>
    <row r="22" spans="1:11">
      <c r="A22" s="754" t="s">
        <v>11</v>
      </c>
      <c r="B22" s="732">
        <f t="shared" si="1"/>
        <v>21</v>
      </c>
      <c r="C22" s="773">
        <v>7</v>
      </c>
      <c r="D22" s="753">
        <v>2021</v>
      </c>
      <c r="E22" s="802">
        <v>37683.18</v>
      </c>
      <c r="F22" s="747">
        <f t="shared" si="2"/>
        <v>1.32</v>
      </c>
      <c r="G22" s="802">
        <f t="shared" si="0"/>
        <v>1181.06</v>
      </c>
      <c r="H22" s="747">
        <v>3.89</v>
      </c>
      <c r="I22" s="802">
        <v>352.77</v>
      </c>
      <c r="J22" s="747">
        <v>10</v>
      </c>
      <c r="K22" s="748">
        <v>178</v>
      </c>
    </row>
    <row r="23" spans="1:11">
      <c r="A23" s="754" t="s">
        <v>11</v>
      </c>
      <c r="B23" s="732">
        <f t="shared" si="1"/>
        <v>22</v>
      </c>
      <c r="C23" s="773">
        <v>7</v>
      </c>
      <c r="D23" s="753">
        <v>2021</v>
      </c>
      <c r="E23" s="802">
        <v>37683.18</v>
      </c>
      <c r="F23" s="747">
        <f t="shared" si="2"/>
        <v>1.32</v>
      </c>
      <c r="G23" s="802">
        <f t="shared" si="0"/>
        <v>1181.06</v>
      </c>
      <c r="H23" s="747">
        <v>3.89</v>
      </c>
      <c r="I23" s="802">
        <v>352.77</v>
      </c>
      <c r="J23" s="747">
        <v>10</v>
      </c>
      <c r="K23" s="748">
        <v>178</v>
      </c>
    </row>
    <row r="24" spans="1:11">
      <c r="A24" s="754" t="s">
        <v>11</v>
      </c>
      <c r="B24" s="732">
        <f t="shared" si="1"/>
        <v>23</v>
      </c>
      <c r="C24" s="773">
        <v>7</v>
      </c>
      <c r="D24" s="753">
        <v>2021</v>
      </c>
      <c r="E24" s="802">
        <v>37683.18</v>
      </c>
      <c r="F24" s="747">
        <f t="shared" si="2"/>
        <v>1.32</v>
      </c>
      <c r="G24" s="802">
        <f t="shared" si="0"/>
        <v>1181.06</v>
      </c>
      <c r="H24" s="747">
        <v>3.89</v>
      </c>
      <c r="I24" s="802">
        <v>352.77</v>
      </c>
      <c r="J24" s="747">
        <v>10</v>
      </c>
      <c r="K24" s="748">
        <v>178</v>
      </c>
    </row>
    <row r="25" spans="1:11">
      <c r="A25" s="754" t="s">
        <v>11</v>
      </c>
      <c r="B25" s="732">
        <f t="shared" si="1"/>
        <v>24</v>
      </c>
      <c r="C25" s="773">
        <v>7</v>
      </c>
      <c r="D25" s="753">
        <v>2021</v>
      </c>
      <c r="E25" s="802">
        <v>37683.18</v>
      </c>
      <c r="F25" s="747">
        <f t="shared" si="2"/>
        <v>1.32</v>
      </c>
      <c r="G25" s="802">
        <f t="shared" si="0"/>
        <v>1181.06</v>
      </c>
      <c r="H25" s="747">
        <v>3.89</v>
      </c>
      <c r="I25" s="802">
        <v>352.77</v>
      </c>
      <c r="J25" s="747">
        <v>10</v>
      </c>
      <c r="K25" s="748">
        <v>178</v>
      </c>
    </row>
    <row r="26" spans="1:11">
      <c r="A26" s="754" t="s">
        <v>11</v>
      </c>
      <c r="B26" s="732">
        <f>B25+1</f>
        <v>25</v>
      </c>
      <c r="C26" s="773">
        <v>7</v>
      </c>
      <c r="D26" s="753">
        <v>2021</v>
      </c>
      <c r="E26" s="802">
        <v>37683.18</v>
      </c>
      <c r="F26" s="747">
        <f t="shared" si="2"/>
        <v>1.32</v>
      </c>
      <c r="G26" s="802">
        <f t="shared" si="0"/>
        <v>1181.06</v>
      </c>
      <c r="H26" s="747">
        <v>3.89</v>
      </c>
      <c r="I26" s="802">
        <v>352.77</v>
      </c>
      <c r="J26" s="747">
        <v>10</v>
      </c>
      <c r="K26" s="748">
        <v>178</v>
      </c>
    </row>
    <row r="27" spans="1:11">
      <c r="A27" s="754" t="s">
        <v>11</v>
      </c>
      <c r="B27" s="732">
        <f t="shared" si="1"/>
        <v>26</v>
      </c>
      <c r="C27" s="773">
        <v>7</v>
      </c>
      <c r="D27" s="753">
        <v>2021</v>
      </c>
      <c r="E27" s="802">
        <v>37683.18</v>
      </c>
      <c r="F27" s="747">
        <f t="shared" si="2"/>
        <v>1.32</v>
      </c>
      <c r="G27" s="802">
        <f t="shared" si="0"/>
        <v>1181.06</v>
      </c>
      <c r="H27" s="747">
        <v>3.89</v>
      </c>
      <c r="I27" s="802">
        <v>352.77</v>
      </c>
      <c r="J27" s="747">
        <v>10</v>
      </c>
      <c r="K27" s="748">
        <v>178</v>
      </c>
    </row>
    <row r="28" spans="1:11">
      <c r="A28" s="754" t="s">
        <v>11</v>
      </c>
      <c r="B28" s="732">
        <f t="shared" si="1"/>
        <v>27</v>
      </c>
      <c r="C28" s="773">
        <v>7</v>
      </c>
      <c r="D28" s="753">
        <v>2021</v>
      </c>
      <c r="E28" s="802">
        <v>37683.18</v>
      </c>
      <c r="F28" s="747">
        <f t="shared" si="2"/>
        <v>1.32</v>
      </c>
      <c r="G28" s="802">
        <f t="shared" si="0"/>
        <v>1181.06</v>
      </c>
      <c r="H28" s="747">
        <v>3.89</v>
      </c>
      <c r="I28" s="802">
        <v>352.77</v>
      </c>
      <c r="J28" s="747">
        <v>10</v>
      </c>
      <c r="K28" s="748">
        <v>170</v>
      </c>
    </row>
    <row r="29" spans="1:11">
      <c r="A29" s="754" t="s">
        <v>11</v>
      </c>
      <c r="B29" s="732">
        <f t="shared" si="1"/>
        <v>28</v>
      </c>
      <c r="C29" s="773">
        <v>7</v>
      </c>
      <c r="D29" s="753">
        <v>2021</v>
      </c>
      <c r="E29" s="802">
        <v>37683.18</v>
      </c>
      <c r="F29" s="747">
        <f t="shared" si="2"/>
        <v>1.32</v>
      </c>
      <c r="G29" s="802">
        <f t="shared" si="0"/>
        <v>1181.06</v>
      </c>
      <c r="H29" s="747">
        <v>3.89</v>
      </c>
      <c r="I29" s="802">
        <v>352.77</v>
      </c>
      <c r="J29" s="747">
        <v>10</v>
      </c>
      <c r="K29" s="748">
        <v>177</v>
      </c>
    </row>
    <row r="30" spans="1:11">
      <c r="A30" s="754" t="s">
        <v>11</v>
      </c>
      <c r="B30" s="732">
        <f t="shared" si="1"/>
        <v>29</v>
      </c>
      <c r="C30" s="773">
        <v>7</v>
      </c>
      <c r="D30" s="753">
        <v>2021</v>
      </c>
      <c r="E30" s="802">
        <v>37683.18</v>
      </c>
      <c r="F30" s="747">
        <f t="shared" si="2"/>
        <v>1.32</v>
      </c>
      <c r="G30" s="802">
        <f t="shared" si="0"/>
        <v>1181.06</v>
      </c>
      <c r="H30" s="747">
        <v>3.89</v>
      </c>
      <c r="I30" s="802">
        <v>352.77</v>
      </c>
      <c r="J30" s="747">
        <v>10</v>
      </c>
      <c r="K30" s="748">
        <v>178</v>
      </c>
    </row>
    <row r="31" spans="1:11">
      <c r="A31" s="754" t="s">
        <v>11</v>
      </c>
      <c r="B31" s="732">
        <f t="shared" si="1"/>
        <v>30</v>
      </c>
      <c r="C31" s="773">
        <v>7</v>
      </c>
      <c r="D31" s="753">
        <v>2021</v>
      </c>
      <c r="E31" s="802">
        <v>37683.18</v>
      </c>
      <c r="F31" s="747">
        <f t="shared" si="2"/>
        <v>1.32</v>
      </c>
      <c r="G31" s="802">
        <f t="shared" si="0"/>
        <v>1181.06</v>
      </c>
      <c r="H31" s="747">
        <v>3.89</v>
      </c>
      <c r="I31" s="802">
        <v>352.77</v>
      </c>
      <c r="J31" s="747">
        <v>10</v>
      </c>
      <c r="K31" s="748">
        <v>178</v>
      </c>
    </row>
    <row r="32" spans="1:11">
      <c r="A32" s="755" t="s">
        <v>11</v>
      </c>
      <c r="B32" s="756">
        <f t="shared" si="1"/>
        <v>31</v>
      </c>
      <c r="C32" s="773">
        <v>7</v>
      </c>
      <c r="D32" s="753">
        <v>2021</v>
      </c>
      <c r="E32" s="802">
        <v>37683.18</v>
      </c>
      <c r="F32" s="747">
        <f t="shared" si="2"/>
        <v>1.32</v>
      </c>
      <c r="G32" s="802">
        <f t="shared" si="0"/>
        <v>1181.06</v>
      </c>
      <c r="H32" s="747">
        <v>3.89</v>
      </c>
      <c r="I32" s="802">
        <v>352.77</v>
      </c>
      <c r="J32" s="747">
        <v>10</v>
      </c>
      <c r="K32" s="748">
        <v>178</v>
      </c>
    </row>
    <row r="34" spans="5:11">
      <c r="E34" s="803"/>
      <c r="G34" s="803"/>
      <c r="I34" s="803"/>
      <c r="K34" s="803"/>
    </row>
  </sheetData>
  <sheetProtection algorithmName="SHA-512" hashValue="IyeV0xUCCNIpGh4ug8Qf9+bCpfLuSvsZ56JMSkB2By32vRecRhxn9u/1fk+nw+VeXFZQfZBT9SzekFTMjwwg/w==" saltValue="I4RRnxTii4Ao43NZ+NxJ+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I1" zoomScale="75" zoomScaleNormal="115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4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7" t="s">
        <v>22</v>
      </c>
      <c r="N1" s="757" t="s">
        <v>23</v>
      </c>
      <c r="O1" s="757" t="s">
        <v>24</v>
      </c>
      <c r="P1" s="757" t="s">
        <v>25</v>
      </c>
      <c r="Q1" s="757" t="s">
        <v>26</v>
      </c>
      <c r="R1" s="757" t="s">
        <v>27</v>
      </c>
      <c r="S1" s="787" t="s">
        <v>28</v>
      </c>
      <c r="T1" s="757" t="s">
        <v>29</v>
      </c>
      <c r="U1" s="757" t="s">
        <v>30</v>
      </c>
      <c r="V1" s="757" t="s">
        <v>31</v>
      </c>
      <c r="W1" s="787" t="s">
        <v>32</v>
      </c>
      <c r="X1" s="757" t="s">
        <v>33</v>
      </c>
      <c r="Y1" s="787" t="s">
        <v>34</v>
      </c>
      <c r="Z1" s="757" t="s">
        <v>35</v>
      </c>
      <c r="AA1" s="787" t="s">
        <v>36</v>
      </c>
      <c r="AB1" s="757" t="s">
        <v>37</v>
      </c>
      <c r="AC1" s="757" t="s">
        <v>38</v>
      </c>
      <c r="AD1" s="787" t="s">
        <v>39</v>
      </c>
      <c r="AE1" s="757" t="s">
        <v>40</v>
      </c>
      <c r="AF1" s="757" t="s">
        <v>41</v>
      </c>
      <c r="AG1" s="757" t="s">
        <v>42</v>
      </c>
      <c r="AH1" s="804" t="s">
        <v>43</v>
      </c>
      <c r="AI1" s="757" t="s">
        <v>44</v>
      </c>
      <c r="AJ1" s="757" t="s">
        <v>45</v>
      </c>
      <c r="AK1" s="757" t="s">
        <v>46</v>
      </c>
      <c r="AL1" s="804" t="s">
        <v>47</v>
      </c>
      <c r="AM1" s="757" t="s">
        <v>48</v>
      </c>
      <c r="AN1" s="757" t="s">
        <v>49</v>
      </c>
      <c r="AO1" s="757" t="s">
        <v>50</v>
      </c>
      <c r="AP1" s="745" t="s">
        <v>10</v>
      </c>
    </row>
    <row r="2" spans="1:42" ht="19.5" customHeight="1">
      <c r="A2" s="751" t="s">
        <v>11</v>
      </c>
      <c r="B2" s="752">
        <v>1</v>
      </c>
      <c r="C2" s="773">
        <v>7</v>
      </c>
      <c r="D2" s="753">
        <v>2021</v>
      </c>
      <c r="E2" s="805"/>
      <c r="F2" s="741">
        <f>Elect!J6</f>
        <v>5335</v>
      </c>
      <c r="G2" s="741">
        <f>Elect!K6</f>
        <v>3380</v>
      </c>
      <c r="H2" s="741">
        <f>Elect!Q6</f>
        <v>600</v>
      </c>
      <c r="I2" s="741">
        <f>Elect!S6</f>
        <v>116</v>
      </c>
      <c r="J2" s="741">
        <f>Elect!U6</f>
        <v>228</v>
      </c>
      <c r="K2" s="741">
        <f>Elect!W6</f>
        <v>3795.3300000000004</v>
      </c>
      <c r="L2" s="741">
        <f>Elect!Y6</f>
        <v>0</v>
      </c>
      <c r="M2" s="741">
        <f>Elect!AA6</f>
        <v>3597.6400000000003</v>
      </c>
      <c r="N2" s="741">
        <f>Elect!AC6</f>
        <v>0</v>
      </c>
      <c r="O2" s="741">
        <f>Elect!AE6</f>
        <v>1768.0800000000002</v>
      </c>
      <c r="P2" s="741">
        <f>Elect!AG6</f>
        <v>0</v>
      </c>
      <c r="Q2" s="741">
        <f>Elect!AI6</f>
        <v>1109.29</v>
      </c>
      <c r="R2" s="741">
        <f>Elect!AK6</f>
        <v>3604.53</v>
      </c>
      <c r="S2" s="741">
        <f>Elect!AM6</f>
        <v>154.76000000000002</v>
      </c>
      <c r="T2" s="741">
        <f>Elect!AP6</f>
        <v>199.57500000000002</v>
      </c>
      <c r="U2" s="741">
        <f>Elect!AR6</f>
        <v>135</v>
      </c>
      <c r="V2" s="741">
        <f>Elect!AT6</f>
        <v>162</v>
      </c>
      <c r="W2" s="741">
        <f>Elect!AV6</f>
        <v>28</v>
      </c>
      <c r="X2" s="741">
        <f>Elect!AX6</f>
        <v>1171</v>
      </c>
      <c r="Y2" s="741">
        <f>Elect!AZ6</f>
        <v>65</v>
      </c>
      <c r="Z2" s="741">
        <f>Elect!BB6</f>
        <v>4065</v>
      </c>
      <c r="AA2" s="741">
        <f>Elect!BD6</f>
        <v>178</v>
      </c>
      <c r="AB2" s="741">
        <f>Elect!BF6</f>
        <v>132</v>
      </c>
      <c r="AC2" s="741">
        <f>Elect!BH6</f>
        <v>5599.6500000000005</v>
      </c>
      <c r="AD2" s="741">
        <f>Elect!BL6</f>
        <v>0</v>
      </c>
      <c r="AE2" s="741">
        <f>Elect!BN6</f>
        <v>1087</v>
      </c>
      <c r="AF2" s="741">
        <f>Elect!BP6</f>
        <v>76</v>
      </c>
      <c r="AG2" s="741">
        <f>Elect!BR6</f>
        <v>174</v>
      </c>
      <c r="AH2" s="805"/>
      <c r="AI2" s="741">
        <f>Water!C7</f>
        <v>197.2</v>
      </c>
      <c r="AJ2" s="741">
        <f>Water!E7</f>
        <v>0</v>
      </c>
      <c r="AK2" s="741">
        <f>Water!G7</f>
        <v>0</v>
      </c>
      <c r="AL2" s="805"/>
      <c r="AM2" s="741">
        <f>Gas!C7</f>
        <v>914.25</v>
      </c>
      <c r="AN2" s="741">
        <f>Gas!E7</f>
        <v>145.6</v>
      </c>
      <c r="AO2" s="741">
        <f>Gas!G7</f>
        <v>90</v>
      </c>
      <c r="AP2" s="748">
        <v>178</v>
      </c>
    </row>
    <row r="3" spans="1:42" ht="12.75" customHeight="1">
      <c r="A3" s="754" t="s">
        <v>11</v>
      </c>
      <c r="B3" s="732">
        <f>B2+1</f>
        <v>2</v>
      </c>
      <c r="C3" s="773">
        <v>7</v>
      </c>
      <c r="D3" s="753">
        <v>2021</v>
      </c>
      <c r="E3" s="805"/>
      <c r="F3" s="741">
        <f>Elect!J7</f>
        <v>5320</v>
      </c>
      <c r="G3" s="741">
        <f>Elect!K7</f>
        <v>3529</v>
      </c>
      <c r="H3" s="741">
        <f>Elect!Q7</f>
        <v>600</v>
      </c>
      <c r="I3" s="741">
        <f>Elect!S7</f>
        <v>147</v>
      </c>
      <c r="J3" s="741">
        <f>Elect!U7</f>
        <v>295</v>
      </c>
      <c r="K3" s="741">
        <f>Elect!W7</f>
        <v>2934.08</v>
      </c>
      <c r="L3" s="741">
        <f>Elect!Y7</f>
        <v>1896.3400000000001</v>
      </c>
      <c r="M3" s="741">
        <f>Elect!AA7</f>
        <v>625.4</v>
      </c>
      <c r="N3" s="741">
        <f>Elect!AC7</f>
        <v>0</v>
      </c>
      <c r="O3" s="741">
        <f>Elect!AE7</f>
        <v>104.94000000000001</v>
      </c>
      <c r="P3" s="741">
        <f>Elect!AG7</f>
        <v>312.7</v>
      </c>
      <c r="Q3" s="741">
        <f>Elect!AI7</f>
        <v>1212.1100000000001</v>
      </c>
      <c r="R3" s="741">
        <f>Elect!AK7</f>
        <v>3848.86</v>
      </c>
      <c r="S3" s="741">
        <f>Elect!AM7</f>
        <v>171.19</v>
      </c>
      <c r="T3" s="741">
        <f>Elect!AP7</f>
        <v>205.08750000000001</v>
      </c>
      <c r="U3" s="741">
        <f>Elect!AR7</f>
        <v>198</v>
      </c>
      <c r="V3" s="741">
        <f>Elect!AT7</f>
        <v>173</v>
      </c>
      <c r="W3" s="741">
        <f>Elect!AV7</f>
        <v>27</v>
      </c>
      <c r="X3" s="741">
        <f>Elect!AX7</f>
        <v>1100</v>
      </c>
      <c r="Y3" s="741">
        <f>Elect!AZ7</f>
        <v>79</v>
      </c>
      <c r="Z3" s="741">
        <f>Elect!BB7</f>
        <v>4780</v>
      </c>
      <c r="AA3" s="741">
        <f>Elect!BD7</f>
        <v>195</v>
      </c>
      <c r="AB3" s="741">
        <f>Elect!BF7</f>
        <v>150</v>
      </c>
      <c r="AC3" s="741">
        <f>Elect!BH7</f>
        <v>6085.8499999999995</v>
      </c>
      <c r="AD3" s="741">
        <f>Elect!BL7</f>
        <v>17</v>
      </c>
      <c r="AE3" s="741">
        <f>Elect!BN7</f>
        <v>1389</v>
      </c>
      <c r="AF3" s="741">
        <f>Elect!BP7</f>
        <v>98</v>
      </c>
      <c r="AG3" s="741">
        <f>Elect!BR7</f>
        <v>218</v>
      </c>
      <c r="AH3" s="805"/>
      <c r="AI3" s="741">
        <f>Water!C8</f>
        <v>295.79999999999995</v>
      </c>
      <c r="AJ3" s="741">
        <f>Water!E8</f>
        <v>0</v>
      </c>
      <c r="AK3" s="741">
        <f>Water!G8</f>
        <v>0</v>
      </c>
      <c r="AL3" s="805"/>
      <c r="AM3" s="741">
        <f>Gas!C8</f>
        <v>755.25</v>
      </c>
      <c r="AN3" s="741">
        <f>Gas!E8</f>
        <v>254.79999999999998</v>
      </c>
      <c r="AO3" s="741">
        <f>Gas!G8</f>
        <v>50</v>
      </c>
      <c r="AP3" s="748">
        <v>178</v>
      </c>
    </row>
    <row r="4" spans="1:42" ht="12.75" customHeight="1">
      <c r="A4" s="754" t="s">
        <v>11</v>
      </c>
      <c r="B4" s="732">
        <f t="shared" ref="B4:B31" si="0">B3+1</f>
        <v>3</v>
      </c>
      <c r="C4" s="773">
        <v>7</v>
      </c>
      <c r="D4" s="753">
        <v>2021</v>
      </c>
      <c r="E4" s="805"/>
      <c r="F4" s="741">
        <f>Elect!J8</f>
        <v>6025</v>
      </c>
      <c r="G4" s="741">
        <f>Elect!K8</f>
        <v>2722</v>
      </c>
      <c r="H4" s="741">
        <f>Elect!Q8</f>
        <v>510</v>
      </c>
      <c r="I4" s="741">
        <f>Elect!S8</f>
        <v>121</v>
      </c>
      <c r="J4" s="741">
        <f>Elect!U8</f>
        <v>241</v>
      </c>
      <c r="K4" s="741">
        <f>Elect!W8</f>
        <v>2322.46</v>
      </c>
      <c r="L4" s="741">
        <f>Elect!Y8</f>
        <v>3174.17</v>
      </c>
      <c r="M4" s="741">
        <f>Elect!AA8</f>
        <v>0</v>
      </c>
      <c r="N4" s="741">
        <f>Elect!AC8</f>
        <v>0</v>
      </c>
      <c r="O4" s="741">
        <f>Elect!AE8</f>
        <v>10.600000000000001</v>
      </c>
      <c r="P4" s="741">
        <f>Elect!AG8</f>
        <v>1565.6200000000001</v>
      </c>
      <c r="Q4" s="741">
        <f>Elect!AI8</f>
        <v>944.46</v>
      </c>
      <c r="R4" s="741">
        <f>Elect!AK8</f>
        <v>2957.4</v>
      </c>
      <c r="S4" s="741">
        <f>Elect!AM8</f>
        <v>136.21</v>
      </c>
      <c r="T4" s="741">
        <f>Elect!AP8</f>
        <v>189.11250000000001</v>
      </c>
      <c r="U4" s="741">
        <f>Elect!AR8</f>
        <v>288</v>
      </c>
      <c r="V4" s="741">
        <f>Elect!AT8</f>
        <v>162</v>
      </c>
      <c r="W4" s="741">
        <f>Elect!AV8</f>
        <v>28</v>
      </c>
      <c r="X4" s="741">
        <f>Elect!AX8</f>
        <v>874</v>
      </c>
      <c r="Y4" s="741">
        <f>Elect!AZ8</f>
        <v>66</v>
      </c>
      <c r="Z4" s="741">
        <f>Elect!BB8</f>
        <v>4981</v>
      </c>
      <c r="AA4" s="741">
        <f>Elect!BD8</f>
        <v>183</v>
      </c>
      <c r="AB4" s="741">
        <f>Elect!BF8</f>
        <v>153</v>
      </c>
      <c r="AC4" s="741">
        <f>Elect!BH8</f>
        <v>5043.8</v>
      </c>
      <c r="AD4" s="741">
        <f>Elect!BL8</f>
        <v>48</v>
      </c>
      <c r="AE4" s="741">
        <f>Elect!BN8</f>
        <v>1174</v>
      </c>
      <c r="AF4" s="741">
        <f>Elect!BP8</f>
        <v>82</v>
      </c>
      <c r="AG4" s="741">
        <f>Elect!BR8</f>
        <v>168</v>
      </c>
      <c r="AH4" s="805"/>
      <c r="AI4" s="741">
        <f>Water!C9</f>
        <v>278.39999999999998</v>
      </c>
      <c r="AJ4" s="741">
        <f>Water!E9</f>
        <v>0</v>
      </c>
      <c r="AK4" s="741">
        <f>Water!G9</f>
        <v>84.679999999999993</v>
      </c>
      <c r="AL4" s="805"/>
      <c r="AM4" s="741">
        <f>Gas!C9</f>
        <v>1261.4000000000001</v>
      </c>
      <c r="AN4" s="741">
        <f>Gas!E9</f>
        <v>121.8</v>
      </c>
      <c r="AO4" s="741">
        <f>Gas!G9</f>
        <v>95</v>
      </c>
      <c r="AP4" s="748">
        <v>178</v>
      </c>
    </row>
    <row r="5" spans="1:42" ht="12.75" customHeight="1">
      <c r="A5" s="754" t="s">
        <v>11</v>
      </c>
      <c r="B5" s="732">
        <f t="shared" si="0"/>
        <v>4</v>
      </c>
      <c r="C5" s="773">
        <v>7</v>
      </c>
      <c r="D5" s="753">
        <v>2021</v>
      </c>
      <c r="E5" s="805"/>
      <c r="F5" s="741">
        <f>Elect!J9</f>
        <v>5129</v>
      </c>
      <c r="G5" s="741">
        <f>Elect!K9</f>
        <v>3304</v>
      </c>
      <c r="H5" s="741">
        <f>Elect!Q9</f>
        <v>510</v>
      </c>
      <c r="I5" s="741">
        <f>Elect!S9</f>
        <v>130</v>
      </c>
      <c r="J5" s="741">
        <f>Elect!U9</f>
        <v>251</v>
      </c>
      <c r="K5" s="741">
        <f>Elect!W9</f>
        <v>2560.96</v>
      </c>
      <c r="L5" s="741">
        <f>Elect!Y9</f>
        <v>3780.4900000000002</v>
      </c>
      <c r="M5" s="741">
        <f>Elect!AA9</f>
        <v>422.94</v>
      </c>
      <c r="N5" s="741">
        <f>Elect!AC9</f>
        <v>0</v>
      </c>
      <c r="O5" s="741">
        <f>Elect!AE9</f>
        <v>11.13</v>
      </c>
      <c r="P5" s="741">
        <f>Elect!AG9</f>
        <v>1634.52</v>
      </c>
      <c r="Q5" s="741">
        <f>Elect!AI9</f>
        <v>1145.8600000000001</v>
      </c>
      <c r="R5" s="741">
        <f>Elect!AK9</f>
        <v>3775.19</v>
      </c>
      <c r="S5" s="741">
        <f>Elect!AM9</f>
        <v>164.3</v>
      </c>
      <c r="T5" s="741">
        <f>Elect!AP9</f>
        <v>202.27500000000001</v>
      </c>
      <c r="U5" s="741">
        <f>Elect!AR9</f>
        <v>283</v>
      </c>
      <c r="V5" s="741">
        <f>Elect!AT9</f>
        <v>165</v>
      </c>
      <c r="W5" s="741">
        <f>Elect!AV9</f>
        <v>42</v>
      </c>
      <c r="X5" s="741">
        <f>Elect!AX9</f>
        <v>1041</v>
      </c>
      <c r="Y5" s="741">
        <f>Elect!AZ9</f>
        <v>71</v>
      </c>
      <c r="Z5" s="741">
        <f>Elect!BB9</f>
        <v>4725</v>
      </c>
      <c r="AA5" s="741">
        <f>Elect!BD9</f>
        <v>190</v>
      </c>
      <c r="AB5" s="741">
        <f>Elect!BF9</f>
        <v>107</v>
      </c>
      <c r="AC5" s="741">
        <f>Elect!BH9</f>
        <v>5812.4</v>
      </c>
      <c r="AD5" s="741">
        <f>Elect!BL9</f>
        <v>58</v>
      </c>
      <c r="AE5" s="741">
        <f>Elect!BN9</f>
        <v>1434</v>
      </c>
      <c r="AF5" s="741">
        <f>Elect!BP9</f>
        <v>94</v>
      </c>
      <c r="AG5" s="741">
        <f>Elect!BR9</f>
        <v>195</v>
      </c>
      <c r="AH5" s="805"/>
      <c r="AI5" s="741">
        <f>Water!C10</f>
        <v>179.79999999999998</v>
      </c>
      <c r="AJ5" s="741">
        <f>Water!E10</f>
        <v>0</v>
      </c>
      <c r="AK5" s="741">
        <f>Water!G10</f>
        <v>56.839999999999996</v>
      </c>
      <c r="AL5" s="805"/>
      <c r="AM5" s="741">
        <f>Gas!C10</f>
        <v>755.78000000000009</v>
      </c>
      <c r="AN5" s="741">
        <f>Gas!E10</f>
        <v>290.5</v>
      </c>
      <c r="AO5" s="741">
        <f>Gas!G10</f>
        <v>92</v>
      </c>
      <c r="AP5" s="748">
        <v>178</v>
      </c>
    </row>
    <row r="6" spans="1:42" ht="12.75" customHeight="1">
      <c r="A6" s="754" t="s">
        <v>11</v>
      </c>
      <c r="B6" s="732">
        <f t="shared" si="0"/>
        <v>5</v>
      </c>
      <c r="C6" s="773">
        <v>7</v>
      </c>
      <c r="D6" s="753">
        <v>2021</v>
      </c>
      <c r="E6" s="805"/>
      <c r="F6" s="741">
        <f>Elect!J10</f>
        <v>5357</v>
      </c>
      <c r="G6" s="741">
        <f>Elect!K10</f>
        <v>3233</v>
      </c>
      <c r="H6" s="741">
        <f>Elect!Q10</f>
        <v>540</v>
      </c>
      <c r="I6" s="741">
        <f>Elect!S10</f>
        <v>136</v>
      </c>
      <c r="J6" s="741">
        <f>Elect!U10</f>
        <v>271</v>
      </c>
      <c r="K6" s="741">
        <f>Elect!W10</f>
        <v>2312.3900000000003</v>
      </c>
      <c r="L6" s="741">
        <f>Elect!Y10</f>
        <v>3746.57</v>
      </c>
      <c r="M6" s="741">
        <f>Elect!AA10</f>
        <v>0</v>
      </c>
      <c r="N6" s="741">
        <f>Elect!AC10</f>
        <v>0</v>
      </c>
      <c r="O6" s="741">
        <f>Elect!AE10</f>
        <v>11.66</v>
      </c>
      <c r="P6" s="741">
        <f>Elect!AG10</f>
        <v>1597.95</v>
      </c>
      <c r="Q6" s="741">
        <f>Elect!AI10</f>
        <v>1063.71</v>
      </c>
      <c r="R6" s="741">
        <f>Elect!AK10</f>
        <v>3620.4300000000003</v>
      </c>
      <c r="S6" s="741">
        <f>Elect!AM10</f>
        <v>160.59</v>
      </c>
      <c r="T6" s="741">
        <f>Elect!AP10</f>
        <v>199.125</v>
      </c>
      <c r="U6" s="741">
        <f>Elect!AR10</f>
        <v>240</v>
      </c>
      <c r="V6" s="741">
        <f>Elect!AT10</f>
        <v>163</v>
      </c>
      <c r="W6" s="741">
        <f>Elect!AV10</f>
        <v>45</v>
      </c>
      <c r="X6" s="741">
        <f>Elect!AX10</f>
        <v>1055</v>
      </c>
      <c r="Y6" s="741">
        <f>Elect!AZ10</f>
        <v>65</v>
      </c>
      <c r="Z6" s="741">
        <f>Elect!BB10</f>
        <v>4864</v>
      </c>
      <c r="AA6" s="741">
        <f>Elect!BD10</f>
        <v>198</v>
      </c>
      <c r="AB6" s="741">
        <f>Elect!BF10</f>
        <v>112</v>
      </c>
      <c r="AC6" s="741">
        <f>Elect!BH10</f>
        <v>6638.55</v>
      </c>
      <c r="AD6" s="741">
        <f>Elect!BL10</f>
        <v>61</v>
      </c>
      <c r="AE6" s="741">
        <f>Elect!BN10</f>
        <v>1</v>
      </c>
      <c r="AF6" s="741">
        <f>Elect!BP10</f>
        <v>0</v>
      </c>
      <c r="AG6" s="741">
        <f>Elect!BR10</f>
        <v>0</v>
      </c>
      <c r="AH6" s="805"/>
      <c r="AI6" s="741">
        <f>Water!C11</f>
        <v>249.39999999999998</v>
      </c>
      <c r="AJ6" s="741">
        <f>Water!E11</f>
        <v>0</v>
      </c>
      <c r="AK6" s="741">
        <f>Water!G11</f>
        <v>65.539999999999992</v>
      </c>
      <c r="AL6" s="805"/>
      <c r="AM6" s="741">
        <f>Gas!C11</f>
        <v>754.72</v>
      </c>
      <c r="AN6" s="741">
        <f>Gas!E11</f>
        <v>163.79999999999998</v>
      </c>
      <c r="AO6" s="741">
        <f>Gas!G11</f>
        <v>38</v>
      </c>
      <c r="AP6" s="748">
        <v>178</v>
      </c>
    </row>
    <row r="7" spans="1:42" ht="12.75" customHeight="1">
      <c r="A7" s="754" t="s">
        <v>11</v>
      </c>
      <c r="B7" s="732">
        <f t="shared" si="0"/>
        <v>6</v>
      </c>
      <c r="C7" s="773">
        <v>7</v>
      </c>
      <c r="D7" s="753">
        <v>2021</v>
      </c>
      <c r="E7" s="805"/>
      <c r="F7" s="741">
        <f>Elect!J11</f>
        <v>5538</v>
      </c>
      <c r="G7" s="741">
        <f>Elect!K11</f>
        <v>3491</v>
      </c>
      <c r="H7" s="741">
        <f>Elect!Q11</f>
        <v>540</v>
      </c>
      <c r="I7" s="741">
        <f>Elect!S11</f>
        <v>136</v>
      </c>
      <c r="J7" s="741">
        <f>Elect!U11</f>
        <v>267</v>
      </c>
      <c r="K7" s="741">
        <f>Elect!W11</f>
        <v>2644.17</v>
      </c>
      <c r="L7" s="741">
        <f>Elect!Y11</f>
        <v>3925.1800000000003</v>
      </c>
      <c r="M7" s="741">
        <f>Elect!AA11</f>
        <v>0</v>
      </c>
      <c r="N7" s="741">
        <f>Elect!AC11</f>
        <v>0</v>
      </c>
      <c r="O7" s="741">
        <f>Elect!AE11</f>
        <v>11.13</v>
      </c>
      <c r="P7" s="741">
        <f>Elect!AG11</f>
        <v>1662.0800000000002</v>
      </c>
      <c r="Q7" s="741">
        <f>Elect!AI11</f>
        <v>1041.45</v>
      </c>
      <c r="R7" s="741">
        <f>Elect!AK11</f>
        <v>3857.34</v>
      </c>
      <c r="S7" s="741">
        <f>Elect!AM11</f>
        <v>161.65</v>
      </c>
      <c r="T7" s="741">
        <f>Elect!AP11</f>
        <v>204.63750000000002</v>
      </c>
      <c r="U7" s="741">
        <f>Elect!AR11</f>
        <v>165</v>
      </c>
      <c r="V7" s="741">
        <f>Elect!AT11</f>
        <v>152</v>
      </c>
      <c r="W7" s="741">
        <f>Elect!AV11</f>
        <v>60</v>
      </c>
      <c r="X7" s="741">
        <f>Elect!AX11</f>
        <v>1096</v>
      </c>
      <c r="Y7" s="741">
        <f>Elect!AZ11</f>
        <v>55</v>
      </c>
      <c r="Z7" s="741">
        <f>Elect!BB11</f>
        <v>4983</v>
      </c>
      <c r="AA7" s="741">
        <f>Elect!BD11</f>
        <v>199</v>
      </c>
      <c r="AB7" s="741">
        <f>Elect!BF11</f>
        <v>111</v>
      </c>
      <c r="AC7" s="741">
        <f>Elect!BH11</f>
        <v>5929.5</v>
      </c>
      <c r="AD7" s="741">
        <f>Elect!BL11</f>
        <v>58</v>
      </c>
      <c r="AE7" s="741">
        <f>Elect!BN11</f>
        <v>1525</v>
      </c>
      <c r="AF7" s="741">
        <f>Elect!BP11</f>
        <v>105</v>
      </c>
      <c r="AG7" s="741">
        <f>Elect!BR11</f>
        <v>202</v>
      </c>
      <c r="AH7" s="805"/>
      <c r="AI7" s="741">
        <f>Water!C12</f>
        <v>243.6</v>
      </c>
      <c r="AJ7" s="741">
        <f>Water!E12</f>
        <v>0</v>
      </c>
      <c r="AK7" s="741">
        <f>Water!G12</f>
        <v>69.599999999999994</v>
      </c>
      <c r="AL7" s="805"/>
      <c r="AM7" s="741">
        <f>Gas!C12</f>
        <v>755.78000000000009</v>
      </c>
      <c r="AN7" s="741">
        <f>Gas!E12</f>
        <v>200.2</v>
      </c>
      <c r="AO7" s="741">
        <f>Gas!G12</f>
        <v>92</v>
      </c>
      <c r="AP7" s="748">
        <v>178</v>
      </c>
    </row>
    <row r="8" spans="1:42" ht="12.75" customHeight="1">
      <c r="A8" s="754" t="s">
        <v>11</v>
      </c>
      <c r="B8" s="732">
        <f t="shared" si="0"/>
        <v>7</v>
      </c>
      <c r="C8" s="773">
        <v>7</v>
      </c>
      <c r="D8" s="753">
        <v>2021</v>
      </c>
      <c r="E8" s="805"/>
      <c r="F8" s="741">
        <f>Elect!J12</f>
        <v>5916</v>
      </c>
      <c r="G8" s="741">
        <f>Elect!K12</f>
        <v>3810</v>
      </c>
      <c r="H8" s="741">
        <f>Elect!Q12</f>
        <v>540</v>
      </c>
      <c r="I8" s="741">
        <f>Elect!S12</f>
        <v>142</v>
      </c>
      <c r="J8" s="741">
        <f>Elect!U12</f>
        <v>283</v>
      </c>
      <c r="K8" s="741">
        <f>Elect!W12</f>
        <v>2751.23</v>
      </c>
      <c r="L8" s="741">
        <f>Elect!Y12</f>
        <v>3486.34</v>
      </c>
      <c r="M8" s="741">
        <f>Elect!AA12</f>
        <v>106.53</v>
      </c>
      <c r="N8" s="741">
        <f>Elect!AC12</f>
        <v>0</v>
      </c>
      <c r="O8" s="741">
        <f>Elect!AE12</f>
        <v>840.05000000000007</v>
      </c>
      <c r="P8" s="741">
        <f>Elect!AG12</f>
        <v>1772.8500000000001</v>
      </c>
      <c r="Q8" s="741">
        <f>Elect!AI12</f>
        <v>1188.26</v>
      </c>
      <c r="R8" s="741">
        <f>Elect!AK12</f>
        <v>3997.26</v>
      </c>
      <c r="S8" s="741">
        <f>Elect!AM12</f>
        <v>152.11000000000001</v>
      </c>
      <c r="T8" s="741">
        <f>Elect!AP12</f>
        <v>190.01250000000002</v>
      </c>
      <c r="U8" s="741">
        <f>Elect!AR12</f>
        <v>227</v>
      </c>
      <c r="V8" s="741">
        <f>Elect!AT12</f>
        <v>156</v>
      </c>
      <c r="W8" s="741">
        <f>Elect!AV12</f>
        <v>63</v>
      </c>
      <c r="X8" s="741">
        <f>Elect!AX12</f>
        <v>1124</v>
      </c>
      <c r="Y8" s="741">
        <f>Elect!AZ12</f>
        <v>56</v>
      </c>
      <c r="Z8" s="741">
        <f>Elect!BB12</f>
        <v>4997</v>
      </c>
      <c r="AA8" s="741">
        <f>Elect!BD12</f>
        <v>199</v>
      </c>
      <c r="AB8" s="741">
        <f>Elect!BF12</f>
        <v>109</v>
      </c>
      <c r="AC8" s="741">
        <f>Elect!BH12</f>
        <v>6321.75</v>
      </c>
      <c r="AD8" s="741">
        <f>Elect!BL12</f>
        <v>59</v>
      </c>
      <c r="AE8" s="741">
        <f>Elect!BN12</f>
        <v>1535</v>
      </c>
      <c r="AF8" s="741">
        <f>Elect!BP12</f>
        <v>110</v>
      </c>
      <c r="AG8" s="741">
        <f>Elect!BR12</f>
        <v>211</v>
      </c>
      <c r="AH8" s="805"/>
      <c r="AI8" s="741">
        <f>Water!C13</f>
        <v>191.39999999999998</v>
      </c>
      <c r="AJ8" s="741">
        <f>Water!E13</f>
        <v>0</v>
      </c>
      <c r="AK8" s="741">
        <f>Water!G13</f>
        <v>98.02</v>
      </c>
      <c r="AL8" s="805"/>
      <c r="AM8" s="741">
        <f>Gas!C13</f>
        <v>754.72</v>
      </c>
      <c r="AN8" s="741">
        <f>Gas!E13</f>
        <v>200.2</v>
      </c>
      <c r="AO8" s="741">
        <f>Gas!G13</f>
        <v>96</v>
      </c>
      <c r="AP8" s="748">
        <v>178</v>
      </c>
    </row>
    <row r="9" spans="1:42" ht="12.75" customHeight="1">
      <c r="A9" s="754" t="s">
        <v>11</v>
      </c>
      <c r="B9" s="732">
        <f t="shared" si="0"/>
        <v>8</v>
      </c>
      <c r="C9" s="773">
        <v>7</v>
      </c>
      <c r="D9" s="753">
        <v>2021</v>
      </c>
      <c r="E9" s="805"/>
      <c r="F9" s="741">
        <f>Elect!J13</f>
        <v>5534</v>
      </c>
      <c r="G9" s="741">
        <f>Elect!K13</f>
        <v>3399</v>
      </c>
      <c r="H9" s="741">
        <f>Elect!Q13</f>
        <v>540</v>
      </c>
      <c r="I9" s="741">
        <f>Elect!S13</f>
        <v>140</v>
      </c>
      <c r="J9" s="741">
        <f>Elect!U13</f>
        <v>281</v>
      </c>
      <c r="K9" s="741">
        <f>Elect!W13</f>
        <v>2934.08</v>
      </c>
      <c r="L9" s="741">
        <f>Elect!Y13</f>
        <v>2004.46</v>
      </c>
      <c r="M9" s="741">
        <f>Elect!AA13</f>
        <v>2719.4300000000003</v>
      </c>
      <c r="N9" s="741">
        <f>Elect!AC13</f>
        <v>0</v>
      </c>
      <c r="O9" s="741">
        <f>Elect!AE13</f>
        <v>11.66</v>
      </c>
      <c r="P9" s="741">
        <f>Elect!AG13</f>
        <v>1816.8400000000001</v>
      </c>
      <c r="Q9" s="741">
        <f>Elect!AI13</f>
        <v>1143.74</v>
      </c>
      <c r="R9" s="741">
        <f>Elect!AK13</f>
        <v>4161.0300000000007</v>
      </c>
      <c r="S9" s="741">
        <f>Elect!AM13</f>
        <v>188.68</v>
      </c>
      <c r="T9" s="741">
        <f>Elect!AP13</f>
        <v>199.35</v>
      </c>
      <c r="U9" s="741">
        <f>Elect!AR13</f>
        <v>203</v>
      </c>
      <c r="V9" s="741">
        <f>Elect!AT13</f>
        <v>149</v>
      </c>
      <c r="W9" s="741">
        <f>Elect!AV13</f>
        <v>53</v>
      </c>
      <c r="X9" s="741">
        <f>Elect!AX13</f>
        <v>985</v>
      </c>
      <c r="Y9" s="741">
        <f>Elect!AZ13</f>
        <v>74</v>
      </c>
      <c r="Z9" s="741">
        <f>Elect!BB13</f>
        <v>4476</v>
      </c>
      <c r="AA9" s="741">
        <f>Elect!BD13</f>
        <v>182</v>
      </c>
      <c r="AB9" s="741">
        <f>Elect!BF13</f>
        <v>131</v>
      </c>
      <c r="AC9" s="741">
        <f>Elect!BH13</f>
        <v>5672.8</v>
      </c>
      <c r="AD9" s="741">
        <f>Elect!BL13</f>
        <v>60</v>
      </c>
      <c r="AE9" s="741">
        <f>Elect!BN13</f>
        <v>1461</v>
      </c>
      <c r="AF9" s="741">
        <f>Elect!BP13</f>
        <v>115</v>
      </c>
      <c r="AG9" s="741">
        <f>Elect!BR13</f>
        <v>209</v>
      </c>
      <c r="AH9" s="805"/>
      <c r="AI9" s="741">
        <f>Water!C14</f>
        <v>185.6</v>
      </c>
      <c r="AJ9" s="741">
        <f>Water!E14</f>
        <v>0</v>
      </c>
      <c r="AK9" s="741">
        <f>Water!G14</f>
        <v>172.26</v>
      </c>
      <c r="AL9" s="805"/>
      <c r="AM9" s="741">
        <f>Gas!C14</f>
        <v>755.78000000000009</v>
      </c>
      <c r="AN9" s="741">
        <f>Gas!E14</f>
        <v>200.2</v>
      </c>
      <c r="AO9" s="741">
        <f>Gas!G14</f>
        <v>85</v>
      </c>
      <c r="AP9" s="748">
        <v>178</v>
      </c>
    </row>
    <row r="10" spans="1:42" ht="12.75" customHeight="1">
      <c r="A10" s="754" t="s">
        <v>11</v>
      </c>
      <c r="B10" s="732">
        <f t="shared" si="0"/>
        <v>9</v>
      </c>
      <c r="C10" s="773">
        <v>7</v>
      </c>
      <c r="D10" s="753">
        <v>2021</v>
      </c>
      <c r="E10" s="805"/>
      <c r="F10" s="741">
        <f>Elect!J14</f>
        <v>6464</v>
      </c>
      <c r="G10" s="741">
        <f>Elect!K14</f>
        <v>3403</v>
      </c>
      <c r="H10" s="741">
        <f>Elect!Q14</f>
        <v>540</v>
      </c>
      <c r="I10" s="741">
        <f>Elect!S14</f>
        <v>136</v>
      </c>
      <c r="J10" s="741">
        <f>Elect!U14</f>
        <v>272</v>
      </c>
      <c r="K10" s="741">
        <f>Elect!W14</f>
        <v>2679.6800000000003</v>
      </c>
      <c r="L10" s="741">
        <f>Elect!Y14</f>
        <v>0</v>
      </c>
      <c r="M10" s="741">
        <f>Elect!AA14</f>
        <v>3938.96</v>
      </c>
      <c r="N10" s="741">
        <f>Elect!AC14</f>
        <v>0</v>
      </c>
      <c r="O10" s="741">
        <f>Elect!AE14</f>
        <v>11.13</v>
      </c>
      <c r="P10" s="741">
        <f>Elect!AG14</f>
        <v>1765.96</v>
      </c>
      <c r="Q10" s="741">
        <f>Elect!AI14</f>
        <v>1142.1500000000001</v>
      </c>
      <c r="R10" s="741">
        <f>Elect!AK14</f>
        <v>4385.22</v>
      </c>
      <c r="S10" s="741">
        <f>Elect!AM14</f>
        <v>166.42000000000002</v>
      </c>
      <c r="T10" s="741">
        <f>Elect!AP14</f>
        <v>195.07500000000002</v>
      </c>
      <c r="U10" s="741">
        <f>Elect!AR14</f>
        <v>307</v>
      </c>
      <c r="V10" s="741">
        <f>Elect!AT14</f>
        <v>150</v>
      </c>
      <c r="W10" s="741">
        <f>Elect!AV14</f>
        <v>31</v>
      </c>
      <c r="X10" s="741">
        <f>Elect!AX14</f>
        <v>965</v>
      </c>
      <c r="Y10" s="741">
        <f>Elect!AZ14</f>
        <v>72</v>
      </c>
      <c r="Z10" s="741">
        <f>Elect!BB14</f>
        <v>4470</v>
      </c>
      <c r="AA10" s="741">
        <f>Elect!BD14</f>
        <v>184</v>
      </c>
      <c r="AB10" s="741">
        <f>Elect!BF14</f>
        <v>131</v>
      </c>
      <c r="AC10" s="741">
        <f>Elect!BH14</f>
        <v>5414.1</v>
      </c>
      <c r="AD10" s="741">
        <f>Elect!BL14</f>
        <v>58</v>
      </c>
      <c r="AE10" s="741">
        <f>Elect!BN14</f>
        <v>1392</v>
      </c>
      <c r="AF10" s="741">
        <f>Elect!BP14</f>
        <v>110</v>
      </c>
      <c r="AG10" s="741">
        <f>Elect!BR14</f>
        <v>205</v>
      </c>
      <c r="AH10" s="805"/>
      <c r="AI10" s="741">
        <f>Water!C15</f>
        <v>191.39999999999998</v>
      </c>
      <c r="AJ10" s="741">
        <f>Water!E15</f>
        <v>0</v>
      </c>
      <c r="AK10" s="741">
        <f>Water!G15</f>
        <v>122.96</v>
      </c>
      <c r="AL10" s="805"/>
      <c r="AM10" s="741">
        <f>Gas!C15</f>
        <v>754.72</v>
      </c>
      <c r="AN10" s="741">
        <f>Gas!E15</f>
        <v>228.2</v>
      </c>
      <c r="AO10" s="741">
        <f>Gas!G15</f>
        <v>60</v>
      </c>
      <c r="AP10" s="748">
        <v>178</v>
      </c>
    </row>
    <row r="11" spans="1:42" ht="12.75" customHeight="1">
      <c r="A11" s="754" t="s">
        <v>11</v>
      </c>
      <c r="B11" s="732">
        <f t="shared" si="0"/>
        <v>10</v>
      </c>
      <c r="C11" s="773">
        <v>7</v>
      </c>
      <c r="D11" s="753">
        <v>2021</v>
      </c>
      <c r="E11" s="805"/>
      <c r="F11" s="741">
        <f>Elect!J15</f>
        <v>4481</v>
      </c>
      <c r="G11" s="741">
        <f>Elect!K15</f>
        <v>4377</v>
      </c>
      <c r="H11" s="741">
        <f>Elect!Q15</f>
        <v>510</v>
      </c>
      <c r="I11" s="741">
        <f>Elect!S15</f>
        <v>144</v>
      </c>
      <c r="J11" s="741">
        <f>Elect!U15</f>
        <v>291</v>
      </c>
      <c r="K11" s="741">
        <f>Elect!W15</f>
        <v>3034.25</v>
      </c>
      <c r="L11" s="741">
        <f>Elect!Y15</f>
        <v>0</v>
      </c>
      <c r="M11" s="741">
        <f>Elect!AA15</f>
        <v>4044.96</v>
      </c>
      <c r="N11" s="741">
        <f>Elect!AC15</f>
        <v>0</v>
      </c>
      <c r="O11" s="741">
        <f>Elect!AE15</f>
        <v>961.42000000000007</v>
      </c>
      <c r="P11" s="741">
        <f>Elect!AG15</f>
        <v>873.97</v>
      </c>
      <c r="Q11" s="741">
        <f>Elect!AI15</f>
        <v>1146.92</v>
      </c>
      <c r="R11" s="741">
        <f>Elect!AK15</f>
        <v>4417.0200000000004</v>
      </c>
      <c r="S11" s="741">
        <f>Elect!AM15</f>
        <v>167.48000000000002</v>
      </c>
      <c r="T11" s="741">
        <f>Elect!AP15</f>
        <v>187.98750000000001</v>
      </c>
      <c r="U11" s="741">
        <f>Elect!AR15</f>
        <v>228</v>
      </c>
      <c r="V11" s="741">
        <f>Elect!AT15</f>
        <v>152</v>
      </c>
      <c r="W11" s="741">
        <f>Elect!AV15</f>
        <v>37</v>
      </c>
      <c r="X11" s="741">
        <f>Elect!AX15</f>
        <v>966</v>
      </c>
      <c r="Y11" s="741">
        <f>Elect!AZ15</f>
        <v>77</v>
      </c>
      <c r="Z11" s="741">
        <f>Elect!BB15</f>
        <v>4608</v>
      </c>
      <c r="AA11" s="741">
        <f>Elect!BD15</f>
        <v>191</v>
      </c>
      <c r="AB11" s="741">
        <f>Elect!BF15</f>
        <v>131</v>
      </c>
      <c r="AC11" s="741">
        <f>Elect!BH15</f>
        <v>5897.45</v>
      </c>
      <c r="AD11" s="741">
        <f>Elect!BL15</f>
        <v>61</v>
      </c>
      <c r="AE11" s="741">
        <f>Elect!BN15</f>
        <v>1508</v>
      </c>
      <c r="AF11" s="741">
        <f>Elect!BP15</f>
        <v>111</v>
      </c>
      <c r="AG11" s="741">
        <f>Elect!BR15</f>
        <v>216</v>
      </c>
      <c r="AH11" s="805"/>
      <c r="AI11" s="741">
        <f>Water!C16</f>
        <v>185.6</v>
      </c>
      <c r="AJ11" s="741">
        <f>Water!E16</f>
        <v>0</v>
      </c>
      <c r="AK11" s="741">
        <f>Water!G16</f>
        <v>73.66</v>
      </c>
      <c r="AL11" s="805"/>
      <c r="AM11" s="741">
        <f>Gas!C16</f>
        <v>755.78000000000009</v>
      </c>
      <c r="AN11" s="741">
        <f>Gas!E16</f>
        <v>186.2</v>
      </c>
      <c r="AO11" s="741">
        <f>Gas!G16</f>
        <v>71</v>
      </c>
      <c r="AP11" s="748">
        <v>178</v>
      </c>
    </row>
    <row r="12" spans="1:42" ht="12.75" customHeight="1">
      <c r="A12" s="754" t="s">
        <v>11</v>
      </c>
      <c r="B12" s="732">
        <f t="shared" si="0"/>
        <v>11</v>
      </c>
      <c r="C12" s="773">
        <v>7</v>
      </c>
      <c r="D12" s="753">
        <v>2021</v>
      </c>
      <c r="E12" s="805"/>
      <c r="F12" s="741">
        <f>Elect!J16</f>
        <v>5145</v>
      </c>
      <c r="G12" s="741">
        <f>Elect!K16</f>
        <v>3405</v>
      </c>
      <c r="H12" s="741">
        <f>Elect!Q16</f>
        <v>510</v>
      </c>
      <c r="I12" s="741">
        <f>Elect!S16</f>
        <v>132</v>
      </c>
      <c r="J12" s="741">
        <f>Elect!U16</f>
        <v>267</v>
      </c>
      <c r="K12" s="741">
        <f>Elect!W16</f>
        <v>2618.2000000000003</v>
      </c>
      <c r="L12" s="741">
        <f>Elect!Y16</f>
        <v>1272.53</v>
      </c>
      <c r="M12" s="741">
        <f>Elect!AA16</f>
        <v>3853.63</v>
      </c>
      <c r="N12" s="741">
        <f>Elect!AC16</f>
        <v>0</v>
      </c>
      <c r="O12" s="741">
        <f>Elect!AE16</f>
        <v>1755.3600000000001</v>
      </c>
      <c r="P12" s="741">
        <f>Elect!AG16</f>
        <v>10.600000000000001</v>
      </c>
      <c r="Q12" s="741">
        <f>Elect!AI16</f>
        <v>1158.05</v>
      </c>
      <c r="R12" s="741">
        <f>Elect!AK16</f>
        <v>4269.1500000000005</v>
      </c>
      <c r="S12" s="741">
        <f>Elect!AM16</f>
        <v>169.07000000000002</v>
      </c>
      <c r="T12" s="741">
        <f>Elect!AP16</f>
        <v>196.08750000000001</v>
      </c>
      <c r="U12" s="741">
        <f>Elect!AR16</f>
        <v>263</v>
      </c>
      <c r="V12" s="741">
        <f>Elect!AT16</f>
        <v>161</v>
      </c>
      <c r="W12" s="741">
        <f>Elect!AV16</f>
        <v>59</v>
      </c>
      <c r="X12" s="741">
        <f>Elect!AX16</f>
        <v>976</v>
      </c>
      <c r="Y12" s="741">
        <f>Elect!AZ16</f>
        <v>71</v>
      </c>
      <c r="Z12" s="741">
        <f>Elect!BB16</f>
        <v>4594</v>
      </c>
      <c r="AA12" s="741">
        <f>Elect!BD16</f>
        <v>181</v>
      </c>
      <c r="AB12" s="741">
        <f>Elect!BF16</f>
        <v>109</v>
      </c>
      <c r="AC12" s="741">
        <f>Elect!BH16</f>
        <v>5717.75</v>
      </c>
      <c r="AD12" s="741">
        <f>Elect!BL16</f>
        <v>59</v>
      </c>
      <c r="AE12" s="741">
        <f>Elect!BN16</f>
        <v>1524</v>
      </c>
      <c r="AF12" s="741">
        <f>Elect!BP16</f>
        <v>101</v>
      </c>
      <c r="AG12" s="741">
        <f>Elect!BR16</f>
        <v>204</v>
      </c>
      <c r="AH12" s="805"/>
      <c r="AI12" s="741">
        <f>Water!C17</f>
        <v>220.39999999999998</v>
      </c>
      <c r="AJ12" s="741">
        <f>Water!E17</f>
        <v>0</v>
      </c>
      <c r="AK12" s="741">
        <f>Water!G17</f>
        <v>72.5</v>
      </c>
      <c r="AL12" s="805"/>
      <c r="AM12" s="741">
        <f>Gas!C17</f>
        <v>771.68000000000006</v>
      </c>
      <c r="AN12" s="741">
        <f>Gas!E17</f>
        <v>367.5</v>
      </c>
      <c r="AO12" s="741">
        <f>Gas!G17</f>
        <v>147</v>
      </c>
      <c r="AP12" s="748">
        <v>178</v>
      </c>
    </row>
    <row r="13" spans="1:42" ht="12.75" customHeight="1">
      <c r="A13" s="754" t="s">
        <v>11</v>
      </c>
      <c r="B13" s="732">
        <f t="shared" si="0"/>
        <v>12</v>
      </c>
      <c r="C13" s="773">
        <v>7</v>
      </c>
      <c r="D13" s="753">
        <v>2021</v>
      </c>
      <c r="E13" s="805"/>
      <c r="F13" s="741">
        <f>Elect!J17</f>
        <v>5172</v>
      </c>
      <c r="G13" s="741">
        <f>Elect!K17</f>
        <v>3251</v>
      </c>
      <c r="H13" s="741">
        <f>Elect!Q17</f>
        <v>480</v>
      </c>
      <c r="I13" s="741">
        <f>Elect!S17</f>
        <v>137</v>
      </c>
      <c r="J13" s="741">
        <f>Elect!U17</f>
        <v>275</v>
      </c>
      <c r="K13" s="741">
        <f>Elect!W17</f>
        <v>2325.6400000000003</v>
      </c>
      <c r="L13" s="741">
        <f>Elect!Y17</f>
        <v>2282.71</v>
      </c>
      <c r="M13" s="741">
        <f>Elect!AA17</f>
        <v>3308.26</v>
      </c>
      <c r="N13" s="741">
        <f>Elect!AC17</f>
        <v>0</v>
      </c>
      <c r="O13" s="741">
        <f>Elect!AE17</f>
        <v>1812.6000000000001</v>
      </c>
      <c r="P13" s="741">
        <f>Elect!AG17</f>
        <v>10.600000000000001</v>
      </c>
      <c r="Q13" s="741">
        <f>Elect!AI17</f>
        <v>1129.96</v>
      </c>
      <c r="R13" s="741">
        <f>Elect!AK17</f>
        <v>4438.22</v>
      </c>
      <c r="S13" s="741">
        <f>Elect!AM17</f>
        <v>164.83</v>
      </c>
      <c r="T13" s="741">
        <f>Elect!AP17</f>
        <v>196.76250000000002</v>
      </c>
      <c r="U13" s="741">
        <f>Elect!AR17</f>
        <v>172</v>
      </c>
      <c r="V13" s="741">
        <f>Elect!AT17</f>
        <v>154</v>
      </c>
      <c r="W13" s="741">
        <f>Elect!AV17</f>
        <v>63</v>
      </c>
      <c r="X13" s="741">
        <f>Elect!AX17</f>
        <v>971</v>
      </c>
      <c r="Y13" s="741">
        <f>Elect!AZ17</f>
        <v>74</v>
      </c>
      <c r="Z13" s="741">
        <f>Elect!BB17</f>
        <v>4609</v>
      </c>
      <c r="AA13" s="741">
        <f>Elect!BD17</f>
        <v>176</v>
      </c>
      <c r="AB13" s="741">
        <f>Elect!BF17</f>
        <v>111</v>
      </c>
      <c r="AC13" s="741">
        <f>Elect!BH17</f>
        <v>5871.6500000000005</v>
      </c>
      <c r="AD13" s="741">
        <f>Elect!BL17</f>
        <v>57</v>
      </c>
      <c r="AE13" s="741">
        <f>Elect!BN17</f>
        <v>1636</v>
      </c>
      <c r="AF13" s="741">
        <f>Elect!BP17</f>
        <v>107</v>
      </c>
      <c r="AG13" s="741">
        <f>Elect!BR17</f>
        <v>205</v>
      </c>
      <c r="AH13" s="805"/>
      <c r="AI13" s="741">
        <f>Water!C18</f>
        <v>104.39999999999999</v>
      </c>
      <c r="AJ13" s="741">
        <f>Water!E18</f>
        <v>0</v>
      </c>
      <c r="AK13" s="741">
        <f>Water!G18</f>
        <v>56.26</v>
      </c>
      <c r="AL13" s="805"/>
      <c r="AM13" s="741">
        <f>Gas!C18</f>
        <v>705.96</v>
      </c>
      <c r="AN13" s="741">
        <f>Gas!E18</f>
        <v>229.6</v>
      </c>
      <c r="AO13" s="741">
        <f>Gas!G18</f>
        <v>71</v>
      </c>
      <c r="AP13" s="748">
        <v>178</v>
      </c>
    </row>
    <row r="14" spans="1:42" ht="12.75" customHeight="1">
      <c r="A14" s="754" t="s">
        <v>11</v>
      </c>
      <c r="B14" s="732">
        <f t="shared" si="0"/>
        <v>13</v>
      </c>
      <c r="C14" s="773">
        <v>7</v>
      </c>
      <c r="D14" s="753">
        <v>2021</v>
      </c>
      <c r="E14" s="805"/>
      <c r="F14" s="741">
        <f>Elect!J18</f>
        <v>5485</v>
      </c>
      <c r="G14" s="741">
        <f>Elect!K18</f>
        <v>3433</v>
      </c>
      <c r="H14" s="741">
        <f>Elect!Q18</f>
        <v>450</v>
      </c>
      <c r="I14" s="741">
        <f>Elect!S18</f>
        <v>140</v>
      </c>
      <c r="J14" s="741">
        <f>Elect!U18</f>
        <v>281</v>
      </c>
      <c r="K14" s="741">
        <f>Elect!W18</f>
        <v>2241.9</v>
      </c>
      <c r="L14" s="741">
        <f>Elect!Y18</f>
        <v>3116.9300000000003</v>
      </c>
      <c r="M14" s="741">
        <f>Elect!AA18</f>
        <v>2307.62</v>
      </c>
      <c r="N14" s="741">
        <f>Elect!AC18</f>
        <v>0</v>
      </c>
      <c r="O14" s="741">
        <f>Elect!AE18</f>
        <v>1797.23</v>
      </c>
      <c r="P14" s="741">
        <f>Elect!AG18</f>
        <v>10.600000000000001</v>
      </c>
      <c r="Q14" s="741">
        <f>Elect!AI18</f>
        <v>1179.25</v>
      </c>
      <c r="R14" s="741">
        <f>Elect!AK18</f>
        <v>4369.8500000000004</v>
      </c>
      <c r="S14" s="741">
        <f>Elect!AM18</f>
        <v>170.13</v>
      </c>
      <c r="T14" s="741">
        <f>Elect!AP18</f>
        <v>191.58750000000001</v>
      </c>
      <c r="U14" s="741">
        <f>Elect!AR18</f>
        <v>194</v>
      </c>
      <c r="V14" s="741">
        <f>Elect!AT18</f>
        <v>166</v>
      </c>
      <c r="W14" s="741">
        <f>Elect!AV18</f>
        <v>60</v>
      </c>
      <c r="X14" s="741">
        <f>Elect!AX18</f>
        <v>941</v>
      </c>
      <c r="Y14" s="741">
        <f>Elect!AZ18</f>
        <v>77</v>
      </c>
      <c r="Z14" s="741">
        <f>Elect!BB18</f>
        <v>5049</v>
      </c>
      <c r="AA14" s="741">
        <f>Elect!BD18</f>
        <v>177</v>
      </c>
      <c r="AB14" s="741">
        <f>Elect!BF18</f>
        <v>122</v>
      </c>
      <c r="AC14" s="741">
        <f>Elect!BH18</f>
        <v>5952.75</v>
      </c>
      <c r="AD14" s="741">
        <f>Elect!BL18</f>
        <v>59</v>
      </c>
      <c r="AE14" s="741">
        <f>Elect!BN18</f>
        <v>1698</v>
      </c>
      <c r="AF14" s="741">
        <f>Elect!BP18</f>
        <v>107</v>
      </c>
      <c r="AG14" s="741">
        <f>Elect!BR18</f>
        <v>212</v>
      </c>
      <c r="AH14" s="805"/>
      <c r="AI14" s="741">
        <f>Water!C19</f>
        <v>272.59999999999997</v>
      </c>
      <c r="AJ14" s="741">
        <f>Water!E19</f>
        <v>0</v>
      </c>
      <c r="AK14" s="741">
        <f>Water!G19</f>
        <v>125.85999999999999</v>
      </c>
      <c r="AL14" s="805"/>
      <c r="AM14" s="741">
        <f>Gas!C19</f>
        <v>804.54000000000008</v>
      </c>
      <c r="AN14" s="741">
        <f>Gas!E19</f>
        <v>177.1</v>
      </c>
      <c r="AO14" s="741">
        <f>Gas!G19</f>
        <v>110</v>
      </c>
      <c r="AP14" s="748">
        <v>178</v>
      </c>
    </row>
    <row r="15" spans="1:42" ht="12.75" customHeight="1">
      <c r="A15" s="754" t="s">
        <v>11</v>
      </c>
      <c r="B15" s="732">
        <f t="shared" si="0"/>
        <v>14</v>
      </c>
      <c r="C15" s="773">
        <v>7</v>
      </c>
      <c r="D15" s="753">
        <v>2021</v>
      </c>
      <c r="E15" s="805"/>
      <c r="F15" s="741">
        <f>Elect!J19</f>
        <v>5584</v>
      </c>
      <c r="G15" s="741">
        <f>Elect!K19</f>
        <v>3559</v>
      </c>
      <c r="H15" s="741">
        <f>Elect!Q19</f>
        <v>510</v>
      </c>
      <c r="I15" s="741">
        <f>Elect!S19</f>
        <v>144</v>
      </c>
      <c r="J15" s="741">
        <f>Elect!U19</f>
        <v>287</v>
      </c>
      <c r="K15" s="741">
        <f>Elect!W19</f>
        <v>2932.4900000000002</v>
      </c>
      <c r="L15" s="741">
        <f>Elect!Y19</f>
        <v>0</v>
      </c>
      <c r="M15" s="741">
        <f>Elect!AA19</f>
        <v>4049.73</v>
      </c>
      <c r="N15" s="741">
        <f>Elect!AC19</f>
        <v>0</v>
      </c>
      <c r="O15" s="741">
        <f>Elect!AE19</f>
        <v>960.8900000000001</v>
      </c>
      <c r="P15" s="741">
        <f>Elect!AG19</f>
        <v>11.13</v>
      </c>
      <c r="Q15" s="741">
        <f>Elect!AI19</f>
        <v>1237.55</v>
      </c>
      <c r="R15" s="741">
        <f>Elect!AK19</f>
        <v>3912.9900000000002</v>
      </c>
      <c r="S15" s="741">
        <f>Elect!AM19</f>
        <v>255.46</v>
      </c>
      <c r="T15" s="741">
        <f>Elect!AP19</f>
        <v>187.53749999999999</v>
      </c>
      <c r="U15" s="741">
        <f>Elect!AR19</f>
        <v>213</v>
      </c>
      <c r="V15" s="741">
        <f>Elect!AT19</f>
        <v>198</v>
      </c>
      <c r="W15" s="741">
        <f>Elect!AV19</f>
        <v>62</v>
      </c>
      <c r="X15" s="741">
        <f>Elect!AX19</f>
        <v>868</v>
      </c>
      <c r="Y15" s="741">
        <f>Elect!AZ19</f>
        <v>77</v>
      </c>
      <c r="Z15" s="741">
        <f>Elect!BB19</f>
        <v>5009</v>
      </c>
      <c r="AA15" s="741">
        <f>Elect!BD19</f>
        <v>175</v>
      </c>
      <c r="AB15" s="741">
        <f>Elect!BF19</f>
        <v>129</v>
      </c>
      <c r="AC15" s="741">
        <f>Elect!BH19</f>
        <v>5945.8499999999995</v>
      </c>
      <c r="AD15" s="741">
        <f>Elect!BL19</f>
        <v>26</v>
      </c>
      <c r="AE15" s="741">
        <f>Elect!BN19</f>
        <v>1598</v>
      </c>
      <c r="AF15" s="741">
        <f>Elect!BP19</f>
        <v>109</v>
      </c>
      <c r="AG15" s="741">
        <f>Elect!BR19</f>
        <v>219</v>
      </c>
      <c r="AH15" s="805"/>
      <c r="AI15" s="741">
        <f>Water!C20</f>
        <v>203</v>
      </c>
      <c r="AJ15" s="741">
        <f>Water!E20</f>
        <v>0</v>
      </c>
      <c r="AK15" s="741">
        <f>Water!G20</f>
        <v>96.279999999999987</v>
      </c>
      <c r="AL15" s="805"/>
      <c r="AM15" s="741">
        <f>Gas!C20</f>
        <v>721.86</v>
      </c>
      <c r="AN15" s="741">
        <f>Gas!E20</f>
        <v>201.6</v>
      </c>
      <c r="AO15" s="741">
        <f>Gas!G20</f>
        <v>67</v>
      </c>
      <c r="AP15" s="748">
        <v>178</v>
      </c>
    </row>
    <row r="16" spans="1:42" ht="12.75" customHeight="1">
      <c r="A16" s="754" t="s">
        <v>11</v>
      </c>
      <c r="B16" s="732">
        <f t="shared" si="0"/>
        <v>15</v>
      </c>
      <c r="C16" s="773">
        <v>7</v>
      </c>
      <c r="D16" s="753">
        <v>2021</v>
      </c>
      <c r="E16" s="805"/>
      <c r="F16" s="741">
        <f>Elect!J20</f>
        <v>5604</v>
      </c>
      <c r="G16" s="741">
        <f>Elect!K20</f>
        <v>3175</v>
      </c>
      <c r="H16" s="741">
        <f>Elect!Q20</f>
        <v>600</v>
      </c>
      <c r="I16" s="741">
        <f>Elect!S20</f>
        <v>149</v>
      </c>
      <c r="J16" s="741">
        <f>Elect!U20</f>
        <v>292</v>
      </c>
      <c r="K16" s="741">
        <f>Elect!W20</f>
        <v>3169.4</v>
      </c>
      <c r="L16" s="741">
        <f>Elect!Y20</f>
        <v>0</v>
      </c>
      <c r="M16" s="741">
        <f>Elect!AA20</f>
        <v>3841.9700000000003</v>
      </c>
      <c r="N16" s="741">
        <f>Elect!AC20</f>
        <v>0</v>
      </c>
      <c r="O16" s="741">
        <f>Elect!AE20</f>
        <v>2243.4900000000002</v>
      </c>
      <c r="P16" s="741">
        <f>Elect!AG20</f>
        <v>13.25</v>
      </c>
      <c r="Q16" s="741">
        <f>Elect!AI20</f>
        <v>1125.72</v>
      </c>
      <c r="R16" s="741">
        <f>Elect!AK20</f>
        <v>3683.5</v>
      </c>
      <c r="S16" s="741">
        <f>Elect!AM20</f>
        <v>163.77000000000001</v>
      </c>
      <c r="T16" s="741">
        <f>Elect!AP20</f>
        <v>191.13750000000002</v>
      </c>
      <c r="U16" s="741">
        <f>Elect!AR20</f>
        <v>206</v>
      </c>
      <c r="V16" s="741">
        <f>Elect!AT20</f>
        <v>206</v>
      </c>
      <c r="W16" s="741">
        <f>Elect!AV20</f>
        <v>63</v>
      </c>
      <c r="X16" s="741">
        <f>Elect!AX20</f>
        <v>838</v>
      </c>
      <c r="Y16" s="741">
        <f>Elect!AZ20</f>
        <v>68</v>
      </c>
      <c r="Z16" s="741">
        <f>Elect!BB20</f>
        <v>5915</v>
      </c>
      <c r="AA16" s="741">
        <f>Elect!BD20</f>
        <v>183</v>
      </c>
      <c r="AB16" s="741">
        <f>Elect!BF20</f>
        <v>46</v>
      </c>
      <c r="AC16" s="741">
        <f>Elect!BH20</f>
        <v>6030.25</v>
      </c>
      <c r="AD16" s="741">
        <f>Elect!BL20</f>
        <v>2</v>
      </c>
      <c r="AE16" s="741">
        <f>Elect!BN20</f>
        <v>1623</v>
      </c>
      <c r="AF16" s="741">
        <f>Elect!BP20</f>
        <v>112</v>
      </c>
      <c r="AG16" s="741">
        <f>Elect!BR20</f>
        <v>226</v>
      </c>
      <c r="AH16" s="805"/>
      <c r="AI16" s="741">
        <f>Water!C21</f>
        <v>208.79999999999998</v>
      </c>
      <c r="AJ16" s="741">
        <f>Water!E21</f>
        <v>0</v>
      </c>
      <c r="AK16" s="741">
        <f>Water!G21</f>
        <v>102.66</v>
      </c>
      <c r="AL16" s="805"/>
      <c r="AM16" s="741">
        <f>Gas!C21</f>
        <v>831.04000000000008</v>
      </c>
      <c r="AN16" s="741">
        <f>Gas!E21</f>
        <v>225.39999999999998</v>
      </c>
      <c r="AO16" s="741">
        <f>Gas!G21</f>
        <v>94</v>
      </c>
      <c r="AP16" s="748">
        <v>178</v>
      </c>
    </row>
    <row r="17" spans="1:42" ht="12.75" customHeight="1">
      <c r="A17" s="754" t="s">
        <v>11</v>
      </c>
      <c r="B17" s="732">
        <f t="shared" si="0"/>
        <v>16</v>
      </c>
      <c r="C17" s="773">
        <v>7</v>
      </c>
      <c r="D17" s="753">
        <v>2021</v>
      </c>
      <c r="E17" s="805"/>
      <c r="F17" s="741">
        <f>Elect!J21</f>
        <v>5599.2285714000463</v>
      </c>
      <c r="G17" s="741">
        <f>Elect!K21</f>
        <v>1723</v>
      </c>
      <c r="H17" s="741">
        <f>Elect!Q21</f>
        <v>540</v>
      </c>
      <c r="I17" s="741">
        <f>Elect!S21</f>
        <v>196</v>
      </c>
      <c r="J17" s="741">
        <f>Elect!U21</f>
        <v>266</v>
      </c>
      <c r="K17" s="741">
        <f>Elect!W21</f>
        <v>3574.32</v>
      </c>
      <c r="L17" s="741">
        <f>Elect!Y21</f>
        <v>216.24</v>
      </c>
      <c r="M17" s="741">
        <f>Elect!AA21</f>
        <v>3745.51</v>
      </c>
      <c r="N17" s="741">
        <f>Elect!AC21</f>
        <v>0</v>
      </c>
      <c r="O17" s="741">
        <f>Elect!AE21</f>
        <v>1557.67</v>
      </c>
      <c r="P17" s="741">
        <f>Elect!AG21</f>
        <v>9.01</v>
      </c>
      <c r="Q17" s="741">
        <f>Elect!AI21</f>
        <v>1083.3200000000002</v>
      </c>
      <c r="R17" s="741">
        <f>Elect!AK21</f>
        <v>4014.2200000000003</v>
      </c>
      <c r="S17" s="741">
        <f>Elect!AM21</f>
        <v>163.24</v>
      </c>
      <c r="T17" s="741">
        <f>Elect!AP21</f>
        <v>33.1875</v>
      </c>
      <c r="U17" s="741">
        <f>Elect!AR21</f>
        <v>189</v>
      </c>
      <c r="V17" s="741">
        <f>Elect!AT21</f>
        <v>150</v>
      </c>
      <c r="W17" s="741">
        <f>Elect!AV21</f>
        <v>37</v>
      </c>
      <c r="X17" s="741">
        <f>Elect!AX21</f>
        <v>834</v>
      </c>
      <c r="Y17" s="741">
        <f>Elect!AZ21</f>
        <v>72</v>
      </c>
      <c r="Z17" s="741">
        <f>Elect!BB21</f>
        <v>5190</v>
      </c>
      <c r="AA17" s="741">
        <f>Elect!BD21</f>
        <v>144</v>
      </c>
      <c r="AB17" s="741">
        <f>Elect!BF21</f>
        <v>182</v>
      </c>
      <c r="AC17" s="741">
        <f>Elect!BH21</f>
        <v>4940.05</v>
      </c>
      <c r="AD17" s="741">
        <f>Elect!BL21</f>
        <v>1</v>
      </c>
      <c r="AE17" s="741">
        <f>Elect!BN21</f>
        <v>1379</v>
      </c>
      <c r="AF17" s="741">
        <f>Elect!BP21</f>
        <v>92</v>
      </c>
      <c r="AG17" s="741">
        <f>Elect!BR21</f>
        <v>182</v>
      </c>
      <c r="AH17" s="805"/>
      <c r="AI17" s="741">
        <f>Water!C22</f>
        <v>203</v>
      </c>
      <c r="AJ17" s="741">
        <f>Water!E22</f>
        <v>0</v>
      </c>
      <c r="AK17" s="741">
        <f>Water!G22</f>
        <v>103.82</v>
      </c>
      <c r="AL17" s="805"/>
      <c r="AM17" s="741">
        <f>Gas!C22</f>
        <v>827.86</v>
      </c>
      <c r="AN17" s="741">
        <f>Gas!E22</f>
        <v>187.6</v>
      </c>
      <c r="AO17" s="741">
        <f>Gas!G22</f>
        <v>88</v>
      </c>
      <c r="AP17" s="748">
        <v>178</v>
      </c>
    </row>
    <row r="18" spans="1:42" ht="12.75" customHeight="1">
      <c r="A18" s="754" t="s">
        <v>11</v>
      </c>
      <c r="B18" s="732">
        <f t="shared" si="0"/>
        <v>17</v>
      </c>
      <c r="C18" s="773">
        <v>7</v>
      </c>
      <c r="D18" s="753">
        <v>2021</v>
      </c>
      <c r="E18" s="805"/>
      <c r="F18" s="741">
        <f>Elect!J22</f>
        <v>5232.7714285999537</v>
      </c>
      <c r="G18" s="741">
        <f>Elect!K22</f>
        <v>4485</v>
      </c>
      <c r="H18" s="741">
        <f>Elect!Q22</f>
        <v>450</v>
      </c>
      <c r="I18" s="741">
        <f>Elect!S22</f>
        <v>108</v>
      </c>
      <c r="J18" s="741">
        <f>Elect!U22</f>
        <v>292</v>
      </c>
      <c r="K18" s="741">
        <f>Elect!W22</f>
        <v>0</v>
      </c>
      <c r="L18" s="741">
        <f>Elect!Y22</f>
        <v>0</v>
      </c>
      <c r="M18" s="741">
        <f>Elect!AA22</f>
        <v>1220.0600000000002</v>
      </c>
      <c r="N18" s="741">
        <f>Elect!AC22</f>
        <v>3334.23</v>
      </c>
      <c r="O18" s="741">
        <f>Elect!AE22</f>
        <v>2197.38</v>
      </c>
      <c r="P18" s="741">
        <f>Elect!AG22</f>
        <v>12.72</v>
      </c>
      <c r="Q18" s="741">
        <f>Elect!AI22</f>
        <v>1373.23</v>
      </c>
      <c r="R18" s="741">
        <f>Elect!AK22</f>
        <v>4449.88</v>
      </c>
      <c r="S18" s="741">
        <f>Elect!AM22</f>
        <v>163.77000000000001</v>
      </c>
      <c r="T18" s="741">
        <f>Elect!AP22</f>
        <v>379.91250000000002</v>
      </c>
      <c r="U18" s="741">
        <f>Elect!AR22</f>
        <v>165</v>
      </c>
      <c r="V18" s="741">
        <f>Elect!AT22</f>
        <v>111</v>
      </c>
      <c r="W18" s="741">
        <f>Elect!AV22</f>
        <v>56</v>
      </c>
      <c r="X18" s="741">
        <f>Elect!AX22</f>
        <v>910</v>
      </c>
      <c r="Y18" s="741">
        <f>Elect!AZ22</f>
        <v>50</v>
      </c>
      <c r="Z18" s="741">
        <f>Elect!BB22</f>
        <v>3402</v>
      </c>
      <c r="AA18" s="741">
        <f>Elect!BD22</f>
        <v>189</v>
      </c>
      <c r="AB18" s="741">
        <f>Elect!BF22</f>
        <v>120</v>
      </c>
      <c r="AC18" s="741">
        <f>Elect!BH22</f>
        <v>6087.2</v>
      </c>
      <c r="AD18" s="741">
        <f>Elect!BL22</f>
        <v>0</v>
      </c>
      <c r="AE18" s="741">
        <f>Elect!BN22</f>
        <v>1674</v>
      </c>
      <c r="AF18" s="741">
        <f>Elect!BP22</f>
        <v>110</v>
      </c>
      <c r="AG18" s="741">
        <f>Elect!BR22</f>
        <v>241</v>
      </c>
      <c r="AH18" s="805"/>
      <c r="AI18" s="741">
        <f>Water!C23</f>
        <v>203</v>
      </c>
      <c r="AJ18" s="741">
        <f>Water!E23</f>
        <v>0</v>
      </c>
      <c r="AK18" s="741">
        <f>Water!G23</f>
        <v>71.339999999999989</v>
      </c>
      <c r="AL18" s="805"/>
      <c r="AM18" s="741">
        <f>Gas!C23</f>
        <v>780.16000000000008</v>
      </c>
      <c r="AN18" s="741">
        <f>Gas!E23</f>
        <v>216.29999999999998</v>
      </c>
      <c r="AO18" s="741">
        <f>Gas!G23</f>
        <v>89</v>
      </c>
      <c r="AP18" s="748">
        <v>178</v>
      </c>
    </row>
    <row r="19" spans="1:42" ht="12.75" customHeight="1">
      <c r="A19" s="754" t="s">
        <v>11</v>
      </c>
      <c r="B19" s="732">
        <f t="shared" si="0"/>
        <v>18</v>
      </c>
      <c r="C19" s="773">
        <v>7</v>
      </c>
      <c r="D19" s="753">
        <v>2021</v>
      </c>
      <c r="E19" s="805"/>
      <c r="F19" s="741">
        <f>Elect!J23</f>
        <v>5699</v>
      </c>
      <c r="G19" s="741">
        <f>Elect!K23</f>
        <v>4539</v>
      </c>
      <c r="H19" s="741">
        <f>Elect!Q23</f>
        <v>690</v>
      </c>
      <c r="I19" s="741">
        <f>Elect!S23</f>
        <v>122</v>
      </c>
      <c r="J19" s="741">
        <f>Elect!U23</f>
        <v>293</v>
      </c>
      <c r="K19" s="741">
        <f>Elect!W23</f>
        <v>1637.2002857142843</v>
      </c>
      <c r="L19" s="741">
        <f>Elect!Y23</f>
        <v>0</v>
      </c>
      <c r="M19" s="741">
        <f>Elect!AA23</f>
        <v>0</v>
      </c>
      <c r="N19" s="741">
        <f>Elect!AC23</f>
        <v>4101.67</v>
      </c>
      <c r="O19" s="741">
        <f>Elect!AE23</f>
        <v>1535.94</v>
      </c>
      <c r="P19" s="741">
        <f>Elect!AG23</f>
        <v>10.07</v>
      </c>
      <c r="Q19" s="741">
        <f>Elect!AI23</f>
        <v>1180.8400000000001</v>
      </c>
      <c r="R19" s="741">
        <f>Elect!AK23</f>
        <v>3682.44</v>
      </c>
      <c r="S19" s="741">
        <f>Elect!AM23</f>
        <v>163.24</v>
      </c>
      <c r="T19" s="741">
        <f>Elect!AP23</f>
        <v>189.45000000000002</v>
      </c>
      <c r="U19" s="741">
        <f>Elect!AR23</f>
        <v>183</v>
      </c>
      <c r="V19" s="741">
        <f>Elect!AT23</f>
        <v>216</v>
      </c>
      <c r="W19" s="741">
        <f>Elect!AV23</f>
        <v>43</v>
      </c>
      <c r="X19" s="741">
        <f>Elect!AX23</f>
        <v>1216</v>
      </c>
      <c r="Y19" s="741">
        <f>Elect!AZ23</f>
        <v>74</v>
      </c>
      <c r="Z19" s="741">
        <f>Elect!BB23</f>
        <v>5558</v>
      </c>
      <c r="AA19" s="741">
        <f>Elect!BD23</f>
        <v>232</v>
      </c>
      <c r="AB19" s="741">
        <f>Elect!BF23</f>
        <v>120</v>
      </c>
      <c r="AC19" s="741">
        <f>Elect!BH23</f>
        <v>6309.8</v>
      </c>
      <c r="AD19" s="741">
        <f>Elect!BL23</f>
        <v>61</v>
      </c>
      <c r="AE19" s="741">
        <f>Elect!BN23</f>
        <v>1812</v>
      </c>
      <c r="AF19" s="741">
        <f>Elect!BP23</f>
        <v>124</v>
      </c>
      <c r="AG19" s="741">
        <f>Elect!BR23</f>
        <v>219</v>
      </c>
      <c r="AH19" s="805"/>
      <c r="AI19" s="741">
        <f>Water!C24</f>
        <v>203</v>
      </c>
      <c r="AJ19" s="741">
        <f>Water!E24</f>
        <v>0</v>
      </c>
      <c r="AK19" s="741">
        <f>Water!G24</f>
        <v>91.059999999999988</v>
      </c>
      <c r="AL19" s="805"/>
      <c r="AM19" s="741">
        <f>Gas!C24</f>
        <v>780.16000000000008</v>
      </c>
      <c r="AN19" s="741">
        <f>Gas!E24</f>
        <v>217</v>
      </c>
      <c r="AO19" s="741">
        <f>Gas!G24</f>
        <v>89</v>
      </c>
      <c r="AP19" s="748">
        <v>178</v>
      </c>
    </row>
    <row r="20" spans="1:42" ht="12.75" customHeight="1">
      <c r="A20" s="754" t="s">
        <v>11</v>
      </c>
      <c r="B20" s="732">
        <f t="shared" si="0"/>
        <v>19</v>
      </c>
      <c r="C20" s="773">
        <v>7</v>
      </c>
      <c r="D20" s="753">
        <v>2021</v>
      </c>
      <c r="E20" s="805"/>
      <c r="F20" s="741">
        <f>Elect!J24</f>
        <v>4962</v>
      </c>
      <c r="G20" s="741">
        <f>Elect!K24</f>
        <v>2948</v>
      </c>
      <c r="H20" s="741">
        <f>Elect!Q24</f>
        <v>540</v>
      </c>
      <c r="I20" s="741">
        <f>Elect!S24</f>
        <v>127</v>
      </c>
      <c r="J20" s="741">
        <f>Elect!U24</f>
        <v>253</v>
      </c>
      <c r="K20" s="741">
        <f>Elect!W24</f>
        <v>3053.2997142857157</v>
      </c>
      <c r="L20" s="741">
        <f>Elect!Y24</f>
        <v>0</v>
      </c>
      <c r="M20" s="741">
        <f>Elect!AA24</f>
        <v>0</v>
      </c>
      <c r="N20" s="741">
        <f>Elect!AC24</f>
        <v>3465.1400000000003</v>
      </c>
      <c r="O20" s="741">
        <f>Elect!AE24</f>
        <v>1622.8600000000001</v>
      </c>
      <c r="P20" s="741">
        <f>Elect!AG24</f>
        <v>10.600000000000001</v>
      </c>
      <c r="Q20" s="741">
        <f>Elect!AI24</f>
        <v>1008.0600000000001</v>
      </c>
      <c r="R20" s="741">
        <f>Elect!AK24</f>
        <v>3204.38</v>
      </c>
      <c r="S20" s="741">
        <f>Elect!AM24</f>
        <v>168.54000000000002</v>
      </c>
      <c r="T20" s="741">
        <f>Elect!AP24</f>
        <v>224.55</v>
      </c>
      <c r="U20" s="741">
        <f>Elect!AR24</f>
        <v>160</v>
      </c>
      <c r="V20" s="741">
        <f>Elect!AT24</f>
        <v>138</v>
      </c>
      <c r="W20" s="741">
        <f>Elect!AV24</f>
        <v>36</v>
      </c>
      <c r="X20" s="741">
        <f>Elect!AX24</f>
        <v>836</v>
      </c>
      <c r="Y20" s="741">
        <f>Elect!AZ24</f>
        <v>69</v>
      </c>
      <c r="Z20" s="741">
        <f>Elect!BB24</f>
        <v>4169</v>
      </c>
      <c r="AA20" s="741">
        <f>Elect!BD24</f>
        <v>182</v>
      </c>
      <c r="AB20" s="741">
        <f>Elect!BF24</f>
        <v>115</v>
      </c>
      <c r="AC20" s="741">
        <f>Elect!BH24</f>
        <v>5007.8500000000004</v>
      </c>
      <c r="AD20" s="741">
        <f>Elect!BL24</f>
        <v>52</v>
      </c>
      <c r="AE20" s="741">
        <f>Elect!BN24</f>
        <v>1390</v>
      </c>
      <c r="AF20" s="741">
        <f>Elect!BP24</f>
        <v>97</v>
      </c>
      <c r="AG20" s="741">
        <f>Elect!BR24</f>
        <v>180</v>
      </c>
      <c r="AH20" s="805"/>
      <c r="AI20" s="741">
        <f>Water!C25</f>
        <v>203</v>
      </c>
      <c r="AJ20" s="741">
        <f>Water!E25</f>
        <v>0</v>
      </c>
      <c r="AK20" s="741">
        <f>Water!G25</f>
        <v>91.64</v>
      </c>
      <c r="AL20" s="805"/>
      <c r="AM20" s="741">
        <f>Gas!C25</f>
        <v>780.16000000000008</v>
      </c>
      <c r="AN20" s="741">
        <f>Gas!E25</f>
        <v>216.29999999999998</v>
      </c>
      <c r="AO20" s="741">
        <f>Gas!G25</f>
        <v>90</v>
      </c>
      <c r="AP20" s="748">
        <v>178</v>
      </c>
    </row>
    <row r="21" spans="1:42" ht="12.75" customHeight="1">
      <c r="A21" s="754" t="s">
        <v>11</v>
      </c>
      <c r="B21" s="732">
        <f t="shared" si="0"/>
        <v>20</v>
      </c>
      <c r="C21" s="773">
        <v>7</v>
      </c>
      <c r="D21" s="753">
        <v>2021</v>
      </c>
      <c r="E21" s="805"/>
      <c r="F21" s="741">
        <f>Elect!J25</f>
        <v>6312</v>
      </c>
      <c r="G21" s="741">
        <f>Elect!K25</f>
        <v>4331</v>
      </c>
      <c r="H21" s="741">
        <f>Elect!Q25</f>
        <v>570</v>
      </c>
      <c r="I21" s="741">
        <f>Elect!S25</f>
        <v>156</v>
      </c>
      <c r="J21" s="741">
        <f>Elect!U25</f>
        <v>303</v>
      </c>
      <c r="K21" s="741">
        <f>Elect!W25</f>
        <v>2961.11</v>
      </c>
      <c r="L21" s="741">
        <f>Elect!Y25</f>
        <v>0</v>
      </c>
      <c r="M21" s="741">
        <f>Elect!AA25</f>
        <v>0</v>
      </c>
      <c r="N21" s="741">
        <f>Elect!AC25</f>
        <v>4618.42</v>
      </c>
      <c r="O21" s="741">
        <f>Elect!AE25</f>
        <v>1609.0800000000002</v>
      </c>
      <c r="P21" s="741">
        <f>Elect!AG25</f>
        <v>10.07</v>
      </c>
      <c r="Q21" s="741">
        <f>Elect!AI25</f>
        <v>1452.73</v>
      </c>
      <c r="R21" s="741">
        <f>Elect!AK25</f>
        <v>4616.83</v>
      </c>
      <c r="S21" s="741">
        <f>Elect!AM25</f>
        <v>154.23000000000002</v>
      </c>
      <c r="T21" s="741">
        <f>Elect!AP25</f>
        <v>47.8125</v>
      </c>
      <c r="U21" s="741">
        <f>Elect!AR25</f>
        <v>136</v>
      </c>
      <c r="V21" s="741">
        <f>Elect!AT25</f>
        <v>157</v>
      </c>
      <c r="W21" s="741">
        <f>Elect!AV25</f>
        <v>54</v>
      </c>
      <c r="X21" s="741">
        <f>Elect!AX25</f>
        <v>1126</v>
      </c>
      <c r="Y21" s="741">
        <f>Elect!AZ25</f>
        <v>86</v>
      </c>
      <c r="Z21" s="741">
        <f>Elect!BB25</f>
        <v>5582</v>
      </c>
      <c r="AA21" s="741">
        <f>Elect!BD25</f>
        <v>240</v>
      </c>
      <c r="AB21" s="741">
        <f>Elect!BF25</f>
        <v>125.05263157889931</v>
      </c>
      <c r="AC21" s="741">
        <f>Elect!BH25</f>
        <v>6264.45</v>
      </c>
      <c r="AD21" s="741">
        <f>Elect!BL25</f>
        <v>66</v>
      </c>
      <c r="AE21" s="741">
        <f>Elect!BN25</f>
        <v>1720</v>
      </c>
      <c r="AF21" s="741">
        <f>Elect!BP25</f>
        <v>119</v>
      </c>
      <c r="AG21" s="741">
        <f>Elect!BR25</f>
        <v>226</v>
      </c>
      <c r="AH21" s="805"/>
      <c r="AI21" s="741">
        <f>Water!C26</f>
        <v>203</v>
      </c>
      <c r="AJ21" s="741">
        <f>Water!E26</f>
        <v>0</v>
      </c>
      <c r="AK21" s="741">
        <f>Water!G26</f>
        <v>92.8</v>
      </c>
      <c r="AL21" s="805"/>
      <c r="AM21" s="741">
        <f>Gas!C26</f>
        <v>779.1</v>
      </c>
      <c r="AN21" s="741">
        <f>Gas!E26</f>
        <v>216.29999999999998</v>
      </c>
      <c r="AO21" s="741">
        <f>Gas!G26</f>
        <v>89</v>
      </c>
      <c r="AP21" s="748">
        <v>178</v>
      </c>
    </row>
    <row r="22" spans="1:42" ht="12.75" customHeight="1">
      <c r="A22" s="754" t="s">
        <v>11</v>
      </c>
      <c r="B22" s="732">
        <f t="shared" si="0"/>
        <v>21</v>
      </c>
      <c r="C22" s="773">
        <v>7</v>
      </c>
      <c r="D22" s="753">
        <v>2021</v>
      </c>
      <c r="E22" s="805"/>
      <c r="F22" s="741">
        <f>Elect!J26</f>
        <v>5663</v>
      </c>
      <c r="G22" s="741">
        <f>Elect!K26</f>
        <v>3308</v>
      </c>
      <c r="H22" s="741">
        <f>Elect!Q26</f>
        <v>570</v>
      </c>
      <c r="I22" s="741">
        <f>Elect!S26</f>
        <v>124</v>
      </c>
      <c r="J22" s="741">
        <f>Elect!U26</f>
        <v>253</v>
      </c>
      <c r="K22" s="741">
        <f>Elect!W26</f>
        <v>3074</v>
      </c>
      <c r="L22" s="741">
        <f>Elect!Y26</f>
        <v>0</v>
      </c>
      <c r="M22" s="741">
        <f>Elect!AA26</f>
        <v>0</v>
      </c>
      <c r="N22" s="741">
        <f>Elect!AC26</f>
        <v>3805.4</v>
      </c>
      <c r="O22" s="741">
        <f>Elect!AE26</f>
        <v>1709.25</v>
      </c>
      <c r="P22" s="741">
        <f>Elect!AG26</f>
        <v>10.07</v>
      </c>
      <c r="Q22" s="741">
        <f>Elect!AI26</f>
        <v>1123.6000000000001</v>
      </c>
      <c r="R22" s="741">
        <f>Elect!AK26</f>
        <v>3533.51</v>
      </c>
      <c r="S22" s="741">
        <f>Elect!AM26</f>
        <v>161.65</v>
      </c>
      <c r="T22" s="741">
        <f>Elect!AP26</f>
        <v>190.91249999999999</v>
      </c>
      <c r="U22" s="741">
        <f>Elect!AR26</f>
        <v>150</v>
      </c>
      <c r="V22" s="741">
        <f>Elect!AT26</f>
        <v>177</v>
      </c>
      <c r="W22" s="741">
        <f>Elect!AV26</f>
        <v>36</v>
      </c>
      <c r="X22" s="741">
        <f>Elect!AX26</f>
        <v>959</v>
      </c>
      <c r="Y22" s="741">
        <f>Elect!AZ26</f>
        <v>67</v>
      </c>
      <c r="Z22" s="741">
        <f>Elect!BB26</f>
        <v>5252</v>
      </c>
      <c r="AA22" s="741">
        <f>Elect!BD26</f>
        <v>195</v>
      </c>
      <c r="AB22" s="741">
        <f>Elect!BF26</f>
        <v>121.94736842110069</v>
      </c>
      <c r="AC22" s="741">
        <f>Elect!BH26</f>
        <v>5450.45</v>
      </c>
      <c r="AD22" s="741">
        <f>Elect!BL26</f>
        <v>54</v>
      </c>
      <c r="AE22" s="741">
        <f>Elect!BN26</f>
        <v>1579</v>
      </c>
      <c r="AF22" s="741">
        <f>Elect!BP26</f>
        <v>100</v>
      </c>
      <c r="AG22" s="741">
        <f>Elect!BR26</f>
        <v>191</v>
      </c>
      <c r="AH22" s="805"/>
      <c r="AI22" s="741">
        <f>Water!C27</f>
        <v>203</v>
      </c>
      <c r="AJ22" s="741">
        <f>Water!E27</f>
        <v>0</v>
      </c>
      <c r="AK22" s="741">
        <f>Water!G27</f>
        <v>89.899999999999991</v>
      </c>
      <c r="AL22" s="805"/>
      <c r="AM22" s="741">
        <f>Gas!C27</f>
        <v>780.16000000000008</v>
      </c>
      <c r="AN22" s="741">
        <f>Gas!E27</f>
        <v>216.29999999999998</v>
      </c>
      <c r="AO22" s="741">
        <f>Gas!G27</f>
        <v>90</v>
      </c>
      <c r="AP22" s="748">
        <v>178</v>
      </c>
    </row>
    <row r="23" spans="1:42" ht="12.75" customHeight="1">
      <c r="A23" s="754" t="s">
        <v>11</v>
      </c>
      <c r="B23" s="732">
        <f t="shared" si="0"/>
        <v>22</v>
      </c>
      <c r="C23" s="773">
        <v>7</v>
      </c>
      <c r="D23" s="753">
        <v>2021</v>
      </c>
      <c r="E23" s="805"/>
      <c r="F23" s="741">
        <f>Elect!J27</f>
        <v>5920</v>
      </c>
      <c r="G23" s="741">
        <f>Elect!K27</f>
        <v>3701</v>
      </c>
      <c r="H23" s="741">
        <f>Elect!Q27</f>
        <v>630</v>
      </c>
      <c r="I23" s="741">
        <f>Elect!S27</f>
        <v>172</v>
      </c>
      <c r="J23" s="741">
        <f>Elect!U27</f>
        <v>340</v>
      </c>
      <c r="K23" s="741">
        <f>Elect!W27</f>
        <v>3518.1400000000003</v>
      </c>
      <c r="L23" s="741">
        <f>Elect!Y27</f>
        <v>0</v>
      </c>
      <c r="M23" s="741">
        <f>Elect!AA27</f>
        <v>0</v>
      </c>
      <c r="N23" s="741">
        <f>Elect!AC27</f>
        <v>4267.5600000000004</v>
      </c>
      <c r="O23" s="741">
        <f>Elect!AE27</f>
        <v>1602.72</v>
      </c>
      <c r="P23" s="741">
        <f>Elect!AG27</f>
        <v>10.07</v>
      </c>
      <c r="Q23" s="741">
        <f>Elect!AI27</f>
        <v>1248.1500000000001</v>
      </c>
      <c r="R23" s="741">
        <f>Elect!AK27</f>
        <v>3924.65</v>
      </c>
      <c r="S23" s="741">
        <f>Elect!AM27</f>
        <v>180.73000000000002</v>
      </c>
      <c r="T23" s="741">
        <f>Elect!AP27</f>
        <v>190.8</v>
      </c>
      <c r="U23" s="741">
        <f>Elect!AR27</f>
        <v>184</v>
      </c>
      <c r="V23" s="741">
        <f>Elect!AT27</f>
        <v>237</v>
      </c>
      <c r="W23" s="741">
        <f>Elect!AV27</f>
        <v>35</v>
      </c>
      <c r="X23" s="741">
        <f>Elect!AX27</f>
        <v>1204</v>
      </c>
      <c r="Y23" s="741">
        <f>Elect!AZ27</f>
        <v>91</v>
      </c>
      <c r="Z23" s="741">
        <f>Elect!BB27</f>
        <v>5153</v>
      </c>
      <c r="AA23" s="741">
        <f>Elect!BD27</f>
        <v>244</v>
      </c>
      <c r="AB23" s="741">
        <f>Elect!BF27</f>
        <v>118</v>
      </c>
      <c r="AC23" s="741">
        <f>Elect!BH27</f>
        <v>6629.6</v>
      </c>
      <c r="AD23" s="741">
        <f>Elect!BL27</f>
        <v>69</v>
      </c>
      <c r="AE23" s="741">
        <f>Elect!BN27</f>
        <v>1905</v>
      </c>
      <c r="AF23" s="741">
        <f>Elect!BP27</f>
        <v>127</v>
      </c>
      <c r="AG23" s="741">
        <f>Elect!BR27</f>
        <v>236</v>
      </c>
      <c r="AH23" s="805"/>
      <c r="AI23" s="741">
        <f>Water!C28</f>
        <v>203</v>
      </c>
      <c r="AJ23" s="741">
        <f>Water!E28</f>
        <v>0</v>
      </c>
      <c r="AK23" s="741">
        <f>Water!G28</f>
        <v>91.64</v>
      </c>
      <c r="AL23" s="805"/>
      <c r="AM23" s="741">
        <f>Gas!C28</f>
        <v>780.16000000000008</v>
      </c>
      <c r="AN23" s="741">
        <f>Gas!E28</f>
        <v>216.29999999999998</v>
      </c>
      <c r="AO23" s="741">
        <f>Gas!G28</f>
        <v>89</v>
      </c>
      <c r="AP23" s="748">
        <v>178</v>
      </c>
    </row>
    <row r="24" spans="1:42" ht="12.75" customHeight="1">
      <c r="A24" s="754" t="s">
        <v>11</v>
      </c>
      <c r="B24" s="732">
        <f t="shared" si="0"/>
        <v>23</v>
      </c>
      <c r="C24" s="773">
        <v>7</v>
      </c>
      <c r="D24" s="753">
        <v>2021</v>
      </c>
      <c r="E24" s="805"/>
      <c r="F24" s="741">
        <f>Elect!J28</f>
        <v>5013</v>
      </c>
      <c r="G24" s="741">
        <f>Elect!K28</f>
        <v>3169</v>
      </c>
      <c r="H24" s="741">
        <f>Elect!Q28</f>
        <v>540</v>
      </c>
      <c r="I24" s="741">
        <f>Elect!S28</f>
        <v>130</v>
      </c>
      <c r="J24" s="741">
        <f>Elect!U28</f>
        <v>258</v>
      </c>
      <c r="K24" s="741">
        <f>Elect!W28</f>
        <v>2653.1800000000003</v>
      </c>
      <c r="L24" s="741">
        <f>Elect!Y28</f>
        <v>0</v>
      </c>
      <c r="M24" s="741">
        <f>Elect!AA28</f>
        <v>0</v>
      </c>
      <c r="N24" s="741">
        <f>Elect!AC28</f>
        <v>3381.4</v>
      </c>
      <c r="O24" s="741">
        <f>Elect!AE28</f>
        <v>1398.67</v>
      </c>
      <c r="P24" s="741">
        <f>Elect!AG28</f>
        <v>9.01</v>
      </c>
      <c r="Q24" s="741">
        <f>Elect!AI28</f>
        <v>1057.8800000000001</v>
      </c>
      <c r="R24" s="741">
        <f>Elect!AK28</f>
        <v>3293.42</v>
      </c>
      <c r="S24" s="741">
        <f>Elect!AM28</f>
        <v>152.11000000000001</v>
      </c>
      <c r="T24" s="741">
        <f>Elect!AP28</f>
        <v>186.97499999999999</v>
      </c>
      <c r="U24" s="741">
        <f>Elect!AR28</f>
        <v>192</v>
      </c>
      <c r="V24" s="741">
        <f>Elect!AT28</f>
        <v>179</v>
      </c>
      <c r="W24" s="741">
        <f>Elect!AV28</f>
        <v>32</v>
      </c>
      <c r="X24" s="741">
        <f>Elect!AX28</f>
        <v>1039</v>
      </c>
      <c r="Y24" s="741">
        <f>Elect!AZ28</f>
        <v>72</v>
      </c>
      <c r="Z24" s="741">
        <f>Elect!BB28</f>
        <v>5028</v>
      </c>
      <c r="AA24" s="741">
        <f>Elect!BD28</f>
        <v>197</v>
      </c>
      <c r="AB24" s="741">
        <f>Elect!BF28</f>
        <v>121</v>
      </c>
      <c r="AC24" s="741">
        <f>Elect!BH28</f>
        <v>5398.45</v>
      </c>
      <c r="AD24" s="741">
        <f>Elect!BL28</f>
        <v>54</v>
      </c>
      <c r="AE24" s="741">
        <f>Elect!BN28</f>
        <v>1479</v>
      </c>
      <c r="AF24" s="741">
        <f>Elect!BP28</f>
        <v>100</v>
      </c>
      <c r="AG24" s="741">
        <f>Elect!BR28</f>
        <v>187</v>
      </c>
      <c r="AH24" s="805"/>
      <c r="AI24" s="741">
        <f>Water!C29</f>
        <v>203</v>
      </c>
      <c r="AJ24" s="741">
        <f>Water!E29</f>
        <v>0</v>
      </c>
      <c r="AK24" s="741">
        <f>Water!G29</f>
        <v>137.45999999999998</v>
      </c>
      <c r="AL24" s="805"/>
      <c r="AM24" s="741">
        <f>Gas!C29</f>
        <v>780.16000000000008</v>
      </c>
      <c r="AN24" s="741">
        <f>Gas!E29</f>
        <v>217</v>
      </c>
      <c r="AO24" s="741">
        <f>Gas!G29</f>
        <v>90</v>
      </c>
      <c r="AP24" s="748">
        <v>178</v>
      </c>
    </row>
    <row r="25" spans="1:42" ht="12.75" customHeight="1">
      <c r="A25" s="754" t="s">
        <v>11</v>
      </c>
      <c r="B25" s="732">
        <f t="shared" si="0"/>
        <v>24</v>
      </c>
      <c r="C25" s="773">
        <v>7</v>
      </c>
      <c r="D25" s="753">
        <v>2021</v>
      </c>
      <c r="E25" s="805"/>
      <c r="F25" s="741">
        <f>Elect!J29</f>
        <v>5643</v>
      </c>
      <c r="G25" s="741">
        <f>Elect!K29</f>
        <v>3077</v>
      </c>
      <c r="H25" s="741">
        <f>Elect!Q29</f>
        <v>510</v>
      </c>
      <c r="I25" s="741">
        <f>Elect!S29</f>
        <v>110</v>
      </c>
      <c r="J25" s="741">
        <f>Elect!U29</f>
        <v>219</v>
      </c>
      <c r="K25" s="741">
        <f>Elect!W29</f>
        <v>2656.36</v>
      </c>
      <c r="L25" s="741">
        <f>Elect!Y29</f>
        <v>3398.8900000000003</v>
      </c>
      <c r="M25" s="741">
        <f>Elect!AA29</f>
        <v>0</v>
      </c>
      <c r="N25" s="741">
        <f>Elect!AC29</f>
        <v>12.190000000000001</v>
      </c>
      <c r="O25" s="741">
        <f>Elect!AE29</f>
        <v>1652.5400000000002</v>
      </c>
      <c r="P25" s="741">
        <f>Elect!AG29</f>
        <v>11.13</v>
      </c>
      <c r="Q25" s="741">
        <f>Elect!AI29</f>
        <v>1037.21</v>
      </c>
      <c r="R25" s="741">
        <f>Elect!AK29</f>
        <v>3271.69</v>
      </c>
      <c r="S25" s="741">
        <f>Elect!AM29</f>
        <v>148.4</v>
      </c>
      <c r="T25" s="741">
        <f>Elect!AP29</f>
        <v>206.77500000000001</v>
      </c>
      <c r="U25" s="741">
        <f>Elect!AR29</f>
        <v>155</v>
      </c>
      <c r="V25" s="741">
        <f>Elect!AT29</f>
        <v>179</v>
      </c>
      <c r="W25" s="741">
        <f>Elect!AV29</f>
        <v>34</v>
      </c>
      <c r="X25" s="741">
        <f>Elect!AX29</f>
        <v>963</v>
      </c>
      <c r="Y25" s="741">
        <f>Elect!AZ29</f>
        <v>60</v>
      </c>
      <c r="Z25" s="741">
        <f>Elect!BB29</f>
        <v>5145</v>
      </c>
      <c r="AA25" s="741">
        <f>Elect!BD29</f>
        <v>247</v>
      </c>
      <c r="AB25" s="741">
        <f>Elect!BF29</f>
        <v>120</v>
      </c>
      <c r="AC25" s="741">
        <f>Elect!BH29</f>
        <v>6576.8</v>
      </c>
      <c r="AD25" s="741">
        <f>Elect!BL29</f>
        <v>68</v>
      </c>
      <c r="AE25" s="741">
        <f>Elect!BN29</f>
        <v>1860</v>
      </c>
      <c r="AF25" s="741">
        <f>Elect!BP29</f>
        <v>136</v>
      </c>
      <c r="AG25" s="741">
        <f>Elect!BR29</f>
        <v>231</v>
      </c>
      <c r="AH25" s="805"/>
      <c r="AI25" s="741">
        <f>Water!C30</f>
        <v>255.2</v>
      </c>
      <c r="AJ25" s="741">
        <f>Water!E30</f>
        <v>5.8</v>
      </c>
      <c r="AK25" s="741">
        <f>Water!G30</f>
        <v>352.06</v>
      </c>
      <c r="AL25" s="805"/>
      <c r="AM25" s="741">
        <f>Gas!C30</f>
        <v>1513.68</v>
      </c>
      <c r="AN25" s="741">
        <f>Gas!E30</f>
        <v>335.29999999999995</v>
      </c>
      <c r="AO25" s="741">
        <f>Gas!G30</f>
        <v>159</v>
      </c>
      <c r="AP25" s="748">
        <v>178</v>
      </c>
    </row>
    <row r="26" spans="1:42" ht="12.75" customHeight="1">
      <c r="A26" s="754" t="s">
        <v>11</v>
      </c>
      <c r="B26" s="732">
        <f>B25+1</f>
        <v>25</v>
      </c>
      <c r="C26" s="773">
        <v>7</v>
      </c>
      <c r="D26" s="753">
        <v>2021</v>
      </c>
      <c r="E26" s="805"/>
      <c r="F26" s="741">
        <f>Elect!J30</f>
        <v>3893</v>
      </c>
      <c r="G26" s="741">
        <f>Elect!K30</f>
        <v>5067</v>
      </c>
      <c r="H26" s="741">
        <f>Elect!Q30</f>
        <v>660</v>
      </c>
      <c r="I26" s="741">
        <f>Elect!S30</f>
        <v>132</v>
      </c>
      <c r="J26" s="741">
        <f>Elect!U30</f>
        <v>265</v>
      </c>
      <c r="K26" s="741">
        <f>Elect!W30</f>
        <v>3646.4</v>
      </c>
      <c r="L26" s="741">
        <f>Elect!Y30</f>
        <v>4323.74</v>
      </c>
      <c r="M26" s="741">
        <f>Elect!AA30</f>
        <v>0</v>
      </c>
      <c r="N26" s="741">
        <f>Elect!AC30</f>
        <v>0</v>
      </c>
      <c r="O26" s="741">
        <f>Elect!AE30</f>
        <v>1573.0400000000002</v>
      </c>
      <c r="P26" s="741">
        <f>Elect!AG30</f>
        <v>10.07</v>
      </c>
      <c r="Q26" s="741">
        <f>Elect!AI30</f>
        <v>1331.3600000000001</v>
      </c>
      <c r="R26" s="741">
        <f>Elect!AK30</f>
        <v>4199.1900000000005</v>
      </c>
      <c r="S26" s="741">
        <f>Elect!AM30</f>
        <v>188.15</v>
      </c>
      <c r="T26" s="741">
        <f>Elect!AP30</f>
        <v>172.57500000000002</v>
      </c>
      <c r="U26" s="741">
        <f>Elect!AR30</f>
        <v>166</v>
      </c>
      <c r="V26" s="741">
        <f>Elect!AT30</f>
        <v>153</v>
      </c>
      <c r="W26" s="741">
        <f>Elect!AV30</f>
        <v>82</v>
      </c>
      <c r="X26" s="741">
        <f>Elect!AX30</f>
        <v>1336</v>
      </c>
      <c r="Y26" s="741">
        <f>Elect!AZ30</f>
        <v>73</v>
      </c>
      <c r="Z26" s="741">
        <f>Elect!BB30</f>
        <v>5143</v>
      </c>
      <c r="AA26" s="741">
        <f>Elect!BD30</f>
        <v>179</v>
      </c>
      <c r="AB26" s="741">
        <f>Elect!BF30</f>
        <v>123</v>
      </c>
      <c r="AC26" s="741">
        <f>Elect!BH30</f>
        <v>4988.8</v>
      </c>
      <c r="AD26" s="741">
        <f>Elect!BL30</f>
        <v>49</v>
      </c>
      <c r="AE26" s="741">
        <f>Elect!BN30</f>
        <v>1455</v>
      </c>
      <c r="AF26" s="741">
        <f>Elect!BP30</f>
        <v>101</v>
      </c>
      <c r="AG26" s="741">
        <f>Elect!BR30</f>
        <v>174</v>
      </c>
      <c r="AH26" s="805"/>
      <c r="AI26" s="741">
        <f>Water!C31</f>
        <v>324.79999999999995</v>
      </c>
      <c r="AJ26" s="741">
        <f>Water!E31</f>
        <v>0</v>
      </c>
      <c r="AK26" s="741">
        <f>Water!G31</f>
        <v>112.52</v>
      </c>
      <c r="AL26" s="805"/>
      <c r="AM26" s="741">
        <f>Gas!C31</f>
        <v>1156.46</v>
      </c>
      <c r="AN26" s="741">
        <f>Gas!E31</f>
        <v>235.2</v>
      </c>
      <c r="AO26" s="741">
        <f>Gas!G31</f>
        <v>59</v>
      </c>
      <c r="AP26" s="748">
        <v>178</v>
      </c>
    </row>
    <row r="27" spans="1:42" ht="12.75" customHeight="1">
      <c r="A27" s="754" t="s">
        <v>11</v>
      </c>
      <c r="B27" s="732">
        <f t="shared" si="0"/>
        <v>26</v>
      </c>
      <c r="C27" s="773">
        <v>7</v>
      </c>
      <c r="D27" s="753">
        <v>2021</v>
      </c>
      <c r="E27" s="805"/>
      <c r="F27" s="741">
        <f>Elect!J31</f>
        <v>6792</v>
      </c>
      <c r="G27" s="741">
        <f>Elect!K31</f>
        <v>3601</v>
      </c>
      <c r="H27" s="741">
        <f>Elect!Q31</f>
        <v>780</v>
      </c>
      <c r="I27" s="741">
        <f>Elect!S31</f>
        <v>167</v>
      </c>
      <c r="J27" s="741">
        <f>Elect!U31</f>
        <v>334</v>
      </c>
      <c r="K27" s="741">
        <f>Elect!W31</f>
        <v>3103.15</v>
      </c>
      <c r="L27" s="741">
        <f>Elect!Y31</f>
        <v>4038.07</v>
      </c>
      <c r="M27" s="741">
        <f>Elect!AA31</f>
        <v>0</v>
      </c>
      <c r="N27" s="741">
        <f>Elect!AC31</f>
        <v>0</v>
      </c>
      <c r="O27" s="741">
        <f>Elect!AE31</f>
        <v>1655.19</v>
      </c>
      <c r="P27" s="741">
        <f>Elect!AG31</f>
        <v>10.600000000000001</v>
      </c>
      <c r="Q27" s="741">
        <f>Elect!AI31</f>
        <v>1171.8300000000002</v>
      </c>
      <c r="R27" s="741">
        <f>Elect!AK31</f>
        <v>3784.73</v>
      </c>
      <c r="S27" s="741">
        <f>Elect!AM31</f>
        <v>169.60000000000002</v>
      </c>
      <c r="T27" s="741">
        <f>Elect!AP31</f>
        <v>204.41249999999999</v>
      </c>
      <c r="U27" s="741">
        <f>Elect!AR31</f>
        <v>173</v>
      </c>
      <c r="V27" s="741">
        <f>Elect!AT31</f>
        <v>154</v>
      </c>
      <c r="W27" s="741">
        <f>Elect!AV31</f>
        <v>59</v>
      </c>
      <c r="X27" s="741">
        <f>Elect!AX31</f>
        <v>1182</v>
      </c>
      <c r="Y27" s="741">
        <f>Elect!AZ31</f>
        <v>90</v>
      </c>
      <c r="Z27" s="741">
        <f>Elect!BB31</f>
        <v>4828</v>
      </c>
      <c r="AA27" s="741">
        <f>Elect!BD31</f>
        <v>192</v>
      </c>
      <c r="AB27" s="741">
        <f>Elect!BF31</f>
        <v>118</v>
      </c>
      <c r="AC27" s="741">
        <f>Elect!BH31</f>
        <v>5413.6</v>
      </c>
      <c r="AD27" s="741">
        <f>Elect!BL31</f>
        <v>53</v>
      </c>
      <c r="AE27" s="741">
        <f>Elect!BN31</f>
        <v>1602</v>
      </c>
      <c r="AF27" s="741">
        <f>Elect!BP31</f>
        <v>110</v>
      </c>
      <c r="AG27" s="741">
        <f>Elect!BR31</f>
        <v>192</v>
      </c>
      <c r="AH27" s="805"/>
      <c r="AI27" s="741">
        <f>Water!C32</f>
        <v>261</v>
      </c>
      <c r="AJ27" s="741">
        <f>Water!E32</f>
        <v>0</v>
      </c>
      <c r="AK27" s="741">
        <f>Water!G32</f>
        <v>0</v>
      </c>
      <c r="AL27" s="805"/>
      <c r="AM27" s="741">
        <f>Gas!C32</f>
        <v>885.1</v>
      </c>
      <c r="AN27" s="741">
        <f>Gas!E32</f>
        <v>172.89999999999998</v>
      </c>
      <c r="AO27" s="741">
        <f>Gas!G32</f>
        <v>97</v>
      </c>
      <c r="AP27" s="748">
        <v>178</v>
      </c>
    </row>
    <row r="28" spans="1:42" ht="12.75" customHeight="1">
      <c r="A28" s="754" t="s">
        <v>11</v>
      </c>
      <c r="B28" s="732">
        <f t="shared" si="0"/>
        <v>27</v>
      </c>
      <c r="C28" s="773">
        <v>7</v>
      </c>
      <c r="D28" s="753">
        <v>2021</v>
      </c>
      <c r="E28" s="805"/>
      <c r="F28" s="741">
        <f>Elect!J32</f>
        <v>4334</v>
      </c>
      <c r="G28" s="741">
        <f>Elect!K32</f>
        <v>2318</v>
      </c>
      <c r="H28" s="741">
        <f>Elect!Q32</f>
        <v>600</v>
      </c>
      <c r="I28" s="741">
        <f>Elect!S32</f>
        <v>109</v>
      </c>
      <c r="J28" s="741">
        <f>Elect!U32</f>
        <v>221</v>
      </c>
      <c r="K28" s="741">
        <f>Elect!W32</f>
        <v>1755.89</v>
      </c>
      <c r="L28" s="741">
        <f>Elect!Y32</f>
        <v>2648.4100000000003</v>
      </c>
      <c r="M28" s="741">
        <f>Elect!AA32</f>
        <v>212</v>
      </c>
      <c r="N28" s="741">
        <f>Elect!AC32</f>
        <v>0</v>
      </c>
      <c r="O28" s="741">
        <f>Elect!AE32</f>
        <v>1108.23</v>
      </c>
      <c r="P28" s="741">
        <f>Elect!AG32</f>
        <v>7.42</v>
      </c>
      <c r="Q28" s="741">
        <f>Elect!AI32</f>
        <v>754.19</v>
      </c>
      <c r="R28" s="741">
        <f>Elect!AK32</f>
        <v>2466.6200000000003</v>
      </c>
      <c r="S28" s="741">
        <f>Elect!AM32</f>
        <v>113.95</v>
      </c>
      <c r="T28" s="741">
        <f>Elect!AP32</f>
        <v>200.02500000000001</v>
      </c>
      <c r="U28" s="741">
        <f>Elect!AR32</f>
        <v>153</v>
      </c>
      <c r="V28" s="741">
        <f>Elect!AT32</f>
        <v>164</v>
      </c>
      <c r="W28" s="741">
        <f>Elect!AV32</f>
        <v>56</v>
      </c>
      <c r="X28" s="741">
        <f>Elect!AX32</f>
        <v>800</v>
      </c>
      <c r="Y28" s="741">
        <f>Elect!AZ32</f>
        <v>60</v>
      </c>
      <c r="Z28" s="741">
        <f>Elect!BB32</f>
        <v>3388</v>
      </c>
      <c r="AA28" s="741">
        <f>Elect!BD32</f>
        <v>183</v>
      </c>
      <c r="AB28" s="741">
        <f>Elect!BF32</f>
        <v>120</v>
      </c>
      <c r="AC28" s="741">
        <f>Elect!BH32</f>
        <v>5336.6</v>
      </c>
      <c r="AD28" s="741">
        <f>Elect!BL32</f>
        <v>54</v>
      </c>
      <c r="AE28" s="741">
        <f>Elect!BN32</f>
        <v>1480</v>
      </c>
      <c r="AF28" s="741">
        <f>Elect!BP32</f>
        <v>112</v>
      </c>
      <c r="AG28" s="741">
        <f>Elect!BR32</f>
        <v>193</v>
      </c>
      <c r="AH28" s="805"/>
      <c r="AI28" s="741">
        <f>Water!C33</f>
        <v>290</v>
      </c>
      <c r="AJ28" s="741">
        <f>Water!E33</f>
        <v>0</v>
      </c>
      <c r="AK28" s="741">
        <f>Water!G33</f>
        <v>0</v>
      </c>
      <c r="AL28" s="805"/>
      <c r="AM28" s="741">
        <f>Gas!C33</f>
        <v>814.08</v>
      </c>
      <c r="AN28" s="741">
        <f>Gas!E33</f>
        <v>218.39999999999998</v>
      </c>
      <c r="AO28" s="741">
        <f>Gas!G33</f>
        <v>97</v>
      </c>
      <c r="AP28" s="748">
        <v>170</v>
      </c>
    </row>
    <row r="29" spans="1:42" ht="12.75" customHeight="1">
      <c r="A29" s="754" t="s">
        <v>11</v>
      </c>
      <c r="B29" s="732">
        <f t="shared" si="0"/>
        <v>28</v>
      </c>
      <c r="C29" s="773">
        <v>7</v>
      </c>
      <c r="D29" s="753">
        <v>2021</v>
      </c>
      <c r="E29" s="805"/>
      <c r="F29" s="741">
        <f>Elect!J33</f>
        <v>4629</v>
      </c>
      <c r="G29" s="741">
        <f>Elect!K33</f>
        <v>3575</v>
      </c>
      <c r="H29" s="741">
        <f>Elect!Q33</f>
        <v>750</v>
      </c>
      <c r="I29" s="741">
        <f>Elect!S33</f>
        <v>142</v>
      </c>
      <c r="J29" s="741">
        <f>Elect!U33</f>
        <v>283</v>
      </c>
      <c r="K29" s="741">
        <f>Elect!W33</f>
        <v>3024.1800000000003</v>
      </c>
      <c r="L29" s="741">
        <f>Elect!Y33</f>
        <v>3998.8500000000004</v>
      </c>
      <c r="M29" s="741">
        <f>Elect!AA33</f>
        <v>0</v>
      </c>
      <c r="N29" s="741">
        <f>Elect!AC33</f>
        <v>0</v>
      </c>
      <c r="O29" s="741">
        <f>Elect!AE33</f>
        <v>1246.5600000000002</v>
      </c>
      <c r="P29" s="741">
        <f>Elect!AG33</f>
        <v>470.64000000000004</v>
      </c>
      <c r="Q29" s="741">
        <f>Elect!AI33</f>
        <v>1179.78</v>
      </c>
      <c r="R29" s="741">
        <f>Elect!AK33</f>
        <v>3769.36</v>
      </c>
      <c r="S29" s="741">
        <f>Elect!AM33</f>
        <v>172.78</v>
      </c>
      <c r="T29" s="741">
        <f>Elect!AP33</f>
        <v>188.4375</v>
      </c>
      <c r="U29" s="741">
        <f>Elect!AR33</f>
        <v>172</v>
      </c>
      <c r="V29" s="741">
        <f>Elect!AT33</f>
        <v>172</v>
      </c>
      <c r="W29" s="741">
        <f>Elect!AV33</f>
        <v>69</v>
      </c>
      <c r="X29" s="741">
        <f>Elect!AX33</f>
        <v>1263</v>
      </c>
      <c r="Y29" s="741">
        <f>Elect!AZ33</f>
        <v>77</v>
      </c>
      <c r="Z29" s="741">
        <f>Elect!BB33</f>
        <v>4944</v>
      </c>
      <c r="AA29" s="741">
        <f>Elect!BD33</f>
        <v>199</v>
      </c>
      <c r="AB29" s="741">
        <f>Elect!BF33</f>
        <v>135</v>
      </c>
      <c r="AC29" s="741">
        <f>Elect!BH33</f>
        <v>5836.15</v>
      </c>
      <c r="AD29" s="741">
        <f>Elect!BL33</f>
        <v>5</v>
      </c>
      <c r="AE29" s="741">
        <f>Elect!BN33</f>
        <v>1459</v>
      </c>
      <c r="AF29" s="741">
        <f>Elect!BP33</f>
        <v>114</v>
      </c>
      <c r="AG29" s="741">
        <f>Elect!BR33</f>
        <v>211</v>
      </c>
      <c r="AH29" s="805"/>
      <c r="AI29" s="741">
        <f>Water!C34</f>
        <v>539.4</v>
      </c>
      <c r="AJ29" s="741">
        <f>Water!E34</f>
        <v>0</v>
      </c>
      <c r="AK29" s="741">
        <f>Water!G34</f>
        <v>0</v>
      </c>
      <c r="AL29" s="805"/>
      <c r="AM29" s="741">
        <f>Gas!C34</f>
        <v>1028.2</v>
      </c>
      <c r="AN29" s="741">
        <f>Gas!E34</f>
        <v>259.7</v>
      </c>
      <c r="AO29" s="741">
        <f>Gas!G34</f>
        <v>97</v>
      </c>
      <c r="AP29" s="748">
        <v>177</v>
      </c>
    </row>
    <row r="30" spans="1:42" ht="12.75" customHeight="1">
      <c r="A30" s="754" t="s">
        <v>11</v>
      </c>
      <c r="B30" s="732">
        <f t="shared" si="0"/>
        <v>29</v>
      </c>
      <c r="C30" s="773">
        <v>7</v>
      </c>
      <c r="D30" s="753">
        <v>2021</v>
      </c>
      <c r="E30" s="805"/>
      <c r="F30" s="741">
        <f>Elect!J34</f>
        <v>4629</v>
      </c>
      <c r="G30" s="741">
        <f>Elect!K34</f>
        <v>3807</v>
      </c>
      <c r="H30" s="741">
        <f>Elect!Q34</f>
        <v>660</v>
      </c>
      <c r="I30" s="741">
        <f>Elect!S34</f>
        <v>140</v>
      </c>
      <c r="J30" s="741">
        <f>Elect!U34</f>
        <v>277</v>
      </c>
      <c r="K30" s="741">
        <f>Elect!W34</f>
        <v>2932.0659999999984</v>
      </c>
      <c r="L30" s="741">
        <f>Elect!Y34</f>
        <v>3343.2400000000002</v>
      </c>
      <c r="M30" s="741">
        <f>Elect!AA34</f>
        <v>0</v>
      </c>
      <c r="N30" s="741">
        <f>Elect!AC34</f>
        <v>0</v>
      </c>
      <c r="O30" s="741">
        <f>Elect!AE34</f>
        <v>1381.71</v>
      </c>
      <c r="P30" s="741">
        <f>Elect!AG34</f>
        <v>9.01</v>
      </c>
      <c r="Q30" s="741">
        <f>Elect!AI34</f>
        <v>963.0100000000001</v>
      </c>
      <c r="R30" s="741">
        <f>Elect!AK34</f>
        <v>3125.4100000000003</v>
      </c>
      <c r="S30" s="741">
        <f>Elect!AM34</f>
        <v>159.53</v>
      </c>
      <c r="T30" s="741">
        <f>Elect!AP34</f>
        <v>193.5</v>
      </c>
      <c r="U30" s="741">
        <f>Elect!AR34</f>
        <v>164</v>
      </c>
      <c r="V30" s="741">
        <f>Elect!AT34</f>
        <v>153</v>
      </c>
      <c r="W30" s="741">
        <f>Elect!AV34</f>
        <v>65</v>
      </c>
      <c r="X30" s="741">
        <f>Elect!AX34</f>
        <v>1112.7999999998137</v>
      </c>
      <c r="Y30" s="741">
        <f>Elect!AZ34</f>
        <v>76</v>
      </c>
      <c r="Z30" s="741">
        <f>Elect!BB34</f>
        <v>4498</v>
      </c>
      <c r="AA30" s="741">
        <f>Elect!BD34</f>
        <v>223</v>
      </c>
      <c r="AB30" s="741">
        <f>Elect!BF34</f>
        <v>170</v>
      </c>
      <c r="AC30" s="741">
        <f>Elect!BH34</f>
        <v>5992.4000000000005</v>
      </c>
      <c r="AD30" s="741">
        <f>Elect!BL34</f>
        <v>61</v>
      </c>
      <c r="AE30" s="741">
        <f>Elect!BN34</f>
        <v>1772</v>
      </c>
      <c r="AF30" s="741">
        <f>Elect!BP34</f>
        <v>116</v>
      </c>
      <c r="AG30" s="741">
        <f>Elect!BR34</f>
        <v>201</v>
      </c>
      <c r="AH30" s="805"/>
      <c r="AI30" s="741">
        <f>Water!C35</f>
        <v>272.59999999999997</v>
      </c>
      <c r="AJ30" s="741">
        <f>Water!E35</f>
        <v>0</v>
      </c>
      <c r="AK30" s="741">
        <f>Water!G35</f>
        <v>0</v>
      </c>
      <c r="AL30" s="805"/>
      <c r="AM30" s="741">
        <f>Gas!C35</f>
        <v>958.24</v>
      </c>
      <c r="AN30" s="741">
        <f>Gas!E35</f>
        <v>191.1</v>
      </c>
      <c r="AO30" s="741">
        <f>Gas!G35</f>
        <v>163</v>
      </c>
      <c r="AP30" s="748">
        <v>178</v>
      </c>
    </row>
    <row r="31" spans="1:42" ht="12.75" customHeight="1">
      <c r="A31" s="754" t="s">
        <v>11</v>
      </c>
      <c r="B31" s="732">
        <f t="shared" si="0"/>
        <v>30</v>
      </c>
      <c r="C31" s="773">
        <v>7</v>
      </c>
      <c r="D31" s="753">
        <v>2021</v>
      </c>
      <c r="E31" s="805"/>
      <c r="F31" s="741">
        <f>Elect!J35</f>
        <v>4629</v>
      </c>
      <c r="G31" s="741">
        <f>Elect!K35</f>
        <v>3504</v>
      </c>
      <c r="H31" s="741">
        <f>Elect!Q35</f>
        <v>720</v>
      </c>
      <c r="I31" s="741">
        <f>Elect!S35</f>
        <v>0</v>
      </c>
      <c r="J31" s="741">
        <f>Elect!U35</f>
        <v>0</v>
      </c>
      <c r="K31" s="741">
        <f>Elect!W35</f>
        <v>2791.8280000000032</v>
      </c>
      <c r="L31" s="741">
        <f>Elect!Y35</f>
        <v>3470.44</v>
      </c>
      <c r="M31" s="741">
        <f>Elect!AA35</f>
        <v>0</v>
      </c>
      <c r="N31" s="741">
        <f>Elect!AC35</f>
        <v>0</v>
      </c>
      <c r="O31" s="741">
        <f>Elect!AE35</f>
        <v>1313.3400000000001</v>
      </c>
      <c r="P31" s="741">
        <f>Elect!AG35</f>
        <v>147.34</v>
      </c>
      <c r="Q31" s="741">
        <f>Elect!AI35</f>
        <v>1007</v>
      </c>
      <c r="R31" s="741">
        <f>Elect!AK35</f>
        <v>3253.1400000000003</v>
      </c>
      <c r="S31" s="741">
        <f>Elect!AM35</f>
        <v>157.41</v>
      </c>
      <c r="T31" s="741">
        <f>Elect!AP35</f>
        <v>193.5</v>
      </c>
      <c r="U31" s="741">
        <f>Elect!AR35</f>
        <v>165</v>
      </c>
      <c r="V31" s="741">
        <f>Elect!AT35</f>
        <v>160</v>
      </c>
      <c r="W31" s="741">
        <f>Elect!AV35</f>
        <v>65</v>
      </c>
      <c r="X31" s="741">
        <f>Elect!AX35</f>
        <v>1114.4000000003725</v>
      </c>
      <c r="Y31" s="741">
        <f>Elect!AZ35</f>
        <v>75</v>
      </c>
      <c r="Z31" s="741">
        <f>Elect!BB35</f>
        <v>4483</v>
      </c>
      <c r="AA31" s="741">
        <f>Elect!BD35</f>
        <v>204</v>
      </c>
      <c r="AB31" s="741">
        <f>Elect!BF35</f>
        <v>130</v>
      </c>
      <c r="AC31" s="741">
        <f>Elect!BH35</f>
        <v>5706.0499999999993</v>
      </c>
      <c r="AD31" s="741">
        <f>Elect!BL35</f>
        <v>43</v>
      </c>
      <c r="AE31" s="741">
        <f>Elect!BN35</f>
        <v>1598</v>
      </c>
      <c r="AF31" s="741">
        <f>Elect!BP35</f>
        <v>113</v>
      </c>
      <c r="AG31" s="741">
        <f>Elect!BR35</f>
        <v>200</v>
      </c>
      <c r="AH31" s="805"/>
      <c r="AI31" s="741">
        <f>Water!C36</f>
        <v>353.79999999999995</v>
      </c>
      <c r="AJ31" s="741">
        <f>Water!E36</f>
        <v>0</v>
      </c>
      <c r="AK31" s="741">
        <f>Water!G36</f>
        <v>0</v>
      </c>
      <c r="AL31" s="805"/>
      <c r="AM31" s="741">
        <f>Gas!C36</f>
        <v>921.1400000000001</v>
      </c>
      <c r="AN31" s="741">
        <f>Gas!E36</f>
        <v>217.7</v>
      </c>
      <c r="AO31" s="741">
        <f>Gas!G36</f>
        <v>70</v>
      </c>
      <c r="AP31" s="748">
        <v>178</v>
      </c>
    </row>
    <row r="32" spans="1:42" ht="12.75" customHeight="1">
      <c r="A32" s="755" t="s">
        <v>11</v>
      </c>
      <c r="B32" s="756">
        <f>B31+1</f>
        <v>31</v>
      </c>
      <c r="C32" s="773">
        <v>7</v>
      </c>
      <c r="D32" s="753">
        <v>2021</v>
      </c>
      <c r="E32" s="806"/>
      <c r="F32" s="741">
        <f>Elect!J36</f>
        <v>4629</v>
      </c>
      <c r="G32" s="741">
        <f>Elect!K36</f>
        <v>3504</v>
      </c>
      <c r="H32" s="741">
        <f>Elect!Q36</f>
        <v>690</v>
      </c>
      <c r="I32" s="741">
        <f>Elect!S36</f>
        <v>0</v>
      </c>
      <c r="J32" s="741">
        <f>Elect!U36</f>
        <v>0</v>
      </c>
      <c r="K32" s="741">
        <f>Elect!W36</f>
        <v>2791.8279999999954</v>
      </c>
      <c r="L32" s="741">
        <f>Elect!Y36</f>
        <v>3470.44</v>
      </c>
      <c r="M32" s="741">
        <f>Elect!AA36</f>
        <v>0</v>
      </c>
      <c r="N32" s="741">
        <f>Elect!AC36</f>
        <v>0</v>
      </c>
      <c r="O32" s="741">
        <f>Elect!AE36</f>
        <v>1313.8700000000001</v>
      </c>
      <c r="P32" s="741">
        <f>Elect!AG36</f>
        <v>147.34</v>
      </c>
      <c r="Q32" s="741">
        <f>Elect!AI36</f>
        <v>1007</v>
      </c>
      <c r="R32" s="741">
        <f>Elect!AK36</f>
        <v>3252.61</v>
      </c>
      <c r="S32" s="741">
        <f>Elect!AM36</f>
        <v>156.88</v>
      </c>
      <c r="T32" s="741">
        <f>Elect!AP36</f>
        <v>193.61250000000001</v>
      </c>
      <c r="U32" s="741">
        <f>Elect!AR36</f>
        <v>166</v>
      </c>
      <c r="V32" s="741">
        <f>Elect!AT36</f>
        <v>160</v>
      </c>
      <c r="W32" s="741">
        <f>Elect!AV36</f>
        <v>64</v>
      </c>
      <c r="X32" s="741">
        <f>Elect!AX36</f>
        <v>1113.7999999998137</v>
      </c>
      <c r="Y32" s="741">
        <f>Elect!AZ36</f>
        <v>75</v>
      </c>
      <c r="Z32" s="741">
        <f>Elect!BB36</f>
        <v>4482</v>
      </c>
      <c r="AA32" s="741">
        <f>Elect!BD36</f>
        <v>203</v>
      </c>
      <c r="AB32" s="741">
        <f>Elect!BF36</f>
        <v>130</v>
      </c>
      <c r="AC32" s="741">
        <f>Elect!BH36</f>
        <v>5703.5999999999995</v>
      </c>
      <c r="AD32" s="741">
        <f>Elect!BL36</f>
        <v>43</v>
      </c>
      <c r="AE32" s="741">
        <f>Elect!BN36</f>
        <v>1598</v>
      </c>
      <c r="AF32" s="741">
        <f>Elect!BP36</f>
        <v>114</v>
      </c>
      <c r="AG32" s="741">
        <f>Elect!BR36</f>
        <v>201</v>
      </c>
      <c r="AH32" s="806"/>
      <c r="AI32" s="741">
        <f>Water!C37</f>
        <v>359.59999999999997</v>
      </c>
      <c r="AJ32" s="741">
        <f>Water!E37</f>
        <v>0</v>
      </c>
      <c r="AK32" s="741">
        <f>Water!G37</f>
        <v>0</v>
      </c>
      <c r="AL32" s="806"/>
      <c r="AM32" s="741">
        <f>Gas!C37</f>
        <v>942.34</v>
      </c>
      <c r="AN32" s="741">
        <f>Gas!E37</f>
        <v>216.29999999999998</v>
      </c>
      <c r="AO32" s="741">
        <f>Gas!G37</f>
        <v>104</v>
      </c>
      <c r="AP32" s="748">
        <v>178</v>
      </c>
    </row>
    <row r="33" spans="39:41">
      <c r="AM33" s="738"/>
      <c r="AN33" s="738"/>
      <c r="AO33" s="738"/>
    </row>
  </sheetData>
  <sheetProtection algorithmName="SHA-512" hashValue="TlFbAwKRIOQYYauv8v1vwtS6mS2tXKs3d875qsC1SKhyEix/DtXpujZ4bTOoijfid9ZkeogfkIDWmvfmrN0M8g==" saltValue="lgNaUllJDGGdqyrNgsAPZA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AL33" activePane="bottomRight" state="frozen"/>
      <selection pane="topRight" activeCell="I1" sqref="I1"/>
      <selection pane="bottomLeft" activeCell="A5" sqref="A5"/>
      <selection pane="bottomRight" activeCell="AO3" sqref="AO3:BJ3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29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1" t="s">
        <v>14</v>
      </c>
      <c r="N1" s="831"/>
      <c r="O1" s="831"/>
      <c r="Q1" s="831"/>
      <c r="R1" s="530"/>
      <c r="S1" s="530"/>
      <c r="T1" s="530"/>
      <c r="U1" s="530"/>
      <c r="V1" s="791"/>
      <c r="W1" s="791"/>
      <c r="X1" s="791"/>
      <c r="Y1" s="791"/>
      <c r="Z1" s="791"/>
      <c r="AA1" s="791"/>
      <c r="AB1" s="791"/>
      <c r="AC1" s="791"/>
      <c r="AD1" s="791"/>
      <c r="AE1" s="791"/>
      <c r="AF1" s="791"/>
      <c r="AG1" s="791"/>
      <c r="AH1" s="791"/>
      <c r="AI1" s="791"/>
      <c r="AJ1" s="791"/>
      <c r="AK1" s="791"/>
      <c r="AL1" s="791"/>
      <c r="AM1" s="791"/>
      <c r="AN1" s="791"/>
      <c r="AO1" s="791"/>
      <c r="AP1" s="791"/>
      <c r="AQ1" s="791"/>
      <c r="AR1" s="791"/>
      <c r="AS1" s="791"/>
      <c r="AT1" s="791"/>
      <c r="AU1" s="791"/>
      <c r="AV1" s="791"/>
      <c r="AW1" s="791"/>
      <c r="AX1" s="791"/>
      <c r="AY1" s="791"/>
      <c r="AZ1" s="791"/>
      <c r="BA1" s="791"/>
      <c r="BB1" s="791"/>
      <c r="BC1" s="791"/>
      <c r="BD1" s="791"/>
      <c r="BE1" s="791"/>
      <c r="BF1" s="791"/>
      <c r="BG1" s="791"/>
      <c r="BH1" s="791"/>
      <c r="BI1" s="791"/>
      <c r="BJ1" s="791"/>
      <c r="BK1" s="530"/>
      <c r="BL1" s="530"/>
      <c r="BM1" s="791"/>
      <c r="BN1" s="791"/>
      <c r="BO1" s="528"/>
      <c r="BP1" s="807" t="s">
        <v>52</v>
      </c>
      <c r="BQ1" s="808"/>
      <c r="BR1" s="565">
        <v>1.6</v>
      </c>
      <c r="BS1" s="562" t="s">
        <v>53</v>
      </c>
      <c r="BT1" s="563"/>
      <c r="BU1" s="809" t="s">
        <v>54</v>
      </c>
      <c r="BV1" s="810"/>
      <c r="BW1" s="565">
        <v>500</v>
      </c>
      <c r="BX1" s="807" t="s">
        <v>55</v>
      </c>
      <c r="BY1" s="808"/>
      <c r="BZ1" s="565">
        <v>1.1499999999999999</v>
      </c>
    </row>
    <row r="2" spans="1:78" ht="28.5" customHeight="1" thickBot="1">
      <c r="A2" s="830"/>
      <c r="B2" s="114"/>
      <c r="C2" s="28"/>
      <c r="D2" s="28"/>
      <c r="E2" s="189"/>
      <c r="F2" s="189"/>
      <c r="I2" s="190"/>
      <c r="M2" s="832"/>
      <c r="N2" s="832"/>
      <c r="O2" s="832"/>
      <c r="Q2" s="832"/>
      <c r="R2" s="531"/>
      <c r="S2" s="531"/>
      <c r="T2" s="531"/>
      <c r="U2" s="531"/>
      <c r="V2" s="792"/>
      <c r="W2" s="792"/>
      <c r="X2" s="792"/>
      <c r="Y2" s="792"/>
      <c r="Z2" s="792"/>
      <c r="AA2" s="792"/>
      <c r="AB2" s="792"/>
      <c r="AC2" s="792"/>
      <c r="AD2" s="792" t="s">
        <v>56</v>
      </c>
      <c r="AE2" s="792"/>
      <c r="AF2" s="792"/>
      <c r="AG2" s="792"/>
      <c r="AH2" s="792"/>
      <c r="AI2" s="792"/>
      <c r="AJ2" s="792"/>
      <c r="AK2" s="792"/>
      <c r="AL2" s="792"/>
      <c r="AM2" s="792"/>
      <c r="AN2" s="792"/>
      <c r="AO2" s="792"/>
      <c r="AP2" s="792"/>
      <c r="AQ2" s="792"/>
      <c r="AR2" s="792"/>
      <c r="AS2" s="792"/>
      <c r="AT2" s="792"/>
      <c r="AU2" s="792"/>
      <c r="AV2" s="792"/>
      <c r="AW2" s="792"/>
      <c r="AX2" s="792"/>
      <c r="AY2" s="792"/>
      <c r="AZ2" s="792"/>
      <c r="BA2" s="792"/>
      <c r="BB2" s="792"/>
      <c r="BC2" s="792"/>
      <c r="BD2" s="792"/>
      <c r="BE2" s="792"/>
      <c r="BF2" s="792"/>
      <c r="BG2" s="792"/>
      <c r="BH2" s="792"/>
      <c r="BI2" s="792"/>
      <c r="BJ2" s="792"/>
      <c r="BK2" s="531"/>
      <c r="BL2" s="531"/>
      <c r="BM2" s="792"/>
      <c r="BN2" s="792"/>
      <c r="BO2" s="527"/>
      <c r="BP2" s="807"/>
      <c r="BQ2" s="808"/>
      <c r="BR2" s="565"/>
      <c r="BS2" s="567" t="s">
        <v>57</v>
      </c>
      <c r="BT2" s="568"/>
      <c r="BU2" s="809" t="s">
        <v>58</v>
      </c>
      <c r="BV2" s="810"/>
      <c r="BW2" s="569"/>
      <c r="BX2" s="807" t="s">
        <v>59</v>
      </c>
      <c r="BY2" s="808"/>
      <c r="BZ2" s="565">
        <v>30</v>
      </c>
    </row>
    <row r="3" spans="1:78" s="205" customFormat="1" ht="37.5" customHeight="1">
      <c r="A3" s="814" t="s">
        <v>60</v>
      </c>
      <c r="B3" s="816" t="s">
        <v>61</v>
      </c>
      <c r="C3" s="817"/>
      <c r="D3" s="811" t="s">
        <v>62</v>
      </c>
      <c r="E3" s="811"/>
      <c r="F3" s="811" t="s">
        <v>63</v>
      </c>
      <c r="G3" s="811"/>
      <c r="H3" s="833" t="s">
        <v>64</v>
      </c>
      <c r="I3" s="570" t="s">
        <v>65</v>
      </c>
      <c r="J3" s="536"/>
      <c r="K3" s="789"/>
      <c r="L3" s="811"/>
      <c r="M3" s="811"/>
      <c r="N3" s="811"/>
      <c r="O3" s="811"/>
      <c r="P3" s="811"/>
      <c r="Q3" s="811"/>
      <c r="R3" s="820" t="s">
        <v>66</v>
      </c>
      <c r="S3" s="820"/>
      <c r="T3" s="820"/>
      <c r="U3" s="821"/>
      <c r="V3" s="822" t="s">
        <v>67</v>
      </c>
      <c r="W3" s="823"/>
      <c r="X3" s="823"/>
      <c r="Y3" s="823"/>
      <c r="Z3" s="823"/>
      <c r="AA3" s="823"/>
      <c r="AB3" s="823"/>
      <c r="AC3" s="823"/>
      <c r="AD3" s="823"/>
      <c r="AE3" s="823"/>
      <c r="AF3" s="823"/>
      <c r="AG3" s="823"/>
      <c r="AH3" s="823"/>
      <c r="AI3" s="823"/>
      <c r="AJ3" s="823"/>
      <c r="AK3" s="823"/>
      <c r="AL3" s="823"/>
      <c r="AM3" s="823"/>
      <c r="AN3" s="824"/>
      <c r="AO3" s="828" t="s">
        <v>68</v>
      </c>
      <c r="AP3" s="820"/>
      <c r="AQ3" s="820"/>
      <c r="AR3" s="820"/>
      <c r="AS3" s="820"/>
      <c r="AT3" s="820"/>
      <c r="AU3" s="820"/>
      <c r="AV3" s="820"/>
      <c r="AW3" s="820"/>
      <c r="AX3" s="820"/>
      <c r="AY3" s="820"/>
      <c r="AZ3" s="820"/>
      <c r="BA3" s="820"/>
      <c r="BB3" s="820"/>
      <c r="BC3" s="820"/>
      <c r="BD3" s="820"/>
      <c r="BE3" s="820"/>
      <c r="BF3" s="820"/>
      <c r="BG3" s="820"/>
      <c r="BH3" s="820"/>
      <c r="BI3" s="820"/>
      <c r="BJ3" s="821"/>
      <c r="BK3" s="825" t="s">
        <v>69</v>
      </c>
      <c r="BL3" s="826"/>
      <c r="BM3" s="826"/>
      <c r="BN3" s="826"/>
      <c r="BO3" s="826"/>
      <c r="BP3" s="826"/>
      <c r="BQ3" s="826"/>
      <c r="BR3" s="827"/>
      <c r="BS3" s="818" t="s">
        <v>70</v>
      </c>
      <c r="BT3" s="790" t="s">
        <v>71</v>
      </c>
      <c r="BU3" s="790" t="s">
        <v>72</v>
      </c>
      <c r="BV3" s="790" t="s">
        <v>71</v>
      </c>
      <c r="BW3" s="790" t="s">
        <v>72</v>
      </c>
      <c r="BX3" s="811" t="s">
        <v>73</v>
      </c>
      <c r="BY3" s="571" t="s">
        <v>74</v>
      </c>
      <c r="BZ3" s="572" t="s">
        <v>74</v>
      </c>
    </row>
    <row r="4" spans="1:78" s="205" customFormat="1" ht="55.5" customHeight="1" thickBot="1">
      <c r="A4" s="815"/>
      <c r="B4" s="573" t="s">
        <v>75</v>
      </c>
      <c r="C4" s="574" t="s">
        <v>76</v>
      </c>
      <c r="D4" s="537" t="s">
        <v>75</v>
      </c>
      <c r="E4" s="574" t="s">
        <v>77</v>
      </c>
      <c r="F4" s="537" t="s">
        <v>78</v>
      </c>
      <c r="G4" s="574" t="s">
        <v>79</v>
      </c>
      <c r="H4" s="834"/>
      <c r="I4" s="575" t="s">
        <v>80</v>
      </c>
      <c r="J4" s="537" t="s">
        <v>81</v>
      </c>
      <c r="K4" s="537" t="s">
        <v>82</v>
      </c>
      <c r="L4" s="788" t="s">
        <v>83</v>
      </c>
      <c r="M4" s="537" t="s">
        <v>81</v>
      </c>
      <c r="N4" s="537" t="s">
        <v>84</v>
      </c>
      <c r="O4" s="537" t="s">
        <v>81</v>
      </c>
      <c r="P4" s="576" t="s">
        <v>85</v>
      </c>
      <c r="Q4" s="788" t="s">
        <v>86</v>
      </c>
      <c r="R4" s="688" t="s">
        <v>87</v>
      </c>
      <c r="S4" s="537" t="s">
        <v>81</v>
      </c>
      <c r="T4" s="688" t="s">
        <v>88</v>
      </c>
      <c r="U4" s="537" t="s">
        <v>81</v>
      </c>
      <c r="V4" s="548" t="s">
        <v>89</v>
      </c>
      <c r="W4" s="788" t="s">
        <v>90</v>
      </c>
      <c r="X4" s="548" t="s">
        <v>91</v>
      </c>
      <c r="Y4" s="788" t="s">
        <v>90</v>
      </c>
      <c r="Z4" s="716" t="s">
        <v>92</v>
      </c>
      <c r="AA4" s="788" t="s">
        <v>90</v>
      </c>
      <c r="AB4" s="548" t="s">
        <v>93</v>
      </c>
      <c r="AC4" s="788" t="s">
        <v>90</v>
      </c>
      <c r="AD4" s="548" t="s">
        <v>94</v>
      </c>
      <c r="AE4" s="788" t="s">
        <v>90</v>
      </c>
      <c r="AF4" s="548" t="s">
        <v>95</v>
      </c>
      <c r="AG4" s="788" t="s">
        <v>90</v>
      </c>
      <c r="AH4" s="548" t="s">
        <v>96</v>
      </c>
      <c r="AI4" s="788" t="s">
        <v>90</v>
      </c>
      <c r="AJ4" s="548" t="s">
        <v>97</v>
      </c>
      <c r="AK4" s="788" t="s">
        <v>90</v>
      </c>
      <c r="AL4" s="688" t="s">
        <v>98</v>
      </c>
      <c r="AM4" s="788" t="s">
        <v>90</v>
      </c>
      <c r="AN4" s="576" t="s">
        <v>99</v>
      </c>
      <c r="AO4" s="788" t="s">
        <v>100</v>
      </c>
      <c r="AP4" s="537" t="s">
        <v>81</v>
      </c>
      <c r="AQ4" s="788" t="s">
        <v>101</v>
      </c>
      <c r="AR4" s="537" t="s">
        <v>81</v>
      </c>
      <c r="AS4" s="788" t="s">
        <v>102</v>
      </c>
      <c r="AT4" s="537" t="s">
        <v>81</v>
      </c>
      <c r="AU4" s="788" t="s">
        <v>103</v>
      </c>
      <c r="AV4" s="537" t="s">
        <v>81</v>
      </c>
      <c r="AW4" s="537" t="s">
        <v>104</v>
      </c>
      <c r="AX4" s="537" t="s">
        <v>81</v>
      </c>
      <c r="AY4" s="788" t="s">
        <v>105</v>
      </c>
      <c r="AZ4" s="537" t="s">
        <v>81</v>
      </c>
      <c r="BA4" s="537" t="s">
        <v>106</v>
      </c>
      <c r="BB4" s="537" t="s">
        <v>81</v>
      </c>
      <c r="BC4" s="788" t="s">
        <v>107</v>
      </c>
      <c r="BD4" s="537" t="s">
        <v>81</v>
      </c>
      <c r="BE4" s="537" t="s">
        <v>108</v>
      </c>
      <c r="BF4" s="537" t="s">
        <v>81</v>
      </c>
      <c r="BG4" s="537" t="s">
        <v>109</v>
      </c>
      <c r="BH4" s="537" t="s">
        <v>81</v>
      </c>
      <c r="BI4" s="576" t="s">
        <v>110</v>
      </c>
      <c r="BJ4" s="576" t="s">
        <v>111</v>
      </c>
      <c r="BK4" s="788" t="s">
        <v>112</v>
      </c>
      <c r="BL4" s="537" t="s">
        <v>81</v>
      </c>
      <c r="BM4" s="537" t="s">
        <v>113</v>
      </c>
      <c r="BN4" s="537" t="s">
        <v>81</v>
      </c>
      <c r="BO4" s="537" t="s">
        <v>114</v>
      </c>
      <c r="BP4" s="537" t="s">
        <v>81</v>
      </c>
      <c r="BQ4" s="537" t="s">
        <v>115</v>
      </c>
      <c r="BR4" s="537" t="s">
        <v>81</v>
      </c>
      <c r="BS4" s="819"/>
      <c r="BT4" s="537" t="s">
        <v>116</v>
      </c>
      <c r="BU4" s="537" t="s">
        <v>117</v>
      </c>
      <c r="BV4" s="537" t="s">
        <v>118</v>
      </c>
      <c r="BW4" s="537" t="s">
        <v>118</v>
      </c>
      <c r="BX4" s="812"/>
      <c r="BY4" s="577" t="s">
        <v>119</v>
      </c>
      <c r="BZ4" s="578" t="s">
        <v>120</v>
      </c>
    </row>
    <row r="5" spans="1:78" s="385" customFormat="1" ht="39" customHeight="1">
      <c r="A5" s="525" t="s">
        <v>121</v>
      </c>
      <c r="B5" s="431"/>
      <c r="C5" s="432"/>
      <c r="D5" s="432"/>
      <c r="E5" s="432"/>
      <c r="F5" s="432"/>
      <c r="G5" s="432"/>
      <c r="H5" s="433"/>
      <c r="I5" s="771">
        <v>22746674</v>
      </c>
      <c r="J5" s="638">
        <f>IF(I5&gt;=I4,I5-I4,0)</f>
        <v>0</v>
      </c>
      <c r="K5" s="638">
        <f t="shared" ref="K5:K36" si="0">M5+O5</f>
        <v>0</v>
      </c>
      <c r="L5" s="771">
        <v>216116</v>
      </c>
      <c r="M5" s="638">
        <f t="shared" ref="M5:M36" si="1">IF(L5&gt;=L4,L5-L4,0)</f>
        <v>0</v>
      </c>
      <c r="N5" s="771">
        <v>227602</v>
      </c>
      <c r="O5" s="638">
        <f t="shared" ref="O5:O36" si="2">IF(N5&gt;=N4,N5-N4,0)</f>
        <v>0</v>
      </c>
      <c r="P5" s="771">
        <v>217618</v>
      </c>
      <c r="Q5" s="638">
        <f t="shared" ref="Q5:Q18" si="3">IF(P5&gt;=P4,P5-P4,0)*30</f>
        <v>0</v>
      </c>
      <c r="R5" s="770">
        <v>152378</v>
      </c>
      <c r="S5" s="638">
        <f t="shared" ref="S5:S20" si="4">IF(R5&gt;=R4,R5-R4,0)</f>
        <v>0</v>
      </c>
      <c r="T5" s="770">
        <v>276952</v>
      </c>
      <c r="U5" s="638">
        <f t="shared" ref="U5:U28" si="5">IF(T5&gt;=T4,T5-T4,0)</f>
        <v>0</v>
      </c>
      <c r="V5" s="770">
        <v>904062</v>
      </c>
      <c r="W5" s="638">
        <f t="shared" ref="W5:W36" si="6">IF(V5&gt;=V4,V5-V4,0)*0.53</f>
        <v>0</v>
      </c>
      <c r="X5" s="771">
        <v>547768</v>
      </c>
      <c r="Y5" s="638">
        <f t="shared" ref="Y5:Y36" si="7">IF(X5&gt;=X4,X5-X4,0)*0.53</f>
        <v>0</v>
      </c>
      <c r="Z5" s="771">
        <v>740382</v>
      </c>
      <c r="AA5" s="638">
        <f t="shared" ref="AA5:AA36" si="8">IF(Z5&gt;=Z4,Z5-Z4,0)*0.53</f>
        <v>0</v>
      </c>
      <c r="AB5" s="770">
        <v>333452</v>
      </c>
      <c r="AC5" s="638">
        <f>IF(AB5&gt;=AB4,AB5-AB4,0)*0.53</f>
        <v>0</v>
      </c>
      <c r="AD5" s="770">
        <v>374989</v>
      </c>
      <c r="AE5" s="638">
        <f>IF(AD5&gt;=AD4,AD5-AD4,0)*0.53</f>
        <v>0</v>
      </c>
      <c r="AF5" s="770">
        <v>802312</v>
      </c>
      <c r="AG5" s="638">
        <f t="shared" ref="AG5:AG12" si="9">IF(AF5&gt;=AF4,AF5-AF4,0)*0.53</f>
        <v>0</v>
      </c>
      <c r="AH5" s="770">
        <v>708025</v>
      </c>
      <c r="AI5" s="638">
        <f t="shared" ref="AI5:AI36" si="10">IF(AH5&gt;=AH4,AH5-AH4,0)*0.53</f>
        <v>0</v>
      </c>
      <c r="AJ5" s="770">
        <v>493081</v>
      </c>
      <c r="AK5" s="638">
        <f t="shared" ref="AK5:AK12" si="11">IF(AJ5&gt;=AJ4,AJ5-AJ4,0)*0.53</f>
        <v>0</v>
      </c>
      <c r="AL5" s="770">
        <v>427617</v>
      </c>
      <c r="AM5" s="638">
        <f t="shared" ref="AM5:AM36" si="12">IF(AL5&gt;=AL4,AL5-AL4,0)*0.53</f>
        <v>0</v>
      </c>
      <c r="AN5" s="638">
        <f>W5+Y5+AA5+AC5+AE5+AG5+AI5+AK5+AM5</f>
        <v>0</v>
      </c>
      <c r="AO5" s="709">
        <v>7370675</v>
      </c>
      <c r="AP5" s="638">
        <f>IF(AO5&gt;=AO4,AO5-AO4,0)*0.1125</f>
        <v>0</v>
      </c>
      <c r="AQ5" s="771">
        <v>619381</v>
      </c>
      <c r="AR5" s="638">
        <f t="shared" ref="AR5:AR36" si="13">IF(AQ5&gt;=AQ4,AQ5-AQ4,0)</f>
        <v>0</v>
      </c>
      <c r="AS5" s="770">
        <v>932202</v>
      </c>
      <c r="AT5" s="638">
        <f>IF(AS5&gt;=AS4,AS5-AS4,0)</f>
        <v>0</v>
      </c>
      <c r="AU5" s="770">
        <v>800419</v>
      </c>
      <c r="AV5" s="638">
        <f t="shared" ref="AV5:AV36" si="14">IF(AU5&gt;=AU4,AU5-AU4,0)</f>
        <v>0</v>
      </c>
      <c r="AW5" s="770">
        <v>2433073</v>
      </c>
      <c r="AX5" s="638">
        <f t="shared" ref="AX5:AX36" si="15">IF(AW5&gt;=AW4,AW5-AW4,0)</f>
        <v>0</v>
      </c>
      <c r="AY5" s="771">
        <v>217166</v>
      </c>
      <c r="AZ5" s="638">
        <f t="shared" ref="AZ5:AZ18" si="16">IF(AY5&gt;=AY4,AY5-AY4,0)</f>
        <v>0</v>
      </c>
      <c r="BA5" s="770">
        <v>18257880</v>
      </c>
      <c r="BB5" s="638">
        <f t="shared" ref="BB5:BF36" si="17">IF(BA5&gt;=BA4,BA5-BA4,0)</f>
        <v>0</v>
      </c>
      <c r="BC5" s="770">
        <v>517828</v>
      </c>
      <c r="BD5" s="638">
        <f t="shared" si="17"/>
        <v>0</v>
      </c>
      <c r="BE5" s="770">
        <v>12219</v>
      </c>
      <c r="BF5" s="638">
        <f t="shared" si="17"/>
        <v>0</v>
      </c>
      <c r="BG5" s="771">
        <v>22769782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1">
        <v>1393419</v>
      </c>
      <c r="BL5" s="638">
        <f t="shared" ref="BL5:BL36" si="18">IF(BK5&gt;=BK4,BK5-BK4,0)</f>
        <v>0</v>
      </c>
      <c r="BM5" s="771">
        <v>3659868</v>
      </c>
      <c r="BN5" s="638">
        <f t="shared" ref="BN5:BN36" si="19">IF(BM5&gt;=BM4,BM5-BM4,0)</f>
        <v>0</v>
      </c>
      <c r="BO5" s="770">
        <v>388992</v>
      </c>
      <c r="BP5" s="638">
        <f t="shared" ref="BP5:BP36" si="20">IF(BO5&gt;=BO4,BO5-BO4,0)</f>
        <v>0</v>
      </c>
      <c r="BQ5" s="770">
        <v>482745</v>
      </c>
      <c r="BR5" s="638">
        <f t="shared" ref="BR5:BR11" si="21">IF(BQ5&gt;=BQ4,BQ5-BQ4,0)</f>
        <v>0</v>
      </c>
      <c r="BS5" s="770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1">
        <v>22752009</v>
      </c>
      <c r="J6" s="638">
        <f t="shared" ref="J6:J36" si="22">IF(I6&gt;=I5,I6-I5,0)</f>
        <v>5335</v>
      </c>
      <c r="K6" s="638">
        <f t="shared" si="0"/>
        <v>3380</v>
      </c>
      <c r="L6" s="771">
        <v>218121</v>
      </c>
      <c r="M6" s="638">
        <f t="shared" si="1"/>
        <v>2005</v>
      </c>
      <c r="N6" s="771">
        <v>228977</v>
      </c>
      <c r="O6" s="638">
        <f>IF(N6&gt;=N5,N6-N5,0)</f>
        <v>1375</v>
      </c>
      <c r="P6" s="771">
        <v>217638</v>
      </c>
      <c r="Q6" s="638">
        <f t="shared" si="3"/>
        <v>600</v>
      </c>
      <c r="R6" s="770">
        <v>152494</v>
      </c>
      <c r="S6" s="638">
        <f t="shared" si="4"/>
        <v>116</v>
      </c>
      <c r="T6" s="770">
        <v>277180</v>
      </c>
      <c r="U6" s="638">
        <f t="shared" si="5"/>
        <v>228</v>
      </c>
      <c r="V6" s="770">
        <v>911223</v>
      </c>
      <c r="W6" s="638">
        <f t="shared" si="6"/>
        <v>3795.3300000000004</v>
      </c>
      <c r="X6" s="771">
        <v>547768</v>
      </c>
      <c r="Y6" s="638">
        <f t="shared" si="7"/>
        <v>0</v>
      </c>
      <c r="Z6" s="770">
        <v>747170</v>
      </c>
      <c r="AA6" s="638">
        <f t="shared" si="8"/>
        <v>3597.6400000000003</v>
      </c>
      <c r="AB6" s="770">
        <v>333452</v>
      </c>
      <c r="AC6" s="638">
        <f>IF(AB6&gt;=AB5,AB6-AB5,0)*0.53</f>
        <v>0</v>
      </c>
      <c r="AD6" s="770">
        <v>378325</v>
      </c>
      <c r="AE6" s="638">
        <f t="shared" ref="AE6:AE36" si="23">IF(AD6&gt;=AD5,AD6-AD5,0)*0.53</f>
        <v>1768.0800000000002</v>
      </c>
      <c r="AF6" s="770">
        <v>802312</v>
      </c>
      <c r="AG6" s="638">
        <f t="shared" si="9"/>
        <v>0</v>
      </c>
      <c r="AH6" s="771">
        <v>710118</v>
      </c>
      <c r="AI6" s="638">
        <f t="shared" si="10"/>
        <v>1109.29</v>
      </c>
      <c r="AJ6" s="771">
        <v>499882</v>
      </c>
      <c r="AK6" s="638">
        <f t="shared" si="11"/>
        <v>3604.53</v>
      </c>
      <c r="AL6" s="770">
        <v>427909</v>
      </c>
      <c r="AM6" s="638">
        <f t="shared" si="12"/>
        <v>154.76000000000002</v>
      </c>
      <c r="AN6" s="638">
        <f t="shared" ref="AN6:AN36" si="24">W6+Y6+AA6+AC6+AE6+AG6+AI6+AK6+AM6</f>
        <v>14029.630000000001</v>
      </c>
      <c r="AO6" s="770">
        <v>7372449</v>
      </c>
      <c r="AP6" s="638">
        <f t="shared" ref="AP6:AP36" si="25">IF(AO6&gt;=AO5,AO6-AO5,0)*0.1125</f>
        <v>199.57500000000002</v>
      </c>
      <c r="AQ6" s="770">
        <v>619516</v>
      </c>
      <c r="AR6" s="638">
        <f t="shared" si="13"/>
        <v>135</v>
      </c>
      <c r="AS6" s="770">
        <v>932364</v>
      </c>
      <c r="AT6" s="638">
        <f t="shared" ref="AT6:AT34" si="26">IF(AS6&gt;=AS5,AS6-AS5,0)</f>
        <v>162</v>
      </c>
      <c r="AU6" s="712">
        <v>800447</v>
      </c>
      <c r="AV6" s="638">
        <f t="shared" si="14"/>
        <v>28</v>
      </c>
      <c r="AW6" s="771">
        <v>2434244</v>
      </c>
      <c r="AX6" s="638">
        <f t="shared" si="15"/>
        <v>1171</v>
      </c>
      <c r="AY6" s="770">
        <v>217231</v>
      </c>
      <c r="AZ6" s="638">
        <f t="shared" si="16"/>
        <v>65</v>
      </c>
      <c r="BA6" s="771">
        <v>18261945</v>
      </c>
      <c r="BB6" s="638">
        <f t="shared" si="17"/>
        <v>4065</v>
      </c>
      <c r="BC6" s="770">
        <v>518006</v>
      </c>
      <c r="BD6" s="638">
        <f t="shared" si="17"/>
        <v>178</v>
      </c>
      <c r="BE6" s="770">
        <v>12351</v>
      </c>
      <c r="BF6" s="638">
        <f t="shared" si="17"/>
        <v>132</v>
      </c>
      <c r="BG6" s="771">
        <v>22776079</v>
      </c>
      <c r="BH6" s="638">
        <f t="shared" ref="BH6:BH36" si="27">IF(BG6&gt;=BG5,BG6-BG5,0)-(0.45*BN6)-(0.45*BP6)-BR6</f>
        <v>5599.6500000000005</v>
      </c>
      <c r="BI6" s="638">
        <f t="shared" ref="BI6:BI36" si="28">AP6+AR6+AT6+AV6+AX6+AZ6+BB6+BD6+BF6+BH6</f>
        <v>11735.225</v>
      </c>
      <c r="BJ6" s="638">
        <f t="shared" ref="BJ6:BJ36" si="29">BI6+AN6</f>
        <v>25764.855000000003</v>
      </c>
      <c r="BK6" s="771">
        <v>1393373</v>
      </c>
      <c r="BL6" s="638">
        <f t="shared" si="18"/>
        <v>0</v>
      </c>
      <c r="BM6" s="771">
        <v>3660955</v>
      </c>
      <c r="BN6" s="638">
        <f t="shared" si="19"/>
        <v>1087</v>
      </c>
      <c r="BO6" s="771">
        <v>389068</v>
      </c>
      <c r="BP6" s="638">
        <f t="shared" si="20"/>
        <v>76</v>
      </c>
      <c r="BQ6" s="770">
        <v>482919</v>
      </c>
      <c r="BR6" s="638">
        <f t="shared" si="21"/>
        <v>174</v>
      </c>
      <c r="BS6" s="694">
        <f t="shared" ref="BS6:BS36" si="30">J6+Q6+AN6+BI6</f>
        <v>31699.855000000003</v>
      </c>
      <c r="BT6" s="695">
        <v>215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36724.833250000003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1">
        <v>22757329</v>
      </c>
      <c r="J7" s="638">
        <f t="shared" si="22"/>
        <v>5320</v>
      </c>
      <c r="K7" s="638">
        <f t="shared" si="0"/>
        <v>3529</v>
      </c>
      <c r="L7" s="771">
        <v>220130</v>
      </c>
      <c r="M7" s="638">
        <f>IF(L7&gt;=L6,L7-L6,0)</f>
        <v>2009</v>
      </c>
      <c r="N7" s="771">
        <v>230497</v>
      </c>
      <c r="O7" s="638">
        <f>IF(N7&gt;=N6,N7-N6,0)</f>
        <v>1520</v>
      </c>
      <c r="P7" s="771">
        <v>217658</v>
      </c>
      <c r="Q7" s="638">
        <f t="shared" si="3"/>
        <v>600</v>
      </c>
      <c r="R7" s="770">
        <v>152641</v>
      </c>
      <c r="S7" s="638">
        <f t="shared" si="4"/>
        <v>147</v>
      </c>
      <c r="T7" s="770">
        <v>277475</v>
      </c>
      <c r="U7" s="638">
        <f t="shared" si="5"/>
        <v>295</v>
      </c>
      <c r="V7" s="770">
        <v>916759</v>
      </c>
      <c r="W7" s="638">
        <f t="shared" si="6"/>
        <v>2934.08</v>
      </c>
      <c r="X7" s="771">
        <v>551346</v>
      </c>
      <c r="Y7" s="638">
        <f t="shared" si="7"/>
        <v>1896.3400000000001</v>
      </c>
      <c r="Z7" s="770">
        <v>748350</v>
      </c>
      <c r="AA7" s="638">
        <f t="shared" si="8"/>
        <v>625.4</v>
      </c>
      <c r="AB7" s="770">
        <v>333452</v>
      </c>
      <c r="AC7" s="638">
        <f t="shared" ref="AC7:AC36" si="34">IF(AB7&gt;=AB6,AB7-AB6,0)*0.53</f>
        <v>0</v>
      </c>
      <c r="AD7" s="770">
        <v>378523</v>
      </c>
      <c r="AE7" s="638">
        <f t="shared" si="23"/>
        <v>104.94000000000001</v>
      </c>
      <c r="AF7" s="770">
        <v>802902</v>
      </c>
      <c r="AG7" s="638">
        <f t="shared" si="9"/>
        <v>312.7</v>
      </c>
      <c r="AH7" s="771">
        <v>712405</v>
      </c>
      <c r="AI7" s="638">
        <f t="shared" si="10"/>
        <v>1212.1100000000001</v>
      </c>
      <c r="AJ7" s="771">
        <v>507144</v>
      </c>
      <c r="AK7" s="638">
        <f t="shared" si="11"/>
        <v>3848.86</v>
      </c>
      <c r="AL7" s="770">
        <v>428232</v>
      </c>
      <c r="AM7" s="638">
        <f t="shared" si="12"/>
        <v>171.19</v>
      </c>
      <c r="AN7" s="638">
        <f t="shared" si="24"/>
        <v>11105.62</v>
      </c>
      <c r="AO7" s="770">
        <v>7374272</v>
      </c>
      <c r="AP7" s="638">
        <f t="shared" si="25"/>
        <v>205.08750000000001</v>
      </c>
      <c r="AQ7" s="770">
        <v>619714</v>
      </c>
      <c r="AR7" s="638">
        <f t="shared" si="13"/>
        <v>198</v>
      </c>
      <c r="AS7" s="770">
        <v>932537</v>
      </c>
      <c r="AT7" s="638">
        <f t="shared" si="26"/>
        <v>173</v>
      </c>
      <c r="AU7" s="712">
        <v>800474</v>
      </c>
      <c r="AV7" s="638">
        <f t="shared" si="14"/>
        <v>27</v>
      </c>
      <c r="AW7" s="771">
        <v>2435344</v>
      </c>
      <c r="AX7" s="638">
        <f t="shared" si="15"/>
        <v>1100</v>
      </c>
      <c r="AY7" s="770">
        <v>217310</v>
      </c>
      <c r="AZ7" s="638">
        <f t="shared" si="16"/>
        <v>79</v>
      </c>
      <c r="BA7" s="771">
        <v>18266725</v>
      </c>
      <c r="BB7" s="638">
        <f t="shared" si="17"/>
        <v>4780</v>
      </c>
      <c r="BC7" s="770">
        <v>518201</v>
      </c>
      <c r="BD7" s="638">
        <f t="shared" si="17"/>
        <v>195</v>
      </c>
      <c r="BE7" s="770">
        <v>12501</v>
      </c>
      <c r="BF7" s="638">
        <f t="shared" si="17"/>
        <v>150</v>
      </c>
      <c r="BG7" s="771">
        <v>22783052</v>
      </c>
      <c r="BH7" s="638">
        <f t="shared" si="27"/>
        <v>6085.8499999999995</v>
      </c>
      <c r="BI7" s="638">
        <f t="shared" si="28"/>
        <v>12992.9375</v>
      </c>
      <c r="BJ7" s="638">
        <f t="shared" si="29"/>
        <v>24098.557500000003</v>
      </c>
      <c r="BK7" s="771">
        <v>1393390</v>
      </c>
      <c r="BL7" s="638">
        <f t="shared" si="18"/>
        <v>17</v>
      </c>
      <c r="BM7" s="771">
        <v>3662344</v>
      </c>
      <c r="BN7" s="638">
        <f t="shared" si="19"/>
        <v>1389</v>
      </c>
      <c r="BO7" s="771">
        <v>389166</v>
      </c>
      <c r="BP7" s="638">
        <f t="shared" si="20"/>
        <v>98</v>
      </c>
      <c r="BQ7" s="770">
        <v>483137</v>
      </c>
      <c r="BR7" s="638">
        <f t="shared" si="21"/>
        <v>218</v>
      </c>
      <c r="BS7" s="694">
        <f t="shared" si="30"/>
        <v>30018.557500000003</v>
      </c>
      <c r="BT7" s="695">
        <v>207</v>
      </c>
      <c r="BU7" s="694">
        <f t="shared" si="31"/>
        <v>139.62119767441862</v>
      </c>
      <c r="BV7" s="695"/>
      <c r="BW7" s="694" t="e">
        <f t="shared" si="32"/>
        <v>#DIV/0!</v>
      </c>
      <c r="BX7" s="694">
        <f t="shared" ref="BX7:BX36" si="35">((BS7-Q7)*$BZ$1)+(Q7*$BR$1)</f>
        <v>34791.341124999999</v>
      </c>
      <c r="BY7" s="694">
        <f t="shared" si="33"/>
        <v>161.82019127906977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1">
        <v>22763354</v>
      </c>
      <c r="J8" s="638">
        <f t="shared" si="22"/>
        <v>6025</v>
      </c>
      <c r="K8" s="638">
        <f t="shared" si="0"/>
        <v>2722</v>
      </c>
      <c r="L8" s="771">
        <v>221667</v>
      </c>
      <c r="M8" s="638">
        <f>IF(L8&gt;=L7,L8-L7,0)</f>
        <v>1537</v>
      </c>
      <c r="N8" s="771">
        <v>231682</v>
      </c>
      <c r="O8" s="638">
        <f t="shared" ref="O8:O11" si="40">IF(N8&gt;=N7,N8-N7,0)</f>
        <v>1185</v>
      </c>
      <c r="P8" s="771">
        <v>217675</v>
      </c>
      <c r="Q8" s="638">
        <f t="shared" si="3"/>
        <v>510</v>
      </c>
      <c r="R8" s="770">
        <v>152762</v>
      </c>
      <c r="S8" s="638">
        <f t="shared" si="4"/>
        <v>121</v>
      </c>
      <c r="T8" s="770">
        <v>277716</v>
      </c>
      <c r="U8" s="638">
        <f t="shared" si="5"/>
        <v>241</v>
      </c>
      <c r="V8" s="770">
        <v>921141</v>
      </c>
      <c r="W8" s="638">
        <f t="shared" si="6"/>
        <v>2322.46</v>
      </c>
      <c r="X8" s="771">
        <v>557335</v>
      </c>
      <c r="Y8" s="638">
        <f t="shared" si="7"/>
        <v>3174.17</v>
      </c>
      <c r="Z8" s="771">
        <v>748350</v>
      </c>
      <c r="AA8" s="638">
        <f t="shared" si="8"/>
        <v>0</v>
      </c>
      <c r="AB8" s="770">
        <v>333452</v>
      </c>
      <c r="AC8" s="638">
        <f t="shared" si="34"/>
        <v>0</v>
      </c>
      <c r="AD8" s="770">
        <v>378543</v>
      </c>
      <c r="AE8" s="638">
        <f t="shared" si="23"/>
        <v>10.600000000000001</v>
      </c>
      <c r="AF8" s="770">
        <v>805856</v>
      </c>
      <c r="AG8" s="638">
        <f t="shared" si="9"/>
        <v>1565.6200000000001</v>
      </c>
      <c r="AH8" s="770">
        <v>714187</v>
      </c>
      <c r="AI8" s="638">
        <f t="shared" si="10"/>
        <v>944.46</v>
      </c>
      <c r="AJ8" s="770">
        <v>512724</v>
      </c>
      <c r="AK8" s="638">
        <f t="shared" si="11"/>
        <v>2957.4</v>
      </c>
      <c r="AL8" s="770">
        <v>428489</v>
      </c>
      <c r="AM8" s="638">
        <f t="shared" si="12"/>
        <v>136.21</v>
      </c>
      <c r="AN8" s="638">
        <f t="shared" si="24"/>
        <v>11110.92</v>
      </c>
      <c r="AO8" s="770">
        <v>7375953</v>
      </c>
      <c r="AP8" s="638">
        <f t="shared" si="25"/>
        <v>189.11250000000001</v>
      </c>
      <c r="AQ8" s="771">
        <v>620002</v>
      </c>
      <c r="AR8" s="638">
        <f t="shared" si="13"/>
        <v>288</v>
      </c>
      <c r="AS8" s="771">
        <v>932699</v>
      </c>
      <c r="AT8" s="638">
        <f t="shared" si="26"/>
        <v>162</v>
      </c>
      <c r="AU8" s="712">
        <v>800502</v>
      </c>
      <c r="AV8" s="638">
        <f>IF(AU8&gt;=AU7,AU8-AU7,0)</f>
        <v>28</v>
      </c>
      <c r="AW8" s="771">
        <v>2436218</v>
      </c>
      <c r="AX8" s="638">
        <f t="shared" si="15"/>
        <v>874</v>
      </c>
      <c r="AY8" s="770">
        <v>217376</v>
      </c>
      <c r="AZ8" s="638">
        <f t="shared" si="16"/>
        <v>66</v>
      </c>
      <c r="BA8" s="770">
        <v>18271706</v>
      </c>
      <c r="BB8" s="638">
        <f t="shared" si="17"/>
        <v>4981</v>
      </c>
      <c r="BC8" s="770">
        <v>518384</v>
      </c>
      <c r="BD8" s="638">
        <f t="shared" si="17"/>
        <v>183</v>
      </c>
      <c r="BE8" s="770">
        <v>12654</v>
      </c>
      <c r="BF8" s="638">
        <f t="shared" si="17"/>
        <v>153</v>
      </c>
      <c r="BG8" s="771">
        <v>22788829</v>
      </c>
      <c r="BH8" s="638">
        <f t="shared" si="27"/>
        <v>5043.8</v>
      </c>
      <c r="BI8" s="638">
        <f t="shared" si="28"/>
        <v>11967.9125</v>
      </c>
      <c r="BJ8" s="638">
        <f t="shared" si="29"/>
        <v>23078.8325</v>
      </c>
      <c r="BK8" s="771">
        <v>1393438</v>
      </c>
      <c r="BL8" s="638">
        <f t="shared" si="18"/>
        <v>48</v>
      </c>
      <c r="BM8" s="770">
        <v>3663518</v>
      </c>
      <c r="BN8" s="638">
        <f t="shared" si="19"/>
        <v>1174</v>
      </c>
      <c r="BO8" s="770">
        <v>389248</v>
      </c>
      <c r="BP8" s="638">
        <f t="shared" si="20"/>
        <v>82</v>
      </c>
      <c r="BQ8" s="770">
        <v>483305</v>
      </c>
      <c r="BR8" s="638">
        <f t="shared" si="21"/>
        <v>168</v>
      </c>
      <c r="BS8" s="694">
        <f t="shared" si="30"/>
        <v>29613.832499999997</v>
      </c>
      <c r="BT8" s="695">
        <v>177</v>
      </c>
      <c r="BU8" s="694">
        <f t="shared" si="31"/>
        <v>143.06199275362317</v>
      </c>
      <c r="BV8" s="695"/>
      <c r="BW8" s="694" t="e">
        <f t="shared" si="32"/>
        <v>#DIV/0!</v>
      </c>
      <c r="BX8" s="694">
        <f t="shared" si="35"/>
        <v>34285.407374999995</v>
      </c>
      <c r="BY8" s="694">
        <f t="shared" si="33"/>
        <v>165.62998731884056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1">
        <v>22768483</v>
      </c>
      <c r="J9" s="638">
        <f>IF(I9&gt;=I8,I9-I8,0)</f>
        <v>5129</v>
      </c>
      <c r="K9" s="638">
        <f t="shared" si="0"/>
        <v>3304</v>
      </c>
      <c r="L9" s="771">
        <v>223571</v>
      </c>
      <c r="M9" s="638">
        <f>IF(L9&gt;=L8,L9-L8,0)</f>
        <v>1904</v>
      </c>
      <c r="N9" s="771">
        <v>233082</v>
      </c>
      <c r="O9" s="638">
        <f t="shared" si="40"/>
        <v>1400</v>
      </c>
      <c r="P9" s="771">
        <v>217692</v>
      </c>
      <c r="Q9" s="638">
        <f t="shared" si="3"/>
        <v>510</v>
      </c>
      <c r="R9" s="770">
        <v>152892</v>
      </c>
      <c r="S9" s="638">
        <f t="shared" si="4"/>
        <v>130</v>
      </c>
      <c r="T9" s="770">
        <v>277967</v>
      </c>
      <c r="U9" s="638">
        <f t="shared" si="5"/>
        <v>251</v>
      </c>
      <c r="V9" s="770">
        <v>925973</v>
      </c>
      <c r="W9" s="638">
        <f t="shared" si="6"/>
        <v>2560.96</v>
      </c>
      <c r="X9" s="771">
        <v>564468</v>
      </c>
      <c r="Y9" s="638">
        <f t="shared" si="7"/>
        <v>3780.4900000000002</v>
      </c>
      <c r="Z9" s="771">
        <v>749148</v>
      </c>
      <c r="AA9" s="638">
        <f t="shared" si="8"/>
        <v>422.94</v>
      </c>
      <c r="AB9" s="770">
        <v>333452</v>
      </c>
      <c r="AC9" s="638">
        <f t="shared" si="34"/>
        <v>0</v>
      </c>
      <c r="AD9" s="770">
        <v>378564</v>
      </c>
      <c r="AE9" s="638">
        <f t="shared" si="23"/>
        <v>11.13</v>
      </c>
      <c r="AF9" s="770">
        <v>808940</v>
      </c>
      <c r="AG9" s="638">
        <f t="shared" si="9"/>
        <v>1634.52</v>
      </c>
      <c r="AH9" s="771">
        <v>716349</v>
      </c>
      <c r="AI9" s="638">
        <f t="shared" si="10"/>
        <v>1145.8600000000001</v>
      </c>
      <c r="AJ9" s="771">
        <v>519847</v>
      </c>
      <c r="AK9" s="638">
        <f t="shared" si="11"/>
        <v>3775.19</v>
      </c>
      <c r="AL9" s="770">
        <v>428799</v>
      </c>
      <c r="AM9" s="638">
        <f t="shared" si="12"/>
        <v>164.3</v>
      </c>
      <c r="AN9" s="638">
        <f t="shared" si="24"/>
        <v>13495.390000000001</v>
      </c>
      <c r="AO9" s="770">
        <v>7377751</v>
      </c>
      <c r="AP9" s="638">
        <f t="shared" si="25"/>
        <v>202.27500000000001</v>
      </c>
      <c r="AQ9" s="770">
        <v>620285</v>
      </c>
      <c r="AR9" s="638">
        <f t="shared" si="13"/>
        <v>283</v>
      </c>
      <c r="AS9" s="771">
        <v>932864</v>
      </c>
      <c r="AT9" s="638">
        <f t="shared" si="26"/>
        <v>165</v>
      </c>
      <c r="AU9" s="712">
        <v>800544</v>
      </c>
      <c r="AV9" s="638">
        <f>IF(AU9&gt;=AU8,AU9-AU8,0)</f>
        <v>42</v>
      </c>
      <c r="AW9" s="771">
        <v>2437259</v>
      </c>
      <c r="AX9" s="638">
        <f t="shared" si="15"/>
        <v>1041</v>
      </c>
      <c r="AY9" s="770">
        <v>217447</v>
      </c>
      <c r="AZ9" s="638">
        <f t="shared" si="16"/>
        <v>71</v>
      </c>
      <c r="BA9" s="771">
        <v>18276431</v>
      </c>
      <c r="BB9" s="638">
        <f t="shared" si="17"/>
        <v>4725</v>
      </c>
      <c r="BC9" s="770">
        <v>518574</v>
      </c>
      <c r="BD9" s="638">
        <f t="shared" si="17"/>
        <v>190</v>
      </c>
      <c r="BE9" s="770">
        <v>12761</v>
      </c>
      <c r="BF9" s="638">
        <f t="shared" si="17"/>
        <v>107</v>
      </c>
      <c r="BG9" s="771">
        <v>22795524</v>
      </c>
      <c r="BH9" s="638">
        <f t="shared" si="27"/>
        <v>5812.4</v>
      </c>
      <c r="BI9" s="638">
        <f t="shared" si="28"/>
        <v>12638.674999999999</v>
      </c>
      <c r="BJ9" s="638">
        <f t="shared" si="29"/>
        <v>26134.065000000002</v>
      </c>
      <c r="BK9" s="771">
        <v>1393496</v>
      </c>
      <c r="BL9" s="638">
        <f t="shared" si="18"/>
        <v>58</v>
      </c>
      <c r="BM9" s="771">
        <v>3664952</v>
      </c>
      <c r="BN9" s="638">
        <f t="shared" si="19"/>
        <v>1434</v>
      </c>
      <c r="BO9" s="771">
        <v>389342</v>
      </c>
      <c r="BP9" s="638">
        <f t="shared" si="20"/>
        <v>94</v>
      </c>
      <c r="BQ9" s="770">
        <v>483500</v>
      </c>
      <c r="BR9" s="638">
        <f t="shared" si="21"/>
        <v>195</v>
      </c>
      <c r="BS9" s="694">
        <f t="shared" si="30"/>
        <v>31773.064999999999</v>
      </c>
      <c r="BT9" s="695">
        <v>177</v>
      </c>
      <c r="BU9" s="694">
        <f t="shared" si="31"/>
        <v>179.50884180790959</v>
      </c>
      <c r="BV9" s="695"/>
      <c r="BW9" s="694" t="e">
        <f t="shared" si="32"/>
        <v>#DIV/0!</v>
      </c>
      <c r="BX9" s="694">
        <f t="shared" si="35"/>
        <v>36768.524749999997</v>
      </c>
      <c r="BY9" s="694">
        <f t="shared" si="33"/>
        <v>207.73177824858755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0">
        <f t="shared" si="37"/>
        <v>0</v>
      </c>
      <c r="D10" s="770"/>
      <c r="E10" s="770">
        <f t="shared" si="38"/>
        <v>0</v>
      </c>
      <c r="F10" s="770"/>
      <c r="G10" s="770">
        <f t="shared" si="39"/>
        <v>0</v>
      </c>
      <c r="H10" s="456">
        <v>58</v>
      </c>
      <c r="I10" s="771">
        <v>22773840</v>
      </c>
      <c r="J10" s="638">
        <f>IF(I10&gt;=I9,I10-I9,0)</f>
        <v>5357</v>
      </c>
      <c r="K10" s="638">
        <f t="shared" si="0"/>
        <v>3233</v>
      </c>
      <c r="L10" s="771">
        <v>225436</v>
      </c>
      <c r="M10" s="638">
        <f>IF(L10&gt;=L9,L10-L9,0)</f>
        <v>1865</v>
      </c>
      <c r="N10" s="770">
        <v>234450</v>
      </c>
      <c r="O10" s="638">
        <f t="shared" si="40"/>
        <v>1368</v>
      </c>
      <c r="P10" s="771">
        <v>217710</v>
      </c>
      <c r="Q10" s="638">
        <f t="shared" si="3"/>
        <v>540</v>
      </c>
      <c r="R10" s="770">
        <v>153028</v>
      </c>
      <c r="S10" s="638">
        <f t="shared" si="4"/>
        <v>136</v>
      </c>
      <c r="T10" s="770">
        <v>278238</v>
      </c>
      <c r="U10" s="638">
        <f t="shared" si="5"/>
        <v>271</v>
      </c>
      <c r="V10" s="770">
        <v>930336</v>
      </c>
      <c r="W10" s="638">
        <f t="shared" si="6"/>
        <v>2312.3900000000003</v>
      </c>
      <c r="X10" s="771">
        <v>571537</v>
      </c>
      <c r="Y10" s="638">
        <f t="shared" si="7"/>
        <v>3746.57</v>
      </c>
      <c r="Z10" s="771">
        <v>749148</v>
      </c>
      <c r="AA10" s="638">
        <f t="shared" si="8"/>
        <v>0</v>
      </c>
      <c r="AB10" s="770">
        <v>333452</v>
      </c>
      <c r="AC10" s="638">
        <f t="shared" si="34"/>
        <v>0</v>
      </c>
      <c r="AD10" s="770">
        <v>378586</v>
      </c>
      <c r="AE10" s="638">
        <f t="shared" si="23"/>
        <v>11.66</v>
      </c>
      <c r="AF10" s="770">
        <v>811955</v>
      </c>
      <c r="AG10" s="638">
        <f t="shared" si="9"/>
        <v>1597.95</v>
      </c>
      <c r="AH10" s="770">
        <v>718356</v>
      </c>
      <c r="AI10" s="638">
        <f t="shared" si="10"/>
        <v>1063.71</v>
      </c>
      <c r="AJ10" s="770">
        <v>526678</v>
      </c>
      <c r="AK10" s="638">
        <f t="shared" si="11"/>
        <v>3620.4300000000003</v>
      </c>
      <c r="AL10" s="770">
        <v>429102</v>
      </c>
      <c r="AM10" s="638">
        <f t="shared" si="12"/>
        <v>160.59</v>
      </c>
      <c r="AN10" s="638">
        <f t="shared" si="24"/>
        <v>12513.300000000001</v>
      </c>
      <c r="AO10" s="770">
        <v>7379521</v>
      </c>
      <c r="AP10" s="638">
        <f t="shared" si="25"/>
        <v>199.125</v>
      </c>
      <c r="AQ10" s="770">
        <v>620525</v>
      </c>
      <c r="AR10" s="638">
        <f t="shared" si="13"/>
        <v>240</v>
      </c>
      <c r="AS10" s="770">
        <v>933027</v>
      </c>
      <c r="AT10" s="638">
        <f t="shared" si="26"/>
        <v>163</v>
      </c>
      <c r="AU10" s="770">
        <v>800589</v>
      </c>
      <c r="AV10" s="638">
        <f>IF(AU10&gt;=AU9,AU10-AU9,0)</f>
        <v>45</v>
      </c>
      <c r="AW10" s="770">
        <v>2438314</v>
      </c>
      <c r="AX10" s="638">
        <f t="shared" si="15"/>
        <v>1055</v>
      </c>
      <c r="AY10" s="771">
        <v>217512</v>
      </c>
      <c r="AZ10" s="638">
        <f t="shared" si="16"/>
        <v>65</v>
      </c>
      <c r="BA10" s="770">
        <v>18281295</v>
      </c>
      <c r="BB10" s="638">
        <f t="shared" si="17"/>
        <v>4864</v>
      </c>
      <c r="BC10" s="770">
        <v>518772</v>
      </c>
      <c r="BD10" s="638">
        <f t="shared" si="17"/>
        <v>198</v>
      </c>
      <c r="BE10" s="770">
        <v>12873</v>
      </c>
      <c r="BF10" s="638">
        <f t="shared" si="17"/>
        <v>112</v>
      </c>
      <c r="BG10" s="771">
        <v>22802163</v>
      </c>
      <c r="BH10" s="638">
        <f t="shared" si="27"/>
        <v>6638.55</v>
      </c>
      <c r="BI10" s="638">
        <f t="shared" si="28"/>
        <v>13579.674999999999</v>
      </c>
      <c r="BJ10" s="638">
        <f t="shared" si="29"/>
        <v>26092.974999999999</v>
      </c>
      <c r="BK10" s="771">
        <v>1393557</v>
      </c>
      <c r="BL10" s="638">
        <f t="shared" si="18"/>
        <v>61</v>
      </c>
      <c r="BM10" s="771">
        <v>3664953</v>
      </c>
      <c r="BN10" s="638">
        <f t="shared" si="19"/>
        <v>1</v>
      </c>
      <c r="BO10" s="709">
        <v>389342</v>
      </c>
      <c r="BP10" s="638">
        <f t="shared" si="20"/>
        <v>0</v>
      </c>
      <c r="BQ10" s="770">
        <v>483500</v>
      </c>
      <c r="BR10" s="638">
        <f t="shared" si="21"/>
        <v>0</v>
      </c>
      <c r="BS10" s="694">
        <f t="shared" si="30"/>
        <v>31989.975000000002</v>
      </c>
      <c r="BT10" s="695">
        <v>173</v>
      </c>
      <c r="BU10" s="694">
        <f t="shared" si="31"/>
        <v>180.73432203389831</v>
      </c>
      <c r="BV10" s="695"/>
      <c r="BW10" s="694" t="e">
        <f t="shared" si="32"/>
        <v>#DIV/0!</v>
      </c>
      <c r="BX10" s="694">
        <f t="shared" si="35"/>
        <v>37031.471250000002</v>
      </c>
      <c r="BY10" s="694">
        <f t="shared" si="33"/>
        <v>209.21735169491527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1">
        <v>22779378</v>
      </c>
      <c r="J11" s="638">
        <f>IF(I11&gt;=I10,I11-I10,0)</f>
        <v>5538</v>
      </c>
      <c r="K11" s="638">
        <f t="shared" si="0"/>
        <v>3491</v>
      </c>
      <c r="L11" s="770">
        <v>227429</v>
      </c>
      <c r="M11" s="638">
        <f>IF(L11&gt;=L10,L11-L10,0)</f>
        <v>1993</v>
      </c>
      <c r="N11" s="770">
        <v>235948</v>
      </c>
      <c r="O11" s="638">
        <f t="shared" si="40"/>
        <v>1498</v>
      </c>
      <c r="P11" s="771">
        <v>217728</v>
      </c>
      <c r="Q11" s="638">
        <f t="shared" si="3"/>
        <v>540</v>
      </c>
      <c r="R11" s="770">
        <v>153164</v>
      </c>
      <c r="S11" s="638">
        <f t="shared" si="4"/>
        <v>136</v>
      </c>
      <c r="T11" s="770">
        <v>278505</v>
      </c>
      <c r="U11" s="638">
        <f t="shared" si="5"/>
        <v>267</v>
      </c>
      <c r="V11" s="770">
        <v>935325</v>
      </c>
      <c r="W11" s="638">
        <f t="shared" si="6"/>
        <v>2644.17</v>
      </c>
      <c r="X11" s="771">
        <v>578943</v>
      </c>
      <c r="Y11" s="638">
        <f t="shared" si="7"/>
        <v>3925.1800000000003</v>
      </c>
      <c r="Z11" s="774">
        <v>749148</v>
      </c>
      <c r="AA11" s="638">
        <f t="shared" si="8"/>
        <v>0</v>
      </c>
      <c r="AB11" s="770">
        <v>333452</v>
      </c>
      <c r="AC11" s="638">
        <f>IF(AB11&gt;=AB10,AB11-AB10,0)*0.53</f>
        <v>0</v>
      </c>
      <c r="AD11" s="770">
        <v>378607</v>
      </c>
      <c r="AE11" s="638">
        <f t="shared" si="23"/>
        <v>11.13</v>
      </c>
      <c r="AF11" s="770">
        <v>815091</v>
      </c>
      <c r="AG11" s="638">
        <f t="shared" si="9"/>
        <v>1662.0800000000002</v>
      </c>
      <c r="AH11" s="770">
        <v>720321</v>
      </c>
      <c r="AI11" s="638">
        <f t="shared" si="10"/>
        <v>1041.45</v>
      </c>
      <c r="AJ11" s="770">
        <v>533956</v>
      </c>
      <c r="AK11" s="638">
        <f t="shared" si="11"/>
        <v>3857.34</v>
      </c>
      <c r="AL11" s="770">
        <v>429407</v>
      </c>
      <c r="AM11" s="638">
        <f t="shared" si="12"/>
        <v>161.65</v>
      </c>
      <c r="AN11" s="638">
        <f t="shared" si="24"/>
        <v>13303.000000000002</v>
      </c>
      <c r="AO11" s="709">
        <v>7381340</v>
      </c>
      <c r="AP11" s="638">
        <f t="shared" si="25"/>
        <v>204.63750000000002</v>
      </c>
      <c r="AQ11" s="770">
        <v>620690</v>
      </c>
      <c r="AR11" s="638">
        <f t="shared" si="13"/>
        <v>165</v>
      </c>
      <c r="AS11" s="771">
        <v>933179</v>
      </c>
      <c r="AT11" s="638">
        <f t="shared" si="26"/>
        <v>152</v>
      </c>
      <c r="AU11" s="771">
        <v>800649</v>
      </c>
      <c r="AV11" s="638">
        <f t="shared" si="14"/>
        <v>60</v>
      </c>
      <c r="AW11" s="770">
        <v>2439410</v>
      </c>
      <c r="AX11" s="638">
        <f t="shared" si="15"/>
        <v>1096</v>
      </c>
      <c r="AY11" s="771">
        <v>217567</v>
      </c>
      <c r="AZ11" s="638">
        <f t="shared" si="16"/>
        <v>55</v>
      </c>
      <c r="BA11" s="771">
        <v>18286278</v>
      </c>
      <c r="BB11" s="638">
        <f t="shared" si="17"/>
        <v>4983</v>
      </c>
      <c r="BC11" s="770">
        <v>518971</v>
      </c>
      <c r="BD11" s="638">
        <f t="shared" si="17"/>
        <v>199</v>
      </c>
      <c r="BE11" s="770">
        <v>12984</v>
      </c>
      <c r="BF11" s="638">
        <f t="shared" si="17"/>
        <v>111</v>
      </c>
      <c r="BG11" s="771">
        <v>22809028</v>
      </c>
      <c r="BH11" s="638">
        <f t="shared" si="27"/>
        <v>5929.5</v>
      </c>
      <c r="BI11" s="638">
        <f t="shared" si="28"/>
        <v>12955.137500000001</v>
      </c>
      <c r="BJ11" s="638">
        <f t="shared" si="29"/>
        <v>26258.137500000004</v>
      </c>
      <c r="BK11" s="771">
        <v>1393615</v>
      </c>
      <c r="BL11" s="638">
        <f t="shared" si="18"/>
        <v>58</v>
      </c>
      <c r="BM11" s="771">
        <v>3666478</v>
      </c>
      <c r="BN11" s="638">
        <f t="shared" si="19"/>
        <v>1525</v>
      </c>
      <c r="BO11" s="770">
        <v>389447</v>
      </c>
      <c r="BP11" s="638">
        <f t="shared" si="20"/>
        <v>105</v>
      </c>
      <c r="BQ11" s="771">
        <v>483702</v>
      </c>
      <c r="BR11" s="638">
        <f t="shared" si="21"/>
        <v>202</v>
      </c>
      <c r="BS11" s="694">
        <f t="shared" si="30"/>
        <v>32336.137500000001</v>
      </c>
      <c r="BT11" s="695">
        <v>158</v>
      </c>
      <c r="BU11" s="694">
        <f t="shared" si="31"/>
        <v>186.91408959537571</v>
      </c>
      <c r="BV11" s="695"/>
      <c r="BW11" s="694" t="e">
        <f t="shared" si="32"/>
        <v>#DIV/0!</v>
      </c>
      <c r="BX11" s="694">
        <f t="shared" si="35"/>
        <v>37429.558124999996</v>
      </c>
      <c r="BY11" s="694">
        <f t="shared" si="33"/>
        <v>216.3558273121387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1">
        <v>22785294</v>
      </c>
      <c r="J12" s="638">
        <f>IF(I12&gt;=I11,I12-I11,0)</f>
        <v>5916</v>
      </c>
      <c r="K12" s="638">
        <f t="shared" si="0"/>
        <v>3810</v>
      </c>
      <c r="L12" s="771">
        <v>229511</v>
      </c>
      <c r="M12" s="638">
        <f t="shared" si="1"/>
        <v>2082</v>
      </c>
      <c r="N12" s="771">
        <v>237676</v>
      </c>
      <c r="O12" s="638">
        <f>IF(N12&gt;=N11,N12-N11,0)</f>
        <v>1728</v>
      </c>
      <c r="P12" s="771">
        <v>217746</v>
      </c>
      <c r="Q12" s="638">
        <f t="shared" si="3"/>
        <v>540</v>
      </c>
      <c r="R12" s="770">
        <v>153306</v>
      </c>
      <c r="S12" s="638">
        <f t="shared" si="4"/>
        <v>142</v>
      </c>
      <c r="T12" s="770">
        <v>278788</v>
      </c>
      <c r="U12" s="638">
        <f t="shared" si="5"/>
        <v>283</v>
      </c>
      <c r="V12" s="770">
        <v>940516</v>
      </c>
      <c r="W12" s="638">
        <f t="shared" si="6"/>
        <v>2751.23</v>
      </c>
      <c r="X12" s="771">
        <v>585521</v>
      </c>
      <c r="Y12" s="638">
        <f t="shared" si="7"/>
        <v>3486.34</v>
      </c>
      <c r="Z12" s="770">
        <v>749349</v>
      </c>
      <c r="AA12" s="638">
        <f t="shared" si="8"/>
        <v>106.53</v>
      </c>
      <c r="AB12" s="770">
        <v>333452</v>
      </c>
      <c r="AC12" s="638">
        <f t="shared" si="34"/>
        <v>0</v>
      </c>
      <c r="AD12" s="770">
        <v>380192</v>
      </c>
      <c r="AE12" s="638">
        <f t="shared" si="23"/>
        <v>840.05000000000007</v>
      </c>
      <c r="AF12" s="770">
        <v>818436</v>
      </c>
      <c r="AG12" s="638">
        <f t="shared" si="9"/>
        <v>1772.8500000000001</v>
      </c>
      <c r="AH12" s="770">
        <v>722563</v>
      </c>
      <c r="AI12" s="638">
        <f t="shared" si="10"/>
        <v>1188.26</v>
      </c>
      <c r="AJ12" s="770">
        <v>541498</v>
      </c>
      <c r="AK12" s="638">
        <f t="shared" si="11"/>
        <v>3997.26</v>
      </c>
      <c r="AL12" s="770">
        <v>429694</v>
      </c>
      <c r="AM12" s="638">
        <f t="shared" si="12"/>
        <v>152.11000000000001</v>
      </c>
      <c r="AN12" s="638">
        <f t="shared" si="24"/>
        <v>14294.630000000001</v>
      </c>
      <c r="AO12" s="770">
        <v>7383029</v>
      </c>
      <c r="AP12" s="638">
        <f t="shared" si="25"/>
        <v>190.01250000000002</v>
      </c>
      <c r="AQ12" s="771">
        <v>620917</v>
      </c>
      <c r="AR12" s="638">
        <f t="shared" si="13"/>
        <v>227</v>
      </c>
      <c r="AS12" s="770">
        <v>933335</v>
      </c>
      <c r="AT12" s="638">
        <f t="shared" si="26"/>
        <v>156</v>
      </c>
      <c r="AU12" s="712">
        <v>800712</v>
      </c>
      <c r="AV12" s="638">
        <f t="shared" si="14"/>
        <v>63</v>
      </c>
      <c r="AW12" s="771">
        <v>2440534</v>
      </c>
      <c r="AX12" s="638">
        <f t="shared" si="15"/>
        <v>1124</v>
      </c>
      <c r="AY12" s="770">
        <v>217623</v>
      </c>
      <c r="AZ12" s="638">
        <f t="shared" si="16"/>
        <v>56</v>
      </c>
      <c r="BA12" s="771">
        <v>18291275</v>
      </c>
      <c r="BB12" s="638">
        <f t="shared" si="17"/>
        <v>4997</v>
      </c>
      <c r="BC12" s="770">
        <v>519170</v>
      </c>
      <c r="BD12" s="638">
        <f t="shared" si="17"/>
        <v>199</v>
      </c>
      <c r="BE12" s="770">
        <v>13093</v>
      </c>
      <c r="BF12" s="638">
        <f t="shared" si="17"/>
        <v>109</v>
      </c>
      <c r="BG12" s="771">
        <v>22816301</v>
      </c>
      <c r="BH12" s="638">
        <f t="shared" si="27"/>
        <v>6321.75</v>
      </c>
      <c r="BI12" s="638">
        <f t="shared" si="28"/>
        <v>13442.762500000001</v>
      </c>
      <c r="BJ12" s="638">
        <f t="shared" si="29"/>
        <v>27737.392500000002</v>
      </c>
      <c r="BK12" s="771">
        <v>1393674</v>
      </c>
      <c r="BL12" s="638">
        <f t="shared" si="18"/>
        <v>59</v>
      </c>
      <c r="BM12" s="771">
        <v>3668013</v>
      </c>
      <c r="BN12" s="638">
        <f t="shared" si="19"/>
        <v>1535</v>
      </c>
      <c r="BO12" s="771">
        <v>389557</v>
      </c>
      <c r="BP12" s="638">
        <f t="shared" si="20"/>
        <v>110</v>
      </c>
      <c r="BQ12" s="770">
        <v>483913</v>
      </c>
      <c r="BR12" s="638">
        <f t="shared" ref="BR12:BR36" si="41">IF(BQ12&gt;=BQ11,BQ12-BQ11,0)</f>
        <v>211</v>
      </c>
      <c r="BS12" s="694">
        <f t="shared" si="30"/>
        <v>34193.392500000002</v>
      </c>
      <c r="BT12" s="695">
        <v>171</v>
      </c>
      <c r="BU12" s="694">
        <f t="shared" si="31"/>
        <v>216.4138765822785</v>
      </c>
      <c r="BV12" s="695"/>
      <c r="BW12" s="694" t="e">
        <f t="shared" si="32"/>
        <v>#DIV/0!</v>
      </c>
      <c r="BX12" s="694">
        <f t="shared" si="35"/>
        <v>39565.401375000001</v>
      </c>
      <c r="BY12" s="694">
        <f t="shared" si="33"/>
        <v>250.41393275316457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1">
        <v>22790828</v>
      </c>
      <c r="J13" s="638">
        <f t="shared" si="22"/>
        <v>5534</v>
      </c>
      <c r="K13" s="638">
        <f t="shared" si="0"/>
        <v>3399</v>
      </c>
      <c r="L13" s="771">
        <v>231416</v>
      </c>
      <c r="M13" s="638">
        <f t="shared" si="1"/>
        <v>1905</v>
      </c>
      <c r="N13" s="771">
        <v>239170</v>
      </c>
      <c r="O13" s="638">
        <f>IF(N13&gt;=N12,N13-N12,0)</f>
        <v>1494</v>
      </c>
      <c r="P13" s="771">
        <v>217764</v>
      </c>
      <c r="Q13" s="638">
        <f t="shared" si="3"/>
        <v>540</v>
      </c>
      <c r="R13" s="770">
        <v>153446</v>
      </c>
      <c r="S13" s="638">
        <f t="shared" si="4"/>
        <v>140</v>
      </c>
      <c r="T13" s="770">
        <v>279069</v>
      </c>
      <c r="U13" s="638">
        <f t="shared" si="5"/>
        <v>281</v>
      </c>
      <c r="V13" s="770">
        <v>946052</v>
      </c>
      <c r="W13" s="638">
        <f t="shared" si="6"/>
        <v>2934.08</v>
      </c>
      <c r="X13" s="771">
        <v>589303</v>
      </c>
      <c r="Y13" s="638">
        <f t="shared" si="7"/>
        <v>2004.46</v>
      </c>
      <c r="Z13" s="770">
        <v>754480</v>
      </c>
      <c r="AA13" s="638">
        <f t="shared" si="8"/>
        <v>2719.4300000000003</v>
      </c>
      <c r="AB13" s="770">
        <v>333452</v>
      </c>
      <c r="AC13" s="638">
        <f t="shared" si="34"/>
        <v>0</v>
      </c>
      <c r="AD13" s="770">
        <v>380214</v>
      </c>
      <c r="AE13" s="638">
        <f t="shared" si="23"/>
        <v>11.66</v>
      </c>
      <c r="AF13" s="770">
        <v>821864</v>
      </c>
      <c r="AG13" s="638">
        <f t="shared" ref="AG13:AG36" si="42">IF(AF13&gt;=AF12,AF13-AF12,0)*0.53</f>
        <v>1816.8400000000001</v>
      </c>
      <c r="AH13" s="771">
        <v>724721</v>
      </c>
      <c r="AI13" s="638">
        <f t="shared" si="10"/>
        <v>1143.74</v>
      </c>
      <c r="AJ13" s="771">
        <v>549349</v>
      </c>
      <c r="AK13" s="638">
        <f t="shared" ref="AK13" si="43">IF(AJ13&gt;=AJ12,AJ13-AJ12,0)*0.53</f>
        <v>4161.0300000000007</v>
      </c>
      <c r="AL13" s="770">
        <v>430050</v>
      </c>
      <c r="AM13" s="638">
        <f t="shared" si="12"/>
        <v>188.68</v>
      </c>
      <c r="AN13" s="638">
        <f t="shared" si="24"/>
        <v>14979.920000000002</v>
      </c>
      <c r="AO13" s="770">
        <v>7384801</v>
      </c>
      <c r="AP13" s="638">
        <f t="shared" si="25"/>
        <v>199.35</v>
      </c>
      <c r="AQ13" s="770">
        <v>621120</v>
      </c>
      <c r="AR13" s="638">
        <f t="shared" si="13"/>
        <v>203</v>
      </c>
      <c r="AS13" s="771">
        <v>933484</v>
      </c>
      <c r="AT13" s="638">
        <f t="shared" si="26"/>
        <v>149</v>
      </c>
      <c r="AU13" s="771">
        <v>800765</v>
      </c>
      <c r="AV13" s="638">
        <f t="shared" si="14"/>
        <v>53</v>
      </c>
      <c r="AW13" s="771">
        <v>2441519</v>
      </c>
      <c r="AX13" s="638">
        <f t="shared" si="15"/>
        <v>985</v>
      </c>
      <c r="AY13" s="771">
        <v>217697</v>
      </c>
      <c r="AZ13" s="638">
        <f t="shared" si="16"/>
        <v>74</v>
      </c>
      <c r="BA13" s="771">
        <v>18295751</v>
      </c>
      <c r="BB13" s="638">
        <f t="shared" si="17"/>
        <v>4476</v>
      </c>
      <c r="BC13" s="770">
        <v>519352</v>
      </c>
      <c r="BD13" s="638">
        <f t="shared" si="17"/>
        <v>182</v>
      </c>
      <c r="BE13" s="770">
        <v>13224</v>
      </c>
      <c r="BF13" s="638">
        <f t="shared" si="17"/>
        <v>131</v>
      </c>
      <c r="BG13" s="771">
        <v>22822892</v>
      </c>
      <c r="BH13" s="638">
        <f t="shared" si="27"/>
        <v>5672.8</v>
      </c>
      <c r="BI13" s="638">
        <f t="shared" si="28"/>
        <v>12125.150000000001</v>
      </c>
      <c r="BJ13" s="638">
        <f t="shared" si="29"/>
        <v>27105.070000000003</v>
      </c>
      <c r="BK13" s="771">
        <v>1393734</v>
      </c>
      <c r="BL13" s="638">
        <f t="shared" si="18"/>
        <v>60</v>
      </c>
      <c r="BM13" s="771">
        <v>3669474</v>
      </c>
      <c r="BN13" s="638">
        <f t="shared" si="19"/>
        <v>1461</v>
      </c>
      <c r="BO13" s="771">
        <v>389672</v>
      </c>
      <c r="BP13" s="638">
        <f t="shared" si="20"/>
        <v>115</v>
      </c>
      <c r="BQ13" s="771">
        <v>484122</v>
      </c>
      <c r="BR13" s="638">
        <f t="shared" si="41"/>
        <v>209</v>
      </c>
      <c r="BS13" s="694">
        <f t="shared" si="30"/>
        <v>33179.070000000007</v>
      </c>
      <c r="BT13" s="695">
        <v>195</v>
      </c>
      <c r="BU13" s="694">
        <f t="shared" ref="BU13:BU19" si="44">IF(BS13&gt;0,BS13/BT12,0)</f>
        <v>194.02964912280706</v>
      </c>
      <c r="BV13" s="695"/>
      <c r="BW13" s="694" t="e">
        <f t="shared" si="32"/>
        <v>#DIV/0!</v>
      </c>
      <c r="BX13" s="694">
        <f t="shared" si="35"/>
        <v>38398.930500000002</v>
      </c>
      <c r="BY13" s="694">
        <f t="shared" si="33"/>
        <v>224.55514912280702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1">
        <v>22797292</v>
      </c>
      <c r="J14" s="638">
        <f t="shared" si="22"/>
        <v>6464</v>
      </c>
      <c r="K14" s="638">
        <f t="shared" si="0"/>
        <v>3403</v>
      </c>
      <c r="L14" s="771">
        <v>233394</v>
      </c>
      <c r="M14" s="638">
        <f>IF(L14&gt;=L13,L14-L13,0)</f>
        <v>1978</v>
      </c>
      <c r="N14" s="771">
        <v>240595</v>
      </c>
      <c r="O14" s="638">
        <f t="shared" si="2"/>
        <v>1425</v>
      </c>
      <c r="P14" s="771">
        <v>217782</v>
      </c>
      <c r="Q14" s="638">
        <f t="shared" si="3"/>
        <v>540</v>
      </c>
      <c r="R14" s="770">
        <v>153582</v>
      </c>
      <c r="S14" s="638">
        <f t="shared" si="4"/>
        <v>136</v>
      </c>
      <c r="T14" s="770">
        <v>279341</v>
      </c>
      <c r="U14" s="638">
        <f t="shared" si="5"/>
        <v>272</v>
      </c>
      <c r="V14" s="770">
        <v>951108</v>
      </c>
      <c r="W14" s="638">
        <f t="shared" si="6"/>
        <v>2679.6800000000003</v>
      </c>
      <c r="X14" s="771">
        <v>589303</v>
      </c>
      <c r="Y14" s="638">
        <f t="shared" si="7"/>
        <v>0</v>
      </c>
      <c r="Z14" s="771">
        <v>761912</v>
      </c>
      <c r="AA14" s="638">
        <f t="shared" si="8"/>
        <v>3938.96</v>
      </c>
      <c r="AB14" s="770">
        <v>333452</v>
      </c>
      <c r="AC14" s="638">
        <f t="shared" si="34"/>
        <v>0</v>
      </c>
      <c r="AD14" s="770">
        <v>380235</v>
      </c>
      <c r="AE14" s="638">
        <f t="shared" si="23"/>
        <v>11.13</v>
      </c>
      <c r="AF14" s="770">
        <v>825196</v>
      </c>
      <c r="AG14" s="638">
        <f t="shared" si="42"/>
        <v>1765.96</v>
      </c>
      <c r="AH14" s="770">
        <v>726876</v>
      </c>
      <c r="AI14" s="638">
        <f t="shared" si="10"/>
        <v>1142.1500000000001</v>
      </c>
      <c r="AJ14" s="770">
        <v>557623</v>
      </c>
      <c r="AK14" s="638">
        <f t="shared" ref="AK14:AK36" si="45">IF(AJ14&gt;=AJ13,AJ14-AJ13,0)*0.53</f>
        <v>4385.22</v>
      </c>
      <c r="AL14" s="770">
        <v>430364</v>
      </c>
      <c r="AM14" s="638">
        <f t="shared" si="12"/>
        <v>166.42000000000002</v>
      </c>
      <c r="AN14" s="638">
        <f t="shared" si="24"/>
        <v>14089.519999999999</v>
      </c>
      <c r="AO14" s="770">
        <v>7386535</v>
      </c>
      <c r="AP14" s="638">
        <f t="shared" si="25"/>
        <v>195.07500000000002</v>
      </c>
      <c r="AQ14" s="771">
        <v>621427</v>
      </c>
      <c r="AR14" s="638">
        <f t="shared" si="13"/>
        <v>307</v>
      </c>
      <c r="AS14" s="771">
        <v>933634</v>
      </c>
      <c r="AT14" s="638">
        <f t="shared" si="26"/>
        <v>150</v>
      </c>
      <c r="AU14" s="771">
        <v>800796</v>
      </c>
      <c r="AV14" s="638">
        <f t="shared" si="14"/>
        <v>31</v>
      </c>
      <c r="AW14" s="770">
        <v>2442484</v>
      </c>
      <c r="AX14" s="638">
        <f t="shared" si="15"/>
        <v>965</v>
      </c>
      <c r="AY14" s="771">
        <v>217769</v>
      </c>
      <c r="AZ14" s="638">
        <f t="shared" si="16"/>
        <v>72</v>
      </c>
      <c r="BA14" s="771">
        <v>18300221</v>
      </c>
      <c r="BB14" s="638">
        <f t="shared" si="17"/>
        <v>4470</v>
      </c>
      <c r="BC14" s="770">
        <v>519536</v>
      </c>
      <c r="BD14" s="638">
        <f t="shared" si="17"/>
        <v>184</v>
      </c>
      <c r="BE14" s="770">
        <v>13355</v>
      </c>
      <c r="BF14" s="638">
        <f t="shared" si="17"/>
        <v>131</v>
      </c>
      <c r="BG14" s="771">
        <v>22829187</v>
      </c>
      <c r="BH14" s="638">
        <f t="shared" si="27"/>
        <v>5414.1</v>
      </c>
      <c r="BI14" s="638">
        <f t="shared" si="28"/>
        <v>11919.174999999999</v>
      </c>
      <c r="BJ14" s="638">
        <f t="shared" si="29"/>
        <v>26008.695</v>
      </c>
      <c r="BK14" s="771">
        <v>1393792</v>
      </c>
      <c r="BL14" s="638">
        <f t="shared" si="18"/>
        <v>58</v>
      </c>
      <c r="BM14" s="771">
        <v>3670866</v>
      </c>
      <c r="BN14" s="638">
        <f t="shared" si="19"/>
        <v>1392</v>
      </c>
      <c r="BO14" s="771">
        <v>389782</v>
      </c>
      <c r="BP14" s="638">
        <f t="shared" si="20"/>
        <v>110</v>
      </c>
      <c r="BQ14" s="771">
        <v>484327</v>
      </c>
      <c r="BR14" s="638">
        <f t="shared" si="41"/>
        <v>205</v>
      </c>
      <c r="BS14" s="694">
        <f t="shared" si="30"/>
        <v>33012.694999999992</v>
      </c>
      <c r="BT14" s="695">
        <v>178</v>
      </c>
      <c r="BU14" s="694">
        <f t="shared" si="44"/>
        <v>169.29587179487174</v>
      </c>
      <c r="BV14" s="695"/>
      <c r="BW14" s="694" t="e">
        <f t="shared" si="32"/>
        <v>#DIV/0!</v>
      </c>
      <c r="BX14" s="694">
        <f t="shared" si="35"/>
        <v>38207.599249999992</v>
      </c>
      <c r="BY14" s="694">
        <f t="shared" si="33"/>
        <v>195.93640641025638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1">
        <v>22801773</v>
      </c>
      <c r="J15" s="638">
        <f t="shared" si="22"/>
        <v>4481</v>
      </c>
      <c r="K15" s="638">
        <f t="shared" si="0"/>
        <v>4377</v>
      </c>
      <c r="L15" s="771">
        <v>235273</v>
      </c>
      <c r="M15" s="638">
        <f>IF(L15&gt;=L14,L15-L14,0)</f>
        <v>1879</v>
      </c>
      <c r="N15" s="771">
        <v>243093</v>
      </c>
      <c r="O15" s="638">
        <f t="shared" si="2"/>
        <v>2498</v>
      </c>
      <c r="P15" s="771">
        <v>217799</v>
      </c>
      <c r="Q15" s="638">
        <f t="shared" si="3"/>
        <v>510</v>
      </c>
      <c r="R15" s="770">
        <v>153726</v>
      </c>
      <c r="S15" s="638">
        <f t="shared" si="4"/>
        <v>144</v>
      </c>
      <c r="T15" s="770">
        <v>279632</v>
      </c>
      <c r="U15" s="638">
        <f t="shared" si="5"/>
        <v>291</v>
      </c>
      <c r="V15" s="770">
        <v>956833</v>
      </c>
      <c r="W15" s="638">
        <f t="shared" si="6"/>
        <v>3034.25</v>
      </c>
      <c r="X15" s="771">
        <v>589303</v>
      </c>
      <c r="Y15" s="638">
        <f t="shared" si="7"/>
        <v>0</v>
      </c>
      <c r="Z15" s="771">
        <v>769544</v>
      </c>
      <c r="AA15" s="638">
        <f t="shared" si="8"/>
        <v>4044.96</v>
      </c>
      <c r="AB15" s="770">
        <v>333452</v>
      </c>
      <c r="AC15" s="638">
        <f t="shared" si="34"/>
        <v>0</v>
      </c>
      <c r="AD15" s="770">
        <v>382049</v>
      </c>
      <c r="AE15" s="638">
        <f t="shared" si="23"/>
        <v>961.42000000000007</v>
      </c>
      <c r="AF15" s="770">
        <v>826845</v>
      </c>
      <c r="AG15" s="638">
        <f t="shared" si="42"/>
        <v>873.97</v>
      </c>
      <c r="AH15" s="771">
        <v>729040</v>
      </c>
      <c r="AI15" s="638">
        <f t="shared" si="10"/>
        <v>1146.92</v>
      </c>
      <c r="AJ15" s="771">
        <v>565957</v>
      </c>
      <c r="AK15" s="638">
        <f t="shared" si="45"/>
        <v>4417.0200000000004</v>
      </c>
      <c r="AL15" s="770">
        <v>430680</v>
      </c>
      <c r="AM15" s="638">
        <f t="shared" si="12"/>
        <v>167.48000000000002</v>
      </c>
      <c r="AN15" s="638">
        <f t="shared" si="24"/>
        <v>14646.02</v>
      </c>
      <c r="AO15" s="770">
        <v>7388206</v>
      </c>
      <c r="AP15" s="638">
        <f t="shared" si="25"/>
        <v>187.98750000000001</v>
      </c>
      <c r="AQ15" s="770">
        <v>621655</v>
      </c>
      <c r="AR15" s="638">
        <f t="shared" si="13"/>
        <v>228</v>
      </c>
      <c r="AS15" s="771">
        <v>933786</v>
      </c>
      <c r="AT15" s="638">
        <f t="shared" si="26"/>
        <v>152</v>
      </c>
      <c r="AU15" s="770">
        <v>800833</v>
      </c>
      <c r="AV15" s="638">
        <f t="shared" si="14"/>
        <v>37</v>
      </c>
      <c r="AW15" s="771">
        <v>2443450</v>
      </c>
      <c r="AX15" s="638">
        <f t="shared" si="15"/>
        <v>966</v>
      </c>
      <c r="AY15" s="771">
        <v>217846</v>
      </c>
      <c r="AZ15" s="638">
        <f t="shared" si="16"/>
        <v>77</v>
      </c>
      <c r="BA15" s="771">
        <v>18304829</v>
      </c>
      <c r="BB15" s="638">
        <f t="shared" si="17"/>
        <v>4608</v>
      </c>
      <c r="BC15" s="770">
        <v>519727</v>
      </c>
      <c r="BD15" s="638">
        <f t="shared" si="17"/>
        <v>191</v>
      </c>
      <c r="BE15" s="770">
        <v>13486</v>
      </c>
      <c r="BF15" s="638">
        <f t="shared" si="17"/>
        <v>131</v>
      </c>
      <c r="BG15" s="771">
        <v>22836029</v>
      </c>
      <c r="BH15" s="638">
        <f t="shared" si="27"/>
        <v>5897.45</v>
      </c>
      <c r="BI15" s="638">
        <f t="shared" si="28"/>
        <v>12475.4375</v>
      </c>
      <c r="BJ15" s="638">
        <f t="shared" si="29"/>
        <v>27121.4575</v>
      </c>
      <c r="BK15" s="771">
        <v>1393853</v>
      </c>
      <c r="BL15" s="638">
        <f t="shared" si="18"/>
        <v>61</v>
      </c>
      <c r="BM15" s="771">
        <v>3672374</v>
      </c>
      <c r="BN15" s="638">
        <f t="shared" si="19"/>
        <v>1508</v>
      </c>
      <c r="BO15" s="771">
        <v>389893</v>
      </c>
      <c r="BP15" s="638">
        <f t="shared" si="20"/>
        <v>111</v>
      </c>
      <c r="BQ15" s="771">
        <v>484543</v>
      </c>
      <c r="BR15" s="638">
        <f t="shared" si="41"/>
        <v>216</v>
      </c>
      <c r="BS15" s="694">
        <f t="shared" si="30"/>
        <v>32112.4575</v>
      </c>
      <c r="BT15" s="695">
        <v>135</v>
      </c>
      <c r="BU15" s="694">
        <f t="shared" si="44"/>
        <v>180.40706460674159</v>
      </c>
      <c r="BV15" s="695"/>
      <c r="BW15" s="694" t="e">
        <f t="shared" si="32"/>
        <v>#DIV/0!</v>
      </c>
      <c r="BX15" s="694">
        <f t="shared" si="35"/>
        <v>37158.826125</v>
      </c>
      <c r="BY15" s="694">
        <f t="shared" si="33"/>
        <v>208.75745014044944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1">
        <v>22806918</v>
      </c>
      <c r="J16" s="638">
        <f t="shared" si="22"/>
        <v>5145</v>
      </c>
      <c r="K16" s="638">
        <f t="shared" si="0"/>
        <v>3405</v>
      </c>
      <c r="L16" s="771">
        <v>237137</v>
      </c>
      <c r="M16" s="638">
        <f>IF(L16&gt;=L15,L16-L15,0)</f>
        <v>1864</v>
      </c>
      <c r="N16" s="770">
        <v>244634</v>
      </c>
      <c r="O16" s="638">
        <f t="shared" si="2"/>
        <v>1541</v>
      </c>
      <c r="P16" s="771">
        <v>217816</v>
      </c>
      <c r="Q16" s="638">
        <f t="shared" si="3"/>
        <v>510</v>
      </c>
      <c r="R16" s="770">
        <v>153858</v>
      </c>
      <c r="S16" s="638">
        <f t="shared" si="4"/>
        <v>132</v>
      </c>
      <c r="T16" s="770">
        <v>279899</v>
      </c>
      <c r="U16" s="638">
        <f t="shared" si="5"/>
        <v>267</v>
      </c>
      <c r="V16" s="770">
        <v>961773</v>
      </c>
      <c r="W16" s="638">
        <f t="shared" si="6"/>
        <v>2618.2000000000003</v>
      </c>
      <c r="X16" s="771">
        <v>591704</v>
      </c>
      <c r="Y16" s="638">
        <f t="shared" si="7"/>
        <v>1272.53</v>
      </c>
      <c r="Z16" s="771">
        <v>776815</v>
      </c>
      <c r="AA16" s="638">
        <f t="shared" si="8"/>
        <v>3853.63</v>
      </c>
      <c r="AB16" s="770">
        <v>333452</v>
      </c>
      <c r="AC16" s="638">
        <f t="shared" si="34"/>
        <v>0</v>
      </c>
      <c r="AD16" s="770">
        <v>385361</v>
      </c>
      <c r="AE16" s="638">
        <f t="shared" si="23"/>
        <v>1755.3600000000001</v>
      </c>
      <c r="AF16" s="770">
        <v>826865</v>
      </c>
      <c r="AG16" s="638">
        <f t="shared" si="42"/>
        <v>10.600000000000001</v>
      </c>
      <c r="AH16" s="770">
        <v>731225</v>
      </c>
      <c r="AI16" s="638">
        <f t="shared" si="10"/>
        <v>1158.05</v>
      </c>
      <c r="AJ16" s="770">
        <v>574012</v>
      </c>
      <c r="AK16" s="638">
        <f t="shared" si="45"/>
        <v>4269.1500000000005</v>
      </c>
      <c r="AL16" s="770">
        <v>430999</v>
      </c>
      <c r="AM16" s="638">
        <f t="shared" si="12"/>
        <v>169.07000000000002</v>
      </c>
      <c r="AN16" s="638">
        <f t="shared" si="24"/>
        <v>15106.59</v>
      </c>
      <c r="AO16" s="770">
        <v>7389949</v>
      </c>
      <c r="AP16" s="638">
        <f t="shared" si="25"/>
        <v>196.08750000000001</v>
      </c>
      <c r="AQ16" s="770">
        <v>621918</v>
      </c>
      <c r="AR16" s="638">
        <f t="shared" si="13"/>
        <v>263</v>
      </c>
      <c r="AS16" s="770">
        <v>933947</v>
      </c>
      <c r="AT16" s="638">
        <f t="shared" si="26"/>
        <v>161</v>
      </c>
      <c r="AU16" s="770">
        <v>800892</v>
      </c>
      <c r="AV16" s="638">
        <f t="shared" si="14"/>
        <v>59</v>
      </c>
      <c r="AW16" s="770">
        <v>2444426</v>
      </c>
      <c r="AX16" s="638">
        <f t="shared" si="15"/>
        <v>976</v>
      </c>
      <c r="AY16" s="770">
        <v>217917</v>
      </c>
      <c r="AZ16" s="638">
        <f t="shared" si="16"/>
        <v>71</v>
      </c>
      <c r="BA16" s="770">
        <v>18309423</v>
      </c>
      <c r="BB16" s="638">
        <f t="shared" si="17"/>
        <v>4594</v>
      </c>
      <c r="BC16" s="770">
        <v>519908</v>
      </c>
      <c r="BD16" s="638">
        <f t="shared" si="17"/>
        <v>181</v>
      </c>
      <c r="BE16" s="770">
        <v>13595</v>
      </c>
      <c r="BF16" s="638">
        <f t="shared" si="17"/>
        <v>109</v>
      </c>
      <c r="BG16" s="771">
        <v>22842682</v>
      </c>
      <c r="BH16" s="638">
        <f t="shared" si="27"/>
        <v>5717.75</v>
      </c>
      <c r="BI16" s="638">
        <f t="shared" si="28"/>
        <v>12327.8375</v>
      </c>
      <c r="BJ16" s="638">
        <f t="shared" si="29"/>
        <v>27434.427499999998</v>
      </c>
      <c r="BK16" s="771">
        <v>1393912</v>
      </c>
      <c r="BL16" s="638">
        <f t="shared" si="18"/>
        <v>59</v>
      </c>
      <c r="BM16" s="771">
        <v>3673898</v>
      </c>
      <c r="BN16" s="638">
        <f t="shared" si="19"/>
        <v>1524</v>
      </c>
      <c r="BO16" s="770">
        <v>389994</v>
      </c>
      <c r="BP16" s="638">
        <f t="shared" si="20"/>
        <v>101</v>
      </c>
      <c r="BQ16" s="770">
        <v>484747</v>
      </c>
      <c r="BR16" s="638">
        <f t="shared" si="41"/>
        <v>204</v>
      </c>
      <c r="BS16" s="694">
        <f t="shared" si="30"/>
        <v>33089.427499999998</v>
      </c>
      <c r="BT16" s="695">
        <v>123</v>
      </c>
      <c r="BU16" s="694">
        <f t="shared" si="44"/>
        <v>245.10687037037036</v>
      </c>
      <c r="BV16" s="695"/>
      <c r="BW16" s="694" t="e">
        <f t="shared" si="32"/>
        <v>#DIV/0!</v>
      </c>
      <c r="BX16" s="694">
        <f t="shared" si="35"/>
        <v>38282.341624999994</v>
      </c>
      <c r="BY16" s="694">
        <f>IF(BX16&gt;0,BX16/BT15,0)</f>
        <v>283.57290092592586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1">
        <v>22812090</v>
      </c>
      <c r="J17" s="638">
        <f t="shared" si="22"/>
        <v>5172</v>
      </c>
      <c r="K17" s="638">
        <f t="shared" si="0"/>
        <v>3251</v>
      </c>
      <c r="L17" s="770">
        <v>238933</v>
      </c>
      <c r="M17" s="638">
        <f>IF(L17&gt;=L16,L17-L16,0)</f>
        <v>1796</v>
      </c>
      <c r="N17" s="770">
        <v>246089</v>
      </c>
      <c r="O17" s="638">
        <f t="shared" si="2"/>
        <v>1455</v>
      </c>
      <c r="P17" s="771">
        <v>217832</v>
      </c>
      <c r="Q17" s="638">
        <f t="shared" si="3"/>
        <v>480</v>
      </c>
      <c r="R17" s="770">
        <v>153995</v>
      </c>
      <c r="S17" s="638">
        <f t="shared" si="4"/>
        <v>137</v>
      </c>
      <c r="T17" s="770">
        <v>280174</v>
      </c>
      <c r="U17" s="638">
        <f t="shared" si="5"/>
        <v>275</v>
      </c>
      <c r="V17" s="770">
        <v>966161</v>
      </c>
      <c r="W17" s="638">
        <f t="shared" si="6"/>
        <v>2325.6400000000003</v>
      </c>
      <c r="X17" s="771">
        <v>596011</v>
      </c>
      <c r="Y17" s="638">
        <f t="shared" si="7"/>
        <v>2282.71</v>
      </c>
      <c r="Z17" s="774">
        <v>783057</v>
      </c>
      <c r="AA17" s="638">
        <f t="shared" si="8"/>
        <v>3308.26</v>
      </c>
      <c r="AB17" s="770">
        <v>333452</v>
      </c>
      <c r="AC17" s="638">
        <f t="shared" si="34"/>
        <v>0</v>
      </c>
      <c r="AD17" s="770">
        <v>388781</v>
      </c>
      <c r="AE17" s="638">
        <f t="shared" si="23"/>
        <v>1812.6000000000001</v>
      </c>
      <c r="AF17" s="770">
        <v>826885</v>
      </c>
      <c r="AG17" s="638">
        <f t="shared" si="42"/>
        <v>10.600000000000001</v>
      </c>
      <c r="AH17" s="770">
        <v>733357</v>
      </c>
      <c r="AI17" s="638">
        <f t="shared" si="10"/>
        <v>1129.96</v>
      </c>
      <c r="AJ17" s="770">
        <v>582386</v>
      </c>
      <c r="AK17" s="638">
        <f t="shared" si="45"/>
        <v>4438.22</v>
      </c>
      <c r="AL17" s="770">
        <v>431310</v>
      </c>
      <c r="AM17" s="638">
        <f t="shared" si="12"/>
        <v>164.83</v>
      </c>
      <c r="AN17" s="638">
        <f t="shared" si="24"/>
        <v>15472.820000000002</v>
      </c>
      <c r="AO17" s="709">
        <v>7391698</v>
      </c>
      <c r="AP17" s="638">
        <f t="shared" si="25"/>
        <v>196.76250000000002</v>
      </c>
      <c r="AQ17" s="770">
        <v>622090</v>
      </c>
      <c r="AR17" s="638">
        <f t="shared" si="13"/>
        <v>172</v>
      </c>
      <c r="AS17" s="770">
        <v>934101</v>
      </c>
      <c r="AT17" s="638">
        <f t="shared" si="26"/>
        <v>154</v>
      </c>
      <c r="AU17" s="770">
        <v>800955</v>
      </c>
      <c r="AV17" s="638">
        <f t="shared" si="14"/>
        <v>63</v>
      </c>
      <c r="AW17" s="770">
        <v>2445397</v>
      </c>
      <c r="AX17" s="638">
        <f t="shared" si="15"/>
        <v>971</v>
      </c>
      <c r="AY17" s="770">
        <v>217991</v>
      </c>
      <c r="AZ17" s="638">
        <f t="shared" si="16"/>
        <v>74</v>
      </c>
      <c r="BA17" s="770">
        <v>18314032</v>
      </c>
      <c r="BB17" s="638">
        <f t="shared" si="17"/>
        <v>4609</v>
      </c>
      <c r="BC17" s="770">
        <v>520084</v>
      </c>
      <c r="BD17" s="638">
        <f t="shared" si="17"/>
        <v>176</v>
      </c>
      <c r="BE17" s="770">
        <v>13706</v>
      </c>
      <c r="BF17" s="638">
        <f t="shared" si="17"/>
        <v>111</v>
      </c>
      <c r="BG17" s="771">
        <v>22849543</v>
      </c>
      <c r="BH17" s="638">
        <f t="shared" si="27"/>
        <v>5871.6500000000005</v>
      </c>
      <c r="BI17" s="638">
        <f t="shared" si="28"/>
        <v>12398.4125</v>
      </c>
      <c r="BJ17" s="638">
        <f t="shared" si="29"/>
        <v>27871.232500000002</v>
      </c>
      <c r="BK17" s="771">
        <v>1393969</v>
      </c>
      <c r="BL17" s="638">
        <f t="shared" si="18"/>
        <v>57</v>
      </c>
      <c r="BM17" s="770">
        <v>3675534</v>
      </c>
      <c r="BN17" s="638">
        <f t="shared" si="19"/>
        <v>1636</v>
      </c>
      <c r="BO17" s="709">
        <v>390101</v>
      </c>
      <c r="BP17" s="638">
        <f t="shared" si="20"/>
        <v>107</v>
      </c>
      <c r="BQ17" s="770">
        <v>484952</v>
      </c>
      <c r="BR17" s="638">
        <f t="shared" si="41"/>
        <v>205</v>
      </c>
      <c r="BS17" s="694">
        <f t="shared" si="30"/>
        <v>33523.232499999998</v>
      </c>
      <c r="BT17" s="695">
        <v>118</v>
      </c>
      <c r="BU17" s="694">
        <f t="shared" si="44"/>
        <v>272.54660569105687</v>
      </c>
      <c r="BV17" s="695"/>
      <c r="BW17" s="694" t="e">
        <f t="shared" si="32"/>
        <v>#DIV/0!</v>
      </c>
      <c r="BX17" s="694">
        <f t="shared" si="35"/>
        <v>38767.717374999993</v>
      </c>
      <c r="BY17" s="694">
        <f>IF(BX17&gt;0,BX17/BT16,0)</f>
        <v>315.18469410569099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1">
        <v>22817575</v>
      </c>
      <c r="J18" s="638">
        <f t="shared" si="22"/>
        <v>5485</v>
      </c>
      <c r="K18" s="638">
        <f t="shared" si="0"/>
        <v>3433</v>
      </c>
      <c r="L18" s="771">
        <v>240824</v>
      </c>
      <c r="M18" s="638">
        <f>IF(L18&gt;=L17,L18-L17,0)</f>
        <v>1891</v>
      </c>
      <c r="N18" s="771">
        <v>247631</v>
      </c>
      <c r="O18" s="638">
        <f t="shared" si="2"/>
        <v>1542</v>
      </c>
      <c r="P18" s="771">
        <v>217847</v>
      </c>
      <c r="Q18" s="638">
        <f t="shared" si="3"/>
        <v>450</v>
      </c>
      <c r="R18" s="770">
        <v>154135</v>
      </c>
      <c r="S18" s="638">
        <f t="shared" si="4"/>
        <v>140</v>
      </c>
      <c r="T18" s="770">
        <v>280455</v>
      </c>
      <c r="U18" s="638">
        <f t="shared" si="5"/>
        <v>281</v>
      </c>
      <c r="V18" s="770">
        <v>970391</v>
      </c>
      <c r="W18" s="638">
        <f t="shared" si="6"/>
        <v>2241.9</v>
      </c>
      <c r="X18" s="771">
        <v>601892</v>
      </c>
      <c r="Y18" s="638">
        <f t="shared" si="7"/>
        <v>3116.9300000000003</v>
      </c>
      <c r="Z18" s="770">
        <v>787411</v>
      </c>
      <c r="AA18" s="638">
        <f t="shared" si="8"/>
        <v>2307.62</v>
      </c>
      <c r="AB18" s="770">
        <v>333452</v>
      </c>
      <c r="AC18" s="638">
        <f t="shared" si="34"/>
        <v>0</v>
      </c>
      <c r="AD18" s="770">
        <v>392172</v>
      </c>
      <c r="AE18" s="638">
        <f t="shared" si="23"/>
        <v>1797.23</v>
      </c>
      <c r="AF18" s="770">
        <v>826905</v>
      </c>
      <c r="AG18" s="638">
        <f t="shared" si="42"/>
        <v>10.600000000000001</v>
      </c>
      <c r="AH18" s="770">
        <v>735582</v>
      </c>
      <c r="AI18" s="638">
        <f t="shared" si="10"/>
        <v>1179.25</v>
      </c>
      <c r="AJ18" s="770">
        <v>590631</v>
      </c>
      <c r="AK18" s="638">
        <f t="shared" si="45"/>
        <v>4369.8500000000004</v>
      </c>
      <c r="AL18" s="770">
        <v>431631</v>
      </c>
      <c r="AM18" s="638">
        <f t="shared" si="12"/>
        <v>170.13</v>
      </c>
      <c r="AN18" s="638">
        <f t="shared" si="24"/>
        <v>15193.51</v>
      </c>
      <c r="AO18" s="770">
        <v>7393401</v>
      </c>
      <c r="AP18" s="638">
        <f t="shared" si="25"/>
        <v>191.58750000000001</v>
      </c>
      <c r="AQ18" s="771">
        <v>622284</v>
      </c>
      <c r="AR18" s="638">
        <f t="shared" si="13"/>
        <v>194</v>
      </c>
      <c r="AS18" s="771">
        <v>934267</v>
      </c>
      <c r="AT18" s="638">
        <f t="shared" si="26"/>
        <v>166</v>
      </c>
      <c r="AU18" s="771">
        <v>801015</v>
      </c>
      <c r="AV18" s="638">
        <f t="shared" si="14"/>
        <v>60</v>
      </c>
      <c r="AW18" s="771">
        <v>2446338</v>
      </c>
      <c r="AX18" s="638">
        <f t="shared" si="15"/>
        <v>941</v>
      </c>
      <c r="AY18" s="770">
        <v>218068</v>
      </c>
      <c r="AZ18" s="638">
        <f t="shared" si="16"/>
        <v>77</v>
      </c>
      <c r="BA18" s="770">
        <v>18319081</v>
      </c>
      <c r="BB18" s="638">
        <f t="shared" si="17"/>
        <v>5049</v>
      </c>
      <c r="BC18" s="770">
        <v>520261</v>
      </c>
      <c r="BD18" s="638">
        <f t="shared" si="17"/>
        <v>177</v>
      </c>
      <c r="BE18" s="770">
        <v>13828</v>
      </c>
      <c r="BF18" s="638">
        <f t="shared" si="17"/>
        <v>122</v>
      </c>
      <c r="BG18" s="771">
        <v>22856520</v>
      </c>
      <c r="BH18" s="638">
        <f t="shared" si="27"/>
        <v>5952.75</v>
      </c>
      <c r="BI18" s="638">
        <f t="shared" si="28"/>
        <v>12930.3375</v>
      </c>
      <c r="BJ18" s="638">
        <f t="shared" si="29"/>
        <v>28123.8475</v>
      </c>
      <c r="BK18" s="771">
        <v>1394028</v>
      </c>
      <c r="BL18" s="638">
        <f t="shared" si="18"/>
        <v>59</v>
      </c>
      <c r="BM18" s="770">
        <v>3677232</v>
      </c>
      <c r="BN18" s="638">
        <f t="shared" si="19"/>
        <v>1698</v>
      </c>
      <c r="BO18" s="770">
        <v>390208</v>
      </c>
      <c r="BP18" s="638">
        <f t="shared" si="20"/>
        <v>107</v>
      </c>
      <c r="BQ18" s="770">
        <v>485164</v>
      </c>
      <c r="BR18" s="638">
        <f t="shared" si="41"/>
        <v>212</v>
      </c>
      <c r="BS18" s="694">
        <f t="shared" si="30"/>
        <v>34058.847500000003</v>
      </c>
      <c r="BT18" s="695">
        <v>120</v>
      </c>
      <c r="BU18" s="694">
        <f t="shared" si="44"/>
        <v>288.63430084745767</v>
      </c>
      <c r="BV18" s="695"/>
      <c r="BW18" s="694" t="e">
        <f t="shared" si="32"/>
        <v>#DIV/0!</v>
      </c>
      <c r="BX18" s="694">
        <f t="shared" si="35"/>
        <v>39370.174625</v>
      </c>
      <c r="BY18" s="694">
        <f>IF(BX18&gt;0,BX18/BT17,0)</f>
        <v>333.64554766949152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1">
        <v>22823159</v>
      </c>
      <c r="J19" s="638">
        <f t="shared" si="22"/>
        <v>5584</v>
      </c>
      <c r="K19" s="638">
        <f t="shared" si="0"/>
        <v>3559</v>
      </c>
      <c r="L19" s="771">
        <v>242734</v>
      </c>
      <c r="M19" s="638">
        <f t="shared" si="1"/>
        <v>1910</v>
      </c>
      <c r="N19" s="771">
        <v>249280</v>
      </c>
      <c r="O19" s="638">
        <f t="shared" si="2"/>
        <v>1649</v>
      </c>
      <c r="P19" s="771">
        <v>217864</v>
      </c>
      <c r="Q19" s="638">
        <f t="shared" ref="Q19:Q36" si="46">IF(P19&gt;=P18,P19-P18,0)*30</f>
        <v>510</v>
      </c>
      <c r="R19" s="770">
        <v>154279</v>
      </c>
      <c r="S19" s="638">
        <f t="shared" si="4"/>
        <v>144</v>
      </c>
      <c r="T19" s="770">
        <v>280742</v>
      </c>
      <c r="U19" s="638">
        <f t="shared" si="5"/>
        <v>287</v>
      </c>
      <c r="V19" s="770">
        <v>975924</v>
      </c>
      <c r="W19" s="638">
        <f t="shared" si="6"/>
        <v>2932.4900000000002</v>
      </c>
      <c r="X19" s="771">
        <v>601892</v>
      </c>
      <c r="Y19" s="638">
        <f t="shared" si="7"/>
        <v>0</v>
      </c>
      <c r="Z19" s="770">
        <v>795052</v>
      </c>
      <c r="AA19" s="638">
        <f t="shared" si="8"/>
        <v>4049.73</v>
      </c>
      <c r="AB19" s="770">
        <v>333452</v>
      </c>
      <c r="AC19" s="638">
        <f t="shared" si="34"/>
        <v>0</v>
      </c>
      <c r="AD19" s="770">
        <v>393985</v>
      </c>
      <c r="AE19" s="638">
        <f t="shared" si="23"/>
        <v>960.8900000000001</v>
      </c>
      <c r="AF19" s="770">
        <v>826926</v>
      </c>
      <c r="AG19" s="638">
        <f t="shared" si="42"/>
        <v>11.13</v>
      </c>
      <c r="AH19" s="771">
        <v>737917</v>
      </c>
      <c r="AI19" s="638">
        <f t="shared" si="10"/>
        <v>1237.55</v>
      </c>
      <c r="AJ19" s="771">
        <v>598014</v>
      </c>
      <c r="AK19" s="638">
        <f t="shared" si="45"/>
        <v>3912.9900000000002</v>
      </c>
      <c r="AL19" s="770">
        <v>432113</v>
      </c>
      <c r="AM19" s="638">
        <f t="shared" si="12"/>
        <v>255.46</v>
      </c>
      <c r="AN19" s="638">
        <f t="shared" si="24"/>
        <v>13360.24</v>
      </c>
      <c r="AO19" s="770">
        <v>7395068</v>
      </c>
      <c r="AP19" s="638">
        <f t="shared" si="25"/>
        <v>187.53749999999999</v>
      </c>
      <c r="AQ19" s="770">
        <v>622497</v>
      </c>
      <c r="AR19" s="638">
        <f t="shared" si="13"/>
        <v>213</v>
      </c>
      <c r="AS19" s="771">
        <v>934465</v>
      </c>
      <c r="AT19" s="638">
        <f t="shared" si="26"/>
        <v>198</v>
      </c>
      <c r="AU19" s="770">
        <v>801077</v>
      </c>
      <c r="AV19" s="638">
        <f t="shared" si="14"/>
        <v>62</v>
      </c>
      <c r="AW19" s="771">
        <v>2447206</v>
      </c>
      <c r="AX19" s="638">
        <f t="shared" si="15"/>
        <v>868</v>
      </c>
      <c r="AY19" s="770">
        <v>218145</v>
      </c>
      <c r="AZ19" s="638">
        <f t="shared" ref="AZ19:AZ36" si="47">IF(AY19&gt;=AY18,AY19-AY18,0)</f>
        <v>77</v>
      </c>
      <c r="BA19" s="771">
        <v>18324090</v>
      </c>
      <c r="BB19" s="638">
        <f t="shared" si="17"/>
        <v>5009</v>
      </c>
      <c r="BC19" s="770">
        <v>520436</v>
      </c>
      <c r="BD19" s="638">
        <f t="shared" si="17"/>
        <v>175</v>
      </c>
      <c r="BE19" s="770">
        <v>13957</v>
      </c>
      <c r="BF19" s="638">
        <f t="shared" si="17"/>
        <v>129</v>
      </c>
      <c r="BG19" s="771">
        <v>22863453</v>
      </c>
      <c r="BH19" s="638">
        <f t="shared" si="27"/>
        <v>5945.8499999999995</v>
      </c>
      <c r="BI19" s="638">
        <f t="shared" si="28"/>
        <v>12864.387500000001</v>
      </c>
      <c r="BJ19" s="638">
        <f t="shared" si="29"/>
        <v>26224.627500000002</v>
      </c>
      <c r="BK19" s="771">
        <v>1394054</v>
      </c>
      <c r="BL19" s="638">
        <f t="shared" si="18"/>
        <v>26</v>
      </c>
      <c r="BM19" s="770">
        <v>3678830</v>
      </c>
      <c r="BN19" s="638">
        <f t="shared" si="19"/>
        <v>1598</v>
      </c>
      <c r="BO19" s="709">
        <v>390317</v>
      </c>
      <c r="BP19" s="638">
        <f t="shared" si="20"/>
        <v>109</v>
      </c>
      <c r="BQ19" s="771">
        <v>485383</v>
      </c>
      <c r="BR19" s="638">
        <f t="shared" si="41"/>
        <v>219</v>
      </c>
      <c r="BS19" s="694">
        <f t="shared" si="30"/>
        <v>32318.627499999999</v>
      </c>
      <c r="BT19" s="695">
        <v>124</v>
      </c>
      <c r="BU19" s="694">
        <f t="shared" si="44"/>
        <v>269.32189583333331</v>
      </c>
      <c r="BV19" s="695"/>
      <c r="BW19" s="694" t="e">
        <f t="shared" si="32"/>
        <v>#DIV/0!</v>
      </c>
      <c r="BX19" s="694">
        <f t="shared" si="35"/>
        <v>37395.921624999995</v>
      </c>
      <c r="BY19" s="694">
        <f>IF(BX19&gt;0,BX19/BT18,0)</f>
        <v>311.63268020833328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1">
        <v>22828763</v>
      </c>
      <c r="J20" s="638">
        <f t="shared" si="22"/>
        <v>5604</v>
      </c>
      <c r="K20" s="638">
        <f t="shared" si="0"/>
        <v>3175</v>
      </c>
      <c r="L20" s="771">
        <v>244490</v>
      </c>
      <c r="M20" s="638">
        <f t="shared" si="1"/>
        <v>1756</v>
      </c>
      <c r="N20" s="771">
        <v>250699</v>
      </c>
      <c r="O20" s="638">
        <f t="shared" si="2"/>
        <v>1419</v>
      </c>
      <c r="P20" s="771">
        <v>217884</v>
      </c>
      <c r="Q20" s="638">
        <f t="shared" si="46"/>
        <v>600</v>
      </c>
      <c r="R20" s="770">
        <v>154428</v>
      </c>
      <c r="S20" s="638">
        <f t="shared" si="4"/>
        <v>149</v>
      </c>
      <c r="T20" s="770">
        <v>281034</v>
      </c>
      <c r="U20" s="638">
        <f t="shared" si="5"/>
        <v>292</v>
      </c>
      <c r="V20" s="770">
        <v>981904</v>
      </c>
      <c r="W20" s="638">
        <f t="shared" si="6"/>
        <v>3169.4</v>
      </c>
      <c r="X20" s="771">
        <v>601892</v>
      </c>
      <c r="Y20" s="638">
        <f t="shared" si="7"/>
        <v>0</v>
      </c>
      <c r="Z20" s="771">
        <v>802301</v>
      </c>
      <c r="AA20" s="638">
        <f t="shared" si="8"/>
        <v>3841.9700000000003</v>
      </c>
      <c r="AB20" s="770">
        <v>333452</v>
      </c>
      <c r="AC20" s="638">
        <f t="shared" si="34"/>
        <v>0</v>
      </c>
      <c r="AD20" s="770">
        <v>398218</v>
      </c>
      <c r="AE20" s="638">
        <f t="shared" si="23"/>
        <v>2243.4900000000002</v>
      </c>
      <c r="AF20" s="770">
        <v>826951</v>
      </c>
      <c r="AG20" s="638">
        <f t="shared" si="42"/>
        <v>13.25</v>
      </c>
      <c r="AH20" s="770">
        <v>740041</v>
      </c>
      <c r="AI20" s="638">
        <f t="shared" si="10"/>
        <v>1125.72</v>
      </c>
      <c r="AJ20" s="770">
        <v>604964</v>
      </c>
      <c r="AK20" s="638">
        <f t="shared" si="45"/>
        <v>3683.5</v>
      </c>
      <c r="AL20" s="770">
        <v>432422</v>
      </c>
      <c r="AM20" s="638">
        <f t="shared" si="12"/>
        <v>163.77000000000001</v>
      </c>
      <c r="AN20" s="638">
        <f t="shared" si="24"/>
        <v>14241.1</v>
      </c>
      <c r="AO20" s="770">
        <v>7396767</v>
      </c>
      <c r="AP20" s="638">
        <f t="shared" si="25"/>
        <v>191.13750000000002</v>
      </c>
      <c r="AQ20" s="771">
        <v>622703</v>
      </c>
      <c r="AR20" s="638">
        <f t="shared" si="13"/>
        <v>206</v>
      </c>
      <c r="AS20" s="770">
        <v>934671</v>
      </c>
      <c r="AT20" s="638">
        <f t="shared" si="26"/>
        <v>206</v>
      </c>
      <c r="AU20" s="770">
        <v>801140</v>
      </c>
      <c r="AV20" s="638">
        <f t="shared" si="14"/>
        <v>63</v>
      </c>
      <c r="AW20" s="770">
        <v>2448044</v>
      </c>
      <c r="AX20" s="638">
        <f t="shared" si="15"/>
        <v>838</v>
      </c>
      <c r="AY20" s="770">
        <v>218213</v>
      </c>
      <c r="AZ20" s="638">
        <f t="shared" si="47"/>
        <v>68</v>
      </c>
      <c r="BA20" s="770">
        <v>18330005</v>
      </c>
      <c r="BB20" s="638">
        <f t="shared" si="17"/>
        <v>5915</v>
      </c>
      <c r="BC20" s="770">
        <v>520619</v>
      </c>
      <c r="BD20" s="638">
        <f t="shared" si="17"/>
        <v>183</v>
      </c>
      <c r="BE20" s="770">
        <v>14003</v>
      </c>
      <c r="BF20" s="638">
        <f t="shared" si="17"/>
        <v>46</v>
      </c>
      <c r="BG20" s="771">
        <v>22870490</v>
      </c>
      <c r="BH20" s="638">
        <f t="shared" si="27"/>
        <v>6030.25</v>
      </c>
      <c r="BI20" s="638">
        <f t="shared" si="28"/>
        <v>13746.387500000001</v>
      </c>
      <c r="BJ20" s="638">
        <f t="shared" si="29"/>
        <v>27987.487500000003</v>
      </c>
      <c r="BK20" s="771">
        <v>1394056</v>
      </c>
      <c r="BL20" s="638">
        <f t="shared" si="18"/>
        <v>2</v>
      </c>
      <c r="BM20" s="770">
        <v>3680453</v>
      </c>
      <c r="BN20" s="638">
        <f t="shared" si="19"/>
        <v>1623</v>
      </c>
      <c r="BO20" s="770">
        <v>390429</v>
      </c>
      <c r="BP20" s="638">
        <f t="shared" si="20"/>
        <v>112</v>
      </c>
      <c r="BQ20" s="770">
        <v>485609</v>
      </c>
      <c r="BR20" s="638">
        <f t="shared" si="41"/>
        <v>226</v>
      </c>
      <c r="BS20" s="694">
        <f t="shared" si="30"/>
        <v>34191.487500000003</v>
      </c>
      <c r="BT20" s="695">
        <v>116</v>
      </c>
      <c r="BU20" s="694">
        <f t="shared" ref="BU20:BU36" si="48">IF(BS20&gt;0,BS20/BT20,0)</f>
        <v>294.75420258620693</v>
      </c>
      <c r="BV20" s="695"/>
      <c r="BW20" s="694" t="e">
        <f t="shared" si="32"/>
        <v>#DIV/0!</v>
      </c>
      <c r="BX20" s="694">
        <f t="shared" si="35"/>
        <v>39590.210625</v>
      </c>
      <c r="BY20" s="694">
        <f t="shared" ref="BY20:BY36" si="49">IF(BX20&gt;0,BX20/BT20,0)</f>
        <v>341.29491918103446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1">
        <v>22834362.2285714</v>
      </c>
      <c r="J21" s="638">
        <f t="shared" si="22"/>
        <v>5599.2285714000463</v>
      </c>
      <c r="K21" s="638">
        <f t="shared" si="0"/>
        <v>1723</v>
      </c>
      <c r="L21" s="771">
        <v>246212</v>
      </c>
      <c r="M21" s="638">
        <f t="shared" si="1"/>
        <v>1722</v>
      </c>
      <c r="N21" s="771">
        <v>250700</v>
      </c>
      <c r="O21" s="638">
        <f t="shared" si="2"/>
        <v>1</v>
      </c>
      <c r="P21" s="771">
        <v>217902</v>
      </c>
      <c r="Q21" s="638">
        <f t="shared" si="46"/>
        <v>540</v>
      </c>
      <c r="R21" s="770">
        <v>154624</v>
      </c>
      <c r="S21" s="638">
        <f t="shared" ref="S21:S36" si="50">IF(R21&gt;=R20,R21-R20,0)</f>
        <v>196</v>
      </c>
      <c r="T21" s="770">
        <v>281300</v>
      </c>
      <c r="U21" s="638">
        <f t="shared" si="5"/>
        <v>266</v>
      </c>
      <c r="V21" s="770">
        <v>988648</v>
      </c>
      <c r="W21" s="638">
        <f t="shared" si="6"/>
        <v>3574.32</v>
      </c>
      <c r="X21" s="771">
        <v>602300</v>
      </c>
      <c r="Y21" s="638">
        <f t="shared" si="7"/>
        <v>216.24</v>
      </c>
      <c r="Z21" s="771">
        <v>809368</v>
      </c>
      <c r="AA21" s="638">
        <f t="shared" si="8"/>
        <v>3745.51</v>
      </c>
      <c r="AB21" s="770">
        <v>333452</v>
      </c>
      <c r="AC21" s="638">
        <f t="shared" si="34"/>
        <v>0</v>
      </c>
      <c r="AD21" s="770">
        <v>401157</v>
      </c>
      <c r="AE21" s="638">
        <f t="shared" si="23"/>
        <v>1557.67</v>
      </c>
      <c r="AF21" s="770">
        <v>826968</v>
      </c>
      <c r="AG21" s="638">
        <f t="shared" si="42"/>
        <v>9.01</v>
      </c>
      <c r="AH21" s="771">
        <v>742085</v>
      </c>
      <c r="AI21" s="638">
        <f t="shared" si="10"/>
        <v>1083.3200000000002</v>
      </c>
      <c r="AJ21" s="771">
        <v>612538</v>
      </c>
      <c r="AK21" s="638">
        <f t="shared" si="45"/>
        <v>4014.2200000000003</v>
      </c>
      <c r="AL21" s="770">
        <v>432730</v>
      </c>
      <c r="AM21" s="638">
        <f t="shared" si="12"/>
        <v>163.24</v>
      </c>
      <c r="AN21" s="638">
        <f t="shared" si="24"/>
        <v>14363.53</v>
      </c>
      <c r="AO21" s="770">
        <v>7397062</v>
      </c>
      <c r="AP21" s="638">
        <f t="shared" si="25"/>
        <v>33.1875</v>
      </c>
      <c r="AQ21" s="770">
        <v>622892</v>
      </c>
      <c r="AR21" s="638">
        <f t="shared" si="13"/>
        <v>189</v>
      </c>
      <c r="AS21" s="770">
        <v>934821</v>
      </c>
      <c r="AT21" s="638">
        <f t="shared" si="26"/>
        <v>150</v>
      </c>
      <c r="AU21" s="770">
        <v>801177</v>
      </c>
      <c r="AV21" s="638">
        <f t="shared" si="14"/>
        <v>37</v>
      </c>
      <c r="AW21" s="770">
        <v>2448878</v>
      </c>
      <c r="AX21" s="638">
        <f t="shared" si="15"/>
        <v>834</v>
      </c>
      <c r="AY21" s="771">
        <v>218285</v>
      </c>
      <c r="AZ21" s="638">
        <f t="shared" si="47"/>
        <v>72</v>
      </c>
      <c r="BA21" s="771">
        <v>18335195</v>
      </c>
      <c r="BB21" s="638">
        <f t="shared" si="17"/>
        <v>5190</v>
      </c>
      <c r="BC21" s="770">
        <v>520763</v>
      </c>
      <c r="BD21" s="638">
        <f t="shared" si="17"/>
        <v>144</v>
      </c>
      <c r="BE21" s="770">
        <v>14185</v>
      </c>
      <c r="BF21" s="638">
        <f t="shared" si="17"/>
        <v>182</v>
      </c>
      <c r="BG21" s="771">
        <v>22876274</v>
      </c>
      <c r="BH21" s="638">
        <f t="shared" si="27"/>
        <v>4940.05</v>
      </c>
      <c r="BI21" s="638">
        <f t="shared" si="28"/>
        <v>11771.237499999999</v>
      </c>
      <c r="BJ21" s="638">
        <f t="shared" si="29"/>
        <v>26134.767500000002</v>
      </c>
      <c r="BK21" s="771">
        <v>1394057</v>
      </c>
      <c r="BL21" s="638">
        <f t="shared" si="18"/>
        <v>1</v>
      </c>
      <c r="BM21" s="770">
        <v>3681832</v>
      </c>
      <c r="BN21" s="638">
        <f t="shared" si="19"/>
        <v>1379</v>
      </c>
      <c r="BO21" s="770">
        <v>390521</v>
      </c>
      <c r="BP21" s="638">
        <f t="shared" si="20"/>
        <v>92</v>
      </c>
      <c r="BQ21" s="770">
        <v>485791</v>
      </c>
      <c r="BR21" s="638">
        <f t="shared" si="41"/>
        <v>182</v>
      </c>
      <c r="BS21" s="694">
        <f t="shared" si="30"/>
        <v>32273.996071400044</v>
      </c>
      <c r="BT21" s="695">
        <v>161</v>
      </c>
      <c r="BU21" s="694">
        <f t="shared" si="48"/>
        <v>200.45960292795058</v>
      </c>
      <c r="BV21" s="695"/>
      <c r="BW21" s="694" t="e">
        <f t="shared" si="32"/>
        <v>#DIV/0!</v>
      </c>
      <c r="BX21" s="694">
        <f t="shared" si="35"/>
        <v>37358.095482110046</v>
      </c>
      <c r="BY21" s="694">
        <f t="shared" si="49"/>
        <v>232.03786013732949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1">
        <v>22839595</v>
      </c>
      <c r="J22" s="638">
        <f t="shared" ref="J22:J31" si="51">IF(I22&gt;=I21,I22-I21,0)</f>
        <v>5232.7714285999537</v>
      </c>
      <c r="K22" s="638">
        <f t="shared" si="0"/>
        <v>4485</v>
      </c>
      <c r="L22" s="771">
        <v>248151</v>
      </c>
      <c r="M22" s="638">
        <f t="shared" si="1"/>
        <v>1939</v>
      </c>
      <c r="N22" s="771">
        <v>253246</v>
      </c>
      <c r="O22" s="638">
        <f t="shared" si="2"/>
        <v>2546</v>
      </c>
      <c r="P22" s="771">
        <v>217917</v>
      </c>
      <c r="Q22" s="638">
        <f t="shared" si="46"/>
        <v>450</v>
      </c>
      <c r="R22" s="770">
        <v>154732</v>
      </c>
      <c r="S22" s="638">
        <f t="shared" si="50"/>
        <v>108</v>
      </c>
      <c r="T22" s="770">
        <v>281592</v>
      </c>
      <c r="U22" s="638">
        <f t="shared" si="5"/>
        <v>292</v>
      </c>
      <c r="V22" s="770">
        <v>0</v>
      </c>
      <c r="W22" s="638">
        <f t="shared" si="6"/>
        <v>0</v>
      </c>
      <c r="X22" s="771">
        <v>602300</v>
      </c>
      <c r="Y22" s="638">
        <f t="shared" si="7"/>
        <v>0</v>
      </c>
      <c r="Z22" s="774">
        <v>811670</v>
      </c>
      <c r="AA22" s="638">
        <f t="shared" si="8"/>
        <v>1220.0600000000002</v>
      </c>
      <c r="AB22" s="770">
        <v>339743</v>
      </c>
      <c r="AC22" s="638">
        <f t="shared" si="34"/>
        <v>3334.23</v>
      </c>
      <c r="AD22" s="770">
        <v>405303</v>
      </c>
      <c r="AE22" s="638">
        <f t="shared" si="23"/>
        <v>2197.38</v>
      </c>
      <c r="AF22" s="770">
        <v>826992</v>
      </c>
      <c r="AG22" s="638">
        <f t="shared" si="42"/>
        <v>12.72</v>
      </c>
      <c r="AH22" s="770">
        <v>744676</v>
      </c>
      <c r="AI22" s="638">
        <f t="shared" si="10"/>
        <v>1373.23</v>
      </c>
      <c r="AJ22" s="770">
        <v>620934</v>
      </c>
      <c r="AK22" s="638">
        <f t="shared" si="45"/>
        <v>4449.88</v>
      </c>
      <c r="AL22" s="770">
        <v>433039</v>
      </c>
      <c r="AM22" s="638">
        <f t="shared" si="12"/>
        <v>163.77000000000001</v>
      </c>
      <c r="AN22" s="638">
        <f t="shared" si="24"/>
        <v>12751.27</v>
      </c>
      <c r="AO22" s="770">
        <v>7400439</v>
      </c>
      <c r="AP22" s="638">
        <f t="shared" si="25"/>
        <v>379.91250000000002</v>
      </c>
      <c r="AQ22" s="771">
        <v>623057</v>
      </c>
      <c r="AR22" s="638">
        <f t="shared" si="13"/>
        <v>165</v>
      </c>
      <c r="AS22" s="770">
        <v>934932</v>
      </c>
      <c r="AT22" s="638">
        <f t="shared" si="26"/>
        <v>111</v>
      </c>
      <c r="AU22" s="770">
        <v>801233</v>
      </c>
      <c r="AV22" s="638">
        <f t="shared" si="14"/>
        <v>56</v>
      </c>
      <c r="AW22" s="770">
        <v>2449788</v>
      </c>
      <c r="AX22" s="638">
        <f t="shared" si="15"/>
        <v>910</v>
      </c>
      <c r="AY22" s="770">
        <v>218335</v>
      </c>
      <c r="AZ22" s="638">
        <f t="shared" si="47"/>
        <v>50</v>
      </c>
      <c r="BA22" s="770">
        <v>18338597</v>
      </c>
      <c r="BB22" s="638">
        <f t="shared" si="17"/>
        <v>3402</v>
      </c>
      <c r="BC22" s="770">
        <v>520952</v>
      </c>
      <c r="BD22" s="638">
        <f t="shared" si="17"/>
        <v>189</v>
      </c>
      <c r="BE22" s="770">
        <v>14305</v>
      </c>
      <c r="BF22" s="638">
        <f t="shared" si="17"/>
        <v>120</v>
      </c>
      <c r="BG22" s="771">
        <v>22883405</v>
      </c>
      <c r="BH22" s="638">
        <f t="shared" si="27"/>
        <v>6087.2</v>
      </c>
      <c r="BI22" s="638">
        <f t="shared" si="28"/>
        <v>11470.112499999999</v>
      </c>
      <c r="BJ22" s="638">
        <f t="shared" si="29"/>
        <v>24221.3825</v>
      </c>
      <c r="BK22" s="771">
        <v>1394057</v>
      </c>
      <c r="BL22" s="638">
        <f t="shared" si="18"/>
        <v>0</v>
      </c>
      <c r="BM22" s="770">
        <v>3683506</v>
      </c>
      <c r="BN22" s="638">
        <f t="shared" si="19"/>
        <v>1674</v>
      </c>
      <c r="BO22" s="770">
        <v>390631</v>
      </c>
      <c r="BP22" s="638">
        <f t="shared" si="20"/>
        <v>110</v>
      </c>
      <c r="BQ22" s="770">
        <v>486032</v>
      </c>
      <c r="BR22" s="638">
        <f t="shared" si="41"/>
        <v>241</v>
      </c>
      <c r="BS22" s="694">
        <f t="shared" si="30"/>
        <v>29904.153928599953</v>
      </c>
      <c r="BT22" s="695">
        <v>156</v>
      </c>
      <c r="BU22" s="694">
        <f t="shared" si="48"/>
        <v>191.69329441410227</v>
      </c>
      <c r="BV22" s="695"/>
      <c r="BW22" s="694" t="e">
        <f t="shared" si="32"/>
        <v>#DIV/0!</v>
      </c>
      <c r="BX22" s="694">
        <f t="shared" si="35"/>
        <v>34592.277017889945</v>
      </c>
      <c r="BY22" s="694">
        <f t="shared" si="49"/>
        <v>221.74536549929451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1">
        <v>22845294</v>
      </c>
      <c r="J23" s="638">
        <f t="shared" si="51"/>
        <v>5699</v>
      </c>
      <c r="K23" s="638">
        <f t="shared" si="0"/>
        <v>4539</v>
      </c>
      <c r="L23" s="771">
        <v>250496</v>
      </c>
      <c r="M23" s="638">
        <f t="shared" si="1"/>
        <v>2345</v>
      </c>
      <c r="N23" s="771">
        <v>255440</v>
      </c>
      <c r="O23" s="638">
        <f t="shared" si="2"/>
        <v>2194</v>
      </c>
      <c r="P23" s="771">
        <v>217940</v>
      </c>
      <c r="Q23" s="638">
        <f t="shared" si="46"/>
        <v>690</v>
      </c>
      <c r="R23" s="770">
        <v>154854</v>
      </c>
      <c r="S23" s="638">
        <f t="shared" si="50"/>
        <v>122</v>
      </c>
      <c r="T23" s="770">
        <v>281885</v>
      </c>
      <c r="U23" s="638">
        <f t="shared" si="5"/>
        <v>293</v>
      </c>
      <c r="V23" s="770">
        <v>3089.0571428571402</v>
      </c>
      <c r="W23" s="638">
        <f t="shared" si="6"/>
        <v>1637.2002857142843</v>
      </c>
      <c r="X23" s="771">
        <v>602300</v>
      </c>
      <c r="Y23" s="638">
        <f t="shared" si="7"/>
        <v>0</v>
      </c>
      <c r="Z23" s="774">
        <v>811670</v>
      </c>
      <c r="AA23" s="638">
        <f t="shared" si="8"/>
        <v>0</v>
      </c>
      <c r="AB23" s="770">
        <v>347482</v>
      </c>
      <c r="AC23" s="638">
        <f t="shared" si="34"/>
        <v>4101.67</v>
      </c>
      <c r="AD23" s="770">
        <v>408201</v>
      </c>
      <c r="AE23" s="638">
        <f t="shared" si="23"/>
        <v>1535.94</v>
      </c>
      <c r="AF23" s="770">
        <v>827011</v>
      </c>
      <c r="AG23" s="638">
        <f t="shared" si="42"/>
        <v>10.07</v>
      </c>
      <c r="AH23" s="770">
        <v>746904</v>
      </c>
      <c r="AI23" s="638">
        <f t="shared" si="10"/>
        <v>1180.8400000000001</v>
      </c>
      <c r="AJ23" s="770">
        <v>627882</v>
      </c>
      <c r="AK23" s="638">
        <f t="shared" si="45"/>
        <v>3682.44</v>
      </c>
      <c r="AL23" s="770">
        <v>433347</v>
      </c>
      <c r="AM23" s="638">
        <f t="shared" si="12"/>
        <v>163.24</v>
      </c>
      <c r="AN23" s="638">
        <f t="shared" si="24"/>
        <v>12311.400285714284</v>
      </c>
      <c r="AO23" s="709">
        <v>7402123</v>
      </c>
      <c r="AP23" s="638">
        <f t="shared" si="25"/>
        <v>189.45000000000002</v>
      </c>
      <c r="AQ23" s="770">
        <v>623240</v>
      </c>
      <c r="AR23" s="638">
        <f t="shared" si="13"/>
        <v>183</v>
      </c>
      <c r="AS23" s="770">
        <v>935148</v>
      </c>
      <c r="AT23" s="638">
        <f t="shared" si="26"/>
        <v>216</v>
      </c>
      <c r="AU23" s="770">
        <v>801276</v>
      </c>
      <c r="AV23" s="638">
        <f t="shared" si="14"/>
        <v>43</v>
      </c>
      <c r="AW23" s="770">
        <v>2451004</v>
      </c>
      <c r="AX23" s="638">
        <f t="shared" si="15"/>
        <v>1216</v>
      </c>
      <c r="AY23" s="771">
        <v>218409</v>
      </c>
      <c r="AZ23" s="638">
        <f t="shared" si="47"/>
        <v>74</v>
      </c>
      <c r="BA23" s="771">
        <v>18344155</v>
      </c>
      <c r="BB23" s="638">
        <f t="shared" si="17"/>
        <v>5558</v>
      </c>
      <c r="BC23" s="770">
        <v>521184</v>
      </c>
      <c r="BD23" s="638">
        <f t="shared" si="17"/>
        <v>232</v>
      </c>
      <c r="BE23" s="770">
        <v>14425</v>
      </c>
      <c r="BF23" s="638">
        <f t="shared" si="17"/>
        <v>120</v>
      </c>
      <c r="BG23" s="771">
        <v>22890805</v>
      </c>
      <c r="BH23" s="638">
        <f t="shared" si="27"/>
        <v>6309.8</v>
      </c>
      <c r="BI23" s="638">
        <f t="shared" si="28"/>
        <v>14141.25</v>
      </c>
      <c r="BJ23" s="638">
        <f t="shared" si="29"/>
        <v>26452.650285714284</v>
      </c>
      <c r="BK23" s="771">
        <v>1394118</v>
      </c>
      <c r="BL23" s="638">
        <f t="shared" si="18"/>
        <v>61</v>
      </c>
      <c r="BM23" s="770">
        <v>3685318</v>
      </c>
      <c r="BN23" s="638">
        <f t="shared" si="19"/>
        <v>1812</v>
      </c>
      <c r="BO23" s="770">
        <v>390755</v>
      </c>
      <c r="BP23" s="638">
        <f t="shared" si="20"/>
        <v>124</v>
      </c>
      <c r="BQ23" s="771">
        <v>486251</v>
      </c>
      <c r="BR23" s="638">
        <f t="shared" si="41"/>
        <v>219</v>
      </c>
      <c r="BS23" s="694">
        <f t="shared" si="30"/>
        <v>32841.650285714284</v>
      </c>
      <c r="BT23" s="695">
        <v>153</v>
      </c>
      <c r="BU23" s="694">
        <f t="shared" si="48"/>
        <v>214.65130905695611</v>
      </c>
      <c r="BV23" s="695"/>
      <c r="BW23" s="694" t="e">
        <f t="shared" si="32"/>
        <v>#DIV/0!</v>
      </c>
      <c r="BX23" s="694">
        <f t="shared" si="35"/>
        <v>38078.397828571426</v>
      </c>
      <c r="BY23" s="694">
        <f t="shared" si="49"/>
        <v>248.87841718020539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1">
        <v>22850256</v>
      </c>
      <c r="J24" s="638">
        <f t="shared" si="51"/>
        <v>4962</v>
      </c>
      <c r="K24" s="638">
        <f t="shared" si="0"/>
        <v>2948</v>
      </c>
      <c r="L24" s="771">
        <v>252290</v>
      </c>
      <c r="M24" s="638">
        <f t="shared" si="1"/>
        <v>1794</v>
      </c>
      <c r="N24" s="771">
        <v>256594</v>
      </c>
      <c r="O24" s="638">
        <f t="shared" si="2"/>
        <v>1154</v>
      </c>
      <c r="P24" s="771">
        <v>217958</v>
      </c>
      <c r="Q24" s="638">
        <f>IF(P24&gt;=P23,P24-P23,0)*30</f>
        <v>540</v>
      </c>
      <c r="R24" s="770">
        <v>154981</v>
      </c>
      <c r="S24" s="638">
        <f t="shared" si="50"/>
        <v>127</v>
      </c>
      <c r="T24" s="770">
        <v>282138</v>
      </c>
      <c r="U24" s="638">
        <f t="shared" si="5"/>
        <v>253</v>
      </c>
      <c r="V24" s="770">
        <v>8850</v>
      </c>
      <c r="W24" s="638">
        <f t="shared" si="6"/>
        <v>3053.2997142857157</v>
      </c>
      <c r="X24" s="771">
        <v>602300</v>
      </c>
      <c r="Y24" s="638">
        <f t="shared" si="7"/>
        <v>0</v>
      </c>
      <c r="Z24" s="770">
        <v>811670</v>
      </c>
      <c r="AA24" s="638">
        <f t="shared" si="8"/>
        <v>0</v>
      </c>
      <c r="AB24" s="770">
        <v>354020</v>
      </c>
      <c r="AC24" s="638">
        <f t="shared" si="34"/>
        <v>3465.1400000000003</v>
      </c>
      <c r="AD24" s="770">
        <v>411263</v>
      </c>
      <c r="AE24" s="638">
        <f t="shared" si="23"/>
        <v>1622.8600000000001</v>
      </c>
      <c r="AF24" s="770">
        <v>827031</v>
      </c>
      <c r="AG24" s="638">
        <f t="shared" si="42"/>
        <v>10.600000000000001</v>
      </c>
      <c r="AH24" s="770">
        <v>748806</v>
      </c>
      <c r="AI24" s="638">
        <f t="shared" si="10"/>
        <v>1008.0600000000001</v>
      </c>
      <c r="AJ24" s="770">
        <v>633928</v>
      </c>
      <c r="AK24" s="638">
        <f t="shared" si="45"/>
        <v>3204.38</v>
      </c>
      <c r="AL24" s="770">
        <v>433665</v>
      </c>
      <c r="AM24" s="638">
        <f t="shared" si="12"/>
        <v>168.54000000000002</v>
      </c>
      <c r="AN24" s="638">
        <f t="shared" si="24"/>
        <v>12532.879714285718</v>
      </c>
      <c r="AO24" s="770">
        <v>7404119</v>
      </c>
      <c r="AP24" s="638">
        <f t="shared" si="25"/>
        <v>224.55</v>
      </c>
      <c r="AQ24" s="771">
        <v>623400</v>
      </c>
      <c r="AR24" s="638">
        <f t="shared" si="13"/>
        <v>160</v>
      </c>
      <c r="AS24" s="771">
        <v>935286</v>
      </c>
      <c r="AT24" s="638">
        <f t="shared" si="26"/>
        <v>138</v>
      </c>
      <c r="AU24" s="770">
        <v>801312</v>
      </c>
      <c r="AV24" s="638">
        <f t="shared" si="14"/>
        <v>36</v>
      </c>
      <c r="AW24" s="770">
        <v>2451840</v>
      </c>
      <c r="AX24" s="638">
        <f t="shared" si="15"/>
        <v>836</v>
      </c>
      <c r="AY24" s="771">
        <v>218478</v>
      </c>
      <c r="AZ24" s="638">
        <f t="shared" si="47"/>
        <v>69</v>
      </c>
      <c r="BA24" s="770">
        <v>18348324</v>
      </c>
      <c r="BB24" s="638">
        <f t="shared" si="17"/>
        <v>4169</v>
      </c>
      <c r="BC24" s="770">
        <v>521366</v>
      </c>
      <c r="BD24" s="638">
        <f t="shared" si="17"/>
        <v>182</v>
      </c>
      <c r="BE24" s="770">
        <v>14540</v>
      </c>
      <c r="BF24" s="638">
        <f t="shared" si="17"/>
        <v>115</v>
      </c>
      <c r="BG24" s="771">
        <v>22896662</v>
      </c>
      <c r="BH24" s="638">
        <f t="shared" si="27"/>
        <v>5007.8500000000004</v>
      </c>
      <c r="BI24" s="638">
        <f t="shared" si="28"/>
        <v>10937.400000000001</v>
      </c>
      <c r="BJ24" s="638">
        <f t="shared" si="29"/>
        <v>23470.27971428572</v>
      </c>
      <c r="BK24" s="771">
        <v>1394170</v>
      </c>
      <c r="BL24" s="638">
        <f t="shared" si="18"/>
        <v>52</v>
      </c>
      <c r="BM24" s="771">
        <v>3686708</v>
      </c>
      <c r="BN24" s="638">
        <f t="shared" si="19"/>
        <v>1390</v>
      </c>
      <c r="BO24" s="770">
        <v>390852</v>
      </c>
      <c r="BP24" s="638">
        <f t="shared" si="20"/>
        <v>97</v>
      </c>
      <c r="BQ24" s="771">
        <v>486431</v>
      </c>
      <c r="BR24" s="638">
        <f t="shared" si="41"/>
        <v>180</v>
      </c>
      <c r="BS24" s="694">
        <f t="shared" si="30"/>
        <v>28972.27971428572</v>
      </c>
      <c r="BT24" s="695">
        <v>160</v>
      </c>
      <c r="BU24" s="694">
        <f t="shared" si="48"/>
        <v>181.07674821428574</v>
      </c>
      <c r="BV24" s="695"/>
      <c r="BW24" s="694" t="e">
        <f t="shared" si="32"/>
        <v>#DIV/0!</v>
      </c>
      <c r="BX24" s="694">
        <f t="shared" si="35"/>
        <v>33561.121671428577</v>
      </c>
      <c r="BY24" s="694">
        <f t="shared" si="49"/>
        <v>209.75701044642861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1">
        <v>22856568</v>
      </c>
      <c r="J25" s="638">
        <f t="shared" si="51"/>
        <v>6312</v>
      </c>
      <c r="K25" s="638">
        <f t="shared" si="0"/>
        <v>4331</v>
      </c>
      <c r="L25" s="771">
        <v>254923</v>
      </c>
      <c r="M25" s="638">
        <f t="shared" si="1"/>
        <v>2633</v>
      </c>
      <c r="N25" s="771">
        <v>258292</v>
      </c>
      <c r="O25" s="638">
        <f t="shared" si="2"/>
        <v>1698</v>
      </c>
      <c r="P25" s="771">
        <v>217977</v>
      </c>
      <c r="Q25" s="638">
        <f t="shared" si="46"/>
        <v>570</v>
      </c>
      <c r="R25" s="770">
        <v>155137</v>
      </c>
      <c r="S25" s="638">
        <f t="shared" si="50"/>
        <v>156</v>
      </c>
      <c r="T25" s="770">
        <v>282441</v>
      </c>
      <c r="U25" s="638">
        <f t="shared" si="5"/>
        <v>303</v>
      </c>
      <c r="V25" s="770">
        <v>14437</v>
      </c>
      <c r="W25" s="638">
        <f t="shared" si="6"/>
        <v>2961.11</v>
      </c>
      <c r="X25" s="771">
        <v>602300</v>
      </c>
      <c r="Y25" s="638">
        <f t="shared" si="7"/>
        <v>0</v>
      </c>
      <c r="Z25" s="770">
        <v>811670</v>
      </c>
      <c r="AA25" s="638">
        <f t="shared" si="8"/>
        <v>0</v>
      </c>
      <c r="AB25" s="770">
        <v>362734</v>
      </c>
      <c r="AC25" s="638">
        <f t="shared" si="34"/>
        <v>4618.42</v>
      </c>
      <c r="AD25" s="770">
        <v>414299</v>
      </c>
      <c r="AE25" s="638">
        <f t="shared" si="23"/>
        <v>1609.0800000000002</v>
      </c>
      <c r="AF25" s="770">
        <v>827050</v>
      </c>
      <c r="AG25" s="638">
        <f t="shared" si="42"/>
        <v>10.07</v>
      </c>
      <c r="AH25" s="771">
        <v>751547</v>
      </c>
      <c r="AI25" s="638">
        <f t="shared" si="10"/>
        <v>1452.73</v>
      </c>
      <c r="AJ25" s="771">
        <v>642639</v>
      </c>
      <c r="AK25" s="638">
        <f t="shared" si="45"/>
        <v>4616.83</v>
      </c>
      <c r="AL25" s="770">
        <v>433956</v>
      </c>
      <c r="AM25" s="638">
        <f t="shared" si="12"/>
        <v>154.23000000000002</v>
      </c>
      <c r="AN25" s="638">
        <f t="shared" si="24"/>
        <v>15422.47</v>
      </c>
      <c r="AO25" s="770">
        <v>7404544</v>
      </c>
      <c r="AP25" s="638">
        <f t="shared" si="25"/>
        <v>47.8125</v>
      </c>
      <c r="AQ25" s="770">
        <v>623536</v>
      </c>
      <c r="AR25" s="638">
        <f>IF(AQ25&gt;=AQ24,AQ25-AQ24,0)</f>
        <v>136</v>
      </c>
      <c r="AS25" s="771">
        <v>935443</v>
      </c>
      <c r="AT25" s="638">
        <f t="shared" si="26"/>
        <v>157</v>
      </c>
      <c r="AU25" s="770">
        <v>801366</v>
      </c>
      <c r="AV25" s="638">
        <f t="shared" si="14"/>
        <v>54</v>
      </c>
      <c r="AW25" s="770">
        <v>2452966</v>
      </c>
      <c r="AX25" s="638">
        <f t="shared" si="15"/>
        <v>1126</v>
      </c>
      <c r="AY25" s="771">
        <v>218564</v>
      </c>
      <c r="AZ25" s="638">
        <f t="shared" si="47"/>
        <v>86</v>
      </c>
      <c r="BA25" s="770">
        <v>18353906</v>
      </c>
      <c r="BB25" s="638">
        <f t="shared" si="17"/>
        <v>5582</v>
      </c>
      <c r="BC25" s="770">
        <v>521606</v>
      </c>
      <c r="BD25" s="638">
        <f t="shared" si="17"/>
        <v>240</v>
      </c>
      <c r="BE25" s="770">
        <v>14665.052631578899</v>
      </c>
      <c r="BF25" s="638">
        <f t="shared" si="17"/>
        <v>125.05263157889931</v>
      </c>
      <c r="BG25" s="771">
        <v>22903980</v>
      </c>
      <c r="BH25" s="638">
        <f t="shared" si="27"/>
        <v>6264.45</v>
      </c>
      <c r="BI25" s="638">
        <f t="shared" si="28"/>
        <v>13818.3151315789</v>
      </c>
      <c r="BJ25" s="638">
        <f t="shared" si="29"/>
        <v>29240.785131578901</v>
      </c>
      <c r="BK25" s="771">
        <v>1394236</v>
      </c>
      <c r="BL25" s="638">
        <f t="shared" si="18"/>
        <v>66</v>
      </c>
      <c r="BM25" s="771">
        <v>3688428</v>
      </c>
      <c r="BN25" s="638">
        <f t="shared" si="19"/>
        <v>1720</v>
      </c>
      <c r="BO25" s="709">
        <v>390971</v>
      </c>
      <c r="BP25" s="638">
        <f t="shared" si="20"/>
        <v>119</v>
      </c>
      <c r="BQ25" s="770">
        <v>486657</v>
      </c>
      <c r="BR25" s="638">
        <f t="shared" si="41"/>
        <v>226</v>
      </c>
      <c r="BS25" s="694">
        <f t="shared" si="30"/>
        <v>36122.785131578901</v>
      </c>
      <c r="BT25" s="695">
        <v>223</v>
      </c>
      <c r="BU25" s="694">
        <f t="shared" si="48"/>
        <v>161.98558354968117</v>
      </c>
      <c r="BV25" s="695"/>
      <c r="BW25" s="694" t="e">
        <f t="shared" si="32"/>
        <v>#DIV/0!</v>
      </c>
      <c r="BX25" s="694">
        <f t="shared" si="35"/>
        <v>41797.70290131573</v>
      </c>
      <c r="BY25" s="694">
        <f t="shared" si="49"/>
        <v>187.43364529737997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1">
        <v>22862231</v>
      </c>
      <c r="J26" s="638">
        <f t="shared" si="51"/>
        <v>5663</v>
      </c>
      <c r="K26" s="638">
        <f t="shared" si="0"/>
        <v>3308</v>
      </c>
      <c r="L26" s="771">
        <v>256895</v>
      </c>
      <c r="M26" s="638">
        <f t="shared" si="1"/>
        <v>1972</v>
      </c>
      <c r="N26" s="771">
        <v>259628</v>
      </c>
      <c r="O26" s="638">
        <f t="shared" si="2"/>
        <v>1336</v>
      </c>
      <c r="P26" s="771">
        <v>217996</v>
      </c>
      <c r="Q26" s="638">
        <f t="shared" si="46"/>
        <v>570</v>
      </c>
      <c r="R26" s="770">
        <v>155261</v>
      </c>
      <c r="S26" s="638">
        <f t="shared" si="50"/>
        <v>124</v>
      </c>
      <c r="T26" s="770">
        <v>282694</v>
      </c>
      <c r="U26" s="638">
        <f t="shared" si="5"/>
        <v>253</v>
      </c>
      <c r="V26" s="770">
        <v>20237</v>
      </c>
      <c r="W26" s="638">
        <f t="shared" si="6"/>
        <v>3074</v>
      </c>
      <c r="X26" s="771">
        <v>602300</v>
      </c>
      <c r="Y26" s="638">
        <f t="shared" si="7"/>
        <v>0</v>
      </c>
      <c r="Z26" s="771">
        <v>811670</v>
      </c>
      <c r="AA26" s="638">
        <f t="shared" si="8"/>
        <v>0</v>
      </c>
      <c r="AB26" s="770">
        <v>369914</v>
      </c>
      <c r="AC26" s="638">
        <f t="shared" si="34"/>
        <v>3805.4</v>
      </c>
      <c r="AD26" s="770">
        <v>417524</v>
      </c>
      <c r="AE26" s="638">
        <f t="shared" si="23"/>
        <v>1709.25</v>
      </c>
      <c r="AF26" s="770">
        <v>827069</v>
      </c>
      <c r="AG26" s="638">
        <f t="shared" si="42"/>
        <v>10.07</v>
      </c>
      <c r="AH26" s="770">
        <v>753667</v>
      </c>
      <c r="AI26" s="638">
        <f t="shared" si="10"/>
        <v>1123.6000000000001</v>
      </c>
      <c r="AJ26" s="770">
        <v>649306</v>
      </c>
      <c r="AK26" s="638">
        <f t="shared" si="45"/>
        <v>3533.51</v>
      </c>
      <c r="AL26" s="770">
        <v>434261</v>
      </c>
      <c r="AM26" s="638">
        <f t="shared" si="12"/>
        <v>161.65</v>
      </c>
      <c r="AN26" s="638">
        <f t="shared" si="24"/>
        <v>13417.48</v>
      </c>
      <c r="AO26" s="770">
        <v>7406241</v>
      </c>
      <c r="AP26" s="638">
        <f t="shared" si="25"/>
        <v>190.91249999999999</v>
      </c>
      <c r="AQ26" s="771">
        <v>623686</v>
      </c>
      <c r="AR26" s="638">
        <f>IF(AQ26&gt;=AQ25,AQ26-AQ25,0)</f>
        <v>150</v>
      </c>
      <c r="AS26" s="771">
        <v>935620</v>
      </c>
      <c r="AT26" s="638">
        <f t="shared" si="26"/>
        <v>177</v>
      </c>
      <c r="AU26" s="770">
        <v>801402</v>
      </c>
      <c r="AV26" s="638">
        <f t="shared" si="14"/>
        <v>36</v>
      </c>
      <c r="AW26" s="770">
        <v>2453925</v>
      </c>
      <c r="AX26" s="638">
        <f t="shared" si="15"/>
        <v>959</v>
      </c>
      <c r="AY26" s="771">
        <v>218631</v>
      </c>
      <c r="AZ26" s="638">
        <f t="shared" si="47"/>
        <v>67</v>
      </c>
      <c r="BA26" s="770">
        <v>18359158</v>
      </c>
      <c r="BB26" s="638">
        <f t="shared" si="17"/>
        <v>5252</v>
      </c>
      <c r="BC26" s="770">
        <v>521801</v>
      </c>
      <c r="BD26" s="638">
        <f t="shared" si="17"/>
        <v>195</v>
      </c>
      <c r="BE26" s="770">
        <v>14787</v>
      </c>
      <c r="BF26" s="638">
        <f t="shared" si="17"/>
        <v>121.94736842110069</v>
      </c>
      <c r="BG26" s="771">
        <v>22910377</v>
      </c>
      <c r="BH26" s="638">
        <f t="shared" si="27"/>
        <v>5450.45</v>
      </c>
      <c r="BI26" s="638">
        <f t="shared" si="28"/>
        <v>12599.3098684211</v>
      </c>
      <c r="BJ26" s="638">
        <f t="shared" si="29"/>
        <v>26016.7898684211</v>
      </c>
      <c r="BK26" s="771">
        <v>1394290</v>
      </c>
      <c r="BL26" s="638">
        <f t="shared" si="18"/>
        <v>54</v>
      </c>
      <c r="BM26" s="770">
        <v>3690007</v>
      </c>
      <c r="BN26" s="638">
        <f t="shared" si="19"/>
        <v>1579</v>
      </c>
      <c r="BO26" s="770">
        <v>391071</v>
      </c>
      <c r="BP26" s="638">
        <f t="shared" si="20"/>
        <v>100</v>
      </c>
      <c r="BQ26" s="770">
        <v>486848</v>
      </c>
      <c r="BR26" s="638">
        <f t="shared" si="41"/>
        <v>191</v>
      </c>
      <c r="BS26" s="694">
        <f t="shared" si="30"/>
        <v>32249.7898684211</v>
      </c>
      <c r="BT26" s="695">
        <v>237</v>
      </c>
      <c r="BU26" s="694">
        <f t="shared" si="48"/>
        <v>136.07506273595402</v>
      </c>
      <c r="BV26" s="695"/>
      <c r="BW26" s="694" t="e">
        <f t="shared" si="32"/>
        <v>#DIV/0!</v>
      </c>
      <c r="BX26" s="694">
        <f t="shared" si="35"/>
        <v>37343.758348684263</v>
      </c>
      <c r="BY26" s="694">
        <f t="shared" si="49"/>
        <v>157.56860062735976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1">
        <v>22868151</v>
      </c>
      <c r="J27" s="638">
        <f t="shared" si="51"/>
        <v>5920</v>
      </c>
      <c r="K27" s="638">
        <f t="shared" si="0"/>
        <v>3701</v>
      </c>
      <c r="L27" s="771">
        <v>259108</v>
      </c>
      <c r="M27" s="638">
        <f t="shared" si="1"/>
        <v>2213</v>
      </c>
      <c r="N27" s="771">
        <v>261116</v>
      </c>
      <c r="O27" s="638">
        <f t="shared" si="2"/>
        <v>1488</v>
      </c>
      <c r="P27" s="771">
        <v>218017</v>
      </c>
      <c r="Q27" s="638">
        <f>IF(P27&gt;=P26,P27-P26,0)*30</f>
        <v>630</v>
      </c>
      <c r="R27" s="770">
        <v>155433</v>
      </c>
      <c r="S27" s="638">
        <f t="shared" si="50"/>
        <v>172</v>
      </c>
      <c r="T27" s="770">
        <v>283034</v>
      </c>
      <c r="U27" s="638">
        <f t="shared" si="5"/>
        <v>340</v>
      </c>
      <c r="V27" s="770">
        <v>26875</v>
      </c>
      <c r="W27" s="638">
        <f t="shared" si="6"/>
        <v>3518.1400000000003</v>
      </c>
      <c r="X27" s="771">
        <v>602300</v>
      </c>
      <c r="Y27" s="638">
        <f t="shared" si="7"/>
        <v>0</v>
      </c>
      <c r="Z27" s="771">
        <v>811670</v>
      </c>
      <c r="AA27" s="638">
        <f t="shared" si="8"/>
        <v>0</v>
      </c>
      <c r="AB27" s="770">
        <v>377966</v>
      </c>
      <c r="AC27" s="638">
        <f t="shared" si="34"/>
        <v>4267.5600000000004</v>
      </c>
      <c r="AD27" s="770">
        <v>420548</v>
      </c>
      <c r="AE27" s="638">
        <f t="shared" si="23"/>
        <v>1602.72</v>
      </c>
      <c r="AF27" s="770">
        <v>827088</v>
      </c>
      <c r="AG27" s="638">
        <f t="shared" si="42"/>
        <v>10.07</v>
      </c>
      <c r="AH27" s="771">
        <v>756022</v>
      </c>
      <c r="AI27" s="638">
        <f t="shared" si="10"/>
        <v>1248.1500000000001</v>
      </c>
      <c r="AJ27" s="771">
        <v>656711</v>
      </c>
      <c r="AK27" s="638">
        <f t="shared" si="45"/>
        <v>3924.65</v>
      </c>
      <c r="AL27" s="770">
        <v>434602</v>
      </c>
      <c r="AM27" s="638">
        <f t="shared" si="12"/>
        <v>180.73000000000002</v>
      </c>
      <c r="AN27" s="638">
        <f t="shared" si="24"/>
        <v>14752.019999999999</v>
      </c>
      <c r="AO27" s="770">
        <v>7407937</v>
      </c>
      <c r="AP27" s="638">
        <f t="shared" si="25"/>
        <v>190.8</v>
      </c>
      <c r="AQ27" s="770">
        <v>623870</v>
      </c>
      <c r="AR27" s="638">
        <f>IF(AQ27&gt;=AQ26,AQ27-AQ26,0)</f>
        <v>184</v>
      </c>
      <c r="AS27" s="770">
        <v>935857</v>
      </c>
      <c r="AT27" s="638">
        <f t="shared" si="26"/>
        <v>237</v>
      </c>
      <c r="AU27" s="770">
        <v>801437</v>
      </c>
      <c r="AV27" s="638">
        <f t="shared" si="14"/>
        <v>35</v>
      </c>
      <c r="AW27" s="770">
        <v>2455129</v>
      </c>
      <c r="AX27" s="638">
        <f t="shared" si="15"/>
        <v>1204</v>
      </c>
      <c r="AY27" s="771">
        <v>218722</v>
      </c>
      <c r="AZ27" s="638">
        <f t="shared" si="47"/>
        <v>91</v>
      </c>
      <c r="BA27" s="770">
        <v>18364311</v>
      </c>
      <c r="BB27" s="638">
        <f t="shared" si="17"/>
        <v>5153</v>
      </c>
      <c r="BC27" s="770">
        <v>522045</v>
      </c>
      <c r="BD27" s="638">
        <f t="shared" si="17"/>
        <v>244</v>
      </c>
      <c r="BE27" s="770">
        <v>14905</v>
      </c>
      <c r="BF27" s="638">
        <f t="shared" si="17"/>
        <v>118</v>
      </c>
      <c r="BG27" s="771">
        <v>22918157</v>
      </c>
      <c r="BH27" s="638">
        <f t="shared" si="27"/>
        <v>6629.6</v>
      </c>
      <c r="BI27" s="638">
        <f t="shared" si="28"/>
        <v>14086.400000000001</v>
      </c>
      <c r="BJ27" s="638">
        <f t="shared" si="29"/>
        <v>28838.42</v>
      </c>
      <c r="BK27" s="771">
        <v>1394359</v>
      </c>
      <c r="BL27" s="638">
        <f t="shared" si="18"/>
        <v>69</v>
      </c>
      <c r="BM27" s="770">
        <v>3691912</v>
      </c>
      <c r="BN27" s="638">
        <f t="shared" si="19"/>
        <v>1905</v>
      </c>
      <c r="BO27" s="770">
        <v>391198</v>
      </c>
      <c r="BP27" s="638">
        <f t="shared" si="20"/>
        <v>127</v>
      </c>
      <c r="BQ27" s="770">
        <v>487084</v>
      </c>
      <c r="BR27" s="638">
        <f t="shared" si="41"/>
        <v>236</v>
      </c>
      <c r="BS27" s="694">
        <f t="shared" si="30"/>
        <v>35388.42</v>
      </c>
      <c r="BT27" s="695">
        <v>249</v>
      </c>
      <c r="BU27" s="694">
        <f t="shared" si="48"/>
        <v>142.1221686746988</v>
      </c>
      <c r="BV27" s="695"/>
      <c r="BW27" s="694" t="e">
        <f t="shared" si="32"/>
        <v>#DIV/0!</v>
      </c>
      <c r="BX27" s="694">
        <f t="shared" si="35"/>
        <v>40980.182999999997</v>
      </c>
      <c r="BY27" s="694">
        <f t="shared" si="49"/>
        <v>164.57904819277107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1">
        <v>22873164</v>
      </c>
      <c r="J28" s="638">
        <f t="shared" si="51"/>
        <v>5013</v>
      </c>
      <c r="K28" s="638">
        <f t="shared" si="0"/>
        <v>3169</v>
      </c>
      <c r="L28" s="771">
        <v>260965</v>
      </c>
      <c r="M28" s="638">
        <f t="shared" si="1"/>
        <v>1857</v>
      </c>
      <c r="N28" s="770">
        <v>262428</v>
      </c>
      <c r="O28" s="638">
        <f t="shared" si="2"/>
        <v>1312</v>
      </c>
      <c r="P28" s="771">
        <v>218035</v>
      </c>
      <c r="Q28" s="638">
        <f t="shared" si="46"/>
        <v>540</v>
      </c>
      <c r="R28" s="770">
        <v>155563</v>
      </c>
      <c r="S28" s="638">
        <f t="shared" si="50"/>
        <v>130</v>
      </c>
      <c r="T28" s="770">
        <v>283292</v>
      </c>
      <c r="U28" s="638">
        <f t="shared" si="5"/>
        <v>258</v>
      </c>
      <c r="V28" s="770">
        <v>31881</v>
      </c>
      <c r="W28" s="638">
        <f t="shared" si="6"/>
        <v>2653.1800000000003</v>
      </c>
      <c r="X28" s="771">
        <v>602300</v>
      </c>
      <c r="Y28" s="638">
        <f t="shared" si="7"/>
        <v>0</v>
      </c>
      <c r="Z28" s="771">
        <v>811670</v>
      </c>
      <c r="AA28" s="638">
        <f t="shared" si="8"/>
        <v>0</v>
      </c>
      <c r="AB28" s="770">
        <v>384346</v>
      </c>
      <c r="AC28" s="638">
        <f t="shared" si="34"/>
        <v>3381.4</v>
      </c>
      <c r="AD28" s="770">
        <v>423187</v>
      </c>
      <c r="AE28" s="638">
        <f t="shared" si="23"/>
        <v>1398.67</v>
      </c>
      <c r="AF28" s="770">
        <v>827105</v>
      </c>
      <c r="AG28" s="638">
        <f t="shared" si="42"/>
        <v>9.01</v>
      </c>
      <c r="AH28" s="770">
        <v>758018</v>
      </c>
      <c r="AI28" s="638">
        <f t="shared" si="10"/>
        <v>1057.8800000000001</v>
      </c>
      <c r="AJ28" s="770">
        <v>662925</v>
      </c>
      <c r="AK28" s="638">
        <f t="shared" si="45"/>
        <v>3293.42</v>
      </c>
      <c r="AL28" s="770">
        <v>434889</v>
      </c>
      <c r="AM28" s="638">
        <f t="shared" si="12"/>
        <v>152.11000000000001</v>
      </c>
      <c r="AN28" s="638">
        <f t="shared" si="24"/>
        <v>11945.67</v>
      </c>
      <c r="AO28" s="770">
        <v>7409599</v>
      </c>
      <c r="AP28" s="638">
        <f t="shared" si="25"/>
        <v>186.97499999999999</v>
      </c>
      <c r="AQ28" s="770">
        <v>624062</v>
      </c>
      <c r="AR28" s="638">
        <f>IF(AQ28&gt;=AQ27,AQ28-AQ27,0)</f>
        <v>192</v>
      </c>
      <c r="AS28" s="771">
        <v>936036</v>
      </c>
      <c r="AT28" s="638">
        <f t="shared" si="26"/>
        <v>179</v>
      </c>
      <c r="AU28" s="770">
        <v>801469</v>
      </c>
      <c r="AV28" s="638">
        <f t="shared" si="14"/>
        <v>32</v>
      </c>
      <c r="AW28" s="770">
        <v>2456168</v>
      </c>
      <c r="AX28" s="638">
        <f t="shared" si="15"/>
        <v>1039</v>
      </c>
      <c r="AY28" s="770">
        <v>218794</v>
      </c>
      <c r="AZ28" s="638">
        <f t="shared" si="47"/>
        <v>72</v>
      </c>
      <c r="BA28" s="770">
        <v>18369339</v>
      </c>
      <c r="BB28" s="638">
        <f t="shared" si="17"/>
        <v>5028</v>
      </c>
      <c r="BC28" s="770">
        <v>522242</v>
      </c>
      <c r="BD28" s="638">
        <f t="shared" si="17"/>
        <v>197</v>
      </c>
      <c r="BE28" s="770">
        <v>15026</v>
      </c>
      <c r="BF28" s="638">
        <f t="shared" si="17"/>
        <v>121</v>
      </c>
      <c r="BG28" s="770">
        <v>22924453</v>
      </c>
      <c r="BH28" s="638">
        <f t="shared" si="27"/>
        <v>5398.45</v>
      </c>
      <c r="BI28" s="638">
        <f t="shared" si="28"/>
        <v>12445.424999999999</v>
      </c>
      <c r="BJ28" s="638">
        <f t="shared" si="29"/>
        <v>24391.095000000001</v>
      </c>
      <c r="BK28" s="771">
        <v>1394413</v>
      </c>
      <c r="BL28" s="638">
        <f t="shared" si="18"/>
        <v>54</v>
      </c>
      <c r="BM28" s="770">
        <v>3693391</v>
      </c>
      <c r="BN28" s="638">
        <f t="shared" si="19"/>
        <v>1479</v>
      </c>
      <c r="BO28" s="770">
        <v>391298</v>
      </c>
      <c r="BP28" s="638">
        <f t="shared" si="20"/>
        <v>100</v>
      </c>
      <c r="BQ28" s="770">
        <v>487271</v>
      </c>
      <c r="BR28" s="638">
        <f t="shared" si="41"/>
        <v>187</v>
      </c>
      <c r="BS28" s="694">
        <f t="shared" si="30"/>
        <v>29944.094999999998</v>
      </c>
      <c r="BT28" s="695">
        <v>237</v>
      </c>
      <c r="BU28" s="694">
        <f t="shared" si="48"/>
        <v>126.34639240506328</v>
      </c>
      <c r="BV28" s="695"/>
      <c r="BW28" s="694" t="e">
        <f t="shared" si="32"/>
        <v>#DIV/0!</v>
      </c>
      <c r="BX28" s="694">
        <f t="shared" si="35"/>
        <v>34678.709249999993</v>
      </c>
      <c r="BY28" s="694">
        <f t="shared" si="49"/>
        <v>146.32366772151894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1">
        <v>22878807</v>
      </c>
      <c r="J29" s="638">
        <f t="shared" si="51"/>
        <v>5643</v>
      </c>
      <c r="K29" s="638">
        <f t="shared" si="0"/>
        <v>3077</v>
      </c>
      <c r="L29" s="770">
        <v>262750</v>
      </c>
      <c r="M29" s="638">
        <f t="shared" si="1"/>
        <v>1785</v>
      </c>
      <c r="N29" s="770">
        <v>263720</v>
      </c>
      <c r="O29" s="638">
        <f t="shared" si="2"/>
        <v>1292</v>
      </c>
      <c r="P29" s="771">
        <v>218052</v>
      </c>
      <c r="Q29" s="638">
        <f t="shared" si="46"/>
        <v>510</v>
      </c>
      <c r="R29" s="770">
        <v>155673</v>
      </c>
      <c r="S29" s="638">
        <f>IF(R29&gt;=R28,R29-R28,0)</f>
        <v>110</v>
      </c>
      <c r="T29" s="770">
        <v>283511</v>
      </c>
      <c r="U29" s="638">
        <f t="shared" ref="U29:U36" si="52">IF(T29&gt;=T28,T29-T28,0)</f>
        <v>219</v>
      </c>
      <c r="V29" s="770">
        <v>36893</v>
      </c>
      <c r="W29" s="638">
        <f t="shared" si="6"/>
        <v>2656.36</v>
      </c>
      <c r="X29" s="771">
        <v>608713</v>
      </c>
      <c r="Y29" s="638">
        <f t="shared" si="7"/>
        <v>3398.8900000000003</v>
      </c>
      <c r="Z29" s="774">
        <v>811670</v>
      </c>
      <c r="AA29" s="638">
        <f t="shared" si="8"/>
        <v>0</v>
      </c>
      <c r="AB29" s="770">
        <v>384369</v>
      </c>
      <c r="AC29" s="638">
        <f t="shared" si="34"/>
        <v>12.190000000000001</v>
      </c>
      <c r="AD29" s="770">
        <v>426305</v>
      </c>
      <c r="AE29" s="638">
        <f t="shared" si="23"/>
        <v>1652.5400000000002</v>
      </c>
      <c r="AF29" s="770">
        <v>827126</v>
      </c>
      <c r="AG29" s="638">
        <f t="shared" si="42"/>
        <v>11.13</v>
      </c>
      <c r="AH29" s="770">
        <v>759975</v>
      </c>
      <c r="AI29" s="638">
        <f t="shared" si="10"/>
        <v>1037.21</v>
      </c>
      <c r="AJ29" s="770">
        <v>669098</v>
      </c>
      <c r="AK29" s="638">
        <f t="shared" si="45"/>
        <v>3271.69</v>
      </c>
      <c r="AL29" s="770">
        <v>435169</v>
      </c>
      <c r="AM29" s="638">
        <f t="shared" si="12"/>
        <v>148.4</v>
      </c>
      <c r="AN29" s="638">
        <f t="shared" si="24"/>
        <v>12188.41</v>
      </c>
      <c r="AO29" s="709">
        <v>7411437</v>
      </c>
      <c r="AP29" s="638">
        <f t="shared" si="25"/>
        <v>206.77500000000001</v>
      </c>
      <c r="AQ29" s="770">
        <v>624217</v>
      </c>
      <c r="AR29" s="638">
        <f t="shared" si="13"/>
        <v>155</v>
      </c>
      <c r="AS29" s="770">
        <v>936215</v>
      </c>
      <c r="AT29" s="638">
        <f t="shared" si="26"/>
        <v>179</v>
      </c>
      <c r="AU29" s="770">
        <v>801503</v>
      </c>
      <c r="AV29" s="638">
        <f t="shared" si="14"/>
        <v>34</v>
      </c>
      <c r="AW29" s="770">
        <v>2457131</v>
      </c>
      <c r="AX29" s="638">
        <f t="shared" si="15"/>
        <v>963</v>
      </c>
      <c r="AY29" s="770">
        <v>218854</v>
      </c>
      <c r="AZ29" s="638">
        <f t="shared" si="47"/>
        <v>60</v>
      </c>
      <c r="BA29" s="770">
        <v>18374484</v>
      </c>
      <c r="BB29" s="638">
        <f t="shared" si="17"/>
        <v>5145</v>
      </c>
      <c r="BC29" s="770">
        <v>522489</v>
      </c>
      <c r="BD29" s="638">
        <f t="shared" si="17"/>
        <v>247</v>
      </c>
      <c r="BE29" s="770">
        <v>15146</v>
      </c>
      <c r="BF29" s="638">
        <f t="shared" si="17"/>
        <v>120</v>
      </c>
      <c r="BG29" s="771">
        <v>22932159</v>
      </c>
      <c r="BH29" s="638">
        <f t="shared" si="27"/>
        <v>6576.8</v>
      </c>
      <c r="BI29" s="638">
        <f t="shared" si="28"/>
        <v>13686.575000000001</v>
      </c>
      <c r="BJ29" s="638">
        <f t="shared" si="29"/>
        <v>25874.985000000001</v>
      </c>
      <c r="BK29" s="771">
        <v>1394481</v>
      </c>
      <c r="BL29" s="638">
        <f t="shared" si="18"/>
        <v>68</v>
      </c>
      <c r="BM29" s="770">
        <v>3695251</v>
      </c>
      <c r="BN29" s="638">
        <f t="shared" si="19"/>
        <v>1860</v>
      </c>
      <c r="BO29" s="770">
        <v>391434</v>
      </c>
      <c r="BP29" s="638">
        <f t="shared" si="20"/>
        <v>136</v>
      </c>
      <c r="BQ29" s="771">
        <v>487502</v>
      </c>
      <c r="BR29" s="638">
        <f t="shared" si="41"/>
        <v>231</v>
      </c>
      <c r="BS29" s="694">
        <f t="shared" si="30"/>
        <v>32027.985000000001</v>
      </c>
      <c r="BT29" s="695">
        <v>202</v>
      </c>
      <c r="BU29" s="694">
        <f t="shared" si="48"/>
        <v>158.55438118811881</v>
      </c>
      <c r="BV29" s="695"/>
      <c r="BW29" s="694" t="e">
        <f t="shared" si="32"/>
        <v>#DIV/0!</v>
      </c>
      <c r="BX29" s="694">
        <f t="shared" si="35"/>
        <v>37061.68275</v>
      </c>
      <c r="BY29" s="694">
        <f t="shared" si="49"/>
        <v>183.47367698019801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1">
        <v>22882700</v>
      </c>
      <c r="J30" s="638">
        <f t="shared" si="51"/>
        <v>3893</v>
      </c>
      <c r="K30" s="638">
        <f t="shared" si="0"/>
        <v>5067</v>
      </c>
      <c r="L30" s="771">
        <v>265144</v>
      </c>
      <c r="M30" s="638">
        <f t="shared" si="1"/>
        <v>2394</v>
      </c>
      <c r="N30" s="771">
        <v>266393</v>
      </c>
      <c r="O30" s="638">
        <f t="shared" si="2"/>
        <v>2673</v>
      </c>
      <c r="P30" s="771">
        <v>218074</v>
      </c>
      <c r="Q30" s="638">
        <f t="shared" si="46"/>
        <v>660</v>
      </c>
      <c r="R30" s="770">
        <v>155805</v>
      </c>
      <c r="S30" s="638">
        <f>IF(R30&gt;=R29,R30-R29,0)</f>
        <v>132</v>
      </c>
      <c r="T30" s="770">
        <v>283776</v>
      </c>
      <c r="U30" s="638">
        <f t="shared" si="52"/>
        <v>265</v>
      </c>
      <c r="V30" s="770">
        <v>43773</v>
      </c>
      <c r="W30" s="638">
        <f t="shared" si="6"/>
        <v>3646.4</v>
      </c>
      <c r="X30" s="771">
        <v>616871</v>
      </c>
      <c r="Y30" s="638">
        <f t="shared" si="7"/>
        <v>4323.74</v>
      </c>
      <c r="Z30" s="770">
        <v>811670</v>
      </c>
      <c r="AA30" s="638">
        <f t="shared" si="8"/>
        <v>0</v>
      </c>
      <c r="AB30" s="770">
        <v>384369</v>
      </c>
      <c r="AC30" s="638">
        <f t="shared" si="34"/>
        <v>0</v>
      </c>
      <c r="AD30" s="770">
        <v>429273</v>
      </c>
      <c r="AE30" s="638">
        <f t="shared" si="23"/>
        <v>1573.0400000000002</v>
      </c>
      <c r="AF30" s="770">
        <v>827145</v>
      </c>
      <c r="AG30" s="638">
        <f t="shared" si="42"/>
        <v>10.07</v>
      </c>
      <c r="AH30" s="770">
        <v>762487</v>
      </c>
      <c r="AI30" s="638">
        <f t="shared" si="10"/>
        <v>1331.3600000000001</v>
      </c>
      <c r="AJ30" s="770">
        <v>677021</v>
      </c>
      <c r="AK30" s="638">
        <f t="shared" si="45"/>
        <v>4199.1900000000005</v>
      </c>
      <c r="AL30" s="770">
        <v>435524</v>
      </c>
      <c r="AM30" s="638">
        <f t="shared" si="12"/>
        <v>188.15</v>
      </c>
      <c r="AN30" s="638">
        <f t="shared" si="24"/>
        <v>15271.95</v>
      </c>
      <c r="AO30" s="770">
        <v>7412971</v>
      </c>
      <c r="AP30" s="638">
        <f t="shared" si="25"/>
        <v>172.57500000000002</v>
      </c>
      <c r="AQ30" s="771">
        <v>624383</v>
      </c>
      <c r="AR30" s="638">
        <f t="shared" si="13"/>
        <v>166</v>
      </c>
      <c r="AS30" s="770">
        <v>936368</v>
      </c>
      <c r="AT30" s="638">
        <f t="shared" si="26"/>
        <v>153</v>
      </c>
      <c r="AU30" s="770">
        <v>801585</v>
      </c>
      <c r="AV30" s="638">
        <f t="shared" si="14"/>
        <v>82</v>
      </c>
      <c r="AW30" s="770">
        <v>2458467</v>
      </c>
      <c r="AX30" s="638">
        <f t="shared" si="15"/>
        <v>1336</v>
      </c>
      <c r="AY30" s="770">
        <v>218927</v>
      </c>
      <c r="AZ30" s="638">
        <f t="shared" si="47"/>
        <v>73</v>
      </c>
      <c r="BA30" s="770">
        <v>18379627</v>
      </c>
      <c r="BB30" s="638">
        <f t="shared" si="17"/>
        <v>5143</v>
      </c>
      <c r="BC30" s="770">
        <v>522668</v>
      </c>
      <c r="BD30" s="638">
        <f t="shared" si="17"/>
        <v>179</v>
      </c>
      <c r="BE30" s="770">
        <v>15269</v>
      </c>
      <c r="BF30" s="638">
        <f t="shared" si="17"/>
        <v>123</v>
      </c>
      <c r="BG30" s="771">
        <v>22938022</v>
      </c>
      <c r="BH30" s="638">
        <f t="shared" si="27"/>
        <v>4988.8</v>
      </c>
      <c r="BI30" s="638">
        <f t="shared" si="28"/>
        <v>12416.375</v>
      </c>
      <c r="BJ30" s="638">
        <f t="shared" si="29"/>
        <v>27688.325000000001</v>
      </c>
      <c r="BK30" s="771">
        <v>1394530</v>
      </c>
      <c r="BL30" s="638">
        <f t="shared" si="18"/>
        <v>49</v>
      </c>
      <c r="BM30" s="770">
        <v>3696706</v>
      </c>
      <c r="BN30" s="638">
        <f t="shared" si="19"/>
        <v>1455</v>
      </c>
      <c r="BO30" s="770">
        <v>391535</v>
      </c>
      <c r="BP30" s="638">
        <f t="shared" si="20"/>
        <v>101</v>
      </c>
      <c r="BQ30" s="770">
        <v>487676</v>
      </c>
      <c r="BR30" s="638">
        <f t="shared" si="41"/>
        <v>174</v>
      </c>
      <c r="BS30" s="694">
        <f t="shared" si="30"/>
        <v>32241.325000000001</v>
      </c>
      <c r="BT30" s="695">
        <v>178</v>
      </c>
      <c r="BU30" s="694">
        <f t="shared" si="48"/>
        <v>181.13103932584269</v>
      </c>
      <c r="BV30" s="695"/>
      <c r="BW30" s="694" t="e">
        <f t="shared" si="32"/>
        <v>#DIV/0!</v>
      </c>
      <c r="BX30" s="694">
        <f t="shared" si="35"/>
        <v>37374.52375</v>
      </c>
      <c r="BY30" s="694">
        <f t="shared" si="49"/>
        <v>209.96923455056179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1">
        <v>22889492</v>
      </c>
      <c r="J31" s="638">
        <f t="shared" si="51"/>
        <v>6792</v>
      </c>
      <c r="K31" s="638">
        <f t="shared" si="0"/>
        <v>3601</v>
      </c>
      <c r="L31" s="771">
        <v>267257</v>
      </c>
      <c r="M31" s="638">
        <f t="shared" si="1"/>
        <v>2113</v>
      </c>
      <c r="N31" s="771">
        <v>267881</v>
      </c>
      <c r="O31" s="638">
        <f t="shared" si="2"/>
        <v>1488</v>
      </c>
      <c r="P31" s="771">
        <v>218100</v>
      </c>
      <c r="Q31" s="638">
        <f t="shared" si="46"/>
        <v>780</v>
      </c>
      <c r="R31" s="770">
        <v>155972</v>
      </c>
      <c r="S31" s="638">
        <f t="shared" si="50"/>
        <v>167</v>
      </c>
      <c r="T31" s="770">
        <v>284110</v>
      </c>
      <c r="U31" s="638">
        <f t="shared" si="52"/>
        <v>334</v>
      </c>
      <c r="V31" s="770">
        <v>49628</v>
      </c>
      <c r="W31" s="638">
        <f t="shared" si="6"/>
        <v>3103.15</v>
      </c>
      <c r="X31" s="771">
        <v>624490</v>
      </c>
      <c r="Y31" s="638">
        <f t="shared" si="7"/>
        <v>4038.07</v>
      </c>
      <c r="Z31" s="770">
        <v>811670</v>
      </c>
      <c r="AA31" s="638">
        <f t="shared" si="8"/>
        <v>0</v>
      </c>
      <c r="AB31" s="770">
        <v>384369</v>
      </c>
      <c r="AC31" s="638">
        <f t="shared" si="34"/>
        <v>0</v>
      </c>
      <c r="AD31" s="770">
        <v>432396</v>
      </c>
      <c r="AE31" s="638">
        <f t="shared" si="23"/>
        <v>1655.19</v>
      </c>
      <c r="AF31" s="770">
        <v>827165</v>
      </c>
      <c r="AG31" s="638">
        <f t="shared" si="42"/>
        <v>10.600000000000001</v>
      </c>
      <c r="AH31" s="771">
        <v>764698</v>
      </c>
      <c r="AI31" s="638">
        <f t="shared" si="10"/>
        <v>1171.8300000000002</v>
      </c>
      <c r="AJ31" s="771">
        <v>684162</v>
      </c>
      <c r="AK31" s="638">
        <f t="shared" si="45"/>
        <v>3784.73</v>
      </c>
      <c r="AL31" s="770">
        <v>435844</v>
      </c>
      <c r="AM31" s="638">
        <f t="shared" si="12"/>
        <v>169.60000000000002</v>
      </c>
      <c r="AN31" s="638">
        <f t="shared" si="24"/>
        <v>13933.17</v>
      </c>
      <c r="AO31" s="770">
        <v>7414788</v>
      </c>
      <c r="AP31" s="638">
        <f t="shared" si="25"/>
        <v>204.41249999999999</v>
      </c>
      <c r="AQ31" s="770">
        <v>624556</v>
      </c>
      <c r="AR31" s="638">
        <f t="shared" si="13"/>
        <v>173</v>
      </c>
      <c r="AS31" s="770">
        <v>936522</v>
      </c>
      <c r="AT31" s="638">
        <f t="shared" si="26"/>
        <v>154</v>
      </c>
      <c r="AU31" s="770">
        <v>801644</v>
      </c>
      <c r="AV31" s="638">
        <f t="shared" si="14"/>
        <v>59</v>
      </c>
      <c r="AW31" s="770">
        <v>2459649</v>
      </c>
      <c r="AX31" s="638">
        <f t="shared" si="15"/>
        <v>1182</v>
      </c>
      <c r="AY31" s="771">
        <v>219017</v>
      </c>
      <c r="AZ31" s="638">
        <f t="shared" si="47"/>
        <v>90</v>
      </c>
      <c r="BA31" s="770">
        <v>18384455</v>
      </c>
      <c r="BB31" s="638">
        <f t="shared" si="17"/>
        <v>4828</v>
      </c>
      <c r="BC31" s="770">
        <v>522860</v>
      </c>
      <c r="BD31" s="638">
        <f t="shared" si="17"/>
        <v>192</v>
      </c>
      <c r="BE31" s="770">
        <v>15387</v>
      </c>
      <c r="BF31" s="638">
        <f t="shared" si="17"/>
        <v>118</v>
      </c>
      <c r="BG31" s="770">
        <v>22944398</v>
      </c>
      <c r="BH31" s="638">
        <f t="shared" si="27"/>
        <v>5413.6</v>
      </c>
      <c r="BI31" s="638">
        <f t="shared" si="28"/>
        <v>12414.012500000001</v>
      </c>
      <c r="BJ31" s="638">
        <f t="shared" si="29"/>
        <v>26347.182500000003</v>
      </c>
      <c r="BK31" s="771">
        <v>1394583</v>
      </c>
      <c r="BL31" s="638">
        <f t="shared" si="18"/>
        <v>53</v>
      </c>
      <c r="BM31" s="771">
        <v>3698308</v>
      </c>
      <c r="BN31" s="638">
        <f t="shared" si="19"/>
        <v>1602</v>
      </c>
      <c r="BO31" s="709">
        <v>391645</v>
      </c>
      <c r="BP31" s="638">
        <f t="shared" si="20"/>
        <v>110</v>
      </c>
      <c r="BQ31" s="770">
        <v>487868</v>
      </c>
      <c r="BR31" s="638">
        <f t="shared" si="41"/>
        <v>192</v>
      </c>
      <c r="BS31" s="694">
        <f t="shared" si="30"/>
        <v>33919.182499999995</v>
      </c>
      <c r="BT31" s="695">
        <v>190</v>
      </c>
      <c r="BU31" s="694">
        <f t="shared" si="48"/>
        <v>178.52201315789472</v>
      </c>
      <c r="BV31" s="695"/>
      <c r="BW31" s="694" t="e">
        <f t="shared" si="32"/>
        <v>#DIV/0!</v>
      </c>
      <c r="BX31" s="694">
        <f t="shared" si="35"/>
        <v>39358.059874999992</v>
      </c>
      <c r="BY31" s="694">
        <f t="shared" si="49"/>
        <v>207.14768355263155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1">
        <v>22893826</v>
      </c>
      <c r="J32" s="638">
        <f t="shared" si="22"/>
        <v>4334</v>
      </c>
      <c r="K32" s="638">
        <f t="shared" si="0"/>
        <v>2318</v>
      </c>
      <c r="L32" s="771">
        <v>268631</v>
      </c>
      <c r="M32" s="638">
        <f t="shared" si="1"/>
        <v>1374</v>
      </c>
      <c r="N32" s="771">
        <v>268825</v>
      </c>
      <c r="O32" s="638">
        <f t="shared" si="2"/>
        <v>944</v>
      </c>
      <c r="P32" s="771">
        <v>218120</v>
      </c>
      <c r="Q32" s="638">
        <f t="shared" si="46"/>
        <v>600</v>
      </c>
      <c r="R32" s="770">
        <v>156081</v>
      </c>
      <c r="S32" s="638">
        <f t="shared" si="50"/>
        <v>109</v>
      </c>
      <c r="T32" s="770">
        <v>284331</v>
      </c>
      <c r="U32" s="638">
        <f t="shared" si="52"/>
        <v>221</v>
      </c>
      <c r="V32" s="770">
        <v>52941</v>
      </c>
      <c r="W32" s="638">
        <f t="shared" si="6"/>
        <v>1755.89</v>
      </c>
      <c r="X32" s="771">
        <v>629487</v>
      </c>
      <c r="Y32" s="638">
        <f t="shared" si="7"/>
        <v>2648.4100000000003</v>
      </c>
      <c r="Z32" s="771">
        <v>812070</v>
      </c>
      <c r="AA32" s="638">
        <f t="shared" si="8"/>
        <v>212</v>
      </c>
      <c r="AB32" s="770">
        <v>384369</v>
      </c>
      <c r="AC32" s="638">
        <f t="shared" si="34"/>
        <v>0</v>
      </c>
      <c r="AD32" s="770">
        <v>434487</v>
      </c>
      <c r="AE32" s="638">
        <f t="shared" si="23"/>
        <v>1108.23</v>
      </c>
      <c r="AF32" s="770">
        <v>827179</v>
      </c>
      <c r="AG32" s="638">
        <f t="shared" si="42"/>
        <v>7.42</v>
      </c>
      <c r="AH32" s="770">
        <v>766121</v>
      </c>
      <c r="AI32" s="638">
        <f t="shared" si="10"/>
        <v>754.19</v>
      </c>
      <c r="AJ32" s="770">
        <v>688816</v>
      </c>
      <c r="AK32" s="638">
        <f t="shared" si="45"/>
        <v>2466.6200000000003</v>
      </c>
      <c r="AL32" s="770">
        <v>436059</v>
      </c>
      <c r="AM32" s="638">
        <f t="shared" si="12"/>
        <v>113.95</v>
      </c>
      <c r="AN32" s="638">
        <f t="shared" si="24"/>
        <v>9066.7100000000028</v>
      </c>
      <c r="AO32" s="770">
        <v>7416566</v>
      </c>
      <c r="AP32" s="638">
        <f t="shared" si="25"/>
        <v>200.02500000000001</v>
      </c>
      <c r="AQ32" s="771">
        <v>624709</v>
      </c>
      <c r="AR32" s="638">
        <f t="shared" si="13"/>
        <v>153</v>
      </c>
      <c r="AS32" s="770">
        <v>936686</v>
      </c>
      <c r="AT32" s="638">
        <f t="shared" si="26"/>
        <v>164</v>
      </c>
      <c r="AU32" s="770">
        <v>801700</v>
      </c>
      <c r="AV32" s="638">
        <f t="shared" si="14"/>
        <v>56</v>
      </c>
      <c r="AW32" s="770">
        <v>2460449</v>
      </c>
      <c r="AX32" s="638">
        <f t="shared" si="15"/>
        <v>800</v>
      </c>
      <c r="AY32" s="771">
        <v>219077</v>
      </c>
      <c r="AZ32" s="638">
        <f t="shared" si="47"/>
        <v>60</v>
      </c>
      <c r="BA32" s="770">
        <v>18387843</v>
      </c>
      <c r="BB32" s="638">
        <f t="shared" si="17"/>
        <v>3388</v>
      </c>
      <c r="BC32" s="770">
        <v>523043</v>
      </c>
      <c r="BD32" s="638">
        <f t="shared" si="17"/>
        <v>183</v>
      </c>
      <c r="BE32" s="770">
        <v>15507</v>
      </c>
      <c r="BF32" s="638">
        <f t="shared" si="17"/>
        <v>120</v>
      </c>
      <c r="BG32" s="771">
        <v>22950644</v>
      </c>
      <c r="BH32" s="638">
        <f t="shared" si="27"/>
        <v>5336.6</v>
      </c>
      <c r="BI32" s="638">
        <f t="shared" si="28"/>
        <v>10460.625</v>
      </c>
      <c r="BJ32" s="638">
        <f t="shared" si="29"/>
        <v>19527.335000000003</v>
      </c>
      <c r="BK32" s="771">
        <v>1394637</v>
      </c>
      <c r="BL32" s="638">
        <f t="shared" si="18"/>
        <v>54</v>
      </c>
      <c r="BM32" s="771">
        <v>3699788</v>
      </c>
      <c r="BN32" s="638">
        <f t="shared" si="19"/>
        <v>1480</v>
      </c>
      <c r="BO32" s="709">
        <v>391757</v>
      </c>
      <c r="BP32" s="638">
        <f t="shared" si="20"/>
        <v>112</v>
      </c>
      <c r="BQ32" s="770">
        <v>488061</v>
      </c>
      <c r="BR32" s="638">
        <f t="shared" si="41"/>
        <v>193</v>
      </c>
      <c r="BS32" s="694">
        <f t="shared" si="30"/>
        <v>24461.335000000003</v>
      </c>
      <c r="BT32" s="695">
        <v>225</v>
      </c>
      <c r="BU32" s="694">
        <f t="shared" si="48"/>
        <v>108.71704444444445</v>
      </c>
      <c r="BV32" s="697"/>
      <c r="BW32" s="694" t="e">
        <f t="shared" si="32"/>
        <v>#DIV/0!</v>
      </c>
      <c r="BX32" s="694">
        <f t="shared" si="35"/>
        <v>28400.535250000001</v>
      </c>
      <c r="BY32" s="694">
        <f t="shared" si="49"/>
        <v>126.22460111111111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1">
        <v>22898455</v>
      </c>
      <c r="J33" s="638">
        <f t="shared" si="22"/>
        <v>4629</v>
      </c>
      <c r="K33" s="638">
        <f t="shared" si="0"/>
        <v>3575</v>
      </c>
      <c r="L33" s="771">
        <v>270759</v>
      </c>
      <c r="M33" s="638">
        <f t="shared" si="1"/>
        <v>2128</v>
      </c>
      <c r="N33" s="771">
        <v>270272</v>
      </c>
      <c r="O33" s="638">
        <f t="shared" si="2"/>
        <v>1447</v>
      </c>
      <c r="P33" s="771">
        <v>218145</v>
      </c>
      <c r="Q33" s="638">
        <f t="shared" si="46"/>
        <v>750</v>
      </c>
      <c r="R33" s="770">
        <v>156223</v>
      </c>
      <c r="S33" s="638">
        <f t="shared" si="50"/>
        <v>142</v>
      </c>
      <c r="T33" s="770">
        <v>284614</v>
      </c>
      <c r="U33" s="638">
        <f t="shared" si="52"/>
        <v>283</v>
      </c>
      <c r="V33" s="770">
        <v>58647</v>
      </c>
      <c r="W33" s="638">
        <f t="shared" si="6"/>
        <v>3024.1800000000003</v>
      </c>
      <c r="X33" s="771">
        <v>637032</v>
      </c>
      <c r="Y33" s="638">
        <f t="shared" si="7"/>
        <v>3998.8500000000004</v>
      </c>
      <c r="Z33" s="771">
        <v>812070</v>
      </c>
      <c r="AA33" s="638">
        <f t="shared" si="8"/>
        <v>0</v>
      </c>
      <c r="AB33" s="770">
        <v>384369</v>
      </c>
      <c r="AC33" s="638">
        <f t="shared" si="34"/>
        <v>0</v>
      </c>
      <c r="AD33" s="770">
        <v>436839</v>
      </c>
      <c r="AE33" s="638">
        <f t="shared" si="23"/>
        <v>1246.5600000000002</v>
      </c>
      <c r="AF33" s="770">
        <v>828067</v>
      </c>
      <c r="AG33" s="638">
        <f t="shared" si="42"/>
        <v>470.64000000000004</v>
      </c>
      <c r="AH33" s="770">
        <v>768347</v>
      </c>
      <c r="AI33" s="638">
        <f t="shared" si="10"/>
        <v>1179.78</v>
      </c>
      <c r="AJ33" s="771">
        <v>695928</v>
      </c>
      <c r="AK33" s="638">
        <f t="shared" si="45"/>
        <v>3769.36</v>
      </c>
      <c r="AL33" s="770">
        <v>436385</v>
      </c>
      <c r="AM33" s="638">
        <f t="shared" si="12"/>
        <v>172.78</v>
      </c>
      <c r="AN33" s="638">
        <f t="shared" si="24"/>
        <v>13862.150000000001</v>
      </c>
      <c r="AO33" s="770">
        <v>7418241</v>
      </c>
      <c r="AP33" s="638">
        <f t="shared" si="25"/>
        <v>188.4375</v>
      </c>
      <c r="AQ33" s="770">
        <v>624881</v>
      </c>
      <c r="AR33" s="638">
        <f t="shared" si="13"/>
        <v>172</v>
      </c>
      <c r="AS33" s="770">
        <v>936858</v>
      </c>
      <c r="AT33" s="638">
        <f t="shared" si="26"/>
        <v>172</v>
      </c>
      <c r="AU33" s="770">
        <v>801769</v>
      </c>
      <c r="AV33" s="638">
        <f t="shared" si="14"/>
        <v>69</v>
      </c>
      <c r="AW33" s="771">
        <v>2461712</v>
      </c>
      <c r="AX33" s="638">
        <f t="shared" si="15"/>
        <v>1263</v>
      </c>
      <c r="AY33" s="771">
        <v>219154</v>
      </c>
      <c r="AZ33" s="638">
        <f t="shared" si="47"/>
        <v>77</v>
      </c>
      <c r="BA33" s="770">
        <v>18392787</v>
      </c>
      <c r="BB33" s="638">
        <f t="shared" si="17"/>
        <v>4944</v>
      </c>
      <c r="BC33" s="770">
        <v>523242</v>
      </c>
      <c r="BD33" s="638">
        <f t="shared" si="17"/>
        <v>199</v>
      </c>
      <c r="BE33" s="770">
        <v>15642</v>
      </c>
      <c r="BF33" s="638">
        <f t="shared" si="17"/>
        <v>135</v>
      </c>
      <c r="BG33" s="771">
        <v>22957399</v>
      </c>
      <c r="BH33" s="638">
        <f t="shared" si="27"/>
        <v>5836.15</v>
      </c>
      <c r="BI33" s="638">
        <f t="shared" si="28"/>
        <v>13055.5875</v>
      </c>
      <c r="BJ33" s="638">
        <f t="shared" si="29"/>
        <v>26917.737500000003</v>
      </c>
      <c r="BK33" s="771">
        <v>1394642</v>
      </c>
      <c r="BL33" s="638">
        <f t="shared" si="18"/>
        <v>5</v>
      </c>
      <c r="BM33" s="770">
        <v>3701247</v>
      </c>
      <c r="BN33" s="638">
        <f t="shared" si="19"/>
        <v>1459</v>
      </c>
      <c r="BO33" s="770">
        <v>391871</v>
      </c>
      <c r="BP33" s="638">
        <f t="shared" si="20"/>
        <v>114</v>
      </c>
      <c r="BQ33" s="770">
        <v>488272</v>
      </c>
      <c r="BR33" s="638">
        <f t="shared" si="41"/>
        <v>211</v>
      </c>
      <c r="BS33" s="694">
        <f t="shared" si="30"/>
        <v>32296.737500000003</v>
      </c>
      <c r="BT33" s="695">
        <v>234</v>
      </c>
      <c r="BU33" s="694">
        <f t="shared" si="48"/>
        <v>138.02024572649574</v>
      </c>
      <c r="BV33" s="695"/>
      <c r="BW33" s="694" t="e">
        <f t="shared" si="32"/>
        <v>#DIV/0!</v>
      </c>
      <c r="BX33" s="694">
        <f t="shared" si="35"/>
        <v>37478.748124999998</v>
      </c>
      <c r="BY33" s="694">
        <f t="shared" si="49"/>
        <v>160.16559027777777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1">
        <v>22903084</v>
      </c>
      <c r="J34" s="638">
        <f t="shared" si="22"/>
        <v>4629</v>
      </c>
      <c r="K34" s="638">
        <f t="shared" si="0"/>
        <v>3807</v>
      </c>
      <c r="L34" s="770">
        <v>272759</v>
      </c>
      <c r="M34" s="638">
        <f t="shared" si="1"/>
        <v>2000</v>
      </c>
      <c r="N34" s="770">
        <v>272079</v>
      </c>
      <c r="O34" s="638">
        <f t="shared" si="2"/>
        <v>1807</v>
      </c>
      <c r="P34" s="771">
        <v>218167</v>
      </c>
      <c r="Q34" s="638">
        <f t="shared" si="46"/>
        <v>660</v>
      </c>
      <c r="R34" s="770">
        <v>156363</v>
      </c>
      <c r="S34" s="638">
        <f t="shared" si="50"/>
        <v>140</v>
      </c>
      <c r="T34" s="770">
        <v>284891</v>
      </c>
      <c r="U34" s="638">
        <f t="shared" si="52"/>
        <v>277</v>
      </c>
      <c r="V34" s="770">
        <v>64179.199999999997</v>
      </c>
      <c r="W34" s="638">
        <f t="shared" si="6"/>
        <v>2932.0659999999984</v>
      </c>
      <c r="X34" s="771">
        <v>643340</v>
      </c>
      <c r="Y34" s="638">
        <f t="shared" si="7"/>
        <v>3343.2400000000002</v>
      </c>
      <c r="Z34" s="771">
        <v>812070</v>
      </c>
      <c r="AA34" s="638">
        <f t="shared" si="8"/>
        <v>0</v>
      </c>
      <c r="AB34" s="770">
        <v>384369</v>
      </c>
      <c r="AC34" s="638">
        <f t="shared" si="34"/>
        <v>0</v>
      </c>
      <c r="AD34" s="770">
        <v>439446</v>
      </c>
      <c r="AE34" s="638">
        <f t="shared" si="23"/>
        <v>1381.71</v>
      </c>
      <c r="AF34" s="770">
        <v>828084</v>
      </c>
      <c r="AG34" s="638">
        <f t="shared" si="42"/>
        <v>9.01</v>
      </c>
      <c r="AH34" s="770">
        <v>770164</v>
      </c>
      <c r="AI34" s="638">
        <f t="shared" si="10"/>
        <v>963.0100000000001</v>
      </c>
      <c r="AJ34" s="770">
        <v>701825</v>
      </c>
      <c r="AK34" s="638">
        <f t="shared" si="45"/>
        <v>3125.4100000000003</v>
      </c>
      <c r="AL34" s="770">
        <v>436686</v>
      </c>
      <c r="AM34" s="638">
        <f t="shared" si="12"/>
        <v>159.53</v>
      </c>
      <c r="AN34" s="638">
        <f t="shared" si="24"/>
        <v>11913.975999999999</v>
      </c>
      <c r="AO34" s="709">
        <v>7419961</v>
      </c>
      <c r="AP34" s="638">
        <f t="shared" si="25"/>
        <v>193.5</v>
      </c>
      <c r="AQ34" s="770">
        <v>625045</v>
      </c>
      <c r="AR34" s="638">
        <f t="shared" si="13"/>
        <v>164</v>
      </c>
      <c r="AS34" s="770">
        <v>937011</v>
      </c>
      <c r="AT34" s="638">
        <f t="shared" si="26"/>
        <v>153</v>
      </c>
      <c r="AU34" s="770">
        <v>801834</v>
      </c>
      <c r="AV34" s="638">
        <f t="shared" si="14"/>
        <v>65</v>
      </c>
      <c r="AW34" s="770">
        <v>2462824.7999999998</v>
      </c>
      <c r="AX34" s="638">
        <f t="shared" si="15"/>
        <v>1112.7999999998137</v>
      </c>
      <c r="AY34" s="770">
        <v>219230</v>
      </c>
      <c r="AZ34" s="638">
        <f t="shared" si="47"/>
        <v>76</v>
      </c>
      <c r="BA34" s="770">
        <v>18397285</v>
      </c>
      <c r="BB34" s="638">
        <f t="shared" si="17"/>
        <v>4498</v>
      </c>
      <c r="BC34" s="770">
        <v>523465</v>
      </c>
      <c r="BD34" s="638">
        <f t="shared" si="17"/>
        <v>223</v>
      </c>
      <c r="BE34" s="770">
        <v>15812</v>
      </c>
      <c r="BF34" s="638">
        <f t="shared" si="17"/>
        <v>170</v>
      </c>
      <c r="BG34" s="771">
        <v>22964442</v>
      </c>
      <c r="BH34" s="638">
        <f t="shared" si="27"/>
        <v>5992.4000000000005</v>
      </c>
      <c r="BI34" s="638">
        <f t="shared" si="28"/>
        <v>12647.699999999815</v>
      </c>
      <c r="BJ34" s="638">
        <f t="shared" si="29"/>
        <v>24561.675999999814</v>
      </c>
      <c r="BK34" s="771">
        <v>1394703</v>
      </c>
      <c r="BL34" s="638">
        <f t="shared" si="18"/>
        <v>61</v>
      </c>
      <c r="BM34" s="770">
        <v>3703019</v>
      </c>
      <c r="BN34" s="638">
        <f t="shared" si="19"/>
        <v>1772</v>
      </c>
      <c r="BO34" s="770">
        <v>391987</v>
      </c>
      <c r="BP34" s="638">
        <f t="shared" si="20"/>
        <v>116</v>
      </c>
      <c r="BQ34" s="770">
        <v>488473</v>
      </c>
      <c r="BR34" s="638">
        <f t="shared" si="41"/>
        <v>201</v>
      </c>
      <c r="BS34" s="694">
        <f t="shared" si="30"/>
        <v>29850.675999999814</v>
      </c>
      <c r="BT34" s="695">
        <v>238</v>
      </c>
      <c r="BU34" s="694">
        <f t="shared" si="48"/>
        <v>125.42300840336057</v>
      </c>
      <c r="BV34" s="695"/>
      <c r="BW34" s="694" t="e">
        <f t="shared" si="32"/>
        <v>#DIV/0!</v>
      </c>
      <c r="BX34" s="694">
        <f t="shared" si="35"/>
        <v>34625.277399999781</v>
      </c>
      <c r="BY34" s="694">
        <f t="shared" si="49"/>
        <v>145.48435882352848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1">
        <v>22907713</v>
      </c>
      <c r="J35" s="638">
        <f t="shared" si="22"/>
        <v>4629</v>
      </c>
      <c r="K35" s="638">
        <f t="shared" si="0"/>
        <v>3504</v>
      </c>
      <c r="L35" s="771">
        <v>274710</v>
      </c>
      <c r="M35" s="638">
        <f t="shared" si="1"/>
        <v>1951</v>
      </c>
      <c r="N35" s="771">
        <v>273632</v>
      </c>
      <c r="O35" s="638">
        <f t="shared" si="2"/>
        <v>1553</v>
      </c>
      <c r="P35" s="771">
        <v>218191</v>
      </c>
      <c r="Q35" s="638">
        <f t="shared" si="46"/>
        <v>720</v>
      </c>
      <c r="R35" s="770">
        <v>156363</v>
      </c>
      <c r="S35" s="638">
        <f t="shared" si="50"/>
        <v>0</v>
      </c>
      <c r="T35" s="770">
        <v>284891</v>
      </c>
      <c r="U35" s="638">
        <f t="shared" si="52"/>
        <v>0</v>
      </c>
      <c r="V35" s="770">
        <v>69446.8</v>
      </c>
      <c r="W35" s="638">
        <f t="shared" si="6"/>
        <v>2791.8280000000032</v>
      </c>
      <c r="X35" s="771">
        <v>649888</v>
      </c>
      <c r="Y35" s="638">
        <f t="shared" si="7"/>
        <v>3470.44</v>
      </c>
      <c r="Z35" s="771">
        <v>812070</v>
      </c>
      <c r="AA35" s="638">
        <f t="shared" si="8"/>
        <v>0</v>
      </c>
      <c r="AB35" s="770">
        <v>384369</v>
      </c>
      <c r="AC35" s="638">
        <f t="shared" si="34"/>
        <v>0</v>
      </c>
      <c r="AD35" s="770">
        <v>441924</v>
      </c>
      <c r="AE35" s="638">
        <f t="shared" si="23"/>
        <v>1313.3400000000001</v>
      </c>
      <c r="AF35" s="770">
        <v>828362</v>
      </c>
      <c r="AG35" s="638">
        <f t="shared" si="42"/>
        <v>147.34</v>
      </c>
      <c r="AH35" s="771">
        <v>772064</v>
      </c>
      <c r="AI35" s="638">
        <f t="shared" si="10"/>
        <v>1007</v>
      </c>
      <c r="AJ35" s="771">
        <v>707963</v>
      </c>
      <c r="AK35" s="638">
        <f t="shared" si="45"/>
        <v>3253.1400000000003</v>
      </c>
      <c r="AL35" s="770">
        <v>436983</v>
      </c>
      <c r="AM35" s="638">
        <f t="shared" si="12"/>
        <v>157.41</v>
      </c>
      <c r="AN35" s="638">
        <f t="shared" si="24"/>
        <v>12140.498000000003</v>
      </c>
      <c r="AO35" s="770">
        <v>7421681</v>
      </c>
      <c r="AP35" s="638">
        <f t="shared" si="25"/>
        <v>193.5</v>
      </c>
      <c r="AQ35" s="771">
        <v>625210</v>
      </c>
      <c r="AR35" s="638">
        <f t="shared" si="13"/>
        <v>165</v>
      </c>
      <c r="AS35" s="770">
        <v>937171</v>
      </c>
      <c r="AT35" s="638">
        <f>IF(AS35&gt;=AS34,AS35-AS34,0)</f>
        <v>160</v>
      </c>
      <c r="AU35" s="770">
        <v>801899</v>
      </c>
      <c r="AV35" s="638">
        <f t="shared" si="14"/>
        <v>65</v>
      </c>
      <c r="AW35" s="770">
        <v>2463939.2000000002</v>
      </c>
      <c r="AX35" s="638">
        <f t="shared" si="15"/>
        <v>1114.4000000003725</v>
      </c>
      <c r="AY35" s="770">
        <v>219305</v>
      </c>
      <c r="AZ35" s="638">
        <f t="shared" si="47"/>
        <v>75</v>
      </c>
      <c r="BA35" s="770">
        <v>18401768</v>
      </c>
      <c r="BB35" s="638">
        <f t="shared" si="17"/>
        <v>4483</v>
      </c>
      <c r="BC35" s="770">
        <v>523669</v>
      </c>
      <c r="BD35" s="638">
        <f t="shared" si="17"/>
        <v>204</v>
      </c>
      <c r="BE35" s="770">
        <v>15942</v>
      </c>
      <c r="BF35" s="638">
        <f t="shared" si="17"/>
        <v>130</v>
      </c>
      <c r="BG35" s="771">
        <v>22971118</v>
      </c>
      <c r="BH35" s="638">
        <f t="shared" si="27"/>
        <v>5706.0499999999993</v>
      </c>
      <c r="BI35" s="638">
        <f t="shared" si="28"/>
        <v>12295.950000000372</v>
      </c>
      <c r="BJ35" s="638">
        <f t="shared" si="29"/>
        <v>24436.448000000375</v>
      </c>
      <c r="BK35" s="771">
        <v>1394746</v>
      </c>
      <c r="BL35" s="638">
        <f t="shared" si="18"/>
        <v>43</v>
      </c>
      <c r="BM35" s="770">
        <v>3704617</v>
      </c>
      <c r="BN35" s="638">
        <f t="shared" si="19"/>
        <v>1598</v>
      </c>
      <c r="BO35" s="770">
        <v>392100</v>
      </c>
      <c r="BP35" s="638">
        <f t="shared" si="20"/>
        <v>113</v>
      </c>
      <c r="BQ35" s="770">
        <v>488673</v>
      </c>
      <c r="BR35" s="638">
        <f t="shared" si="41"/>
        <v>200</v>
      </c>
      <c r="BS35" s="694">
        <f t="shared" si="30"/>
        <v>29785.448000000375</v>
      </c>
      <c r="BT35" s="695">
        <v>234</v>
      </c>
      <c r="BU35" s="694">
        <f t="shared" si="48"/>
        <v>127.28823931624092</v>
      </c>
      <c r="BV35" s="695"/>
      <c r="BW35" s="694" t="e">
        <f t="shared" si="32"/>
        <v>#DIV/0!</v>
      </c>
      <c r="BX35" s="694">
        <f t="shared" si="35"/>
        <v>34577.265200000431</v>
      </c>
      <c r="BY35" s="694">
        <f t="shared" si="49"/>
        <v>147.76609059829244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1">
        <v>22912342</v>
      </c>
      <c r="J36" s="638">
        <f t="shared" si="22"/>
        <v>4629</v>
      </c>
      <c r="K36" s="638">
        <f t="shared" si="0"/>
        <v>3504</v>
      </c>
      <c r="L36" s="771">
        <v>276660</v>
      </c>
      <c r="M36" s="638">
        <f t="shared" si="1"/>
        <v>1950</v>
      </c>
      <c r="N36" s="771">
        <v>275186</v>
      </c>
      <c r="O36" s="638">
        <f t="shared" si="2"/>
        <v>1554</v>
      </c>
      <c r="P36" s="771">
        <v>218214</v>
      </c>
      <c r="Q36" s="638">
        <f t="shared" si="46"/>
        <v>690</v>
      </c>
      <c r="R36" s="770">
        <v>156363</v>
      </c>
      <c r="S36" s="638">
        <f t="shared" si="50"/>
        <v>0</v>
      </c>
      <c r="T36" s="770">
        <v>284891</v>
      </c>
      <c r="U36" s="638">
        <f t="shared" si="52"/>
        <v>0</v>
      </c>
      <c r="V36" s="770">
        <v>74714.399999999994</v>
      </c>
      <c r="W36" s="638">
        <f t="shared" si="6"/>
        <v>2791.8279999999954</v>
      </c>
      <c r="X36" s="771">
        <v>656436</v>
      </c>
      <c r="Y36" s="638">
        <f t="shared" si="7"/>
        <v>3470.44</v>
      </c>
      <c r="Z36" s="771">
        <v>812070</v>
      </c>
      <c r="AA36" s="638">
        <f t="shared" si="8"/>
        <v>0</v>
      </c>
      <c r="AB36" s="770">
        <v>384369</v>
      </c>
      <c r="AC36" s="638">
        <f t="shared" si="34"/>
        <v>0</v>
      </c>
      <c r="AD36" s="770">
        <v>444403</v>
      </c>
      <c r="AE36" s="638">
        <f t="shared" si="23"/>
        <v>1313.8700000000001</v>
      </c>
      <c r="AF36" s="770">
        <v>828640</v>
      </c>
      <c r="AG36" s="638">
        <f t="shared" si="42"/>
        <v>147.34</v>
      </c>
      <c r="AH36" s="770">
        <v>773964</v>
      </c>
      <c r="AI36" s="638">
        <f t="shared" si="10"/>
        <v>1007</v>
      </c>
      <c r="AJ36" s="770">
        <v>714100</v>
      </c>
      <c r="AK36" s="638">
        <f t="shared" si="45"/>
        <v>3252.61</v>
      </c>
      <c r="AL36" s="770">
        <v>437279</v>
      </c>
      <c r="AM36" s="638">
        <f t="shared" si="12"/>
        <v>156.88</v>
      </c>
      <c r="AN36" s="638">
        <f t="shared" si="24"/>
        <v>12139.967999999995</v>
      </c>
      <c r="AO36" s="770">
        <v>7423402</v>
      </c>
      <c r="AP36" s="638">
        <f t="shared" si="25"/>
        <v>193.61250000000001</v>
      </c>
      <c r="AQ36" s="770">
        <v>625376</v>
      </c>
      <c r="AR36" s="638">
        <f t="shared" si="13"/>
        <v>166</v>
      </c>
      <c r="AS36" s="770">
        <v>937331</v>
      </c>
      <c r="AT36" s="638">
        <f>IF(AS36&gt;=AS35,AS36-AS35,0)</f>
        <v>160</v>
      </c>
      <c r="AU36" s="770">
        <v>801963</v>
      </c>
      <c r="AV36" s="638">
        <f t="shared" si="14"/>
        <v>64</v>
      </c>
      <c r="AW36" s="770">
        <v>2465053</v>
      </c>
      <c r="AX36" s="638">
        <f t="shared" si="15"/>
        <v>1113.7999999998137</v>
      </c>
      <c r="AY36" s="771">
        <v>219380</v>
      </c>
      <c r="AZ36" s="638">
        <f t="shared" si="47"/>
        <v>75</v>
      </c>
      <c r="BA36" s="770">
        <v>18406250</v>
      </c>
      <c r="BB36" s="638">
        <f t="shared" si="17"/>
        <v>4482</v>
      </c>
      <c r="BC36" s="770">
        <v>523872</v>
      </c>
      <c r="BD36" s="638">
        <f t="shared" si="17"/>
        <v>203</v>
      </c>
      <c r="BE36" s="770">
        <v>16072</v>
      </c>
      <c r="BF36" s="638">
        <f t="shared" si="17"/>
        <v>130</v>
      </c>
      <c r="BG36" s="771">
        <v>22977793</v>
      </c>
      <c r="BH36" s="638">
        <f t="shared" si="27"/>
        <v>5703.5999999999995</v>
      </c>
      <c r="BI36" s="638">
        <f t="shared" si="28"/>
        <v>12291.012499999813</v>
      </c>
      <c r="BJ36" s="638">
        <f t="shared" si="29"/>
        <v>24430.980499999809</v>
      </c>
      <c r="BK36" s="771">
        <v>1394789</v>
      </c>
      <c r="BL36" s="638">
        <f t="shared" si="18"/>
        <v>43</v>
      </c>
      <c r="BM36" s="770">
        <v>3706215</v>
      </c>
      <c r="BN36" s="638">
        <f t="shared" si="19"/>
        <v>1598</v>
      </c>
      <c r="BO36" s="770">
        <v>392214</v>
      </c>
      <c r="BP36" s="638">
        <f t="shared" si="20"/>
        <v>114</v>
      </c>
      <c r="BQ36" s="770">
        <v>488874</v>
      </c>
      <c r="BR36" s="638">
        <f t="shared" si="41"/>
        <v>201</v>
      </c>
      <c r="BS36" s="694">
        <f t="shared" si="30"/>
        <v>29749.980499999809</v>
      </c>
      <c r="BT36" s="695">
        <v>230</v>
      </c>
      <c r="BU36" s="694">
        <f t="shared" si="48"/>
        <v>129.34774130434698</v>
      </c>
      <c r="BV36" s="723"/>
      <c r="BW36" s="694" t="e">
        <f t="shared" si="32"/>
        <v>#DIV/0!</v>
      </c>
      <c r="BX36" s="694">
        <f t="shared" si="35"/>
        <v>34522.977574999779</v>
      </c>
      <c r="BY36" s="694">
        <f t="shared" si="49"/>
        <v>150.09990249999905</v>
      </c>
      <c r="BZ36" s="696" t="e">
        <f t="shared" si="36"/>
        <v>#DIV/0!</v>
      </c>
    </row>
    <row r="37" spans="1:78" s="3" customFormat="1" ht="36.75" customHeight="1" thickBot="1">
      <c r="A37" s="541" t="s">
        <v>122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165668</v>
      </c>
      <c r="K37" s="714">
        <f>SUM(K6:K36)</f>
        <v>108128</v>
      </c>
      <c r="L37" s="698"/>
      <c r="M37" s="552">
        <f>SUM(M6:M36)</f>
        <v>60544</v>
      </c>
      <c r="N37" s="698"/>
      <c r="O37" s="552">
        <f>SUM(O6:O36)</f>
        <v>47584</v>
      </c>
      <c r="P37" s="698"/>
      <c r="Q37" s="552">
        <f>SUM(Q6:Q36)</f>
        <v>17880</v>
      </c>
      <c r="R37" s="718"/>
      <c r="S37" s="552">
        <f>SUM(S6:S36)</f>
        <v>3985</v>
      </c>
      <c r="T37" s="718"/>
      <c r="U37" s="552">
        <f>SUM(U6:U36)</f>
        <v>7939</v>
      </c>
      <c r="V37" s="698"/>
      <c r="W37" s="552">
        <f>SUM(W6:W36)</f>
        <v>84429.211999999985</v>
      </c>
      <c r="X37" s="770"/>
      <c r="Y37" s="552">
        <f>SUM(Y5:Y36)</f>
        <v>57594.04</v>
      </c>
      <c r="Z37" s="715"/>
      <c r="AA37" s="714">
        <f>SUM(AA6:AA36)</f>
        <v>37994.639999999999</v>
      </c>
      <c r="AB37" s="698"/>
      <c r="AC37" s="552">
        <f>SUM(AC6:AC36)</f>
        <v>26986.010000000002</v>
      </c>
      <c r="AD37" s="786"/>
      <c r="AE37" s="714">
        <f>SUM(AE6:AE36)</f>
        <v>36789.420000000006</v>
      </c>
      <c r="AF37" s="786"/>
      <c r="AG37" s="714">
        <f>SUM(AG6:AG36)</f>
        <v>13953.839999999998</v>
      </c>
      <c r="AH37" s="699"/>
      <c r="AI37" s="552">
        <f>SUM(AI6:AI36)</f>
        <v>34947.67</v>
      </c>
      <c r="AJ37" s="699"/>
      <c r="AK37" s="552">
        <f>SUM(AK6:AK36)</f>
        <v>117140.06999999999</v>
      </c>
      <c r="AL37" s="714"/>
      <c r="AM37" s="552">
        <f>SUM(AM6:AM36)</f>
        <v>5120.8600000000006</v>
      </c>
      <c r="AN37" s="714">
        <f>SUM(AN6:AN36)</f>
        <v>414955.76200000005</v>
      </c>
      <c r="AO37" s="775"/>
      <c r="AP37" s="552">
        <f>SUM(AP6:AP36)</f>
        <v>5931.7874999999995</v>
      </c>
      <c r="AQ37" s="699"/>
      <c r="AR37" s="552">
        <f>SUM(AR6:AR36)</f>
        <v>5995</v>
      </c>
      <c r="AS37" s="699"/>
      <c r="AT37" s="552">
        <f>SUM(AT6:AT36)</f>
        <v>5129</v>
      </c>
      <c r="AU37" s="699"/>
      <c r="AV37" s="552">
        <f>SUM(AV6:AV36)</f>
        <v>1544</v>
      </c>
      <c r="AW37" s="699"/>
      <c r="AX37" s="552">
        <f>SUM(AX6:AX36)</f>
        <v>31980</v>
      </c>
      <c r="AY37" s="699"/>
      <c r="AZ37" s="552">
        <f>SUM(AZ6:AZ36)</f>
        <v>2214</v>
      </c>
      <c r="BA37" s="699"/>
      <c r="BB37" s="552">
        <f>SUM(BB6:BB36)</f>
        <v>148370</v>
      </c>
      <c r="BC37" s="786"/>
      <c r="BD37" s="552">
        <f>SUM(BD6:BD36)</f>
        <v>6044</v>
      </c>
      <c r="BE37" s="786"/>
      <c r="BF37" s="552">
        <f>SUM(BF6:BF36)</f>
        <v>3853</v>
      </c>
      <c r="BG37" s="699"/>
      <c r="BH37" s="714">
        <f>SUM(BH6:BH36)</f>
        <v>179575.94999999998</v>
      </c>
      <c r="BI37" s="714">
        <f>SUM(BI6:BI36)</f>
        <v>390636.7375000001</v>
      </c>
      <c r="BJ37" s="714">
        <f>SUM(BJ6:BJ36)</f>
        <v>805592.49950000003</v>
      </c>
      <c r="BK37" s="698"/>
      <c r="BL37" s="552">
        <f>SUM(BL6:BL36)</f>
        <v>1416</v>
      </c>
      <c r="BM37" s="699"/>
      <c r="BN37" s="552">
        <f>SUM(BN6:BN36)</f>
        <v>46347</v>
      </c>
      <c r="BO37" s="699"/>
      <c r="BP37" s="552">
        <f>SUM(BP6:BP36)</f>
        <v>3222</v>
      </c>
      <c r="BQ37" s="699"/>
      <c r="BR37" s="552">
        <f>SUM(BR6:BR36)</f>
        <v>6129</v>
      </c>
      <c r="BS37" s="552">
        <f>SUM(BS6:BS36)</f>
        <v>989140.49950000015</v>
      </c>
      <c r="BT37" s="700">
        <f>SUM(BT6:BT36)</f>
        <v>5694</v>
      </c>
      <c r="BU37" s="701">
        <f>IF(BS37&gt;0,BS37/BT37,0)</f>
        <v>173.71628020723571</v>
      </c>
      <c r="BV37" s="700">
        <f>SUM(BV6:BV35)</f>
        <v>0</v>
      </c>
      <c r="BW37" s="701" t="e">
        <f>IF(BS37&gt;0,BS37/BV37,0)</f>
        <v>#DIV/0!</v>
      </c>
      <c r="BX37" s="544">
        <f>SUM(BX6:BX35)</f>
        <v>1111034.5968500001</v>
      </c>
      <c r="BY37" s="701">
        <f>IF(BX37&gt;0,BX37/BT37,0)</f>
        <v>195.12374373902355</v>
      </c>
      <c r="BZ37" s="702" t="e">
        <f>IF(BX37&gt;0,BX37/BV37,0)</f>
        <v>#DIV/0!</v>
      </c>
    </row>
    <row r="38" spans="1:78" s="3" customFormat="1" ht="36.75" customHeight="1" thickBot="1">
      <c r="A38" s="545" t="s">
        <v>123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5522.2666666666664</v>
      </c>
      <c r="K38" s="703">
        <f>K37/J39</f>
        <v>3604.2666666666669</v>
      </c>
      <c r="L38" s="704"/>
      <c r="M38" s="703">
        <f>M37/J39</f>
        <v>2018.1333333333334</v>
      </c>
      <c r="N38" s="704"/>
      <c r="O38" s="703">
        <f>O37/J39</f>
        <v>1586.1333333333334</v>
      </c>
      <c r="P38" s="704"/>
      <c r="Q38" s="703">
        <f>Q37/J39</f>
        <v>596</v>
      </c>
      <c r="R38" s="719"/>
      <c r="S38" s="703">
        <f>S37/J39</f>
        <v>132.83333333333334</v>
      </c>
      <c r="T38" s="719"/>
      <c r="U38" s="703">
        <f>U37/J39</f>
        <v>264.63333333333333</v>
      </c>
      <c r="V38" s="704"/>
      <c r="W38" s="703">
        <f>W37/J39</f>
        <v>2814.3070666666663</v>
      </c>
      <c r="X38" s="704"/>
      <c r="Y38" s="703">
        <f>Y37/J39</f>
        <v>1919.8013333333333</v>
      </c>
      <c r="Z38" s="705"/>
      <c r="AA38" s="703">
        <f>AA37/J39</f>
        <v>1266.4880000000001</v>
      </c>
      <c r="AB38" s="704"/>
      <c r="AC38" s="703">
        <f>AC37/J39</f>
        <v>899.5336666666667</v>
      </c>
      <c r="AD38" s="785"/>
      <c r="AE38" s="703">
        <f>AE37/J39</f>
        <v>1226.3140000000001</v>
      </c>
      <c r="AF38" s="785"/>
      <c r="AG38" s="703">
        <f>AG37/J39</f>
        <v>465.12799999999993</v>
      </c>
      <c r="AH38" s="706"/>
      <c r="AI38" s="703">
        <f>AI37/J39</f>
        <v>1164.9223333333332</v>
      </c>
      <c r="AJ38" s="706"/>
      <c r="AK38" s="703">
        <f>AK37/J39</f>
        <v>3904.6689999999999</v>
      </c>
      <c r="AL38" s="703"/>
      <c r="AM38" s="703">
        <f>AM37/J39</f>
        <v>170.69533333333337</v>
      </c>
      <c r="AN38" s="703">
        <f>AN37/J39</f>
        <v>13831.858733333334</v>
      </c>
      <c r="AO38" s="706"/>
      <c r="AP38" s="703">
        <f>AP37/J39</f>
        <v>197.72624999999999</v>
      </c>
      <c r="AQ38" s="706"/>
      <c r="AR38" s="703">
        <f>AR37/J39</f>
        <v>199.83333333333334</v>
      </c>
      <c r="AS38" s="706"/>
      <c r="AT38" s="703">
        <f>AT37/J39</f>
        <v>170.96666666666667</v>
      </c>
      <c r="AU38" s="706"/>
      <c r="AV38" s="703">
        <f>AV37/J39</f>
        <v>51.466666666666669</v>
      </c>
      <c r="AW38" s="706"/>
      <c r="AX38" s="703">
        <f>AX37/J39</f>
        <v>1066</v>
      </c>
      <c r="AY38" s="706"/>
      <c r="AZ38" s="703">
        <f>AZ37/J39</f>
        <v>73.8</v>
      </c>
      <c r="BA38" s="706"/>
      <c r="BB38" s="703">
        <f>BB37/J39</f>
        <v>4945.666666666667</v>
      </c>
      <c r="BC38" s="785"/>
      <c r="BD38" s="703">
        <f>BD37/J39</f>
        <v>201.46666666666667</v>
      </c>
      <c r="BE38" s="785"/>
      <c r="BF38" s="703">
        <f>BF37/J39</f>
        <v>128.43333333333334</v>
      </c>
      <c r="BG38" s="706"/>
      <c r="BH38" s="703">
        <f>BH37/J39</f>
        <v>5985.8649999999998</v>
      </c>
      <c r="BI38" s="703"/>
      <c r="BJ38" s="703"/>
      <c r="BK38" s="704"/>
      <c r="BL38" s="703">
        <f>BL37/J39</f>
        <v>47.2</v>
      </c>
      <c r="BM38" s="706"/>
      <c r="BN38" s="703">
        <f>BN37/J39</f>
        <v>1544.9</v>
      </c>
      <c r="BO38" s="706"/>
      <c r="BP38" s="703">
        <f>BP37/J39</f>
        <v>107.4</v>
      </c>
      <c r="BQ38" s="706"/>
      <c r="BR38" s="703">
        <f>BR37/J39</f>
        <v>204.3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124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125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3"/>
      <c r="B45" s="813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0" activePane="bottomRight" state="frozen"/>
      <selection pane="topRight" activeCell="D22" sqref="D22"/>
      <selection pane="bottomLeft" activeCell="D22" sqref="D22"/>
      <selection pane="bottomRight" activeCell="F38" sqref="F38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5" t="str">
        <f>Elect!A1</f>
        <v>July</v>
      </c>
      <c r="E1" s="831" t="s">
        <v>47</v>
      </c>
      <c r="H1" s="564" t="s">
        <v>126</v>
      </c>
      <c r="I1" s="669"/>
      <c r="J1" s="565">
        <v>3.9</v>
      </c>
    </row>
    <row r="2" spans="1:13" ht="23.25" customHeight="1">
      <c r="A2" s="835"/>
      <c r="C2" s="27"/>
      <c r="E2" s="831"/>
      <c r="G2" s="27"/>
      <c r="H2" s="27"/>
      <c r="I2" s="27"/>
      <c r="K2" s="529"/>
      <c r="L2" s="528"/>
      <c r="M2" s="385"/>
    </row>
    <row r="3" spans="1:13" ht="21" customHeight="1" thickBot="1">
      <c r="A3" s="836"/>
      <c r="B3" s="27"/>
      <c r="C3" s="27"/>
      <c r="D3" s="27"/>
      <c r="E3" s="832"/>
      <c r="F3" s="27"/>
      <c r="G3" s="27"/>
      <c r="H3" s="27"/>
      <c r="I3" s="27"/>
    </row>
    <row r="4" spans="1:13" ht="53.25" customHeight="1">
      <c r="A4" s="662" t="s">
        <v>127</v>
      </c>
      <c r="B4" s="837" t="s">
        <v>128</v>
      </c>
      <c r="C4" s="838"/>
      <c r="D4" s="837" t="s">
        <v>129</v>
      </c>
      <c r="E4" s="838"/>
      <c r="F4" s="837" t="s">
        <v>130</v>
      </c>
      <c r="G4" s="838"/>
      <c r="H4" s="534" t="s">
        <v>131</v>
      </c>
      <c r="I4" s="534" t="s">
        <v>132</v>
      </c>
      <c r="J4" s="533" t="s">
        <v>133</v>
      </c>
      <c r="K4" s="736" t="s">
        <v>134</v>
      </c>
      <c r="L4" s="23"/>
      <c r="M4" s="23"/>
    </row>
    <row r="5" spans="1:13" ht="26.25" customHeight="1" thickBot="1">
      <c r="A5" s="663"/>
      <c r="B5" s="137" t="s">
        <v>135</v>
      </c>
      <c r="C5" s="138" t="s">
        <v>136</v>
      </c>
      <c r="D5" s="137" t="s">
        <v>135</v>
      </c>
      <c r="E5" s="138" t="s">
        <v>136</v>
      </c>
      <c r="F5" s="137" t="s">
        <v>135</v>
      </c>
      <c r="G5" s="138" t="s">
        <v>136</v>
      </c>
      <c r="H5" s="25" t="s">
        <v>137</v>
      </c>
      <c r="I5" s="25" t="s">
        <v>137</v>
      </c>
      <c r="J5" s="25" t="s">
        <v>137</v>
      </c>
      <c r="K5" s="138" t="s">
        <v>136</v>
      </c>
      <c r="L5" s="23"/>
      <c r="M5" s="23"/>
    </row>
    <row r="6" spans="1:13" s="3" customFormat="1" ht="41.25" customHeight="1">
      <c r="A6" s="664"/>
      <c r="B6" s="765">
        <v>8112128</v>
      </c>
      <c r="C6" s="638">
        <f t="shared" ref="C6:C14" si="0">IF(B6&gt;=B5,B6-B5,0)*1.06</f>
        <v>0</v>
      </c>
      <c r="D6" s="772">
        <v>373612</v>
      </c>
      <c r="E6" s="638">
        <f>IF(D6&gt;=D5,D6-D5,0)*0.7</f>
        <v>0</v>
      </c>
      <c r="F6" s="772">
        <v>580865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5">
        <v>8112990.5</v>
      </c>
      <c r="C7" s="638">
        <f t="shared" si="0"/>
        <v>914.25</v>
      </c>
      <c r="D7" s="772">
        <v>373820</v>
      </c>
      <c r="E7" s="638">
        <f t="shared" ref="E7:E30" si="2">IF(D7&gt;=D6,D7-D6,0)*0.7</f>
        <v>145.6</v>
      </c>
      <c r="F7" s="772">
        <v>580955</v>
      </c>
      <c r="G7" s="638">
        <f t="shared" si="1"/>
        <v>90</v>
      </c>
      <c r="H7" s="638">
        <f>(E7*0.55)*1.61</f>
        <v>128.9288</v>
      </c>
      <c r="I7" s="638">
        <f>C7*J1</f>
        <v>3565.5749999999998</v>
      </c>
      <c r="J7" s="638">
        <f>G7*J1</f>
        <v>351</v>
      </c>
      <c r="K7" s="694">
        <f t="shared" ref="K7:K37" si="3">C7+E7</f>
        <v>1059.8499999999999</v>
      </c>
    </row>
    <row r="8" spans="1:13" s="3" customFormat="1" ht="41.25" customHeight="1">
      <c r="A8" s="664">
        <v>2</v>
      </c>
      <c r="B8" s="765">
        <v>8113703</v>
      </c>
      <c r="C8" s="638">
        <f t="shared" si="0"/>
        <v>755.25</v>
      </c>
      <c r="D8" s="772">
        <v>374184</v>
      </c>
      <c r="E8" s="638">
        <f t="shared" si="2"/>
        <v>254.79999999999998</v>
      </c>
      <c r="F8" s="772">
        <v>581005</v>
      </c>
      <c r="G8" s="638">
        <f t="shared" si="1"/>
        <v>50</v>
      </c>
      <c r="H8" s="638">
        <f t="shared" ref="H8:H37" si="4">(E8*0.55)*1.61</f>
        <v>225.62540000000004</v>
      </c>
      <c r="I8" s="638">
        <f>C8*J1</f>
        <v>2945.4749999999999</v>
      </c>
      <c r="J8" s="638">
        <f>G8*J1</f>
        <v>195</v>
      </c>
      <c r="K8" s="694">
        <f t="shared" si="3"/>
        <v>1010.05</v>
      </c>
    </row>
    <row r="9" spans="1:13" s="3" customFormat="1" ht="41.25" customHeight="1">
      <c r="A9" s="664">
        <v>3</v>
      </c>
      <c r="B9" s="765">
        <v>8114893</v>
      </c>
      <c r="C9" s="638">
        <f t="shared" si="0"/>
        <v>1261.4000000000001</v>
      </c>
      <c r="D9" s="772">
        <v>374358</v>
      </c>
      <c r="E9" s="638">
        <f t="shared" si="2"/>
        <v>121.8</v>
      </c>
      <c r="F9" s="772">
        <v>581100</v>
      </c>
      <c r="G9" s="638">
        <f t="shared" si="1"/>
        <v>95</v>
      </c>
      <c r="H9" s="638">
        <f>(E9*0.55)*1.61</f>
        <v>107.85390000000002</v>
      </c>
      <c r="I9" s="638">
        <f>C9*J1</f>
        <v>4919.46</v>
      </c>
      <c r="J9" s="638">
        <f>G9*J1</f>
        <v>370.5</v>
      </c>
      <c r="K9" s="694">
        <f>C9+E9</f>
        <v>1383.2</v>
      </c>
    </row>
    <row r="10" spans="1:13" s="3" customFormat="1" ht="41.25" customHeight="1">
      <c r="A10" s="664">
        <v>4</v>
      </c>
      <c r="B10" s="765">
        <v>8115606</v>
      </c>
      <c r="C10" s="638">
        <f t="shared" si="0"/>
        <v>755.78000000000009</v>
      </c>
      <c r="D10" s="772">
        <v>374773</v>
      </c>
      <c r="E10" s="638">
        <f t="shared" si="2"/>
        <v>290.5</v>
      </c>
      <c r="F10" s="772">
        <v>581192</v>
      </c>
      <c r="G10" s="638">
        <f t="shared" si="1"/>
        <v>92</v>
      </c>
      <c r="H10" s="638">
        <f>(E10*0.55)*1.61</f>
        <v>257.23775000000001</v>
      </c>
      <c r="I10" s="638">
        <f>C10*J1</f>
        <v>2947.5420000000004</v>
      </c>
      <c r="J10" s="638">
        <f>G10*J1</f>
        <v>358.8</v>
      </c>
      <c r="K10" s="694">
        <f t="shared" si="3"/>
        <v>1046.2800000000002</v>
      </c>
    </row>
    <row r="11" spans="1:13" s="3" customFormat="1" ht="41.25" customHeight="1">
      <c r="A11" s="664">
        <v>5</v>
      </c>
      <c r="B11" s="765">
        <v>8116318</v>
      </c>
      <c r="C11" s="638">
        <f t="shared" si="0"/>
        <v>754.72</v>
      </c>
      <c r="D11" s="772">
        <v>375007</v>
      </c>
      <c r="E11" s="638">
        <f t="shared" si="2"/>
        <v>163.79999999999998</v>
      </c>
      <c r="F11" s="772">
        <v>581230</v>
      </c>
      <c r="G11" s="638">
        <f t="shared" si="1"/>
        <v>38</v>
      </c>
      <c r="H11" s="638">
        <f t="shared" si="4"/>
        <v>145.04490000000001</v>
      </c>
      <c r="I11" s="638">
        <f>C11*J1</f>
        <v>2943.4079999999999</v>
      </c>
      <c r="J11" s="638">
        <f>G11*J1</f>
        <v>148.19999999999999</v>
      </c>
      <c r="K11" s="694">
        <f t="shared" si="3"/>
        <v>918.52</v>
      </c>
    </row>
    <row r="12" spans="1:13" s="3" customFormat="1" ht="41.25" customHeight="1">
      <c r="A12" s="664">
        <v>6</v>
      </c>
      <c r="B12" s="765">
        <v>8117031</v>
      </c>
      <c r="C12" s="638">
        <f t="shared" si="0"/>
        <v>755.78000000000009</v>
      </c>
      <c r="D12" s="772">
        <v>375293</v>
      </c>
      <c r="E12" s="638">
        <f t="shared" si="2"/>
        <v>200.2</v>
      </c>
      <c r="F12" s="772">
        <v>581322</v>
      </c>
      <c r="G12" s="638">
        <f t="shared" si="1"/>
        <v>92</v>
      </c>
      <c r="H12" s="638">
        <f t="shared" si="4"/>
        <v>177.27710000000002</v>
      </c>
      <c r="I12" s="638">
        <f>C12*J1</f>
        <v>2947.5420000000004</v>
      </c>
      <c r="J12" s="638">
        <f>G12*J1</f>
        <v>358.8</v>
      </c>
      <c r="K12" s="694">
        <f t="shared" si="3"/>
        <v>955.98</v>
      </c>
    </row>
    <row r="13" spans="1:13" s="3" customFormat="1" ht="41.25" customHeight="1">
      <c r="A13" s="664">
        <v>7</v>
      </c>
      <c r="B13" s="765">
        <v>8117743</v>
      </c>
      <c r="C13" s="638">
        <f t="shared" si="0"/>
        <v>754.72</v>
      </c>
      <c r="D13" s="772">
        <v>375579</v>
      </c>
      <c r="E13" s="638">
        <f t="shared" si="2"/>
        <v>200.2</v>
      </c>
      <c r="F13" s="772">
        <v>581418</v>
      </c>
      <c r="G13" s="638">
        <f t="shared" si="1"/>
        <v>96</v>
      </c>
      <c r="H13" s="638">
        <f t="shared" si="4"/>
        <v>177.27710000000002</v>
      </c>
      <c r="I13" s="638">
        <f>C13*J1</f>
        <v>2943.4079999999999</v>
      </c>
      <c r="J13" s="638">
        <f>G13*J1</f>
        <v>374.4</v>
      </c>
      <c r="K13" s="694">
        <f t="shared" si="3"/>
        <v>954.92000000000007</v>
      </c>
    </row>
    <row r="14" spans="1:13" s="3" customFormat="1" ht="41.25" customHeight="1">
      <c r="A14" s="664">
        <v>8</v>
      </c>
      <c r="B14" s="765">
        <v>8118456</v>
      </c>
      <c r="C14" s="638">
        <f t="shared" si="0"/>
        <v>755.78000000000009</v>
      </c>
      <c r="D14" s="772">
        <v>375865</v>
      </c>
      <c r="E14" s="638">
        <f t="shared" si="2"/>
        <v>200.2</v>
      </c>
      <c r="F14" s="772">
        <v>581503</v>
      </c>
      <c r="G14" s="638">
        <f t="shared" si="1"/>
        <v>85</v>
      </c>
      <c r="H14" s="638">
        <f t="shared" si="4"/>
        <v>177.27710000000002</v>
      </c>
      <c r="I14" s="638">
        <f>C14*J1</f>
        <v>2947.5420000000004</v>
      </c>
      <c r="J14" s="638">
        <f>G14*J1</f>
        <v>331.5</v>
      </c>
      <c r="K14" s="694">
        <f t="shared" si="3"/>
        <v>955.98</v>
      </c>
    </row>
    <row r="15" spans="1:13" s="3" customFormat="1" ht="41.25" customHeight="1">
      <c r="A15" s="664">
        <v>9</v>
      </c>
      <c r="B15" s="765">
        <v>8119168</v>
      </c>
      <c r="C15" s="638">
        <f t="shared" ref="C15:C32" si="5">IF(B15&gt;=B14,B15-B14,0)*1.06</f>
        <v>754.72</v>
      </c>
      <c r="D15" s="772">
        <v>376191</v>
      </c>
      <c r="E15" s="638">
        <f t="shared" si="2"/>
        <v>228.2</v>
      </c>
      <c r="F15" s="772">
        <v>581563</v>
      </c>
      <c r="G15" s="638">
        <f t="shared" si="1"/>
        <v>60</v>
      </c>
      <c r="H15" s="638">
        <f t="shared" si="4"/>
        <v>202.07110000000003</v>
      </c>
      <c r="I15" s="638">
        <f>C15*J1</f>
        <v>2943.4079999999999</v>
      </c>
      <c r="J15" s="638">
        <f>G15*J1</f>
        <v>234</v>
      </c>
      <c r="K15" s="694">
        <f t="shared" si="3"/>
        <v>982.92000000000007</v>
      </c>
    </row>
    <row r="16" spans="1:13" s="3" customFormat="1" ht="41.25" customHeight="1">
      <c r="A16" s="664">
        <v>10</v>
      </c>
      <c r="B16" s="765">
        <v>8119881</v>
      </c>
      <c r="C16" s="638">
        <f t="shared" si="5"/>
        <v>755.78000000000009</v>
      </c>
      <c r="D16" s="772">
        <v>376457</v>
      </c>
      <c r="E16" s="638">
        <f t="shared" si="2"/>
        <v>186.2</v>
      </c>
      <c r="F16" s="772">
        <v>581634</v>
      </c>
      <c r="G16" s="638">
        <f t="shared" si="1"/>
        <v>71</v>
      </c>
      <c r="H16" s="638">
        <f t="shared" si="4"/>
        <v>164.8801</v>
      </c>
      <c r="I16" s="638">
        <f>C16*J1</f>
        <v>2947.5420000000004</v>
      </c>
      <c r="J16" s="638">
        <f>G16*J1</f>
        <v>276.89999999999998</v>
      </c>
      <c r="K16" s="694">
        <f t="shared" si="3"/>
        <v>941.98</v>
      </c>
    </row>
    <row r="17" spans="1:11" s="3" customFormat="1" ht="41.25" customHeight="1">
      <c r="A17" s="664">
        <v>11</v>
      </c>
      <c r="B17" s="765">
        <v>8120609</v>
      </c>
      <c r="C17" s="638">
        <f t="shared" si="5"/>
        <v>771.68000000000006</v>
      </c>
      <c r="D17" s="772">
        <v>376982</v>
      </c>
      <c r="E17" s="638">
        <f t="shared" si="2"/>
        <v>367.5</v>
      </c>
      <c r="F17" s="772">
        <v>581781</v>
      </c>
      <c r="G17" s="638">
        <f t="shared" si="1"/>
        <v>147</v>
      </c>
      <c r="H17" s="638">
        <f t="shared" si="4"/>
        <v>325.42125000000004</v>
      </c>
      <c r="I17" s="638">
        <f>C17*J1</f>
        <v>3009.5520000000001</v>
      </c>
      <c r="J17" s="638">
        <f>G17*J1</f>
        <v>573.29999999999995</v>
      </c>
      <c r="K17" s="694">
        <f t="shared" si="3"/>
        <v>1139.18</v>
      </c>
    </row>
    <row r="18" spans="1:11" s="3" customFormat="1" ht="41.25" customHeight="1">
      <c r="A18" s="664">
        <v>12</v>
      </c>
      <c r="B18" s="765">
        <v>8121275</v>
      </c>
      <c r="C18" s="638">
        <f t="shared" si="5"/>
        <v>705.96</v>
      </c>
      <c r="D18" s="772">
        <v>377310</v>
      </c>
      <c r="E18" s="638">
        <f t="shared" si="2"/>
        <v>229.6</v>
      </c>
      <c r="F18" s="772">
        <v>581852</v>
      </c>
      <c r="G18" s="638">
        <f t="shared" ref="G18:G37" si="6">IF(F18&gt;=F17,F18-F17,0)</f>
        <v>71</v>
      </c>
      <c r="H18" s="638">
        <f t="shared" si="4"/>
        <v>203.3108</v>
      </c>
      <c r="I18" s="638">
        <f>C18*J1</f>
        <v>2753.2440000000001</v>
      </c>
      <c r="J18" s="638">
        <f>G18*J1</f>
        <v>276.89999999999998</v>
      </c>
      <c r="K18" s="694">
        <f t="shared" si="3"/>
        <v>935.56000000000006</v>
      </c>
    </row>
    <row r="19" spans="1:11" s="3" customFormat="1" ht="41.25" customHeight="1">
      <c r="A19" s="664">
        <v>13</v>
      </c>
      <c r="B19" s="765">
        <v>8122034</v>
      </c>
      <c r="C19" s="638">
        <f>IF(B19&gt;=B18,B19-B18,0)*1.06</f>
        <v>804.54000000000008</v>
      </c>
      <c r="D19" s="772">
        <v>377563</v>
      </c>
      <c r="E19" s="638">
        <f>IF(D19&gt;=D18,D19-D18,0)*0.7</f>
        <v>177.1</v>
      </c>
      <c r="F19" s="772">
        <v>581962</v>
      </c>
      <c r="G19" s="638">
        <f t="shared" si="6"/>
        <v>110</v>
      </c>
      <c r="H19" s="638">
        <f t="shared" si="4"/>
        <v>156.82205000000002</v>
      </c>
      <c r="I19" s="638">
        <f>C19*J1</f>
        <v>3137.7060000000001</v>
      </c>
      <c r="J19" s="638">
        <f>G19*J1</f>
        <v>429</v>
      </c>
      <c r="K19" s="694">
        <f t="shared" si="3"/>
        <v>981.6400000000001</v>
      </c>
    </row>
    <row r="20" spans="1:11" s="3" customFormat="1" ht="41.25" customHeight="1">
      <c r="A20" s="664">
        <v>14</v>
      </c>
      <c r="B20" s="765">
        <v>8122715</v>
      </c>
      <c r="C20" s="638">
        <f>IF(B20&gt;=B19,B20-B19,0)*1.06</f>
        <v>721.86</v>
      </c>
      <c r="D20" s="772">
        <v>377851</v>
      </c>
      <c r="E20" s="638">
        <f>IF(D20&gt;=D19,D20-D19,0)*0.7</f>
        <v>201.6</v>
      </c>
      <c r="F20" s="772">
        <v>582029</v>
      </c>
      <c r="G20" s="638">
        <f t="shared" si="6"/>
        <v>67</v>
      </c>
      <c r="H20" s="638">
        <f t="shared" si="4"/>
        <v>178.51680000000002</v>
      </c>
      <c r="I20" s="638">
        <f>C20*J1</f>
        <v>2815.2539999999999</v>
      </c>
      <c r="J20" s="638">
        <f>G20*J1</f>
        <v>261.3</v>
      </c>
      <c r="K20" s="694">
        <f t="shared" si="3"/>
        <v>923.46</v>
      </c>
    </row>
    <row r="21" spans="1:11" s="3" customFormat="1" ht="41.25" customHeight="1">
      <c r="A21" s="664">
        <v>15</v>
      </c>
      <c r="B21" s="765">
        <v>8123499</v>
      </c>
      <c r="C21" s="638">
        <f>IF(B21&gt;=B20,B21-B20,0)*1.06</f>
        <v>831.04000000000008</v>
      </c>
      <c r="D21" s="772">
        <v>378173</v>
      </c>
      <c r="E21" s="638">
        <f>IF(D21&gt;=D20,D21-D20,0)*0.7</f>
        <v>225.39999999999998</v>
      </c>
      <c r="F21" s="772">
        <v>582123</v>
      </c>
      <c r="G21" s="638">
        <f t="shared" ref="G21:G27" si="7">IF(F21&gt;=F20,F21-F20,0)</f>
        <v>94</v>
      </c>
      <c r="H21" s="638">
        <f t="shared" si="4"/>
        <v>199.5917</v>
      </c>
      <c r="I21" s="638">
        <f>C21*J1</f>
        <v>3241.056</v>
      </c>
      <c r="J21" s="638">
        <f>G21*J1</f>
        <v>366.59999999999997</v>
      </c>
      <c r="K21" s="694">
        <f t="shared" si="3"/>
        <v>1056.44</v>
      </c>
    </row>
    <row r="22" spans="1:11" s="3" customFormat="1" ht="41.25" customHeight="1">
      <c r="A22" s="664">
        <v>16</v>
      </c>
      <c r="B22" s="765">
        <v>8124280</v>
      </c>
      <c r="C22" s="638">
        <f t="shared" si="5"/>
        <v>827.86</v>
      </c>
      <c r="D22" s="772">
        <v>378441</v>
      </c>
      <c r="E22" s="638">
        <f t="shared" si="2"/>
        <v>187.6</v>
      </c>
      <c r="F22" s="772">
        <v>582211</v>
      </c>
      <c r="G22" s="638">
        <f t="shared" si="7"/>
        <v>88</v>
      </c>
      <c r="H22" s="638">
        <f t="shared" si="4"/>
        <v>166.11980000000003</v>
      </c>
      <c r="I22" s="638">
        <f>C22*J1</f>
        <v>3228.654</v>
      </c>
      <c r="J22" s="638">
        <f>G22*J1</f>
        <v>343.2</v>
      </c>
      <c r="K22" s="694">
        <f t="shared" si="3"/>
        <v>1015.46</v>
      </c>
    </row>
    <row r="23" spans="1:11" s="3" customFormat="1" ht="41.25" customHeight="1">
      <c r="A23" s="664">
        <v>17</v>
      </c>
      <c r="B23" s="765">
        <v>8125016</v>
      </c>
      <c r="C23" s="638">
        <f t="shared" si="5"/>
        <v>780.16000000000008</v>
      </c>
      <c r="D23" s="772">
        <v>378750</v>
      </c>
      <c r="E23" s="638">
        <f t="shared" si="2"/>
        <v>216.29999999999998</v>
      </c>
      <c r="F23" s="772">
        <v>582300</v>
      </c>
      <c r="G23" s="638">
        <f t="shared" si="7"/>
        <v>89</v>
      </c>
      <c r="H23" s="638">
        <f t="shared" si="4"/>
        <v>191.53365000000002</v>
      </c>
      <c r="I23" s="638">
        <f>C23*J1</f>
        <v>3042.6240000000003</v>
      </c>
      <c r="J23" s="638">
        <f>G23*J1</f>
        <v>347.09999999999997</v>
      </c>
      <c r="K23" s="694">
        <f t="shared" si="3"/>
        <v>996.46</v>
      </c>
    </row>
    <row r="24" spans="1:11" s="3" customFormat="1" ht="41.25" customHeight="1">
      <c r="A24" s="664">
        <v>18</v>
      </c>
      <c r="B24" s="765">
        <v>8125752</v>
      </c>
      <c r="C24" s="638">
        <f t="shared" si="5"/>
        <v>780.16000000000008</v>
      </c>
      <c r="D24" s="772">
        <v>379060</v>
      </c>
      <c r="E24" s="638">
        <f t="shared" si="2"/>
        <v>217</v>
      </c>
      <c r="F24" s="772">
        <v>582389</v>
      </c>
      <c r="G24" s="638">
        <f t="shared" si="7"/>
        <v>89</v>
      </c>
      <c r="H24" s="638">
        <f t="shared" si="4"/>
        <v>192.15350000000004</v>
      </c>
      <c r="I24" s="638">
        <f>C24*J1</f>
        <v>3042.6240000000003</v>
      </c>
      <c r="J24" s="638">
        <f>G24*J1</f>
        <v>347.09999999999997</v>
      </c>
      <c r="K24" s="694">
        <f t="shared" si="3"/>
        <v>997.16000000000008</v>
      </c>
    </row>
    <row r="25" spans="1:11" s="3" customFormat="1" ht="41.25" customHeight="1">
      <c r="A25" s="664">
        <v>19</v>
      </c>
      <c r="B25" s="765">
        <v>8126488</v>
      </c>
      <c r="C25" s="638">
        <f t="shared" si="5"/>
        <v>780.16000000000008</v>
      </c>
      <c r="D25" s="772">
        <v>379369</v>
      </c>
      <c r="E25" s="638">
        <f t="shared" si="2"/>
        <v>216.29999999999998</v>
      </c>
      <c r="F25" s="772">
        <v>582479</v>
      </c>
      <c r="G25" s="638">
        <f t="shared" si="7"/>
        <v>90</v>
      </c>
      <c r="H25" s="638">
        <f t="shared" si="4"/>
        <v>191.53365000000002</v>
      </c>
      <c r="I25" s="638">
        <f>C25*J1</f>
        <v>3042.6240000000003</v>
      </c>
      <c r="J25" s="638">
        <f>G25*J1</f>
        <v>351</v>
      </c>
      <c r="K25" s="694">
        <f t="shared" si="3"/>
        <v>996.46</v>
      </c>
    </row>
    <row r="26" spans="1:11" s="3" customFormat="1" ht="41.25" customHeight="1">
      <c r="A26" s="664">
        <v>20</v>
      </c>
      <c r="B26" s="765">
        <v>8127223</v>
      </c>
      <c r="C26" s="638">
        <f t="shared" si="5"/>
        <v>779.1</v>
      </c>
      <c r="D26" s="772">
        <v>379678</v>
      </c>
      <c r="E26" s="638">
        <f t="shared" si="2"/>
        <v>216.29999999999998</v>
      </c>
      <c r="F26" s="772">
        <v>582568</v>
      </c>
      <c r="G26" s="638">
        <f t="shared" si="7"/>
        <v>89</v>
      </c>
      <c r="H26" s="638">
        <f t="shared" si="4"/>
        <v>191.53365000000002</v>
      </c>
      <c r="I26" s="638">
        <f>C26*J1</f>
        <v>3038.4900000000002</v>
      </c>
      <c r="J26" s="638">
        <f>G26*J1</f>
        <v>347.09999999999997</v>
      </c>
      <c r="K26" s="694">
        <f t="shared" si="3"/>
        <v>995.4</v>
      </c>
    </row>
    <row r="27" spans="1:11" s="3" customFormat="1" ht="41.25" customHeight="1">
      <c r="A27" s="664">
        <v>21</v>
      </c>
      <c r="B27" s="765">
        <v>8127959</v>
      </c>
      <c r="C27" s="638">
        <f t="shared" si="5"/>
        <v>780.16000000000008</v>
      </c>
      <c r="D27" s="772">
        <v>379987</v>
      </c>
      <c r="E27" s="638">
        <f t="shared" si="2"/>
        <v>216.29999999999998</v>
      </c>
      <c r="F27" s="772">
        <v>582658</v>
      </c>
      <c r="G27" s="638">
        <f t="shared" si="7"/>
        <v>90</v>
      </c>
      <c r="H27" s="638">
        <f t="shared" si="4"/>
        <v>191.53365000000002</v>
      </c>
      <c r="I27" s="638">
        <f>C27*J1</f>
        <v>3042.6240000000003</v>
      </c>
      <c r="J27" s="638">
        <f>G27*J1</f>
        <v>351</v>
      </c>
      <c r="K27" s="694">
        <f t="shared" si="3"/>
        <v>996.46</v>
      </c>
    </row>
    <row r="28" spans="1:11" s="3" customFormat="1" ht="41.25" customHeight="1">
      <c r="A28" s="664">
        <v>22</v>
      </c>
      <c r="B28" s="765">
        <v>8128695</v>
      </c>
      <c r="C28" s="638">
        <f>IF(B28&gt;=B27,B28-B27,0)*1.06</f>
        <v>780.16000000000008</v>
      </c>
      <c r="D28" s="772">
        <v>380296</v>
      </c>
      <c r="E28" s="638">
        <f t="shared" si="2"/>
        <v>216.29999999999998</v>
      </c>
      <c r="F28" s="772">
        <v>582747</v>
      </c>
      <c r="G28" s="638">
        <f t="shared" si="6"/>
        <v>89</v>
      </c>
      <c r="H28" s="638">
        <f>(E28*0.55)*1.61</f>
        <v>191.53365000000002</v>
      </c>
      <c r="I28" s="638">
        <f>C28*J1</f>
        <v>3042.6240000000003</v>
      </c>
      <c r="J28" s="638">
        <f>G28*J1</f>
        <v>347.09999999999997</v>
      </c>
      <c r="K28" s="694"/>
    </row>
    <row r="29" spans="1:11" s="3" customFormat="1" ht="41.25" customHeight="1">
      <c r="A29" s="664">
        <v>23</v>
      </c>
      <c r="B29" s="765">
        <v>8129431</v>
      </c>
      <c r="C29" s="638">
        <f>IF(B29&gt;=B28,B29-B28,0)*1.06</f>
        <v>780.16000000000008</v>
      </c>
      <c r="D29" s="772">
        <v>380606</v>
      </c>
      <c r="E29" s="638">
        <f t="shared" si="2"/>
        <v>217</v>
      </c>
      <c r="F29" s="772">
        <v>582837</v>
      </c>
      <c r="G29" s="638">
        <f t="shared" si="6"/>
        <v>90</v>
      </c>
      <c r="H29" s="638">
        <f>(E29*0.55)*1.61</f>
        <v>192.15350000000004</v>
      </c>
      <c r="I29" s="638">
        <f>C29*J1</f>
        <v>3042.6240000000003</v>
      </c>
      <c r="J29" s="638">
        <f>G29*J1</f>
        <v>351</v>
      </c>
      <c r="K29" s="694">
        <f t="shared" si="3"/>
        <v>997.16000000000008</v>
      </c>
    </row>
    <row r="30" spans="1:11" s="3" customFormat="1" ht="41.25" customHeight="1">
      <c r="A30" s="664">
        <v>24</v>
      </c>
      <c r="B30" s="765">
        <v>8130859</v>
      </c>
      <c r="C30" s="638">
        <f>IF(B30&gt;=B29,B30-B29,0)*1.06</f>
        <v>1513.68</v>
      </c>
      <c r="D30" s="772">
        <v>381085</v>
      </c>
      <c r="E30" s="638">
        <f t="shared" si="2"/>
        <v>335.29999999999995</v>
      </c>
      <c r="F30" s="772">
        <v>582996</v>
      </c>
      <c r="G30" s="638">
        <f t="shared" si="6"/>
        <v>159</v>
      </c>
      <c r="H30" s="638">
        <f>(E30*0.55)*1.61</f>
        <v>296.90814999999998</v>
      </c>
      <c r="I30" s="638">
        <f>C30*J1</f>
        <v>5903.3519999999999</v>
      </c>
      <c r="J30" s="638">
        <f>G30*J1</f>
        <v>620.1</v>
      </c>
      <c r="K30" s="694">
        <f t="shared" si="3"/>
        <v>1848.98</v>
      </c>
    </row>
    <row r="31" spans="1:11" s="3" customFormat="1" ht="41.25" customHeight="1">
      <c r="A31" s="664">
        <v>25</v>
      </c>
      <c r="B31" s="765">
        <v>8131950</v>
      </c>
      <c r="C31" s="638">
        <f>IF(B31&gt;=B30,B31-B30,0)*1.06</f>
        <v>1156.46</v>
      </c>
      <c r="D31" s="772">
        <v>381421</v>
      </c>
      <c r="E31" s="638">
        <f t="shared" ref="E31:E37" si="8">IF(D31&gt;=D30,D31-D30,0)*0.7</f>
        <v>235.2</v>
      </c>
      <c r="F31" s="772">
        <v>583055</v>
      </c>
      <c r="G31" s="638">
        <f t="shared" si="6"/>
        <v>59</v>
      </c>
      <c r="H31" s="638">
        <f t="shared" si="4"/>
        <v>208.26960000000003</v>
      </c>
      <c r="I31" s="638">
        <f>C31*J3</f>
        <v>0</v>
      </c>
      <c r="J31" s="638">
        <f>G31*J1</f>
        <v>230.1</v>
      </c>
      <c r="K31" s="694">
        <f t="shared" si="3"/>
        <v>1391.66</v>
      </c>
    </row>
    <row r="32" spans="1:11" s="3" customFormat="1" ht="41.25" customHeight="1">
      <c r="A32" s="664">
        <v>26</v>
      </c>
      <c r="B32" s="765">
        <v>8132785</v>
      </c>
      <c r="C32" s="638">
        <f t="shared" si="5"/>
        <v>885.1</v>
      </c>
      <c r="D32" s="772">
        <v>381668</v>
      </c>
      <c r="E32" s="638">
        <f t="shared" si="8"/>
        <v>172.89999999999998</v>
      </c>
      <c r="F32" s="772">
        <v>583152</v>
      </c>
      <c r="G32" s="638">
        <f t="shared" si="6"/>
        <v>97</v>
      </c>
      <c r="H32" s="638">
        <f t="shared" si="4"/>
        <v>153.10295000000002</v>
      </c>
      <c r="I32" s="638">
        <f>C32*J1</f>
        <v>3451.89</v>
      </c>
      <c r="J32" s="638">
        <f>G32*J1</f>
        <v>378.3</v>
      </c>
      <c r="K32" s="694">
        <f t="shared" si="3"/>
        <v>1058</v>
      </c>
    </row>
    <row r="33" spans="1:13" s="205" customFormat="1" ht="41.25" customHeight="1">
      <c r="A33" s="665">
        <v>27</v>
      </c>
      <c r="B33" s="765">
        <v>8133553</v>
      </c>
      <c r="C33" s="638">
        <f>IF(B33&gt;=B32,B33-B32,0)*1.06</f>
        <v>814.08</v>
      </c>
      <c r="D33" s="772">
        <v>381980</v>
      </c>
      <c r="E33" s="638">
        <f t="shared" si="8"/>
        <v>218.39999999999998</v>
      </c>
      <c r="F33" s="772">
        <v>583249</v>
      </c>
      <c r="G33" s="638">
        <f t="shared" si="6"/>
        <v>97</v>
      </c>
      <c r="H33" s="638">
        <f t="shared" si="4"/>
        <v>193.39320000000001</v>
      </c>
      <c r="I33" s="638">
        <f>C33*J1</f>
        <v>3174.9120000000003</v>
      </c>
      <c r="J33" s="638">
        <f>G33*J1</f>
        <v>378.3</v>
      </c>
      <c r="K33" s="694">
        <f t="shared" si="3"/>
        <v>1032.48</v>
      </c>
    </row>
    <row r="34" spans="1:13" s="205" customFormat="1" ht="41.25" customHeight="1">
      <c r="A34" s="665">
        <v>28</v>
      </c>
      <c r="B34" s="765">
        <v>8134523</v>
      </c>
      <c r="C34" s="638">
        <f>IF(B34&gt;=B33,B34-B33,0)*1.06</f>
        <v>1028.2</v>
      </c>
      <c r="D34" s="772">
        <v>382351</v>
      </c>
      <c r="E34" s="638">
        <f t="shared" si="8"/>
        <v>259.7</v>
      </c>
      <c r="F34" s="772">
        <v>583346</v>
      </c>
      <c r="G34" s="638">
        <f t="shared" si="6"/>
        <v>97</v>
      </c>
      <c r="H34" s="638">
        <f t="shared" si="4"/>
        <v>229.96435000000002</v>
      </c>
      <c r="I34" s="638">
        <f>C34*J1</f>
        <v>4009.98</v>
      </c>
      <c r="J34" s="638">
        <f>G34*J1</f>
        <v>378.3</v>
      </c>
      <c r="K34" s="694">
        <f t="shared" si="3"/>
        <v>1287.9000000000001</v>
      </c>
    </row>
    <row r="35" spans="1:13" s="205" customFormat="1" ht="41.25" customHeight="1">
      <c r="A35" s="664">
        <v>29</v>
      </c>
      <c r="B35" s="765">
        <v>8135427</v>
      </c>
      <c r="C35" s="638">
        <f>IF(B35&gt;=B34,B35-B34,0)*1.06</f>
        <v>958.24</v>
      </c>
      <c r="D35" s="772">
        <v>382624</v>
      </c>
      <c r="E35" s="638">
        <f t="shared" si="8"/>
        <v>191.1</v>
      </c>
      <c r="F35" s="772">
        <v>583509</v>
      </c>
      <c r="G35" s="638">
        <f t="shared" si="6"/>
        <v>163</v>
      </c>
      <c r="H35" s="638">
        <f t="shared" si="4"/>
        <v>169.21905000000001</v>
      </c>
      <c r="I35" s="638">
        <f>C35*J1</f>
        <v>3737.136</v>
      </c>
      <c r="J35" s="638">
        <f>G35*J1</f>
        <v>635.69999999999993</v>
      </c>
      <c r="K35" s="694">
        <f t="shared" si="3"/>
        <v>1149.3399999999999</v>
      </c>
    </row>
    <row r="36" spans="1:13" s="205" customFormat="1" ht="41.25" customHeight="1">
      <c r="A36" s="665">
        <v>30</v>
      </c>
      <c r="B36" s="765">
        <v>8136296</v>
      </c>
      <c r="C36" s="638">
        <f>IF(B36&gt;=B35,B36-B35,0)*1.06</f>
        <v>921.1400000000001</v>
      </c>
      <c r="D36" s="772">
        <v>382935</v>
      </c>
      <c r="E36" s="638">
        <f t="shared" si="8"/>
        <v>217.7</v>
      </c>
      <c r="F36" s="772">
        <v>583579</v>
      </c>
      <c r="G36" s="638">
        <f t="shared" si="6"/>
        <v>70</v>
      </c>
      <c r="H36" s="638">
        <f t="shared" si="4"/>
        <v>192.77335000000002</v>
      </c>
      <c r="I36" s="638">
        <f>C36*J1</f>
        <v>3592.4460000000004</v>
      </c>
      <c r="J36" s="638">
        <f>G36*J1</f>
        <v>273</v>
      </c>
      <c r="K36" s="694">
        <f t="shared" si="3"/>
        <v>1138.8400000000001</v>
      </c>
    </row>
    <row r="37" spans="1:13" s="205" customFormat="1" ht="41.25" customHeight="1" thickBot="1">
      <c r="A37" s="665">
        <v>31</v>
      </c>
      <c r="B37" s="765">
        <v>8137185</v>
      </c>
      <c r="C37" s="638">
        <f>IF(B37&gt;=B36,B37-B36,0)*1.06</f>
        <v>942.34</v>
      </c>
      <c r="D37" s="772">
        <v>383244</v>
      </c>
      <c r="E37" s="638">
        <f t="shared" si="8"/>
        <v>216.29999999999998</v>
      </c>
      <c r="F37" s="772">
        <v>583683</v>
      </c>
      <c r="G37" s="638">
        <f t="shared" si="6"/>
        <v>104</v>
      </c>
      <c r="H37" s="638">
        <f t="shared" si="4"/>
        <v>191.53365000000002</v>
      </c>
      <c r="I37" s="638">
        <f>C37*J1</f>
        <v>3675.1260000000002</v>
      </c>
      <c r="J37" s="638">
        <f>G37*J1</f>
        <v>405.59999999999997</v>
      </c>
      <c r="K37" s="694">
        <f t="shared" si="3"/>
        <v>1158.6400000000001</v>
      </c>
    </row>
    <row r="38" spans="1:13" s="205" customFormat="1" ht="41.25" customHeight="1">
      <c r="A38" s="666" t="s">
        <v>122</v>
      </c>
      <c r="B38" s="689"/>
      <c r="C38" s="690">
        <f>SUM(C7:C37)</f>
        <v>26560.420000000006</v>
      </c>
      <c r="D38" s="689"/>
      <c r="E38" s="690">
        <f>SUM(E7:E37)</f>
        <v>6742.4</v>
      </c>
      <c r="F38" s="689"/>
      <c r="G38" s="690">
        <f>SUM(G7:G37)</f>
        <v>2818</v>
      </c>
      <c r="H38" s="691">
        <f>SUM(H6:H37)</f>
        <v>5970.3952000000018</v>
      </c>
      <c r="I38" s="691">
        <f>SUM(I6:I37)</f>
        <v>99075.444000000003</v>
      </c>
      <c r="J38" s="691">
        <f>SUM(J6:J37)</f>
        <v>10990.2</v>
      </c>
      <c r="K38" s="737">
        <f>SUM(K6:K37)</f>
        <v>32306.359999999997</v>
      </c>
    </row>
    <row r="39" spans="1:13" s="205" customFormat="1" ht="41.25" customHeight="1" thickBot="1">
      <c r="A39" s="667" t="s">
        <v>138</v>
      </c>
      <c r="B39" s="692"/>
      <c r="C39" s="693">
        <f>C38/A42</f>
        <v>885.34733333333349</v>
      </c>
      <c r="D39" s="692"/>
      <c r="E39" s="693">
        <f>E38/A42</f>
        <v>224.74666666666664</v>
      </c>
      <c r="F39" s="692"/>
      <c r="G39" s="693">
        <f>G38/A42</f>
        <v>93.933333333333337</v>
      </c>
      <c r="H39" s="693">
        <f>H38/A42</f>
        <v>199.01317333333338</v>
      </c>
      <c r="I39" s="693">
        <f>I38/A42</f>
        <v>3302.5147999999999</v>
      </c>
      <c r="J39" s="693">
        <f>J38/A42</f>
        <v>366.34000000000003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124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9" activePane="bottomRight" state="frozen"/>
      <selection pane="topRight" activeCell="G39" sqref="G39"/>
      <selection pane="bottomLeft" activeCell="G39" sqref="G39"/>
      <selection pane="bottomRight" activeCell="A34" sqref="A34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50" t="str">
        <f>Elect!A1</f>
        <v>July</v>
      </c>
      <c r="B1" s="579"/>
      <c r="C1" s="580"/>
      <c r="D1" s="841"/>
      <c r="E1" s="841"/>
      <c r="F1" s="841"/>
      <c r="G1" s="841"/>
      <c r="H1" s="841"/>
      <c r="I1" s="841"/>
      <c r="J1" s="841"/>
      <c r="K1" s="841"/>
      <c r="L1" s="841"/>
      <c r="M1" s="841"/>
      <c r="N1" s="841"/>
      <c r="O1" s="581"/>
      <c r="P1" s="852"/>
      <c r="Q1" s="852"/>
      <c r="R1" s="852"/>
      <c r="S1" s="2"/>
      <c r="T1" s="582" t="s">
        <v>139</v>
      </c>
      <c r="U1" s="566"/>
      <c r="V1" s="565">
        <v>4</v>
      </c>
      <c r="W1" s="564" t="s">
        <v>140</v>
      </c>
      <c r="X1" s="583"/>
      <c r="Y1" s="584"/>
      <c r="Z1" s="566"/>
    </row>
    <row r="2" spans="1:26" ht="39.75" customHeight="1" thickBot="1">
      <c r="A2" s="851"/>
      <c r="B2" s="586"/>
      <c r="C2" s="580"/>
      <c r="O2" s="581"/>
      <c r="P2" s="853"/>
      <c r="Q2" s="853"/>
      <c r="R2" s="853"/>
    </row>
    <row r="3" spans="1:26" s="3" customFormat="1" ht="42" customHeight="1" thickBot="1">
      <c r="A3" s="842" t="s">
        <v>1</v>
      </c>
      <c r="B3" s="587"/>
      <c r="C3" s="588"/>
      <c r="D3" s="588"/>
      <c r="E3" s="589" t="s">
        <v>141</v>
      </c>
      <c r="F3" s="588"/>
      <c r="G3" s="588"/>
      <c r="H3" s="590"/>
      <c r="I3" s="872" t="s">
        <v>142</v>
      </c>
      <c r="J3" s="873"/>
      <c r="K3" s="873"/>
      <c r="L3" s="873"/>
      <c r="M3" s="874"/>
      <c r="N3" s="864" t="s">
        <v>143</v>
      </c>
      <c r="O3" s="865"/>
      <c r="P3" s="845" t="s">
        <v>144</v>
      </c>
      <c r="Q3" s="845"/>
      <c r="R3" s="845" t="s">
        <v>145</v>
      </c>
      <c r="S3" s="845"/>
      <c r="T3" s="860" t="s">
        <v>146</v>
      </c>
      <c r="U3" s="856" t="s">
        <v>147</v>
      </c>
      <c r="V3" s="856" t="s">
        <v>148</v>
      </c>
      <c r="W3" s="856" t="s">
        <v>149</v>
      </c>
      <c r="X3" s="857" t="s">
        <v>150</v>
      </c>
      <c r="Y3" s="591" t="s">
        <v>74</v>
      </c>
      <c r="Z3" s="592" t="s">
        <v>74</v>
      </c>
    </row>
    <row r="4" spans="1:26" s="3" customFormat="1" ht="45" customHeight="1" thickBot="1">
      <c r="A4" s="843"/>
      <c r="B4" s="866" t="s">
        <v>151</v>
      </c>
      <c r="C4" s="867"/>
      <c r="D4" s="868" t="s">
        <v>152</v>
      </c>
      <c r="E4" s="869"/>
      <c r="F4" s="868" t="s">
        <v>153</v>
      </c>
      <c r="G4" s="869"/>
      <c r="H4" s="848" t="s">
        <v>154</v>
      </c>
      <c r="I4" s="870" t="s">
        <v>155</v>
      </c>
      <c r="J4" s="871"/>
      <c r="K4" s="870" t="s">
        <v>156</v>
      </c>
      <c r="L4" s="871"/>
      <c r="M4" s="794"/>
      <c r="N4" s="848" t="s">
        <v>157</v>
      </c>
      <c r="O4" s="848" t="s">
        <v>158</v>
      </c>
      <c r="P4" s="846" t="s">
        <v>159</v>
      </c>
      <c r="Q4" s="846" t="s">
        <v>160</v>
      </c>
      <c r="R4" s="846" t="s">
        <v>159</v>
      </c>
      <c r="S4" s="846" t="s">
        <v>160</v>
      </c>
      <c r="T4" s="861"/>
      <c r="U4" s="846"/>
      <c r="V4" s="846"/>
      <c r="W4" s="846"/>
      <c r="X4" s="858"/>
      <c r="Y4" s="854" t="s">
        <v>119</v>
      </c>
      <c r="Z4" s="839" t="s">
        <v>120</v>
      </c>
    </row>
    <row r="5" spans="1:26" s="3" customFormat="1" ht="48.75" customHeight="1" thickBot="1">
      <c r="A5" s="844"/>
      <c r="B5" s="593" t="s">
        <v>161</v>
      </c>
      <c r="C5" s="793" t="s">
        <v>162</v>
      </c>
      <c r="D5" s="594" t="s">
        <v>161</v>
      </c>
      <c r="E5" s="793" t="s">
        <v>162</v>
      </c>
      <c r="F5" s="594" t="s">
        <v>161</v>
      </c>
      <c r="G5" s="793" t="s">
        <v>162</v>
      </c>
      <c r="H5" s="849"/>
      <c r="I5" s="728" t="s">
        <v>161</v>
      </c>
      <c r="J5" s="729"/>
      <c r="K5" s="728" t="s">
        <v>161</v>
      </c>
      <c r="L5" s="729"/>
      <c r="M5" s="727"/>
      <c r="N5" s="847"/>
      <c r="O5" s="847"/>
      <c r="P5" s="847"/>
      <c r="Q5" s="847"/>
      <c r="R5" s="847"/>
      <c r="S5" s="847"/>
      <c r="T5" s="862"/>
      <c r="U5" s="847"/>
      <c r="V5" s="847"/>
      <c r="W5" s="847"/>
      <c r="X5" s="859"/>
      <c r="Y5" s="855"/>
      <c r="Z5" s="840"/>
    </row>
    <row r="6" spans="1:26" s="3" customFormat="1" ht="36.75" customHeight="1">
      <c r="A6" s="595"/>
      <c r="B6" s="769">
        <v>78818</v>
      </c>
      <c r="C6" s="638">
        <f t="shared" ref="C6:C21" si="0">IF(B6&gt;=B5,B6-B5,0)*10*0.58</f>
        <v>0</v>
      </c>
      <c r="D6" s="772">
        <v>155362</v>
      </c>
      <c r="E6" s="638">
        <f>IF(D6&gt;=D5,D6-D5,0)*10*0.58</f>
        <v>0</v>
      </c>
      <c r="F6" s="768">
        <v>20508</v>
      </c>
      <c r="G6" s="638">
        <f>IF(F6&gt;=F5,F6-F5,0)*0.58</f>
        <v>0</v>
      </c>
      <c r="H6" s="710"/>
      <c r="I6" s="768">
        <v>224</v>
      </c>
      <c r="J6" s="726"/>
      <c r="K6" s="768">
        <v>3322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9">
        <v>78852</v>
      </c>
      <c r="C7" s="638">
        <f t="shared" si="0"/>
        <v>197.2</v>
      </c>
      <c r="D7" s="772">
        <v>155362</v>
      </c>
      <c r="E7" s="638">
        <f t="shared" ref="E7:E15" si="1">IF(D7&gt;=D6,D7-D6,0)*10*0.58</f>
        <v>0</v>
      </c>
      <c r="F7" s="768">
        <v>20508</v>
      </c>
      <c r="G7" s="638">
        <f t="shared" ref="G7:G14" si="2">IF(F7&gt;=F6,F7-F6,0)*0.58</f>
        <v>0</v>
      </c>
      <c r="H7" s="638">
        <f>C7+E7+G7</f>
        <v>197.2</v>
      </c>
      <c r="I7" s="768"/>
      <c r="J7" s="638"/>
      <c r="K7" s="768"/>
      <c r="L7" s="638"/>
      <c r="M7" s="638"/>
      <c r="N7" s="109"/>
      <c r="O7" s="535">
        <f>IF(N7&gt;=N6,N7-N6,0)</f>
        <v>0</v>
      </c>
      <c r="P7" s="109"/>
      <c r="Q7" s="436">
        <f>(H7-O7)*0.58</f>
        <v>114.37599999999999</v>
      </c>
      <c r="R7" s="109"/>
      <c r="S7" s="436">
        <f>IF(R7-R6&gt;0,R7-R6,0)</f>
        <v>0</v>
      </c>
      <c r="T7" s="708">
        <f>Elect!BT6</f>
        <v>215</v>
      </c>
      <c r="U7" s="604">
        <f>H7/T7</f>
        <v>0.91720930232558129</v>
      </c>
      <c r="V7" s="708">
        <f>Elect!BV6</f>
        <v>0</v>
      </c>
      <c r="W7" s="604" t="e">
        <f>H7/V7</f>
        <v>#DIV/0!</v>
      </c>
      <c r="X7" s="429">
        <f>H7*V1</f>
        <v>788.8</v>
      </c>
      <c r="Y7" s="604">
        <f>IF(X7&gt;0,X7/T7,0)</f>
        <v>3.6688372093023252</v>
      </c>
      <c r="Z7" s="607">
        <v>0</v>
      </c>
    </row>
    <row r="8" spans="1:26" s="3" customFormat="1" ht="36.75" customHeight="1">
      <c r="A8" s="595">
        <v>2</v>
      </c>
      <c r="B8" s="769">
        <v>78903</v>
      </c>
      <c r="C8" s="638">
        <f t="shared" si="0"/>
        <v>295.79999999999995</v>
      </c>
      <c r="D8" s="772">
        <v>155362</v>
      </c>
      <c r="E8" s="638">
        <f t="shared" si="1"/>
        <v>0</v>
      </c>
      <c r="F8" s="768">
        <v>20508</v>
      </c>
      <c r="G8" s="638">
        <f t="shared" si="2"/>
        <v>0</v>
      </c>
      <c r="H8" s="638">
        <f t="shared" ref="H8:H37" si="3">C8+E8+G8</f>
        <v>295.79999999999995</v>
      </c>
      <c r="I8" s="768"/>
      <c r="J8" s="638"/>
      <c r="K8" s="768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171.56399999999996</v>
      </c>
      <c r="R8" s="109"/>
      <c r="S8" s="436">
        <f t="shared" ref="S8:S37" si="6">IF(R8-R7&gt;0,R8-R7,0)</f>
        <v>0</v>
      </c>
      <c r="T8" s="708">
        <f>Elect!BT7</f>
        <v>207</v>
      </c>
      <c r="U8" s="604">
        <f t="shared" ref="U8:U37" si="7">H8/T8</f>
        <v>1.4289855072463766</v>
      </c>
      <c r="V8" s="708">
        <f>Elect!BV7</f>
        <v>0</v>
      </c>
      <c r="W8" s="604" t="e">
        <f t="shared" ref="W8:W37" si="8">H8/V8</f>
        <v>#DIV/0!</v>
      </c>
      <c r="X8" s="429">
        <f>H8*V1</f>
        <v>1183.1999999999998</v>
      </c>
      <c r="Y8" s="604">
        <f>IF(X8&gt;0,X8/T8,0)</f>
        <v>5.7159420289855065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9">
        <v>78951</v>
      </c>
      <c r="C9" s="638">
        <f t="shared" si="0"/>
        <v>278.39999999999998</v>
      </c>
      <c r="D9" s="772">
        <v>155362</v>
      </c>
      <c r="E9" s="638">
        <f t="shared" si="1"/>
        <v>0</v>
      </c>
      <c r="F9" s="768">
        <v>20654</v>
      </c>
      <c r="G9" s="638">
        <f t="shared" si="2"/>
        <v>84.679999999999993</v>
      </c>
      <c r="H9" s="638">
        <f t="shared" si="3"/>
        <v>363.08</v>
      </c>
      <c r="I9" s="768"/>
      <c r="J9" s="638"/>
      <c r="K9" s="768"/>
      <c r="L9" s="638"/>
      <c r="M9" s="638"/>
      <c r="N9" s="109"/>
      <c r="O9" s="535">
        <f t="shared" si="4"/>
        <v>0</v>
      </c>
      <c r="P9" s="109"/>
      <c r="Q9" s="436">
        <f t="shared" si="5"/>
        <v>210.58639999999997</v>
      </c>
      <c r="R9" s="109"/>
      <c r="S9" s="436">
        <f t="shared" si="6"/>
        <v>0</v>
      </c>
      <c r="T9" s="708">
        <f>Elect!BT8</f>
        <v>177</v>
      </c>
      <c r="U9" s="604">
        <f t="shared" si="7"/>
        <v>2.0512994350282483</v>
      </c>
      <c r="V9" s="708">
        <f>Elect!BV8</f>
        <v>0</v>
      </c>
      <c r="W9" s="604" t="e">
        <f t="shared" si="8"/>
        <v>#DIV/0!</v>
      </c>
      <c r="X9" s="429">
        <f>H9*V1</f>
        <v>1452.32</v>
      </c>
      <c r="Y9" s="604">
        <f t="shared" ref="Y9:Y37" si="9">IF(X9&gt;0,X9/T9,0)</f>
        <v>8.2051977401129932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9">
        <v>78982</v>
      </c>
      <c r="C10" s="638">
        <f t="shared" si="0"/>
        <v>179.79999999999998</v>
      </c>
      <c r="D10" s="772">
        <v>155362</v>
      </c>
      <c r="E10" s="638">
        <f t="shared" si="1"/>
        <v>0</v>
      </c>
      <c r="F10" s="768">
        <v>20752</v>
      </c>
      <c r="G10" s="638">
        <f t="shared" si="2"/>
        <v>56.839999999999996</v>
      </c>
      <c r="H10" s="638">
        <f t="shared" si="3"/>
        <v>236.64</v>
      </c>
      <c r="I10" s="768"/>
      <c r="J10" s="638"/>
      <c r="K10" s="768"/>
      <c r="L10" s="638"/>
      <c r="M10" s="638"/>
      <c r="N10" s="109"/>
      <c r="O10" s="535">
        <f t="shared" si="4"/>
        <v>0</v>
      </c>
      <c r="P10" s="109"/>
      <c r="Q10" s="436">
        <f t="shared" si="5"/>
        <v>137.25119999999998</v>
      </c>
      <c r="R10" s="109"/>
      <c r="S10" s="436">
        <f t="shared" si="6"/>
        <v>0</v>
      </c>
      <c r="T10" s="708">
        <f>Elect!BT9</f>
        <v>177</v>
      </c>
      <c r="U10" s="604">
        <f t="shared" si="7"/>
        <v>1.3369491525423729</v>
      </c>
      <c r="V10" s="708">
        <f>Elect!BV9</f>
        <v>0</v>
      </c>
      <c r="W10" s="604" t="e">
        <f t="shared" si="8"/>
        <v>#DIV/0!</v>
      </c>
      <c r="X10" s="429">
        <f>H10*V1</f>
        <v>946.56</v>
      </c>
      <c r="Y10" s="604">
        <f t="shared" si="9"/>
        <v>5.3477966101694916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9">
        <v>79025</v>
      </c>
      <c r="C11" s="638">
        <f t="shared" si="0"/>
        <v>249.39999999999998</v>
      </c>
      <c r="D11" s="772">
        <v>155362</v>
      </c>
      <c r="E11" s="638">
        <f t="shared" si="1"/>
        <v>0</v>
      </c>
      <c r="F11" s="768">
        <v>20865</v>
      </c>
      <c r="G11" s="638">
        <f t="shared" si="2"/>
        <v>65.539999999999992</v>
      </c>
      <c r="H11" s="638">
        <f>C11+E11+G11</f>
        <v>314.93999999999994</v>
      </c>
      <c r="I11" s="768"/>
      <c r="J11" s="638"/>
      <c r="K11" s="768"/>
      <c r="L11" s="638"/>
      <c r="M11" s="638"/>
      <c r="N11" s="109"/>
      <c r="O11" s="535">
        <f t="shared" si="4"/>
        <v>0</v>
      </c>
      <c r="P11" s="109"/>
      <c r="Q11" s="436">
        <f t="shared" si="5"/>
        <v>182.66519999999994</v>
      </c>
      <c r="R11" s="109"/>
      <c r="S11" s="436">
        <f t="shared" si="6"/>
        <v>0</v>
      </c>
      <c r="T11" s="708">
        <f>Elect!BT10</f>
        <v>173</v>
      </c>
      <c r="U11" s="604">
        <f t="shared" si="7"/>
        <v>1.8204624277456645</v>
      </c>
      <c r="V11" s="708">
        <f>Elect!BV10</f>
        <v>0</v>
      </c>
      <c r="W11" s="604" t="e">
        <f t="shared" si="8"/>
        <v>#DIV/0!</v>
      </c>
      <c r="X11" s="429">
        <f>H11*V1</f>
        <v>1259.7599999999998</v>
      </c>
      <c r="Y11" s="604">
        <f t="shared" si="9"/>
        <v>7.2818497109826579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9">
        <v>79067</v>
      </c>
      <c r="C12" s="638">
        <f t="shared" si="0"/>
        <v>243.6</v>
      </c>
      <c r="D12" s="772">
        <v>155362</v>
      </c>
      <c r="E12" s="638">
        <f t="shared" si="1"/>
        <v>0</v>
      </c>
      <c r="F12" s="768">
        <v>20985</v>
      </c>
      <c r="G12" s="638">
        <f t="shared" si="2"/>
        <v>69.599999999999994</v>
      </c>
      <c r="H12" s="638">
        <f t="shared" si="3"/>
        <v>313.2</v>
      </c>
      <c r="I12" s="768"/>
      <c r="J12" s="638"/>
      <c r="K12" s="768"/>
      <c r="L12" s="638"/>
      <c r="M12" s="638"/>
      <c r="N12" s="109"/>
      <c r="O12" s="535">
        <f t="shared" si="4"/>
        <v>0</v>
      </c>
      <c r="P12" s="109"/>
      <c r="Q12" s="436">
        <f t="shared" si="5"/>
        <v>181.65599999999998</v>
      </c>
      <c r="R12" s="109"/>
      <c r="S12" s="436">
        <f t="shared" si="6"/>
        <v>0</v>
      </c>
      <c r="T12" s="708">
        <f>Elect!BT11</f>
        <v>158</v>
      </c>
      <c r="U12" s="604">
        <f t="shared" si="7"/>
        <v>1.9822784810126581</v>
      </c>
      <c r="V12" s="708">
        <f>Elect!BV11</f>
        <v>0</v>
      </c>
      <c r="W12" s="604" t="e">
        <f t="shared" si="8"/>
        <v>#DIV/0!</v>
      </c>
      <c r="X12" s="429">
        <f>H12*V1</f>
        <v>1252.8</v>
      </c>
      <c r="Y12" s="604">
        <f t="shared" si="9"/>
        <v>7.9291139240506325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9">
        <v>79100</v>
      </c>
      <c r="C13" s="638">
        <f t="shared" si="0"/>
        <v>191.39999999999998</v>
      </c>
      <c r="D13" s="772">
        <v>155362</v>
      </c>
      <c r="E13" s="638">
        <f t="shared" si="1"/>
        <v>0</v>
      </c>
      <c r="F13" s="768">
        <v>21154</v>
      </c>
      <c r="G13" s="638">
        <f t="shared" si="2"/>
        <v>98.02</v>
      </c>
      <c r="H13" s="638">
        <f>C13+E13+G13</f>
        <v>289.41999999999996</v>
      </c>
      <c r="I13" s="768"/>
      <c r="J13" s="638"/>
      <c r="K13" s="768"/>
      <c r="L13" s="638"/>
      <c r="M13" s="638"/>
      <c r="N13" s="109"/>
      <c r="O13" s="535">
        <f t="shared" si="4"/>
        <v>0</v>
      </c>
      <c r="P13" s="109"/>
      <c r="Q13" s="436">
        <f t="shared" si="5"/>
        <v>167.86359999999996</v>
      </c>
      <c r="R13" s="109"/>
      <c r="S13" s="436">
        <f t="shared" si="6"/>
        <v>0</v>
      </c>
      <c r="T13" s="708">
        <f>Elect!BT12</f>
        <v>171</v>
      </c>
      <c r="U13" s="604">
        <f t="shared" si="7"/>
        <v>1.6925146198830407</v>
      </c>
      <c r="V13" s="708">
        <f>Elect!BV12</f>
        <v>0</v>
      </c>
      <c r="W13" s="604" t="e">
        <f t="shared" si="8"/>
        <v>#DIV/0!</v>
      </c>
      <c r="X13" s="429">
        <f>H13*V1</f>
        <v>1157.6799999999998</v>
      </c>
      <c r="Y13" s="604">
        <f t="shared" si="9"/>
        <v>6.770058479532163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9">
        <v>79132</v>
      </c>
      <c r="C14" s="638">
        <f t="shared" si="0"/>
        <v>185.6</v>
      </c>
      <c r="D14" s="772">
        <v>155362</v>
      </c>
      <c r="E14" s="638">
        <f t="shared" si="1"/>
        <v>0</v>
      </c>
      <c r="F14" s="768">
        <v>21451</v>
      </c>
      <c r="G14" s="638">
        <f t="shared" si="2"/>
        <v>172.26</v>
      </c>
      <c r="H14" s="638">
        <f t="shared" si="3"/>
        <v>357.86</v>
      </c>
      <c r="I14" s="768"/>
      <c r="J14" s="638"/>
      <c r="K14" s="768"/>
      <c r="L14" s="638"/>
      <c r="M14" s="638"/>
      <c r="N14" s="109"/>
      <c r="O14" s="535">
        <f t="shared" si="4"/>
        <v>0</v>
      </c>
      <c r="P14" s="109"/>
      <c r="Q14" s="436">
        <f t="shared" si="5"/>
        <v>207.55879999999999</v>
      </c>
      <c r="R14" s="109"/>
      <c r="S14" s="436">
        <f t="shared" si="6"/>
        <v>0</v>
      </c>
      <c r="T14" s="708">
        <f>Elect!BT13</f>
        <v>195</v>
      </c>
      <c r="U14" s="604">
        <f t="shared" si="7"/>
        <v>1.8351794871794873</v>
      </c>
      <c r="V14" s="708">
        <f>Elect!BV13</f>
        <v>0</v>
      </c>
      <c r="W14" s="604" t="e">
        <f t="shared" si="8"/>
        <v>#DIV/0!</v>
      </c>
      <c r="X14" s="429">
        <f>H14*V1</f>
        <v>1431.44</v>
      </c>
      <c r="Y14" s="604">
        <f t="shared" si="9"/>
        <v>7.3407179487179492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9">
        <v>79165</v>
      </c>
      <c r="C15" s="638">
        <f t="shared" si="0"/>
        <v>191.39999999999998</v>
      </c>
      <c r="D15" s="772">
        <v>155362</v>
      </c>
      <c r="E15" s="638">
        <f t="shared" si="1"/>
        <v>0</v>
      </c>
      <c r="F15" s="768">
        <v>21663</v>
      </c>
      <c r="G15" s="638">
        <f t="shared" ref="G15:G37" si="11">IF(F15&gt;=F14,F15-F14,0)*0.58</f>
        <v>122.96</v>
      </c>
      <c r="H15" s="638">
        <f t="shared" si="3"/>
        <v>314.35999999999996</v>
      </c>
      <c r="I15" s="768"/>
      <c r="J15" s="638"/>
      <c r="K15" s="768"/>
      <c r="L15" s="638"/>
      <c r="M15" s="638"/>
      <c r="N15" s="109"/>
      <c r="O15" s="535">
        <f t="shared" si="4"/>
        <v>0</v>
      </c>
      <c r="P15" s="109"/>
      <c r="Q15" s="436">
        <f t="shared" si="5"/>
        <v>182.32879999999997</v>
      </c>
      <c r="R15" s="109"/>
      <c r="S15" s="436">
        <f t="shared" si="6"/>
        <v>0</v>
      </c>
      <c r="T15" s="708">
        <f>Elect!BT14</f>
        <v>178</v>
      </c>
      <c r="U15" s="604">
        <f t="shared" si="7"/>
        <v>1.7660674157303369</v>
      </c>
      <c r="V15" s="708">
        <f>Elect!BV14</f>
        <v>0</v>
      </c>
      <c r="W15" s="604" t="e">
        <f t="shared" si="8"/>
        <v>#DIV/0!</v>
      </c>
      <c r="X15" s="429">
        <f>H15*V1</f>
        <v>1257.4399999999998</v>
      </c>
      <c r="Y15" s="604">
        <f t="shared" si="9"/>
        <v>7.0642696629213475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9">
        <v>79197</v>
      </c>
      <c r="C16" s="638">
        <f t="shared" si="0"/>
        <v>185.6</v>
      </c>
      <c r="D16" s="772">
        <v>155362</v>
      </c>
      <c r="E16" s="638">
        <f t="shared" ref="E16:E28" si="12">IF(D16&gt;=D15,D16-D15,0)*10*0.58</f>
        <v>0</v>
      </c>
      <c r="F16" s="768">
        <v>21790</v>
      </c>
      <c r="G16" s="638">
        <f t="shared" si="11"/>
        <v>73.66</v>
      </c>
      <c r="H16" s="638">
        <f t="shared" si="3"/>
        <v>259.26</v>
      </c>
      <c r="I16" s="768"/>
      <c r="J16" s="638"/>
      <c r="K16" s="768"/>
      <c r="L16" s="638"/>
      <c r="M16" s="638"/>
      <c r="N16" s="109"/>
      <c r="O16" s="535">
        <f t="shared" si="4"/>
        <v>0</v>
      </c>
      <c r="P16" s="109"/>
      <c r="Q16" s="436">
        <f t="shared" si="5"/>
        <v>150.37079999999997</v>
      </c>
      <c r="R16" s="109"/>
      <c r="S16" s="436">
        <f t="shared" si="6"/>
        <v>0</v>
      </c>
      <c r="T16" s="708">
        <f>Elect!BT15</f>
        <v>135</v>
      </c>
      <c r="U16" s="604">
        <f t="shared" si="7"/>
        <v>1.9204444444444444</v>
      </c>
      <c r="V16" s="708">
        <f>Elect!BV15</f>
        <v>0</v>
      </c>
      <c r="W16" s="604" t="e">
        <f t="shared" si="8"/>
        <v>#DIV/0!</v>
      </c>
      <c r="X16" s="429">
        <f>H16*V1</f>
        <v>1037.04</v>
      </c>
      <c r="Y16" s="604">
        <f t="shared" si="9"/>
        <v>7.6817777777777776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9">
        <v>79235</v>
      </c>
      <c r="C17" s="638">
        <f t="shared" si="0"/>
        <v>220.39999999999998</v>
      </c>
      <c r="D17" s="772">
        <v>155362</v>
      </c>
      <c r="E17" s="638">
        <f t="shared" si="12"/>
        <v>0</v>
      </c>
      <c r="F17" s="768">
        <v>21915</v>
      </c>
      <c r="G17" s="638">
        <f t="shared" si="11"/>
        <v>72.5</v>
      </c>
      <c r="H17" s="638">
        <f t="shared" si="3"/>
        <v>292.89999999999998</v>
      </c>
      <c r="I17" s="768"/>
      <c r="J17" s="638"/>
      <c r="K17" s="768"/>
      <c r="L17" s="638"/>
      <c r="M17" s="638"/>
      <c r="N17" s="109"/>
      <c r="O17" s="535">
        <f t="shared" si="4"/>
        <v>0</v>
      </c>
      <c r="P17" s="109"/>
      <c r="Q17" s="436">
        <f t="shared" si="5"/>
        <v>169.88199999999998</v>
      </c>
      <c r="R17" s="109"/>
      <c r="S17" s="436">
        <f t="shared" si="6"/>
        <v>0</v>
      </c>
      <c r="T17" s="708">
        <f>Elect!BT16</f>
        <v>123</v>
      </c>
      <c r="U17" s="604">
        <f t="shared" si="7"/>
        <v>2.3813008130081297</v>
      </c>
      <c r="V17" s="708">
        <f>Elect!BV16</f>
        <v>0</v>
      </c>
      <c r="W17" s="604" t="e">
        <f t="shared" si="8"/>
        <v>#DIV/0!</v>
      </c>
      <c r="X17" s="429">
        <f>H17*V1</f>
        <v>1171.5999999999999</v>
      </c>
      <c r="Y17" s="604">
        <f t="shared" si="9"/>
        <v>9.5252032520325187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9">
        <v>79253</v>
      </c>
      <c r="C18" s="638">
        <f t="shared" si="0"/>
        <v>104.39999999999999</v>
      </c>
      <c r="D18" s="772">
        <v>155362</v>
      </c>
      <c r="E18" s="638">
        <f t="shared" si="12"/>
        <v>0</v>
      </c>
      <c r="F18" s="768">
        <v>22012</v>
      </c>
      <c r="G18" s="638">
        <f t="shared" si="11"/>
        <v>56.26</v>
      </c>
      <c r="H18" s="638">
        <f t="shared" si="3"/>
        <v>160.66</v>
      </c>
      <c r="I18" s="768"/>
      <c r="J18" s="638"/>
      <c r="K18" s="768"/>
      <c r="L18" s="638"/>
      <c r="M18" s="638"/>
      <c r="N18" s="109"/>
      <c r="O18" s="535">
        <f t="shared" si="4"/>
        <v>0</v>
      </c>
      <c r="P18" s="109"/>
      <c r="Q18" s="436">
        <f t="shared" si="5"/>
        <v>93.182799999999986</v>
      </c>
      <c r="R18" s="109"/>
      <c r="S18" s="436">
        <f t="shared" si="6"/>
        <v>0</v>
      </c>
      <c r="T18" s="708">
        <f>Elect!BT17</f>
        <v>118</v>
      </c>
      <c r="U18" s="604">
        <f t="shared" si="7"/>
        <v>1.3615254237288135</v>
      </c>
      <c r="V18" s="708">
        <f>Elect!BV17</f>
        <v>0</v>
      </c>
      <c r="W18" s="604" t="e">
        <f t="shared" si="8"/>
        <v>#DIV/0!</v>
      </c>
      <c r="X18" s="429">
        <f>H18*V1</f>
        <v>642.64</v>
      </c>
      <c r="Y18" s="604">
        <f t="shared" si="9"/>
        <v>5.4461016949152539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9">
        <v>79300</v>
      </c>
      <c r="C19" s="638">
        <f t="shared" si="0"/>
        <v>272.59999999999997</v>
      </c>
      <c r="D19" s="772">
        <v>155362</v>
      </c>
      <c r="E19" s="638">
        <f t="shared" si="12"/>
        <v>0</v>
      </c>
      <c r="F19" s="768">
        <v>22229</v>
      </c>
      <c r="G19" s="638">
        <f t="shared" si="11"/>
        <v>125.85999999999999</v>
      </c>
      <c r="H19" s="638">
        <f t="shared" si="3"/>
        <v>398.45999999999992</v>
      </c>
      <c r="I19" s="768"/>
      <c r="J19" s="638"/>
      <c r="K19" s="768"/>
      <c r="L19" s="638"/>
      <c r="M19" s="638"/>
      <c r="N19" s="109"/>
      <c r="O19" s="535">
        <f t="shared" si="4"/>
        <v>0</v>
      </c>
      <c r="P19" s="109"/>
      <c r="Q19" s="436">
        <f t="shared" si="5"/>
        <v>231.10679999999994</v>
      </c>
      <c r="R19" s="109"/>
      <c r="S19" s="436">
        <f t="shared" si="6"/>
        <v>0</v>
      </c>
      <c r="T19" s="708">
        <f>Elect!BT18</f>
        <v>120</v>
      </c>
      <c r="U19" s="604">
        <f t="shared" si="7"/>
        <v>3.3204999999999996</v>
      </c>
      <c r="V19" s="708">
        <f>Elect!BV18</f>
        <v>0</v>
      </c>
      <c r="W19" s="604" t="e">
        <f t="shared" si="8"/>
        <v>#DIV/0!</v>
      </c>
      <c r="X19" s="429">
        <f>H19*V1</f>
        <v>1593.8399999999997</v>
      </c>
      <c r="Y19" s="604">
        <f t="shared" si="9"/>
        <v>13.281999999999998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9">
        <v>79335</v>
      </c>
      <c r="C20" s="638">
        <f t="shared" si="0"/>
        <v>203</v>
      </c>
      <c r="D20" s="772">
        <v>155362</v>
      </c>
      <c r="E20" s="638">
        <f t="shared" si="12"/>
        <v>0</v>
      </c>
      <c r="F20" s="768">
        <v>22395</v>
      </c>
      <c r="G20" s="638">
        <f t="shared" si="11"/>
        <v>96.279999999999987</v>
      </c>
      <c r="H20" s="638">
        <f t="shared" si="3"/>
        <v>299.27999999999997</v>
      </c>
      <c r="I20" s="768"/>
      <c r="J20" s="638"/>
      <c r="K20" s="768"/>
      <c r="L20" s="638"/>
      <c r="M20" s="638"/>
      <c r="N20" s="109"/>
      <c r="O20" s="535">
        <f t="shared" si="4"/>
        <v>0</v>
      </c>
      <c r="P20" s="109"/>
      <c r="Q20" s="436">
        <f t="shared" si="5"/>
        <v>173.58239999999998</v>
      </c>
      <c r="R20" s="109"/>
      <c r="S20" s="436">
        <f t="shared" si="6"/>
        <v>0</v>
      </c>
      <c r="T20" s="708">
        <f>Elect!BT19</f>
        <v>124</v>
      </c>
      <c r="U20" s="604">
        <f t="shared" si="7"/>
        <v>2.4135483870967738</v>
      </c>
      <c r="V20" s="708">
        <f>Elect!BV19</f>
        <v>0</v>
      </c>
      <c r="W20" s="604" t="e">
        <f t="shared" si="8"/>
        <v>#DIV/0!</v>
      </c>
      <c r="X20" s="429">
        <f>H20*V1</f>
        <v>1197.1199999999999</v>
      </c>
      <c r="Y20" s="604">
        <f t="shared" si="9"/>
        <v>9.6541935483870951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9">
        <v>79371</v>
      </c>
      <c r="C21" s="638">
        <f t="shared" si="0"/>
        <v>208.79999999999998</v>
      </c>
      <c r="D21" s="772">
        <v>155362</v>
      </c>
      <c r="E21" s="638">
        <f t="shared" si="12"/>
        <v>0</v>
      </c>
      <c r="F21" s="768">
        <v>22572</v>
      </c>
      <c r="G21" s="638">
        <f t="shared" si="11"/>
        <v>102.66</v>
      </c>
      <c r="H21" s="638">
        <f t="shared" si="3"/>
        <v>311.45999999999998</v>
      </c>
      <c r="I21" s="768"/>
      <c r="J21" s="638"/>
      <c r="K21" s="768"/>
      <c r="L21" s="638"/>
      <c r="M21" s="638"/>
      <c r="N21" s="109"/>
      <c r="O21" s="535">
        <f t="shared" si="4"/>
        <v>0</v>
      </c>
      <c r="P21" s="109"/>
      <c r="Q21" s="436">
        <f t="shared" si="5"/>
        <v>180.64679999999998</v>
      </c>
      <c r="R21" s="109"/>
      <c r="S21" s="436">
        <f t="shared" si="6"/>
        <v>0</v>
      </c>
      <c r="T21" s="708">
        <f>Elect!BT20</f>
        <v>116</v>
      </c>
      <c r="U21" s="604">
        <f t="shared" si="7"/>
        <v>2.6849999999999996</v>
      </c>
      <c r="V21" s="708">
        <f>Elect!BV20</f>
        <v>0</v>
      </c>
      <c r="W21" s="604" t="e">
        <f t="shared" si="8"/>
        <v>#DIV/0!</v>
      </c>
      <c r="X21" s="429">
        <f>H21*V1</f>
        <v>1245.8399999999999</v>
      </c>
      <c r="Y21" s="604">
        <f t="shared" si="9"/>
        <v>10.739999999999998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9">
        <v>79406</v>
      </c>
      <c r="C22" s="638">
        <f t="shared" ref="C22:C35" si="13">IF(B22&gt;=B21,B22-B21,0)*10*0.58</f>
        <v>203</v>
      </c>
      <c r="D22" s="772">
        <v>155362</v>
      </c>
      <c r="E22" s="638">
        <f t="shared" si="12"/>
        <v>0</v>
      </c>
      <c r="F22" s="768">
        <v>22751</v>
      </c>
      <c r="G22" s="638">
        <f t="shared" ref="G22:G35" si="14">IF(F22&gt;=F21,F22-F21,0)*0.58</f>
        <v>103.82</v>
      </c>
      <c r="H22" s="638">
        <f t="shared" si="3"/>
        <v>306.82</v>
      </c>
      <c r="I22" s="768"/>
      <c r="J22" s="638"/>
      <c r="K22" s="768"/>
      <c r="L22" s="638"/>
      <c r="M22" s="638"/>
      <c r="N22" s="109"/>
      <c r="O22" s="535">
        <f t="shared" si="4"/>
        <v>0</v>
      </c>
      <c r="P22" s="109"/>
      <c r="Q22" s="436">
        <f t="shared" si="5"/>
        <v>177.95559999999998</v>
      </c>
      <c r="R22" s="109"/>
      <c r="S22" s="436">
        <f t="shared" si="6"/>
        <v>0</v>
      </c>
      <c r="T22" s="708">
        <f>Elect!BT21</f>
        <v>161</v>
      </c>
      <c r="U22" s="604">
        <f t="shared" si="7"/>
        <v>1.9057142857142857</v>
      </c>
      <c r="V22" s="708">
        <f>Elect!BV21</f>
        <v>0</v>
      </c>
      <c r="W22" s="604" t="e">
        <f t="shared" si="8"/>
        <v>#DIV/0!</v>
      </c>
      <c r="X22" s="429">
        <f>H22*V1</f>
        <v>1227.28</v>
      </c>
      <c r="Y22" s="604">
        <f t="shared" si="9"/>
        <v>7.6228571428571428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9">
        <v>79441</v>
      </c>
      <c r="C23" s="638">
        <f t="shared" si="13"/>
        <v>203</v>
      </c>
      <c r="D23" s="772">
        <v>155362</v>
      </c>
      <c r="E23" s="638">
        <f t="shared" si="12"/>
        <v>0</v>
      </c>
      <c r="F23" s="768">
        <v>22874</v>
      </c>
      <c r="G23" s="638">
        <f t="shared" si="14"/>
        <v>71.339999999999989</v>
      </c>
      <c r="H23" s="638">
        <f t="shared" si="3"/>
        <v>274.33999999999997</v>
      </c>
      <c r="I23" s="768"/>
      <c r="J23" s="638"/>
      <c r="K23" s="768"/>
      <c r="L23" s="638"/>
      <c r="M23" s="638"/>
      <c r="N23" s="109"/>
      <c r="O23" s="535">
        <f t="shared" si="4"/>
        <v>0</v>
      </c>
      <c r="P23" s="109"/>
      <c r="Q23" s="436">
        <f t="shared" si="5"/>
        <v>159.11719999999997</v>
      </c>
      <c r="R23" s="109"/>
      <c r="S23" s="436">
        <f t="shared" si="6"/>
        <v>0</v>
      </c>
      <c r="T23" s="708">
        <f>Elect!BT22</f>
        <v>156</v>
      </c>
      <c r="U23" s="604">
        <f t="shared" si="7"/>
        <v>1.7585897435897435</v>
      </c>
      <c r="V23" s="708">
        <f>Elect!BV22</f>
        <v>0</v>
      </c>
      <c r="W23" s="604" t="e">
        <f t="shared" si="8"/>
        <v>#DIV/0!</v>
      </c>
      <c r="X23" s="429">
        <f>H23*V1</f>
        <v>1097.3599999999999</v>
      </c>
      <c r="Y23" s="604">
        <f t="shared" si="9"/>
        <v>7.0343589743589741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9">
        <v>79476</v>
      </c>
      <c r="C24" s="638">
        <f t="shared" si="13"/>
        <v>203</v>
      </c>
      <c r="D24" s="772">
        <v>155362</v>
      </c>
      <c r="E24" s="638">
        <f t="shared" si="12"/>
        <v>0</v>
      </c>
      <c r="F24" s="768">
        <v>23031</v>
      </c>
      <c r="G24" s="638">
        <f t="shared" si="14"/>
        <v>91.059999999999988</v>
      </c>
      <c r="H24" s="638">
        <f t="shared" si="3"/>
        <v>294.06</v>
      </c>
      <c r="I24" s="768"/>
      <c r="J24" s="638"/>
      <c r="K24" s="768"/>
      <c r="L24" s="638"/>
      <c r="M24" s="638"/>
      <c r="N24" s="109"/>
      <c r="O24" s="535">
        <f t="shared" si="4"/>
        <v>0</v>
      </c>
      <c r="P24" s="109"/>
      <c r="Q24" s="436">
        <f t="shared" si="5"/>
        <v>170.5548</v>
      </c>
      <c r="R24" s="109"/>
      <c r="S24" s="436">
        <f t="shared" si="6"/>
        <v>0</v>
      </c>
      <c r="T24" s="708">
        <f>Elect!BT23</f>
        <v>153</v>
      </c>
      <c r="U24" s="604">
        <f t="shared" si="7"/>
        <v>1.9219607843137254</v>
      </c>
      <c r="V24" s="708">
        <f>Elect!BV23</f>
        <v>0</v>
      </c>
      <c r="W24" s="604" t="e">
        <f t="shared" si="8"/>
        <v>#DIV/0!</v>
      </c>
      <c r="X24" s="429">
        <f>H24*V1</f>
        <v>1176.24</v>
      </c>
      <c r="Y24" s="604">
        <f t="shared" si="9"/>
        <v>7.6878431372549016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9">
        <v>79511</v>
      </c>
      <c r="C25" s="638">
        <f t="shared" si="13"/>
        <v>203</v>
      </c>
      <c r="D25" s="772">
        <v>155362</v>
      </c>
      <c r="E25" s="638">
        <f t="shared" si="12"/>
        <v>0</v>
      </c>
      <c r="F25" s="768">
        <v>23189</v>
      </c>
      <c r="G25" s="638">
        <f t="shared" si="14"/>
        <v>91.64</v>
      </c>
      <c r="H25" s="638">
        <f t="shared" si="3"/>
        <v>294.64</v>
      </c>
      <c r="I25" s="768"/>
      <c r="J25" s="638"/>
      <c r="K25" s="768"/>
      <c r="L25" s="638"/>
      <c r="M25" s="638"/>
      <c r="N25" s="109"/>
      <c r="O25" s="535">
        <f t="shared" si="4"/>
        <v>0</v>
      </c>
      <c r="P25" s="109"/>
      <c r="Q25" s="436">
        <f t="shared" si="5"/>
        <v>170.89119999999997</v>
      </c>
      <c r="R25" s="109"/>
      <c r="S25" s="436">
        <f t="shared" si="6"/>
        <v>0</v>
      </c>
      <c r="T25" s="708">
        <f>Elect!BT24</f>
        <v>160</v>
      </c>
      <c r="U25" s="604">
        <f t="shared" si="7"/>
        <v>1.8414999999999999</v>
      </c>
      <c r="V25" s="708">
        <f>Elect!BV24</f>
        <v>0</v>
      </c>
      <c r="W25" s="604" t="e">
        <f t="shared" si="8"/>
        <v>#DIV/0!</v>
      </c>
      <c r="X25" s="429">
        <f>H25*V1</f>
        <v>1178.56</v>
      </c>
      <c r="Y25" s="604">
        <f t="shared" si="9"/>
        <v>7.3659999999999997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9">
        <v>79546</v>
      </c>
      <c r="C26" s="638">
        <f t="shared" si="13"/>
        <v>203</v>
      </c>
      <c r="D26" s="772">
        <v>155362</v>
      </c>
      <c r="E26" s="638">
        <f t="shared" si="12"/>
        <v>0</v>
      </c>
      <c r="F26" s="768">
        <v>23349</v>
      </c>
      <c r="G26" s="638">
        <f t="shared" si="14"/>
        <v>92.8</v>
      </c>
      <c r="H26" s="638">
        <f t="shared" si="3"/>
        <v>295.8</v>
      </c>
      <c r="I26" s="768"/>
      <c r="J26" s="638"/>
      <c r="K26" s="768"/>
      <c r="L26" s="638"/>
      <c r="M26" s="638"/>
      <c r="N26" s="109"/>
      <c r="O26" s="535">
        <f t="shared" si="4"/>
        <v>0</v>
      </c>
      <c r="P26" s="109"/>
      <c r="Q26" s="436">
        <f t="shared" si="5"/>
        <v>171.56399999999999</v>
      </c>
      <c r="R26" s="109"/>
      <c r="S26" s="436">
        <f t="shared" si="6"/>
        <v>0</v>
      </c>
      <c r="T26" s="708">
        <f>Elect!BT25</f>
        <v>223</v>
      </c>
      <c r="U26" s="604">
        <f t="shared" si="7"/>
        <v>1.326457399103139</v>
      </c>
      <c r="V26" s="708">
        <f>Elect!BV25</f>
        <v>0</v>
      </c>
      <c r="W26" s="604" t="e">
        <f t="shared" si="8"/>
        <v>#DIV/0!</v>
      </c>
      <c r="X26" s="429">
        <f>H26*V1</f>
        <v>1183.2</v>
      </c>
      <c r="Y26" s="604">
        <f t="shared" si="9"/>
        <v>5.3058295964125559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9">
        <v>79581</v>
      </c>
      <c r="C27" s="638">
        <f t="shared" si="13"/>
        <v>203</v>
      </c>
      <c r="D27" s="772">
        <v>155362</v>
      </c>
      <c r="E27" s="638">
        <f t="shared" si="12"/>
        <v>0</v>
      </c>
      <c r="F27" s="768">
        <v>23504</v>
      </c>
      <c r="G27" s="638">
        <f t="shared" si="14"/>
        <v>89.899999999999991</v>
      </c>
      <c r="H27" s="638">
        <f t="shared" si="3"/>
        <v>292.89999999999998</v>
      </c>
      <c r="I27" s="768"/>
      <c r="J27" s="638"/>
      <c r="K27" s="768"/>
      <c r="L27" s="638"/>
      <c r="M27" s="638"/>
      <c r="N27" s="109"/>
      <c r="O27" s="535">
        <f t="shared" si="4"/>
        <v>0</v>
      </c>
      <c r="P27" s="109"/>
      <c r="Q27" s="436">
        <f t="shared" si="5"/>
        <v>169.88199999999998</v>
      </c>
      <c r="R27" s="109"/>
      <c r="S27" s="436">
        <f t="shared" si="6"/>
        <v>0</v>
      </c>
      <c r="T27" s="708">
        <f>Elect!BT26</f>
        <v>237</v>
      </c>
      <c r="U27" s="604">
        <f t="shared" si="7"/>
        <v>1.2358649789029534</v>
      </c>
      <c r="V27" s="708">
        <f>Elect!BV26</f>
        <v>0</v>
      </c>
      <c r="W27" s="604" t="e">
        <f t="shared" si="8"/>
        <v>#DIV/0!</v>
      </c>
      <c r="X27" s="429">
        <f>H27*V1</f>
        <v>1171.5999999999999</v>
      </c>
      <c r="Y27" s="604">
        <f t="shared" si="9"/>
        <v>4.9434599156118137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9">
        <v>79616</v>
      </c>
      <c r="C28" s="638">
        <f t="shared" si="13"/>
        <v>203</v>
      </c>
      <c r="D28" s="772">
        <v>155362</v>
      </c>
      <c r="E28" s="638">
        <f t="shared" si="12"/>
        <v>0</v>
      </c>
      <c r="F28" s="768">
        <v>23662</v>
      </c>
      <c r="G28" s="638">
        <f t="shared" si="14"/>
        <v>91.64</v>
      </c>
      <c r="H28" s="638">
        <f t="shared" si="3"/>
        <v>294.64</v>
      </c>
      <c r="I28" s="768"/>
      <c r="J28" s="638"/>
      <c r="K28" s="768"/>
      <c r="L28" s="638"/>
      <c r="M28" s="638"/>
      <c r="N28" s="109"/>
      <c r="O28" s="535">
        <f t="shared" si="4"/>
        <v>0</v>
      </c>
      <c r="P28" s="109"/>
      <c r="Q28" s="436">
        <f t="shared" si="5"/>
        <v>170.89119999999997</v>
      </c>
      <c r="R28" s="109"/>
      <c r="S28" s="436">
        <f t="shared" si="6"/>
        <v>0</v>
      </c>
      <c r="T28" s="708">
        <f>Elect!BT27</f>
        <v>249</v>
      </c>
      <c r="U28" s="604">
        <f t="shared" si="7"/>
        <v>1.183293172690763</v>
      </c>
      <c r="V28" s="708">
        <f>Elect!BV27</f>
        <v>0</v>
      </c>
      <c r="W28" s="604" t="e">
        <f t="shared" si="8"/>
        <v>#DIV/0!</v>
      </c>
      <c r="X28" s="429">
        <f>H28*V1</f>
        <v>1178.56</v>
      </c>
      <c r="Y28" s="604">
        <f t="shared" si="9"/>
        <v>4.7331726907630518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9">
        <v>79651</v>
      </c>
      <c r="C29" s="638">
        <f t="shared" si="13"/>
        <v>203</v>
      </c>
      <c r="D29" s="772">
        <v>155362</v>
      </c>
      <c r="E29" s="638">
        <f t="shared" ref="E29:E30" si="15">IF(D29&gt;=D28,D29-D28,0)*10*0.58</f>
        <v>0</v>
      </c>
      <c r="F29" s="768">
        <v>23899</v>
      </c>
      <c r="G29" s="638">
        <f t="shared" si="14"/>
        <v>137.45999999999998</v>
      </c>
      <c r="H29" s="638">
        <f t="shared" si="3"/>
        <v>340.46</v>
      </c>
      <c r="I29" s="768"/>
      <c r="J29" s="638"/>
      <c r="K29" s="768"/>
      <c r="L29" s="638"/>
      <c r="M29" s="638"/>
      <c r="N29" s="109"/>
      <c r="O29" s="535">
        <f t="shared" si="4"/>
        <v>0</v>
      </c>
      <c r="P29" s="109"/>
      <c r="Q29" s="436">
        <f t="shared" si="5"/>
        <v>197.46679999999998</v>
      </c>
      <c r="R29" s="458"/>
      <c r="S29" s="436">
        <f t="shared" si="6"/>
        <v>0</v>
      </c>
      <c r="T29" s="708">
        <f>Elect!BT28</f>
        <v>237</v>
      </c>
      <c r="U29" s="604">
        <f t="shared" si="7"/>
        <v>1.4365400843881855</v>
      </c>
      <c r="V29" s="708">
        <f>Elect!BV28</f>
        <v>0</v>
      </c>
      <c r="W29" s="604" t="e">
        <f t="shared" si="8"/>
        <v>#DIV/0!</v>
      </c>
      <c r="X29" s="429">
        <f>H29*V1</f>
        <v>1361.84</v>
      </c>
      <c r="Y29" s="604">
        <f t="shared" si="9"/>
        <v>5.7461603375527419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9">
        <v>79695</v>
      </c>
      <c r="C30" s="638">
        <f t="shared" si="13"/>
        <v>255.2</v>
      </c>
      <c r="D30" s="772">
        <v>155363</v>
      </c>
      <c r="E30" s="638">
        <f t="shared" si="15"/>
        <v>5.8</v>
      </c>
      <c r="F30" s="768">
        <v>24506</v>
      </c>
      <c r="G30" s="638">
        <f t="shared" si="14"/>
        <v>352.06</v>
      </c>
      <c r="H30" s="638">
        <f t="shared" si="3"/>
        <v>613.05999999999995</v>
      </c>
      <c r="I30" s="768"/>
      <c r="J30" s="638"/>
      <c r="K30" s="768"/>
      <c r="L30" s="638"/>
      <c r="M30" s="638"/>
      <c r="N30" s="109"/>
      <c r="O30" s="535">
        <f t="shared" si="4"/>
        <v>0</v>
      </c>
      <c r="P30" s="109"/>
      <c r="Q30" s="436">
        <f t="shared" si="5"/>
        <v>355.57479999999993</v>
      </c>
      <c r="R30" s="458"/>
      <c r="S30" s="436">
        <f t="shared" si="6"/>
        <v>0</v>
      </c>
      <c r="T30" s="708">
        <f>Elect!BT29</f>
        <v>202</v>
      </c>
      <c r="U30" s="604">
        <f t="shared" si="7"/>
        <v>3.0349504950495048</v>
      </c>
      <c r="V30" s="708">
        <f>Elect!BV29</f>
        <v>0</v>
      </c>
      <c r="W30" s="604" t="e">
        <f t="shared" si="8"/>
        <v>#DIV/0!</v>
      </c>
      <c r="X30" s="429">
        <f>H30*V1</f>
        <v>2452.2399999999998</v>
      </c>
      <c r="Y30" s="604">
        <f t="shared" si="9"/>
        <v>12.139801980198019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9">
        <v>79751</v>
      </c>
      <c r="C31" s="638">
        <f t="shared" si="13"/>
        <v>324.79999999999995</v>
      </c>
      <c r="D31" s="772">
        <v>155363</v>
      </c>
      <c r="E31" s="638">
        <f t="shared" ref="E31:E37" si="16">IF(D31&gt;=D30,D31-D30,0)*10*0.58</f>
        <v>0</v>
      </c>
      <c r="F31" s="768">
        <v>24700</v>
      </c>
      <c r="G31" s="638">
        <f t="shared" si="14"/>
        <v>112.52</v>
      </c>
      <c r="H31" s="638">
        <f t="shared" si="3"/>
        <v>437.31999999999994</v>
      </c>
      <c r="I31" s="768"/>
      <c r="J31" s="638"/>
      <c r="K31" s="768"/>
      <c r="L31" s="638"/>
      <c r="M31" s="638"/>
      <c r="N31" s="109"/>
      <c r="O31" s="535">
        <f t="shared" si="4"/>
        <v>0</v>
      </c>
      <c r="P31" s="109"/>
      <c r="Q31" s="436">
        <f t="shared" si="5"/>
        <v>253.64559999999994</v>
      </c>
      <c r="R31" s="458"/>
      <c r="S31" s="436">
        <f t="shared" si="6"/>
        <v>0</v>
      </c>
      <c r="T31" s="708">
        <f>Elect!BT30</f>
        <v>178</v>
      </c>
      <c r="U31" s="604">
        <f t="shared" si="7"/>
        <v>2.4568539325842691</v>
      </c>
      <c r="V31" s="708">
        <f>Elect!BV30</f>
        <v>0</v>
      </c>
      <c r="W31" s="604" t="e">
        <f t="shared" si="8"/>
        <v>#DIV/0!</v>
      </c>
      <c r="X31" s="429">
        <f>H31*V1</f>
        <v>1749.2799999999997</v>
      </c>
      <c r="Y31" s="604">
        <f t="shared" si="9"/>
        <v>9.8274157303370764</v>
      </c>
      <c r="Z31" s="607" t="e">
        <f t="shared" ref="Z31:Z37" si="17">IF(X31&gt;0,X31/V31,0)</f>
        <v>#DIV/0!</v>
      </c>
    </row>
    <row r="32" spans="1:26" s="3" customFormat="1" ht="36.75" customHeight="1">
      <c r="A32" s="595">
        <v>26</v>
      </c>
      <c r="B32" s="769">
        <v>79796</v>
      </c>
      <c r="C32" s="638">
        <f t="shared" si="13"/>
        <v>261</v>
      </c>
      <c r="D32" s="772">
        <v>155363</v>
      </c>
      <c r="E32" s="638">
        <f t="shared" si="16"/>
        <v>0</v>
      </c>
      <c r="F32" s="768">
        <v>24700</v>
      </c>
      <c r="G32" s="638">
        <f t="shared" si="14"/>
        <v>0</v>
      </c>
      <c r="H32" s="638">
        <f t="shared" si="3"/>
        <v>261</v>
      </c>
      <c r="I32" s="768"/>
      <c r="J32" s="638"/>
      <c r="K32" s="768"/>
      <c r="L32" s="638"/>
      <c r="M32" s="638"/>
      <c r="N32" s="109"/>
      <c r="O32" s="535">
        <f t="shared" si="4"/>
        <v>0</v>
      </c>
      <c r="P32" s="109"/>
      <c r="Q32" s="436">
        <f t="shared" si="5"/>
        <v>151.38</v>
      </c>
      <c r="R32" s="458"/>
      <c r="S32" s="436">
        <f t="shared" si="6"/>
        <v>0</v>
      </c>
      <c r="T32" s="708">
        <f>Elect!BT31</f>
        <v>190</v>
      </c>
      <c r="U32" s="604">
        <f t="shared" si="7"/>
        <v>1.3736842105263158</v>
      </c>
      <c r="V32" s="708">
        <f>Elect!BV31</f>
        <v>0</v>
      </c>
      <c r="W32" s="604" t="e">
        <f t="shared" si="8"/>
        <v>#DIV/0!</v>
      </c>
      <c r="X32" s="429">
        <f>H32*V1</f>
        <v>1044</v>
      </c>
      <c r="Y32" s="604">
        <f t="shared" si="9"/>
        <v>5.4947368421052634</v>
      </c>
      <c r="Z32" s="607" t="e">
        <f t="shared" si="17"/>
        <v>#DIV/0!</v>
      </c>
    </row>
    <row r="33" spans="1:26" s="3" customFormat="1" ht="36.75" customHeight="1">
      <c r="A33" s="596">
        <v>27</v>
      </c>
      <c r="B33" s="769">
        <v>79846</v>
      </c>
      <c r="C33" s="638">
        <f t="shared" si="13"/>
        <v>290</v>
      </c>
      <c r="D33" s="772">
        <v>155363</v>
      </c>
      <c r="E33" s="638">
        <f t="shared" si="16"/>
        <v>0</v>
      </c>
      <c r="F33" s="768">
        <v>24700</v>
      </c>
      <c r="G33" s="638">
        <f t="shared" si="14"/>
        <v>0</v>
      </c>
      <c r="H33" s="638">
        <f t="shared" si="3"/>
        <v>290</v>
      </c>
      <c r="I33" s="768"/>
      <c r="J33" s="638"/>
      <c r="K33" s="768"/>
      <c r="L33" s="638"/>
      <c r="M33" s="638"/>
      <c r="N33" s="109"/>
      <c r="O33" s="535">
        <f t="shared" si="4"/>
        <v>0</v>
      </c>
      <c r="P33" s="109"/>
      <c r="Q33" s="436">
        <f t="shared" si="5"/>
        <v>168.2</v>
      </c>
      <c r="R33" s="458"/>
      <c r="S33" s="436">
        <f t="shared" si="6"/>
        <v>0</v>
      </c>
      <c r="T33" s="708">
        <f>Elect!BT32</f>
        <v>225</v>
      </c>
      <c r="U33" s="604">
        <f t="shared" si="7"/>
        <v>1.288888888888889</v>
      </c>
      <c r="V33" s="708">
        <f>Elect!BV32</f>
        <v>0</v>
      </c>
      <c r="W33" s="604" t="e">
        <f t="shared" si="8"/>
        <v>#DIV/0!</v>
      </c>
      <c r="X33" s="429">
        <f>H33*V1</f>
        <v>1160</v>
      </c>
      <c r="Y33" s="604">
        <f t="shared" si="9"/>
        <v>5.1555555555555559</v>
      </c>
      <c r="Z33" s="607" t="e">
        <f t="shared" si="17"/>
        <v>#DIV/0!</v>
      </c>
    </row>
    <row r="34" spans="1:26" s="3" customFormat="1" ht="36.75" customHeight="1">
      <c r="A34" s="595">
        <v>28</v>
      </c>
      <c r="B34" s="769">
        <v>79939</v>
      </c>
      <c r="C34" s="638">
        <f t="shared" si="13"/>
        <v>539.4</v>
      </c>
      <c r="D34" s="772">
        <v>155363</v>
      </c>
      <c r="E34" s="638">
        <f t="shared" si="16"/>
        <v>0</v>
      </c>
      <c r="F34" s="768">
        <v>24700</v>
      </c>
      <c r="G34" s="638">
        <f t="shared" si="14"/>
        <v>0</v>
      </c>
      <c r="H34" s="638">
        <f t="shared" si="3"/>
        <v>539.4</v>
      </c>
      <c r="I34" s="768"/>
      <c r="J34" s="638"/>
      <c r="K34" s="768"/>
      <c r="L34" s="638"/>
      <c r="M34" s="638"/>
      <c r="N34" s="109"/>
      <c r="O34" s="535">
        <f t="shared" si="4"/>
        <v>0</v>
      </c>
      <c r="P34" s="109"/>
      <c r="Q34" s="436">
        <f t="shared" si="5"/>
        <v>312.85199999999998</v>
      </c>
      <c r="R34" s="458"/>
      <c r="S34" s="436">
        <f t="shared" si="6"/>
        <v>0</v>
      </c>
      <c r="T34" s="708">
        <f>Elect!BT33</f>
        <v>234</v>
      </c>
      <c r="U34" s="604">
        <f t="shared" si="7"/>
        <v>2.3051282051282049</v>
      </c>
      <c r="V34" s="708">
        <f>Elect!BV33</f>
        <v>0</v>
      </c>
      <c r="W34" s="604" t="e">
        <f t="shared" si="8"/>
        <v>#DIV/0!</v>
      </c>
      <c r="X34" s="429">
        <f>H34*V1</f>
        <v>2157.6</v>
      </c>
      <c r="Y34" s="604">
        <f t="shared" si="9"/>
        <v>9.2205128205128197</v>
      </c>
      <c r="Z34" s="607" t="e">
        <f t="shared" si="17"/>
        <v>#DIV/0!</v>
      </c>
    </row>
    <row r="35" spans="1:26" s="3" customFormat="1" ht="36.75" customHeight="1">
      <c r="A35" s="595">
        <v>29</v>
      </c>
      <c r="B35" s="769">
        <v>79986</v>
      </c>
      <c r="C35" s="638">
        <f t="shared" si="13"/>
        <v>272.59999999999997</v>
      </c>
      <c r="D35" s="772">
        <v>155363</v>
      </c>
      <c r="E35" s="638">
        <f t="shared" si="16"/>
        <v>0</v>
      </c>
      <c r="F35" s="768">
        <v>24700</v>
      </c>
      <c r="G35" s="638">
        <f t="shared" si="14"/>
        <v>0</v>
      </c>
      <c r="H35" s="638">
        <f t="shared" si="3"/>
        <v>272.59999999999997</v>
      </c>
      <c r="I35" s="768"/>
      <c r="J35" s="638"/>
      <c r="K35" s="768"/>
      <c r="L35" s="638"/>
      <c r="M35" s="638"/>
      <c r="N35" s="109"/>
      <c r="O35" s="535">
        <f t="shared" si="4"/>
        <v>0</v>
      </c>
      <c r="P35" s="526"/>
      <c r="Q35" s="436">
        <f t="shared" si="5"/>
        <v>158.10799999999998</v>
      </c>
      <c r="R35" s="458"/>
      <c r="S35" s="436">
        <f t="shared" si="6"/>
        <v>0</v>
      </c>
      <c r="T35" s="708">
        <f>Elect!BT34</f>
        <v>238</v>
      </c>
      <c r="U35" s="604">
        <f t="shared" si="7"/>
        <v>1.1453781512605041</v>
      </c>
      <c r="V35" s="708">
        <f>Elect!BV34</f>
        <v>0</v>
      </c>
      <c r="W35" s="604" t="e">
        <f t="shared" si="8"/>
        <v>#DIV/0!</v>
      </c>
      <c r="X35" s="429">
        <f>H35*V1</f>
        <v>1090.3999999999999</v>
      </c>
      <c r="Y35" s="604">
        <f t="shared" si="9"/>
        <v>4.5815126050420165</v>
      </c>
      <c r="Z35" s="607" t="e">
        <f t="shared" si="17"/>
        <v>#DIV/0!</v>
      </c>
    </row>
    <row r="36" spans="1:26" s="3" customFormat="1" ht="36.75" customHeight="1">
      <c r="A36" s="596">
        <v>30</v>
      </c>
      <c r="B36" s="769">
        <v>80047</v>
      </c>
      <c r="C36" s="638">
        <f t="shared" ref="C36:C37" si="18">IF(B36&gt;=B35,B36-B35,0)*10*0.58</f>
        <v>353.79999999999995</v>
      </c>
      <c r="D36" s="772">
        <v>155363</v>
      </c>
      <c r="E36" s="638">
        <f t="shared" si="16"/>
        <v>0</v>
      </c>
      <c r="F36" s="768">
        <v>24700</v>
      </c>
      <c r="G36" s="638">
        <f t="shared" si="11"/>
        <v>0</v>
      </c>
      <c r="H36" s="638">
        <f t="shared" si="3"/>
        <v>353.79999999999995</v>
      </c>
      <c r="I36" s="768"/>
      <c r="J36" s="638"/>
      <c r="K36" s="768"/>
      <c r="L36" s="638"/>
      <c r="M36" s="638"/>
      <c r="N36" s="109"/>
      <c r="O36" s="535">
        <f t="shared" si="4"/>
        <v>0</v>
      </c>
      <c r="P36" s="526"/>
      <c r="Q36" s="436">
        <f t="shared" si="5"/>
        <v>205.20399999999995</v>
      </c>
      <c r="R36" s="458"/>
      <c r="S36" s="436">
        <f t="shared" si="6"/>
        <v>0</v>
      </c>
      <c r="T36" s="708">
        <f>Elect!BT35</f>
        <v>234</v>
      </c>
      <c r="U36" s="604">
        <f t="shared" si="7"/>
        <v>1.5119658119658117</v>
      </c>
      <c r="V36" s="708">
        <f>Elect!BV35</f>
        <v>0</v>
      </c>
      <c r="W36" s="604" t="e">
        <f t="shared" si="8"/>
        <v>#DIV/0!</v>
      </c>
      <c r="X36" s="429">
        <f>H36*V1</f>
        <v>1415.1999999999998</v>
      </c>
      <c r="Y36" s="604">
        <f t="shared" si="9"/>
        <v>6.0478632478632468</v>
      </c>
      <c r="Z36" s="607" t="e">
        <f t="shared" si="17"/>
        <v>#DIV/0!</v>
      </c>
    </row>
    <row r="37" spans="1:26" s="3" customFormat="1" ht="36.75" customHeight="1" thickBot="1">
      <c r="A37" s="595">
        <v>31</v>
      </c>
      <c r="B37" s="769">
        <v>80109</v>
      </c>
      <c r="C37" s="638">
        <f t="shared" si="18"/>
        <v>359.59999999999997</v>
      </c>
      <c r="D37" s="772">
        <v>155363</v>
      </c>
      <c r="E37" s="638">
        <f t="shared" si="16"/>
        <v>0</v>
      </c>
      <c r="F37" s="768">
        <v>24700</v>
      </c>
      <c r="G37" s="638">
        <f t="shared" si="11"/>
        <v>0</v>
      </c>
      <c r="H37" s="638">
        <f t="shared" si="3"/>
        <v>359.59999999999997</v>
      </c>
      <c r="I37" s="768">
        <v>228</v>
      </c>
      <c r="J37" s="725"/>
      <c r="K37" s="768">
        <v>3428</v>
      </c>
      <c r="L37" s="725"/>
      <c r="M37" s="725"/>
      <c r="N37" s="526"/>
      <c r="O37" s="535">
        <f t="shared" si="4"/>
        <v>0</v>
      </c>
      <c r="P37" s="526"/>
      <c r="Q37" s="436">
        <f t="shared" si="5"/>
        <v>208.56799999999996</v>
      </c>
      <c r="R37" s="724"/>
      <c r="S37" s="436">
        <f t="shared" si="6"/>
        <v>0</v>
      </c>
      <c r="T37" s="708">
        <f>Elect!BT36</f>
        <v>230</v>
      </c>
      <c r="U37" s="604">
        <f t="shared" si="7"/>
        <v>1.563478260869565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7"/>
        <v>0</v>
      </c>
    </row>
    <row r="38" spans="1:26" s="3" customFormat="1" ht="36.75" customHeight="1" thickBot="1">
      <c r="A38" s="541" t="s">
        <v>122</v>
      </c>
      <c r="B38" s="769"/>
      <c r="C38" s="730">
        <f>SUM(C7:C37)</f>
        <v>7487.8</v>
      </c>
      <c r="D38" s="538"/>
      <c r="E38" s="730">
        <f>SUM(E7:E37)</f>
        <v>5.8</v>
      </c>
      <c r="F38" s="538"/>
      <c r="G38" s="730">
        <f>SUM(G7:G37)</f>
        <v>2431.36</v>
      </c>
      <c r="H38" s="730">
        <f>SUM(H7:H37)</f>
        <v>9924.9600000000009</v>
      </c>
      <c r="I38" s="730">
        <f>I37-I6</f>
        <v>4</v>
      </c>
      <c r="J38" s="542"/>
      <c r="K38" s="730">
        <f>K37-K6</f>
        <v>106</v>
      </c>
      <c r="L38" s="542"/>
      <c r="M38" s="542"/>
      <c r="N38" s="538"/>
      <c r="O38" s="542">
        <f>SUM(O7:O36)</f>
        <v>0</v>
      </c>
      <c r="P38" s="538"/>
      <c r="Q38" s="542">
        <f>SUM(Q7:Q34)</f>
        <v>5184.5967999999993</v>
      </c>
      <c r="R38" s="538"/>
      <c r="S38" s="542">
        <f>SUM(S7:S34)</f>
        <v>0</v>
      </c>
      <c r="T38" s="543">
        <f>SUM(T7:T36)</f>
        <v>5464</v>
      </c>
      <c r="U38" s="605">
        <f>IF(H38&gt;0,H38/T38,0)</f>
        <v>1.8164275256222548</v>
      </c>
      <c r="V38" s="661">
        <f>SUM(V7:V36)</f>
        <v>0</v>
      </c>
      <c r="W38" s="605" t="e">
        <f>IF(H38&gt;0,H38/V38,0)</f>
        <v>#DIV/0!</v>
      </c>
      <c r="X38" s="608">
        <f>SUM(X7:X36)</f>
        <v>38261.440000000002</v>
      </c>
      <c r="Y38" s="605">
        <f t="shared" ref="Y38:Y44" si="19">IF(X38&gt;0,X38/T38,0)</f>
        <v>7.0024597364568084</v>
      </c>
      <c r="Z38" s="609" t="e">
        <f t="shared" ref="Z38:Z44" si="20">IF(X38&gt;0,X38/V38,0)</f>
        <v>#DIV/0!</v>
      </c>
    </row>
    <row r="39" spans="1:26" s="3" customFormat="1" ht="36.75" customHeight="1" thickBot="1">
      <c r="A39" s="545" t="s">
        <v>123</v>
      </c>
      <c r="B39" s="769"/>
      <c r="C39" s="547">
        <f>C38/B48</f>
        <v>249.59333333333333</v>
      </c>
      <c r="D39" s="539"/>
      <c r="E39" s="547">
        <f>E38/B48</f>
        <v>0.19333333333333333</v>
      </c>
      <c r="F39" s="539"/>
      <c r="G39" s="547">
        <f>G38/B48</f>
        <v>81.045333333333332</v>
      </c>
      <c r="H39" s="547">
        <f>H38/B48</f>
        <v>330.83200000000005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172.81989333333331</v>
      </c>
      <c r="R39" s="539"/>
      <c r="S39" s="547" t="e">
        <f>S38/C48</f>
        <v>#DIV/0!</v>
      </c>
      <c r="T39" s="548">
        <f>T38/B48</f>
        <v>182.13333333333333</v>
      </c>
      <c r="U39" s="606">
        <f>IF(H39&gt;0,H39/T39,0)</f>
        <v>1.8164275256222551</v>
      </c>
      <c r="V39" s="621">
        <f>V38/B48</f>
        <v>0</v>
      </c>
      <c r="W39" s="605" t="e">
        <f>IF(H39&gt;0,H39/V39,0)</f>
        <v>#DIV/0!</v>
      </c>
      <c r="X39" s="610">
        <f>X38/B48</f>
        <v>1275.3813333333335</v>
      </c>
      <c r="Y39" s="606">
        <f t="shared" si="19"/>
        <v>7.0024597364568093</v>
      </c>
      <c r="Z39" s="611" t="e">
        <f t="shared" si="20"/>
        <v>#DIV/0!</v>
      </c>
    </row>
    <row r="40" spans="1:26" s="3" customFormat="1" ht="36.75" customHeight="1">
      <c r="A40" s="597" t="s">
        <v>163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9"/>
        <v>0</v>
      </c>
      <c r="Z40" s="609">
        <f t="shared" si="20"/>
        <v>0</v>
      </c>
    </row>
    <row r="41" spans="1:26" s="3" customFormat="1" ht="36.75" customHeight="1" thickBot="1">
      <c r="A41" s="598" t="s">
        <v>164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9"/>
        <v>#REF!</v>
      </c>
      <c r="Z41" s="611" t="e">
        <f t="shared" si="20"/>
        <v>#REF!</v>
      </c>
    </row>
    <row r="42" spans="1:26" s="630" customFormat="1" ht="42.75" customHeight="1" thickBot="1">
      <c r="A42" s="599" t="s">
        <v>165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166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9"/>
        <v>0</v>
      </c>
      <c r="Z43" s="635">
        <f t="shared" si="20"/>
        <v>0</v>
      </c>
    </row>
    <row r="44" spans="1:26" ht="36" customHeight="1">
      <c r="A44" s="601" t="s">
        <v>167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9"/>
        <v>#VALUE!</v>
      </c>
      <c r="Z44" s="554" t="e">
        <f t="shared" si="20"/>
        <v>#VALUE!</v>
      </c>
    </row>
    <row r="45" spans="1:26" ht="36" customHeight="1" thickBot="1">
      <c r="A45" s="602" t="s">
        <v>168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169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170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124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3" t="s">
        <v>141</v>
      </c>
      <c r="B136" s="863"/>
      <c r="C136" s="863"/>
      <c r="D136" s="863"/>
      <c r="E136" s="863"/>
      <c r="F136" s="863"/>
      <c r="G136" s="863"/>
      <c r="H136" s="863"/>
      <c r="I136" s="863"/>
      <c r="J136" s="863"/>
      <c r="K136" s="863"/>
      <c r="L136" s="863"/>
      <c r="M136" s="863"/>
      <c r="N136" s="86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3" t="str">
        <f>Elect!A1</f>
        <v>July</v>
      </c>
      <c r="B1" s="168"/>
      <c r="C1" s="168"/>
      <c r="H1" s="139"/>
      <c r="I1" s="140"/>
      <c r="J1" s="141"/>
      <c r="K1" s="141"/>
      <c r="L1" s="905" t="s">
        <v>171</v>
      </c>
      <c r="M1" s="905"/>
      <c r="N1" s="905"/>
      <c r="P1" s="906" t="str">
        <f>Elect!A1</f>
        <v>July</v>
      </c>
      <c r="Q1" s="906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04"/>
      <c r="B2" s="889" t="s">
        <v>172</v>
      </c>
      <c r="C2" s="890"/>
      <c r="D2" s="890"/>
      <c r="E2" s="890"/>
      <c r="F2" s="890"/>
      <c r="G2" s="907"/>
      <c r="H2" s="889" t="s">
        <v>141</v>
      </c>
      <c r="I2" s="890"/>
      <c r="J2" s="890"/>
      <c r="K2" s="890"/>
      <c r="L2" s="890"/>
      <c r="M2" s="890"/>
      <c r="N2" s="890"/>
      <c r="O2" s="890"/>
      <c r="P2" s="907"/>
      <c r="Q2" s="147"/>
      <c r="R2" s="798"/>
      <c r="S2" s="148"/>
      <c r="T2" s="149"/>
      <c r="U2" s="150" t="s">
        <v>173</v>
      </c>
      <c r="V2" s="149"/>
      <c r="W2" s="149"/>
      <c r="X2" s="149"/>
      <c r="Y2" s="149"/>
      <c r="Z2" s="796"/>
      <c r="AA2" s="795"/>
      <c r="AB2" s="151"/>
      <c r="AC2" s="169" t="s">
        <v>174</v>
      </c>
      <c r="AD2" s="799"/>
      <c r="AE2" s="797"/>
      <c r="AF2" s="152"/>
      <c r="AG2" s="877" t="s">
        <v>47</v>
      </c>
      <c r="AH2" s="878"/>
      <c r="AI2" s="878"/>
      <c r="AJ2" s="354" t="s">
        <v>175</v>
      </c>
      <c r="AK2" s="883" t="s">
        <v>176</v>
      </c>
      <c r="AL2" s="885" t="s">
        <v>177</v>
      </c>
      <c r="AM2" s="885" t="s">
        <v>178</v>
      </c>
      <c r="AN2" s="875" t="s">
        <v>179</v>
      </c>
      <c r="AO2" s="893" t="s">
        <v>180</v>
      </c>
      <c r="AP2" s="895" t="s">
        <v>181</v>
      </c>
      <c r="AQ2" s="897" t="s">
        <v>182</v>
      </c>
      <c r="AR2" s="899" t="s">
        <v>183</v>
      </c>
      <c r="AS2" s="901" t="s">
        <v>181</v>
      </c>
      <c r="AT2" s="891" t="s">
        <v>184</v>
      </c>
      <c r="AU2" s="892"/>
      <c r="AV2" s="889" t="s">
        <v>185</v>
      </c>
      <c r="AW2" s="890"/>
      <c r="AX2" s="172"/>
      <c r="AY2" s="173"/>
      <c r="AZ2" s="174" t="s">
        <v>186</v>
      </c>
      <c r="BA2" s="174"/>
      <c r="BB2" s="175"/>
      <c r="BC2" s="155"/>
      <c r="BD2" s="153"/>
      <c r="BE2" s="798" t="s">
        <v>187</v>
      </c>
      <c r="BF2" s="798"/>
      <c r="BG2" s="154"/>
      <c r="BH2" s="174"/>
      <c r="BI2" s="174"/>
      <c r="BJ2" s="174" t="s">
        <v>188</v>
      </c>
      <c r="BK2" s="174"/>
      <c r="BL2" s="175"/>
      <c r="BM2" s="798"/>
      <c r="BN2" s="798"/>
      <c r="BO2" s="798" t="s">
        <v>189</v>
      </c>
      <c r="BP2" s="798"/>
      <c r="BQ2" s="154"/>
    </row>
    <row r="3" spans="1:69" ht="174.75" customHeight="1" thickBot="1">
      <c r="A3" s="156" t="s">
        <v>60</v>
      </c>
      <c r="B3" s="908" t="s">
        <v>190</v>
      </c>
      <c r="C3" s="909"/>
      <c r="D3" s="910" t="s">
        <v>62</v>
      </c>
      <c r="E3" s="911"/>
      <c r="F3" s="912" t="s">
        <v>63</v>
      </c>
      <c r="G3" s="913"/>
      <c r="H3" s="912" t="s">
        <v>191</v>
      </c>
      <c r="I3" s="913"/>
      <c r="J3" s="914" t="s">
        <v>192</v>
      </c>
      <c r="K3" s="915"/>
      <c r="L3" s="916" t="s">
        <v>193</v>
      </c>
      <c r="M3" s="917"/>
      <c r="N3" s="152" t="s">
        <v>194</v>
      </c>
      <c r="O3" s="879" t="s">
        <v>154</v>
      </c>
      <c r="P3" s="880"/>
      <c r="Q3" s="879" t="s">
        <v>195</v>
      </c>
      <c r="R3" s="880"/>
      <c r="S3" s="881" t="s">
        <v>196</v>
      </c>
      <c r="T3" s="882"/>
      <c r="U3" s="881" t="s">
        <v>197</v>
      </c>
      <c r="V3" s="882"/>
      <c r="W3" s="887" t="s">
        <v>198</v>
      </c>
      <c r="X3" s="888"/>
      <c r="Y3" s="881" t="s">
        <v>199</v>
      </c>
      <c r="Z3" s="882"/>
      <c r="AA3" s="887" t="s">
        <v>200</v>
      </c>
      <c r="AB3" s="888"/>
      <c r="AC3" s="881" t="s">
        <v>201</v>
      </c>
      <c r="AD3" s="882"/>
      <c r="AE3" s="157" t="s">
        <v>202</v>
      </c>
      <c r="AF3" s="386" t="s">
        <v>203</v>
      </c>
      <c r="AG3" s="181" t="s">
        <v>204</v>
      </c>
      <c r="AH3" s="158" t="s">
        <v>205</v>
      </c>
      <c r="AI3" s="159" t="s">
        <v>160</v>
      </c>
      <c r="AJ3" s="355">
        <v>0</v>
      </c>
      <c r="AK3" s="884"/>
      <c r="AL3" s="886"/>
      <c r="AM3" s="886"/>
      <c r="AN3" s="876"/>
      <c r="AO3" s="894"/>
      <c r="AP3" s="896"/>
      <c r="AQ3" s="898"/>
      <c r="AR3" s="900"/>
      <c r="AS3" s="902"/>
      <c r="AT3" s="161" t="s">
        <v>206</v>
      </c>
      <c r="AU3" s="161" t="s">
        <v>207</v>
      </c>
      <c r="AV3" s="160" t="s">
        <v>146</v>
      </c>
      <c r="AW3" s="162" t="s">
        <v>148</v>
      </c>
      <c r="AX3" s="176" t="s">
        <v>147</v>
      </c>
      <c r="AY3" s="177" t="s">
        <v>149</v>
      </c>
      <c r="AZ3" s="356" t="s">
        <v>150</v>
      </c>
      <c r="BA3" s="178" t="s">
        <v>208</v>
      </c>
      <c r="BB3" s="179" t="s">
        <v>209</v>
      </c>
      <c r="BC3" s="387" t="s">
        <v>147</v>
      </c>
      <c r="BD3" s="388" t="s">
        <v>149</v>
      </c>
      <c r="BE3" s="357" t="s">
        <v>150</v>
      </c>
      <c r="BF3" s="164" t="s">
        <v>208</v>
      </c>
      <c r="BG3" s="165" t="s">
        <v>209</v>
      </c>
      <c r="BH3" s="177" t="s">
        <v>147</v>
      </c>
      <c r="BI3" s="177" t="s">
        <v>149</v>
      </c>
      <c r="BJ3" s="356" t="s">
        <v>150</v>
      </c>
      <c r="BK3" s="178" t="s">
        <v>208</v>
      </c>
      <c r="BL3" s="179" t="s">
        <v>209</v>
      </c>
      <c r="BM3" s="163" t="s">
        <v>147</v>
      </c>
      <c r="BN3" s="163" t="s">
        <v>149</v>
      </c>
      <c r="BO3" s="357" t="s">
        <v>150</v>
      </c>
      <c r="BP3" s="164" t="s">
        <v>208</v>
      </c>
      <c r="BQ3" s="165" t="s">
        <v>209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5335</v>
      </c>
      <c r="D5" s="461">
        <v>0</v>
      </c>
      <c r="E5" s="460">
        <f>Elect!M6</f>
        <v>2005</v>
      </c>
      <c r="F5" s="461">
        <v>20</v>
      </c>
      <c r="G5" s="460">
        <f>Elect!O6</f>
        <v>1375</v>
      </c>
      <c r="H5" s="461">
        <v>800</v>
      </c>
      <c r="I5" s="460">
        <f>Water!C7</f>
        <v>197.2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197.2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114.37599999999999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914.25</v>
      </c>
      <c r="AI5" s="465" t="e">
        <f>Gas!#REF!</f>
        <v>#REF!</v>
      </c>
      <c r="AJ5" s="466">
        <f>Gas!J7</f>
        <v>351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174</v>
      </c>
      <c r="AU5" s="460">
        <f>Elect!BP6</f>
        <v>76</v>
      </c>
      <c r="AV5" s="460" t="e">
        <f>Elect!#REF!</f>
        <v>#REF!</v>
      </c>
      <c r="AW5" s="460">
        <f>Elect!BR6</f>
        <v>174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0.91720930232558129</v>
      </c>
      <c r="BN5" s="477" t="e">
        <f>Water!W7</f>
        <v>#DIV/0!</v>
      </c>
      <c r="BO5" s="472">
        <f>Water!X7</f>
        <v>788.8</v>
      </c>
      <c r="BP5" s="477">
        <f>Water!Y7</f>
        <v>3.6688372093023252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5320</v>
      </c>
      <c r="D6" s="461">
        <v>0</v>
      </c>
      <c r="E6" s="460">
        <f>Elect!M7</f>
        <v>2009</v>
      </c>
      <c r="F6" s="461">
        <v>20</v>
      </c>
      <c r="G6" s="460">
        <f>Elect!O7</f>
        <v>1520</v>
      </c>
      <c r="H6" s="461">
        <v>936</v>
      </c>
      <c r="I6" s="460">
        <f>Water!C8</f>
        <v>295.79999999999995</v>
      </c>
      <c r="J6" s="461">
        <v>0</v>
      </c>
      <c r="K6" s="460">
        <f>Water!E8</f>
        <v>0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295.79999999999995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171.56399999999996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8112990.5</v>
      </c>
      <c r="AH6" s="464">
        <f>Gas!C8</f>
        <v>755.25</v>
      </c>
      <c r="AI6" s="465" t="e">
        <f>Gas!#REF!</f>
        <v>#REF!</v>
      </c>
      <c r="AJ6" s="466">
        <f>Gas!J8</f>
        <v>195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218</v>
      </c>
      <c r="AU6" s="460">
        <f>Elect!BP7</f>
        <v>98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483137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1.4289855072463766</v>
      </c>
      <c r="BN6" s="477" t="e">
        <f>Water!W8</f>
        <v>#DIV/0!</v>
      </c>
      <c r="BO6" s="472">
        <f>Water!X8</f>
        <v>1183.1999999999998</v>
      </c>
      <c r="BP6" s="477">
        <f>Water!Y8</f>
        <v>5.7159420289855065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6025</v>
      </c>
      <c r="D7" s="461">
        <v>0</v>
      </c>
      <c r="E7" s="460">
        <f>Elect!M8</f>
        <v>1537</v>
      </c>
      <c r="F7" s="461">
        <v>20</v>
      </c>
      <c r="G7" s="460">
        <f>Elect!O8</f>
        <v>1185</v>
      </c>
      <c r="H7" s="461">
        <v>685</v>
      </c>
      <c r="I7" s="460">
        <f>Water!C9</f>
        <v>278.39999999999998</v>
      </c>
      <c r="J7" s="461">
        <v>0</v>
      </c>
      <c r="K7" s="460">
        <f>Water!E9</f>
        <v>0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363.08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210.58639999999997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8114893</v>
      </c>
      <c r="AH7" s="464">
        <f>Gas!C9</f>
        <v>1261.4000000000001</v>
      </c>
      <c r="AI7" s="465" t="e">
        <f>Gas!#REF!</f>
        <v>#REF!</v>
      </c>
      <c r="AJ7" s="466">
        <f>Gas!J9</f>
        <v>370.5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168</v>
      </c>
      <c r="AU7" s="460">
        <f>Elect!BP8</f>
        <v>82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483305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2.0512994350282483</v>
      </c>
      <c r="BN7" s="477" t="e">
        <f>Water!W9</f>
        <v>#DIV/0!</v>
      </c>
      <c r="BO7" s="472">
        <f>Water!X9</f>
        <v>1452.32</v>
      </c>
      <c r="BP7" s="477">
        <f>Water!Y9</f>
        <v>8.2051977401129932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5129</v>
      </c>
      <c r="D8" s="461">
        <v>0</v>
      </c>
      <c r="E8" s="460">
        <f>Elect!M9</f>
        <v>1904</v>
      </c>
      <c r="F8" s="461">
        <v>20</v>
      </c>
      <c r="G8" s="460">
        <f>Elect!O9</f>
        <v>1400</v>
      </c>
      <c r="H8" s="461">
        <v>786</v>
      </c>
      <c r="I8" s="460">
        <f>Water!C10</f>
        <v>179.79999999999998</v>
      </c>
      <c r="J8" s="461">
        <v>0</v>
      </c>
      <c r="K8" s="460">
        <f>Water!E10</f>
        <v>0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236.64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137.25119999999998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8115606</v>
      </c>
      <c r="AH8" s="464">
        <f>Gas!C10</f>
        <v>755.78000000000009</v>
      </c>
      <c r="AI8" s="465" t="e">
        <f>Gas!#REF!</f>
        <v>#REF!</v>
      </c>
      <c r="AJ8" s="466">
        <f>Gas!J10</f>
        <v>358.8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195</v>
      </c>
      <c r="AU8" s="460">
        <f>Elect!BP9</f>
        <v>94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483500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1.3369491525423729</v>
      </c>
      <c r="BN8" s="477" t="e">
        <f>Water!W10</f>
        <v>#DIV/0!</v>
      </c>
      <c r="BO8" s="472">
        <f>Water!X10</f>
        <v>946.56</v>
      </c>
      <c r="BP8" s="477">
        <f>Water!Y10</f>
        <v>5.3477966101694916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5357</v>
      </c>
      <c r="D9" s="461">
        <v>0</v>
      </c>
      <c r="E9" s="460">
        <f>Elect!M10</f>
        <v>1865</v>
      </c>
      <c r="F9" s="461">
        <v>20</v>
      </c>
      <c r="G9" s="460">
        <f>Elect!O10</f>
        <v>1368</v>
      </c>
      <c r="H9" s="461">
        <v>789</v>
      </c>
      <c r="I9" s="460">
        <f>Water!C11</f>
        <v>249.39999999999998</v>
      </c>
      <c r="J9" s="461">
        <v>0</v>
      </c>
      <c r="K9" s="460">
        <f>Water!E11</f>
        <v>0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314.93999999999994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182.66519999999994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8116318</v>
      </c>
      <c r="AH9" s="464">
        <f>Gas!C11</f>
        <v>754.72</v>
      </c>
      <c r="AI9" s="465" t="e">
        <f>Gas!#REF!</f>
        <v>#REF!</v>
      </c>
      <c r="AJ9" s="466">
        <f>Gas!J11</f>
        <v>148.19999999999999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0</v>
      </c>
      <c r="AU9" s="460">
        <f>Elect!BP10</f>
        <v>0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483500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1.8204624277456645</v>
      </c>
      <c r="BN9" s="477" t="e">
        <f>Water!W11</f>
        <v>#DIV/0!</v>
      </c>
      <c r="BO9" s="472">
        <f>Water!X11</f>
        <v>1259.7599999999998</v>
      </c>
      <c r="BP9" s="477">
        <f>Water!Y11</f>
        <v>7.2818497109826579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5538</v>
      </c>
      <c r="D10" s="461">
        <v>0</v>
      </c>
      <c r="E10" s="460">
        <f>Elect!M11</f>
        <v>1993</v>
      </c>
      <c r="F10" s="461">
        <v>20</v>
      </c>
      <c r="G10" s="460">
        <f>Elect!O11</f>
        <v>1498</v>
      </c>
      <c r="H10" s="461">
        <v>805</v>
      </c>
      <c r="I10" s="460">
        <f>Water!C12</f>
        <v>243.6</v>
      </c>
      <c r="J10" s="461">
        <v>0</v>
      </c>
      <c r="K10" s="460">
        <f>Water!E12</f>
        <v>0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313.2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181.65599999999998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8117031</v>
      </c>
      <c r="AH10" s="464">
        <f>Gas!C12</f>
        <v>755.78000000000009</v>
      </c>
      <c r="AI10" s="465" t="e">
        <f>Gas!#REF!</f>
        <v>#REF!</v>
      </c>
      <c r="AJ10" s="466">
        <f>Gas!J12</f>
        <v>358.8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202</v>
      </c>
      <c r="AU10" s="460">
        <f>Elect!BP11</f>
        <v>105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483702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1.9822784810126581</v>
      </c>
      <c r="BN10" s="477" t="e">
        <f>Water!W12</f>
        <v>#DIV/0!</v>
      </c>
      <c r="BO10" s="472">
        <f>Water!X12</f>
        <v>1252.8</v>
      </c>
      <c r="BP10" s="477">
        <f>Water!Y12</f>
        <v>7.9291139240506325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5916</v>
      </c>
      <c r="D11" s="461">
        <v>0</v>
      </c>
      <c r="E11" s="460">
        <f>Elect!M12</f>
        <v>2082</v>
      </c>
      <c r="F11" s="461">
        <v>20</v>
      </c>
      <c r="G11" s="460">
        <f>Elect!O12</f>
        <v>1728</v>
      </c>
      <c r="H11" s="461">
        <v>871</v>
      </c>
      <c r="I11" s="460">
        <f>Water!C13</f>
        <v>191.39999999999998</v>
      </c>
      <c r="J11" s="461">
        <v>0</v>
      </c>
      <c r="K11" s="460">
        <f>Water!E13</f>
        <v>0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289.41999999999996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167.86359999999996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8117743</v>
      </c>
      <c r="AH11" s="464">
        <f>Gas!C13</f>
        <v>754.72</v>
      </c>
      <c r="AI11" s="465" t="e">
        <f>Gas!#REF!</f>
        <v>#REF!</v>
      </c>
      <c r="AJ11" s="466">
        <f>Gas!J13</f>
        <v>374.4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211</v>
      </c>
      <c r="AU11" s="460">
        <f>Elect!BP12</f>
        <v>110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483913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1.6925146198830407</v>
      </c>
      <c r="BN11" s="477" t="e">
        <f>Water!W13</f>
        <v>#DIV/0!</v>
      </c>
      <c r="BO11" s="472">
        <f>Water!X13</f>
        <v>1157.6799999999998</v>
      </c>
      <c r="BP11" s="477">
        <f>Water!Y13</f>
        <v>6.770058479532163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5534</v>
      </c>
      <c r="D12" s="461">
        <v>0</v>
      </c>
      <c r="E12" s="460">
        <f>Elect!M13</f>
        <v>1905</v>
      </c>
      <c r="F12" s="461">
        <v>20</v>
      </c>
      <c r="G12" s="460">
        <f>Elect!O13</f>
        <v>1494</v>
      </c>
      <c r="H12" s="461">
        <v>963</v>
      </c>
      <c r="I12" s="460">
        <f>Water!C14</f>
        <v>185.6</v>
      </c>
      <c r="J12" s="461">
        <v>0</v>
      </c>
      <c r="K12" s="460">
        <f>Water!E14</f>
        <v>0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357.86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207.55879999999999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8118456</v>
      </c>
      <c r="AH12" s="464">
        <f>Gas!C14</f>
        <v>755.78000000000009</v>
      </c>
      <c r="AI12" s="465" t="e">
        <f>Gas!#REF!</f>
        <v>#REF!</v>
      </c>
      <c r="AJ12" s="466">
        <f>Gas!J14</f>
        <v>331.5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209</v>
      </c>
      <c r="AU12" s="460">
        <f>Elect!BP13</f>
        <v>115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484122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1.8351794871794873</v>
      </c>
      <c r="BN12" s="477" t="e">
        <f>Water!W14</f>
        <v>#DIV/0!</v>
      </c>
      <c r="BO12" s="472">
        <f>Water!X14</f>
        <v>1431.44</v>
      </c>
      <c r="BP12" s="477">
        <f>Water!Y14</f>
        <v>7.3407179487179492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6464</v>
      </c>
      <c r="D13" s="461">
        <v>0</v>
      </c>
      <c r="E13" s="460">
        <f>Elect!M14</f>
        <v>1978</v>
      </c>
      <c r="F13" s="461">
        <v>20</v>
      </c>
      <c r="G13" s="460">
        <f>Elect!O14</f>
        <v>1425</v>
      </c>
      <c r="H13" s="461">
        <v>790</v>
      </c>
      <c r="I13" s="460">
        <f>Water!C15</f>
        <v>191.39999999999998</v>
      </c>
      <c r="J13" s="461">
        <v>0</v>
      </c>
      <c r="K13" s="460">
        <f>Water!E15</f>
        <v>0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314.35999999999996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182.32879999999997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8119168</v>
      </c>
      <c r="AH13" s="464">
        <f>Gas!C15</f>
        <v>754.72</v>
      </c>
      <c r="AI13" s="465" t="e">
        <f>Gas!#REF!</f>
        <v>#REF!</v>
      </c>
      <c r="AJ13" s="466">
        <f>Gas!J15</f>
        <v>234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205</v>
      </c>
      <c r="AU13" s="460">
        <f>Elect!BP14</f>
        <v>110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484327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1.7660674157303369</v>
      </c>
      <c r="BN13" s="477" t="e">
        <f>Water!W15</f>
        <v>#DIV/0!</v>
      </c>
      <c r="BO13" s="472">
        <f>Water!X15</f>
        <v>1257.4399999999998</v>
      </c>
      <c r="BP13" s="477">
        <f>Water!Y15</f>
        <v>7.0642696629213475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4481</v>
      </c>
      <c r="D14" s="461">
        <v>0</v>
      </c>
      <c r="E14" s="460">
        <f>Elect!M15</f>
        <v>1879</v>
      </c>
      <c r="F14" s="461">
        <v>20</v>
      </c>
      <c r="G14" s="460">
        <f>Elect!O15</f>
        <v>2498</v>
      </c>
      <c r="H14" s="461">
        <v>792</v>
      </c>
      <c r="I14" s="460">
        <f>Water!C16</f>
        <v>185.6</v>
      </c>
      <c r="J14" s="461">
        <v>0</v>
      </c>
      <c r="K14" s="460">
        <f>Water!E16</f>
        <v>0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259.26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150.37079999999997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8119881</v>
      </c>
      <c r="AH14" s="464">
        <f>Gas!C16</f>
        <v>755.78000000000009</v>
      </c>
      <c r="AI14" s="465" t="e">
        <f>Gas!#REF!</f>
        <v>#REF!</v>
      </c>
      <c r="AJ14" s="466">
        <f>Gas!J16</f>
        <v>276.89999999999998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216</v>
      </c>
      <c r="AU14" s="460">
        <f>Elect!BP15</f>
        <v>111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484543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1.9204444444444444</v>
      </c>
      <c r="BN14" s="477" t="e">
        <f>Water!W16</f>
        <v>#DIV/0!</v>
      </c>
      <c r="BO14" s="472">
        <f>Water!X16</f>
        <v>1037.04</v>
      </c>
      <c r="BP14" s="477">
        <f>Water!Y16</f>
        <v>7.6817777777777776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5145</v>
      </c>
      <c r="D15" s="461">
        <v>0</v>
      </c>
      <c r="E15" s="460">
        <f>Elect!M16</f>
        <v>1864</v>
      </c>
      <c r="F15" s="461">
        <v>20</v>
      </c>
      <c r="G15" s="460">
        <f>Elect!O16</f>
        <v>1541</v>
      </c>
      <c r="H15" s="461">
        <v>817</v>
      </c>
      <c r="I15" s="460">
        <f>Water!C17</f>
        <v>220.39999999999998</v>
      </c>
      <c r="J15" s="461">
        <v>0</v>
      </c>
      <c r="K15" s="460">
        <f>Water!E17</f>
        <v>0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292.89999999999998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169.88199999999998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771.68000000000006</v>
      </c>
      <c r="AI15" s="465" t="e">
        <f>Gas!#REF!</f>
        <v>#REF!</v>
      </c>
      <c r="AJ15" s="466">
        <f>Gas!J17</f>
        <v>573.29999999999995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204</v>
      </c>
      <c r="AU15" s="460">
        <f>Elect!BP16</f>
        <v>101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484747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2.3813008130081297</v>
      </c>
      <c r="BN15" s="477" t="e">
        <f>Water!W17</f>
        <v>#DIV/0!</v>
      </c>
      <c r="BO15" s="472">
        <f>Water!X17</f>
        <v>1171.5999999999999</v>
      </c>
      <c r="BP15" s="477">
        <f>Water!Y17</f>
        <v>9.5252032520325187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5172</v>
      </c>
      <c r="D16" s="461">
        <v>0</v>
      </c>
      <c r="E16" s="460">
        <f>Elect!M17</f>
        <v>1796</v>
      </c>
      <c r="F16" s="461">
        <v>20</v>
      </c>
      <c r="G16" s="460">
        <f>Elect!O17</f>
        <v>1455</v>
      </c>
      <c r="H16" s="461">
        <v>907</v>
      </c>
      <c r="I16" s="460">
        <f>Water!C18</f>
        <v>104.39999999999999</v>
      </c>
      <c r="J16" s="461">
        <v>0</v>
      </c>
      <c r="K16" s="460">
        <f>Water!E18</f>
        <v>0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160.66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93.182799999999986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8121275</v>
      </c>
      <c r="AH16" s="464">
        <f>Gas!C18</f>
        <v>705.96</v>
      </c>
      <c r="AI16" s="465" t="e">
        <f>Gas!#REF!</f>
        <v>#REF!</v>
      </c>
      <c r="AJ16" s="466">
        <f>Gas!J18</f>
        <v>276.89999999999998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205</v>
      </c>
      <c r="AU16" s="460">
        <f>Elect!BP17</f>
        <v>107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484952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1.3615254237288135</v>
      </c>
      <c r="BN16" s="477" t="e">
        <f>Water!W18</f>
        <v>#DIV/0!</v>
      </c>
      <c r="BO16" s="472">
        <f>Water!X18</f>
        <v>642.64</v>
      </c>
      <c r="BP16" s="477">
        <f>Water!Y18</f>
        <v>5.4461016949152539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5485</v>
      </c>
      <c r="D17" s="461">
        <v>0</v>
      </c>
      <c r="E17" s="460">
        <f>Elect!M18</f>
        <v>1891</v>
      </c>
      <c r="F17" s="461">
        <v>20</v>
      </c>
      <c r="G17" s="460">
        <f>Elect!O18</f>
        <v>1542</v>
      </c>
      <c r="H17" s="461">
        <v>812</v>
      </c>
      <c r="I17" s="460">
        <f>Water!C19</f>
        <v>272.59999999999997</v>
      </c>
      <c r="J17" s="461">
        <v>0</v>
      </c>
      <c r="K17" s="460">
        <f>Water!E19</f>
        <v>0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398.45999999999992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231.10679999999994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8122034</v>
      </c>
      <c r="AH17" s="464">
        <f>Gas!C19</f>
        <v>804.54000000000008</v>
      </c>
      <c r="AI17" s="465" t="e">
        <f>Gas!#REF!</f>
        <v>#REF!</v>
      </c>
      <c r="AJ17" s="466">
        <f>Gas!J19</f>
        <v>429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212</v>
      </c>
      <c r="AU17" s="460">
        <f>Elect!BP18</f>
        <v>107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485164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3.3204999999999996</v>
      </c>
      <c r="BN17" s="477" t="e">
        <f>Water!W19</f>
        <v>#DIV/0!</v>
      </c>
      <c r="BO17" s="472">
        <f>Water!X19</f>
        <v>1593.8399999999997</v>
      </c>
      <c r="BP17" s="477">
        <f>Water!Y19</f>
        <v>13.281999999999998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5584</v>
      </c>
      <c r="D18" s="461">
        <v>0</v>
      </c>
      <c r="E18" s="460">
        <f>Elect!M19</f>
        <v>1910</v>
      </c>
      <c r="F18" s="461">
        <v>30</v>
      </c>
      <c r="G18" s="460">
        <f>Elect!O19</f>
        <v>1649</v>
      </c>
      <c r="H18" s="461">
        <v>810</v>
      </c>
      <c r="I18" s="460">
        <f>Water!C20</f>
        <v>203</v>
      </c>
      <c r="J18" s="461">
        <v>0</v>
      </c>
      <c r="K18" s="460">
        <f>Water!E20</f>
        <v>0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299.27999999999997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173.58239999999998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8122715</v>
      </c>
      <c r="AH18" s="464">
        <f>Gas!C20</f>
        <v>721.86</v>
      </c>
      <c r="AI18" s="465" t="e">
        <f>Gas!#REF!</f>
        <v>#REF!</v>
      </c>
      <c r="AJ18" s="466">
        <f>Gas!J20</f>
        <v>261.3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219</v>
      </c>
      <c r="AU18" s="460">
        <f>Elect!BP19</f>
        <v>109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482919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2.4135483870967738</v>
      </c>
      <c r="BN18" s="477" t="e">
        <f>Water!W20</f>
        <v>#DIV/0!</v>
      </c>
      <c r="BO18" s="472">
        <f>Water!X20</f>
        <v>1197.1199999999999</v>
      </c>
      <c r="BP18" s="477">
        <f>Water!Y20</f>
        <v>9.6541935483870951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5604</v>
      </c>
      <c r="D19" s="461">
        <v>0</v>
      </c>
      <c r="E19" s="460">
        <f>Elect!M20</f>
        <v>1756</v>
      </c>
      <c r="F19" s="461">
        <v>20</v>
      </c>
      <c r="G19" s="460">
        <f>Elect!O20</f>
        <v>1419</v>
      </c>
      <c r="H19" s="461">
        <v>841</v>
      </c>
      <c r="I19" s="460">
        <f>Water!C21</f>
        <v>208.79999999999998</v>
      </c>
      <c r="J19" s="461">
        <v>0</v>
      </c>
      <c r="K19" s="460">
        <f>Water!E21</f>
        <v>0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311.45999999999998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180.64679999999998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8123499</v>
      </c>
      <c r="AH19" s="464">
        <f>Gas!C21</f>
        <v>831.04000000000008</v>
      </c>
      <c r="AI19" s="465" t="e">
        <f>Gas!#REF!</f>
        <v>#REF!</v>
      </c>
      <c r="AJ19" s="466">
        <f>Gas!J21</f>
        <v>366.59999999999997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226</v>
      </c>
      <c r="AU19" s="460">
        <f>Elect!BP20</f>
        <v>112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485609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2.6849999999999996</v>
      </c>
      <c r="BN19" s="477" t="e">
        <f>Water!W21</f>
        <v>#DIV/0!</v>
      </c>
      <c r="BO19" s="472">
        <f>Water!X21</f>
        <v>1245.8399999999999</v>
      </c>
      <c r="BP19" s="477">
        <f>Water!Y21</f>
        <v>10.739999999999998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5599.2285714000463</v>
      </c>
      <c r="D20" s="461">
        <v>0</v>
      </c>
      <c r="E20" s="460">
        <f>Elect!M21</f>
        <v>1722</v>
      </c>
      <c r="F20" s="461">
        <v>20</v>
      </c>
      <c r="G20" s="460">
        <f>Elect!O21</f>
        <v>1</v>
      </c>
      <c r="H20" s="461">
        <v>932</v>
      </c>
      <c r="I20" s="460">
        <f>Water!C22</f>
        <v>203</v>
      </c>
      <c r="J20" s="461">
        <v>0</v>
      </c>
      <c r="K20" s="460">
        <f>Water!E22</f>
        <v>0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306.82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177.95559999999998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8124280</v>
      </c>
      <c r="AH20" s="464">
        <f>Gas!C22</f>
        <v>827.86</v>
      </c>
      <c r="AI20" s="465" t="e">
        <f>Gas!#REF!</f>
        <v>#REF!</v>
      </c>
      <c r="AJ20" s="466">
        <f>Gas!J22</f>
        <v>343.2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182</v>
      </c>
      <c r="AU20" s="460">
        <f>Elect!BP21</f>
        <v>92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485791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1.9057142857142857</v>
      </c>
      <c r="BN20" s="477" t="e">
        <f>Water!W22</f>
        <v>#DIV/0!</v>
      </c>
      <c r="BO20" s="472">
        <f>Water!X22</f>
        <v>1227.28</v>
      </c>
      <c r="BP20" s="477">
        <f>Water!Y22</f>
        <v>7.6228571428571428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5232.7714285999537</v>
      </c>
      <c r="D21" s="461">
        <v>0</v>
      </c>
      <c r="E21" s="460">
        <f>Elect!M22</f>
        <v>1939</v>
      </c>
      <c r="F21" s="461">
        <v>20</v>
      </c>
      <c r="G21" s="460">
        <f>Elect!O22</f>
        <v>2546</v>
      </c>
      <c r="H21" s="461">
        <v>972</v>
      </c>
      <c r="I21" s="460">
        <f>Water!C23</f>
        <v>203</v>
      </c>
      <c r="J21" s="461">
        <v>0</v>
      </c>
      <c r="K21" s="460">
        <f>Water!E23</f>
        <v>0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274.33999999999997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159.11719999999997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8125016</v>
      </c>
      <c r="AH21" s="464">
        <f>Gas!C23</f>
        <v>780.16000000000008</v>
      </c>
      <c r="AI21" s="465" t="e">
        <f>Gas!#REF!</f>
        <v>#REF!</v>
      </c>
      <c r="AJ21" s="466">
        <f>Gas!J23</f>
        <v>347.09999999999997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241</v>
      </c>
      <c r="AU21" s="460">
        <f>Elect!BP22</f>
        <v>110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1.7585897435897435</v>
      </c>
      <c r="BN21" s="477" t="e">
        <f>Water!W23</f>
        <v>#DIV/0!</v>
      </c>
      <c r="BO21" s="472">
        <f>Water!X23</f>
        <v>1097.3599999999999</v>
      </c>
      <c r="BP21" s="477">
        <f>Water!Y23</f>
        <v>7.0343589743589741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5699</v>
      </c>
      <c r="D22" s="461">
        <v>0</v>
      </c>
      <c r="E22" s="460">
        <f>Elect!M23</f>
        <v>2345</v>
      </c>
      <c r="F22" s="461">
        <v>20</v>
      </c>
      <c r="G22" s="460">
        <f>Elect!O23</f>
        <v>2194</v>
      </c>
      <c r="H22" s="461">
        <v>864</v>
      </c>
      <c r="I22" s="460">
        <f>Water!C24</f>
        <v>203</v>
      </c>
      <c r="J22" s="461">
        <v>0</v>
      </c>
      <c r="K22" s="460">
        <f>Water!E24</f>
        <v>0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294.06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170.5548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8125752</v>
      </c>
      <c r="AH22" s="464">
        <f>Gas!C24</f>
        <v>780.16000000000008</v>
      </c>
      <c r="AI22" s="465" t="e">
        <f>Gas!#REF!</f>
        <v>#REF!</v>
      </c>
      <c r="AJ22" s="466">
        <f>Gas!J24</f>
        <v>347.09999999999997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219</v>
      </c>
      <c r="AU22" s="460">
        <f>Elect!BP23</f>
        <v>124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486251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1.9219607843137254</v>
      </c>
      <c r="BN22" s="477" t="e">
        <f>Water!W24</f>
        <v>#DIV/0!</v>
      </c>
      <c r="BO22" s="472">
        <f>Water!X24</f>
        <v>1176.24</v>
      </c>
      <c r="BP22" s="477">
        <f>Water!Y24</f>
        <v>7.6878431372549016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4962</v>
      </c>
      <c r="D23" s="461">
        <v>0</v>
      </c>
      <c r="E23" s="460">
        <f>Elect!M24</f>
        <v>1794</v>
      </c>
      <c r="F23" s="461">
        <v>30</v>
      </c>
      <c r="G23" s="460">
        <f>Elect!O24</f>
        <v>1154</v>
      </c>
      <c r="H23" s="461">
        <v>894</v>
      </c>
      <c r="I23" s="460">
        <f>Water!C25</f>
        <v>203</v>
      </c>
      <c r="J23" s="461">
        <v>0</v>
      </c>
      <c r="K23" s="460">
        <f>Water!E25</f>
        <v>0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294.64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170.89119999999997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8126488</v>
      </c>
      <c r="AH23" s="464">
        <f>Gas!C25</f>
        <v>780.16000000000008</v>
      </c>
      <c r="AI23" s="465" t="e">
        <f>Gas!#REF!</f>
        <v>#REF!</v>
      </c>
      <c r="AJ23" s="466">
        <f>Gas!J25</f>
        <v>351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180</v>
      </c>
      <c r="AU23" s="460">
        <f>Elect!BP24</f>
        <v>97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486431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1.8414999999999999</v>
      </c>
      <c r="BN23" s="477" t="e">
        <f>Water!W25</f>
        <v>#DIV/0!</v>
      </c>
      <c r="BO23" s="472">
        <f>Water!X25</f>
        <v>1178.56</v>
      </c>
      <c r="BP23" s="477">
        <f>Water!Y25</f>
        <v>7.3659999999999997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6312</v>
      </c>
      <c r="D24" s="461">
        <v>0</v>
      </c>
      <c r="E24" s="460">
        <f>Elect!M25</f>
        <v>2633</v>
      </c>
      <c r="F24" s="461">
        <v>20</v>
      </c>
      <c r="G24" s="460">
        <f>Elect!O25</f>
        <v>1698</v>
      </c>
      <c r="H24" s="461">
        <v>944</v>
      </c>
      <c r="I24" s="460">
        <f>Water!C26</f>
        <v>203</v>
      </c>
      <c r="J24" s="461">
        <v>0</v>
      </c>
      <c r="K24" s="460">
        <f>Water!E26</f>
        <v>0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295.8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171.56399999999999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8127223</v>
      </c>
      <c r="AH24" s="464">
        <f>Gas!C26</f>
        <v>779.1</v>
      </c>
      <c r="AI24" s="465" t="e">
        <f>Gas!#REF!</f>
        <v>#REF!</v>
      </c>
      <c r="AJ24" s="466">
        <f>Gas!J26</f>
        <v>347.09999999999997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226</v>
      </c>
      <c r="AU24" s="460">
        <f>Elect!BP25</f>
        <v>119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486657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1.326457399103139</v>
      </c>
      <c r="BN24" s="477" t="e">
        <f>Water!W26</f>
        <v>#DIV/0!</v>
      </c>
      <c r="BO24" s="472">
        <f>Water!X26</f>
        <v>1183.2</v>
      </c>
      <c r="BP24" s="477">
        <f>Water!Y26</f>
        <v>5.3058295964125559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5663</v>
      </c>
      <c r="D25" s="461">
        <v>0</v>
      </c>
      <c r="E25" s="460">
        <f>Elect!M26</f>
        <v>1972</v>
      </c>
      <c r="F25" s="461">
        <v>20</v>
      </c>
      <c r="G25" s="460">
        <f>Elect!O26</f>
        <v>1336</v>
      </c>
      <c r="H25" s="461">
        <v>916</v>
      </c>
      <c r="I25" s="460">
        <f>Water!C27</f>
        <v>203</v>
      </c>
      <c r="J25" s="461">
        <v>0</v>
      </c>
      <c r="K25" s="460">
        <f>Water!E27</f>
        <v>0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292.89999999999998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169.88199999999998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8127959</v>
      </c>
      <c r="AH25" s="464">
        <f>Gas!C27</f>
        <v>780.16000000000008</v>
      </c>
      <c r="AI25" s="465" t="e">
        <f>Gas!#REF!</f>
        <v>#REF!</v>
      </c>
      <c r="AJ25" s="466">
        <f>Gas!J27</f>
        <v>351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191</v>
      </c>
      <c r="AU25" s="460">
        <f>Elect!BP26</f>
        <v>100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486848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1.2358649789029534</v>
      </c>
      <c r="BN25" s="477" t="e">
        <f>Water!W27</f>
        <v>#DIV/0!</v>
      </c>
      <c r="BO25" s="472">
        <f>Water!X27</f>
        <v>1171.5999999999999</v>
      </c>
      <c r="BP25" s="477">
        <f>Water!Y27</f>
        <v>4.9434599156118137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5920</v>
      </c>
      <c r="D26" s="461">
        <v>0</v>
      </c>
      <c r="E26" s="460">
        <f>Elect!M27</f>
        <v>2213</v>
      </c>
      <c r="F26" s="461">
        <v>20</v>
      </c>
      <c r="G26" s="460">
        <f>Elect!O27</f>
        <v>1488</v>
      </c>
      <c r="H26" s="461">
        <v>931</v>
      </c>
      <c r="I26" s="460">
        <f>Water!C28</f>
        <v>203</v>
      </c>
      <c r="J26" s="461">
        <v>0</v>
      </c>
      <c r="K26" s="460">
        <f>Water!E28</f>
        <v>0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294.64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170.89119999999997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8128695</v>
      </c>
      <c r="AH26" s="464">
        <f>Gas!C28</f>
        <v>780.16000000000008</v>
      </c>
      <c r="AI26" s="465" t="e">
        <f>Gas!#REF!</f>
        <v>#REF!</v>
      </c>
      <c r="AJ26" s="466">
        <f>Gas!J28</f>
        <v>347.09999999999997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236</v>
      </c>
      <c r="AU26" s="460">
        <f>Elect!BP27</f>
        <v>127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487084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1.183293172690763</v>
      </c>
      <c r="BN26" s="477" t="e">
        <f>Water!W28</f>
        <v>#DIV/0!</v>
      </c>
      <c r="BO26" s="472">
        <f>Water!X28</f>
        <v>1178.56</v>
      </c>
      <c r="BP26" s="477">
        <f>Water!Y28</f>
        <v>4.7331726907630518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5013</v>
      </c>
      <c r="D27" s="461">
        <v>0</v>
      </c>
      <c r="E27" s="460">
        <f>Elect!M28</f>
        <v>1857</v>
      </c>
      <c r="F27" s="461">
        <v>30</v>
      </c>
      <c r="G27" s="460">
        <f>Elect!O28</f>
        <v>1312</v>
      </c>
      <c r="H27" s="461">
        <v>1009</v>
      </c>
      <c r="I27" s="460">
        <f>Water!C29</f>
        <v>203</v>
      </c>
      <c r="J27" s="461">
        <v>0</v>
      </c>
      <c r="K27" s="460">
        <f>Water!E29</f>
        <v>0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340.46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197.46679999999998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8129431</v>
      </c>
      <c r="AH27" s="464">
        <f>Gas!C29</f>
        <v>780.16000000000008</v>
      </c>
      <c r="AI27" s="465" t="e">
        <f>Gas!#REF!</f>
        <v>#REF!</v>
      </c>
      <c r="AJ27" s="466">
        <f>Gas!J29</f>
        <v>351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187</v>
      </c>
      <c r="AU27" s="460">
        <f>Elect!BP28</f>
        <v>100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487271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1.4365400843881855</v>
      </c>
      <c r="BN27" s="477" t="e">
        <f>Water!W29</f>
        <v>#DIV/0!</v>
      </c>
      <c r="BO27" s="472">
        <f>Water!X29</f>
        <v>1361.84</v>
      </c>
      <c r="BP27" s="477">
        <f>Water!Y29</f>
        <v>5.7461603375527419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5643</v>
      </c>
      <c r="D28" s="461">
        <v>0</v>
      </c>
      <c r="E28" s="460">
        <f>Elect!M29</f>
        <v>1785</v>
      </c>
      <c r="F28" s="461">
        <v>20</v>
      </c>
      <c r="G28" s="460">
        <f>Elect!O29</f>
        <v>1292</v>
      </c>
      <c r="H28" s="461">
        <v>891</v>
      </c>
      <c r="I28" s="460">
        <f>Water!C30</f>
        <v>255.2</v>
      </c>
      <c r="J28" s="461">
        <v>0</v>
      </c>
      <c r="K28" s="460">
        <f>Water!E30</f>
        <v>5.8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613.05999999999995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355.57479999999993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8130859</v>
      </c>
      <c r="AH28" s="464">
        <f>Gas!C30</f>
        <v>1513.68</v>
      </c>
      <c r="AI28" s="465" t="e">
        <f>Gas!#REF!</f>
        <v>#REF!</v>
      </c>
      <c r="AJ28" s="466">
        <f>Gas!J30</f>
        <v>620.1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231</v>
      </c>
      <c r="AU28" s="460">
        <f>Elect!BP29</f>
        <v>136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487502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3.0349504950495048</v>
      </c>
      <c r="BN28" s="477" t="e">
        <f>Water!W30</f>
        <v>#DIV/0!</v>
      </c>
      <c r="BO28" s="472">
        <f>Water!X30</f>
        <v>2452.2399999999998</v>
      </c>
      <c r="BP28" s="477">
        <f>Water!Y30</f>
        <v>12.139801980198019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3893</v>
      </c>
      <c r="D29" s="461">
        <v>0</v>
      </c>
      <c r="E29" s="460">
        <f>Elect!M30</f>
        <v>2394</v>
      </c>
      <c r="F29" s="461">
        <v>20</v>
      </c>
      <c r="G29" s="460">
        <f>Elect!O30</f>
        <v>2673</v>
      </c>
      <c r="H29" s="461">
        <v>1008</v>
      </c>
      <c r="I29" s="460">
        <f>Water!C31</f>
        <v>324.79999999999995</v>
      </c>
      <c r="J29" s="461">
        <v>0</v>
      </c>
      <c r="K29" s="460">
        <f>Water!E31</f>
        <v>0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437.31999999999994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253.64559999999994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8131950</v>
      </c>
      <c r="AH29" s="464">
        <f>Gas!C31</f>
        <v>1156.46</v>
      </c>
      <c r="AI29" s="465" t="e">
        <f>Gas!#REF!</f>
        <v>#REF!</v>
      </c>
      <c r="AJ29" s="466">
        <f>Gas!J31</f>
        <v>230.1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174</v>
      </c>
      <c r="AU29" s="460">
        <f>Elect!BP30</f>
        <v>101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487676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2.4568539325842691</v>
      </c>
      <c r="BN29" s="477" t="e">
        <f>Water!W31</f>
        <v>#DIV/0!</v>
      </c>
      <c r="BO29" s="472">
        <f>Water!X31</f>
        <v>1749.2799999999997</v>
      </c>
      <c r="BP29" s="477">
        <f>Water!Y31</f>
        <v>9.8274157303370764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6792</v>
      </c>
      <c r="D30" s="461">
        <v>0</v>
      </c>
      <c r="E30" s="460">
        <f>Elect!M31</f>
        <v>2113</v>
      </c>
      <c r="F30" s="461">
        <v>20</v>
      </c>
      <c r="G30" s="460">
        <f>Elect!O31</f>
        <v>1488</v>
      </c>
      <c r="H30" s="461">
        <v>760</v>
      </c>
      <c r="I30" s="460">
        <f>Water!C32</f>
        <v>261</v>
      </c>
      <c r="J30" s="461">
        <v>0</v>
      </c>
      <c r="K30" s="460">
        <f>Water!E32</f>
        <v>0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261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151.38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8132785</v>
      </c>
      <c r="AH30" s="464">
        <f>Gas!C32</f>
        <v>885.1</v>
      </c>
      <c r="AI30" s="465" t="e">
        <f>Gas!#REF!</f>
        <v>#REF!</v>
      </c>
      <c r="AJ30" s="466">
        <f>Gas!J32</f>
        <v>378.3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192</v>
      </c>
      <c r="AU30" s="460">
        <f>Elect!BP31</f>
        <v>110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487868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1.3736842105263158</v>
      </c>
      <c r="BN30" s="477" t="e">
        <f>Water!W32</f>
        <v>#DIV/0!</v>
      </c>
      <c r="BO30" s="472">
        <f>Water!X32</f>
        <v>1044</v>
      </c>
      <c r="BP30" s="477">
        <f>Water!Y32</f>
        <v>5.4947368421052634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4334</v>
      </c>
      <c r="D31" s="461">
        <v>0</v>
      </c>
      <c r="E31" s="460">
        <f>Elect!M32</f>
        <v>1374</v>
      </c>
      <c r="F31" s="461">
        <v>30</v>
      </c>
      <c r="G31" s="460">
        <f>Elect!O32</f>
        <v>944</v>
      </c>
      <c r="H31" s="461">
        <v>1010</v>
      </c>
      <c r="I31" s="460">
        <f>Water!C33</f>
        <v>290</v>
      </c>
      <c r="J31" s="461">
        <v>0</v>
      </c>
      <c r="K31" s="460">
        <f>Water!E33</f>
        <v>0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290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168.2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8133553</v>
      </c>
      <c r="AH31" s="464">
        <f>Gas!C33</f>
        <v>814.08</v>
      </c>
      <c r="AI31" s="465" t="e">
        <f>Gas!#REF!</f>
        <v>#REF!</v>
      </c>
      <c r="AJ31" s="466">
        <f>Gas!J33</f>
        <v>378.3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193</v>
      </c>
      <c r="AU31" s="460">
        <f>Elect!BP32</f>
        <v>112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488061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1.288888888888889</v>
      </c>
      <c r="BN31" s="477" t="e">
        <f>Water!W33</f>
        <v>#DIV/0!</v>
      </c>
      <c r="BO31" s="472">
        <f>Water!X33</f>
        <v>1160</v>
      </c>
      <c r="BP31" s="477">
        <f>Water!Y33</f>
        <v>5.1555555555555559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4629</v>
      </c>
      <c r="D32" s="482">
        <v>0</v>
      </c>
      <c r="E32" s="481">
        <f>Elect!M33</f>
        <v>2128</v>
      </c>
      <c r="F32" s="482">
        <v>20</v>
      </c>
      <c r="G32" s="481">
        <f>Elect!O33</f>
        <v>1447</v>
      </c>
      <c r="H32" s="482">
        <v>1008</v>
      </c>
      <c r="I32" s="481">
        <f>Water!C34</f>
        <v>539.4</v>
      </c>
      <c r="J32" s="482">
        <v>0</v>
      </c>
      <c r="K32" s="481">
        <f>Water!E34</f>
        <v>0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539.4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312.85199999999998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8134523</v>
      </c>
      <c r="AH32" s="485">
        <f>Gas!C34</f>
        <v>1028.2</v>
      </c>
      <c r="AI32" s="486" t="e">
        <f>Gas!#REF!</f>
        <v>#REF!</v>
      </c>
      <c r="AJ32" s="487">
        <f>Gas!J34</f>
        <v>378.3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211</v>
      </c>
      <c r="AU32" s="481">
        <f>Elect!BP33</f>
        <v>114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488272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2.3051282051282049</v>
      </c>
      <c r="BN32" s="498" t="e">
        <f>Water!W34</f>
        <v>#DIV/0!</v>
      </c>
      <c r="BO32" s="493">
        <f>Water!X34</f>
        <v>2157.6</v>
      </c>
      <c r="BP32" s="498">
        <f>Water!Y34</f>
        <v>9.2205128205128197</v>
      </c>
      <c r="BQ32" s="499" t="e">
        <f>Water!Z34</f>
        <v>#DIV/0!</v>
      </c>
    </row>
    <row r="33" spans="1:98" s="521" customFormat="1" ht="72" customHeight="1">
      <c r="A33" s="443" t="s">
        <v>122</v>
      </c>
      <c r="B33" s="500">
        <v>931200</v>
      </c>
      <c r="C33" s="501">
        <f>Elect!J34</f>
        <v>4629</v>
      </c>
      <c r="D33" s="502">
        <v>0</v>
      </c>
      <c r="E33" s="501">
        <f>Elect!M34</f>
        <v>2000</v>
      </c>
      <c r="F33" s="502">
        <v>600</v>
      </c>
      <c r="G33" s="501">
        <f>Elect!O34</f>
        <v>1807</v>
      </c>
      <c r="H33" s="502">
        <v>24543</v>
      </c>
      <c r="I33" s="501">
        <f>Water!C38</f>
        <v>7487.8</v>
      </c>
      <c r="J33" s="502">
        <v>0</v>
      </c>
      <c r="K33" s="501">
        <f>Water!E39</f>
        <v>0.19333333333333333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9924.9600000000009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5184.5967999999993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26560.420000000006</v>
      </c>
      <c r="AI33" s="506" t="e">
        <f>Gas!#REF!</f>
        <v>#REF!</v>
      </c>
      <c r="AJ33" s="507">
        <f>Gas!J38</f>
        <v>10990.2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201</v>
      </c>
      <c r="AU33" s="506">
        <f>Elect!BP34</f>
        <v>116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488473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1.8164275256222548</v>
      </c>
      <c r="BN33" s="518" t="e">
        <f>Water!W38</f>
        <v>#DIV/0!</v>
      </c>
      <c r="BO33" s="513">
        <f>Water!X38</f>
        <v>38261.440000000002</v>
      </c>
      <c r="BP33" s="518">
        <f>Water!Y38</f>
        <v>7.0024597364568084</v>
      </c>
      <c r="BQ33" s="519" t="e">
        <f>Water!Z38</f>
        <v>#DIV/0!</v>
      </c>
    </row>
    <row r="34" spans="1:98" s="523" customFormat="1" ht="72" customHeight="1" thickBot="1">
      <c r="A34" s="444" t="s">
        <v>123</v>
      </c>
      <c r="B34" s="500">
        <v>33257.142857142855</v>
      </c>
      <c r="C34" s="501">
        <f>Elect!J35</f>
        <v>4629</v>
      </c>
      <c r="D34" s="502">
        <v>0</v>
      </c>
      <c r="E34" s="501">
        <f>Elect!M35</f>
        <v>1951</v>
      </c>
      <c r="F34" s="502">
        <v>21.428571428571427</v>
      </c>
      <c r="G34" s="501">
        <f>Elect!O35</f>
        <v>1553</v>
      </c>
      <c r="H34" s="502">
        <v>876.53571428571433</v>
      </c>
      <c r="I34" s="501">
        <f>Water!C39</f>
        <v>249.59333333333333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330.83200000000005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172.81989333333331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885.34733333333349</v>
      </c>
      <c r="AI34" s="506" t="e">
        <f>Gas!#REF!</f>
        <v>#REF!</v>
      </c>
      <c r="AJ34" s="507">
        <f>Gas!J39</f>
        <v>366.34000000000003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200</v>
      </c>
      <c r="AU34" s="506">
        <f>Elect!BP35</f>
        <v>113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488673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1.8164275256222551</v>
      </c>
      <c r="BN34" s="518" t="e">
        <f>Water!W39</f>
        <v>#DIV/0!</v>
      </c>
      <c r="BO34" s="513">
        <f>Water!X39</f>
        <v>1275.3813333333335</v>
      </c>
      <c r="BP34" s="518">
        <f>Water!Y39</f>
        <v>7.0024597364568093</v>
      </c>
      <c r="BQ34" s="519" t="e">
        <f>Water!Z39</f>
        <v>#DIV/0!</v>
      </c>
    </row>
    <row r="35" spans="1:98" s="523" customFormat="1" ht="72" customHeight="1">
      <c r="A35" s="445" t="s">
        <v>163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482745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165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166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167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168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8" t="s">
        <v>212</v>
      </c>
      <c r="B4" s="918"/>
      <c r="C4" s="918"/>
      <c r="D4" s="918"/>
      <c r="E4" s="918"/>
      <c r="F4" s="918"/>
      <c r="G4" s="108" t="str">
        <f>Elect!A1</f>
        <v>July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213</v>
      </c>
      <c r="B7" s="99" t="s">
        <v>214</v>
      </c>
      <c r="C7" s="99" t="s">
        <v>215</v>
      </c>
      <c r="D7" s="99" t="s">
        <v>214</v>
      </c>
      <c r="E7" s="99" t="s">
        <v>215</v>
      </c>
      <c r="F7" s="99" t="s">
        <v>216</v>
      </c>
      <c r="G7" s="100" t="s">
        <v>217</v>
      </c>
      <c r="H7" s="100" t="s">
        <v>218</v>
      </c>
      <c r="I7" s="99" t="s">
        <v>122</v>
      </c>
      <c r="J7" s="101" t="s">
        <v>122</v>
      </c>
    </row>
    <row r="8" spans="1:10" ht="13.5" thickBot="1">
      <c r="A8" s="102"/>
      <c r="B8" s="103" t="s">
        <v>219</v>
      </c>
      <c r="C8" s="103" t="s">
        <v>219</v>
      </c>
      <c r="D8" s="103" t="s">
        <v>220</v>
      </c>
      <c r="E8" s="103" t="s">
        <v>220</v>
      </c>
      <c r="F8" s="104" t="s">
        <v>221</v>
      </c>
      <c r="G8" s="103" t="s">
        <v>12</v>
      </c>
      <c r="H8" s="103"/>
      <c r="I8" s="104" t="s">
        <v>222</v>
      </c>
      <c r="J8" s="105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9"/>
      <c r="B3" s="921" t="str">
        <f>Elect!A1</f>
        <v>July</v>
      </c>
      <c r="C3" s="922"/>
      <c r="D3" s="922"/>
      <c r="E3" s="923"/>
    </row>
    <row r="4" spans="1:5" ht="14.25" customHeight="1" thickBot="1">
      <c r="A4" s="920"/>
      <c r="B4" s="924" t="s">
        <v>12</v>
      </c>
      <c r="C4" s="925"/>
      <c r="D4" s="926" t="s">
        <v>225</v>
      </c>
      <c r="E4" s="927"/>
    </row>
    <row r="5" spans="1:5" ht="13.5" thickBot="1">
      <c r="A5" s="34" t="s">
        <v>226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227</v>
      </c>
      <c r="B6" s="38"/>
      <c r="C6" s="39"/>
      <c r="D6" s="40"/>
      <c r="E6" s="41"/>
    </row>
    <row r="7" spans="1:5" ht="13.5" thickBot="1">
      <c r="A7" s="117" t="s">
        <v>228</v>
      </c>
      <c r="B7" s="42"/>
      <c r="C7" s="43" t="s">
        <v>229</v>
      </c>
      <c r="D7" s="42" t="s">
        <v>229</v>
      </c>
      <c r="E7" s="43" t="s">
        <v>229</v>
      </c>
    </row>
    <row r="8" spans="1:5">
      <c r="A8" s="118" t="s">
        <v>230</v>
      </c>
      <c r="B8" s="42"/>
      <c r="C8" s="43" t="s">
        <v>229</v>
      </c>
      <c r="D8" s="44" t="s">
        <v>229</v>
      </c>
      <c r="E8" s="45" t="s">
        <v>229</v>
      </c>
    </row>
    <row r="9" spans="1:5" ht="13.5" thickBot="1">
      <c r="A9" s="118" t="s">
        <v>231</v>
      </c>
      <c r="B9" s="359"/>
      <c r="C9" s="360" t="s">
        <v>229</v>
      </c>
      <c r="D9" s="44" t="s">
        <v>229</v>
      </c>
      <c r="E9" s="45" t="s">
        <v>229</v>
      </c>
    </row>
    <row r="10" spans="1:5" ht="13.5" thickBot="1">
      <c r="A10" s="119" t="s">
        <v>232</v>
      </c>
      <c r="B10" s="76"/>
      <c r="C10" s="361"/>
      <c r="D10" s="48"/>
      <c r="E10" s="47"/>
    </row>
    <row r="11" spans="1:5" ht="13.5" thickBot="1">
      <c r="A11" s="362" t="s">
        <v>233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234</v>
      </c>
      <c r="B12" s="366"/>
      <c r="C12" s="366" t="s">
        <v>229</v>
      </c>
      <c r="D12" s="52">
        <v>0</v>
      </c>
      <c r="E12" s="53" t="e">
        <v>#REF!</v>
      </c>
    </row>
    <row r="13" spans="1:5" ht="13.5" thickBot="1">
      <c r="A13" s="120" t="s">
        <v>235</v>
      </c>
      <c r="B13" s="76"/>
      <c r="C13" s="77"/>
      <c r="D13" s="42" t="s">
        <v>229</v>
      </c>
      <c r="E13" s="43" t="s">
        <v>229</v>
      </c>
    </row>
    <row r="14" spans="1:5">
      <c r="A14" s="117" t="s">
        <v>236</v>
      </c>
      <c r="B14" s="42"/>
      <c r="C14" s="63" t="s">
        <v>229</v>
      </c>
      <c r="D14" s="55"/>
      <c r="E14" s="56"/>
    </row>
    <row r="15" spans="1:5" ht="13.5" thickBot="1">
      <c r="A15" s="118" t="s">
        <v>237</v>
      </c>
      <c r="B15" s="44"/>
      <c r="C15" s="54" t="s">
        <v>229</v>
      </c>
      <c r="D15" s="58"/>
      <c r="E15" s="59"/>
    </row>
    <row r="16" spans="1:5" ht="13.5" thickBot="1">
      <c r="A16" s="118" t="s">
        <v>238</v>
      </c>
      <c r="B16" s="44"/>
      <c r="C16" s="54" t="s">
        <v>229</v>
      </c>
      <c r="D16" s="61"/>
      <c r="E16" s="62"/>
    </row>
    <row r="17" spans="1:5">
      <c r="A17" s="118" t="s">
        <v>239</v>
      </c>
      <c r="B17" s="44"/>
      <c r="C17" s="54" t="s">
        <v>229</v>
      </c>
      <c r="D17" s="44" t="s">
        <v>229</v>
      </c>
      <c r="E17" s="54" t="s">
        <v>229</v>
      </c>
    </row>
    <row r="18" spans="1:5">
      <c r="A18" s="118" t="s">
        <v>240</v>
      </c>
      <c r="B18" s="44"/>
      <c r="C18" s="54" t="s">
        <v>229</v>
      </c>
      <c r="D18" s="44" t="s">
        <v>229</v>
      </c>
      <c r="E18" s="54" t="s">
        <v>229</v>
      </c>
    </row>
    <row r="19" spans="1:5">
      <c r="A19" s="118" t="s">
        <v>241</v>
      </c>
      <c r="B19" s="44"/>
      <c r="C19" s="54" t="s">
        <v>229</v>
      </c>
      <c r="D19" s="44" t="s">
        <v>229</v>
      </c>
      <c r="E19" s="54" t="s">
        <v>229</v>
      </c>
    </row>
    <row r="20" spans="1:5">
      <c r="A20" s="118" t="s">
        <v>242</v>
      </c>
      <c r="B20" s="44"/>
      <c r="C20" s="64" t="e">
        <f>#REF!</f>
        <v>#REF!</v>
      </c>
      <c r="D20" s="44" t="s">
        <v>229</v>
      </c>
      <c r="E20" s="54" t="s">
        <v>229</v>
      </c>
    </row>
    <row r="21" spans="1:5">
      <c r="A21" s="118" t="s">
        <v>243</v>
      </c>
      <c r="B21" s="44"/>
      <c r="C21" s="54" t="s">
        <v>229</v>
      </c>
      <c r="D21" s="44" t="s">
        <v>229</v>
      </c>
      <c r="E21" s="54" t="s">
        <v>229</v>
      </c>
    </row>
    <row r="22" spans="1:5">
      <c r="A22" s="118" t="s">
        <v>244</v>
      </c>
      <c r="B22" s="44"/>
      <c r="C22" s="54">
        <f>Water!S38</f>
        <v>0</v>
      </c>
      <c r="D22" s="44" t="s">
        <v>229</v>
      </c>
      <c r="E22" s="54" t="s">
        <v>229</v>
      </c>
    </row>
    <row r="23" spans="1:5" ht="13.5" thickBot="1">
      <c r="A23" s="121" t="s">
        <v>245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246</v>
      </c>
      <c r="B24" s="49"/>
      <c r="C24" s="60"/>
      <c r="D24" s="55" t="s">
        <v>229</v>
      </c>
      <c r="E24" s="56" t="s">
        <v>229</v>
      </c>
    </row>
    <row r="25" spans="1:5">
      <c r="A25" s="123" t="s">
        <v>247</v>
      </c>
      <c r="B25" s="42"/>
      <c r="C25" s="67">
        <f>Elect!J34</f>
        <v>4629</v>
      </c>
      <c r="D25" s="55">
        <v>12266</v>
      </c>
      <c r="E25" s="66">
        <v>814</v>
      </c>
    </row>
    <row r="26" spans="1:5" ht="13.5" thickBot="1">
      <c r="A26" s="128" t="s">
        <v>248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249</v>
      </c>
      <c r="B27" s="44"/>
      <c r="C27" s="69">
        <f>Water!H38</f>
        <v>9924.9600000000009</v>
      </c>
      <c r="D27" s="61"/>
      <c r="E27" s="62"/>
    </row>
    <row r="28" spans="1:5">
      <c r="A28" s="124" t="s">
        <v>250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251</v>
      </c>
      <c r="B29" s="44"/>
      <c r="C29" s="45" t="s">
        <v>229</v>
      </c>
      <c r="D29" s="70">
        <v>28880</v>
      </c>
      <c r="E29" s="66">
        <v>32980</v>
      </c>
    </row>
    <row r="30" spans="1:5" ht="13.5" thickBot="1">
      <c r="A30" s="125" t="s">
        <v>252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253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254</v>
      </c>
      <c r="B32" s="76"/>
      <c r="C32" s="77"/>
      <c r="D32" s="71" t="e">
        <v>#REF!</v>
      </c>
      <c r="E32" s="56" t="s">
        <v>229</v>
      </c>
    </row>
    <row r="33" spans="1:6" ht="13.5" thickBot="1">
      <c r="A33" s="123" t="s">
        <v>255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256</v>
      </c>
      <c r="B34" s="44"/>
      <c r="C34" s="69">
        <f>YTD!Q5</f>
        <v>0</v>
      </c>
      <c r="D34" s="74"/>
      <c r="E34" s="75"/>
    </row>
    <row r="35" spans="1:6" ht="13.5" thickBot="1">
      <c r="A35" s="124" t="s">
        <v>257</v>
      </c>
      <c r="B35" s="44"/>
      <c r="C35" s="69">
        <f>YTD!Q6</f>
        <v>0</v>
      </c>
      <c r="D35" s="61"/>
      <c r="E35" s="62"/>
    </row>
    <row r="36" spans="1:6">
      <c r="A36" s="128" t="s">
        <v>258</v>
      </c>
      <c r="B36" s="44"/>
      <c r="C36" s="82"/>
      <c r="D36" s="78" t="e">
        <v>#REF!</v>
      </c>
      <c r="E36" s="66" t="e">
        <v>#REF!</v>
      </c>
    </row>
    <row r="37" spans="1:6">
      <c r="A37" s="128" t="s">
        <v>259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260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261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262</v>
      </c>
      <c r="B40" s="76"/>
      <c r="C40" s="77"/>
      <c r="D40" s="55">
        <v>1583714</v>
      </c>
      <c r="E40" s="66">
        <v>1940567</v>
      </c>
    </row>
    <row r="41" spans="1:6">
      <c r="A41" s="367" t="s">
        <v>263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264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265</v>
      </c>
      <c r="B43" s="130"/>
      <c r="C43" s="64">
        <f>Water!X38</f>
        <v>38261.440000000002</v>
      </c>
      <c r="D43" s="58">
        <v>112</v>
      </c>
      <c r="E43" s="66">
        <v>97.529999999999944</v>
      </c>
    </row>
    <row r="44" spans="1:6" ht="13.5" thickBot="1">
      <c r="A44" s="129" t="s">
        <v>266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267</v>
      </c>
      <c r="B45" s="131"/>
      <c r="C45" s="54" t="s">
        <v>229</v>
      </c>
      <c r="D45" s="78">
        <v>2138156.84</v>
      </c>
      <c r="E45" s="66" t="e">
        <v>#REF!</v>
      </c>
    </row>
    <row r="46" spans="1:6" ht="13.5" thickBot="1">
      <c r="A46" s="132" t="s">
        <v>268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269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270</v>
      </c>
      <c r="B48" s="197"/>
      <c r="C48" s="89"/>
      <c r="D48" s="65">
        <v>330278</v>
      </c>
      <c r="E48" s="66" t="e">
        <v>#REF!</v>
      </c>
    </row>
    <row r="49" spans="1:6">
      <c r="A49" s="202" t="s">
        <v>271</v>
      </c>
      <c r="B49" s="195"/>
      <c r="C49" s="203">
        <v>6</v>
      </c>
      <c r="D49" s="44" t="s">
        <v>229</v>
      </c>
      <c r="E49" s="54" t="s">
        <v>229</v>
      </c>
    </row>
    <row r="50" spans="1:6" ht="13.5" thickBot="1">
      <c r="A50" s="222" t="s">
        <v>146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272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273</v>
      </c>
      <c r="B52" s="131"/>
      <c r="C52" s="54">
        <v>75064</v>
      </c>
      <c r="D52" s="61"/>
      <c r="E52" s="62"/>
    </row>
    <row r="53" spans="1:6" ht="13.5" thickBot="1">
      <c r="A53" s="204" t="s">
        <v>274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275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276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277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278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July</v>
      </c>
      <c r="C1" s="776"/>
      <c r="D1" s="776"/>
      <c r="E1" s="776"/>
      <c r="F1" s="776"/>
      <c r="G1" s="776"/>
      <c r="H1" s="211" t="s">
        <v>279</v>
      </c>
      <c r="I1" s="776"/>
      <c r="J1" s="776"/>
      <c r="K1" s="776"/>
      <c r="L1" s="776"/>
      <c r="M1" s="776"/>
      <c r="N1" s="776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6"/>
      <c r="D2" s="776"/>
      <c r="E2" s="776"/>
      <c r="F2" s="776"/>
      <c r="G2" s="212"/>
      <c r="H2" s="776"/>
      <c r="I2" s="776"/>
      <c r="J2" s="776"/>
      <c r="K2" s="776"/>
      <c r="L2" s="776"/>
      <c r="M2" s="776"/>
      <c r="N2" s="776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280</v>
      </c>
      <c r="D3" s="227" t="s">
        <v>281</v>
      </c>
      <c r="E3" s="227" t="s">
        <v>282</v>
      </c>
      <c r="F3" s="227" t="s">
        <v>283</v>
      </c>
      <c r="G3" s="227" t="s">
        <v>284</v>
      </c>
      <c r="H3" s="227" t="s">
        <v>285</v>
      </c>
      <c r="I3" s="227" t="s">
        <v>286</v>
      </c>
      <c r="J3" s="227" t="s">
        <v>287</v>
      </c>
      <c r="K3" s="227" t="s">
        <v>288</v>
      </c>
      <c r="L3" s="227" t="s">
        <v>289</v>
      </c>
      <c r="M3" s="227" t="s">
        <v>290</v>
      </c>
      <c r="N3" s="227" t="s">
        <v>291</v>
      </c>
      <c r="O3" s="228" t="s">
        <v>292</v>
      </c>
      <c r="P3" s="229" t="s">
        <v>293</v>
      </c>
      <c r="Q3" s="230" t="s">
        <v>294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295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296</v>
      </c>
      <c r="B5" s="296"/>
      <c r="C5" s="234">
        <v>25072</v>
      </c>
      <c r="D5" s="380">
        <f>Elect!BP34</f>
        <v>116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25188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297</v>
      </c>
      <c r="B6" s="298"/>
      <c r="C6" s="235">
        <v>50662</v>
      </c>
      <c r="D6" s="235">
        <f>Elect!BR34</f>
        <v>201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50863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298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299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300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301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302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303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304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305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306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307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308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309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310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311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312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313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314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315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316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317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318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319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320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321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322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323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324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325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326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327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328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329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330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331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332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333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334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335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336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337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338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339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340</v>
      </c>
      <c r="B51" s="312" t="s">
        <v>341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342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343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344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345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346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347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348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349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350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351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352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353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354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355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356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357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358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359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360</v>
      </c>
      <c r="B77" s="320" t="s">
        <v>361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362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360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362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360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362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363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364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365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305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306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307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308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309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310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311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312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313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314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315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316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317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318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319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320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366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322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323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324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325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326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327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328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329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330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331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332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333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334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335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336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337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338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339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340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342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343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344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345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346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367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348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349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350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354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355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368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365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305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306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307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308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309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310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311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312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313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314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315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316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317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318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319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320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366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322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323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324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325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326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327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328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329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330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331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332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333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334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335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336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337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338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339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340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342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343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344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345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346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367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348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349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350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354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355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369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370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371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372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373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374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375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376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377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378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379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380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381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348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382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311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312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313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314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315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316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317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318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319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320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366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322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323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324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325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326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327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328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329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330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331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332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333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334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335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336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337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338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339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340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342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343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344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345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346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367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348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349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350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351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352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354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383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311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312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313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314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315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316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317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318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319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320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366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322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323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324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325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326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327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328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329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330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331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332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333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334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335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336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337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338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339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340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342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343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344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345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346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367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348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349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350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351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352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354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7"/>
      <c r="D2336" s="777"/>
      <c r="E2336" s="777"/>
      <c r="F2336" s="777"/>
      <c r="G2336" s="777"/>
      <c r="H2336" s="777"/>
      <c r="I2336" s="777"/>
      <c r="J2336" s="777"/>
      <c r="K2336" s="777"/>
      <c r="L2336" s="777"/>
      <c r="M2336" s="777"/>
      <c r="N2336" s="777"/>
      <c r="O2336" s="266"/>
      <c r="P2336" s="266"/>
      <c r="Q2336" s="778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7">
        <v>39814</v>
      </c>
      <c r="D2337" s="777">
        <v>39845</v>
      </c>
      <c r="E2337" s="777">
        <v>39873</v>
      </c>
      <c r="F2337" s="777">
        <v>39904</v>
      </c>
      <c r="G2337" s="777">
        <v>39934</v>
      </c>
      <c r="H2337" s="777">
        <v>39965</v>
      </c>
      <c r="I2337" s="777">
        <v>39995</v>
      </c>
      <c r="J2337" s="777">
        <v>40026</v>
      </c>
      <c r="K2337" s="777">
        <v>40057</v>
      </c>
      <c r="L2337" s="777">
        <v>40087</v>
      </c>
      <c r="M2337" s="777">
        <v>40118</v>
      </c>
      <c r="N2337" s="777">
        <v>40148</v>
      </c>
      <c r="O2337" s="267"/>
      <c r="P2337" s="267"/>
      <c r="Q2337" s="779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6"/>
      <c r="D2338" s="776"/>
      <c r="E2338" s="776"/>
      <c r="F2338" s="776"/>
      <c r="G2338" s="776"/>
      <c r="H2338" s="211" t="s">
        <v>384</v>
      </c>
      <c r="I2338" s="214"/>
      <c r="J2338" s="776"/>
      <c r="K2338" s="776"/>
      <c r="L2338" s="776"/>
      <c r="M2338" s="776"/>
      <c r="N2338" s="776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6"/>
      <c r="D2339" s="776"/>
      <c r="E2339" s="776"/>
      <c r="F2339" s="776"/>
      <c r="G2339" s="776"/>
      <c r="H2339" s="776"/>
      <c r="I2339" s="776"/>
      <c r="J2339" s="776"/>
      <c r="K2339" s="776"/>
      <c r="L2339" s="776"/>
      <c r="M2339" s="776"/>
      <c r="N2339" s="776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280</v>
      </c>
      <c r="D2340" s="268" t="s">
        <v>281</v>
      </c>
      <c r="E2340" s="268" t="s">
        <v>282</v>
      </c>
      <c r="F2340" s="268" t="s">
        <v>283</v>
      </c>
      <c r="G2340" s="268" t="s">
        <v>284</v>
      </c>
      <c r="H2340" s="268" t="s">
        <v>285</v>
      </c>
      <c r="I2340" s="268" t="s">
        <v>286</v>
      </c>
      <c r="J2340" s="268" t="s">
        <v>287</v>
      </c>
      <c r="K2340" s="268" t="s">
        <v>288</v>
      </c>
      <c r="L2340" s="268" t="s">
        <v>289</v>
      </c>
      <c r="M2340" s="268" t="s">
        <v>290</v>
      </c>
      <c r="N2340" s="269" t="s">
        <v>291</v>
      </c>
      <c r="O2340" s="226" t="s">
        <v>385</v>
      </c>
      <c r="P2340" s="270" t="s">
        <v>293</v>
      </c>
      <c r="Q2340" s="230" t="s">
        <v>386</v>
      </c>
      <c r="R2340" s="780"/>
      <c r="S2340" s="780"/>
      <c r="T2340" s="780"/>
      <c r="U2340" s="780"/>
      <c r="V2340" s="780"/>
      <c r="W2340" s="780"/>
      <c r="X2340" s="780"/>
      <c r="Y2340" s="780"/>
      <c r="Z2340" s="780"/>
    </row>
    <row r="2341" spans="1:26" s="213" customFormat="1" ht="16.5" thickTop="1">
      <c r="A2341" s="326" t="s">
        <v>296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297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304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365</v>
      </c>
      <c r="B2344" s="331"/>
      <c r="C2344" s="781"/>
      <c r="D2344" s="781"/>
      <c r="E2344" s="781"/>
      <c r="F2344" s="781"/>
      <c r="G2344" s="781"/>
      <c r="H2344" s="781"/>
      <c r="I2344" s="781"/>
      <c r="J2344" s="781"/>
      <c r="K2344" s="781"/>
      <c r="L2344" s="781"/>
      <c r="M2344" s="781"/>
      <c r="N2344" s="782"/>
      <c r="O2344" s="273"/>
      <c r="P2344" s="274">
        <f t="shared" si="44"/>
        <v>0</v>
      </c>
      <c r="Q2344" s="275">
        <f t="shared" si="45"/>
        <v>0</v>
      </c>
      <c r="R2344" s="780"/>
      <c r="S2344" s="780"/>
      <c r="T2344" s="780"/>
      <c r="U2344" s="780"/>
      <c r="V2344" s="780"/>
      <c r="W2344" s="780"/>
      <c r="X2344" s="780"/>
      <c r="Y2344" s="780"/>
      <c r="Z2344" s="780"/>
    </row>
    <row r="2345" spans="1:26" s="219" customFormat="1" ht="18.75" customHeight="1">
      <c r="A2345" s="783" t="s">
        <v>387</v>
      </c>
      <c r="B2345" s="784" t="s">
        <v>388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0"/>
      <c r="S2345" s="780"/>
      <c r="T2345" s="780"/>
      <c r="U2345" s="780"/>
      <c r="V2345" s="780"/>
      <c r="W2345" s="780"/>
      <c r="X2345" s="780"/>
      <c r="Y2345" s="780"/>
      <c r="Z2345" s="780"/>
    </row>
    <row r="2346" spans="1:26" s="219" customFormat="1" ht="18.75" customHeight="1">
      <c r="A2346" s="783" t="s">
        <v>389</v>
      </c>
      <c r="B2346" s="784" t="s">
        <v>388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0"/>
      <c r="S2346" s="780"/>
      <c r="T2346" s="780"/>
      <c r="U2346" s="780"/>
      <c r="V2346" s="780"/>
      <c r="W2346" s="780"/>
      <c r="X2346" s="780"/>
      <c r="Y2346" s="780"/>
      <c r="Z2346" s="780"/>
    </row>
    <row r="2347" spans="1:26" s="219" customFormat="1" ht="18.75" customHeight="1">
      <c r="A2347" s="783" t="s">
        <v>390</v>
      </c>
      <c r="B2347" s="784" t="s">
        <v>388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0"/>
      <c r="S2347" s="780"/>
      <c r="T2347" s="780"/>
      <c r="U2347" s="780"/>
      <c r="V2347" s="780"/>
      <c r="W2347" s="780"/>
      <c r="X2347" s="780"/>
      <c r="Y2347" s="780"/>
      <c r="Z2347" s="780"/>
    </row>
    <row r="2348" spans="1:26" s="219" customFormat="1" ht="18.75" customHeight="1" thickBot="1">
      <c r="A2348" s="783" t="s">
        <v>391</v>
      </c>
      <c r="B2348" s="784" t="s">
        <v>388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0"/>
      <c r="S2348" s="780"/>
      <c r="T2348" s="780"/>
      <c r="U2348" s="780"/>
      <c r="V2348" s="780"/>
      <c r="W2348" s="780"/>
      <c r="X2348" s="780"/>
      <c r="Y2348" s="780"/>
      <c r="Z2348" s="780"/>
    </row>
    <row r="2349" spans="1:26" s="220" customFormat="1" ht="21.75" customHeight="1" thickTop="1" thickBot="1">
      <c r="A2349" s="379" t="s">
        <v>309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7"/>
      <c r="D2350" s="777"/>
      <c r="E2350" s="777"/>
      <c r="F2350" s="777"/>
      <c r="G2350" s="777"/>
      <c r="H2350" s="777"/>
      <c r="I2350" s="777"/>
      <c r="J2350" s="777"/>
      <c r="K2350" s="777"/>
      <c r="L2350" s="777"/>
      <c r="M2350" s="777"/>
      <c r="N2350" s="777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354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355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356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6"/>
      <c r="D2354" s="776"/>
      <c r="E2354" s="776"/>
      <c r="F2354" s="776"/>
      <c r="G2354" s="776"/>
      <c r="H2354" s="776"/>
      <c r="I2354" s="776"/>
      <c r="J2354" s="776"/>
      <c r="K2354" s="776"/>
      <c r="L2354" s="776"/>
      <c r="M2354" s="776"/>
      <c r="N2354" s="776"/>
      <c r="O2354" s="776"/>
      <c r="P2354" s="776"/>
      <c r="Q2354" s="776"/>
      <c r="R2354" s="776"/>
      <c r="S2354" s="776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6"/>
      <c r="D2355" s="776"/>
      <c r="E2355" s="776"/>
      <c r="F2355" s="776"/>
      <c r="G2355" s="776"/>
      <c r="H2355" s="211" t="s">
        <v>392</v>
      </c>
      <c r="I2355" s="214"/>
      <c r="J2355" s="776"/>
      <c r="K2355" s="776"/>
      <c r="L2355" s="776"/>
      <c r="M2355" s="776"/>
      <c r="N2355" s="776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6"/>
      <c r="D2356" s="776"/>
      <c r="E2356" s="776"/>
      <c r="F2356" s="776"/>
      <c r="G2356" s="776"/>
      <c r="H2356" s="776"/>
      <c r="I2356" s="776"/>
      <c r="J2356" s="776"/>
      <c r="K2356" s="776"/>
      <c r="L2356" s="776"/>
      <c r="M2356" s="776"/>
      <c r="N2356" s="776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280</v>
      </c>
      <c r="D2357" s="268" t="s">
        <v>281</v>
      </c>
      <c r="E2357" s="268" t="s">
        <v>282</v>
      </c>
      <c r="F2357" s="268" t="s">
        <v>283</v>
      </c>
      <c r="G2357" s="268" t="s">
        <v>284</v>
      </c>
      <c r="H2357" s="268" t="s">
        <v>285</v>
      </c>
      <c r="I2357" s="268" t="s">
        <v>286</v>
      </c>
      <c r="J2357" s="268" t="s">
        <v>287</v>
      </c>
      <c r="K2357" s="268" t="s">
        <v>288</v>
      </c>
      <c r="L2357" s="268" t="s">
        <v>289</v>
      </c>
      <c r="M2357" s="268" t="s">
        <v>290</v>
      </c>
      <c r="N2357" s="269" t="s">
        <v>291</v>
      </c>
      <c r="O2357" s="226" t="s">
        <v>385</v>
      </c>
      <c r="P2357" s="270" t="s">
        <v>293</v>
      </c>
      <c r="Q2357" s="230" t="s">
        <v>386</v>
      </c>
      <c r="R2357" s="780"/>
      <c r="S2357" s="780"/>
      <c r="T2357" s="780"/>
      <c r="U2357" s="780"/>
      <c r="V2357" s="780"/>
      <c r="W2357" s="780"/>
      <c r="X2357" s="780"/>
      <c r="Y2357" s="780"/>
      <c r="Z2357" s="780"/>
    </row>
    <row r="2358" spans="1:26" s="213" customFormat="1" ht="16.5" thickTop="1">
      <c r="A2358" s="326" t="s">
        <v>296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297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304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365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0"/>
      <c r="S2361" s="780"/>
      <c r="T2361" s="780"/>
      <c r="U2361" s="780"/>
      <c r="V2361" s="780"/>
      <c r="W2361" s="780"/>
      <c r="X2361" s="780"/>
      <c r="Y2361" s="780"/>
      <c r="Z2361" s="780"/>
    </row>
    <row r="2362" spans="1:26" s="219" customFormat="1" ht="18.75" customHeight="1">
      <c r="A2362" s="783" t="s">
        <v>387</v>
      </c>
      <c r="B2362" s="784" t="s">
        <v>388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0"/>
      <c r="S2362" s="780"/>
      <c r="T2362" s="780"/>
      <c r="U2362" s="780"/>
      <c r="V2362" s="780"/>
      <c r="W2362" s="780"/>
      <c r="X2362" s="780"/>
      <c r="Y2362" s="780"/>
      <c r="Z2362" s="780"/>
    </row>
    <row r="2363" spans="1:26" s="219" customFormat="1" ht="18.75" customHeight="1">
      <c r="A2363" s="783" t="s">
        <v>389</v>
      </c>
      <c r="B2363" s="784" t="s">
        <v>388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0"/>
      <c r="S2363" s="780"/>
      <c r="T2363" s="780"/>
      <c r="U2363" s="780"/>
      <c r="V2363" s="780"/>
      <c r="W2363" s="780"/>
      <c r="X2363" s="780"/>
      <c r="Y2363" s="780"/>
      <c r="Z2363" s="780"/>
    </row>
    <row r="2364" spans="1:26" s="219" customFormat="1" ht="18.75" customHeight="1">
      <c r="A2364" s="783" t="s">
        <v>390</v>
      </c>
      <c r="B2364" s="784" t="s">
        <v>388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0"/>
      <c r="S2364" s="780"/>
      <c r="T2364" s="780"/>
      <c r="U2364" s="780"/>
      <c r="V2364" s="780"/>
      <c r="W2364" s="780"/>
      <c r="X2364" s="780"/>
      <c r="Y2364" s="780"/>
      <c r="Z2364" s="780"/>
    </row>
    <row r="2365" spans="1:26" s="219" customFormat="1" ht="18.75" customHeight="1" thickBot="1">
      <c r="A2365" s="783" t="s">
        <v>391</v>
      </c>
      <c r="B2365" s="784" t="s">
        <v>388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0"/>
      <c r="S2365" s="780"/>
      <c r="T2365" s="780"/>
      <c r="U2365" s="780"/>
      <c r="V2365" s="780"/>
      <c r="W2365" s="780"/>
      <c r="X2365" s="780"/>
      <c r="Y2365" s="780"/>
      <c r="Z2365" s="780"/>
    </row>
    <row r="2366" spans="1:26" s="220" customFormat="1" ht="21.75" customHeight="1" thickTop="1" thickBot="1">
      <c r="A2366" s="332" t="s">
        <v>309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7"/>
      <c r="D2367" s="777"/>
      <c r="E2367" s="777"/>
      <c r="F2367" s="777"/>
      <c r="G2367" s="777"/>
      <c r="H2367" s="777"/>
      <c r="I2367" s="777"/>
      <c r="J2367" s="777"/>
      <c r="K2367" s="777"/>
      <c r="L2367" s="777"/>
      <c r="M2367" s="777"/>
      <c r="N2367" s="777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354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355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356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6"/>
      <c r="D2371" s="776"/>
      <c r="E2371" s="776"/>
      <c r="F2371" s="776"/>
      <c r="G2371" s="776"/>
      <c r="H2371" s="776"/>
      <c r="I2371" s="776"/>
      <c r="J2371" s="776"/>
      <c r="K2371" s="776"/>
      <c r="L2371" s="776"/>
      <c r="M2371" s="776"/>
      <c r="N2371" s="776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K13" sqref="K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393</v>
      </c>
      <c r="F6" s="671"/>
      <c r="G6" s="670"/>
      <c r="H6" s="672" t="str">
        <f>Elect!A1</f>
        <v>July</v>
      </c>
      <c r="I6" s="670"/>
      <c r="J6" s="670"/>
      <c r="K6" s="670"/>
    </row>
    <row r="9" spans="2:13" ht="13.5" customHeight="1">
      <c r="B9" s="928" t="s">
        <v>394</v>
      </c>
      <c r="C9" s="929"/>
      <c r="D9" s="929"/>
      <c r="E9" s="929"/>
      <c r="F9" s="929"/>
      <c r="G9" s="929"/>
      <c r="H9" s="929"/>
      <c r="I9" s="929"/>
      <c r="J9" s="929"/>
      <c r="K9" s="929"/>
      <c r="L9" s="929"/>
      <c r="M9" s="929"/>
    </row>
    <row r="10" spans="2:13" ht="13.5" customHeight="1" thickBot="1">
      <c r="B10" s="930"/>
      <c r="C10" s="931"/>
      <c r="D10" s="931"/>
      <c r="E10" s="931"/>
      <c r="F10" s="931"/>
      <c r="G10" s="931"/>
      <c r="H10" s="931"/>
      <c r="I10" s="931"/>
      <c r="J10" s="931"/>
      <c r="K10" s="931"/>
      <c r="L10" s="931"/>
      <c r="M10" s="931"/>
    </row>
    <row r="11" spans="2:13" ht="16.5" thickBot="1">
      <c r="B11" s="941" t="s">
        <v>395</v>
      </c>
      <c r="C11" s="941"/>
      <c r="D11" s="941" t="s">
        <v>396</v>
      </c>
      <c r="E11" s="941"/>
      <c r="F11" s="941" t="s">
        <v>397</v>
      </c>
      <c r="G11" s="941"/>
      <c r="H11" s="939" t="s">
        <v>398</v>
      </c>
      <c r="I11" s="940"/>
      <c r="J11" s="939" t="s">
        <v>399</v>
      </c>
      <c r="K11" s="940"/>
      <c r="L11" s="939" t="s">
        <v>400</v>
      </c>
      <c r="M11" s="940"/>
    </row>
    <row r="12" spans="2:13" ht="16.5" thickBot="1">
      <c r="B12" s="673" t="s">
        <v>401</v>
      </c>
      <c r="C12" s="673" t="s">
        <v>402</v>
      </c>
      <c r="D12" s="673" t="s">
        <v>401</v>
      </c>
      <c r="E12" s="673" t="s">
        <v>402</v>
      </c>
      <c r="F12" s="673" t="s">
        <v>401</v>
      </c>
      <c r="G12" s="673" t="s">
        <v>402</v>
      </c>
      <c r="H12" s="673" t="s">
        <v>401</v>
      </c>
      <c r="I12" s="673" t="s">
        <v>402</v>
      </c>
      <c r="J12" s="673" t="s">
        <v>401</v>
      </c>
      <c r="K12" s="673" t="s">
        <v>402</v>
      </c>
      <c r="L12" s="673" t="s">
        <v>401</v>
      </c>
      <c r="M12" s="673" t="s">
        <v>402</v>
      </c>
    </row>
    <row r="13" spans="2:13" ht="13.5" thickBot="1">
      <c r="B13" s="674">
        <f>Elect!AN37</f>
        <v>414955.76200000005</v>
      </c>
      <c r="C13" s="760">
        <f>(B13*1.15)+(2879*60*0.72)</f>
        <v>601571.92629999993</v>
      </c>
      <c r="D13" s="674">
        <f>Elect!J37</f>
        <v>165668</v>
      </c>
      <c r="E13" s="760">
        <f>(D13*1.15)+(573*60)+10000</f>
        <v>234898.19999999998</v>
      </c>
      <c r="F13" s="674">
        <f>Elect!BI37</f>
        <v>390636.7375000001</v>
      </c>
      <c r="G13" s="760">
        <f>(F13*1.15)</f>
        <v>449232.2481250001</v>
      </c>
      <c r="H13" s="674">
        <f>Elect!Q37</f>
        <v>17880</v>
      </c>
      <c r="I13" s="760">
        <f>H13*1.6+1500</f>
        <v>30108</v>
      </c>
      <c r="J13" s="800">
        <f>B13+D13+F13+H13</f>
        <v>989140.49950000015</v>
      </c>
      <c r="K13" s="761">
        <f>G13+E13+C13+I13</f>
        <v>1315810.374425</v>
      </c>
      <c r="L13" s="800">
        <f>B13+F13</f>
        <v>805592.49950000015</v>
      </c>
      <c r="M13" s="762">
        <f>C13+G13</f>
        <v>1050804.1744250001</v>
      </c>
    </row>
    <row r="16" spans="2:13" ht="0.75" customHeight="1" thickBot="1">
      <c r="K16">
        <f>K18</f>
        <v>1544940.9724250003</v>
      </c>
    </row>
    <row r="17" spans="4:11" ht="13.5" customHeight="1">
      <c r="E17" s="932" t="s">
        <v>403</v>
      </c>
      <c r="F17" s="933"/>
      <c r="J17" s="758" t="s">
        <v>404</v>
      </c>
      <c r="K17" s="759">
        <f>K13/J13</f>
        <v>1.3302562933072986</v>
      </c>
    </row>
    <row r="18" spans="4:11" ht="34.5" customHeight="1" thickBot="1">
      <c r="E18" s="934"/>
      <c r="F18" s="935"/>
      <c r="J18" s="758" t="s">
        <v>405</v>
      </c>
      <c r="K18" s="763">
        <f>K13+F20+F27+G35</f>
        <v>1544940.9724250003</v>
      </c>
    </row>
    <row r="19" spans="4:11" ht="13.5" thickBot="1">
      <c r="E19" s="676" t="s">
        <v>406</v>
      </c>
      <c r="F19" s="676" t="s">
        <v>402</v>
      </c>
    </row>
    <row r="20" spans="4:11" ht="13.5" thickBot="1">
      <c r="E20" s="936">
        <f>Water!H38</f>
        <v>9924.9600000000009</v>
      </c>
      <c r="F20" s="938">
        <f>E20*10</f>
        <v>99249.600000000006</v>
      </c>
    </row>
    <row r="21" spans="4:11" ht="13.5" thickBot="1">
      <c r="E21" s="937"/>
      <c r="F21" s="938"/>
    </row>
    <row r="23" spans="4:11" ht="13.5" thickBot="1"/>
    <row r="24" spans="4:11" ht="13.5" thickBot="1">
      <c r="E24" s="942" t="s">
        <v>407</v>
      </c>
      <c r="F24" s="942"/>
    </row>
    <row r="25" spans="4:11" ht="11.25" customHeight="1" thickBot="1">
      <c r="E25" s="942"/>
      <c r="F25" s="942"/>
      <c r="H25" s="83"/>
    </row>
    <row r="26" spans="4:11" ht="13.5" thickBot="1">
      <c r="E26" s="676" t="s">
        <v>406</v>
      </c>
      <c r="F26" s="676" t="s">
        <v>402</v>
      </c>
    </row>
    <row r="27" spans="4:11" ht="13.5" thickBot="1">
      <c r="E27" s="937">
        <f>Gas!C38</f>
        <v>26560.420000000006</v>
      </c>
      <c r="F27" s="938">
        <f>E27*3.9</f>
        <v>103585.63800000002</v>
      </c>
    </row>
    <row r="28" spans="4:11" ht="13.5" thickBot="1">
      <c r="E28" s="937"/>
      <c r="F28" s="938"/>
    </row>
    <row r="30" spans="4:11" ht="13.5" thickBot="1"/>
    <row r="31" spans="4:11" ht="20.25">
      <c r="D31" s="943" t="s">
        <v>408</v>
      </c>
      <c r="E31" s="944"/>
      <c r="F31" s="944"/>
      <c r="G31" s="945"/>
      <c r="H31" s="678"/>
      <c r="I31" s="678"/>
    </row>
    <row r="32" spans="4:11" ht="21" thickBot="1">
      <c r="D32" s="928"/>
      <c r="E32" s="929"/>
      <c r="F32" s="929"/>
      <c r="G32" s="946"/>
      <c r="H32" s="678"/>
      <c r="I32" s="678"/>
    </row>
    <row r="33" spans="3:9" ht="13.5" thickBot="1">
      <c r="D33" s="679" t="s">
        <v>409</v>
      </c>
      <c r="E33" s="679" t="s">
        <v>410</v>
      </c>
      <c r="F33" s="679" t="s">
        <v>411</v>
      </c>
      <c r="G33" s="679" t="s">
        <v>402</v>
      </c>
      <c r="H33" s="680"/>
      <c r="I33" s="680"/>
    </row>
    <row r="34" spans="3:9" ht="13.5" thickBot="1">
      <c r="C34" s="742"/>
      <c r="D34" s="684">
        <f>Gas!D6</f>
        <v>373612</v>
      </c>
      <c r="E34" s="684">
        <f>Gas!D36</f>
        <v>382935</v>
      </c>
      <c r="F34" s="717">
        <f>Gas!E38</f>
        <v>6742.4</v>
      </c>
      <c r="G34" s="801">
        <f>F34*3.9</f>
        <v>26295.359999999997</v>
      </c>
      <c r="H34" s="682"/>
      <c r="I34" s="682"/>
    </row>
    <row r="35" spans="3:9" ht="18.75" thickBot="1">
      <c r="D35" s="950" t="s">
        <v>412</v>
      </c>
      <c r="E35" s="950"/>
      <c r="F35" s="950"/>
      <c r="G35" s="801">
        <f>G34</f>
        <v>26295.359999999997</v>
      </c>
      <c r="H35" s="33"/>
      <c r="I35" s="33"/>
    </row>
    <row r="37" spans="3:9" ht="13.5" thickBot="1"/>
    <row r="38" spans="3:9" ht="20.25">
      <c r="D38" s="943" t="s">
        <v>413</v>
      </c>
      <c r="E38" s="944"/>
      <c r="F38" s="944"/>
      <c r="G38" s="945"/>
      <c r="H38" s="678"/>
      <c r="I38" s="678"/>
    </row>
    <row r="39" spans="3:9" ht="21" thickBot="1">
      <c r="D39" s="928"/>
      <c r="E39" s="929"/>
      <c r="F39" s="929"/>
      <c r="G39" s="946"/>
      <c r="H39" s="678"/>
      <c r="I39" s="678"/>
    </row>
    <row r="40" spans="3:9" ht="18.75" customHeight="1" thickBot="1">
      <c r="D40" s="679" t="s">
        <v>409</v>
      </c>
      <c r="E40" s="679" t="s">
        <v>410</v>
      </c>
      <c r="F40" s="679" t="s">
        <v>401</v>
      </c>
      <c r="G40" s="679" t="s">
        <v>402</v>
      </c>
      <c r="H40" s="680"/>
      <c r="I40" s="680"/>
    </row>
    <row r="41" spans="3:9" ht="13.5" thickBot="1">
      <c r="C41" s="681" t="s">
        <v>87</v>
      </c>
      <c r="D41" s="685">
        <f>Elect!R5</f>
        <v>152378</v>
      </c>
      <c r="E41" s="764">
        <f>Elect!R36</f>
        <v>156363</v>
      </c>
      <c r="F41" s="686">
        <f>E41-D41</f>
        <v>3985</v>
      </c>
      <c r="G41" s="766">
        <f>F41*1.15</f>
        <v>4582.75</v>
      </c>
      <c r="H41" s="687"/>
      <c r="I41" s="687"/>
    </row>
    <row r="42" spans="3:9" ht="13.5" thickBot="1">
      <c r="C42" s="681" t="s">
        <v>88</v>
      </c>
      <c r="D42" s="685">
        <f>Elect!T5</f>
        <v>276952</v>
      </c>
      <c r="E42" s="685">
        <f>Elect!T36</f>
        <v>284891</v>
      </c>
      <c r="F42" s="686">
        <f>E42-D42</f>
        <v>7939</v>
      </c>
      <c r="G42" s="766">
        <f>F42*1.15</f>
        <v>9129.8499999999985</v>
      </c>
      <c r="H42" s="687"/>
      <c r="I42" s="687"/>
    </row>
    <row r="43" spans="3:9" ht="18.75" thickBot="1">
      <c r="D43" s="947" t="s">
        <v>412</v>
      </c>
      <c r="E43" s="948"/>
      <c r="F43" s="949"/>
      <c r="G43" s="767">
        <f>G42+G41</f>
        <v>13712.599999999999</v>
      </c>
      <c r="H43" s="33"/>
      <c r="I43" s="33"/>
    </row>
    <row r="44" spans="3:9">
      <c r="F44" s="225"/>
    </row>
    <row r="48" spans="3:9" ht="13.5" thickBot="1"/>
    <row r="49" spans="3:7">
      <c r="D49" s="943" t="s">
        <v>414</v>
      </c>
      <c r="E49" s="944"/>
      <c r="F49" s="944"/>
      <c r="G49" s="945"/>
    </row>
    <row r="50" spans="3:7" ht="13.5" thickBot="1">
      <c r="D50" s="928"/>
      <c r="E50" s="929"/>
      <c r="F50" s="929"/>
      <c r="G50" s="946"/>
    </row>
    <row r="51" spans="3:7" ht="13.5" thickBot="1">
      <c r="D51" s="679" t="s">
        <v>409</v>
      </c>
      <c r="E51" s="679" t="s">
        <v>410</v>
      </c>
      <c r="F51" s="679" t="s">
        <v>406</v>
      </c>
      <c r="G51" s="679" t="s">
        <v>402</v>
      </c>
    </row>
    <row r="52" spans="3:7" ht="13.5" thickBot="1">
      <c r="C52" s="681" t="s">
        <v>415</v>
      </c>
      <c r="D52" s="684">
        <f>Water!I6</f>
        <v>224</v>
      </c>
      <c r="E52" s="685">
        <f>Water!I37</f>
        <v>228</v>
      </c>
      <c r="F52" s="800">
        <f>E52-D52</f>
        <v>4</v>
      </c>
      <c r="G52" s="677">
        <f>F52*10</f>
        <v>40</v>
      </c>
    </row>
    <row r="53" spans="3:7" ht="13.5" thickBot="1">
      <c r="C53" s="681" t="s">
        <v>416</v>
      </c>
      <c r="D53" s="685">
        <f>Water!K6</f>
        <v>3322</v>
      </c>
      <c r="E53" s="685">
        <f>Water!K37</f>
        <v>3428</v>
      </c>
      <c r="F53" s="686">
        <f>E53-D53</f>
        <v>106</v>
      </c>
      <c r="G53" s="675">
        <f>F53*10</f>
        <v>1060</v>
      </c>
    </row>
    <row r="54" spans="3:7" ht="18.75" thickBot="1">
      <c r="D54" s="947" t="s">
        <v>412</v>
      </c>
      <c r="E54" s="948"/>
      <c r="F54" s="949"/>
      <c r="G54" s="683">
        <f>G52+G53</f>
        <v>1100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7FA9AE-92CC-45F8-993E-9DCB5963E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