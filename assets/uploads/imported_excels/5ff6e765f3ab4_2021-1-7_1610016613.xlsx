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aris.karavidas\Desktop\hep\"/>
    </mc:Choice>
  </mc:AlternateContent>
  <bookViews>
    <workbookView xWindow="-105" yWindow="-105" windowWidth="23250" windowHeight="12405"/>
  </bookViews>
  <sheets>
    <sheet name="TOTAL" sheetId="1" r:id="rId1"/>
    <sheet name="Athens Daily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2" i="1" l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K5" i="2" l="1"/>
  <c r="K6" i="2"/>
  <c r="K7" i="2"/>
  <c r="K8" i="2"/>
  <c r="K9" i="2"/>
  <c r="K10" i="2"/>
  <c r="K11" i="2"/>
  <c r="K12" i="2"/>
  <c r="K13" i="2"/>
  <c r="K14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F33" i="2"/>
  <c r="H33" i="2"/>
  <c r="F34" i="2"/>
  <c r="H34" i="2"/>
  <c r="F35" i="2"/>
  <c r="H35" i="2"/>
  <c r="D33" i="2"/>
  <c r="D34" i="2"/>
  <c r="D35" i="2"/>
  <c r="D6" i="2"/>
  <c r="F6" i="2"/>
  <c r="H6" i="2"/>
  <c r="D7" i="2"/>
  <c r="F7" i="2"/>
  <c r="H7" i="2"/>
  <c r="D8" i="2"/>
  <c r="F8" i="2"/>
  <c r="H8" i="2"/>
  <c r="H5" i="2"/>
  <c r="F5" i="2"/>
  <c r="D5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F9" i="2"/>
  <c r="H9" i="2"/>
  <c r="F10" i="2"/>
  <c r="H10" i="2"/>
  <c r="F11" i="2"/>
  <c r="H11" i="2"/>
  <c r="F12" i="2"/>
  <c r="H12" i="2"/>
  <c r="F13" i="2"/>
  <c r="H13" i="2"/>
  <c r="D14" i="2"/>
  <c r="F14" i="2"/>
  <c r="H14" i="2"/>
  <c r="F15" i="2"/>
  <c r="F16" i="2"/>
  <c r="H16" i="2"/>
  <c r="F17" i="2"/>
  <c r="H17" i="2"/>
  <c r="F18" i="2"/>
  <c r="H18" i="2"/>
  <c r="F19" i="2"/>
  <c r="H19" i="2"/>
  <c r="F20" i="2"/>
  <c r="H20" i="2"/>
  <c r="F21" i="2"/>
  <c r="H21" i="2"/>
  <c r="F22" i="2"/>
  <c r="H22" i="2"/>
  <c r="F23" i="2"/>
  <c r="H23" i="2"/>
  <c r="F24" i="2"/>
  <c r="H24" i="2"/>
  <c r="F25" i="2"/>
  <c r="H25" i="2"/>
  <c r="F26" i="2"/>
  <c r="H26" i="2"/>
  <c r="F27" i="2"/>
  <c r="H27" i="2"/>
  <c r="F28" i="2"/>
  <c r="H28" i="2"/>
  <c r="F29" i="2"/>
  <c r="H29" i="2"/>
  <c r="F30" i="2"/>
  <c r="H30" i="2"/>
  <c r="F31" i="2"/>
  <c r="H31" i="2"/>
  <c r="F32" i="2"/>
  <c r="H32" i="2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</calcChain>
</file>

<file path=xl/sharedStrings.xml><?xml version="1.0" encoding="utf-8"?>
<sst xmlns="http://schemas.openxmlformats.org/spreadsheetml/2006/main" count="66" uniqueCount="28">
  <si>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</si>
  <si>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</si>
  <si>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</si>
  <si>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</si>
  <si>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</si>
  <si>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</si>
  <si>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</si>
  <si>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</si>
  <si>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</si>
  <si>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</si>
  <si>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</si>
  <si>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</si>
  <si>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</si>
  <si>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</si>
  <si>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</si>
  <si>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</si>
  <si>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 xml:space="preserve">Daily Consumption m³ </t>
  </si>
  <si>
    <t>Reading m³</t>
  </si>
  <si>
    <t>TOTAL GUESTS</t>
  </si>
  <si>
    <t>Main Electricity KWh</t>
  </si>
  <si>
    <t>Gas La Villa m3</t>
  </si>
  <si>
    <t xml:space="preserve"> Water  m3</t>
  </si>
  <si>
    <t>LPG (Kg)</t>
  </si>
  <si>
    <t xml:space="preserve"> Reading Kg</t>
  </si>
  <si>
    <t xml:space="preserve"> </t>
  </si>
  <si>
    <t xml:space="preserve">LPG (Kg) </t>
  </si>
  <si>
    <t>LPG $/Kg</t>
  </si>
  <si>
    <t>Athens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</si>
</sst>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Segoe UI Emoji"/>
      <family val="2"/>
    </font>
    <font>
      <sz val="11"/>
      <color rgb="FF000000"/>
      <name val="Calibri"/>
      <family val="2"/>
      <charset val="161"/>
      <scheme val="minor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2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1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1" fillId="4" borderId="1" xfId="0" applyNumberFormat="1" applyFont="1" applyFill="1" applyBorder="1" applyAlignment="1">
      <alignment horizontal="center" vertical="center" wrapText="1"/>
    </xf>
    <xf numFmtId="1" fontId="1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1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1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1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" fontId="4" fillId="0" borderId="3" xfId="0" applyNumberFormat="1" applyFont="1" applyBorder="1" applyAlignment="1">
      <alignment horizontal="center" vertical="center"/>
    </xf>
    <xf numFmtId="1" fontId="4" fillId="0" borderId="13" xfId="0" applyNumberFormat="1" applyFont="1" applyBorder="1" applyAlignment="1">
      <alignment horizontal="center" vertical="center"/>
    </xf>
    <xf numFmtId="15" fontId="7" fillId="3" borderId="1" xfId="0" applyNumberFormat="1" applyFont="1" applyFill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2" fontId="7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0" fontId="8" fillId="8" borderId="9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 vertical="center"/>
    </xf>
    <xf numFmtId="0" fontId="1" fillId="9" borderId="11" xfId="0" applyFont="1" applyFill="1" applyBorder="1" applyAlignment="1">
      <alignment horizontal="center" vertical="center" wrapText="1"/>
    </xf>
    <xf numFmtId="0" fontId="1" fillId="9" borderId="1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3" fontId="9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X35"/>
  <sheetViews>
    <sheetView tabSelected="1" workbookViewId="0">
      <selection activeCell="O12" sqref="O1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26" customWidth="1"/>
    <col min="7" max="7" width="11.5703125" style="6"/>
    <col min="8" max="8" width="11.5703125" style="26"/>
    <col min="9" max="9" width="11.5703125" style="6"/>
    <col min="10" max="10" width="11.5703125" style="27"/>
    <col min="11" max="24" width="11.5703125" style="6"/>
  </cols>
  <sheetData>
    <row r="1" spans="1:24" s="17" customFormat="1" ht="60" x14ac:dyDescent="0.25">
      <c r="A1" s="38" t="s">
        <v>4</v>
      </c>
      <c r="B1" s="38" t="s">
        <v>5</v>
      </c>
      <c r="C1" s="38" t="s">
        <v>6</v>
      </c>
      <c r="D1" s="38" t="s">
        <v>7</v>
      </c>
      <c r="E1" s="24" t="s">
        <v>8</v>
      </c>
      <c r="F1" s="39" t="s">
        <v>9</v>
      </c>
      <c r="G1" s="24" t="s">
        <v>25</v>
      </c>
      <c r="H1" s="39" t="s">
        <v>26</v>
      </c>
      <c r="I1" s="24" t="s">
        <v>10</v>
      </c>
      <c r="J1" s="40" t="s">
        <v>11</v>
      </c>
      <c r="K1" s="24" t="s">
        <v>12</v>
      </c>
      <c r="L1" s="24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27</v>
      </c>
      <c r="B2" s="9">
        <v>1</v>
      </c>
      <c r="C2" s="9">
        <v>12</v>
      </c>
      <c r="D2" s="9">
        <v>2020</v>
      </c>
      <c r="E2" s="20">
        <v>18100</v>
      </c>
      <c r="F2" s="25">
        <v>6.8500000000000005E-2</v>
      </c>
      <c r="G2" s="51">
        <f>2621*0.573</f>
        <v>1501.8329999999999</v>
      </c>
      <c r="H2" s="25">
        <v>1.0529411764705883</v>
      </c>
      <c r="I2" s="20">
        <v>79</v>
      </c>
      <c r="J2" s="26">
        <v>0.90500000000000003</v>
      </c>
      <c r="K2" s="20">
        <v>7</v>
      </c>
      <c r="L2" s="20">
        <v>10</v>
      </c>
    </row>
    <row r="3" spans="1:24" x14ac:dyDescent="0.25">
      <c r="A3" s="17" t="s">
        <v>27</v>
      </c>
      <c r="B3" s="9">
        <f>B2+1</f>
        <v>2</v>
      </c>
      <c r="C3" s="9">
        <v>12</v>
      </c>
      <c r="D3" s="9">
        <v>2020</v>
      </c>
      <c r="E3" s="20">
        <v>17884</v>
      </c>
      <c r="F3" s="25">
        <v>6.8500000000000005E-2</v>
      </c>
      <c r="G3" s="51">
        <f>3552*0.573</f>
        <v>2035.2959999999998</v>
      </c>
      <c r="H3" s="25">
        <v>1.0529411764705883</v>
      </c>
      <c r="I3" s="20">
        <v>109</v>
      </c>
      <c r="J3" s="26">
        <v>0.90500000000000003</v>
      </c>
      <c r="K3" s="20">
        <v>7</v>
      </c>
      <c r="L3" s="20">
        <v>9</v>
      </c>
    </row>
    <row r="4" spans="1:24" x14ac:dyDescent="0.25">
      <c r="A4" s="17" t="s">
        <v>27</v>
      </c>
      <c r="B4" s="9">
        <f t="shared" ref="B4:B32" si="0">B3+1</f>
        <v>3</v>
      </c>
      <c r="C4" s="9">
        <v>12</v>
      </c>
      <c r="D4" s="9">
        <v>2020</v>
      </c>
      <c r="E4" s="20">
        <v>17630</v>
      </c>
      <c r="F4" s="25">
        <v>6.8500000000000005E-2</v>
      </c>
      <c r="G4" s="51">
        <f>2732*0.573</f>
        <v>1565.4359999999999</v>
      </c>
      <c r="H4" s="25">
        <v>1.0529411764705883</v>
      </c>
      <c r="I4" s="20">
        <v>95</v>
      </c>
      <c r="J4" s="26">
        <v>0.90500000000000003</v>
      </c>
      <c r="K4" s="20">
        <v>6</v>
      </c>
      <c r="L4" s="20">
        <v>8</v>
      </c>
    </row>
    <row r="5" spans="1:24" x14ac:dyDescent="0.25">
      <c r="A5" s="17" t="s">
        <v>27</v>
      </c>
      <c r="B5" s="9">
        <f t="shared" si="0"/>
        <v>4</v>
      </c>
      <c r="C5" s="9">
        <v>12</v>
      </c>
      <c r="D5" s="9">
        <v>2020</v>
      </c>
      <c r="E5" s="20">
        <v>17554</v>
      </c>
      <c r="F5" s="25">
        <v>6.8500000000000005E-2</v>
      </c>
      <c r="G5" s="51">
        <f>2722*0.573</f>
        <v>1559.7059999999999</v>
      </c>
      <c r="H5" s="25">
        <v>1.0529411764705883</v>
      </c>
      <c r="I5" s="20">
        <v>123</v>
      </c>
      <c r="J5" s="26">
        <v>0.90500000000000003</v>
      </c>
      <c r="K5" s="20">
        <v>5</v>
      </c>
      <c r="L5" s="20">
        <v>11</v>
      </c>
    </row>
    <row r="6" spans="1:24" x14ac:dyDescent="0.25">
      <c r="A6" s="17" t="s">
        <v>27</v>
      </c>
      <c r="B6" s="9">
        <f t="shared" si="0"/>
        <v>5</v>
      </c>
      <c r="C6" s="9">
        <v>12</v>
      </c>
      <c r="D6" s="9">
        <v>2020</v>
      </c>
      <c r="E6" s="20">
        <v>17845</v>
      </c>
      <c r="F6" s="25">
        <v>6.8500000000000005E-2</v>
      </c>
      <c r="G6" s="51">
        <f>2429*0.573</f>
        <v>1391.8169999999998</v>
      </c>
      <c r="H6" s="25">
        <v>1.0529411764705883</v>
      </c>
      <c r="I6" s="20">
        <v>106</v>
      </c>
      <c r="J6" s="26">
        <v>0.90500000000000003</v>
      </c>
      <c r="K6" s="20">
        <v>6</v>
      </c>
      <c r="L6" s="20">
        <v>9</v>
      </c>
    </row>
    <row r="7" spans="1:24" x14ac:dyDescent="0.25">
      <c r="A7" s="17" t="s">
        <v>27</v>
      </c>
      <c r="B7" s="9">
        <f t="shared" si="0"/>
        <v>6</v>
      </c>
      <c r="C7" s="9">
        <v>12</v>
      </c>
      <c r="D7" s="9">
        <v>2020</v>
      </c>
      <c r="E7" s="20">
        <v>17602</v>
      </c>
      <c r="F7" s="25">
        <v>6.8500000000000005E-2</v>
      </c>
      <c r="G7" s="51">
        <f>1882*0.573</f>
        <v>1078.386</v>
      </c>
      <c r="H7" s="25">
        <v>1.0529411764705883</v>
      </c>
      <c r="I7" s="20">
        <v>87</v>
      </c>
      <c r="J7" s="26">
        <v>0.90500000000000003</v>
      </c>
      <c r="K7" s="20">
        <v>8</v>
      </c>
      <c r="L7" s="20">
        <v>11</v>
      </c>
    </row>
    <row r="8" spans="1:24" x14ac:dyDescent="0.25">
      <c r="A8" s="17" t="s">
        <v>27</v>
      </c>
      <c r="B8" s="9">
        <f t="shared" si="0"/>
        <v>7</v>
      </c>
      <c r="C8" s="9">
        <v>12</v>
      </c>
      <c r="D8" s="9">
        <v>2020</v>
      </c>
      <c r="E8" s="20">
        <v>17624</v>
      </c>
      <c r="F8" s="25">
        <v>6.8500000000000005E-2</v>
      </c>
      <c r="G8" s="51">
        <f>2469*0.573</f>
        <v>1414.7369999999999</v>
      </c>
      <c r="H8" s="25">
        <v>1.0529411764705883</v>
      </c>
      <c r="I8" s="20">
        <v>102</v>
      </c>
      <c r="J8" s="26">
        <v>0.90500000000000003</v>
      </c>
      <c r="K8" s="20">
        <v>11</v>
      </c>
      <c r="L8" s="20">
        <v>16</v>
      </c>
    </row>
    <row r="9" spans="1:24" x14ac:dyDescent="0.25">
      <c r="A9" s="17" t="s">
        <v>27</v>
      </c>
      <c r="B9" s="9">
        <f t="shared" si="0"/>
        <v>8</v>
      </c>
      <c r="C9" s="9">
        <v>12</v>
      </c>
      <c r="D9" s="9">
        <v>2020</v>
      </c>
      <c r="E9" s="20">
        <v>17959</v>
      </c>
      <c r="F9" s="25">
        <v>6.8500000000000005E-2</v>
      </c>
      <c r="G9" s="51">
        <f>2510*0.573</f>
        <v>1438.2299999999998</v>
      </c>
      <c r="H9" s="25">
        <v>1.0529411764705883</v>
      </c>
      <c r="I9" s="20">
        <v>169</v>
      </c>
      <c r="J9" s="26">
        <v>0.90500000000000003</v>
      </c>
      <c r="K9" s="20">
        <v>10</v>
      </c>
      <c r="L9" s="20">
        <v>15</v>
      </c>
    </row>
    <row r="10" spans="1:24" x14ac:dyDescent="0.25">
      <c r="A10" s="17" t="s">
        <v>27</v>
      </c>
      <c r="B10" s="9">
        <f t="shared" si="0"/>
        <v>9</v>
      </c>
      <c r="C10" s="9">
        <v>12</v>
      </c>
      <c r="D10" s="9">
        <v>2020</v>
      </c>
      <c r="E10" s="20">
        <v>17491</v>
      </c>
      <c r="F10" s="25">
        <v>6.8500000000000005E-2</v>
      </c>
      <c r="G10" s="51">
        <f>2631*0.573</f>
        <v>1507.5629999999999</v>
      </c>
      <c r="H10" s="25">
        <v>1.0529411764705883</v>
      </c>
      <c r="I10" s="20">
        <v>176</v>
      </c>
      <c r="J10" s="26">
        <v>0.90500000000000003</v>
      </c>
      <c r="K10" s="20">
        <v>14</v>
      </c>
      <c r="L10" s="20">
        <v>19</v>
      </c>
    </row>
    <row r="11" spans="1:24" x14ac:dyDescent="0.25">
      <c r="A11" s="17" t="s">
        <v>27</v>
      </c>
      <c r="B11" s="9">
        <f t="shared" si="0"/>
        <v>10</v>
      </c>
      <c r="C11" s="9">
        <v>12</v>
      </c>
      <c r="D11" s="9">
        <v>2020</v>
      </c>
      <c r="E11" s="20">
        <v>17282</v>
      </c>
      <c r="F11" s="25">
        <v>6.8500000000000005E-2</v>
      </c>
      <c r="G11" s="51">
        <f>3774*0.573</f>
        <v>2162.502</v>
      </c>
      <c r="H11" s="25">
        <v>1.0529411764705883</v>
      </c>
      <c r="I11" s="20">
        <v>151</v>
      </c>
      <c r="J11" s="26">
        <v>0.90500000000000003</v>
      </c>
      <c r="K11" s="20">
        <v>14</v>
      </c>
      <c r="L11" s="20">
        <v>19</v>
      </c>
    </row>
    <row r="12" spans="1:24" x14ac:dyDescent="0.25">
      <c r="A12" s="17" t="s">
        <v>27</v>
      </c>
      <c r="B12" s="9">
        <f t="shared" si="0"/>
        <v>11</v>
      </c>
      <c r="C12" s="9">
        <v>12</v>
      </c>
      <c r="D12" s="9">
        <v>2020</v>
      </c>
      <c r="E12" s="20">
        <v>17817</v>
      </c>
      <c r="F12" s="25">
        <v>6.8500000000000005E-2</v>
      </c>
      <c r="G12" s="51">
        <f>3703*0.573</f>
        <v>2121.819</v>
      </c>
      <c r="H12" s="25">
        <v>1.0529411764705883</v>
      </c>
      <c r="I12" s="20">
        <v>274</v>
      </c>
      <c r="J12" s="26">
        <v>0.90500000000000003</v>
      </c>
      <c r="K12" s="20">
        <v>15</v>
      </c>
      <c r="L12" s="20">
        <v>21</v>
      </c>
    </row>
    <row r="13" spans="1:24" x14ac:dyDescent="0.25">
      <c r="A13" s="17" t="s">
        <v>27</v>
      </c>
      <c r="B13" s="9">
        <f t="shared" si="0"/>
        <v>12</v>
      </c>
      <c r="C13" s="9">
        <v>12</v>
      </c>
      <c r="D13" s="9">
        <v>2020</v>
      </c>
      <c r="E13" s="20">
        <v>17446</v>
      </c>
      <c r="F13" s="25">
        <v>6.8500000000000005E-2</v>
      </c>
      <c r="G13" s="51">
        <f>2580*0.573</f>
        <v>1478.34</v>
      </c>
      <c r="H13" s="25">
        <v>1.0529411764705883</v>
      </c>
      <c r="I13" s="20">
        <v>226</v>
      </c>
      <c r="J13" s="26">
        <v>0.90500000000000003</v>
      </c>
      <c r="K13" s="20">
        <v>18</v>
      </c>
      <c r="L13" s="20">
        <v>26</v>
      </c>
    </row>
    <row r="14" spans="1:24" x14ac:dyDescent="0.25">
      <c r="A14" s="17" t="s">
        <v>27</v>
      </c>
      <c r="B14" s="9">
        <f t="shared" si="0"/>
        <v>13</v>
      </c>
      <c r="C14" s="9">
        <v>12</v>
      </c>
      <c r="D14" s="9">
        <v>2020</v>
      </c>
      <c r="E14" s="20">
        <v>17294</v>
      </c>
      <c r="F14" s="25">
        <v>6.8500000000000005E-2</v>
      </c>
      <c r="G14" s="51">
        <f>3329*0.573</f>
        <v>1907.5169999999998</v>
      </c>
      <c r="H14" s="25">
        <v>1.0529411764705883</v>
      </c>
      <c r="I14" s="20">
        <v>148</v>
      </c>
      <c r="J14" s="26">
        <v>0.90500000000000003</v>
      </c>
      <c r="K14" s="20">
        <v>17</v>
      </c>
      <c r="L14" s="20">
        <v>24</v>
      </c>
    </row>
    <row r="15" spans="1:24" x14ac:dyDescent="0.25">
      <c r="A15" s="17" t="s">
        <v>27</v>
      </c>
      <c r="B15" s="9">
        <f t="shared" si="0"/>
        <v>14</v>
      </c>
      <c r="C15" s="9">
        <v>12</v>
      </c>
      <c r="D15" s="9">
        <v>2020</v>
      </c>
      <c r="E15" s="20">
        <v>17987</v>
      </c>
      <c r="F15" s="25">
        <v>6.8500000000000005E-2</v>
      </c>
      <c r="G15" s="51">
        <f>4452*0.573</f>
        <v>2550.9959999999996</v>
      </c>
      <c r="H15" s="25">
        <v>1.0529411764705883</v>
      </c>
      <c r="I15" s="20">
        <v>112</v>
      </c>
      <c r="J15" s="26">
        <v>0.90500000000000003</v>
      </c>
      <c r="K15" s="20">
        <v>9</v>
      </c>
      <c r="L15" s="20">
        <v>16</v>
      </c>
    </row>
    <row r="16" spans="1:24" x14ac:dyDescent="0.25">
      <c r="A16" s="17" t="s">
        <v>27</v>
      </c>
      <c r="B16" s="9">
        <f t="shared" si="0"/>
        <v>15</v>
      </c>
      <c r="C16" s="9">
        <v>12</v>
      </c>
      <c r="D16" s="9">
        <v>2020</v>
      </c>
      <c r="E16" s="20">
        <v>17930</v>
      </c>
      <c r="F16" s="25">
        <v>6.8500000000000005E-2</v>
      </c>
      <c r="G16" s="51">
        <f>4169*0.573</f>
        <v>2388.837</v>
      </c>
      <c r="H16" s="25">
        <v>1.0529411764705883</v>
      </c>
      <c r="I16" s="20">
        <v>111</v>
      </c>
      <c r="J16" s="26">
        <v>0.90500000000000003</v>
      </c>
      <c r="K16" s="20">
        <v>14</v>
      </c>
      <c r="L16" s="20">
        <v>19</v>
      </c>
    </row>
    <row r="17" spans="1:12" x14ac:dyDescent="0.25">
      <c r="A17" s="17" t="s">
        <v>27</v>
      </c>
      <c r="B17" s="9">
        <f t="shared" si="0"/>
        <v>16</v>
      </c>
      <c r="C17" s="9">
        <v>12</v>
      </c>
      <c r="D17" s="9">
        <v>2020</v>
      </c>
      <c r="E17" s="20">
        <v>18100</v>
      </c>
      <c r="F17" s="25">
        <v>6.8500000000000005E-2</v>
      </c>
      <c r="G17" s="51">
        <f>2408*0.573</f>
        <v>1379.7839999999999</v>
      </c>
      <c r="H17" s="25">
        <v>1.0529411764705883</v>
      </c>
      <c r="I17" s="20">
        <v>124</v>
      </c>
      <c r="J17" s="26">
        <v>0.90500000000000003</v>
      </c>
      <c r="K17" s="20">
        <v>16</v>
      </c>
      <c r="L17" s="20">
        <v>25</v>
      </c>
    </row>
    <row r="18" spans="1:12" x14ac:dyDescent="0.25">
      <c r="A18" s="17" t="s">
        <v>27</v>
      </c>
      <c r="B18" s="9">
        <f t="shared" si="0"/>
        <v>17</v>
      </c>
      <c r="C18" s="9">
        <v>12</v>
      </c>
      <c r="D18" s="9">
        <v>2020</v>
      </c>
      <c r="E18" s="20">
        <v>17996</v>
      </c>
      <c r="F18" s="25">
        <v>6.8500000000000005E-2</v>
      </c>
      <c r="G18" s="51">
        <f>2954*0.573</f>
        <v>1692.6419999999998</v>
      </c>
      <c r="H18" s="25">
        <v>1.0529411764705883</v>
      </c>
      <c r="I18" s="20">
        <v>171</v>
      </c>
      <c r="J18" s="26">
        <v>0.90500000000000003</v>
      </c>
      <c r="K18" s="20">
        <v>17</v>
      </c>
      <c r="L18" s="20">
        <v>26</v>
      </c>
    </row>
    <row r="19" spans="1:12" x14ac:dyDescent="0.25">
      <c r="A19" s="17" t="s">
        <v>27</v>
      </c>
      <c r="B19" s="9">
        <f t="shared" si="0"/>
        <v>18</v>
      </c>
      <c r="C19" s="9">
        <v>12</v>
      </c>
      <c r="D19" s="9">
        <v>2020</v>
      </c>
      <c r="E19" s="20">
        <v>17865</v>
      </c>
      <c r="F19" s="25">
        <v>6.8500000000000005E-2</v>
      </c>
      <c r="G19" s="51">
        <f>3977*0.573</f>
        <v>2278.8209999999999</v>
      </c>
      <c r="H19" s="25">
        <v>1.0529411764705883</v>
      </c>
      <c r="I19" s="20">
        <v>149</v>
      </c>
      <c r="J19" s="26">
        <v>0.90500000000000003</v>
      </c>
      <c r="K19" s="20">
        <v>13</v>
      </c>
      <c r="L19" s="20">
        <v>24</v>
      </c>
    </row>
    <row r="20" spans="1:12" x14ac:dyDescent="0.25">
      <c r="A20" s="17" t="s">
        <v>27</v>
      </c>
      <c r="B20" s="9">
        <f t="shared" si="0"/>
        <v>19</v>
      </c>
      <c r="C20" s="9">
        <v>12</v>
      </c>
      <c r="D20" s="9">
        <v>2020</v>
      </c>
      <c r="E20" s="20">
        <v>17888</v>
      </c>
      <c r="F20" s="25">
        <v>6.8500000000000005E-2</v>
      </c>
      <c r="G20" s="51">
        <f>3076*0.573</f>
        <v>1762.5479999999998</v>
      </c>
      <c r="H20" s="25">
        <v>1.0529411764705883</v>
      </c>
      <c r="I20" s="20">
        <v>176</v>
      </c>
      <c r="J20" s="26">
        <v>0.90500000000000003</v>
      </c>
      <c r="K20" s="20">
        <v>15</v>
      </c>
      <c r="L20" s="20">
        <v>28</v>
      </c>
    </row>
    <row r="21" spans="1:12" x14ac:dyDescent="0.25">
      <c r="A21" s="17" t="s">
        <v>27</v>
      </c>
      <c r="B21" s="9">
        <f t="shared" si="0"/>
        <v>20</v>
      </c>
      <c r="C21" s="9">
        <v>12</v>
      </c>
      <c r="D21" s="9">
        <v>2020</v>
      </c>
      <c r="E21" s="20">
        <v>17967</v>
      </c>
      <c r="F21" s="25">
        <v>6.8500000000000005E-2</v>
      </c>
      <c r="G21" s="51">
        <f>3602*0.573</f>
        <v>2063.9459999999999</v>
      </c>
      <c r="H21" s="25">
        <v>1.0529411764705883</v>
      </c>
      <c r="I21" s="20">
        <v>119</v>
      </c>
      <c r="J21" s="26">
        <v>0.90500000000000003</v>
      </c>
      <c r="K21" s="20">
        <v>8</v>
      </c>
      <c r="L21" s="20">
        <v>12</v>
      </c>
    </row>
    <row r="22" spans="1:12" x14ac:dyDescent="0.25">
      <c r="A22" s="17" t="s">
        <v>27</v>
      </c>
      <c r="B22" s="9">
        <f t="shared" si="0"/>
        <v>21</v>
      </c>
      <c r="C22" s="9">
        <v>12</v>
      </c>
      <c r="D22" s="9">
        <v>2020</v>
      </c>
      <c r="E22" s="20">
        <v>17942</v>
      </c>
      <c r="F22" s="25">
        <v>6.8500000000000005E-2</v>
      </c>
      <c r="G22" s="51">
        <f>3967*0.573</f>
        <v>2273.0909999999999</v>
      </c>
      <c r="H22" s="25">
        <v>1.0529411764705883</v>
      </c>
      <c r="I22" s="20">
        <v>276</v>
      </c>
      <c r="J22" s="26">
        <v>0.90500000000000003</v>
      </c>
      <c r="K22" s="20">
        <v>6</v>
      </c>
      <c r="L22" s="20">
        <v>9</v>
      </c>
    </row>
    <row r="23" spans="1:12" x14ac:dyDescent="0.25">
      <c r="A23" s="17" t="s">
        <v>27</v>
      </c>
      <c r="B23" s="9">
        <f t="shared" si="0"/>
        <v>22</v>
      </c>
      <c r="C23" s="9">
        <v>12</v>
      </c>
      <c r="D23" s="9">
        <v>2020</v>
      </c>
      <c r="E23" s="20">
        <v>18333</v>
      </c>
      <c r="F23" s="25">
        <v>6.8500000000000005E-2</v>
      </c>
      <c r="G23" s="51">
        <f>3865*0.573</f>
        <v>2214.645</v>
      </c>
      <c r="H23" s="25">
        <v>1.0529411764705883</v>
      </c>
      <c r="I23" s="20">
        <v>348</v>
      </c>
      <c r="J23" s="26">
        <v>0.90500000000000003</v>
      </c>
      <c r="K23" s="20">
        <v>6</v>
      </c>
      <c r="L23" s="20">
        <v>9</v>
      </c>
    </row>
    <row r="24" spans="1:12" x14ac:dyDescent="0.25">
      <c r="A24" s="17" t="s">
        <v>27</v>
      </c>
      <c r="B24" s="9">
        <f t="shared" si="0"/>
        <v>23</v>
      </c>
      <c r="C24" s="9">
        <v>12</v>
      </c>
      <c r="D24" s="9">
        <v>2020</v>
      </c>
      <c r="E24" s="20">
        <v>18130</v>
      </c>
      <c r="F24" s="25">
        <v>6.8500000000000005E-2</v>
      </c>
      <c r="G24" s="51">
        <f>4513*0.573</f>
        <v>2585.9489999999996</v>
      </c>
      <c r="H24" s="25">
        <v>1.0529411764705883</v>
      </c>
      <c r="I24" s="20">
        <v>244</v>
      </c>
      <c r="J24" s="26">
        <v>0.90500000000000003</v>
      </c>
      <c r="K24" s="20">
        <v>8</v>
      </c>
      <c r="L24" s="20">
        <v>14</v>
      </c>
    </row>
    <row r="25" spans="1:12" x14ac:dyDescent="0.25">
      <c r="A25" s="17" t="s">
        <v>27</v>
      </c>
      <c r="B25" s="9">
        <f t="shared" si="0"/>
        <v>24</v>
      </c>
      <c r="C25" s="9">
        <v>12</v>
      </c>
      <c r="D25" s="9">
        <v>2020</v>
      </c>
      <c r="E25" s="20">
        <v>18034</v>
      </c>
      <c r="F25" s="25">
        <v>6.8500000000000005E-2</v>
      </c>
      <c r="G25" s="51">
        <f>2853*0.573</f>
        <v>1634.7689999999998</v>
      </c>
      <c r="H25" s="25">
        <v>1.0529411764705883</v>
      </c>
      <c r="I25" s="20">
        <v>115</v>
      </c>
      <c r="J25" s="26">
        <v>0.90500000000000003</v>
      </c>
      <c r="K25" s="20">
        <v>13</v>
      </c>
      <c r="L25" s="20">
        <v>20</v>
      </c>
    </row>
    <row r="26" spans="1:12" x14ac:dyDescent="0.25">
      <c r="A26" s="17" t="s">
        <v>27</v>
      </c>
      <c r="B26" s="9">
        <f>B25+1</f>
        <v>25</v>
      </c>
      <c r="C26" s="9">
        <v>12</v>
      </c>
      <c r="D26" s="9">
        <v>2020</v>
      </c>
      <c r="E26" s="20">
        <v>18145</v>
      </c>
      <c r="F26" s="25">
        <v>6.8500000000000005E-2</v>
      </c>
      <c r="G26" s="51">
        <f>3258*0.573</f>
        <v>1866.8339999999998</v>
      </c>
      <c r="H26" s="25">
        <v>1.0529411764705883</v>
      </c>
      <c r="I26" s="20">
        <v>148</v>
      </c>
      <c r="J26" s="26">
        <v>0.90500000000000003</v>
      </c>
      <c r="K26" s="20">
        <v>12</v>
      </c>
      <c r="L26" s="20">
        <v>18</v>
      </c>
    </row>
    <row r="27" spans="1:12" x14ac:dyDescent="0.25">
      <c r="A27" s="17" t="s">
        <v>27</v>
      </c>
      <c r="B27" s="9">
        <f t="shared" si="0"/>
        <v>26</v>
      </c>
      <c r="C27" s="9">
        <v>12</v>
      </c>
      <c r="D27" s="9">
        <v>2020</v>
      </c>
      <c r="E27" s="20">
        <v>17787</v>
      </c>
      <c r="F27" s="25">
        <v>6.8500000000000005E-2</v>
      </c>
      <c r="G27" s="51">
        <f>3167*0.573</f>
        <v>1814.6909999999998</v>
      </c>
      <c r="H27" s="25">
        <v>1.0529411764705883</v>
      </c>
      <c r="I27" s="20">
        <v>139</v>
      </c>
      <c r="J27" s="26">
        <v>0.90500000000000003</v>
      </c>
      <c r="K27" s="20">
        <v>18</v>
      </c>
      <c r="L27" s="20">
        <v>30</v>
      </c>
    </row>
    <row r="28" spans="1:12" x14ac:dyDescent="0.25">
      <c r="A28" s="17" t="s">
        <v>27</v>
      </c>
      <c r="B28" s="9">
        <f t="shared" si="0"/>
        <v>27</v>
      </c>
      <c r="C28" s="9">
        <v>12</v>
      </c>
      <c r="D28" s="9">
        <v>2020</v>
      </c>
      <c r="E28" s="20">
        <v>17951</v>
      </c>
      <c r="F28" s="25">
        <v>6.8500000000000005E-2</v>
      </c>
      <c r="G28" s="51">
        <f>3329*0.573</f>
        <v>1907.5169999999998</v>
      </c>
      <c r="H28" s="25">
        <v>1.0529411764705883</v>
      </c>
      <c r="I28" s="20">
        <v>131</v>
      </c>
      <c r="J28" s="26">
        <v>0.90500000000000003</v>
      </c>
      <c r="K28" s="20">
        <v>7</v>
      </c>
      <c r="L28" s="20">
        <v>11</v>
      </c>
    </row>
    <row r="29" spans="1:12" x14ac:dyDescent="0.25">
      <c r="A29" s="17" t="s">
        <v>27</v>
      </c>
      <c r="B29" s="9">
        <f t="shared" si="0"/>
        <v>28</v>
      </c>
      <c r="C29" s="9">
        <v>12</v>
      </c>
      <c r="D29" s="9">
        <v>2020</v>
      </c>
      <c r="E29" s="20">
        <v>18115</v>
      </c>
      <c r="F29" s="25">
        <v>6.8500000000000005E-2</v>
      </c>
      <c r="G29" s="51">
        <f>3987*0.573</f>
        <v>2284.5509999999999</v>
      </c>
      <c r="H29" s="25">
        <v>1.0529411764705883</v>
      </c>
      <c r="I29" s="20">
        <v>135</v>
      </c>
      <c r="J29" s="26">
        <v>0.90500000000000003</v>
      </c>
      <c r="K29" s="20">
        <v>8</v>
      </c>
      <c r="L29" s="20">
        <v>13</v>
      </c>
    </row>
    <row r="30" spans="1:12" x14ac:dyDescent="0.25">
      <c r="A30" s="17" t="s">
        <v>27</v>
      </c>
      <c r="B30" s="9">
        <f t="shared" si="0"/>
        <v>29</v>
      </c>
      <c r="C30" s="9">
        <v>12</v>
      </c>
      <c r="D30" s="9">
        <v>2020</v>
      </c>
      <c r="E30" s="20">
        <v>18141</v>
      </c>
      <c r="F30" s="25">
        <v>6.8500000000000005E-2</v>
      </c>
      <c r="G30" s="51">
        <f>3238*0.573</f>
        <v>1855.3739999999998</v>
      </c>
      <c r="H30" s="25">
        <v>1.0529411764705883</v>
      </c>
      <c r="I30" s="20">
        <v>127</v>
      </c>
      <c r="J30" s="26">
        <v>0.90500000000000003</v>
      </c>
      <c r="K30" s="20">
        <v>7</v>
      </c>
      <c r="L30" s="20">
        <v>12</v>
      </c>
    </row>
    <row r="31" spans="1:12" x14ac:dyDescent="0.25">
      <c r="A31" s="17" t="s">
        <v>27</v>
      </c>
      <c r="B31" s="9">
        <f t="shared" si="0"/>
        <v>30</v>
      </c>
      <c r="C31" s="9">
        <v>12</v>
      </c>
      <c r="D31" s="9">
        <v>2020</v>
      </c>
      <c r="E31" s="20">
        <v>18135</v>
      </c>
      <c r="F31" s="25">
        <v>6.8500000000000005E-2</v>
      </c>
      <c r="G31" s="51">
        <f>2853*0.573</f>
        <v>1634.7689999999998</v>
      </c>
      <c r="H31" s="25">
        <v>1.0529411764705883</v>
      </c>
      <c r="I31" s="20">
        <v>121</v>
      </c>
      <c r="J31" s="26">
        <v>0.90500000000000003</v>
      </c>
      <c r="K31" s="20">
        <v>11</v>
      </c>
      <c r="L31" s="20">
        <v>20</v>
      </c>
    </row>
    <row r="32" spans="1:12" x14ac:dyDescent="0.25">
      <c r="A32" s="17" t="s">
        <v>27</v>
      </c>
      <c r="B32" s="9">
        <f t="shared" si="0"/>
        <v>31</v>
      </c>
      <c r="C32" s="9">
        <v>12</v>
      </c>
      <c r="D32" s="9">
        <v>2020</v>
      </c>
      <c r="E32" s="20">
        <v>18384</v>
      </c>
      <c r="F32" s="25">
        <v>6.8500000000000005E-2</v>
      </c>
      <c r="G32" s="51">
        <f>3491*0.573</f>
        <v>2000.3429999999998</v>
      </c>
      <c r="H32" s="25">
        <v>1.0529411764705883</v>
      </c>
      <c r="I32" s="20">
        <v>125</v>
      </c>
      <c r="J32" s="26">
        <v>0.90500000000000003</v>
      </c>
      <c r="K32" s="20">
        <v>29</v>
      </c>
      <c r="L32" s="20">
        <v>64</v>
      </c>
    </row>
    <row r="33" spans="10:12" x14ac:dyDescent="0.25">
      <c r="J33" s="27" t="s">
        <v>24</v>
      </c>
      <c r="K33" s="20" t="s">
        <v>24</v>
      </c>
      <c r="L33" s="20" t="s">
        <v>24</v>
      </c>
    </row>
    <row r="34" spans="10:12" x14ac:dyDescent="0.25">
      <c r="K34" s="20" t="s">
        <v>24</v>
      </c>
      <c r="L34" s="20" t="s">
        <v>24</v>
      </c>
    </row>
    <row r="35" spans="10:12" x14ac:dyDescent="0.25">
      <c r="K35" s="20" t="s">
        <v>24</v>
      </c>
      <c r="L35" s="20" t="s">
        <v>24</v>
      </c>
    </row>
  </sheetData>
  <pageMargins left="0.7" right="0.7" top="0.75" bottom="0.75" header="0.3" footer="0.3"/>
  <pageSetup paperSize="9" scale="8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35"/>
  <sheetViews>
    <sheetView zoomScale="85" zoomScaleNormal="85" workbookViewId="0">
      <pane xSplit="1" topLeftCell="B1" activePane="topRight" state="frozen"/>
      <selection pane="topRight" activeCell="F10" sqref="F10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8.85546875" customWidth="1"/>
    <col min="11" max="11" width="12.5703125" customWidth="1"/>
    <col min="12" max="13" width="13" style="20" customWidth="1"/>
  </cols>
  <sheetData>
    <row r="1" spans="1:13" ht="10.5" customHeight="1" thickBot="1" x14ac:dyDescent="0.45">
      <c r="A1" s="1"/>
      <c r="B1" s="46"/>
      <c r="C1" s="1"/>
      <c r="D1" s="11"/>
      <c r="E1" s="1"/>
      <c r="F1" s="14"/>
      <c r="G1" s="1"/>
      <c r="H1" s="1"/>
      <c r="I1" s="47"/>
      <c r="J1" s="41"/>
      <c r="K1" s="41"/>
      <c r="L1" s="21"/>
      <c r="M1" s="21"/>
    </row>
    <row r="2" spans="1:13" ht="35.25" customHeight="1" thickBot="1" x14ac:dyDescent="0.3">
      <c r="A2" s="19" t="s">
        <v>15</v>
      </c>
      <c r="B2" s="46"/>
      <c r="C2" s="42" t="s">
        <v>19</v>
      </c>
      <c r="D2" s="43"/>
      <c r="E2" s="50" t="s">
        <v>22</v>
      </c>
      <c r="F2" s="50"/>
      <c r="G2" s="50" t="s">
        <v>20</v>
      </c>
      <c r="H2" s="50"/>
      <c r="I2" s="48"/>
      <c r="J2" s="44" t="s">
        <v>21</v>
      </c>
      <c r="K2" s="45"/>
      <c r="L2" s="10"/>
      <c r="M2" s="10"/>
    </row>
    <row r="3" spans="1:13" ht="44.25" customHeight="1" x14ac:dyDescent="0.25">
      <c r="A3" s="2" t="s">
        <v>0</v>
      </c>
      <c r="B3" s="46"/>
      <c r="C3" s="3" t="s">
        <v>1</v>
      </c>
      <c r="D3" s="12" t="s">
        <v>2</v>
      </c>
      <c r="E3" s="4" t="s">
        <v>23</v>
      </c>
      <c r="F3" s="15" t="s">
        <v>2</v>
      </c>
      <c r="G3" s="4" t="s">
        <v>3</v>
      </c>
      <c r="H3" s="4" t="s">
        <v>2</v>
      </c>
      <c r="I3" s="48"/>
      <c r="J3" s="4" t="s">
        <v>17</v>
      </c>
      <c r="K3" s="5" t="s">
        <v>16</v>
      </c>
      <c r="L3" s="22" t="s">
        <v>14</v>
      </c>
      <c r="M3" s="22" t="s">
        <v>18</v>
      </c>
    </row>
    <row r="4" spans="1:13" s="35" customFormat="1" ht="35.25" customHeight="1" x14ac:dyDescent="0.25">
      <c r="A4" s="30">
        <v>44165</v>
      </c>
      <c r="B4" s="46"/>
      <c r="C4" s="32">
        <v>22342913</v>
      </c>
      <c r="D4" s="33"/>
      <c r="E4" s="32">
        <v>23837512</v>
      </c>
      <c r="F4" s="34"/>
      <c r="G4" s="32">
        <v>9975816</v>
      </c>
      <c r="I4" s="48"/>
      <c r="J4" s="32">
        <v>75776</v>
      </c>
      <c r="L4" s="31"/>
      <c r="M4" s="31"/>
    </row>
    <row r="5" spans="1:13" s="37" customFormat="1" ht="33" customHeight="1" x14ac:dyDescent="0.25">
      <c r="A5" s="7">
        <v>44166</v>
      </c>
      <c r="B5" s="46"/>
      <c r="C5" s="36">
        <v>22350888</v>
      </c>
      <c r="D5" s="28">
        <f>IF((C5-C4&lt;0), "",C5-C4)</f>
        <v>7975</v>
      </c>
      <c r="E5" s="36">
        <v>23843311</v>
      </c>
      <c r="F5" s="28">
        <f>IF((E5-E4&lt;0), "",E5-E4)</f>
        <v>5799</v>
      </c>
      <c r="G5" s="36">
        <v>9979293</v>
      </c>
      <c r="H5" s="28">
        <f>IF((G5-G4&lt;0), "",G5-G4)</f>
        <v>3477</v>
      </c>
      <c r="I5" s="48"/>
      <c r="J5" s="36">
        <v>75809</v>
      </c>
      <c r="K5" s="29">
        <f>IF((J5-J4&lt;0), "",J5-J4)</f>
        <v>33</v>
      </c>
      <c r="L5" s="23"/>
      <c r="M5" s="23"/>
    </row>
    <row r="6" spans="1:13" ht="45" customHeight="1" x14ac:dyDescent="0.3">
      <c r="A6" s="7">
        <v>44167</v>
      </c>
      <c r="B6" s="46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9"/>
      <c r="J6" s="18"/>
      <c r="K6" s="8" t="str">
        <f t="shared" ref="K6:K32" si="1">IF((J6-J5&lt;0), "",J6-J5)</f>
        <v/>
      </c>
      <c r="L6" s="21"/>
      <c r="M6" s="21"/>
    </row>
    <row r="7" spans="1:13" ht="45" customHeight="1" x14ac:dyDescent="0.3">
      <c r="A7" s="7">
        <v>44168</v>
      </c>
      <c r="B7" s="46"/>
      <c r="C7" s="18">
        <v>0</v>
      </c>
      <c r="D7" s="8">
        <f t="shared" ref="D7:D35" si="2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8"/>
      <c r="J7" s="18"/>
      <c r="K7" s="8">
        <f t="shared" si="1"/>
        <v>0</v>
      </c>
      <c r="L7" s="21"/>
      <c r="M7" s="21"/>
    </row>
    <row r="8" spans="1:13" ht="45" customHeight="1" x14ac:dyDescent="0.3">
      <c r="A8" s="7">
        <v>44169</v>
      </c>
      <c r="B8" s="46"/>
      <c r="C8" s="18"/>
      <c r="D8" s="8">
        <f t="shared" si="2"/>
        <v>0</v>
      </c>
      <c r="E8" s="18"/>
      <c r="F8" s="8">
        <f t="shared" si="0"/>
        <v>0</v>
      </c>
      <c r="G8" s="18"/>
      <c r="H8" s="8">
        <f t="shared" ref="H8:H32" si="3">IF((G8-G7&lt;0), "",G8-G7)</f>
        <v>0</v>
      </c>
      <c r="I8" s="48"/>
      <c r="J8" s="18"/>
      <c r="K8" s="8">
        <f t="shared" si="1"/>
        <v>0</v>
      </c>
      <c r="L8" s="21"/>
      <c r="M8" s="21"/>
    </row>
    <row r="9" spans="1:13" ht="45" customHeight="1" x14ac:dyDescent="0.3">
      <c r="A9" s="7">
        <v>44170</v>
      </c>
      <c r="B9" s="46"/>
      <c r="C9" s="18">
        <v>0</v>
      </c>
      <c r="D9" s="8">
        <f t="shared" si="2"/>
        <v>0</v>
      </c>
      <c r="E9" s="18">
        <v>0</v>
      </c>
      <c r="F9" s="8">
        <f t="shared" si="0"/>
        <v>0</v>
      </c>
      <c r="G9" s="18">
        <v>0</v>
      </c>
      <c r="H9" s="8">
        <f t="shared" si="3"/>
        <v>0</v>
      </c>
      <c r="I9" s="48"/>
      <c r="J9" s="18">
        <v>0</v>
      </c>
      <c r="K9" s="8">
        <f t="shared" si="1"/>
        <v>0</v>
      </c>
      <c r="L9" s="21"/>
      <c r="M9" s="21"/>
    </row>
    <row r="10" spans="1:13" ht="45" customHeight="1" x14ac:dyDescent="0.3">
      <c r="A10" s="7">
        <v>44171</v>
      </c>
      <c r="B10" s="46"/>
      <c r="C10" s="18">
        <v>0</v>
      </c>
      <c r="D10" s="8">
        <f t="shared" si="2"/>
        <v>0</v>
      </c>
      <c r="E10" s="18">
        <v>0</v>
      </c>
      <c r="F10" s="8">
        <f t="shared" si="0"/>
        <v>0</v>
      </c>
      <c r="G10" s="18">
        <v>0</v>
      </c>
      <c r="H10" s="8">
        <f t="shared" si="3"/>
        <v>0</v>
      </c>
      <c r="I10" s="48"/>
      <c r="J10" s="18">
        <v>0</v>
      </c>
      <c r="K10" s="8">
        <f t="shared" si="1"/>
        <v>0</v>
      </c>
      <c r="L10" s="21"/>
      <c r="M10" s="21"/>
    </row>
    <row r="11" spans="1:13" ht="45" customHeight="1" x14ac:dyDescent="0.3">
      <c r="A11" s="7">
        <v>44172</v>
      </c>
      <c r="B11" s="46"/>
      <c r="C11" s="18">
        <v>0</v>
      </c>
      <c r="D11" s="8">
        <f t="shared" si="2"/>
        <v>0</v>
      </c>
      <c r="E11" s="18">
        <v>0</v>
      </c>
      <c r="F11" s="8">
        <f t="shared" si="0"/>
        <v>0</v>
      </c>
      <c r="G11" s="18">
        <v>0</v>
      </c>
      <c r="H11" s="8">
        <f t="shared" si="3"/>
        <v>0</v>
      </c>
      <c r="I11" s="48"/>
      <c r="J11" s="18">
        <v>0</v>
      </c>
      <c r="K11" s="8">
        <f t="shared" si="1"/>
        <v>0</v>
      </c>
      <c r="L11" s="21"/>
      <c r="M11" s="21"/>
    </row>
    <row r="12" spans="1:13" ht="45" customHeight="1" x14ac:dyDescent="0.3">
      <c r="A12" s="7">
        <v>44173</v>
      </c>
      <c r="B12" s="46"/>
      <c r="C12" s="18">
        <v>0</v>
      </c>
      <c r="D12" s="8">
        <f t="shared" si="2"/>
        <v>0</v>
      </c>
      <c r="E12" s="18">
        <v>0</v>
      </c>
      <c r="F12" s="8">
        <f t="shared" si="0"/>
        <v>0</v>
      </c>
      <c r="G12" s="18">
        <v>0</v>
      </c>
      <c r="H12" s="8">
        <f t="shared" si="3"/>
        <v>0</v>
      </c>
      <c r="I12" s="48"/>
      <c r="J12" s="18">
        <v>0</v>
      </c>
      <c r="K12" s="8">
        <f t="shared" si="1"/>
        <v>0</v>
      </c>
      <c r="L12" s="21"/>
      <c r="M12" s="21"/>
    </row>
    <row r="13" spans="1:13" ht="45" customHeight="1" x14ac:dyDescent="0.3">
      <c r="A13" s="7">
        <v>44174</v>
      </c>
      <c r="B13" s="46"/>
      <c r="C13" s="18">
        <v>0</v>
      </c>
      <c r="D13" s="8">
        <f t="shared" si="2"/>
        <v>0</v>
      </c>
      <c r="E13" s="18">
        <v>0</v>
      </c>
      <c r="F13" s="8">
        <f t="shared" si="0"/>
        <v>0</v>
      </c>
      <c r="G13" s="18">
        <v>0</v>
      </c>
      <c r="H13" s="8">
        <f t="shared" si="3"/>
        <v>0</v>
      </c>
      <c r="I13" s="48"/>
      <c r="J13" s="18">
        <v>0</v>
      </c>
      <c r="K13" s="8">
        <f t="shared" si="1"/>
        <v>0</v>
      </c>
      <c r="L13" s="21"/>
      <c r="M13" s="21"/>
    </row>
    <row r="14" spans="1:13" ht="45" customHeight="1" x14ac:dyDescent="0.3">
      <c r="A14" s="7">
        <v>44175</v>
      </c>
      <c r="B14" s="46"/>
      <c r="C14" s="18">
        <v>0</v>
      </c>
      <c r="D14" s="8">
        <f t="shared" si="2"/>
        <v>0</v>
      </c>
      <c r="E14" s="18">
        <v>0</v>
      </c>
      <c r="F14" s="8">
        <f t="shared" si="0"/>
        <v>0</v>
      </c>
      <c r="G14" s="18">
        <v>0</v>
      </c>
      <c r="H14" s="8">
        <f t="shared" si="3"/>
        <v>0</v>
      </c>
      <c r="I14" s="48"/>
      <c r="J14" s="18">
        <v>0</v>
      </c>
      <c r="K14" s="8">
        <f t="shared" si="1"/>
        <v>0</v>
      </c>
      <c r="L14" s="21"/>
      <c r="M14" s="21"/>
    </row>
    <row r="15" spans="1:13" ht="45" customHeight="1" x14ac:dyDescent="0.3">
      <c r="A15" s="7">
        <v>44176</v>
      </c>
      <c r="B15" s="46"/>
      <c r="C15" s="18">
        <v>0</v>
      </c>
      <c r="D15" s="8">
        <f t="shared" si="2"/>
        <v>0</v>
      </c>
      <c r="E15" s="18">
        <v>0</v>
      </c>
      <c r="F15" s="8">
        <f t="shared" si="0"/>
        <v>0</v>
      </c>
      <c r="G15" s="18">
        <v>0</v>
      </c>
      <c r="H15" s="8"/>
      <c r="I15" s="48"/>
      <c r="J15" s="18">
        <v>0</v>
      </c>
      <c r="K15" s="8"/>
      <c r="L15" s="21"/>
      <c r="M15" s="21"/>
    </row>
    <row r="16" spans="1:13" ht="45" customHeight="1" x14ac:dyDescent="0.3">
      <c r="A16" s="7">
        <v>44177</v>
      </c>
      <c r="B16" s="46"/>
      <c r="C16" s="18">
        <v>0</v>
      </c>
      <c r="D16" s="8">
        <f t="shared" si="2"/>
        <v>0</v>
      </c>
      <c r="E16" s="18">
        <v>0</v>
      </c>
      <c r="F16" s="8">
        <f t="shared" si="0"/>
        <v>0</v>
      </c>
      <c r="G16" s="18">
        <v>0</v>
      </c>
      <c r="H16" s="8">
        <f t="shared" si="3"/>
        <v>0</v>
      </c>
      <c r="I16" s="48"/>
      <c r="J16" s="18">
        <v>0</v>
      </c>
      <c r="K16" s="8">
        <f t="shared" si="1"/>
        <v>0</v>
      </c>
      <c r="L16" s="21"/>
      <c r="M16" s="21"/>
    </row>
    <row r="17" spans="1:13" ht="45" customHeight="1" x14ac:dyDescent="0.3">
      <c r="A17" s="7">
        <v>44178</v>
      </c>
      <c r="B17" s="46"/>
      <c r="C17" s="18">
        <v>0</v>
      </c>
      <c r="D17" s="8">
        <f t="shared" si="2"/>
        <v>0</v>
      </c>
      <c r="E17" s="18">
        <v>0</v>
      </c>
      <c r="F17" s="8">
        <f t="shared" si="0"/>
        <v>0</v>
      </c>
      <c r="G17" s="18">
        <v>0</v>
      </c>
      <c r="H17" s="8">
        <f t="shared" si="3"/>
        <v>0</v>
      </c>
      <c r="I17" s="48"/>
      <c r="J17" s="18">
        <v>0</v>
      </c>
      <c r="K17" s="8">
        <f t="shared" si="1"/>
        <v>0</v>
      </c>
      <c r="L17" s="21"/>
      <c r="M17" s="21"/>
    </row>
    <row r="18" spans="1:13" ht="45" customHeight="1" x14ac:dyDescent="0.3">
      <c r="A18" s="7">
        <v>44179</v>
      </c>
      <c r="B18" s="46"/>
      <c r="C18" s="18">
        <v>0</v>
      </c>
      <c r="D18" s="8">
        <f t="shared" si="2"/>
        <v>0</v>
      </c>
      <c r="E18" s="18">
        <v>0</v>
      </c>
      <c r="F18" s="8">
        <f t="shared" si="0"/>
        <v>0</v>
      </c>
      <c r="G18" s="18">
        <v>0</v>
      </c>
      <c r="H18" s="8">
        <f t="shared" si="3"/>
        <v>0</v>
      </c>
      <c r="I18" s="48"/>
      <c r="J18" s="18">
        <v>0</v>
      </c>
      <c r="K18" s="8">
        <f t="shared" si="1"/>
        <v>0</v>
      </c>
      <c r="L18" s="21"/>
      <c r="M18" s="21"/>
    </row>
    <row r="19" spans="1:13" ht="45" customHeight="1" x14ac:dyDescent="0.3">
      <c r="A19" s="7">
        <v>44180</v>
      </c>
      <c r="B19" s="46"/>
      <c r="C19" s="18">
        <v>0</v>
      </c>
      <c r="D19" s="8">
        <f t="shared" si="2"/>
        <v>0</v>
      </c>
      <c r="E19" s="18">
        <v>0</v>
      </c>
      <c r="F19" s="8">
        <f t="shared" si="0"/>
        <v>0</v>
      </c>
      <c r="G19" s="18">
        <v>0</v>
      </c>
      <c r="H19" s="8">
        <f t="shared" si="3"/>
        <v>0</v>
      </c>
      <c r="I19" s="48"/>
      <c r="J19" s="18">
        <v>0</v>
      </c>
      <c r="K19" s="8">
        <f t="shared" si="1"/>
        <v>0</v>
      </c>
      <c r="L19" s="21"/>
      <c r="M19" s="21"/>
    </row>
    <row r="20" spans="1:13" ht="45" customHeight="1" x14ac:dyDescent="0.3">
      <c r="A20" s="7">
        <v>44181</v>
      </c>
      <c r="B20" s="46"/>
      <c r="C20" s="18">
        <v>0</v>
      </c>
      <c r="D20" s="8">
        <f t="shared" si="2"/>
        <v>0</v>
      </c>
      <c r="E20" s="18">
        <v>0</v>
      </c>
      <c r="F20" s="8">
        <f t="shared" si="0"/>
        <v>0</v>
      </c>
      <c r="G20" s="18">
        <v>0</v>
      </c>
      <c r="H20" s="8">
        <f t="shared" si="3"/>
        <v>0</v>
      </c>
      <c r="I20" s="48"/>
      <c r="J20" s="18">
        <v>0</v>
      </c>
      <c r="K20" s="8">
        <f t="shared" si="1"/>
        <v>0</v>
      </c>
      <c r="L20" s="21"/>
      <c r="M20" s="21"/>
    </row>
    <row r="21" spans="1:13" ht="45" customHeight="1" x14ac:dyDescent="0.3">
      <c r="A21" s="7">
        <v>44182</v>
      </c>
      <c r="B21" s="46"/>
      <c r="C21" s="18">
        <v>0</v>
      </c>
      <c r="D21" s="8">
        <f t="shared" si="2"/>
        <v>0</v>
      </c>
      <c r="E21" s="18">
        <v>0</v>
      </c>
      <c r="F21" s="8">
        <f t="shared" si="0"/>
        <v>0</v>
      </c>
      <c r="G21" s="18">
        <v>0</v>
      </c>
      <c r="H21" s="8">
        <f t="shared" si="3"/>
        <v>0</v>
      </c>
      <c r="I21" s="48"/>
      <c r="J21" s="18">
        <v>0</v>
      </c>
      <c r="K21" s="8">
        <f t="shared" si="1"/>
        <v>0</v>
      </c>
      <c r="L21" s="21"/>
      <c r="M21" s="21"/>
    </row>
    <row r="22" spans="1:13" ht="45" customHeight="1" x14ac:dyDescent="0.3">
      <c r="A22" s="7">
        <v>44183</v>
      </c>
      <c r="B22" s="46"/>
      <c r="C22" s="18">
        <v>0</v>
      </c>
      <c r="D22" s="8">
        <f t="shared" si="2"/>
        <v>0</v>
      </c>
      <c r="E22" s="18">
        <v>0</v>
      </c>
      <c r="F22" s="8">
        <f t="shared" si="0"/>
        <v>0</v>
      </c>
      <c r="G22" s="18">
        <v>0</v>
      </c>
      <c r="H22" s="8">
        <f t="shared" si="3"/>
        <v>0</v>
      </c>
      <c r="I22" s="48"/>
      <c r="J22" s="18">
        <v>0</v>
      </c>
      <c r="K22" s="8">
        <f t="shared" si="1"/>
        <v>0</v>
      </c>
      <c r="L22" s="21"/>
      <c r="M22" s="21"/>
    </row>
    <row r="23" spans="1:13" ht="45" customHeight="1" x14ac:dyDescent="0.3">
      <c r="A23" s="7">
        <v>44184</v>
      </c>
      <c r="B23" s="46"/>
      <c r="C23" s="18">
        <v>0</v>
      </c>
      <c r="D23" s="8">
        <f t="shared" si="2"/>
        <v>0</v>
      </c>
      <c r="E23" s="18">
        <v>0</v>
      </c>
      <c r="F23" s="8">
        <f t="shared" si="0"/>
        <v>0</v>
      </c>
      <c r="G23" s="18">
        <v>0</v>
      </c>
      <c r="H23" s="8">
        <f t="shared" si="3"/>
        <v>0</v>
      </c>
      <c r="I23" s="48"/>
      <c r="J23" s="18">
        <v>0</v>
      </c>
      <c r="K23" s="8">
        <f t="shared" si="1"/>
        <v>0</v>
      </c>
      <c r="L23" s="21"/>
      <c r="M23" s="21"/>
    </row>
    <row r="24" spans="1:13" ht="45" customHeight="1" x14ac:dyDescent="0.3">
      <c r="A24" s="7">
        <v>44185</v>
      </c>
      <c r="B24" s="46"/>
      <c r="C24" s="18">
        <v>0</v>
      </c>
      <c r="D24" s="8">
        <f t="shared" si="2"/>
        <v>0</v>
      </c>
      <c r="E24" s="18">
        <v>0</v>
      </c>
      <c r="F24" s="8">
        <f t="shared" si="0"/>
        <v>0</v>
      </c>
      <c r="G24" s="18">
        <v>0</v>
      </c>
      <c r="H24" s="8">
        <f t="shared" si="3"/>
        <v>0</v>
      </c>
      <c r="I24" s="48"/>
      <c r="J24" s="18">
        <v>0</v>
      </c>
      <c r="K24" s="8">
        <f t="shared" si="1"/>
        <v>0</v>
      </c>
      <c r="L24" s="21"/>
      <c r="M24" s="21"/>
    </row>
    <row r="25" spans="1:13" ht="45" customHeight="1" x14ac:dyDescent="0.3">
      <c r="A25" s="7">
        <v>44186</v>
      </c>
      <c r="B25" s="46"/>
      <c r="C25" s="18">
        <v>0</v>
      </c>
      <c r="D25" s="8">
        <f t="shared" si="2"/>
        <v>0</v>
      </c>
      <c r="E25" s="18">
        <v>0</v>
      </c>
      <c r="F25" s="8">
        <f t="shared" si="0"/>
        <v>0</v>
      </c>
      <c r="G25" s="18">
        <v>0</v>
      </c>
      <c r="H25" s="8">
        <f t="shared" si="3"/>
        <v>0</v>
      </c>
      <c r="I25" s="48"/>
      <c r="J25" s="18">
        <v>0</v>
      </c>
      <c r="K25" s="8">
        <f t="shared" si="1"/>
        <v>0</v>
      </c>
      <c r="L25" s="21"/>
      <c r="M25" s="21"/>
    </row>
    <row r="26" spans="1:13" ht="45" customHeight="1" x14ac:dyDescent="0.3">
      <c r="A26" s="7">
        <v>44187</v>
      </c>
      <c r="B26" s="46"/>
      <c r="C26" s="18">
        <v>0</v>
      </c>
      <c r="D26" s="8">
        <f t="shared" si="2"/>
        <v>0</v>
      </c>
      <c r="E26" s="18">
        <v>0</v>
      </c>
      <c r="F26" s="8">
        <f t="shared" si="0"/>
        <v>0</v>
      </c>
      <c r="G26" s="18">
        <v>0</v>
      </c>
      <c r="H26" s="8">
        <f t="shared" si="3"/>
        <v>0</v>
      </c>
      <c r="I26" s="48"/>
      <c r="J26" s="18">
        <v>0</v>
      </c>
      <c r="K26" s="8">
        <f t="shared" si="1"/>
        <v>0</v>
      </c>
      <c r="L26" s="21"/>
      <c r="M26" s="21"/>
    </row>
    <row r="27" spans="1:13" ht="45" customHeight="1" x14ac:dyDescent="0.3">
      <c r="A27" s="7">
        <v>44188</v>
      </c>
      <c r="B27" s="46"/>
      <c r="C27" s="18">
        <v>0</v>
      </c>
      <c r="D27" s="8">
        <f t="shared" si="2"/>
        <v>0</v>
      </c>
      <c r="E27" s="18">
        <v>0</v>
      </c>
      <c r="F27" s="8">
        <f t="shared" si="0"/>
        <v>0</v>
      </c>
      <c r="G27" s="18">
        <v>0</v>
      </c>
      <c r="H27" s="8">
        <f t="shared" si="3"/>
        <v>0</v>
      </c>
      <c r="I27" s="48"/>
      <c r="J27" s="18">
        <v>0</v>
      </c>
      <c r="K27" s="8">
        <f t="shared" si="1"/>
        <v>0</v>
      </c>
      <c r="L27" s="21"/>
      <c r="M27" s="21"/>
    </row>
    <row r="28" spans="1:13" ht="45" customHeight="1" x14ac:dyDescent="0.3">
      <c r="A28" s="7">
        <v>44189</v>
      </c>
      <c r="B28" s="46"/>
      <c r="C28" s="18">
        <v>0</v>
      </c>
      <c r="D28" s="8">
        <f t="shared" si="2"/>
        <v>0</v>
      </c>
      <c r="E28" s="18">
        <v>0</v>
      </c>
      <c r="F28" s="8">
        <f t="shared" si="0"/>
        <v>0</v>
      </c>
      <c r="G28" s="18">
        <v>0</v>
      </c>
      <c r="H28" s="8">
        <f t="shared" si="3"/>
        <v>0</v>
      </c>
      <c r="I28" s="48"/>
      <c r="J28" s="18">
        <v>0</v>
      </c>
      <c r="K28" s="8">
        <f t="shared" si="1"/>
        <v>0</v>
      </c>
      <c r="L28" s="21"/>
      <c r="M28" s="21"/>
    </row>
    <row r="29" spans="1:13" ht="45" customHeight="1" x14ac:dyDescent="0.3">
      <c r="A29" s="7">
        <v>44190</v>
      </c>
      <c r="B29" s="46"/>
      <c r="C29" s="18">
        <v>0</v>
      </c>
      <c r="D29" s="8">
        <f t="shared" si="2"/>
        <v>0</v>
      </c>
      <c r="E29" s="18">
        <v>0</v>
      </c>
      <c r="F29" s="8">
        <f t="shared" si="0"/>
        <v>0</v>
      </c>
      <c r="G29" s="18">
        <v>0</v>
      </c>
      <c r="H29" s="8">
        <f t="shared" si="3"/>
        <v>0</v>
      </c>
      <c r="I29" s="48"/>
      <c r="J29" s="18">
        <v>0</v>
      </c>
      <c r="K29" s="8">
        <f t="shared" si="1"/>
        <v>0</v>
      </c>
      <c r="L29" s="21"/>
      <c r="M29" s="21"/>
    </row>
    <row r="30" spans="1:13" ht="45" customHeight="1" x14ac:dyDescent="0.3">
      <c r="A30" s="7">
        <v>44191</v>
      </c>
      <c r="B30" s="46"/>
      <c r="C30" s="18">
        <v>0</v>
      </c>
      <c r="D30" s="8">
        <f t="shared" si="2"/>
        <v>0</v>
      </c>
      <c r="E30" s="18">
        <v>0</v>
      </c>
      <c r="F30" s="8">
        <f t="shared" si="0"/>
        <v>0</v>
      </c>
      <c r="G30" s="18">
        <v>0</v>
      </c>
      <c r="H30" s="8">
        <f t="shared" si="3"/>
        <v>0</v>
      </c>
      <c r="I30" s="49"/>
      <c r="J30" s="18">
        <v>0</v>
      </c>
      <c r="K30" s="8">
        <f t="shared" si="1"/>
        <v>0</v>
      </c>
      <c r="L30" s="21"/>
      <c r="M30" s="21"/>
    </row>
    <row r="31" spans="1:13" ht="45" customHeight="1" x14ac:dyDescent="0.3">
      <c r="A31" s="7">
        <v>44192</v>
      </c>
      <c r="B31" s="46"/>
      <c r="C31" s="18">
        <v>0</v>
      </c>
      <c r="D31" s="8">
        <f t="shared" si="2"/>
        <v>0</v>
      </c>
      <c r="E31" s="18">
        <v>0</v>
      </c>
      <c r="F31" s="8">
        <f t="shared" si="0"/>
        <v>0</v>
      </c>
      <c r="G31" s="18">
        <v>0</v>
      </c>
      <c r="H31" s="8">
        <f t="shared" si="3"/>
        <v>0</v>
      </c>
      <c r="I31" s="49"/>
      <c r="J31" s="18">
        <v>0</v>
      </c>
      <c r="K31" s="8">
        <f t="shared" si="1"/>
        <v>0</v>
      </c>
      <c r="L31" s="21"/>
      <c r="M31" s="21"/>
    </row>
    <row r="32" spans="1:13" ht="45" customHeight="1" x14ac:dyDescent="0.3">
      <c r="A32" s="7">
        <v>44193</v>
      </c>
      <c r="B32" s="46"/>
      <c r="C32" s="18">
        <v>0</v>
      </c>
      <c r="D32" s="8">
        <f t="shared" si="2"/>
        <v>0</v>
      </c>
      <c r="E32" s="18">
        <v>0</v>
      </c>
      <c r="F32" s="8">
        <f t="shared" si="0"/>
        <v>0</v>
      </c>
      <c r="G32" s="18">
        <v>0</v>
      </c>
      <c r="H32" s="8">
        <f t="shared" si="3"/>
        <v>0</v>
      </c>
      <c r="I32" s="49"/>
      <c r="J32" s="18">
        <v>0</v>
      </c>
      <c r="K32" s="8">
        <f t="shared" si="1"/>
        <v>0</v>
      </c>
      <c r="L32" s="21"/>
      <c r="M32" s="21"/>
    </row>
    <row r="33" spans="1:13" ht="36" customHeight="1" x14ac:dyDescent="0.3">
      <c r="A33" s="7">
        <v>44194</v>
      </c>
      <c r="C33" s="18">
        <v>0</v>
      </c>
      <c r="D33" s="8">
        <f t="shared" si="2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21"/>
      <c r="M33" s="21"/>
    </row>
    <row r="34" spans="1:13" ht="45.6" customHeight="1" x14ac:dyDescent="0.3">
      <c r="A34" s="7">
        <v>44195</v>
      </c>
      <c r="C34" s="18">
        <v>0</v>
      </c>
      <c r="D34" s="8">
        <f t="shared" si="2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21"/>
      <c r="M34" s="21"/>
    </row>
    <row r="35" spans="1:13" ht="47.45" customHeight="1" x14ac:dyDescent="0.3">
      <c r="A35" s="7">
        <v>44196</v>
      </c>
      <c r="C35" s="18">
        <v>0</v>
      </c>
      <c r="D35" s="8">
        <f t="shared" si="2"/>
        <v>0</v>
      </c>
      <c r="E35" s="18">
        <v>0</v>
      </c>
      <c r="F35" s="8">
        <f>IF((E35-E34&lt;0), "",E35-E34)</f>
        <v>0</v>
      </c>
      <c r="G35" s="18">
        <v>0</v>
      </c>
      <c r="H35" s="8">
        <f>IF((G35-G34&lt;0), "",G35-G34)</f>
        <v>0</v>
      </c>
      <c r="J35" s="18">
        <v>0</v>
      </c>
      <c r="K35" s="8">
        <f>IF((J35-J34&lt;0), "",J35-J34)</f>
        <v>0</v>
      </c>
      <c r="L35" s="21"/>
      <c r="M35" s="21"/>
    </row>
  </sheetData>
  <mergeCells count="7">
    <mergeCell ref="J1:K1"/>
    <mergeCell ref="C2:D2"/>
    <mergeCell ref="J2:K2"/>
    <mergeCell ref="B1:B32"/>
    <mergeCell ref="I1:I32"/>
    <mergeCell ref="E2:F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Athens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Paris Karavidas</cp:lastModifiedBy>
  <cp:lastPrinted>2021-01-07T06:49:21Z</cp:lastPrinted>
  <dcterms:created xsi:type="dcterms:W3CDTF">2017-05-03T09:23:30Z</dcterms:created>
  <dcterms:modified xsi:type="dcterms:W3CDTF">2021-01-07T10:49:06Z</dcterms:modified>
</cp:coreProperties>
</file>