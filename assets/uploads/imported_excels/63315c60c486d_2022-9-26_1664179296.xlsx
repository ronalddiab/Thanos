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4AD222C2-8E51-4444-B4FF-1B5160B49C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4" r:id="rId1"/>
    <sheet name="Electricity" sheetId="1" r:id="rId2"/>
    <sheet name="Water" sheetId="2" r:id="rId3"/>
    <sheet name="Gas" sheetId="3" r:id="rId4"/>
  </sheets>
  <definedNames>
    <definedName name="_xlnm.Print_Area" localSheetId="1">Electricity!$B$1:$U$54</definedName>
    <definedName name="_xlnm.Print_Area" localSheetId="2">Water!$A$1:$H$37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1" l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C37" i="1" l="1"/>
  <c r="D37" i="1"/>
  <c r="N31" i="4" l="1"/>
  <c r="O31" i="4"/>
  <c r="N32" i="4"/>
  <c r="O32" i="4"/>
  <c r="L31" i="4"/>
  <c r="L32" i="4"/>
  <c r="J31" i="4"/>
  <c r="J32" i="4"/>
  <c r="F31" i="4"/>
  <c r="G31" i="4"/>
  <c r="F32" i="4"/>
  <c r="G32" i="4"/>
  <c r="K34" i="1"/>
  <c r="L34" i="1"/>
  <c r="K35" i="1"/>
  <c r="L35" i="1"/>
  <c r="K36" i="1"/>
  <c r="L36" i="1"/>
  <c r="M36" i="1"/>
  <c r="H35" i="1"/>
  <c r="J35" i="1" s="1"/>
  <c r="H36" i="1"/>
  <c r="J36" i="1" s="1"/>
  <c r="M34" i="1" l="1"/>
  <c r="M35" i="1"/>
  <c r="E31" i="4"/>
  <c r="E32" i="4"/>
  <c r="N36" i="1"/>
  <c r="O36" i="1" s="1"/>
  <c r="I32" i="4" s="1"/>
  <c r="N34" i="1"/>
  <c r="O34" i="1" s="1"/>
  <c r="N35" i="1"/>
  <c r="O35" i="1" s="1"/>
  <c r="I31" i="4" s="1"/>
  <c r="N3" i="4"/>
  <c r="O3" i="4"/>
  <c r="N4" i="4"/>
  <c r="O4" i="4"/>
  <c r="N5" i="4"/>
  <c r="O5" i="4"/>
  <c r="N6" i="4"/>
  <c r="O6" i="4"/>
  <c r="N7" i="4"/>
  <c r="O7" i="4"/>
  <c r="N8" i="4"/>
  <c r="O8" i="4"/>
  <c r="N9" i="4"/>
  <c r="O9" i="4"/>
  <c r="N10" i="4"/>
  <c r="O10" i="4"/>
  <c r="N11" i="4"/>
  <c r="O11" i="4"/>
  <c r="N12" i="4"/>
  <c r="O12" i="4"/>
  <c r="N13" i="4"/>
  <c r="O13" i="4"/>
  <c r="N14" i="4"/>
  <c r="O14" i="4"/>
  <c r="N15" i="4"/>
  <c r="O15" i="4"/>
  <c r="N16" i="4"/>
  <c r="O16" i="4"/>
  <c r="N17" i="4"/>
  <c r="O17" i="4"/>
  <c r="N18" i="4"/>
  <c r="O18" i="4"/>
  <c r="N19" i="4"/>
  <c r="O19" i="4"/>
  <c r="N20" i="4"/>
  <c r="O20" i="4"/>
  <c r="N21" i="4"/>
  <c r="O21" i="4"/>
  <c r="N22" i="4"/>
  <c r="O22" i="4"/>
  <c r="N23" i="4"/>
  <c r="O23" i="4"/>
  <c r="N24" i="4"/>
  <c r="O24" i="4"/>
  <c r="N25" i="4"/>
  <c r="O25" i="4"/>
  <c r="N26" i="4"/>
  <c r="O26" i="4"/>
  <c r="N27" i="4"/>
  <c r="O27" i="4"/>
  <c r="N28" i="4"/>
  <c r="O28" i="4"/>
  <c r="N29" i="4"/>
  <c r="O29" i="4"/>
  <c r="N30" i="4"/>
  <c r="O30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2" i="4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L28" i="4"/>
  <c r="L20" i="4"/>
  <c r="L19" i="4"/>
  <c r="L17" i="4"/>
  <c r="L15" i="4"/>
  <c r="L12" i="4"/>
  <c r="L11" i="4"/>
  <c r="L9" i="4"/>
  <c r="L7" i="4"/>
  <c r="L4" i="4"/>
  <c r="L3" i="4"/>
  <c r="L2" i="4" l="1"/>
  <c r="L10" i="4"/>
  <c r="L18" i="4"/>
  <c r="L23" i="4"/>
  <c r="L26" i="4"/>
  <c r="L29" i="4"/>
  <c r="L5" i="4"/>
  <c r="L8" i="4"/>
  <c r="L13" i="4"/>
  <c r="L16" i="4"/>
  <c r="L21" i="4"/>
  <c r="L24" i="4"/>
  <c r="L6" i="4"/>
  <c r="L14" i="4"/>
  <c r="L22" i="4"/>
  <c r="L27" i="4"/>
  <c r="L30" i="4"/>
  <c r="L25" i="4"/>
  <c r="K31" i="1" l="1"/>
  <c r="L31" i="1"/>
  <c r="K32" i="1"/>
  <c r="L32" i="1"/>
  <c r="K33" i="1"/>
  <c r="L33" i="1"/>
  <c r="H31" i="1"/>
  <c r="H32" i="1"/>
  <c r="H33" i="1"/>
  <c r="H34" i="1"/>
  <c r="J34" i="1" s="1"/>
  <c r="M32" i="1" l="1"/>
  <c r="N32" i="1" s="1"/>
  <c r="J33" i="1"/>
  <c r="E29" i="4"/>
  <c r="E30" i="4"/>
  <c r="J32" i="1"/>
  <c r="E28" i="4"/>
  <c r="J31" i="1"/>
  <c r="E27" i="4"/>
  <c r="M33" i="1"/>
  <c r="N33" i="1" s="1"/>
  <c r="I30" i="4"/>
  <c r="M31" i="1"/>
  <c r="N31" i="1" s="1"/>
  <c r="O31" i="1" s="1"/>
  <c r="I27" i="4" s="1"/>
  <c r="O32" i="1" l="1"/>
  <c r="I28" i="4" s="1"/>
  <c r="O33" i="1"/>
  <c r="I29" i="4" s="1"/>
  <c r="O2" i="4" l="1"/>
  <c r="N2" i="4"/>
  <c r="I37" i="1" l="1"/>
  <c r="G37" i="1"/>
  <c r="F37" i="1"/>
  <c r="H27" i="1" l="1"/>
  <c r="E23" i="4" s="1"/>
  <c r="H28" i="1"/>
  <c r="E24" i="4" s="1"/>
  <c r="H29" i="1"/>
  <c r="E25" i="4" s="1"/>
  <c r="H30" i="1"/>
  <c r="E26" i="4" s="1"/>
  <c r="K6" i="1" l="1"/>
  <c r="D37" i="3" l="1"/>
  <c r="C37" i="3"/>
  <c r="G2" i="4" l="1"/>
  <c r="F2" i="4"/>
  <c r="G37" i="2" l="1"/>
  <c r="F37" i="2"/>
  <c r="E37" i="3" l="1"/>
  <c r="F37" i="3"/>
  <c r="G37" i="3"/>
  <c r="H37" i="3"/>
  <c r="H38" i="3" s="1"/>
  <c r="E46" i="3"/>
  <c r="K9" i="1" l="1"/>
  <c r="K26" i="1"/>
  <c r="K18" i="1"/>
  <c r="K10" i="1"/>
  <c r="K7" i="1"/>
  <c r="K17" i="1"/>
  <c r="K16" i="1"/>
  <c r="K22" i="1"/>
  <c r="K14" i="1"/>
  <c r="K29" i="1"/>
  <c r="K21" i="1"/>
  <c r="K13" i="1"/>
  <c r="K25" i="1"/>
  <c r="K8" i="1"/>
  <c r="K23" i="1"/>
  <c r="K20" i="1"/>
  <c r="K12" i="1"/>
  <c r="K24" i="1"/>
  <c r="K15" i="1"/>
  <c r="K30" i="1"/>
  <c r="K28" i="1"/>
  <c r="K27" i="1"/>
  <c r="K19" i="1"/>
  <c r="K11" i="1"/>
  <c r="K37" i="1" l="1"/>
  <c r="L30" i="1"/>
  <c r="L29" i="1"/>
  <c r="L28" i="1"/>
  <c r="L27" i="1"/>
  <c r="H26" i="1"/>
  <c r="E22" i="4" s="1"/>
  <c r="L26" i="1"/>
  <c r="H25" i="1"/>
  <c r="E21" i="4" s="1"/>
  <c r="L25" i="1"/>
  <c r="H24" i="1"/>
  <c r="E20" i="4" s="1"/>
  <c r="L24" i="1"/>
  <c r="H23" i="1"/>
  <c r="E19" i="4" s="1"/>
  <c r="L23" i="1"/>
  <c r="H22" i="1"/>
  <c r="E18" i="4" s="1"/>
  <c r="L22" i="1"/>
  <c r="H21" i="1"/>
  <c r="E17" i="4" s="1"/>
  <c r="L21" i="1"/>
  <c r="H20" i="1"/>
  <c r="E16" i="4" s="1"/>
  <c r="L20" i="1"/>
  <c r="H19" i="1"/>
  <c r="E15" i="4" s="1"/>
  <c r="L19" i="1"/>
  <c r="H18" i="1"/>
  <c r="E14" i="4" s="1"/>
  <c r="L18" i="1"/>
  <c r="H17" i="1"/>
  <c r="E13" i="4" s="1"/>
  <c r="L17" i="1"/>
  <c r="H16" i="1"/>
  <c r="E12" i="4" s="1"/>
  <c r="L16" i="1"/>
  <c r="H15" i="1"/>
  <c r="E11" i="4" s="1"/>
  <c r="L15" i="1"/>
  <c r="H14" i="1"/>
  <c r="E10" i="4" s="1"/>
  <c r="L14" i="1"/>
  <c r="H13" i="1"/>
  <c r="E9" i="4" s="1"/>
  <c r="L13" i="1"/>
  <c r="H12" i="1"/>
  <c r="E8" i="4" s="1"/>
  <c r="L12" i="1"/>
  <c r="H11" i="1"/>
  <c r="E7" i="4" s="1"/>
  <c r="L11" i="1"/>
  <c r="H10" i="1"/>
  <c r="E6" i="4" s="1"/>
  <c r="L10" i="1"/>
  <c r="H9" i="1"/>
  <c r="E5" i="4" s="1"/>
  <c r="L9" i="1"/>
  <c r="H8" i="1"/>
  <c r="E4" i="4" s="1"/>
  <c r="L8" i="1"/>
  <c r="H7" i="1"/>
  <c r="E3" i="4" s="1"/>
  <c r="L7" i="1"/>
  <c r="H6" i="1"/>
  <c r="L6" i="1"/>
  <c r="L37" i="1" l="1"/>
  <c r="E2" i="4"/>
  <c r="P2" i="4" s="1"/>
  <c r="H37" i="1"/>
  <c r="J10" i="1"/>
  <c r="P6" i="4"/>
  <c r="J14" i="1"/>
  <c r="P10" i="4"/>
  <c r="J18" i="1"/>
  <c r="P14" i="4"/>
  <c r="J22" i="1"/>
  <c r="J26" i="1"/>
  <c r="P22" i="4"/>
  <c r="J30" i="1"/>
  <c r="P26" i="4"/>
  <c r="J7" i="1"/>
  <c r="P3" i="4"/>
  <c r="J11" i="1"/>
  <c r="P7" i="4"/>
  <c r="J15" i="1"/>
  <c r="P11" i="4"/>
  <c r="J19" i="1"/>
  <c r="P15" i="4"/>
  <c r="J23" i="1"/>
  <c r="J27" i="1"/>
  <c r="P23" i="4"/>
  <c r="P27" i="4"/>
  <c r="J8" i="1"/>
  <c r="P4" i="4"/>
  <c r="J20" i="1"/>
  <c r="P16" i="4"/>
  <c r="P28" i="4"/>
  <c r="J16" i="1"/>
  <c r="P12" i="4"/>
  <c r="J28" i="1"/>
  <c r="P24" i="4"/>
  <c r="J12" i="1"/>
  <c r="P8" i="4"/>
  <c r="J24" i="1"/>
  <c r="J9" i="1"/>
  <c r="P5" i="4"/>
  <c r="J13" i="1"/>
  <c r="P9" i="4"/>
  <c r="J17" i="1"/>
  <c r="P13" i="4"/>
  <c r="J21" i="1"/>
  <c r="P17" i="4"/>
  <c r="J25" i="1"/>
  <c r="J29" i="1"/>
  <c r="P25" i="4"/>
  <c r="P29" i="4"/>
  <c r="J6" i="1"/>
  <c r="M29" i="1"/>
  <c r="N29" i="1" s="1"/>
  <c r="O29" i="1" s="1"/>
  <c r="I25" i="4" s="1"/>
  <c r="M19" i="1"/>
  <c r="N19" i="1" s="1"/>
  <c r="O19" i="1" s="1"/>
  <c r="I15" i="4" s="1"/>
  <c r="M27" i="1"/>
  <c r="N27" i="1" s="1"/>
  <c r="O27" i="1" s="1"/>
  <c r="I23" i="4" s="1"/>
  <c r="M25" i="1"/>
  <c r="N25" i="1" s="1"/>
  <c r="O25" i="1" s="1"/>
  <c r="I21" i="4" s="1"/>
  <c r="M7" i="1"/>
  <c r="N7" i="1" s="1"/>
  <c r="O7" i="1" s="1"/>
  <c r="I3" i="4" s="1"/>
  <c r="M22" i="1"/>
  <c r="N22" i="1" s="1"/>
  <c r="O22" i="1" s="1"/>
  <c r="I18" i="4" s="1"/>
  <c r="M8" i="1"/>
  <c r="N8" i="1" s="1"/>
  <c r="O8" i="1" s="1"/>
  <c r="I4" i="4" s="1"/>
  <c r="M16" i="1"/>
  <c r="N16" i="1" s="1"/>
  <c r="O16" i="1" s="1"/>
  <c r="I12" i="4" s="1"/>
  <c r="M9" i="1"/>
  <c r="N9" i="1" s="1"/>
  <c r="O9" i="1" s="1"/>
  <c r="I5" i="4" s="1"/>
  <c r="M30" i="1"/>
  <c r="N30" i="1" s="1"/>
  <c r="O30" i="1" s="1"/>
  <c r="I26" i="4" s="1"/>
  <c r="M28" i="1"/>
  <c r="N28" i="1" s="1"/>
  <c r="O28" i="1" s="1"/>
  <c r="I24" i="4" s="1"/>
  <c r="M26" i="1"/>
  <c r="N26" i="1" s="1"/>
  <c r="O26" i="1" s="1"/>
  <c r="I22" i="4" s="1"/>
  <c r="M24" i="1"/>
  <c r="N24" i="1" s="1"/>
  <c r="O24" i="1" s="1"/>
  <c r="I20" i="4" s="1"/>
  <c r="M23" i="1"/>
  <c r="N23" i="1" s="1"/>
  <c r="O23" i="1" s="1"/>
  <c r="I19" i="4" s="1"/>
  <c r="M21" i="1"/>
  <c r="N21" i="1" s="1"/>
  <c r="O21" i="1" s="1"/>
  <c r="I17" i="4" s="1"/>
  <c r="M20" i="1"/>
  <c r="N20" i="1" s="1"/>
  <c r="O20" i="1" s="1"/>
  <c r="I16" i="4" s="1"/>
  <c r="M18" i="1"/>
  <c r="N18" i="1" s="1"/>
  <c r="O18" i="1" s="1"/>
  <c r="I14" i="4" s="1"/>
  <c r="M17" i="1"/>
  <c r="N17" i="1" s="1"/>
  <c r="O17" i="1" s="1"/>
  <c r="I13" i="4" s="1"/>
  <c r="M15" i="1"/>
  <c r="N15" i="1" s="1"/>
  <c r="O15" i="1" s="1"/>
  <c r="I11" i="4" s="1"/>
  <c r="M14" i="1"/>
  <c r="N14" i="1" s="1"/>
  <c r="O14" i="1" s="1"/>
  <c r="I10" i="4" s="1"/>
  <c r="M13" i="1"/>
  <c r="N13" i="1" s="1"/>
  <c r="O13" i="1" s="1"/>
  <c r="I9" i="4" s="1"/>
  <c r="M12" i="1"/>
  <c r="N12" i="1" s="1"/>
  <c r="O12" i="1" s="1"/>
  <c r="I8" i="4" s="1"/>
  <c r="M11" i="1"/>
  <c r="N11" i="1" s="1"/>
  <c r="O11" i="1" s="1"/>
  <c r="I7" i="4" s="1"/>
  <c r="M10" i="1"/>
  <c r="N10" i="1" s="1"/>
  <c r="O10" i="1" s="1"/>
  <c r="I6" i="4" s="1"/>
  <c r="M6" i="1"/>
  <c r="M37" i="1" l="1"/>
  <c r="J37" i="1"/>
  <c r="N6" i="1"/>
  <c r="N37" i="1" s="1"/>
  <c r="E37" i="2"/>
  <c r="O6" i="1" l="1"/>
  <c r="O37" i="1" s="1"/>
  <c r="P20" i="4"/>
  <c r="P21" i="4"/>
  <c r="P18" i="4"/>
  <c r="P19" i="4"/>
  <c r="D37" i="2"/>
  <c r="G47" i="2" s="1"/>
  <c r="C37" i="2" l="1"/>
  <c r="G41" i="2"/>
  <c r="I2" i="4"/>
</calcChain>
</file>

<file path=xl/sharedStrings.xml><?xml version="1.0" encoding="utf-8"?>
<sst xmlns="http://schemas.openxmlformats.org/spreadsheetml/2006/main" count="140" uniqueCount="65">
  <si>
    <t>Date</t>
  </si>
  <si>
    <t>Total (Rp)</t>
  </si>
  <si>
    <t>Hotel</t>
  </si>
  <si>
    <t>TOTAL BILL</t>
  </si>
  <si>
    <t xml:space="preserve">WATER METER READING </t>
  </si>
  <si>
    <t xml:space="preserve">Recycle Water </t>
  </si>
  <si>
    <t xml:space="preserve">Unit Price </t>
  </si>
  <si>
    <t>Total Bill</t>
  </si>
  <si>
    <t>CW Public Area</t>
  </si>
  <si>
    <t xml:space="preserve"> </t>
  </si>
  <si>
    <t>Peak Hour</t>
  </si>
  <si>
    <t>Low Peak Hour</t>
  </si>
  <si>
    <t>Cost per  kWh in Rupiah ( Rp)</t>
  </si>
  <si>
    <t>kWh</t>
  </si>
  <si>
    <t>Rupiah</t>
  </si>
  <si>
    <t>Other</t>
  </si>
  <si>
    <t>HOTEL DAILY ELECTRICITY METER</t>
  </si>
  <si>
    <t>Tax for public  service3%</t>
  </si>
  <si>
    <t xml:space="preserve"> ( 17:01-22:00)</t>
  </si>
  <si>
    <t xml:space="preserve">Low Peak Hour </t>
  </si>
  <si>
    <t>( 22:01 -17:00)</t>
  </si>
  <si>
    <t>24 Hour</t>
  </si>
  <si>
    <t xml:space="preserve">Chiller </t>
  </si>
  <si>
    <t xml:space="preserve">Sub Metering </t>
  </si>
  <si>
    <t>Total  Metering</t>
  </si>
  <si>
    <t xml:space="preserve">Total Cost </t>
  </si>
  <si>
    <t>Kitchen B1</t>
  </si>
  <si>
    <t xml:space="preserve">Ballroom Kitchen </t>
  </si>
  <si>
    <t>Alto Kitchen</t>
  </si>
  <si>
    <t xml:space="preserve">Palm court Kitchen </t>
  </si>
  <si>
    <t>Main metering</t>
  </si>
  <si>
    <t>Clean water Level 22</t>
  </si>
  <si>
    <t>Total Metering</t>
  </si>
  <si>
    <t>m3</t>
  </si>
  <si>
    <t xml:space="preserve">Sub metering </t>
  </si>
  <si>
    <t>Total Consumption CW Hotel + Public Area + Recycle Water  commond share ( 20% )</t>
  </si>
  <si>
    <t>Rupiah ( Rp)</t>
  </si>
  <si>
    <t>Mmbtu</t>
  </si>
  <si>
    <t>Sub metering ( m3)</t>
  </si>
  <si>
    <t>Sm3</t>
  </si>
  <si>
    <t>US $</t>
  </si>
  <si>
    <t>mimimum contract</t>
  </si>
  <si>
    <t>Recycle Water   share 20%</t>
  </si>
  <si>
    <t>Utilities day cost dh</t>
  </si>
  <si>
    <t xml:space="preserve">Total Guests </t>
  </si>
  <si>
    <t xml:space="preserve">Room Nights </t>
  </si>
  <si>
    <t>Natural Gas $/m3</t>
  </si>
  <si>
    <t>Total Electricity Kwh</t>
  </si>
  <si>
    <t>Year</t>
  </si>
  <si>
    <t>Month</t>
  </si>
  <si>
    <t>Day</t>
  </si>
  <si>
    <t>Site Name</t>
  </si>
  <si>
    <t>Jakarta</t>
  </si>
  <si>
    <t>Room Nights</t>
  </si>
  <si>
    <t>Total Guests</t>
  </si>
  <si>
    <t xml:space="preserve">Peak hour  Kwh </t>
  </si>
  <si>
    <t xml:space="preserve">Low Peak Hour Kwh </t>
  </si>
  <si>
    <t>Electricity  Total  Tariff (Rupiah)</t>
  </si>
  <si>
    <t>1035.78</t>
  </si>
  <si>
    <t xml:space="preserve">GAS METER READING </t>
  </si>
  <si>
    <t>Electricity Tariff ($/Kwh)</t>
  </si>
  <si>
    <t>Natual Gas (m3)</t>
  </si>
  <si>
    <t>Water Utility Supply (m3) $/m3</t>
  </si>
  <si>
    <t>Water Utility Supply (m3) m3</t>
  </si>
  <si>
    <t>Electricity Distribution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</si>
</sst>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_);_(* \(#,##0\);_(* &quot;-&quot;_);_(@_)"/>
    <numFmt numFmtId="165" formatCode="_(* #,##0.00_);_(* \(#,##0.00\);_(* &quot;-&quot;??_);_(@_)"/>
    <numFmt numFmtId="166" formatCode="_(&quot;Rp&quot;* #,##0_);_(&quot;Rp&quot;* \(#,##0\);_(&quot;Rp&quot;* &quot;-&quot;_);_(@_)"/>
    <numFmt numFmtId="167" formatCode="#.00"/>
    <numFmt numFmtId="168" formatCode="_(* #.##0_);_(* \(#.##0\);_(* &quot;-&quot;_);_(@_)"/>
    <numFmt numFmtId="169" formatCode="_(* #.##0.00_);_(* \(#.##0.00\);_(* &quot;-&quot;??_);_(@_)"/>
    <numFmt numFmtId="170" formatCode="0.00;[Red]0.00"/>
    <numFmt numFmtId="171" formatCode="[$Rp-421]#,##0"/>
    <numFmt numFmtId="172" formatCode="0;[Red]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4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3" fillId="0" borderId="0"/>
    <xf numFmtId="165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</cellStyleXfs>
  <cellXfs count="176">
    <xf numFmtId="0" fontId="0" fillId="0" borderId="0" xfId="0"/>
    <xf numFmtId="0" fontId="5" fillId="2" borderId="0" xfId="2" applyFill="1" applyAlignment="1">
      <alignment vertical="center"/>
    </xf>
    <xf numFmtId="0" fontId="5" fillId="0" borderId="0" xfId="2" applyAlignment="1">
      <alignment vertical="center"/>
    </xf>
    <xf numFmtId="0" fontId="7" fillId="0" borderId="6" xfId="2" applyFont="1" applyBorder="1" applyAlignment="1">
      <alignment horizontal="center" vertical="center"/>
    </xf>
    <xf numFmtId="0" fontId="7" fillId="2" borderId="0" xfId="2" applyFont="1" applyFill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7" fontId="5" fillId="2" borderId="0" xfId="2" applyNumberFormat="1" applyFill="1" applyAlignment="1">
      <alignment vertical="center"/>
    </xf>
    <xf numFmtId="166" fontId="5" fillId="2" borderId="0" xfId="2" applyNumberFormat="1" applyFill="1" applyAlignment="1">
      <alignment vertical="center"/>
    </xf>
    <xf numFmtId="166" fontId="5" fillId="2" borderId="0" xfId="3" applyNumberFormat="1" applyFill="1" applyAlignment="1">
      <alignment vertical="center"/>
    </xf>
    <xf numFmtId="166" fontId="6" fillId="2" borderId="0" xfId="3" applyNumberFormat="1" applyFont="1" applyFill="1" applyAlignment="1">
      <alignment vertical="center"/>
    </xf>
    <xf numFmtId="0" fontId="5" fillId="2" borderId="0" xfId="3" applyFill="1" applyAlignment="1">
      <alignment vertical="center"/>
    </xf>
    <xf numFmtId="169" fontId="0" fillId="2" borderId="0" xfId="3" applyNumberFormat="1" applyFont="1" applyFill="1" applyAlignment="1">
      <alignment horizontal="right"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70" fontId="4" fillId="2" borderId="0" xfId="3" applyNumberFormat="1" applyFont="1" applyFill="1" applyAlignment="1">
      <alignment horizontal="right" vertical="center"/>
    </xf>
    <xf numFmtId="0" fontId="0" fillId="2" borderId="0" xfId="3" applyFon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horizontal="right" vertical="center"/>
    </xf>
    <xf numFmtId="0" fontId="5" fillId="2" borderId="0" xfId="3" applyFill="1" applyAlignment="1">
      <alignment horizontal="right" vertical="center"/>
    </xf>
    <xf numFmtId="166" fontId="6" fillId="2" borderId="0" xfId="2" applyNumberFormat="1" applyFont="1" applyFill="1" applyAlignment="1">
      <alignment vertical="center"/>
    </xf>
    <xf numFmtId="168" fontId="0" fillId="2" borderId="0" xfId="5" applyFont="1" applyFill="1" applyAlignment="1">
      <alignment vertical="center"/>
    </xf>
    <xf numFmtId="0" fontId="5" fillId="2" borderId="0" xfId="2" applyFill="1" applyAlignment="1">
      <alignment horizontal="right" vertical="center"/>
    </xf>
    <xf numFmtId="0" fontId="4" fillId="2" borderId="0" xfId="3" applyFont="1" applyFill="1" applyAlignment="1">
      <alignment vertical="center"/>
    </xf>
    <xf numFmtId="166" fontId="10" fillId="2" borderId="0" xfId="2" applyNumberFormat="1" applyFont="1" applyFill="1" applyAlignment="1">
      <alignment vertical="center"/>
    </xf>
    <xf numFmtId="168" fontId="0" fillId="2" borderId="0" xfId="4" applyFont="1" applyFill="1" applyAlignment="1">
      <alignment vertical="center"/>
    </xf>
    <xf numFmtId="171" fontId="5" fillId="2" borderId="0" xfId="2" applyNumberFormat="1" applyFill="1" applyAlignment="1">
      <alignment vertical="center"/>
    </xf>
    <xf numFmtId="0" fontId="5" fillId="2" borderId="0" xfId="2" applyFill="1"/>
    <xf numFmtId="171" fontId="5" fillId="2" borderId="0" xfId="2" applyNumberFormat="1" applyFill="1"/>
    <xf numFmtId="0" fontId="5" fillId="0" borderId="0" xfId="2"/>
    <xf numFmtId="0" fontId="0" fillId="2" borderId="0" xfId="0" applyFill="1"/>
    <xf numFmtId="16" fontId="14" fillId="2" borderId="5" xfId="0" applyNumberFormat="1" applyFont="1" applyFill="1" applyBorder="1" applyAlignment="1">
      <alignment horizontal="center" vertical="center"/>
    </xf>
    <xf numFmtId="1" fontId="15" fillId="2" borderId="5" xfId="0" applyNumberFormat="1" applyFont="1" applyFill="1" applyBorder="1" applyAlignment="1">
      <alignment horizontal="center" vertical="center" wrapText="1"/>
    </xf>
    <xf numFmtId="1" fontId="0" fillId="2" borderId="0" xfId="0" applyNumberFormat="1" applyFill="1"/>
    <xf numFmtId="0" fontId="16" fillId="2" borderId="0" xfId="0" applyFont="1" applyFill="1"/>
    <xf numFmtId="0" fontId="17" fillId="2" borderId="0" xfId="0" applyFont="1" applyFill="1"/>
    <xf numFmtId="1" fontId="1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1" applyFont="1" applyFill="1"/>
    <xf numFmtId="0" fontId="13" fillId="2" borderId="0" xfId="0" applyFont="1" applyFill="1"/>
    <xf numFmtId="2" fontId="6" fillId="2" borderId="0" xfId="0" applyNumberFormat="1" applyFont="1" applyFill="1"/>
    <xf numFmtId="0" fontId="6" fillId="2" borderId="0" xfId="0" applyFont="1" applyFill="1"/>
    <xf numFmtId="164" fontId="6" fillId="2" borderId="0" xfId="1" applyFont="1" applyFill="1"/>
    <xf numFmtId="0" fontId="6" fillId="2" borderId="0" xfId="2" applyFont="1" applyFill="1" applyAlignment="1">
      <alignment horizontal="right" vertical="center"/>
    </xf>
    <xf numFmtId="0" fontId="18" fillId="2" borderId="0" xfId="3" applyFont="1" applyFill="1" applyAlignment="1">
      <alignment vertical="center"/>
    </xf>
    <xf numFmtId="0" fontId="2" fillId="2" borderId="0" xfId="3" applyFont="1" applyFill="1" applyAlignment="1">
      <alignment horizontal="right" vertical="center"/>
    </xf>
    <xf numFmtId="0" fontId="1" fillId="2" borderId="0" xfId="2" applyFont="1" applyFill="1" applyAlignment="1">
      <alignment vertical="center"/>
    </xf>
    <xf numFmtId="0" fontId="1" fillId="2" borderId="0" xfId="3" applyFont="1" applyFill="1" applyAlignment="1">
      <alignment horizontal="right" vertical="center"/>
    </xf>
    <xf numFmtId="0" fontId="7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 wrapText="1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20" fillId="2" borderId="13" xfId="2" applyFont="1" applyFill="1" applyBorder="1" applyAlignment="1">
      <alignment horizontal="center" vertical="center" wrapText="1"/>
    </xf>
    <xf numFmtId="0" fontId="14" fillId="2" borderId="0" xfId="2" applyFont="1" applyFill="1" applyAlignment="1">
      <alignment vertical="center"/>
    </xf>
    <xf numFmtId="0" fontId="14" fillId="0" borderId="0" xfId="2" applyFont="1" applyAlignment="1">
      <alignment vertical="center"/>
    </xf>
    <xf numFmtId="0" fontId="20" fillId="2" borderId="4" xfId="2" applyFont="1" applyFill="1" applyBorder="1" applyAlignment="1">
      <alignment horizontal="center" vertical="center" wrapText="1"/>
    </xf>
    <xf numFmtId="0" fontId="7" fillId="0" borderId="7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5" fillId="2" borderId="20" xfId="2" applyFill="1" applyBorder="1" applyAlignment="1">
      <alignment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64" fontId="0" fillId="0" borderId="0" xfId="1" applyFont="1" applyBorder="1" applyAlignment="1">
      <alignment horizontal="center" vertical="center"/>
    </xf>
    <xf numFmtId="1" fontId="5" fillId="2" borderId="0" xfId="3" applyNumberFormat="1" applyFill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70" fontId="5" fillId="2" borderId="0" xfId="3" applyNumberFormat="1" applyFill="1" applyAlignment="1">
      <alignment horizontal="center" vertical="center"/>
    </xf>
    <xf numFmtId="168" fontId="0" fillId="2" borderId="0" xfId="4" applyFont="1" applyFill="1" applyAlignment="1">
      <alignment horizontal="center" vertical="center"/>
    </xf>
    <xf numFmtId="166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6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8" applyFont="1" applyFill="1" applyBorder="1" applyAlignment="1">
      <alignment vertical="center"/>
    </xf>
    <xf numFmtId="1" fontId="11" fillId="2" borderId="0" xfId="0" applyNumberFormat="1" applyFont="1" applyFill="1" applyAlignment="1">
      <alignment horizontal="center" vertical="center"/>
    </xf>
    <xf numFmtId="0" fontId="25" fillId="2" borderId="0" xfId="0" applyFont="1" applyFill="1"/>
    <xf numFmtId="0" fontId="25" fillId="0" borderId="0" xfId="0" applyFont="1"/>
    <xf numFmtId="0" fontId="21" fillId="3" borderId="5" xfId="0" applyFont="1" applyFill="1" applyBorder="1" applyAlignment="1">
      <alignment horizontal="center" vertical="center"/>
    </xf>
    <xf numFmtId="0" fontId="21" fillId="3" borderId="5" xfId="0" quotePrefix="1" applyFont="1" applyFill="1" applyBorder="1" applyAlignment="1">
      <alignment horizontal="center" vertical="center"/>
    </xf>
    <xf numFmtId="0" fontId="9" fillId="0" borderId="0" xfId="9"/>
    <xf numFmtId="1" fontId="9" fillId="0" borderId="0" xfId="9" applyNumberFormat="1" applyAlignment="1">
      <alignment horizontal="center"/>
    </xf>
    <xf numFmtId="0" fontId="9" fillId="0" borderId="0" xfId="9" applyAlignment="1">
      <alignment horizontal="center"/>
    </xf>
    <xf numFmtId="1" fontId="26" fillId="0" borderId="0" xfId="9" applyNumberFormat="1" applyFont="1" applyAlignment="1">
      <alignment horizontal="center"/>
    </xf>
    <xf numFmtId="0" fontId="26" fillId="0" borderId="0" xfId="9" applyFont="1" applyAlignment="1">
      <alignment horizontal="center"/>
    </xf>
    <xf numFmtId="2" fontId="9" fillId="0" borderId="0" xfId="9" applyNumberFormat="1" applyAlignment="1">
      <alignment horizontal="center"/>
    </xf>
    <xf numFmtId="0" fontId="27" fillId="0" borderId="0" xfId="9" applyFont="1" applyAlignment="1">
      <alignment horizontal="center"/>
    </xf>
    <xf numFmtId="2" fontId="9" fillId="0" borderId="0" xfId="9" applyNumberFormat="1"/>
    <xf numFmtId="0" fontId="6" fillId="0" borderId="0" xfId="9" applyFont="1"/>
    <xf numFmtId="0" fontId="6" fillId="0" borderId="0" xfId="9" applyFont="1" applyAlignment="1">
      <alignment wrapText="1"/>
    </xf>
    <xf numFmtId="1" fontId="6" fillId="0" borderId="24" xfId="9" applyNumberFormat="1" applyFont="1" applyBorder="1" applyAlignment="1">
      <alignment horizontal="center" wrapText="1"/>
    </xf>
    <xf numFmtId="0" fontId="6" fillId="0" borderId="24" xfId="9" applyFont="1" applyBorder="1" applyAlignment="1">
      <alignment horizontal="center" wrapText="1"/>
    </xf>
    <xf numFmtId="1" fontId="28" fillId="0" borderId="24" xfId="9" applyNumberFormat="1" applyFont="1" applyBorder="1" applyAlignment="1">
      <alignment horizontal="center"/>
    </xf>
    <xf numFmtId="0" fontId="28" fillId="0" borderId="24" xfId="9" applyFont="1" applyBorder="1" applyAlignment="1">
      <alignment horizontal="center"/>
    </xf>
    <xf numFmtId="0" fontId="6" fillId="0" borderId="24" xfId="9" applyFont="1" applyBorder="1" applyAlignment="1">
      <alignment horizontal="center"/>
    </xf>
    <xf numFmtId="0" fontId="7" fillId="0" borderId="25" xfId="2" applyFont="1" applyBorder="1" applyAlignment="1">
      <alignment horizontal="center" vertical="center"/>
    </xf>
    <xf numFmtId="0" fontId="7" fillId="0" borderId="26" xfId="2" applyFont="1" applyBorder="1" applyAlignment="1">
      <alignment horizontal="center" vertical="center"/>
    </xf>
    <xf numFmtId="0" fontId="7" fillId="0" borderId="27" xfId="2" applyFont="1" applyBorder="1" applyAlignment="1">
      <alignment horizontal="center" vertical="center"/>
    </xf>
    <xf numFmtId="0" fontId="7" fillId="6" borderId="27" xfId="2" applyFont="1" applyFill="1" applyBorder="1" applyAlignment="1">
      <alignment horizontal="center" vertical="center"/>
    </xf>
    <xf numFmtId="172" fontId="6" fillId="0" borderId="24" xfId="9" applyNumberFormat="1" applyFont="1" applyBorder="1" applyAlignment="1">
      <alignment horizontal="center" wrapText="1"/>
    </xf>
    <xf numFmtId="172" fontId="9" fillId="0" borderId="0" xfId="9" applyNumberFormat="1" applyAlignment="1">
      <alignment horizontal="center"/>
    </xf>
    <xf numFmtId="1" fontId="29" fillId="2" borderId="5" xfId="0" applyNumberFormat="1" applyFont="1" applyFill="1" applyBorder="1" applyAlignment="1">
      <alignment horizontal="center" vertical="center"/>
    </xf>
    <xf numFmtId="1" fontId="29" fillId="2" borderId="5" xfId="0" applyNumberFormat="1" applyFont="1" applyFill="1" applyBorder="1" applyAlignment="1">
      <alignment horizontal="center"/>
    </xf>
    <xf numFmtId="1" fontId="29" fillId="2" borderId="5" xfId="0" applyNumberFormat="1" applyFont="1" applyFill="1" applyBorder="1" applyAlignment="1">
      <alignment horizontal="center" vertical="center" wrapText="1"/>
    </xf>
    <xf numFmtId="1" fontId="10" fillId="5" borderId="4" xfId="2" applyNumberFormat="1" applyFont="1" applyFill="1" applyBorder="1" applyAlignment="1">
      <alignment horizontal="center" vertical="center" wrapText="1"/>
    </xf>
    <xf numFmtId="1" fontId="19" fillId="4" borderId="4" xfId="2" applyNumberFormat="1" applyFont="1" applyFill="1" applyBorder="1" applyAlignment="1">
      <alignment horizontal="center" vertical="center" wrapText="1"/>
    </xf>
    <xf numFmtId="1" fontId="1" fillId="0" borderId="5" xfId="7" applyNumberFormat="1" applyFont="1" applyBorder="1" applyAlignment="1">
      <alignment horizontal="center" vertical="center"/>
    </xf>
    <xf numFmtId="1" fontId="1" fillId="0" borderId="5" xfId="1" applyNumberFormat="1" applyFont="1" applyBorder="1" applyAlignment="1">
      <alignment horizontal="center" vertical="center"/>
    </xf>
    <xf numFmtId="1" fontId="5" fillId="2" borderId="5" xfId="3" applyNumberFormat="1" applyFill="1" applyBorder="1" applyAlignment="1">
      <alignment horizontal="center" vertical="center"/>
    </xf>
    <xf numFmtId="1" fontId="5" fillId="0" borderId="5" xfId="3" applyNumberFormat="1" applyBorder="1" applyAlignment="1">
      <alignment horizontal="center" vertical="center"/>
    </xf>
    <xf numFmtId="1" fontId="0" fillId="0" borderId="5" xfId="1" applyNumberFormat="1" applyFont="1" applyBorder="1" applyAlignment="1">
      <alignment horizontal="center" vertic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2" borderId="5" xfId="0" applyNumberFormat="1" applyFill="1" applyBorder="1" applyAlignment="1">
      <alignment horizontal="center" vertical="center" wrapText="1"/>
    </xf>
    <xf numFmtId="1" fontId="5" fillId="0" borderId="6" xfId="3" applyNumberFormat="1" applyBorder="1" applyAlignment="1">
      <alignment horizontal="center" vertical="center"/>
    </xf>
    <xf numFmtId="1" fontId="30" fillId="0" borderId="5" xfId="0" applyNumberFormat="1" applyFont="1" applyBorder="1" applyAlignment="1">
      <alignment horizontal="center" vertical="center"/>
    </xf>
    <xf numFmtId="1" fontId="16" fillId="2" borderId="0" xfId="0" applyNumberFormat="1" applyFont="1" applyFill="1" applyAlignment="1">
      <alignment horizontal="center"/>
    </xf>
    <xf numFmtId="1" fontId="24" fillId="2" borderId="0" xfId="0" applyNumberFormat="1" applyFont="1" applyFill="1" applyAlignment="1">
      <alignment horizontal="center"/>
    </xf>
    <xf numFmtId="1" fontId="0" fillId="2" borderId="0" xfId="0" applyNumberFormat="1" applyFill="1" applyAlignment="1">
      <alignment horizontal="center"/>
    </xf>
    <xf numFmtId="1" fontId="13" fillId="2" borderId="0" xfId="0" applyNumberFormat="1" applyFont="1" applyFill="1" applyAlignment="1">
      <alignment horizontal="center"/>
    </xf>
    <xf numFmtId="1" fontId="17" fillId="2" borderId="0" xfId="0" applyNumberFormat="1" applyFont="1" applyFill="1" applyAlignment="1">
      <alignment horizontal="center"/>
    </xf>
    <xf numFmtId="1" fontId="7" fillId="3" borderId="10" xfId="0" applyNumberFormat="1" applyFont="1" applyFill="1" applyBorder="1" applyAlignment="1">
      <alignment horizontal="right"/>
    </xf>
    <xf numFmtId="1" fontId="0" fillId="3" borderId="10" xfId="0" applyNumberFormat="1" applyFill="1" applyBorder="1" applyAlignment="1">
      <alignment horizontal="center"/>
    </xf>
    <xf numFmtId="1" fontId="23" fillId="3" borderId="10" xfId="0" applyNumberFormat="1" applyFont="1" applyFill="1" applyBorder="1" applyAlignment="1">
      <alignment horizontal="center"/>
    </xf>
    <xf numFmtId="1" fontId="0" fillId="3" borderId="10" xfId="0" applyNumberFormat="1" applyFill="1" applyBorder="1" applyAlignment="1">
      <alignment horizontal="right"/>
    </xf>
    <xf numFmtId="1" fontId="18" fillId="3" borderId="10" xfId="0" applyNumberFormat="1" applyFont="1" applyFill="1" applyBorder="1" applyAlignment="1">
      <alignment horizontal="center"/>
    </xf>
    <xf numFmtId="1" fontId="0" fillId="0" borderId="0" xfId="0" applyNumberFormat="1"/>
    <xf numFmtId="1" fontId="19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9" fillId="0" borderId="0" xfId="0" applyNumberFormat="1" applyFont="1"/>
    <xf numFmtId="1" fontId="12" fillId="3" borderId="5" xfId="0" quotePrefix="1" applyNumberFormat="1" applyFont="1" applyFill="1" applyBorder="1" applyAlignment="1">
      <alignment horizontal="center" vertical="center"/>
    </xf>
    <xf numFmtId="1" fontId="16" fillId="2" borderId="0" xfId="0" applyNumberFormat="1" applyFont="1" applyFill="1"/>
    <xf numFmtId="1" fontId="17" fillId="2" borderId="0" xfId="0" applyNumberFormat="1" applyFont="1" applyFill="1"/>
    <xf numFmtId="1" fontId="0" fillId="2" borderId="0" xfId="1" applyNumberFormat="1" applyFont="1" applyFill="1"/>
    <xf numFmtId="1" fontId="13" fillId="2" borderId="0" xfId="0" applyNumberFormat="1" applyFont="1" applyFill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6" fillId="2" borderId="0" xfId="1" applyNumberFormat="1" applyFont="1" applyFill="1"/>
    <xf numFmtId="164" fontId="6" fillId="2" borderId="0" xfId="1" applyFont="1" applyFill="1" applyAlignment="1">
      <alignment vertical="center"/>
    </xf>
    <xf numFmtId="1" fontId="0" fillId="2" borderId="0" xfId="3" applyNumberFormat="1" applyFont="1" applyFill="1" applyAlignment="1">
      <alignment horizontal="right" vertical="center"/>
    </xf>
    <xf numFmtId="1" fontId="1" fillId="2" borderId="0" xfId="1" applyNumberFormat="1" applyFont="1" applyFill="1" applyAlignment="1">
      <alignment horizontal="center" vertical="center"/>
    </xf>
    <xf numFmtId="3" fontId="22" fillId="3" borderId="16" xfId="0" applyNumberFormat="1" applyFont="1" applyFill="1" applyBorder="1" applyAlignment="1">
      <alignment horizontal="center" vertical="center"/>
    </xf>
    <xf numFmtId="0" fontId="7" fillId="0" borderId="9" xfId="2" applyFont="1" applyBorder="1" applyAlignment="1">
      <alignment horizontal="center" vertical="center" wrapText="1"/>
    </xf>
    <xf numFmtId="0" fontId="7" fillId="0" borderId="12" xfId="2" applyFont="1" applyBorder="1" applyAlignment="1">
      <alignment horizontal="center" vertical="center" wrapText="1"/>
    </xf>
    <xf numFmtId="0" fontId="7" fillId="0" borderId="15" xfId="2" applyFont="1" applyBorder="1" applyAlignment="1">
      <alignment horizontal="center" vertical="center"/>
    </xf>
    <xf numFmtId="0" fontId="7" fillId="0" borderId="14" xfId="2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20" fillId="2" borderId="7" xfId="2" applyFont="1" applyFill="1" applyBorder="1" applyAlignment="1">
      <alignment horizontal="center" vertical="center" wrapText="1"/>
    </xf>
    <xf numFmtId="0" fontId="20" fillId="2" borderId="8" xfId="2" applyFont="1" applyFill="1" applyBorder="1" applyAlignment="1">
      <alignment horizontal="center" vertical="center" wrapText="1"/>
    </xf>
    <xf numFmtId="0" fontId="20" fillId="2" borderId="10" xfId="2" applyFont="1" applyFill="1" applyBorder="1" applyAlignment="1">
      <alignment horizontal="center" vertical="center" wrapText="1"/>
    </xf>
    <xf numFmtId="1" fontId="11" fillId="2" borderId="0" xfId="0" applyNumberFormat="1" applyFont="1" applyFill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7" xfId="0" quotePrefix="1" applyFont="1" applyFill="1" applyBorder="1" applyAlignment="1">
      <alignment horizontal="center" vertical="center"/>
    </xf>
    <xf numFmtId="0" fontId="21" fillId="3" borderId="10" xfId="0" quotePrefix="1" applyFont="1" applyFill="1" applyBorder="1" applyAlignment="1">
      <alignment horizontal="center" vertical="center"/>
    </xf>
    <xf numFmtId="0" fontId="21" fillId="3" borderId="8" xfId="0" quotePrefix="1" applyFont="1" applyFill="1" applyBorder="1" applyAlignment="1">
      <alignment horizontal="center" vertical="center"/>
    </xf>
    <xf numFmtId="0" fontId="21" fillId="3" borderId="7" xfId="0" quotePrefix="1" applyFont="1" applyFill="1" applyBorder="1" applyAlignment="1">
      <alignment horizontal="center" vertical="center" wrapText="1"/>
    </xf>
    <xf numFmtId="0" fontId="21" fillId="3" borderId="8" xfId="0" quotePrefix="1" applyFont="1" applyFill="1" applyBorder="1" applyAlignment="1">
      <alignment horizontal="center" vertical="center" wrapText="1"/>
    </xf>
  </cellXfs>
  <cellStyles count="10">
    <cellStyle name="Comma" xfId="7" builtinId="3"/>
    <cellStyle name="Comma [0]" xfId="1" builtinId="6"/>
    <cellStyle name="Comma [0] 2 4" xfId="5" xr:uid="{00000000-0005-0000-0000-000002000000}"/>
    <cellStyle name="Comma [0] 5" xfId="4" xr:uid="{00000000-0005-0000-0000-000003000000}"/>
    <cellStyle name="Normal" xfId="0" builtinId="0"/>
    <cellStyle name="Normal 2" xfId="6" xr:uid="{00000000-0005-0000-0000-000005000000}"/>
    <cellStyle name="Normal 2 4" xfId="3" xr:uid="{00000000-0005-0000-0000-000006000000}"/>
    <cellStyle name="Normal 4" xfId="9" xr:uid="{00000000-0005-0000-0000-000007000000}"/>
    <cellStyle name="Normal 5" xfId="2" xr:uid="{00000000-0005-0000-0000-000008000000}"/>
    <cellStyle name="Per cent" xfId="8" builtinId="5"/>
  </cellStyles>
  <dxfs count="8"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"/>
  <sheetViews>
    <sheetView tabSelected="1" workbookViewId="0">
      <selection activeCell="R23" sqref="R23"/>
    </sheetView>
  </sheetViews>
  <sheetFormatPr defaultColWidth="11.5546875" defaultRowHeight="14.4" x14ac:dyDescent="0.3"/>
  <cols>
    <col min="1" max="1" width="12.44140625" style="85" customWidth="1"/>
    <col min="2" max="3" width="11.5546875" style="87"/>
    <col min="4" max="4" width="13.44140625" style="86" customWidth="1"/>
    <col min="5" max="7" width="12.5546875" style="84" customWidth="1"/>
    <col min="8" max="9" width="12.5546875" style="85" customWidth="1"/>
    <col min="10" max="10" width="11.5546875" style="85"/>
    <col min="11" max="11" width="11.5546875" style="103"/>
    <col min="12" max="13" width="11.5546875" style="85"/>
    <col min="14" max="15" width="11.5546875" style="84"/>
    <col min="16" max="16" width="0" style="83" hidden="1" customWidth="1"/>
    <col min="17" max="259" width="11.5546875" style="83"/>
    <col min="260" max="260" width="12.44140625" style="83" customWidth="1"/>
    <col min="261" max="262" width="11.5546875" style="83"/>
    <col min="263" max="263" width="13.44140625" style="83" customWidth="1"/>
    <col min="264" max="265" width="12.5546875" style="83" customWidth="1"/>
    <col min="266" max="271" width="11.5546875" style="83"/>
    <col min="272" max="272" width="0" style="83" hidden="1" customWidth="1"/>
    <col min="273" max="515" width="11.5546875" style="83"/>
    <col min="516" max="516" width="12.44140625" style="83" customWidth="1"/>
    <col min="517" max="518" width="11.5546875" style="83"/>
    <col min="519" max="519" width="13.44140625" style="83" customWidth="1"/>
    <col min="520" max="521" width="12.5546875" style="83" customWidth="1"/>
    <col min="522" max="527" width="11.5546875" style="83"/>
    <col min="528" max="528" width="0" style="83" hidden="1" customWidth="1"/>
    <col min="529" max="771" width="11.5546875" style="83"/>
    <col min="772" max="772" width="12.44140625" style="83" customWidth="1"/>
    <col min="773" max="774" width="11.5546875" style="83"/>
    <col min="775" max="775" width="13.44140625" style="83" customWidth="1"/>
    <col min="776" max="777" width="12.5546875" style="83" customWidth="1"/>
    <col min="778" max="783" width="11.5546875" style="83"/>
    <col min="784" max="784" width="0" style="83" hidden="1" customWidth="1"/>
    <col min="785" max="1027" width="11.5546875" style="83"/>
    <col min="1028" max="1028" width="12.44140625" style="83" customWidth="1"/>
    <col min="1029" max="1030" width="11.5546875" style="83"/>
    <col min="1031" max="1031" width="13.44140625" style="83" customWidth="1"/>
    <col min="1032" max="1033" width="12.5546875" style="83" customWidth="1"/>
    <col min="1034" max="1039" width="11.5546875" style="83"/>
    <col min="1040" max="1040" width="0" style="83" hidden="1" customWidth="1"/>
    <col min="1041" max="1283" width="11.5546875" style="83"/>
    <col min="1284" max="1284" width="12.44140625" style="83" customWidth="1"/>
    <col min="1285" max="1286" width="11.5546875" style="83"/>
    <col min="1287" max="1287" width="13.44140625" style="83" customWidth="1"/>
    <col min="1288" max="1289" width="12.5546875" style="83" customWidth="1"/>
    <col min="1290" max="1295" width="11.5546875" style="83"/>
    <col min="1296" max="1296" width="0" style="83" hidden="1" customWidth="1"/>
    <col min="1297" max="1539" width="11.5546875" style="83"/>
    <col min="1540" max="1540" width="12.44140625" style="83" customWidth="1"/>
    <col min="1541" max="1542" width="11.5546875" style="83"/>
    <col min="1543" max="1543" width="13.44140625" style="83" customWidth="1"/>
    <col min="1544" max="1545" width="12.5546875" style="83" customWidth="1"/>
    <col min="1546" max="1551" width="11.5546875" style="83"/>
    <col min="1552" max="1552" width="0" style="83" hidden="1" customWidth="1"/>
    <col min="1553" max="1795" width="11.5546875" style="83"/>
    <col min="1796" max="1796" width="12.44140625" style="83" customWidth="1"/>
    <col min="1797" max="1798" width="11.5546875" style="83"/>
    <col min="1799" max="1799" width="13.44140625" style="83" customWidth="1"/>
    <col min="1800" max="1801" width="12.5546875" style="83" customWidth="1"/>
    <col min="1802" max="1807" width="11.5546875" style="83"/>
    <col min="1808" max="1808" width="0" style="83" hidden="1" customWidth="1"/>
    <col min="1809" max="2051" width="11.5546875" style="83"/>
    <col min="2052" max="2052" width="12.44140625" style="83" customWidth="1"/>
    <col min="2053" max="2054" width="11.5546875" style="83"/>
    <col min="2055" max="2055" width="13.44140625" style="83" customWidth="1"/>
    <col min="2056" max="2057" width="12.5546875" style="83" customWidth="1"/>
    <col min="2058" max="2063" width="11.5546875" style="83"/>
    <col min="2064" max="2064" width="0" style="83" hidden="1" customWidth="1"/>
    <col min="2065" max="2307" width="11.5546875" style="83"/>
    <col min="2308" max="2308" width="12.44140625" style="83" customWidth="1"/>
    <col min="2309" max="2310" width="11.5546875" style="83"/>
    <col min="2311" max="2311" width="13.44140625" style="83" customWidth="1"/>
    <col min="2312" max="2313" width="12.5546875" style="83" customWidth="1"/>
    <col min="2314" max="2319" width="11.5546875" style="83"/>
    <col min="2320" max="2320" width="0" style="83" hidden="1" customWidth="1"/>
    <col min="2321" max="2563" width="11.5546875" style="83"/>
    <col min="2564" max="2564" width="12.44140625" style="83" customWidth="1"/>
    <col min="2565" max="2566" width="11.5546875" style="83"/>
    <col min="2567" max="2567" width="13.44140625" style="83" customWidth="1"/>
    <col min="2568" max="2569" width="12.5546875" style="83" customWidth="1"/>
    <col min="2570" max="2575" width="11.5546875" style="83"/>
    <col min="2576" max="2576" width="0" style="83" hidden="1" customWidth="1"/>
    <col min="2577" max="2819" width="11.5546875" style="83"/>
    <col min="2820" max="2820" width="12.44140625" style="83" customWidth="1"/>
    <col min="2821" max="2822" width="11.5546875" style="83"/>
    <col min="2823" max="2823" width="13.44140625" style="83" customWidth="1"/>
    <col min="2824" max="2825" width="12.5546875" style="83" customWidth="1"/>
    <col min="2826" max="2831" width="11.5546875" style="83"/>
    <col min="2832" max="2832" width="0" style="83" hidden="1" customWidth="1"/>
    <col min="2833" max="3075" width="11.5546875" style="83"/>
    <col min="3076" max="3076" width="12.44140625" style="83" customWidth="1"/>
    <col min="3077" max="3078" width="11.5546875" style="83"/>
    <col min="3079" max="3079" width="13.44140625" style="83" customWidth="1"/>
    <col min="3080" max="3081" width="12.5546875" style="83" customWidth="1"/>
    <col min="3082" max="3087" width="11.5546875" style="83"/>
    <col min="3088" max="3088" width="0" style="83" hidden="1" customWidth="1"/>
    <col min="3089" max="3331" width="11.5546875" style="83"/>
    <col min="3332" max="3332" width="12.44140625" style="83" customWidth="1"/>
    <col min="3333" max="3334" width="11.5546875" style="83"/>
    <col min="3335" max="3335" width="13.44140625" style="83" customWidth="1"/>
    <col min="3336" max="3337" width="12.5546875" style="83" customWidth="1"/>
    <col min="3338" max="3343" width="11.5546875" style="83"/>
    <col min="3344" max="3344" width="0" style="83" hidden="1" customWidth="1"/>
    <col min="3345" max="3587" width="11.5546875" style="83"/>
    <col min="3588" max="3588" width="12.44140625" style="83" customWidth="1"/>
    <col min="3589" max="3590" width="11.5546875" style="83"/>
    <col min="3591" max="3591" width="13.44140625" style="83" customWidth="1"/>
    <col min="3592" max="3593" width="12.5546875" style="83" customWidth="1"/>
    <col min="3594" max="3599" width="11.5546875" style="83"/>
    <col min="3600" max="3600" width="0" style="83" hidden="1" customWidth="1"/>
    <col min="3601" max="3843" width="11.5546875" style="83"/>
    <col min="3844" max="3844" width="12.44140625" style="83" customWidth="1"/>
    <col min="3845" max="3846" width="11.5546875" style="83"/>
    <col min="3847" max="3847" width="13.44140625" style="83" customWidth="1"/>
    <col min="3848" max="3849" width="12.5546875" style="83" customWidth="1"/>
    <col min="3850" max="3855" width="11.5546875" style="83"/>
    <col min="3856" max="3856" width="0" style="83" hidden="1" customWidth="1"/>
    <col min="3857" max="4099" width="11.5546875" style="83"/>
    <col min="4100" max="4100" width="12.44140625" style="83" customWidth="1"/>
    <col min="4101" max="4102" width="11.5546875" style="83"/>
    <col min="4103" max="4103" width="13.44140625" style="83" customWidth="1"/>
    <col min="4104" max="4105" width="12.5546875" style="83" customWidth="1"/>
    <col min="4106" max="4111" width="11.5546875" style="83"/>
    <col min="4112" max="4112" width="0" style="83" hidden="1" customWidth="1"/>
    <col min="4113" max="4355" width="11.5546875" style="83"/>
    <col min="4356" max="4356" width="12.44140625" style="83" customWidth="1"/>
    <col min="4357" max="4358" width="11.5546875" style="83"/>
    <col min="4359" max="4359" width="13.44140625" style="83" customWidth="1"/>
    <col min="4360" max="4361" width="12.5546875" style="83" customWidth="1"/>
    <col min="4362" max="4367" width="11.5546875" style="83"/>
    <col min="4368" max="4368" width="0" style="83" hidden="1" customWidth="1"/>
    <col min="4369" max="4611" width="11.5546875" style="83"/>
    <col min="4612" max="4612" width="12.44140625" style="83" customWidth="1"/>
    <col min="4613" max="4614" width="11.5546875" style="83"/>
    <col min="4615" max="4615" width="13.44140625" style="83" customWidth="1"/>
    <col min="4616" max="4617" width="12.5546875" style="83" customWidth="1"/>
    <col min="4618" max="4623" width="11.5546875" style="83"/>
    <col min="4624" max="4624" width="0" style="83" hidden="1" customWidth="1"/>
    <col min="4625" max="4867" width="11.5546875" style="83"/>
    <col min="4868" max="4868" width="12.44140625" style="83" customWidth="1"/>
    <col min="4869" max="4870" width="11.5546875" style="83"/>
    <col min="4871" max="4871" width="13.44140625" style="83" customWidth="1"/>
    <col min="4872" max="4873" width="12.5546875" style="83" customWidth="1"/>
    <col min="4874" max="4879" width="11.5546875" style="83"/>
    <col min="4880" max="4880" width="0" style="83" hidden="1" customWidth="1"/>
    <col min="4881" max="5123" width="11.5546875" style="83"/>
    <col min="5124" max="5124" width="12.44140625" style="83" customWidth="1"/>
    <col min="5125" max="5126" width="11.5546875" style="83"/>
    <col min="5127" max="5127" width="13.44140625" style="83" customWidth="1"/>
    <col min="5128" max="5129" width="12.5546875" style="83" customWidth="1"/>
    <col min="5130" max="5135" width="11.5546875" style="83"/>
    <col min="5136" max="5136" width="0" style="83" hidden="1" customWidth="1"/>
    <col min="5137" max="5379" width="11.5546875" style="83"/>
    <col min="5380" max="5380" width="12.44140625" style="83" customWidth="1"/>
    <col min="5381" max="5382" width="11.5546875" style="83"/>
    <col min="5383" max="5383" width="13.44140625" style="83" customWidth="1"/>
    <col min="5384" max="5385" width="12.5546875" style="83" customWidth="1"/>
    <col min="5386" max="5391" width="11.5546875" style="83"/>
    <col min="5392" max="5392" width="0" style="83" hidden="1" customWidth="1"/>
    <col min="5393" max="5635" width="11.5546875" style="83"/>
    <col min="5636" max="5636" width="12.44140625" style="83" customWidth="1"/>
    <col min="5637" max="5638" width="11.5546875" style="83"/>
    <col min="5639" max="5639" width="13.44140625" style="83" customWidth="1"/>
    <col min="5640" max="5641" width="12.5546875" style="83" customWidth="1"/>
    <col min="5642" max="5647" width="11.5546875" style="83"/>
    <col min="5648" max="5648" width="0" style="83" hidden="1" customWidth="1"/>
    <col min="5649" max="5891" width="11.5546875" style="83"/>
    <col min="5892" max="5892" width="12.44140625" style="83" customWidth="1"/>
    <col min="5893" max="5894" width="11.5546875" style="83"/>
    <col min="5895" max="5895" width="13.44140625" style="83" customWidth="1"/>
    <col min="5896" max="5897" width="12.5546875" style="83" customWidth="1"/>
    <col min="5898" max="5903" width="11.5546875" style="83"/>
    <col min="5904" max="5904" width="0" style="83" hidden="1" customWidth="1"/>
    <col min="5905" max="6147" width="11.5546875" style="83"/>
    <col min="6148" max="6148" width="12.44140625" style="83" customWidth="1"/>
    <col min="6149" max="6150" width="11.5546875" style="83"/>
    <col min="6151" max="6151" width="13.44140625" style="83" customWidth="1"/>
    <col min="6152" max="6153" width="12.5546875" style="83" customWidth="1"/>
    <col min="6154" max="6159" width="11.5546875" style="83"/>
    <col min="6160" max="6160" width="0" style="83" hidden="1" customWidth="1"/>
    <col min="6161" max="6403" width="11.5546875" style="83"/>
    <col min="6404" max="6404" width="12.44140625" style="83" customWidth="1"/>
    <col min="6405" max="6406" width="11.5546875" style="83"/>
    <col min="6407" max="6407" width="13.44140625" style="83" customWidth="1"/>
    <col min="6408" max="6409" width="12.5546875" style="83" customWidth="1"/>
    <col min="6410" max="6415" width="11.5546875" style="83"/>
    <col min="6416" max="6416" width="0" style="83" hidden="1" customWidth="1"/>
    <col min="6417" max="6659" width="11.5546875" style="83"/>
    <col min="6660" max="6660" width="12.44140625" style="83" customWidth="1"/>
    <col min="6661" max="6662" width="11.5546875" style="83"/>
    <col min="6663" max="6663" width="13.44140625" style="83" customWidth="1"/>
    <col min="6664" max="6665" width="12.5546875" style="83" customWidth="1"/>
    <col min="6666" max="6671" width="11.5546875" style="83"/>
    <col min="6672" max="6672" width="0" style="83" hidden="1" customWidth="1"/>
    <col min="6673" max="6915" width="11.5546875" style="83"/>
    <col min="6916" max="6916" width="12.44140625" style="83" customWidth="1"/>
    <col min="6917" max="6918" width="11.5546875" style="83"/>
    <col min="6919" max="6919" width="13.44140625" style="83" customWidth="1"/>
    <col min="6920" max="6921" width="12.5546875" style="83" customWidth="1"/>
    <col min="6922" max="6927" width="11.5546875" style="83"/>
    <col min="6928" max="6928" width="0" style="83" hidden="1" customWidth="1"/>
    <col min="6929" max="7171" width="11.5546875" style="83"/>
    <col min="7172" max="7172" width="12.44140625" style="83" customWidth="1"/>
    <col min="7173" max="7174" width="11.5546875" style="83"/>
    <col min="7175" max="7175" width="13.44140625" style="83" customWidth="1"/>
    <col min="7176" max="7177" width="12.5546875" style="83" customWidth="1"/>
    <col min="7178" max="7183" width="11.5546875" style="83"/>
    <col min="7184" max="7184" width="0" style="83" hidden="1" customWidth="1"/>
    <col min="7185" max="7427" width="11.5546875" style="83"/>
    <col min="7428" max="7428" width="12.44140625" style="83" customWidth="1"/>
    <col min="7429" max="7430" width="11.5546875" style="83"/>
    <col min="7431" max="7431" width="13.44140625" style="83" customWidth="1"/>
    <col min="7432" max="7433" width="12.5546875" style="83" customWidth="1"/>
    <col min="7434" max="7439" width="11.5546875" style="83"/>
    <col min="7440" max="7440" width="0" style="83" hidden="1" customWidth="1"/>
    <col min="7441" max="7683" width="11.5546875" style="83"/>
    <col min="7684" max="7684" width="12.44140625" style="83" customWidth="1"/>
    <col min="7685" max="7686" width="11.5546875" style="83"/>
    <col min="7687" max="7687" width="13.44140625" style="83" customWidth="1"/>
    <col min="7688" max="7689" width="12.5546875" style="83" customWidth="1"/>
    <col min="7690" max="7695" width="11.5546875" style="83"/>
    <col min="7696" max="7696" width="0" style="83" hidden="1" customWidth="1"/>
    <col min="7697" max="7939" width="11.5546875" style="83"/>
    <col min="7940" max="7940" width="12.44140625" style="83" customWidth="1"/>
    <col min="7941" max="7942" width="11.5546875" style="83"/>
    <col min="7943" max="7943" width="13.44140625" style="83" customWidth="1"/>
    <col min="7944" max="7945" width="12.5546875" style="83" customWidth="1"/>
    <col min="7946" max="7951" width="11.5546875" style="83"/>
    <col min="7952" max="7952" width="0" style="83" hidden="1" customWidth="1"/>
    <col min="7953" max="8195" width="11.5546875" style="83"/>
    <col min="8196" max="8196" width="12.44140625" style="83" customWidth="1"/>
    <col min="8197" max="8198" width="11.5546875" style="83"/>
    <col min="8199" max="8199" width="13.44140625" style="83" customWidth="1"/>
    <col min="8200" max="8201" width="12.5546875" style="83" customWidth="1"/>
    <col min="8202" max="8207" width="11.5546875" style="83"/>
    <col min="8208" max="8208" width="0" style="83" hidden="1" customWidth="1"/>
    <col min="8209" max="8451" width="11.5546875" style="83"/>
    <col min="8452" max="8452" width="12.44140625" style="83" customWidth="1"/>
    <col min="8453" max="8454" width="11.5546875" style="83"/>
    <col min="8455" max="8455" width="13.44140625" style="83" customWidth="1"/>
    <col min="8456" max="8457" width="12.5546875" style="83" customWidth="1"/>
    <col min="8458" max="8463" width="11.5546875" style="83"/>
    <col min="8464" max="8464" width="0" style="83" hidden="1" customWidth="1"/>
    <col min="8465" max="8707" width="11.5546875" style="83"/>
    <col min="8708" max="8708" width="12.44140625" style="83" customWidth="1"/>
    <col min="8709" max="8710" width="11.5546875" style="83"/>
    <col min="8711" max="8711" width="13.44140625" style="83" customWidth="1"/>
    <col min="8712" max="8713" width="12.5546875" style="83" customWidth="1"/>
    <col min="8714" max="8719" width="11.5546875" style="83"/>
    <col min="8720" max="8720" width="0" style="83" hidden="1" customWidth="1"/>
    <col min="8721" max="8963" width="11.5546875" style="83"/>
    <col min="8964" max="8964" width="12.44140625" style="83" customWidth="1"/>
    <col min="8965" max="8966" width="11.5546875" style="83"/>
    <col min="8967" max="8967" width="13.44140625" style="83" customWidth="1"/>
    <col min="8968" max="8969" width="12.5546875" style="83" customWidth="1"/>
    <col min="8970" max="8975" width="11.5546875" style="83"/>
    <col min="8976" max="8976" width="0" style="83" hidden="1" customWidth="1"/>
    <col min="8977" max="9219" width="11.5546875" style="83"/>
    <col min="9220" max="9220" width="12.44140625" style="83" customWidth="1"/>
    <col min="9221" max="9222" width="11.5546875" style="83"/>
    <col min="9223" max="9223" width="13.44140625" style="83" customWidth="1"/>
    <col min="9224" max="9225" width="12.5546875" style="83" customWidth="1"/>
    <col min="9226" max="9231" width="11.5546875" style="83"/>
    <col min="9232" max="9232" width="0" style="83" hidden="1" customWidth="1"/>
    <col min="9233" max="9475" width="11.5546875" style="83"/>
    <col min="9476" max="9476" width="12.44140625" style="83" customWidth="1"/>
    <col min="9477" max="9478" width="11.5546875" style="83"/>
    <col min="9479" max="9479" width="13.44140625" style="83" customWidth="1"/>
    <col min="9480" max="9481" width="12.5546875" style="83" customWidth="1"/>
    <col min="9482" max="9487" width="11.5546875" style="83"/>
    <col min="9488" max="9488" width="0" style="83" hidden="1" customWidth="1"/>
    <col min="9489" max="9731" width="11.5546875" style="83"/>
    <col min="9732" max="9732" width="12.44140625" style="83" customWidth="1"/>
    <col min="9733" max="9734" width="11.5546875" style="83"/>
    <col min="9735" max="9735" width="13.44140625" style="83" customWidth="1"/>
    <col min="9736" max="9737" width="12.5546875" style="83" customWidth="1"/>
    <col min="9738" max="9743" width="11.5546875" style="83"/>
    <col min="9744" max="9744" width="0" style="83" hidden="1" customWidth="1"/>
    <col min="9745" max="9987" width="11.5546875" style="83"/>
    <col min="9988" max="9988" width="12.44140625" style="83" customWidth="1"/>
    <col min="9989" max="9990" width="11.5546875" style="83"/>
    <col min="9991" max="9991" width="13.44140625" style="83" customWidth="1"/>
    <col min="9992" max="9993" width="12.5546875" style="83" customWidth="1"/>
    <col min="9994" max="9999" width="11.5546875" style="83"/>
    <col min="10000" max="10000" width="0" style="83" hidden="1" customWidth="1"/>
    <col min="10001" max="10243" width="11.5546875" style="83"/>
    <col min="10244" max="10244" width="12.44140625" style="83" customWidth="1"/>
    <col min="10245" max="10246" width="11.5546875" style="83"/>
    <col min="10247" max="10247" width="13.44140625" style="83" customWidth="1"/>
    <col min="10248" max="10249" width="12.5546875" style="83" customWidth="1"/>
    <col min="10250" max="10255" width="11.5546875" style="83"/>
    <col min="10256" max="10256" width="0" style="83" hidden="1" customWidth="1"/>
    <col min="10257" max="10499" width="11.5546875" style="83"/>
    <col min="10500" max="10500" width="12.44140625" style="83" customWidth="1"/>
    <col min="10501" max="10502" width="11.5546875" style="83"/>
    <col min="10503" max="10503" width="13.44140625" style="83" customWidth="1"/>
    <col min="10504" max="10505" width="12.5546875" style="83" customWidth="1"/>
    <col min="10506" max="10511" width="11.5546875" style="83"/>
    <col min="10512" max="10512" width="0" style="83" hidden="1" customWidth="1"/>
    <col min="10513" max="10755" width="11.5546875" style="83"/>
    <col min="10756" max="10756" width="12.44140625" style="83" customWidth="1"/>
    <col min="10757" max="10758" width="11.5546875" style="83"/>
    <col min="10759" max="10759" width="13.44140625" style="83" customWidth="1"/>
    <col min="10760" max="10761" width="12.5546875" style="83" customWidth="1"/>
    <col min="10762" max="10767" width="11.5546875" style="83"/>
    <col min="10768" max="10768" width="0" style="83" hidden="1" customWidth="1"/>
    <col min="10769" max="11011" width="11.5546875" style="83"/>
    <col min="11012" max="11012" width="12.44140625" style="83" customWidth="1"/>
    <col min="11013" max="11014" width="11.5546875" style="83"/>
    <col min="11015" max="11015" width="13.44140625" style="83" customWidth="1"/>
    <col min="11016" max="11017" width="12.5546875" style="83" customWidth="1"/>
    <col min="11018" max="11023" width="11.5546875" style="83"/>
    <col min="11024" max="11024" width="0" style="83" hidden="1" customWidth="1"/>
    <col min="11025" max="11267" width="11.5546875" style="83"/>
    <col min="11268" max="11268" width="12.44140625" style="83" customWidth="1"/>
    <col min="11269" max="11270" width="11.5546875" style="83"/>
    <col min="11271" max="11271" width="13.44140625" style="83" customWidth="1"/>
    <col min="11272" max="11273" width="12.5546875" style="83" customWidth="1"/>
    <col min="11274" max="11279" width="11.5546875" style="83"/>
    <col min="11280" max="11280" width="0" style="83" hidden="1" customWidth="1"/>
    <col min="11281" max="11523" width="11.5546875" style="83"/>
    <col min="11524" max="11524" width="12.44140625" style="83" customWidth="1"/>
    <col min="11525" max="11526" width="11.5546875" style="83"/>
    <col min="11527" max="11527" width="13.44140625" style="83" customWidth="1"/>
    <col min="11528" max="11529" width="12.5546875" style="83" customWidth="1"/>
    <col min="11530" max="11535" width="11.5546875" style="83"/>
    <col min="11536" max="11536" width="0" style="83" hidden="1" customWidth="1"/>
    <col min="11537" max="11779" width="11.5546875" style="83"/>
    <col min="11780" max="11780" width="12.44140625" style="83" customWidth="1"/>
    <col min="11781" max="11782" width="11.5546875" style="83"/>
    <col min="11783" max="11783" width="13.44140625" style="83" customWidth="1"/>
    <col min="11784" max="11785" width="12.5546875" style="83" customWidth="1"/>
    <col min="11786" max="11791" width="11.5546875" style="83"/>
    <col min="11792" max="11792" width="0" style="83" hidden="1" customWidth="1"/>
    <col min="11793" max="12035" width="11.5546875" style="83"/>
    <col min="12036" max="12036" width="12.44140625" style="83" customWidth="1"/>
    <col min="12037" max="12038" width="11.5546875" style="83"/>
    <col min="12039" max="12039" width="13.44140625" style="83" customWidth="1"/>
    <col min="12040" max="12041" width="12.5546875" style="83" customWidth="1"/>
    <col min="12042" max="12047" width="11.5546875" style="83"/>
    <col min="12048" max="12048" width="0" style="83" hidden="1" customWidth="1"/>
    <col min="12049" max="12291" width="11.5546875" style="83"/>
    <col min="12292" max="12292" width="12.44140625" style="83" customWidth="1"/>
    <col min="12293" max="12294" width="11.5546875" style="83"/>
    <col min="12295" max="12295" width="13.44140625" style="83" customWidth="1"/>
    <col min="12296" max="12297" width="12.5546875" style="83" customWidth="1"/>
    <col min="12298" max="12303" width="11.5546875" style="83"/>
    <col min="12304" max="12304" width="0" style="83" hidden="1" customWidth="1"/>
    <col min="12305" max="12547" width="11.5546875" style="83"/>
    <col min="12548" max="12548" width="12.44140625" style="83" customWidth="1"/>
    <col min="12549" max="12550" width="11.5546875" style="83"/>
    <col min="12551" max="12551" width="13.44140625" style="83" customWidth="1"/>
    <col min="12552" max="12553" width="12.5546875" style="83" customWidth="1"/>
    <col min="12554" max="12559" width="11.5546875" style="83"/>
    <col min="12560" max="12560" width="0" style="83" hidden="1" customWidth="1"/>
    <col min="12561" max="12803" width="11.5546875" style="83"/>
    <col min="12804" max="12804" width="12.44140625" style="83" customWidth="1"/>
    <col min="12805" max="12806" width="11.5546875" style="83"/>
    <col min="12807" max="12807" width="13.44140625" style="83" customWidth="1"/>
    <col min="12808" max="12809" width="12.5546875" style="83" customWidth="1"/>
    <col min="12810" max="12815" width="11.5546875" style="83"/>
    <col min="12816" max="12816" width="0" style="83" hidden="1" customWidth="1"/>
    <col min="12817" max="13059" width="11.5546875" style="83"/>
    <col min="13060" max="13060" width="12.44140625" style="83" customWidth="1"/>
    <col min="13061" max="13062" width="11.5546875" style="83"/>
    <col min="13063" max="13063" width="13.44140625" style="83" customWidth="1"/>
    <col min="13064" max="13065" width="12.5546875" style="83" customWidth="1"/>
    <col min="13066" max="13071" width="11.5546875" style="83"/>
    <col min="13072" max="13072" width="0" style="83" hidden="1" customWidth="1"/>
    <col min="13073" max="13315" width="11.5546875" style="83"/>
    <col min="13316" max="13316" width="12.44140625" style="83" customWidth="1"/>
    <col min="13317" max="13318" width="11.5546875" style="83"/>
    <col min="13319" max="13319" width="13.44140625" style="83" customWidth="1"/>
    <col min="13320" max="13321" width="12.5546875" style="83" customWidth="1"/>
    <col min="13322" max="13327" width="11.5546875" style="83"/>
    <col min="13328" max="13328" width="0" style="83" hidden="1" customWidth="1"/>
    <col min="13329" max="13571" width="11.5546875" style="83"/>
    <col min="13572" max="13572" width="12.44140625" style="83" customWidth="1"/>
    <col min="13573" max="13574" width="11.5546875" style="83"/>
    <col min="13575" max="13575" width="13.44140625" style="83" customWidth="1"/>
    <col min="13576" max="13577" width="12.5546875" style="83" customWidth="1"/>
    <col min="13578" max="13583" width="11.5546875" style="83"/>
    <col min="13584" max="13584" width="0" style="83" hidden="1" customWidth="1"/>
    <col min="13585" max="13827" width="11.5546875" style="83"/>
    <col min="13828" max="13828" width="12.44140625" style="83" customWidth="1"/>
    <col min="13829" max="13830" width="11.5546875" style="83"/>
    <col min="13831" max="13831" width="13.44140625" style="83" customWidth="1"/>
    <col min="13832" max="13833" width="12.5546875" style="83" customWidth="1"/>
    <col min="13834" max="13839" width="11.5546875" style="83"/>
    <col min="13840" max="13840" width="0" style="83" hidden="1" customWidth="1"/>
    <col min="13841" max="14083" width="11.5546875" style="83"/>
    <col min="14084" max="14084" width="12.44140625" style="83" customWidth="1"/>
    <col min="14085" max="14086" width="11.5546875" style="83"/>
    <col min="14087" max="14087" width="13.44140625" style="83" customWidth="1"/>
    <col min="14088" max="14089" width="12.5546875" style="83" customWidth="1"/>
    <col min="14090" max="14095" width="11.5546875" style="83"/>
    <col min="14096" max="14096" width="0" style="83" hidden="1" customWidth="1"/>
    <col min="14097" max="14339" width="11.5546875" style="83"/>
    <col min="14340" max="14340" width="12.44140625" style="83" customWidth="1"/>
    <col min="14341" max="14342" width="11.5546875" style="83"/>
    <col min="14343" max="14343" width="13.44140625" style="83" customWidth="1"/>
    <col min="14344" max="14345" width="12.5546875" style="83" customWidth="1"/>
    <col min="14346" max="14351" width="11.5546875" style="83"/>
    <col min="14352" max="14352" width="0" style="83" hidden="1" customWidth="1"/>
    <col min="14353" max="14595" width="11.5546875" style="83"/>
    <col min="14596" max="14596" width="12.44140625" style="83" customWidth="1"/>
    <col min="14597" max="14598" width="11.5546875" style="83"/>
    <col min="14599" max="14599" width="13.44140625" style="83" customWidth="1"/>
    <col min="14600" max="14601" width="12.5546875" style="83" customWidth="1"/>
    <col min="14602" max="14607" width="11.5546875" style="83"/>
    <col min="14608" max="14608" width="0" style="83" hidden="1" customWidth="1"/>
    <col min="14609" max="14851" width="11.5546875" style="83"/>
    <col min="14852" max="14852" width="12.44140625" style="83" customWidth="1"/>
    <col min="14853" max="14854" width="11.5546875" style="83"/>
    <col min="14855" max="14855" width="13.44140625" style="83" customWidth="1"/>
    <col min="14856" max="14857" width="12.5546875" style="83" customWidth="1"/>
    <col min="14858" max="14863" width="11.5546875" style="83"/>
    <col min="14864" max="14864" width="0" style="83" hidden="1" customWidth="1"/>
    <col min="14865" max="15107" width="11.5546875" style="83"/>
    <col min="15108" max="15108" width="12.44140625" style="83" customWidth="1"/>
    <col min="15109" max="15110" width="11.5546875" style="83"/>
    <col min="15111" max="15111" width="13.44140625" style="83" customWidth="1"/>
    <col min="15112" max="15113" width="12.5546875" style="83" customWidth="1"/>
    <col min="15114" max="15119" width="11.5546875" style="83"/>
    <col min="15120" max="15120" width="0" style="83" hidden="1" customWidth="1"/>
    <col min="15121" max="15363" width="11.5546875" style="83"/>
    <col min="15364" max="15364" width="12.44140625" style="83" customWidth="1"/>
    <col min="15365" max="15366" width="11.5546875" style="83"/>
    <col min="15367" max="15367" width="13.44140625" style="83" customWidth="1"/>
    <col min="15368" max="15369" width="12.5546875" style="83" customWidth="1"/>
    <col min="15370" max="15375" width="11.5546875" style="83"/>
    <col min="15376" max="15376" width="0" style="83" hidden="1" customWidth="1"/>
    <col min="15377" max="15619" width="11.5546875" style="83"/>
    <col min="15620" max="15620" width="12.44140625" style="83" customWidth="1"/>
    <col min="15621" max="15622" width="11.5546875" style="83"/>
    <col min="15623" max="15623" width="13.44140625" style="83" customWidth="1"/>
    <col min="15624" max="15625" width="12.5546875" style="83" customWidth="1"/>
    <col min="15626" max="15631" width="11.5546875" style="83"/>
    <col min="15632" max="15632" width="0" style="83" hidden="1" customWidth="1"/>
    <col min="15633" max="15875" width="11.5546875" style="83"/>
    <col min="15876" max="15876" width="12.44140625" style="83" customWidth="1"/>
    <col min="15877" max="15878" width="11.5546875" style="83"/>
    <col min="15879" max="15879" width="13.44140625" style="83" customWidth="1"/>
    <col min="15880" max="15881" width="12.5546875" style="83" customWidth="1"/>
    <col min="15882" max="15887" width="11.5546875" style="83"/>
    <col min="15888" max="15888" width="0" style="83" hidden="1" customWidth="1"/>
    <col min="15889" max="16131" width="11.5546875" style="83"/>
    <col min="16132" max="16132" width="12.44140625" style="83" customWidth="1"/>
    <col min="16133" max="16134" width="11.5546875" style="83"/>
    <col min="16135" max="16135" width="13.44140625" style="83" customWidth="1"/>
    <col min="16136" max="16137" width="12.5546875" style="83" customWidth="1"/>
    <col min="16138" max="16143" width="11.5546875" style="83"/>
    <col min="16144" max="16144" width="0" style="83" hidden="1" customWidth="1"/>
    <col min="16145" max="16384" width="11.5546875" style="83"/>
  </cols>
  <sheetData>
    <row r="1" spans="1:16" s="91" customFormat="1" ht="43.8" thickBot="1" x14ac:dyDescent="0.35">
      <c r="A1" s="97" t="s">
        <v>51</v>
      </c>
      <c r="B1" s="96" t="s">
        <v>50</v>
      </c>
      <c r="C1" s="96" t="s">
        <v>49</v>
      </c>
      <c r="D1" s="95" t="s">
        <v>48</v>
      </c>
      <c r="E1" s="93" t="s">
        <v>47</v>
      </c>
      <c r="F1" s="93" t="s">
        <v>55</v>
      </c>
      <c r="G1" s="93" t="s">
        <v>56</v>
      </c>
      <c r="H1" s="93" t="s">
        <v>60</v>
      </c>
      <c r="I1" s="94" t="s">
        <v>57</v>
      </c>
      <c r="J1" s="93" t="s">
        <v>61</v>
      </c>
      <c r="K1" s="102" t="s">
        <v>46</v>
      </c>
      <c r="L1" s="102" t="s">
        <v>63</v>
      </c>
      <c r="M1" s="102" t="s">
        <v>62</v>
      </c>
      <c r="N1" s="93" t="s">
        <v>45</v>
      </c>
      <c r="O1" s="93" t="s">
        <v>44</v>
      </c>
      <c r="P1" s="92" t="s">
        <v>43</v>
      </c>
    </row>
    <row r="2" spans="1:16" x14ac:dyDescent="0.3">
      <c r="A2" s="89" t="s">
        <v>52</v>
      </c>
      <c r="B2" s="86">
        <v>1</v>
      </c>
      <c r="C2" s="86">
        <v>8</v>
      </c>
      <c r="D2" s="86">
        <v>2022</v>
      </c>
      <c r="E2" s="84">
        <f>Electricity!H6</f>
        <v>20752</v>
      </c>
      <c r="F2" s="84">
        <f>+Electricity!F6</f>
        <v>3682</v>
      </c>
      <c r="G2" s="84">
        <f>+Electricity!G6</f>
        <v>17070</v>
      </c>
      <c r="H2" s="114" t="s">
        <v>58</v>
      </c>
      <c r="I2" s="115">
        <f>+Electricity!O6</f>
        <v>24103418.8662</v>
      </c>
      <c r="J2" s="84">
        <f>Gas!D5</f>
        <v>129.19999999999999</v>
      </c>
      <c r="K2" s="84">
        <v>5362</v>
      </c>
      <c r="L2" s="84">
        <f>Water!C5</f>
        <v>159.59999999999565</v>
      </c>
      <c r="M2" s="115">
        <v>12500</v>
      </c>
      <c r="N2" s="84">
        <f>+Electricity!C6</f>
        <v>66</v>
      </c>
      <c r="O2" s="84">
        <f>+Electricity!D6</f>
        <v>429</v>
      </c>
      <c r="P2" s="90" t="e">
        <f>E2*H2+J2*K2+#REF!*#REF!+L2*M2</f>
        <v>#REF!</v>
      </c>
    </row>
    <row r="3" spans="1:16" x14ac:dyDescent="0.3">
      <c r="A3" s="89" t="s">
        <v>52</v>
      </c>
      <c r="B3" s="86">
        <v>2</v>
      </c>
      <c r="C3" s="86">
        <v>8</v>
      </c>
      <c r="D3" s="86">
        <v>2022</v>
      </c>
      <c r="E3" s="84">
        <f>Electricity!H7</f>
        <v>20972</v>
      </c>
      <c r="F3" s="84">
        <f>+Electricity!F7</f>
        <v>3796</v>
      </c>
      <c r="G3" s="84">
        <f>+Electricity!G7</f>
        <v>17176</v>
      </c>
      <c r="H3" s="114" t="s">
        <v>58</v>
      </c>
      <c r="I3" s="115">
        <f>+Electricity!O7</f>
        <v>24398937.258000001</v>
      </c>
      <c r="J3" s="84">
        <f>Gas!D6</f>
        <v>157.52000000000001</v>
      </c>
      <c r="K3" s="84">
        <v>5362</v>
      </c>
      <c r="L3" s="84">
        <f>Water!C6</f>
        <v>134.14000000001252</v>
      </c>
      <c r="M3" s="115">
        <v>12500</v>
      </c>
      <c r="N3" s="84">
        <f>+Electricity!C7</f>
        <v>83</v>
      </c>
      <c r="O3" s="84">
        <f>+Electricity!D7</f>
        <v>512</v>
      </c>
      <c r="P3" s="90" t="e">
        <f>E3*H3+J3*K3+#REF!*#REF!+L3*M3</f>
        <v>#REF!</v>
      </c>
    </row>
    <row r="4" spans="1:16" x14ac:dyDescent="0.3">
      <c r="A4" s="89" t="s">
        <v>52</v>
      </c>
      <c r="B4" s="86">
        <v>3</v>
      </c>
      <c r="C4" s="86">
        <v>8</v>
      </c>
      <c r="D4" s="86">
        <v>2022</v>
      </c>
      <c r="E4" s="84">
        <f>Electricity!H8</f>
        <v>21718</v>
      </c>
      <c r="F4" s="84">
        <f>+Electricity!F8</f>
        <v>4018</v>
      </c>
      <c r="G4" s="84">
        <f>+Electricity!G8</f>
        <v>17700</v>
      </c>
      <c r="H4" s="114" t="s">
        <v>58</v>
      </c>
      <c r="I4" s="115">
        <f>+Electricity!O8</f>
        <v>25313230.621799998</v>
      </c>
      <c r="J4" s="84">
        <f>Gas!D7</f>
        <v>238.64</v>
      </c>
      <c r="K4" s="84">
        <v>5362</v>
      </c>
      <c r="L4" s="84">
        <f>Water!C7</f>
        <v>142.27999999998718</v>
      </c>
      <c r="M4" s="115">
        <v>12500</v>
      </c>
      <c r="N4" s="84">
        <f>+Electricity!C8</f>
        <v>77</v>
      </c>
      <c r="O4" s="84">
        <f>+Electricity!D8</f>
        <v>557</v>
      </c>
      <c r="P4" s="90" t="e">
        <f>E4*H4+J4*K4+#REF!*#REF!+L4*M4</f>
        <v>#REF!</v>
      </c>
    </row>
    <row r="5" spans="1:16" x14ac:dyDescent="0.3">
      <c r="A5" s="89" t="s">
        <v>52</v>
      </c>
      <c r="B5" s="86">
        <v>4</v>
      </c>
      <c r="C5" s="86">
        <v>8</v>
      </c>
      <c r="D5" s="86">
        <v>2022</v>
      </c>
      <c r="E5" s="84">
        <f>Electricity!H9</f>
        <v>23030</v>
      </c>
      <c r="F5" s="84">
        <f>+Electricity!F9</f>
        <v>3776</v>
      </c>
      <c r="G5" s="84">
        <f>+Electricity!G9</f>
        <v>19254</v>
      </c>
      <c r="H5" s="114" t="s">
        <v>58</v>
      </c>
      <c r="I5" s="115">
        <f>+Electricity!O9</f>
        <v>26583853.021199998</v>
      </c>
      <c r="J5" s="84">
        <f>Gas!D8</f>
        <v>228.28</v>
      </c>
      <c r="K5" s="84">
        <v>5362</v>
      </c>
      <c r="L5" s="84">
        <f>Water!C8</f>
        <v>157.9600000000035</v>
      </c>
      <c r="M5" s="115">
        <v>12500</v>
      </c>
      <c r="N5" s="84">
        <f>+Electricity!C9</f>
        <v>62</v>
      </c>
      <c r="O5" s="84">
        <f>+Electricity!D9</f>
        <v>641</v>
      </c>
      <c r="P5" s="90" t="e">
        <f>E5*H5+J5*K5+#REF!*#REF!+L5*M5</f>
        <v>#REF!</v>
      </c>
    </row>
    <row r="6" spans="1:16" x14ac:dyDescent="0.3">
      <c r="A6" s="89" t="s">
        <v>52</v>
      </c>
      <c r="B6" s="86">
        <v>5</v>
      </c>
      <c r="C6" s="86">
        <v>8</v>
      </c>
      <c r="D6" s="86">
        <v>2022</v>
      </c>
      <c r="E6" s="84">
        <f>Electricity!H10</f>
        <v>22044</v>
      </c>
      <c r="F6" s="84">
        <f>+Electricity!F10</f>
        <v>3968</v>
      </c>
      <c r="G6" s="84">
        <f>+Electricity!G10</f>
        <v>18076</v>
      </c>
      <c r="H6" s="114" t="s">
        <v>58</v>
      </c>
      <c r="I6" s="115">
        <f>+Electricity!O10</f>
        <v>25634353.495200001</v>
      </c>
      <c r="J6" s="84">
        <f>Gas!D9</f>
        <v>199.05</v>
      </c>
      <c r="K6" s="84">
        <v>5362</v>
      </c>
      <c r="L6" s="84">
        <f>Water!C9</f>
        <v>118.19999999999854</v>
      </c>
      <c r="M6" s="115">
        <v>12500</v>
      </c>
      <c r="N6" s="84">
        <f>+Electricity!C10</f>
        <v>68</v>
      </c>
      <c r="O6" s="84">
        <f>+Electricity!D10</f>
        <v>652</v>
      </c>
      <c r="P6" s="90" t="e">
        <f>E6*H6+J6*K6+#REF!*#REF!+L6*M6</f>
        <v>#REF!</v>
      </c>
    </row>
    <row r="7" spans="1:16" x14ac:dyDescent="0.3">
      <c r="A7" s="89" t="s">
        <v>52</v>
      </c>
      <c r="B7" s="86">
        <v>6</v>
      </c>
      <c r="C7" s="86">
        <v>8</v>
      </c>
      <c r="D7" s="86">
        <v>2022</v>
      </c>
      <c r="E7" s="84">
        <f>Electricity!H11</f>
        <v>24198</v>
      </c>
      <c r="F7" s="84">
        <f>+Electricity!F11</f>
        <v>4784</v>
      </c>
      <c r="G7" s="84">
        <f>+Electricity!G11</f>
        <v>19414</v>
      </c>
      <c r="H7" s="114" t="s">
        <v>58</v>
      </c>
      <c r="I7" s="115">
        <f>+Electricity!O11</f>
        <v>28367631.905999999</v>
      </c>
      <c r="J7" s="84">
        <f>Gas!D10</f>
        <v>199.87</v>
      </c>
      <c r="K7" s="84">
        <v>5362</v>
      </c>
      <c r="L7" s="84">
        <f>Water!C10</f>
        <v>170.14000000000959</v>
      </c>
      <c r="M7" s="115">
        <v>12500</v>
      </c>
      <c r="N7" s="84">
        <f>+Electricity!C11</f>
        <v>74</v>
      </c>
      <c r="O7" s="84">
        <f>+Electricity!D11</f>
        <v>837</v>
      </c>
      <c r="P7" s="90" t="e">
        <f>E7*H7+J7*K7+#REF!*#REF!+L7*M7</f>
        <v>#REF!</v>
      </c>
    </row>
    <row r="8" spans="1:16" x14ac:dyDescent="0.3">
      <c r="A8" s="89" t="s">
        <v>52</v>
      </c>
      <c r="B8" s="86">
        <v>7</v>
      </c>
      <c r="C8" s="86">
        <v>8</v>
      </c>
      <c r="D8" s="86">
        <v>2022</v>
      </c>
      <c r="E8" s="84">
        <f>Electricity!H12</f>
        <v>21486</v>
      </c>
      <c r="F8" s="84">
        <f>+Electricity!F12</f>
        <v>3868</v>
      </c>
      <c r="G8" s="84">
        <f>+Electricity!G12</f>
        <v>17618</v>
      </c>
      <c r="H8" s="114" t="s">
        <v>58</v>
      </c>
      <c r="I8" s="115">
        <f>+Electricity!O12</f>
        <v>24985706.627999999</v>
      </c>
      <c r="J8" s="84">
        <f>Gas!D11</f>
        <v>151.59</v>
      </c>
      <c r="K8" s="84">
        <v>5362</v>
      </c>
      <c r="L8" s="84">
        <f>Water!C11</f>
        <v>145.51999999998807</v>
      </c>
      <c r="M8" s="115">
        <v>12500</v>
      </c>
      <c r="N8" s="84">
        <f>+Electricity!C12</f>
        <v>60</v>
      </c>
      <c r="O8" s="84">
        <f>+Electricity!D12</f>
        <v>437</v>
      </c>
      <c r="P8" s="90" t="e">
        <f>E8*H8+J8*K8+#REF!*#REF!+L8*M8</f>
        <v>#REF!</v>
      </c>
    </row>
    <row r="9" spans="1:16" x14ac:dyDescent="0.3">
      <c r="A9" s="89" t="s">
        <v>52</v>
      </c>
      <c r="B9" s="86">
        <v>8</v>
      </c>
      <c r="C9" s="86">
        <v>8</v>
      </c>
      <c r="D9" s="86">
        <v>2022</v>
      </c>
      <c r="E9" s="84">
        <f>Electricity!H13</f>
        <v>20520</v>
      </c>
      <c r="F9" s="84">
        <f>+Electricity!F13</f>
        <v>3532</v>
      </c>
      <c r="G9" s="84">
        <f>+Electricity!G13</f>
        <v>16988</v>
      </c>
      <c r="H9" s="114" t="s">
        <v>58</v>
      </c>
      <c r="I9" s="115">
        <f>+Electricity!O13</f>
        <v>23775894.872399997</v>
      </c>
      <c r="J9" s="84">
        <f>Gas!D12</f>
        <v>141.11000000000001</v>
      </c>
      <c r="K9" s="84">
        <v>5362</v>
      </c>
      <c r="L9" s="84">
        <f>Water!C12</f>
        <v>154.4199999999997</v>
      </c>
      <c r="M9" s="115">
        <v>12500</v>
      </c>
      <c r="N9" s="84">
        <f>+Electricity!C13</f>
        <v>52</v>
      </c>
      <c r="O9" s="84">
        <f>+Electricity!D13</f>
        <v>423</v>
      </c>
      <c r="P9" s="90" t="e">
        <f>E9*H9+J9*K9+#REF!*#REF!+L9*M9</f>
        <v>#REF!</v>
      </c>
    </row>
    <row r="10" spans="1:16" x14ac:dyDescent="0.3">
      <c r="A10" s="89" t="s">
        <v>52</v>
      </c>
      <c r="B10" s="86">
        <v>9</v>
      </c>
      <c r="C10" s="86">
        <v>8</v>
      </c>
      <c r="D10" s="86">
        <v>2022</v>
      </c>
      <c r="E10" s="84">
        <f>Electricity!H14</f>
        <v>20738</v>
      </c>
      <c r="F10" s="84">
        <f>+Electricity!F14</f>
        <v>3784</v>
      </c>
      <c r="G10" s="84">
        <f>+Electricity!G14</f>
        <v>16954</v>
      </c>
      <c r="H10" s="114" t="s">
        <v>58</v>
      </c>
      <c r="I10" s="115">
        <f>+Electricity!O14</f>
        <v>24142892.442000002</v>
      </c>
      <c r="J10" s="84">
        <f>Gas!D13</f>
        <v>183.22</v>
      </c>
      <c r="K10" s="84">
        <v>5362</v>
      </c>
      <c r="L10" s="84">
        <f>Water!C13</f>
        <v>120.28000000002066</v>
      </c>
      <c r="M10" s="115">
        <v>12500</v>
      </c>
      <c r="N10" s="84">
        <f>+Electricity!C14</f>
        <v>57</v>
      </c>
      <c r="O10" s="84">
        <f>+Electricity!D14</f>
        <v>422</v>
      </c>
      <c r="P10" s="90" t="e">
        <f>E10*H10+J10*K10+#REF!*#REF!+L10*M10</f>
        <v>#REF!</v>
      </c>
    </row>
    <row r="11" spans="1:16" x14ac:dyDescent="0.3">
      <c r="A11" s="89" t="s">
        <v>52</v>
      </c>
      <c r="B11" s="86">
        <v>10</v>
      </c>
      <c r="C11" s="86">
        <v>8</v>
      </c>
      <c r="D11" s="86">
        <v>2022</v>
      </c>
      <c r="E11" s="84">
        <f>Electricity!H15</f>
        <v>20328</v>
      </c>
      <c r="F11" s="84">
        <f>+Electricity!F15</f>
        <v>3702</v>
      </c>
      <c r="G11" s="84">
        <f>+Electricity!G15</f>
        <v>16626</v>
      </c>
      <c r="H11" s="114" t="s">
        <v>58</v>
      </c>
      <c r="I11" s="115">
        <f>+Electricity!O15</f>
        <v>23661741.558600001</v>
      </c>
      <c r="J11" s="84">
        <f>Gas!D14</f>
        <v>150.16999999999999</v>
      </c>
      <c r="K11" s="84">
        <v>5362</v>
      </c>
      <c r="L11" s="84">
        <f>Water!C14</f>
        <v>115.29999999997963</v>
      </c>
      <c r="M11" s="115">
        <v>12500</v>
      </c>
      <c r="N11" s="84">
        <f>+Electricity!C15</f>
        <v>54</v>
      </c>
      <c r="O11" s="84">
        <f>+Electricity!D15</f>
        <v>473</v>
      </c>
      <c r="P11" s="90" t="e">
        <f>E11*H11+J11*K11+#REF!*#REF!+L11*M11</f>
        <v>#REF!</v>
      </c>
    </row>
    <row r="12" spans="1:16" x14ac:dyDescent="0.3">
      <c r="A12" s="89" t="s">
        <v>52</v>
      </c>
      <c r="B12" s="86">
        <v>11</v>
      </c>
      <c r="C12" s="86">
        <v>8</v>
      </c>
      <c r="D12" s="86">
        <v>2022</v>
      </c>
      <c r="E12" s="84">
        <f>Electricity!H16</f>
        <v>22144</v>
      </c>
      <c r="F12" s="84">
        <f>+Electricity!F16</f>
        <v>4640</v>
      </c>
      <c r="G12" s="84">
        <f>+Electricity!G16</f>
        <v>17504</v>
      </c>
      <c r="H12" s="114" t="s">
        <v>58</v>
      </c>
      <c r="I12" s="115">
        <f>+Electricity!O16</f>
        <v>26099501.577600002</v>
      </c>
      <c r="J12" s="84">
        <f>Gas!D15</f>
        <v>177.62</v>
      </c>
      <c r="K12" s="84">
        <v>5362</v>
      </c>
      <c r="L12" s="84">
        <f>Water!C15</f>
        <v>135.14000000001687</v>
      </c>
      <c r="M12" s="115">
        <v>12500</v>
      </c>
      <c r="N12" s="84">
        <f>+Electricity!C16</f>
        <v>60</v>
      </c>
      <c r="O12" s="84">
        <f>+Electricity!D16</f>
        <v>544</v>
      </c>
      <c r="P12" s="90" t="e">
        <f>E12*H12+J12*K12+#REF!*#REF!+L12*M12</f>
        <v>#REF!</v>
      </c>
    </row>
    <row r="13" spans="1:16" x14ac:dyDescent="0.3">
      <c r="A13" s="89" t="s">
        <v>52</v>
      </c>
      <c r="B13" s="86">
        <v>12</v>
      </c>
      <c r="C13" s="86">
        <v>8</v>
      </c>
      <c r="D13" s="86">
        <v>2022</v>
      </c>
      <c r="E13" s="84">
        <f>Electricity!H17</f>
        <v>21082</v>
      </c>
      <c r="F13" s="84">
        <f>+Electricity!F17</f>
        <v>3730</v>
      </c>
      <c r="G13" s="84">
        <f>+Electricity!G17</f>
        <v>17352</v>
      </c>
      <c r="H13" s="114" t="s">
        <v>58</v>
      </c>
      <c r="I13" s="115">
        <f>+Electricity!O17</f>
        <v>24481084.969799995</v>
      </c>
      <c r="J13" s="84">
        <f>Gas!D16</f>
        <v>151.85</v>
      </c>
      <c r="K13" s="84">
        <v>5362</v>
      </c>
      <c r="L13" s="84">
        <f>Water!C16</f>
        <v>113.63999999999942</v>
      </c>
      <c r="M13" s="115">
        <v>12500</v>
      </c>
      <c r="N13" s="84">
        <f>+Electricity!C17</f>
        <v>54</v>
      </c>
      <c r="O13" s="84">
        <f>+Electricity!D17</f>
        <v>434</v>
      </c>
      <c r="P13" s="90" t="e">
        <f>E13*H13+J13*K13+#REF!*#REF!+L13*M13</f>
        <v>#REF!</v>
      </c>
    </row>
    <row r="14" spans="1:16" x14ac:dyDescent="0.3">
      <c r="A14" s="89" t="s">
        <v>52</v>
      </c>
      <c r="B14" s="86">
        <v>13</v>
      </c>
      <c r="C14" s="86">
        <v>8</v>
      </c>
      <c r="D14" s="86">
        <v>2022</v>
      </c>
      <c r="E14" s="84">
        <f>Electricity!H18</f>
        <v>20034</v>
      </c>
      <c r="F14" s="84">
        <f>+Electricity!F18</f>
        <v>3618</v>
      </c>
      <c r="G14" s="84">
        <f>+Electricity!G18</f>
        <v>16416</v>
      </c>
      <c r="H14" s="114" t="s">
        <v>58</v>
      </c>
      <c r="I14" s="115">
        <f>+Electricity!O18</f>
        <v>23303278.816199999</v>
      </c>
      <c r="J14" s="84">
        <f>Gas!D17</f>
        <v>92.38</v>
      </c>
      <c r="K14" s="84">
        <v>5362</v>
      </c>
      <c r="L14" s="84">
        <f>Water!C17</f>
        <v>177.33999999998633</v>
      </c>
      <c r="M14" s="115">
        <v>12500</v>
      </c>
      <c r="N14" s="84">
        <f>+Electricity!C18</f>
        <v>59</v>
      </c>
      <c r="O14" s="84">
        <f>+Electricity!D18</f>
        <v>323</v>
      </c>
      <c r="P14" s="90" t="e">
        <f>E14*H14+J14*K14+#REF!*#REF!+L14*M14</f>
        <v>#REF!</v>
      </c>
    </row>
    <row r="15" spans="1:16" x14ac:dyDescent="0.3">
      <c r="A15" s="89" t="s">
        <v>52</v>
      </c>
      <c r="B15" s="86">
        <v>14</v>
      </c>
      <c r="C15" s="86">
        <v>8</v>
      </c>
      <c r="D15" s="86">
        <v>2022</v>
      </c>
      <c r="E15" s="84">
        <f>Electricity!H19</f>
        <v>21050</v>
      </c>
      <c r="F15" s="84">
        <f>+Electricity!F19</f>
        <v>3734</v>
      </c>
      <c r="G15" s="84">
        <f>+Electricity!G19</f>
        <v>17316</v>
      </c>
      <c r="H15" s="114" t="s">
        <v>58</v>
      </c>
      <c r="I15" s="115">
        <f>+Electricity!O19</f>
        <v>24449079.367800001</v>
      </c>
      <c r="J15" s="84">
        <f>Gas!D18</f>
        <v>126.72</v>
      </c>
      <c r="K15" s="84">
        <v>5362</v>
      </c>
      <c r="L15" s="84">
        <f>Water!C18</f>
        <v>196.32000000000409</v>
      </c>
      <c r="M15" s="115">
        <v>12500</v>
      </c>
      <c r="N15" s="84">
        <f>+Electricity!C19</f>
        <v>62</v>
      </c>
      <c r="O15" s="84">
        <f>+Electricity!D19</f>
        <v>423</v>
      </c>
      <c r="P15" s="90" t="e">
        <f>E15*H15+J15*K15+#REF!*#REF!+L15*M15</f>
        <v>#REF!</v>
      </c>
    </row>
    <row r="16" spans="1:16" x14ac:dyDescent="0.3">
      <c r="A16" s="89" t="s">
        <v>52</v>
      </c>
      <c r="B16" s="86">
        <v>15</v>
      </c>
      <c r="C16" s="86">
        <v>8</v>
      </c>
      <c r="D16" s="86">
        <v>2022</v>
      </c>
      <c r="E16" s="84">
        <f>Electricity!H20</f>
        <v>21662</v>
      </c>
      <c r="F16" s="84">
        <f>+Electricity!F20</f>
        <v>3850</v>
      </c>
      <c r="G16" s="84">
        <f>+Electricity!G20</f>
        <v>17812</v>
      </c>
      <c r="H16" s="114" t="s">
        <v>58</v>
      </c>
      <c r="I16" s="115">
        <f>+Electricity!O20</f>
        <v>25163871.145799998</v>
      </c>
      <c r="J16" s="84">
        <f>Gas!D19</f>
        <v>172.15</v>
      </c>
      <c r="K16" s="84">
        <v>5362</v>
      </c>
      <c r="L16" s="84">
        <f>Water!C19</f>
        <v>119.90000000001018</v>
      </c>
      <c r="M16" s="115">
        <v>12500</v>
      </c>
      <c r="N16" s="84">
        <f>+Electricity!C20</f>
        <v>72</v>
      </c>
      <c r="O16" s="84">
        <f>+Electricity!D20</f>
        <v>498</v>
      </c>
      <c r="P16" s="90" t="e">
        <f>E16*H16+J16*K16+#REF!*#REF!+L16*M16</f>
        <v>#REF!</v>
      </c>
    </row>
    <row r="17" spans="1:16" x14ac:dyDescent="0.3">
      <c r="A17" s="89" t="s">
        <v>52</v>
      </c>
      <c r="B17" s="86">
        <v>16</v>
      </c>
      <c r="C17" s="86">
        <v>8</v>
      </c>
      <c r="D17" s="86">
        <v>2022</v>
      </c>
      <c r="E17" s="84">
        <f>Electricity!H21</f>
        <v>20882</v>
      </c>
      <c r="F17" s="84">
        <f>+Electricity!F21</f>
        <v>3566</v>
      </c>
      <c r="G17" s="84">
        <f>+Electricity!G21</f>
        <v>17316</v>
      </c>
      <c r="H17" s="114" t="s">
        <v>58</v>
      </c>
      <c r="I17" s="115">
        <f>+Electricity!O21</f>
        <v>24180232.311000001</v>
      </c>
      <c r="J17" s="84">
        <f>Gas!D20</f>
        <v>185.55</v>
      </c>
      <c r="K17" s="84">
        <v>5362</v>
      </c>
      <c r="L17" s="84">
        <f>Water!C20</f>
        <v>157.8999999999869</v>
      </c>
      <c r="M17" s="115">
        <v>12500</v>
      </c>
      <c r="N17" s="84">
        <f>+Electricity!C21</f>
        <v>78</v>
      </c>
      <c r="O17" s="84">
        <f>+Electricity!D21</f>
        <v>664</v>
      </c>
      <c r="P17" s="90" t="e">
        <f>E17*H17+J17*K17+#REF!*#REF!+L17*M17</f>
        <v>#REF!</v>
      </c>
    </row>
    <row r="18" spans="1:16" x14ac:dyDescent="0.3">
      <c r="A18" s="89" t="s">
        <v>52</v>
      </c>
      <c r="B18" s="86">
        <v>17</v>
      </c>
      <c r="C18" s="86">
        <v>8</v>
      </c>
      <c r="D18" s="86">
        <v>2022</v>
      </c>
      <c r="E18" s="84">
        <f>Electricity!H22</f>
        <v>20296</v>
      </c>
      <c r="F18" s="84">
        <f>+Electricity!F22</f>
        <v>3660</v>
      </c>
      <c r="G18" s="84">
        <f>+Electricity!G22</f>
        <v>16636</v>
      </c>
      <c r="H18" s="114" t="s">
        <v>58</v>
      </c>
      <c r="I18" s="115">
        <f>+Electricity!O22</f>
        <v>23605198.328399997</v>
      </c>
      <c r="J18" s="84">
        <f>Gas!D21</f>
        <v>166.26</v>
      </c>
      <c r="K18" s="84">
        <v>5362</v>
      </c>
      <c r="L18" s="84">
        <f>Water!C21</f>
        <v>175.94000000000378</v>
      </c>
      <c r="M18" s="115">
        <v>12500</v>
      </c>
      <c r="N18" s="84">
        <f>+Electricity!C22</f>
        <v>67</v>
      </c>
      <c r="O18" s="84">
        <f>+Electricity!D22</f>
        <v>577</v>
      </c>
      <c r="P18" s="90" t="e">
        <f>E18*H18+J18*K18+#REF!*#REF!+L18*M18</f>
        <v>#REF!</v>
      </c>
    </row>
    <row r="19" spans="1:16" x14ac:dyDescent="0.3">
      <c r="A19" s="89" t="s">
        <v>52</v>
      </c>
      <c r="B19" s="86">
        <v>18</v>
      </c>
      <c r="C19" s="86">
        <v>8</v>
      </c>
      <c r="D19" s="86">
        <v>2022</v>
      </c>
      <c r="E19" s="84">
        <f>Electricity!H23</f>
        <v>20866</v>
      </c>
      <c r="F19" s="84">
        <f>+Electricity!F23</f>
        <v>3822</v>
      </c>
      <c r="G19" s="84">
        <f>+Electricity!G23</f>
        <v>17044</v>
      </c>
      <c r="H19" s="114" t="s">
        <v>58</v>
      </c>
      <c r="I19" s="115">
        <f>+Electricity!O23</f>
        <v>24299719.891800001</v>
      </c>
      <c r="J19" s="84">
        <f>Gas!D22</f>
        <v>219.22</v>
      </c>
      <c r="K19" s="84">
        <v>5362</v>
      </c>
      <c r="L19" s="84">
        <f>Water!C22</f>
        <v>118.07999999999883</v>
      </c>
      <c r="M19" s="115">
        <v>12500</v>
      </c>
      <c r="N19" s="84">
        <f>+Electricity!C23</f>
        <v>75</v>
      </c>
      <c r="O19" s="84">
        <f>+Electricity!D23</f>
        <v>528</v>
      </c>
      <c r="P19" s="90" t="e">
        <f>E19*H19+J19*K19+#REF!*#REF!+L19*M19</f>
        <v>#REF!</v>
      </c>
    </row>
    <row r="20" spans="1:16" x14ac:dyDescent="0.3">
      <c r="A20" s="89" t="s">
        <v>52</v>
      </c>
      <c r="B20" s="86">
        <v>19</v>
      </c>
      <c r="C20" s="86">
        <v>8</v>
      </c>
      <c r="D20" s="86">
        <v>2022</v>
      </c>
      <c r="E20" s="84">
        <f>Electricity!H24</f>
        <v>20706</v>
      </c>
      <c r="F20" s="84">
        <f>+Electricity!F24</f>
        <v>3780</v>
      </c>
      <c r="G20" s="84">
        <f>+Electricity!G24</f>
        <v>16926</v>
      </c>
      <c r="H20" s="114" t="s">
        <v>58</v>
      </c>
      <c r="I20" s="115">
        <f>+Electricity!O24</f>
        <v>24106619.426400002</v>
      </c>
      <c r="J20" s="84">
        <f>Gas!D23</f>
        <v>193.46</v>
      </c>
      <c r="K20" s="84">
        <v>5362</v>
      </c>
      <c r="L20" s="84">
        <f>Water!C23</f>
        <v>115.85999999999331</v>
      </c>
      <c r="M20" s="115">
        <v>12500</v>
      </c>
      <c r="N20" s="84">
        <f>+Electricity!C24</f>
        <v>59</v>
      </c>
      <c r="O20" s="84">
        <f>+Electricity!D24</f>
        <v>499</v>
      </c>
      <c r="P20" s="90" t="e">
        <f>E20*H20+J20*K20+#REF!*#REF!+L20*M20</f>
        <v>#REF!</v>
      </c>
    </row>
    <row r="21" spans="1:16" x14ac:dyDescent="0.3">
      <c r="A21" s="89" t="s">
        <v>52</v>
      </c>
      <c r="B21" s="86">
        <v>20</v>
      </c>
      <c r="C21" s="86">
        <v>8</v>
      </c>
      <c r="D21" s="86">
        <v>2022</v>
      </c>
      <c r="E21" s="84">
        <f>Electricity!H25</f>
        <v>22246</v>
      </c>
      <c r="F21" s="84">
        <f>+Electricity!F25</f>
        <v>3712</v>
      </c>
      <c r="G21" s="84">
        <f>+Electricity!G25</f>
        <v>18534</v>
      </c>
      <c r="H21" s="114" t="s">
        <v>58</v>
      </c>
      <c r="I21" s="115">
        <f>+Electricity!O25</f>
        <v>25713300.6468</v>
      </c>
      <c r="J21" s="84">
        <f>Gas!D24</f>
        <v>188.66</v>
      </c>
      <c r="K21" s="84">
        <v>5362</v>
      </c>
      <c r="L21" s="84">
        <f>Water!C24</f>
        <v>172.06000000000495</v>
      </c>
      <c r="M21" s="115">
        <v>12500</v>
      </c>
      <c r="N21" s="84">
        <f>+Electricity!C25</f>
        <v>81</v>
      </c>
      <c r="O21" s="84">
        <f>+Electricity!D25</f>
        <v>869</v>
      </c>
      <c r="P21" s="90" t="e">
        <f>E21*H21+J21*K21+#REF!*#REF!+L21*M21</f>
        <v>#REF!</v>
      </c>
    </row>
    <row r="22" spans="1:16" x14ac:dyDescent="0.3">
      <c r="A22" s="89" t="s">
        <v>52</v>
      </c>
      <c r="B22" s="86">
        <v>21</v>
      </c>
      <c r="C22" s="86">
        <v>8</v>
      </c>
      <c r="D22" s="86">
        <v>2022</v>
      </c>
      <c r="E22" s="84">
        <f>Electricity!H26</f>
        <v>20456</v>
      </c>
      <c r="F22" s="84">
        <f>+Electricity!F26</f>
        <v>3512</v>
      </c>
      <c r="G22" s="84">
        <f>+Electricity!G26</f>
        <v>16944</v>
      </c>
      <c r="H22" s="114" t="s">
        <v>58</v>
      </c>
      <c r="I22" s="115">
        <f>+Electricity!O26</f>
        <v>23696947.720799997</v>
      </c>
      <c r="J22" s="84">
        <f>Gas!D25</f>
        <v>132.27000000000001</v>
      </c>
      <c r="K22" s="84">
        <v>5362</v>
      </c>
      <c r="L22" s="84">
        <f>Water!C25</f>
        <v>102.68000000000465</v>
      </c>
      <c r="M22" s="115">
        <v>12500</v>
      </c>
      <c r="N22" s="84">
        <f>+Electricity!C26</f>
        <v>62</v>
      </c>
      <c r="O22" s="84">
        <f>+Electricity!D26</f>
        <v>425</v>
      </c>
      <c r="P22" s="90" t="e">
        <f>E22*H22+J22*K22+#REF!*#REF!+L22*M22</f>
        <v>#REF!</v>
      </c>
    </row>
    <row r="23" spans="1:16" x14ac:dyDescent="0.3">
      <c r="A23" s="89" t="s">
        <v>52</v>
      </c>
      <c r="B23" s="86">
        <v>22</v>
      </c>
      <c r="C23" s="86">
        <v>8</v>
      </c>
      <c r="D23" s="86">
        <v>2022</v>
      </c>
      <c r="E23" s="84">
        <f>Electricity!H27</f>
        <v>21166</v>
      </c>
      <c r="F23" s="84">
        <f>+Electricity!F27</f>
        <v>3698</v>
      </c>
      <c r="G23" s="84">
        <f>+Electricity!G27</f>
        <v>17468</v>
      </c>
      <c r="H23" s="114" t="s">
        <v>58</v>
      </c>
      <c r="I23" s="115">
        <f>+Electricity!O27</f>
        <v>24553631.000999998</v>
      </c>
      <c r="J23" s="84">
        <f>Gas!D26</f>
        <v>193.9</v>
      </c>
      <c r="K23" s="84">
        <v>5362</v>
      </c>
      <c r="L23" s="84">
        <f>Water!C26</f>
        <v>334.48000000000172</v>
      </c>
      <c r="M23" s="115">
        <v>12500</v>
      </c>
      <c r="N23" s="84">
        <f>+Electricity!C27</f>
        <v>79</v>
      </c>
      <c r="O23" s="84">
        <f>+Electricity!D27</f>
        <v>458</v>
      </c>
      <c r="P23" s="90" t="e">
        <f>E23*H23+J23*K23+#REF!*#REF!+L23*M23</f>
        <v>#REF!</v>
      </c>
    </row>
    <row r="24" spans="1:16" x14ac:dyDescent="0.3">
      <c r="A24" s="89" t="s">
        <v>52</v>
      </c>
      <c r="B24" s="86">
        <v>23</v>
      </c>
      <c r="C24" s="86">
        <v>8</v>
      </c>
      <c r="D24" s="86">
        <v>2022</v>
      </c>
      <c r="E24" s="84">
        <f>Electricity!H28</f>
        <v>20568</v>
      </c>
      <c r="F24" s="84">
        <f>+Electricity!F28</f>
        <v>3622</v>
      </c>
      <c r="G24" s="84">
        <f>+Electricity!G28</f>
        <v>16946</v>
      </c>
      <c r="H24" s="114" t="s">
        <v>58</v>
      </c>
      <c r="I24" s="115">
        <f>+Electricity!O28</f>
        <v>23875112.238599997</v>
      </c>
      <c r="J24" s="84">
        <f>Gas!D27</f>
        <v>218.28</v>
      </c>
      <c r="K24" s="84">
        <v>5362</v>
      </c>
      <c r="L24" s="84">
        <f>Water!C27</f>
        <v>142.83999999999941</v>
      </c>
      <c r="M24" s="115">
        <v>12500</v>
      </c>
      <c r="N24" s="84">
        <f>+Electricity!C28</f>
        <v>98</v>
      </c>
      <c r="O24" s="84">
        <f>+Electricity!D28</f>
        <v>628</v>
      </c>
      <c r="P24" s="90" t="e">
        <f>E24*H24+J24*K24+#REF!*#REF!+L24*M24</f>
        <v>#REF!</v>
      </c>
    </row>
    <row r="25" spans="1:16" x14ac:dyDescent="0.3">
      <c r="A25" s="89" t="s">
        <v>52</v>
      </c>
      <c r="B25" s="86">
        <v>24</v>
      </c>
      <c r="C25" s="86">
        <v>8</v>
      </c>
      <c r="D25" s="86">
        <v>2022</v>
      </c>
      <c r="E25" s="84">
        <f>Electricity!H29</f>
        <v>23100</v>
      </c>
      <c r="F25" s="84">
        <f>+Electricity!F29</f>
        <v>4414</v>
      </c>
      <c r="G25" s="84">
        <f>+Electricity!G29</f>
        <v>18686</v>
      </c>
      <c r="H25" s="114" t="s">
        <v>58</v>
      </c>
      <c r="I25" s="115">
        <f>+Electricity!O29</f>
        <v>26998858.993799996</v>
      </c>
      <c r="J25" s="84">
        <f>Gas!D28</f>
        <v>259.83</v>
      </c>
      <c r="K25" s="84">
        <v>5362</v>
      </c>
      <c r="L25" s="84">
        <f>Water!C28</f>
        <v>185.75999999999766</v>
      </c>
      <c r="M25" s="115">
        <v>12500</v>
      </c>
      <c r="N25" s="84">
        <f>+Electricity!C29</f>
        <v>113</v>
      </c>
      <c r="O25" s="84">
        <f>+Electricity!D29</f>
        <v>969</v>
      </c>
      <c r="P25" s="90" t="e">
        <f>E25*H25+J25*K25+#REF!*#REF!+L25*M25</f>
        <v>#REF!</v>
      </c>
    </row>
    <row r="26" spans="1:16" x14ac:dyDescent="0.3">
      <c r="A26" s="89" t="s">
        <v>52</v>
      </c>
      <c r="B26" s="86">
        <v>25</v>
      </c>
      <c r="C26" s="86">
        <v>8</v>
      </c>
      <c r="D26" s="86">
        <v>2022</v>
      </c>
      <c r="E26" s="84">
        <f>Electricity!H30</f>
        <v>21432</v>
      </c>
      <c r="F26" s="84">
        <f>+Electricity!F30</f>
        <v>3812</v>
      </c>
      <c r="G26" s="84">
        <f>+Electricity!G30</f>
        <v>17620</v>
      </c>
      <c r="H26" s="114" t="s">
        <v>58</v>
      </c>
      <c r="I26" s="115">
        <f>+Electricity!O30</f>
        <v>24898224.649199996</v>
      </c>
      <c r="J26" s="84">
        <f>Gas!D29</f>
        <v>228.49</v>
      </c>
      <c r="K26" s="84">
        <v>5362</v>
      </c>
      <c r="L26" s="84">
        <f>Water!C29</f>
        <v>165.88000000000321</v>
      </c>
      <c r="M26" s="115">
        <v>12500</v>
      </c>
      <c r="N26" s="84">
        <f>+Electricity!C30</f>
        <v>84</v>
      </c>
      <c r="O26" s="84">
        <f>+Electricity!D30</f>
        <v>693</v>
      </c>
      <c r="P26" s="90" t="e">
        <f>E26*H26+J26*K26+#REF!*#REF!+L26*M26</f>
        <v>#REF!</v>
      </c>
    </row>
    <row r="27" spans="1:16" x14ac:dyDescent="0.3">
      <c r="A27" s="89" t="s">
        <v>52</v>
      </c>
      <c r="B27" s="86">
        <v>26</v>
      </c>
      <c r="C27" s="86">
        <v>8</v>
      </c>
      <c r="D27" s="86">
        <v>2022</v>
      </c>
      <c r="E27" s="84">
        <f>Electricity!H31</f>
        <v>24006</v>
      </c>
      <c r="F27" s="84">
        <f>+Electricity!F31</f>
        <v>4266</v>
      </c>
      <c r="G27" s="84">
        <f>+Electricity!G31</f>
        <v>19740</v>
      </c>
      <c r="H27" s="114" t="s">
        <v>58</v>
      </c>
      <c r="I27" s="115">
        <f>+Electricity!O31</f>
        <v>27886481.022599999</v>
      </c>
      <c r="J27" s="84">
        <f>Gas!D30</f>
        <v>251.94</v>
      </c>
      <c r="K27" s="84">
        <v>5362</v>
      </c>
      <c r="L27" s="84">
        <f>Water!C30</f>
        <v>163.85999999999621</v>
      </c>
      <c r="M27" s="115">
        <v>12500</v>
      </c>
      <c r="N27" s="84">
        <f>+Electricity!C31</f>
        <v>82</v>
      </c>
      <c r="O27" s="84">
        <f>+Electricity!D31</f>
        <v>656</v>
      </c>
      <c r="P27" s="90" t="e">
        <f>E27*H27+J27*K27+#REF!*#REF!+L27*M27</f>
        <v>#REF!</v>
      </c>
    </row>
    <row r="28" spans="1:16" x14ac:dyDescent="0.3">
      <c r="A28" s="89" t="s">
        <v>52</v>
      </c>
      <c r="B28" s="86">
        <v>27</v>
      </c>
      <c r="C28" s="86">
        <v>8</v>
      </c>
      <c r="D28" s="86">
        <v>2022</v>
      </c>
      <c r="E28" s="84">
        <f>Electricity!H32</f>
        <v>24618</v>
      </c>
      <c r="F28" s="84">
        <f>+Electricity!F32</f>
        <v>4484</v>
      </c>
      <c r="G28" s="84">
        <f>+Electricity!G32</f>
        <v>20134</v>
      </c>
      <c r="H28" s="114" t="s">
        <v>58</v>
      </c>
      <c r="I28" s="115">
        <f>+Electricity!O32</f>
        <v>28655682.324000001</v>
      </c>
      <c r="J28" s="84">
        <f>Gas!D31</f>
        <v>207.01</v>
      </c>
      <c r="K28" s="84">
        <v>5362</v>
      </c>
      <c r="L28" s="84">
        <f>Water!C31</f>
        <v>140.46000000000495</v>
      </c>
      <c r="M28" s="115">
        <v>12500</v>
      </c>
      <c r="N28" s="84">
        <f>+Electricity!C32</f>
        <v>93</v>
      </c>
      <c r="O28" s="84">
        <f>+Electricity!D32</f>
        <v>736</v>
      </c>
      <c r="P28" s="90" t="e">
        <f>E28*H28+J28*K28+#REF!*#REF!+L28*M28</f>
        <v>#REF!</v>
      </c>
    </row>
    <row r="29" spans="1:16" x14ac:dyDescent="0.3">
      <c r="A29" s="89" t="s">
        <v>52</v>
      </c>
      <c r="B29" s="86">
        <v>28</v>
      </c>
      <c r="C29" s="86">
        <v>8</v>
      </c>
      <c r="D29" s="86">
        <v>2022</v>
      </c>
      <c r="E29" s="84">
        <f>Electricity!H33</f>
        <v>21268</v>
      </c>
      <c r="F29" s="84">
        <f>+Electricity!F33</f>
        <v>3638</v>
      </c>
      <c r="G29" s="84">
        <f>+Electricity!G33</f>
        <v>17630</v>
      </c>
      <c r="H29" s="114" t="s">
        <v>58</v>
      </c>
      <c r="I29" s="115">
        <f>+Electricity!O33</f>
        <v>24630444.445799999</v>
      </c>
      <c r="J29" s="84">
        <f>Gas!D32</f>
        <v>117.68</v>
      </c>
      <c r="K29" s="84">
        <v>5362</v>
      </c>
      <c r="L29" s="84">
        <f>Water!C32</f>
        <v>130.49999999998983</v>
      </c>
      <c r="M29" s="115">
        <v>12500</v>
      </c>
      <c r="N29" s="84">
        <f>+Electricity!C33</f>
        <v>68</v>
      </c>
      <c r="O29" s="84">
        <f>+Electricity!D33</f>
        <v>434</v>
      </c>
      <c r="P29" s="90" t="e">
        <f>E29*H29+J29*K29+#REF!*#REF!+L29*M29</f>
        <v>#REF!</v>
      </c>
    </row>
    <row r="30" spans="1:16" x14ac:dyDescent="0.3">
      <c r="A30" s="89" t="s">
        <v>52</v>
      </c>
      <c r="B30" s="86">
        <v>29</v>
      </c>
      <c r="C30" s="86">
        <v>8</v>
      </c>
      <c r="D30" s="86">
        <v>2022</v>
      </c>
      <c r="E30" s="84">
        <f>Electricity!H34</f>
        <v>21962</v>
      </c>
      <c r="F30" s="84">
        <f>+Electricity!F34</f>
        <v>3924</v>
      </c>
      <c r="G30" s="84">
        <f>+Electricity!G34</f>
        <v>18038</v>
      </c>
      <c r="H30" s="114" t="s">
        <v>58</v>
      </c>
      <c r="I30" s="115">
        <f>+Electricity!O34</f>
        <v>25523400.741599999</v>
      </c>
      <c r="J30" s="84">
        <f>Gas!D33</f>
        <v>185.05</v>
      </c>
      <c r="K30" s="84">
        <v>5362</v>
      </c>
      <c r="L30" s="84">
        <f>Water!C33</f>
        <v>141.26000000001369</v>
      </c>
      <c r="M30" s="115">
        <v>12500</v>
      </c>
      <c r="N30" s="84">
        <f>+Electricity!C34</f>
        <v>86</v>
      </c>
      <c r="O30" s="84">
        <f>+Electricity!D34</f>
        <v>496</v>
      </c>
      <c r="P30" s="90"/>
    </row>
    <row r="31" spans="1:16" x14ac:dyDescent="0.3">
      <c r="A31" s="89" t="s">
        <v>52</v>
      </c>
      <c r="B31" s="86">
        <v>30</v>
      </c>
      <c r="C31" s="86">
        <v>8</v>
      </c>
      <c r="D31" s="86">
        <v>2022</v>
      </c>
      <c r="E31" s="84">
        <f>Electricity!H35</f>
        <v>21784</v>
      </c>
      <c r="F31" s="84">
        <f>+Electricity!F35</f>
        <v>3820</v>
      </c>
      <c r="G31" s="84">
        <f>+Electricity!G35</f>
        <v>17964</v>
      </c>
      <c r="H31" s="114" t="s">
        <v>58</v>
      </c>
      <c r="I31" s="115">
        <f>+Electricity!O35</f>
        <v>25278024.459599998</v>
      </c>
      <c r="J31" s="84">
        <f>Gas!D34</f>
        <v>222.42</v>
      </c>
      <c r="K31" s="84">
        <v>5362</v>
      </c>
      <c r="L31" s="84">
        <f>Water!C34</f>
        <v>172.87999999998866</v>
      </c>
      <c r="M31" s="115">
        <v>12500</v>
      </c>
      <c r="N31" s="84">
        <f>+Electricity!C35</f>
        <v>92</v>
      </c>
      <c r="O31" s="84">
        <f>+Electricity!D35</f>
        <v>592</v>
      </c>
      <c r="P31" s="90"/>
    </row>
    <row r="32" spans="1:16" x14ac:dyDescent="0.3">
      <c r="A32" s="89" t="s">
        <v>52</v>
      </c>
      <c r="B32" s="86">
        <v>31</v>
      </c>
      <c r="C32" s="86">
        <v>8</v>
      </c>
      <c r="D32" s="86">
        <v>2022</v>
      </c>
      <c r="E32" s="84">
        <f>Electricity!H36</f>
        <v>21606</v>
      </c>
      <c r="F32" s="84">
        <f>+Electricity!F36</f>
        <v>3716</v>
      </c>
      <c r="G32" s="84">
        <f>+Electricity!G36</f>
        <v>17890</v>
      </c>
      <c r="H32" s="114" t="s">
        <v>58</v>
      </c>
      <c r="I32" s="115">
        <f>+Electricity!O36</f>
        <v>25032648.177599996</v>
      </c>
      <c r="J32" s="84">
        <f>Gas!D35</f>
        <v>239.79</v>
      </c>
      <c r="K32" s="84">
        <v>5362</v>
      </c>
      <c r="L32" s="84">
        <f>Water!C35</f>
        <v>148.67999999999302</v>
      </c>
      <c r="M32" s="115">
        <v>12500</v>
      </c>
      <c r="N32" s="84">
        <f>+Electricity!C36</f>
        <v>92</v>
      </c>
      <c r="O32" s="84">
        <f>+Electricity!D36</f>
        <v>704</v>
      </c>
      <c r="P32" s="90"/>
    </row>
    <row r="33" spans="1:16" s="84" customFormat="1" x14ac:dyDescent="0.3">
      <c r="A33" s="85"/>
      <c r="B33" s="87"/>
      <c r="C33" s="87"/>
      <c r="D33" s="86"/>
      <c r="H33" s="88"/>
      <c r="I33" s="88"/>
      <c r="J33" s="88"/>
      <c r="K33" s="103"/>
      <c r="L33" s="88"/>
      <c r="M33" s="88"/>
      <c r="P33" s="83"/>
    </row>
    <row r="34" spans="1:16" s="84" customFormat="1" x14ac:dyDescent="0.3">
      <c r="A34" s="85"/>
      <c r="B34" s="87"/>
      <c r="C34" s="87"/>
      <c r="D34" s="86"/>
      <c r="H34" s="88"/>
      <c r="I34" s="88"/>
      <c r="J34" s="88"/>
      <c r="K34" s="103"/>
      <c r="L34" s="88"/>
      <c r="M34" s="88"/>
      <c r="P34" s="83"/>
    </row>
    <row r="35" spans="1:16" s="84" customFormat="1" x14ac:dyDescent="0.3">
      <c r="A35" s="85"/>
      <c r="B35" s="87"/>
      <c r="C35" s="87"/>
      <c r="D35" s="86"/>
      <c r="H35" s="88"/>
      <c r="I35" s="88"/>
      <c r="J35" s="88"/>
      <c r="K35" s="103"/>
      <c r="L35" s="88"/>
      <c r="M35" s="88"/>
      <c r="P35" s="83"/>
    </row>
    <row r="36" spans="1:16" s="84" customFormat="1" x14ac:dyDescent="0.3">
      <c r="A36" s="85"/>
      <c r="B36" s="87"/>
      <c r="C36" s="87"/>
      <c r="D36" s="86"/>
      <c r="H36" s="88"/>
      <c r="I36" s="88"/>
      <c r="J36" s="88"/>
      <c r="K36" s="103"/>
      <c r="L36" s="88"/>
      <c r="M36" s="88"/>
      <c r="P36" s="83"/>
    </row>
    <row r="37" spans="1:16" s="84" customFormat="1" x14ac:dyDescent="0.3">
      <c r="A37" s="85"/>
      <c r="B37" s="87"/>
      <c r="C37" s="87"/>
      <c r="D37" s="86"/>
      <c r="H37" s="88"/>
      <c r="I37" s="88"/>
      <c r="J37" s="88"/>
      <c r="K37" s="103"/>
      <c r="L37" s="88"/>
      <c r="M37" s="88"/>
      <c r="P37" s="83"/>
    </row>
    <row r="38" spans="1:16" s="84" customFormat="1" x14ac:dyDescent="0.3">
      <c r="A38" s="85"/>
      <c r="B38" s="87"/>
      <c r="C38" s="87"/>
      <c r="D38" s="86"/>
      <c r="H38" s="88"/>
      <c r="I38" s="88"/>
      <c r="J38" s="88"/>
      <c r="K38" s="103"/>
      <c r="L38" s="88"/>
      <c r="M38" s="88"/>
      <c r="P38" s="8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T55"/>
  <sheetViews>
    <sheetView view="pageBreakPreview" zoomScale="80" zoomScaleNormal="80" zoomScaleSheetLayoutView="80" workbookViewId="0">
      <pane ySplit="4" topLeftCell="A26" activePane="bottomLeft" state="frozen"/>
      <selection pane="bottomLeft" activeCell="J34" sqref="J34"/>
    </sheetView>
  </sheetViews>
  <sheetFormatPr defaultColWidth="9.109375" defaultRowHeight="14.4" x14ac:dyDescent="0.3"/>
  <cols>
    <col min="1" max="1" width="2.33203125" style="28" customWidth="1"/>
    <col min="2" max="5" width="16.33203125" style="28" customWidth="1"/>
    <col min="6" max="7" width="17.6640625" style="76" customWidth="1"/>
    <col min="8" max="10" width="29.6640625" style="76" customWidth="1"/>
    <col min="11" max="11" width="21.5546875" style="28" bestFit="1" customWidth="1"/>
    <col min="12" max="12" width="24.88671875" style="28" customWidth="1"/>
    <col min="13" max="13" width="29.6640625" style="28" customWidth="1"/>
    <col min="14" max="14" width="20.5546875" style="28" bestFit="1" customWidth="1"/>
    <col min="15" max="15" width="23.44140625" style="28" customWidth="1"/>
    <col min="16" max="16" width="11" style="26" customWidth="1"/>
    <col min="17" max="17" width="16.5546875" style="26" customWidth="1"/>
    <col min="18" max="20" width="9.109375" style="26"/>
    <col min="21" max="16384" width="9.109375" style="28"/>
  </cols>
  <sheetData>
    <row r="1" spans="2:20" s="1" customFormat="1" ht="15" thickBot="1" x14ac:dyDescent="0.35">
      <c r="B1" s="153" t="s">
        <v>64</v>
      </c>
      <c r="C1" s="154"/>
      <c r="D1" s="154"/>
      <c r="E1" s="154"/>
      <c r="F1" s="61"/>
      <c r="G1" s="62"/>
      <c r="H1" s="62"/>
      <c r="I1" s="62"/>
      <c r="J1" s="62"/>
      <c r="K1" s="59"/>
      <c r="L1" s="58"/>
      <c r="M1" s="58"/>
      <c r="N1" s="58"/>
      <c r="O1" s="60"/>
    </row>
    <row r="2" spans="2:20" s="2" customFormat="1" ht="63" customHeight="1" x14ac:dyDescent="0.3">
      <c r="B2" s="155" t="s">
        <v>0</v>
      </c>
      <c r="C2" s="98"/>
      <c r="D2" s="98"/>
      <c r="E2" s="158" t="s">
        <v>12</v>
      </c>
      <c r="F2" s="160" t="s">
        <v>16</v>
      </c>
      <c r="G2" s="161"/>
      <c r="H2" s="161"/>
      <c r="I2" s="161"/>
      <c r="J2" s="161"/>
      <c r="K2" s="161"/>
      <c r="L2" s="161"/>
      <c r="M2" s="161"/>
      <c r="N2" s="161"/>
      <c r="O2" s="162"/>
      <c r="P2" s="1"/>
      <c r="Q2" s="1"/>
      <c r="R2" s="1"/>
      <c r="S2" s="1"/>
      <c r="T2" s="1"/>
    </row>
    <row r="3" spans="2:20" s="53" customFormat="1" ht="25.5" customHeight="1" x14ac:dyDescent="0.3">
      <c r="B3" s="156"/>
      <c r="C3" s="99"/>
      <c r="D3" s="99"/>
      <c r="E3" s="150"/>
      <c r="F3" s="51" t="s">
        <v>10</v>
      </c>
      <c r="G3" s="54" t="s">
        <v>19</v>
      </c>
      <c r="H3" s="54" t="s">
        <v>24</v>
      </c>
      <c r="I3" s="163" t="s">
        <v>23</v>
      </c>
      <c r="J3" s="164"/>
      <c r="K3" s="163" t="s">
        <v>25</v>
      </c>
      <c r="L3" s="165"/>
      <c r="M3" s="164"/>
      <c r="N3" s="149" t="s">
        <v>17</v>
      </c>
      <c r="O3" s="151" t="s">
        <v>3</v>
      </c>
      <c r="P3" s="52"/>
      <c r="Q3" s="52"/>
      <c r="R3" s="52"/>
      <c r="S3" s="52"/>
      <c r="T3" s="52"/>
    </row>
    <row r="4" spans="2:20" s="2" customFormat="1" ht="29.25" customHeight="1" x14ac:dyDescent="0.3">
      <c r="B4" s="157"/>
      <c r="C4" s="100"/>
      <c r="D4" s="100"/>
      <c r="E4" s="159"/>
      <c r="F4" s="50" t="s">
        <v>18</v>
      </c>
      <c r="G4" s="49" t="s">
        <v>20</v>
      </c>
      <c r="H4" s="49" t="s">
        <v>21</v>
      </c>
      <c r="I4" s="55" t="s">
        <v>22</v>
      </c>
      <c r="J4" s="56" t="s">
        <v>15</v>
      </c>
      <c r="K4" s="57" t="s">
        <v>10</v>
      </c>
      <c r="L4" s="49" t="s">
        <v>11</v>
      </c>
      <c r="M4" s="49" t="s">
        <v>1</v>
      </c>
      <c r="N4" s="150"/>
      <c r="O4" s="152"/>
      <c r="P4" s="1"/>
      <c r="Q4" s="4"/>
      <c r="R4" s="1"/>
      <c r="S4" s="1"/>
      <c r="T4" s="1"/>
    </row>
    <row r="5" spans="2:20" s="2" customFormat="1" ht="35.25" customHeight="1" x14ac:dyDescent="0.3">
      <c r="B5" s="47"/>
      <c r="C5" s="101" t="s">
        <v>53</v>
      </c>
      <c r="D5" s="101" t="s">
        <v>54</v>
      </c>
      <c r="E5" s="107">
        <v>1035.78</v>
      </c>
      <c r="F5" s="49" t="s">
        <v>13</v>
      </c>
      <c r="G5" s="49" t="s">
        <v>13</v>
      </c>
      <c r="H5" s="49" t="s">
        <v>13</v>
      </c>
      <c r="I5" s="49" t="s">
        <v>13</v>
      </c>
      <c r="J5" s="49" t="s">
        <v>13</v>
      </c>
      <c r="K5" s="49" t="s">
        <v>14</v>
      </c>
      <c r="L5" s="49" t="s">
        <v>14</v>
      </c>
      <c r="M5" s="49" t="s">
        <v>14</v>
      </c>
      <c r="N5" s="48" t="s">
        <v>14</v>
      </c>
      <c r="O5" s="3" t="s">
        <v>14</v>
      </c>
      <c r="P5" s="1"/>
      <c r="Q5" s="4"/>
      <c r="R5" s="1"/>
      <c r="S5" s="1"/>
      <c r="T5" s="1"/>
    </row>
    <row r="6" spans="2:20" s="2" customFormat="1" ht="50.1" customHeight="1" x14ac:dyDescent="0.3">
      <c r="B6" s="5">
        <v>44774</v>
      </c>
      <c r="C6" s="119">
        <v>66</v>
      </c>
      <c r="D6" s="119">
        <f>118+311</f>
        <v>429</v>
      </c>
      <c r="E6" s="108">
        <v>1035.78</v>
      </c>
      <c r="F6" s="109">
        <v>3682</v>
      </c>
      <c r="G6" s="110">
        <v>17070</v>
      </c>
      <c r="H6" s="111">
        <f t="shared" ref="H6:H36" si="0">G6+F6</f>
        <v>20752</v>
      </c>
      <c r="I6" s="112">
        <v>7894</v>
      </c>
      <c r="J6" s="112">
        <f>+H6-I6</f>
        <v>12858</v>
      </c>
      <c r="K6" s="112">
        <f>F6*1.5*E6</f>
        <v>5720612.9399999995</v>
      </c>
      <c r="L6" s="112">
        <f t="shared" ref="L6:L30" si="1">G6*E6</f>
        <v>17680764.599999998</v>
      </c>
      <c r="M6" s="112">
        <f t="shared" ref="M6:M30" si="2">L6+K6</f>
        <v>23401377.539999999</v>
      </c>
      <c r="N6" s="112">
        <f>M6*0.03</f>
        <v>702041.32619999989</v>
      </c>
      <c r="O6" s="118">
        <f>M6+N6</f>
        <v>24103418.8662</v>
      </c>
      <c r="P6" s="1"/>
      <c r="Q6" s="6"/>
      <c r="R6" s="1"/>
      <c r="S6" s="1"/>
      <c r="T6" s="1"/>
    </row>
    <row r="7" spans="2:20" s="2" customFormat="1" ht="50.1" customHeight="1" x14ac:dyDescent="0.3">
      <c r="B7" s="5">
        <v>44775</v>
      </c>
      <c r="C7" s="119">
        <v>83</v>
      </c>
      <c r="D7" s="119">
        <f>128+384</f>
        <v>512</v>
      </c>
      <c r="E7" s="108">
        <v>1035.78</v>
      </c>
      <c r="F7" s="113">
        <v>3796</v>
      </c>
      <c r="G7" s="110">
        <v>17176</v>
      </c>
      <c r="H7" s="111">
        <f t="shared" si="0"/>
        <v>20972</v>
      </c>
      <c r="I7" s="112">
        <v>8018</v>
      </c>
      <c r="J7" s="112">
        <f t="shared" ref="J7:J33" si="3">+H7-I7</f>
        <v>12954</v>
      </c>
      <c r="K7" s="112">
        <f t="shared" ref="K7:K30" si="4">F7*1.5*E7</f>
        <v>5897731.3200000003</v>
      </c>
      <c r="L7" s="112">
        <f t="shared" si="1"/>
        <v>17790557.280000001</v>
      </c>
      <c r="M7" s="112">
        <f t="shared" si="2"/>
        <v>23688288.600000001</v>
      </c>
      <c r="N7" s="112">
        <f>M7*0.03</f>
        <v>710648.65800000005</v>
      </c>
      <c r="O7" s="118">
        <f>M7+N7</f>
        <v>24398937.258000001</v>
      </c>
      <c r="P7" s="1"/>
      <c r="Q7" s="77"/>
      <c r="R7" s="1"/>
      <c r="S7" s="1"/>
      <c r="T7" s="1"/>
    </row>
    <row r="8" spans="2:20" s="2" customFormat="1" ht="50.1" customHeight="1" x14ac:dyDescent="0.3">
      <c r="B8" s="5">
        <v>44776</v>
      </c>
      <c r="C8" s="119">
        <v>77</v>
      </c>
      <c r="D8" s="119">
        <f>127+430</f>
        <v>557</v>
      </c>
      <c r="E8" s="108">
        <v>1035.78</v>
      </c>
      <c r="F8" s="113">
        <v>4018</v>
      </c>
      <c r="G8" s="110">
        <v>17700</v>
      </c>
      <c r="H8" s="111">
        <f t="shared" si="0"/>
        <v>21718</v>
      </c>
      <c r="I8" s="112">
        <v>8074</v>
      </c>
      <c r="J8" s="112">
        <f t="shared" si="3"/>
        <v>13644</v>
      </c>
      <c r="K8" s="112">
        <f t="shared" si="4"/>
        <v>6242646.0599999996</v>
      </c>
      <c r="L8" s="112">
        <f t="shared" si="1"/>
        <v>18333306</v>
      </c>
      <c r="M8" s="112">
        <f t="shared" si="2"/>
        <v>24575952.059999999</v>
      </c>
      <c r="N8" s="112">
        <f t="shared" ref="N8:N30" si="5">M8*0.03</f>
        <v>737278.56179999991</v>
      </c>
      <c r="O8" s="118">
        <f t="shared" ref="O8:O30" si="6">M8+N8</f>
        <v>25313230.621799998</v>
      </c>
      <c r="P8" s="1"/>
      <c r="Q8" s="1"/>
      <c r="R8" s="1"/>
      <c r="S8" s="1"/>
      <c r="T8" s="1"/>
    </row>
    <row r="9" spans="2:20" s="2" customFormat="1" ht="50.1" customHeight="1" x14ac:dyDescent="0.3">
      <c r="B9" s="5">
        <v>44777</v>
      </c>
      <c r="C9" s="119">
        <v>62</v>
      </c>
      <c r="D9" s="119">
        <f>94+547</f>
        <v>641</v>
      </c>
      <c r="E9" s="108">
        <v>1035.78</v>
      </c>
      <c r="F9" s="113">
        <v>3776</v>
      </c>
      <c r="G9" s="110">
        <v>19254</v>
      </c>
      <c r="H9" s="111">
        <f t="shared" si="0"/>
        <v>23030</v>
      </c>
      <c r="I9" s="112">
        <v>8920</v>
      </c>
      <c r="J9" s="112">
        <f t="shared" si="3"/>
        <v>14110</v>
      </c>
      <c r="K9" s="112">
        <f t="shared" si="4"/>
        <v>5866657.9199999999</v>
      </c>
      <c r="L9" s="112">
        <f t="shared" si="1"/>
        <v>19942908.120000001</v>
      </c>
      <c r="M9" s="112">
        <f t="shared" si="2"/>
        <v>25809566.039999999</v>
      </c>
      <c r="N9" s="112">
        <f t="shared" si="5"/>
        <v>774286.98119999992</v>
      </c>
      <c r="O9" s="118">
        <f t="shared" si="6"/>
        <v>26583853.021199998</v>
      </c>
      <c r="P9" s="1"/>
      <c r="Q9" s="1"/>
      <c r="R9" s="1"/>
      <c r="S9" s="1"/>
      <c r="T9" s="1"/>
    </row>
    <row r="10" spans="2:20" s="2" customFormat="1" ht="50.1" customHeight="1" x14ac:dyDescent="0.3">
      <c r="B10" s="5">
        <v>44778</v>
      </c>
      <c r="C10" s="119">
        <v>68</v>
      </c>
      <c r="D10" s="119">
        <f>156+496</f>
        <v>652</v>
      </c>
      <c r="E10" s="108">
        <v>1035.78</v>
      </c>
      <c r="F10" s="113">
        <v>3968</v>
      </c>
      <c r="G10" s="110">
        <v>18076</v>
      </c>
      <c r="H10" s="111">
        <f t="shared" si="0"/>
        <v>22044</v>
      </c>
      <c r="I10" s="112">
        <v>8119</v>
      </c>
      <c r="J10" s="112">
        <f t="shared" si="3"/>
        <v>13925</v>
      </c>
      <c r="K10" s="112">
        <f t="shared" si="4"/>
        <v>6164962.5599999996</v>
      </c>
      <c r="L10" s="112">
        <f t="shared" si="1"/>
        <v>18722759.280000001</v>
      </c>
      <c r="M10" s="112">
        <f t="shared" si="2"/>
        <v>24887721.84</v>
      </c>
      <c r="N10" s="112">
        <f t="shared" si="5"/>
        <v>746631.65519999992</v>
      </c>
      <c r="O10" s="118">
        <f t="shared" si="6"/>
        <v>25634353.495200001</v>
      </c>
      <c r="P10" s="1"/>
      <c r="Q10" s="1"/>
      <c r="R10" s="1"/>
      <c r="S10" s="1"/>
      <c r="T10" s="1"/>
    </row>
    <row r="11" spans="2:20" s="2" customFormat="1" ht="50.1" customHeight="1" x14ac:dyDescent="0.3">
      <c r="B11" s="5">
        <v>44779</v>
      </c>
      <c r="C11" s="119">
        <v>74</v>
      </c>
      <c r="D11" s="119">
        <f>147+690</f>
        <v>837</v>
      </c>
      <c r="E11" s="108">
        <v>1035.78</v>
      </c>
      <c r="F11" s="113">
        <v>4784</v>
      </c>
      <c r="G11" s="110">
        <v>19414</v>
      </c>
      <c r="H11" s="111">
        <f t="shared" si="0"/>
        <v>24198</v>
      </c>
      <c r="I11" s="112">
        <v>9774</v>
      </c>
      <c r="J11" s="112">
        <f t="shared" si="3"/>
        <v>14424</v>
      </c>
      <c r="K11" s="112">
        <f t="shared" si="4"/>
        <v>7432757.2800000003</v>
      </c>
      <c r="L11" s="112">
        <f t="shared" si="1"/>
        <v>20108632.919999998</v>
      </c>
      <c r="M11" s="112">
        <f t="shared" si="2"/>
        <v>27541390.199999999</v>
      </c>
      <c r="N11" s="112">
        <f t="shared" si="5"/>
        <v>826241.70599999989</v>
      </c>
      <c r="O11" s="118">
        <f t="shared" si="6"/>
        <v>28367631.905999999</v>
      </c>
      <c r="P11" s="1"/>
      <c r="Q11" s="1"/>
      <c r="R11" s="1"/>
      <c r="S11" s="1"/>
      <c r="T11" s="1"/>
    </row>
    <row r="12" spans="2:20" s="2" customFormat="1" ht="50.1" customHeight="1" x14ac:dyDescent="0.3">
      <c r="B12" s="5">
        <v>44780</v>
      </c>
      <c r="C12" s="119">
        <v>60</v>
      </c>
      <c r="D12" s="119">
        <f>104+333</f>
        <v>437</v>
      </c>
      <c r="E12" s="108">
        <v>1035.78</v>
      </c>
      <c r="F12" s="113">
        <v>3868</v>
      </c>
      <c r="G12" s="110">
        <v>17618</v>
      </c>
      <c r="H12" s="111">
        <f t="shared" si="0"/>
        <v>21486</v>
      </c>
      <c r="I12" s="112">
        <v>7880</v>
      </c>
      <c r="J12" s="112">
        <f t="shared" si="3"/>
        <v>13606</v>
      </c>
      <c r="K12" s="112">
        <f t="shared" si="4"/>
        <v>6009595.5599999996</v>
      </c>
      <c r="L12" s="112">
        <f t="shared" si="1"/>
        <v>18248372.039999999</v>
      </c>
      <c r="M12" s="112">
        <f t="shared" si="2"/>
        <v>24257967.599999998</v>
      </c>
      <c r="N12" s="112">
        <f t="shared" si="5"/>
        <v>727739.02799999993</v>
      </c>
      <c r="O12" s="118">
        <f t="shared" si="6"/>
        <v>24985706.627999999</v>
      </c>
      <c r="P12" s="1"/>
      <c r="Q12" s="1"/>
      <c r="R12" s="1"/>
      <c r="S12" s="1"/>
      <c r="T12" s="1"/>
    </row>
    <row r="13" spans="2:20" s="2" customFormat="1" ht="50.1" customHeight="1" x14ac:dyDescent="0.3">
      <c r="B13" s="5">
        <v>44781</v>
      </c>
      <c r="C13" s="119">
        <v>52</v>
      </c>
      <c r="D13" s="119">
        <f>87+336</f>
        <v>423</v>
      </c>
      <c r="E13" s="108">
        <v>1035.78</v>
      </c>
      <c r="F13" s="113">
        <v>3532</v>
      </c>
      <c r="G13" s="110">
        <v>16988</v>
      </c>
      <c r="H13" s="111">
        <f t="shared" si="0"/>
        <v>20520</v>
      </c>
      <c r="I13" s="112">
        <v>7507</v>
      </c>
      <c r="J13" s="112">
        <f t="shared" si="3"/>
        <v>13013</v>
      </c>
      <c r="K13" s="112">
        <f t="shared" si="4"/>
        <v>5487562.4399999995</v>
      </c>
      <c r="L13" s="112">
        <f t="shared" si="1"/>
        <v>17595830.640000001</v>
      </c>
      <c r="M13" s="112">
        <f t="shared" si="2"/>
        <v>23083393.079999998</v>
      </c>
      <c r="N13" s="112">
        <f t="shared" si="5"/>
        <v>692501.79239999992</v>
      </c>
      <c r="O13" s="118">
        <f t="shared" si="6"/>
        <v>23775894.872399997</v>
      </c>
      <c r="P13" s="1"/>
      <c r="Q13" s="1"/>
      <c r="R13" s="1"/>
      <c r="S13" s="1"/>
      <c r="T13" s="1"/>
    </row>
    <row r="14" spans="2:20" s="2" customFormat="1" ht="50.1" customHeight="1" x14ac:dyDescent="0.3">
      <c r="B14" s="5">
        <v>44782</v>
      </c>
      <c r="C14" s="119">
        <v>57</v>
      </c>
      <c r="D14" s="119">
        <f>95+327</f>
        <v>422</v>
      </c>
      <c r="E14" s="108">
        <v>1035.78</v>
      </c>
      <c r="F14" s="113">
        <v>3784</v>
      </c>
      <c r="G14" s="110">
        <v>16954</v>
      </c>
      <c r="H14" s="111">
        <f t="shared" si="0"/>
        <v>20738</v>
      </c>
      <c r="I14" s="112">
        <v>7662</v>
      </c>
      <c r="J14" s="112">
        <f t="shared" si="3"/>
        <v>13076</v>
      </c>
      <c r="K14" s="112">
        <f t="shared" si="4"/>
        <v>5879087.2800000003</v>
      </c>
      <c r="L14" s="112">
        <f t="shared" si="1"/>
        <v>17560614.120000001</v>
      </c>
      <c r="M14" s="112">
        <f t="shared" si="2"/>
        <v>23439701.400000002</v>
      </c>
      <c r="N14" s="112">
        <f t="shared" si="5"/>
        <v>703191.04200000002</v>
      </c>
      <c r="O14" s="118">
        <f t="shared" si="6"/>
        <v>24142892.442000002</v>
      </c>
      <c r="P14" s="1"/>
      <c r="Q14" s="1"/>
      <c r="R14" s="1"/>
      <c r="S14" s="1"/>
      <c r="T14" s="1"/>
    </row>
    <row r="15" spans="2:20" s="2" customFormat="1" ht="50.1" customHeight="1" x14ac:dyDescent="0.3">
      <c r="B15" s="5">
        <v>44783</v>
      </c>
      <c r="C15" s="119">
        <v>54</v>
      </c>
      <c r="D15" s="119">
        <f>102+371</f>
        <v>473</v>
      </c>
      <c r="E15" s="108">
        <v>1035.78</v>
      </c>
      <c r="F15" s="113">
        <v>3702</v>
      </c>
      <c r="G15" s="110">
        <v>16626</v>
      </c>
      <c r="H15" s="111">
        <f t="shared" si="0"/>
        <v>20328</v>
      </c>
      <c r="I15" s="112">
        <v>7501</v>
      </c>
      <c r="J15" s="112">
        <f t="shared" si="3"/>
        <v>12827</v>
      </c>
      <c r="K15" s="112">
        <f t="shared" si="4"/>
        <v>5751686.3399999999</v>
      </c>
      <c r="L15" s="112">
        <f t="shared" si="1"/>
        <v>17220878.280000001</v>
      </c>
      <c r="M15" s="112">
        <f t="shared" si="2"/>
        <v>22972564.620000001</v>
      </c>
      <c r="N15" s="112">
        <f t="shared" si="5"/>
        <v>689176.93859999999</v>
      </c>
      <c r="O15" s="118">
        <f t="shared" si="6"/>
        <v>23661741.558600001</v>
      </c>
      <c r="P15" s="1"/>
      <c r="Q15" s="1"/>
      <c r="R15" s="1"/>
      <c r="S15" s="1"/>
      <c r="T15" s="1"/>
    </row>
    <row r="16" spans="2:20" s="2" customFormat="1" ht="50.1" customHeight="1" x14ac:dyDescent="0.3">
      <c r="B16" s="5">
        <v>44784</v>
      </c>
      <c r="C16" s="119">
        <v>60</v>
      </c>
      <c r="D16" s="119">
        <f>103+441</f>
        <v>544</v>
      </c>
      <c r="E16" s="108">
        <v>1035.78</v>
      </c>
      <c r="F16" s="113">
        <v>4640</v>
      </c>
      <c r="G16" s="110">
        <v>17504</v>
      </c>
      <c r="H16" s="111">
        <f t="shared" si="0"/>
        <v>22144</v>
      </c>
      <c r="I16" s="112">
        <v>8646</v>
      </c>
      <c r="J16" s="112">
        <f t="shared" si="3"/>
        <v>13498</v>
      </c>
      <c r="K16" s="112">
        <f t="shared" si="4"/>
        <v>7209028.7999999998</v>
      </c>
      <c r="L16" s="112">
        <f t="shared" si="1"/>
        <v>18130293.120000001</v>
      </c>
      <c r="M16" s="112">
        <f t="shared" si="2"/>
        <v>25339321.920000002</v>
      </c>
      <c r="N16" s="112">
        <f t="shared" si="5"/>
        <v>760179.65760000004</v>
      </c>
      <c r="O16" s="118">
        <f t="shared" si="6"/>
        <v>26099501.577600002</v>
      </c>
      <c r="P16" s="1"/>
      <c r="Q16" s="1"/>
      <c r="R16" s="1"/>
      <c r="S16" s="1"/>
      <c r="T16" s="1"/>
    </row>
    <row r="17" spans="2:20" s="2" customFormat="1" ht="50.1" customHeight="1" x14ac:dyDescent="0.3">
      <c r="B17" s="5">
        <v>44785</v>
      </c>
      <c r="C17" s="119">
        <v>54</v>
      </c>
      <c r="D17" s="119">
        <f>98+336</f>
        <v>434</v>
      </c>
      <c r="E17" s="108">
        <v>1035.78</v>
      </c>
      <c r="F17" s="113">
        <v>3730</v>
      </c>
      <c r="G17" s="110">
        <v>17352</v>
      </c>
      <c r="H17" s="111">
        <f t="shared" si="0"/>
        <v>21082</v>
      </c>
      <c r="I17" s="112">
        <v>7977</v>
      </c>
      <c r="J17" s="112">
        <f t="shared" si="3"/>
        <v>13105</v>
      </c>
      <c r="K17" s="112">
        <f t="shared" si="4"/>
        <v>5795189.0999999996</v>
      </c>
      <c r="L17" s="112">
        <f t="shared" si="1"/>
        <v>17972854.559999999</v>
      </c>
      <c r="M17" s="112">
        <f t="shared" si="2"/>
        <v>23768043.659999996</v>
      </c>
      <c r="N17" s="112">
        <f t="shared" si="5"/>
        <v>713041.30979999981</v>
      </c>
      <c r="O17" s="118">
        <f t="shared" si="6"/>
        <v>24481084.969799995</v>
      </c>
      <c r="P17" s="1"/>
      <c r="Q17" s="1"/>
      <c r="R17" s="1"/>
      <c r="S17" s="1"/>
      <c r="T17" s="1"/>
    </row>
    <row r="18" spans="2:20" s="2" customFormat="1" ht="50.1" customHeight="1" x14ac:dyDescent="0.3">
      <c r="B18" s="5">
        <v>44786</v>
      </c>
      <c r="C18" s="119">
        <v>59</v>
      </c>
      <c r="D18" s="119">
        <f>112+211</f>
        <v>323</v>
      </c>
      <c r="E18" s="108">
        <v>1035.78</v>
      </c>
      <c r="F18" s="113">
        <v>3618</v>
      </c>
      <c r="G18" s="110">
        <v>16416</v>
      </c>
      <c r="H18" s="111">
        <f t="shared" si="0"/>
        <v>20034</v>
      </c>
      <c r="I18" s="112">
        <v>7612</v>
      </c>
      <c r="J18" s="112">
        <f t="shared" si="3"/>
        <v>12422</v>
      </c>
      <c r="K18" s="112">
        <f t="shared" si="4"/>
        <v>5621178.0599999996</v>
      </c>
      <c r="L18" s="112">
        <f t="shared" si="1"/>
        <v>17003364.48</v>
      </c>
      <c r="M18" s="112">
        <f t="shared" si="2"/>
        <v>22624542.539999999</v>
      </c>
      <c r="N18" s="112">
        <f t="shared" si="5"/>
        <v>678736.27619999996</v>
      </c>
      <c r="O18" s="118">
        <f t="shared" si="6"/>
        <v>23303278.816199999</v>
      </c>
      <c r="P18" s="1"/>
      <c r="Q18" s="1"/>
      <c r="R18" s="1"/>
      <c r="S18" s="1"/>
      <c r="T18" s="1"/>
    </row>
    <row r="19" spans="2:20" s="2" customFormat="1" ht="50.1" customHeight="1" x14ac:dyDescent="0.3">
      <c r="B19" s="5">
        <v>44787</v>
      </c>
      <c r="C19" s="119">
        <v>62</v>
      </c>
      <c r="D19" s="119">
        <f>89+334</f>
        <v>423</v>
      </c>
      <c r="E19" s="108">
        <v>1035.78</v>
      </c>
      <c r="F19" s="113">
        <v>3734</v>
      </c>
      <c r="G19" s="110">
        <v>17316</v>
      </c>
      <c r="H19" s="111">
        <f t="shared" si="0"/>
        <v>21050</v>
      </c>
      <c r="I19" s="112">
        <v>7776</v>
      </c>
      <c r="J19" s="112">
        <f t="shared" si="3"/>
        <v>13274</v>
      </c>
      <c r="K19" s="112">
        <f t="shared" si="4"/>
        <v>5801403.7800000003</v>
      </c>
      <c r="L19" s="112">
        <f t="shared" si="1"/>
        <v>17935566.48</v>
      </c>
      <c r="M19" s="112">
        <f t="shared" si="2"/>
        <v>23736970.260000002</v>
      </c>
      <c r="N19" s="112">
        <f t="shared" si="5"/>
        <v>712109.1078</v>
      </c>
      <c r="O19" s="118">
        <f t="shared" si="6"/>
        <v>24449079.367800001</v>
      </c>
      <c r="P19" s="1"/>
      <c r="Q19" s="1"/>
      <c r="R19" s="1"/>
      <c r="S19" s="1"/>
      <c r="T19" s="1"/>
    </row>
    <row r="20" spans="2:20" s="2" customFormat="1" ht="50.1" customHeight="1" x14ac:dyDescent="0.3">
      <c r="B20" s="5">
        <v>44788</v>
      </c>
      <c r="C20" s="119">
        <v>72</v>
      </c>
      <c r="D20" s="119">
        <f>110+388</f>
        <v>498</v>
      </c>
      <c r="E20" s="108">
        <v>1035.78</v>
      </c>
      <c r="F20" s="113">
        <v>3850</v>
      </c>
      <c r="G20" s="110">
        <v>17812</v>
      </c>
      <c r="H20" s="111">
        <f t="shared" si="0"/>
        <v>21662</v>
      </c>
      <c r="I20" s="112">
        <v>7948</v>
      </c>
      <c r="J20" s="112">
        <f t="shared" si="3"/>
        <v>13714</v>
      </c>
      <c r="K20" s="112">
        <f t="shared" si="4"/>
        <v>5981629.5</v>
      </c>
      <c r="L20" s="112">
        <f t="shared" si="1"/>
        <v>18449313.359999999</v>
      </c>
      <c r="M20" s="112">
        <f t="shared" si="2"/>
        <v>24430942.859999999</v>
      </c>
      <c r="N20" s="112">
        <f t="shared" si="5"/>
        <v>732928.28579999995</v>
      </c>
      <c r="O20" s="118">
        <f t="shared" si="6"/>
        <v>25163871.145799998</v>
      </c>
      <c r="P20" s="1"/>
      <c r="Q20" s="1"/>
      <c r="R20" s="1"/>
      <c r="S20" s="1"/>
      <c r="T20" s="1"/>
    </row>
    <row r="21" spans="2:20" s="2" customFormat="1" ht="50.1" customHeight="1" x14ac:dyDescent="0.3">
      <c r="B21" s="5">
        <v>44789</v>
      </c>
      <c r="C21" s="119">
        <v>78</v>
      </c>
      <c r="D21" s="119">
        <f>121+543</f>
        <v>664</v>
      </c>
      <c r="E21" s="108">
        <v>1035.78</v>
      </c>
      <c r="F21" s="113">
        <v>3566</v>
      </c>
      <c r="G21" s="110">
        <v>17316</v>
      </c>
      <c r="H21" s="111">
        <f t="shared" si="0"/>
        <v>20882</v>
      </c>
      <c r="I21" s="112">
        <v>7735</v>
      </c>
      <c r="J21" s="112">
        <f t="shared" si="3"/>
        <v>13147</v>
      </c>
      <c r="K21" s="112">
        <f t="shared" si="4"/>
        <v>5540387.2199999997</v>
      </c>
      <c r="L21" s="112">
        <f t="shared" si="1"/>
        <v>17935566.48</v>
      </c>
      <c r="M21" s="112">
        <f t="shared" si="2"/>
        <v>23475953.699999999</v>
      </c>
      <c r="N21" s="112">
        <f t="shared" si="5"/>
        <v>704278.61099999992</v>
      </c>
      <c r="O21" s="118">
        <f t="shared" si="6"/>
        <v>24180232.311000001</v>
      </c>
      <c r="P21" s="1"/>
      <c r="Q21" s="1"/>
      <c r="R21" s="1"/>
      <c r="S21" s="1"/>
      <c r="T21" s="1"/>
    </row>
    <row r="22" spans="2:20" s="2" customFormat="1" ht="50.1" customHeight="1" x14ac:dyDescent="0.3">
      <c r="B22" s="5">
        <v>44790</v>
      </c>
      <c r="C22" s="119">
        <v>67</v>
      </c>
      <c r="D22" s="119">
        <f>107+470</f>
        <v>577</v>
      </c>
      <c r="E22" s="108">
        <v>1035.78</v>
      </c>
      <c r="F22" s="113">
        <v>3660</v>
      </c>
      <c r="G22" s="110">
        <v>16636</v>
      </c>
      <c r="H22" s="111">
        <f t="shared" si="0"/>
        <v>20296</v>
      </c>
      <c r="I22" s="112">
        <v>7537</v>
      </c>
      <c r="J22" s="112">
        <f t="shared" si="3"/>
        <v>12759</v>
      </c>
      <c r="K22" s="112">
        <f t="shared" si="4"/>
        <v>5686432.2000000002</v>
      </c>
      <c r="L22" s="112">
        <f t="shared" si="1"/>
        <v>17231236.079999998</v>
      </c>
      <c r="M22" s="112">
        <f t="shared" si="2"/>
        <v>22917668.279999997</v>
      </c>
      <c r="N22" s="112">
        <f t="shared" si="5"/>
        <v>687530.04839999985</v>
      </c>
      <c r="O22" s="118">
        <f t="shared" si="6"/>
        <v>23605198.328399997</v>
      </c>
      <c r="P22" s="1"/>
      <c r="Q22" s="1"/>
      <c r="R22" s="1"/>
      <c r="S22" s="1"/>
      <c r="T22" s="1"/>
    </row>
    <row r="23" spans="2:20" s="2" customFormat="1" ht="50.1" customHeight="1" x14ac:dyDescent="0.3">
      <c r="B23" s="5">
        <v>44791</v>
      </c>
      <c r="C23" s="119">
        <v>75</v>
      </c>
      <c r="D23" s="119">
        <f>124+404</f>
        <v>528</v>
      </c>
      <c r="E23" s="108">
        <v>1035.78</v>
      </c>
      <c r="F23" s="113">
        <v>3822</v>
      </c>
      <c r="G23" s="110">
        <v>17044</v>
      </c>
      <c r="H23" s="111">
        <f t="shared" si="0"/>
        <v>20866</v>
      </c>
      <c r="I23" s="112">
        <v>7601</v>
      </c>
      <c r="J23" s="112">
        <f t="shared" si="3"/>
        <v>13265</v>
      </c>
      <c r="K23" s="112">
        <f t="shared" si="4"/>
        <v>5938126.7400000002</v>
      </c>
      <c r="L23" s="112">
        <f t="shared" si="1"/>
        <v>17653834.32</v>
      </c>
      <c r="M23" s="112">
        <f t="shared" si="2"/>
        <v>23591961.060000002</v>
      </c>
      <c r="N23" s="112">
        <f t="shared" si="5"/>
        <v>707758.83180000004</v>
      </c>
      <c r="O23" s="118">
        <f t="shared" si="6"/>
        <v>24299719.891800001</v>
      </c>
      <c r="P23" s="1"/>
      <c r="Q23" s="1"/>
      <c r="R23" s="1"/>
      <c r="S23" s="1"/>
      <c r="T23" s="1"/>
    </row>
    <row r="24" spans="2:20" s="2" customFormat="1" ht="50.1" customHeight="1" x14ac:dyDescent="0.3">
      <c r="B24" s="5">
        <v>44792</v>
      </c>
      <c r="C24" s="119">
        <v>59</v>
      </c>
      <c r="D24" s="119">
        <f>117+382</f>
        <v>499</v>
      </c>
      <c r="E24" s="108">
        <v>1035.78</v>
      </c>
      <c r="F24" s="113">
        <v>3780</v>
      </c>
      <c r="G24" s="110">
        <v>16926</v>
      </c>
      <c r="H24" s="111">
        <f t="shared" si="0"/>
        <v>20706</v>
      </c>
      <c r="I24" s="112">
        <v>7544</v>
      </c>
      <c r="J24" s="112">
        <f t="shared" si="3"/>
        <v>13162</v>
      </c>
      <c r="K24" s="112">
        <f t="shared" si="4"/>
        <v>5872872.5999999996</v>
      </c>
      <c r="L24" s="112">
        <f t="shared" si="1"/>
        <v>17531612.280000001</v>
      </c>
      <c r="M24" s="112">
        <f t="shared" si="2"/>
        <v>23404484.880000003</v>
      </c>
      <c r="N24" s="112">
        <f t="shared" si="5"/>
        <v>702134.54640000011</v>
      </c>
      <c r="O24" s="118">
        <f t="shared" si="6"/>
        <v>24106619.426400002</v>
      </c>
      <c r="P24" s="1"/>
      <c r="Q24" s="1"/>
      <c r="R24" s="1"/>
      <c r="S24" s="1"/>
      <c r="T24" s="1"/>
    </row>
    <row r="25" spans="2:20" s="2" customFormat="1" ht="50.1" customHeight="1" x14ac:dyDescent="0.3">
      <c r="B25" s="5">
        <v>44793</v>
      </c>
      <c r="C25" s="119">
        <v>81</v>
      </c>
      <c r="D25" s="119">
        <f>160+709</f>
        <v>869</v>
      </c>
      <c r="E25" s="108">
        <v>1035.78</v>
      </c>
      <c r="F25" s="113">
        <v>3712</v>
      </c>
      <c r="G25" s="110">
        <v>18534</v>
      </c>
      <c r="H25" s="111">
        <f t="shared" si="0"/>
        <v>22246</v>
      </c>
      <c r="I25" s="112">
        <v>8661</v>
      </c>
      <c r="J25" s="112">
        <f t="shared" si="3"/>
        <v>13585</v>
      </c>
      <c r="K25" s="112">
        <f t="shared" si="4"/>
        <v>5767223.04</v>
      </c>
      <c r="L25" s="112">
        <f t="shared" si="1"/>
        <v>19197146.52</v>
      </c>
      <c r="M25" s="112">
        <f t="shared" si="2"/>
        <v>24964369.559999999</v>
      </c>
      <c r="N25" s="112">
        <f t="shared" si="5"/>
        <v>748931.08679999993</v>
      </c>
      <c r="O25" s="118">
        <f t="shared" si="6"/>
        <v>25713300.6468</v>
      </c>
      <c r="P25" s="1"/>
      <c r="Q25" s="1"/>
      <c r="R25" s="1"/>
      <c r="S25" s="1"/>
      <c r="T25" s="1"/>
    </row>
    <row r="26" spans="2:20" s="2" customFormat="1" ht="50.1" customHeight="1" x14ac:dyDescent="0.3">
      <c r="B26" s="5">
        <v>44794</v>
      </c>
      <c r="C26" s="119">
        <v>62</v>
      </c>
      <c r="D26" s="119">
        <f>102+323</f>
        <v>425</v>
      </c>
      <c r="E26" s="108">
        <v>1035.78</v>
      </c>
      <c r="F26" s="113">
        <v>3512</v>
      </c>
      <c r="G26" s="110">
        <v>16944</v>
      </c>
      <c r="H26" s="111">
        <f t="shared" si="0"/>
        <v>20456</v>
      </c>
      <c r="I26" s="112">
        <v>7632</v>
      </c>
      <c r="J26" s="112">
        <f t="shared" si="3"/>
        <v>12824</v>
      </c>
      <c r="K26" s="112">
        <f t="shared" si="4"/>
        <v>5456489.04</v>
      </c>
      <c r="L26" s="112">
        <f t="shared" si="1"/>
        <v>17550256.32</v>
      </c>
      <c r="M26" s="112">
        <f t="shared" si="2"/>
        <v>23006745.359999999</v>
      </c>
      <c r="N26" s="112">
        <f t="shared" si="5"/>
        <v>690202.36079999991</v>
      </c>
      <c r="O26" s="118">
        <f t="shared" si="6"/>
        <v>23696947.720799997</v>
      </c>
      <c r="P26" s="1"/>
      <c r="Q26" s="1"/>
      <c r="R26" s="1"/>
      <c r="S26" s="1"/>
      <c r="T26" s="1"/>
    </row>
    <row r="27" spans="2:20" s="2" customFormat="1" ht="50.1" customHeight="1" x14ac:dyDescent="0.3">
      <c r="B27" s="5">
        <v>44795</v>
      </c>
      <c r="C27" s="119">
        <v>79</v>
      </c>
      <c r="D27" s="119">
        <f>115+343</f>
        <v>458</v>
      </c>
      <c r="E27" s="108">
        <v>1035.78</v>
      </c>
      <c r="F27" s="113">
        <v>3698</v>
      </c>
      <c r="G27" s="110">
        <v>17468</v>
      </c>
      <c r="H27" s="111">
        <f t="shared" si="0"/>
        <v>21166</v>
      </c>
      <c r="I27" s="112">
        <v>8253</v>
      </c>
      <c r="J27" s="112">
        <f t="shared" si="3"/>
        <v>12913</v>
      </c>
      <c r="K27" s="112">
        <f t="shared" si="4"/>
        <v>5745471.6600000001</v>
      </c>
      <c r="L27" s="112">
        <f t="shared" si="1"/>
        <v>18093005.039999999</v>
      </c>
      <c r="M27" s="112">
        <f t="shared" si="2"/>
        <v>23838476.699999999</v>
      </c>
      <c r="N27" s="112">
        <f t="shared" si="5"/>
        <v>715154.30099999998</v>
      </c>
      <c r="O27" s="118">
        <f t="shared" si="6"/>
        <v>24553631.000999998</v>
      </c>
      <c r="P27" s="1"/>
      <c r="Q27" s="1"/>
      <c r="R27" s="1"/>
      <c r="S27" s="1"/>
      <c r="T27" s="1"/>
    </row>
    <row r="28" spans="2:20" s="2" customFormat="1" ht="50.1" customHeight="1" x14ac:dyDescent="0.3">
      <c r="B28" s="5">
        <v>44796</v>
      </c>
      <c r="C28" s="119">
        <v>98</v>
      </c>
      <c r="D28" s="119">
        <f>141+487</f>
        <v>628</v>
      </c>
      <c r="E28" s="108">
        <v>1035.78</v>
      </c>
      <c r="F28" s="113">
        <v>3622</v>
      </c>
      <c r="G28" s="110">
        <v>16946</v>
      </c>
      <c r="H28" s="111">
        <f t="shared" si="0"/>
        <v>20568</v>
      </c>
      <c r="I28" s="112">
        <v>7690</v>
      </c>
      <c r="J28" s="112">
        <f t="shared" si="3"/>
        <v>12878</v>
      </c>
      <c r="K28" s="112">
        <f t="shared" si="4"/>
        <v>5627392.7400000002</v>
      </c>
      <c r="L28" s="112">
        <f t="shared" si="1"/>
        <v>17552327.879999999</v>
      </c>
      <c r="M28" s="112">
        <f t="shared" si="2"/>
        <v>23179720.619999997</v>
      </c>
      <c r="N28" s="112">
        <f t="shared" si="5"/>
        <v>695391.61859999993</v>
      </c>
      <c r="O28" s="118">
        <f t="shared" si="6"/>
        <v>23875112.238599997</v>
      </c>
      <c r="P28" s="1"/>
      <c r="Q28" s="1"/>
      <c r="R28" s="1"/>
      <c r="S28" s="1"/>
      <c r="T28" s="1"/>
    </row>
    <row r="29" spans="2:20" s="2" customFormat="1" ht="50.1" customHeight="1" x14ac:dyDescent="0.3">
      <c r="B29" s="5">
        <v>44797</v>
      </c>
      <c r="C29" s="119">
        <v>113</v>
      </c>
      <c r="D29" s="119">
        <f>174+795</f>
        <v>969</v>
      </c>
      <c r="E29" s="108">
        <v>1035.78</v>
      </c>
      <c r="F29" s="113">
        <v>4414</v>
      </c>
      <c r="G29" s="110">
        <v>18686</v>
      </c>
      <c r="H29" s="111">
        <f t="shared" si="0"/>
        <v>23100</v>
      </c>
      <c r="I29" s="112">
        <v>9362</v>
      </c>
      <c r="J29" s="112">
        <f t="shared" si="3"/>
        <v>13738</v>
      </c>
      <c r="K29" s="112">
        <f t="shared" si="4"/>
        <v>6857899.3799999999</v>
      </c>
      <c r="L29" s="112">
        <f t="shared" si="1"/>
        <v>19354585.079999998</v>
      </c>
      <c r="M29" s="112">
        <f t="shared" si="2"/>
        <v>26212484.459999997</v>
      </c>
      <c r="N29" s="112">
        <f t="shared" si="5"/>
        <v>786374.53379999986</v>
      </c>
      <c r="O29" s="118">
        <f t="shared" si="6"/>
        <v>26998858.993799996</v>
      </c>
      <c r="P29" s="1"/>
      <c r="Q29" s="1"/>
      <c r="R29" s="1"/>
      <c r="S29" s="1"/>
      <c r="T29" s="1"/>
    </row>
    <row r="30" spans="2:20" s="2" customFormat="1" ht="50.1" customHeight="1" x14ac:dyDescent="0.3">
      <c r="B30" s="5">
        <v>44798</v>
      </c>
      <c r="C30" s="119">
        <v>84</v>
      </c>
      <c r="D30" s="119">
        <f>134+559</f>
        <v>693</v>
      </c>
      <c r="E30" s="108">
        <v>1035.78</v>
      </c>
      <c r="F30" s="113">
        <v>3812</v>
      </c>
      <c r="G30" s="110">
        <v>17620</v>
      </c>
      <c r="H30" s="111">
        <f t="shared" si="0"/>
        <v>21432</v>
      </c>
      <c r="I30" s="112">
        <v>8153</v>
      </c>
      <c r="J30" s="112">
        <f t="shared" si="3"/>
        <v>13279</v>
      </c>
      <c r="K30" s="112">
        <f t="shared" si="4"/>
        <v>5922590.04</v>
      </c>
      <c r="L30" s="112">
        <f t="shared" si="1"/>
        <v>18250443.599999998</v>
      </c>
      <c r="M30" s="112">
        <f t="shared" si="2"/>
        <v>24173033.639999997</v>
      </c>
      <c r="N30" s="112">
        <f t="shared" si="5"/>
        <v>725191.00919999985</v>
      </c>
      <c r="O30" s="118">
        <f t="shared" si="6"/>
        <v>24898224.649199996</v>
      </c>
      <c r="P30" s="1"/>
      <c r="Q30" s="1"/>
      <c r="R30" s="1"/>
      <c r="S30" s="1"/>
      <c r="T30" s="1"/>
    </row>
    <row r="31" spans="2:20" s="2" customFormat="1" ht="50.1" customHeight="1" x14ac:dyDescent="0.3">
      <c r="B31" s="5">
        <v>44799</v>
      </c>
      <c r="C31" s="119">
        <v>82</v>
      </c>
      <c r="D31" s="119">
        <f>140+516</f>
        <v>656</v>
      </c>
      <c r="E31" s="108">
        <v>1035.78</v>
      </c>
      <c r="F31" s="113">
        <v>4266</v>
      </c>
      <c r="G31" s="110">
        <v>19740</v>
      </c>
      <c r="H31" s="111">
        <f t="shared" si="0"/>
        <v>24006</v>
      </c>
      <c r="I31" s="112">
        <v>9868</v>
      </c>
      <c r="J31" s="112">
        <f t="shared" si="3"/>
        <v>14138</v>
      </c>
      <c r="K31" s="112">
        <f t="shared" ref="K31:K33" si="7">F31*1.5*E31</f>
        <v>6627956.2199999997</v>
      </c>
      <c r="L31" s="112">
        <f t="shared" ref="L31:L33" si="8">G31*E31</f>
        <v>20446297.199999999</v>
      </c>
      <c r="M31" s="112">
        <f t="shared" ref="M31:M33" si="9">L31+K31</f>
        <v>27074253.419999998</v>
      </c>
      <c r="N31" s="112">
        <f t="shared" ref="N31:N33" si="10">M31*0.03</f>
        <v>812227.60259999987</v>
      </c>
      <c r="O31" s="118">
        <f t="shared" ref="O31:O33" si="11">M31+N31</f>
        <v>27886481.022599999</v>
      </c>
      <c r="P31" s="1"/>
      <c r="Q31" s="1"/>
      <c r="R31" s="1"/>
      <c r="S31" s="1"/>
      <c r="T31" s="1"/>
    </row>
    <row r="32" spans="2:20" s="2" customFormat="1" ht="50.1" customHeight="1" x14ac:dyDescent="0.3">
      <c r="B32" s="5">
        <v>44800</v>
      </c>
      <c r="C32" s="119">
        <v>93</v>
      </c>
      <c r="D32" s="119">
        <f>173+563</f>
        <v>736</v>
      </c>
      <c r="E32" s="108">
        <v>1035.78</v>
      </c>
      <c r="F32" s="113">
        <v>4484</v>
      </c>
      <c r="G32" s="110">
        <v>20134</v>
      </c>
      <c r="H32" s="111">
        <f t="shared" si="0"/>
        <v>24618</v>
      </c>
      <c r="I32" s="112">
        <v>10509</v>
      </c>
      <c r="J32" s="112">
        <f t="shared" si="3"/>
        <v>14109</v>
      </c>
      <c r="K32" s="112">
        <f t="shared" si="7"/>
        <v>6966656.2800000003</v>
      </c>
      <c r="L32" s="112">
        <f t="shared" si="8"/>
        <v>20854394.52</v>
      </c>
      <c r="M32" s="112">
        <f t="shared" si="9"/>
        <v>27821050.800000001</v>
      </c>
      <c r="N32" s="112">
        <f t="shared" si="10"/>
        <v>834631.52399999998</v>
      </c>
      <c r="O32" s="118">
        <f t="shared" si="11"/>
        <v>28655682.324000001</v>
      </c>
      <c r="P32" s="1"/>
      <c r="Q32" s="1"/>
      <c r="R32" s="1"/>
      <c r="S32" s="1"/>
      <c r="T32" s="1"/>
    </row>
    <row r="33" spans="2:20" s="2" customFormat="1" ht="50.1" customHeight="1" x14ac:dyDescent="0.3">
      <c r="B33" s="5">
        <v>44801</v>
      </c>
      <c r="C33" s="119">
        <v>68</v>
      </c>
      <c r="D33" s="119">
        <f>101+333</f>
        <v>434</v>
      </c>
      <c r="E33" s="108">
        <v>1035.78</v>
      </c>
      <c r="F33" s="113">
        <v>3638</v>
      </c>
      <c r="G33" s="110">
        <v>17630</v>
      </c>
      <c r="H33" s="111">
        <f t="shared" si="0"/>
        <v>21268</v>
      </c>
      <c r="I33" s="112">
        <v>8002</v>
      </c>
      <c r="J33" s="112">
        <f t="shared" si="3"/>
        <v>13266</v>
      </c>
      <c r="K33" s="112">
        <f t="shared" si="7"/>
        <v>5652251.46</v>
      </c>
      <c r="L33" s="112">
        <f t="shared" si="8"/>
        <v>18260801.399999999</v>
      </c>
      <c r="M33" s="112">
        <f t="shared" si="9"/>
        <v>23913052.859999999</v>
      </c>
      <c r="N33" s="112">
        <f t="shared" si="10"/>
        <v>717391.5858</v>
      </c>
      <c r="O33" s="118">
        <f t="shared" si="11"/>
        <v>24630444.445799999</v>
      </c>
      <c r="P33" s="1"/>
      <c r="Q33" s="1"/>
      <c r="R33" s="1"/>
      <c r="S33" s="1"/>
      <c r="T33" s="1"/>
    </row>
    <row r="34" spans="2:20" s="2" customFormat="1" ht="50.1" customHeight="1" x14ac:dyDescent="0.3">
      <c r="B34" s="5">
        <v>44802</v>
      </c>
      <c r="C34" s="119">
        <v>86</v>
      </c>
      <c r="D34" s="119">
        <f>132+364</f>
        <v>496</v>
      </c>
      <c r="E34" s="108">
        <v>1035.78</v>
      </c>
      <c r="F34" s="113">
        <v>3924</v>
      </c>
      <c r="G34" s="110">
        <v>18038</v>
      </c>
      <c r="H34" s="111">
        <f t="shared" si="0"/>
        <v>21962</v>
      </c>
      <c r="I34" s="112">
        <v>8173</v>
      </c>
      <c r="J34" s="112">
        <f t="shared" ref="J34:J36" si="12">+H34-I34</f>
        <v>13789</v>
      </c>
      <c r="K34" s="112">
        <f t="shared" ref="K34:K36" si="13">F34*1.5*E34</f>
        <v>6096601.0800000001</v>
      </c>
      <c r="L34" s="112">
        <f t="shared" ref="L34:L36" si="14">G34*E34</f>
        <v>18683399.640000001</v>
      </c>
      <c r="M34" s="112">
        <f t="shared" ref="M34:M36" si="15">L34+K34</f>
        <v>24780000.719999999</v>
      </c>
      <c r="N34" s="112">
        <f t="shared" ref="N34:N36" si="16">M34*0.03</f>
        <v>743400.02159999998</v>
      </c>
      <c r="O34" s="118">
        <f t="shared" ref="O34:O36" si="17">M34+N34</f>
        <v>25523400.741599999</v>
      </c>
      <c r="P34" s="1"/>
      <c r="Q34" s="1"/>
      <c r="R34" s="1"/>
      <c r="S34" s="1"/>
      <c r="T34" s="1"/>
    </row>
    <row r="35" spans="2:20" s="2" customFormat="1" ht="50.1" customHeight="1" x14ac:dyDescent="0.3">
      <c r="B35" s="5">
        <v>44803</v>
      </c>
      <c r="C35" s="119">
        <v>92</v>
      </c>
      <c r="D35" s="119">
        <f>130+462</f>
        <v>592</v>
      </c>
      <c r="E35" s="108">
        <v>1035.78</v>
      </c>
      <c r="F35" s="113">
        <v>3820</v>
      </c>
      <c r="G35" s="110">
        <v>17964</v>
      </c>
      <c r="H35" s="111">
        <f t="shared" si="0"/>
        <v>21784</v>
      </c>
      <c r="I35" s="112">
        <v>8012</v>
      </c>
      <c r="J35" s="112">
        <f t="shared" si="12"/>
        <v>13772</v>
      </c>
      <c r="K35" s="112">
        <f t="shared" si="13"/>
        <v>5935019.3999999994</v>
      </c>
      <c r="L35" s="112">
        <f t="shared" si="14"/>
        <v>18606751.919999998</v>
      </c>
      <c r="M35" s="112">
        <f t="shared" si="15"/>
        <v>24541771.319999997</v>
      </c>
      <c r="N35" s="112">
        <f t="shared" si="16"/>
        <v>736253.13959999988</v>
      </c>
      <c r="O35" s="118">
        <f t="shared" si="17"/>
        <v>25278024.459599998</v>
      </c>
      <c r="P35" s="1"/>
      <c r="Q35" s="1"/>
      <c r="R35" s="1"/>
      <c r="S35" s="1"/>
      <c r="T35" s="1"/>
    </row>
    <row r="36" spans="2:20" s="2" customFormat="1" ht="50.1" customHeight="1" x14ac:dyDescent="0.3">
      <c r="B36" s="5">
        <v>44804</v>
      </c>
      <c r="C36" s="119">
        <v>92</v>
      </c>
      <c r="D36" s="119">
        <f>124+580</f>
        <v>704</v>
      </c>
      <c r="E36" s="108">
        <v>1035.78</v>
      </c>
      <c r="F36" s="113">
        <v>3716</v>
      </c>
      <c r="G36" s="110">
        <v>17890</v>
      </c>
      <c r="H36" s="111">
        <f t="shared" si="0"/>
        <v>21606</v>
      </c>
      <c r="I36" s="112">
        <v>8151</v>
      </c>
      <c r="J36" s="112">
        <f t="shared" si="12"/>
        <v>13455</v>
      </c>
      <c r="K36" s="112">
        <f t="shared" si="13"/>
        <v>5773437.7199999997</v>
      </c>
      <c r="L36" s="112">
        <f t="shared" si="14"/>
        <v>18530104.199999999</v>
      </c>
      <c r="M36" s="112">
        <f t="shared" si="15"/>
        <v>24303541.919999998</v>
      </c>
      <c r="N36" s="112">
        <f t="shared" si="16"/>
        <v>729106.2575999999</v>
      </c>
      <c r="O36" s="118">
        <f t="shared" si="17"/>
        <v>25032648.177599996</v>
      </c>
      <c r="P36" s="1"/>
      <c r="Q36" s="1"/>
      <c r="R36" s="1"/>
      <c r="S36" s="1"/>
      <c r="T36" s="1"/>
    </row>
    <row r="37" spans="2:20" s="1" customFormat="1" x14ac:dyDescent="0.3">
      <c r="B37" s="10"/>
      <c r="C37" s="13">
        <f t="shared" ref="C37:D37" si="18">SUM(C6:C36)</f>
        <v>2269</v>
      </c>
      <c r="D37" s="13">
        <f t="shared" si="18"/>
        <v>17533</v>
      </c>
      <c r="E37" s="146" t="s">
        <v>2</v>
      </c>
      <c r="F37" s="147">
        <f t="shared" ref="F37:O37" si="19">SUM(F5:F36)</f>
        <v>119928</v>
      </c>
      <c r="G37" s="147">
        <f t="shared" si="19"/>
        <v>548792</v>
      </c>
      <c r="H37" s="147">
        <f t="shared" si="19"/>
        <v>668720</v>
      </c>
      <c r="I37" s="147">
        <f t="shared" si="19"/>
        <v>254191</v>
      </c>
      <c r="J37" s="147">
        <f t="shared" si="19"/>
        <v>414529</v>
      </c>
      <c r="K37" s="147">
        <f t="shared" si="19"/>
        <v>186328535.76000002</v>
      </c>
      <c r="L37" s="147">
        <f t="shared" si="19"/>
        <v>568427777.75999987</v>
      </c>
      <c r="M37" s="147">
        <f t="shared" si="19"/>
        <v>754756313.51999986</v>
      </c>
      <c r="N37" s="147">
        <f t="shared" si="19"/>
        <v>22642689.405599996</v>
      </c>
      <c r="O37" s="147">
        <f t="shared" si="19"/>
        <v>777399002.92560005</v>
      </c>
    </row>
    <row r="38" spans="2:20" s="1" customFormat="1" x14ac:dyDescent="0.3">
      <c r="B38" s="10"/>
      <c r="C38" s="10"/>
      <c r="D38" s="10"/>
      <c r="E38" s="11"/>
      <c r="F38" s="64"/>
      <c r="G38" s="64"/>
      <c r="H38" s="65"/>
      <c r="I38" s="65"/>
      <c r="J38" s="65"/>
      <c r="K38" s="13"/>
      <c r="M38" s="14"/>
      <c r="N38" s="41"/>
      <c r="O38" s="8"/>
    </row>
    <row r="39" spans="2:20" s="1" customFormat="1" x14ac:dyDescent="0.3">
      <c r="B39" s="10"/>
      <c r="C39" s="10"/>
      <c r="D39" s="10"/>
      <c r="E39" s="15"/>
      <c r="F39" s="64"/>
      <c r="G39" s="66"/>
      <c r="H39" s="65"/>
      <c r="I39" s="65"/>
      <c r="J39" s="65"/>
      <c r="K39" s="12"/>
      <c r="L39" s="16"/>
      <c r="M39" s="17"/>
      <c r="N39" s="41"/>
      <c r="O39" s="9"/>
      <c r="Q39" s="10"/>
    </row>
    <row r="40" spans="2:20" s="1" customFormat="1" x14ac:dyDescent="0.3">
      <c r="B40" s="10"/>
      <c r="C40" s="10"/>
      <c r="D40" s="10"/>
      <c r="F40" s="64"/>
      <c r="G40" s="67"/>
      <c r="H40" s="65"/>
      <c r="I40" s="65"/>
      <c r="J40" s="65"/>
      <c r="K40" s="13"/>
      <c r="M40" s="18"/>
      <c r="N40" s="10"/>
      <c r="O40" s="19"/>
      <c r="Q40" s="10"/>
    </row>
    <row r="41" spans="2:20" s="1" customFormat="1" x14ac:dyDescent="0.3">
      <c r="B41" s="10"/>
      <c r="C41" s="10"/>
      <c r="D41" s="10"/>
      <c r="E41" s="10"/>
      <c r="F41" s="64"/>
      <c r="G41" s="66"/>
      <c r="H41" s="65"/>
      <c r="I41" s="65"/>
      <c r="J41" s="65"/>
      <c r="K41" s="13"/>
      <c r="M41" s="44"/>
      <c r="N41" s="145"/>
      <c r="O41" s="7"/>
      <c r="Q41" s="10"/>
    </row>
    <row r="42" spans="2:20" s="1" customFormat="1" x14ac:dyDescent="0.3">
      <c r="B42" s="10"/>
      <c r="C42" s="10"/>
      <c r="D42" s="10"/>
      <c r="E42" s="10"/>
      <c r="F42" s="64"/>
      <c r="G42" s="66"/>
      <c r="H42" s="65"/>
      <c r="I42" s="65"/>
      <c r="J42" s="65"/>
      <c r="K42" s="13"/>
      <c r="M42" s="46"/>
      <c r="N42" s="145"/>
      <c r="O42" s="7"/>
      <c r="Q42" s="10"/>
    </row>
    <row r="43" spans="2:20" s="1" customFormat="1" x14ac:dyDescent="0.3">
      <c r="B43" s="10"/>
      <c r="C43" s="10"/>
      <c r="D43" s="10"/>
      <c r="E43" s="20"/>
      <c r="F43" s="64"/>
      <c r="G43" s="64"/>
      <c r="H43" s="65"/>
      <c r="I43" s="65"/>
      <c r="J43" s="65"/>
      <c r="K43" s="13"/>
      <c r="M43" s="21"/>
      <c r="N43" s="41"/>
      <c r="O43" s="7"/>
      <c r="Q43" s="10"/>
    </row>
    <row r="44" spans="2:20" s="1" customFormat="1" x14ac:dyDescent="0.3">
      <c r="B44" s="10"/>
      <c r="C44" s="10"/>
      <c r="D44" s="10"/>
      <c r="F44" s="65"/>
      <c r="G44" s="65"/>
      <c r="H44" s="65"/>
      <c r="I44" s="65"/>
      <c r="J44" s="65"/>
      <c r="M44" s="42"/>
      <c r="N44" s="145"/>
      <c r="O44" s="19"/>
      <c r="Q44" s="10"/>
    </row>
    <row r="45" spans="2:20" s="1" customFormat="1" x14ac:dyDescent="0.3">
      <c r="B45" s="10"/>
      <c r="C45" s="10"/>
      <c r="D45" s="10"/>
      <c r="E45" s="15"/>
      <c r="F45" s="68"/>
      <c r="G45" s="68"/>
      <c r="H45" s="69" t="s">
        <v>9</v>
      </c>
      <c r="I45" s="69"/>
      <c r="J45" s="69"/>
      <c r="K45" s="13"/>
      <c r="M45" s="18"/>
      <c r="N45" s="10"/>
      <c r="P45" s="22"/>
      <c r="Q45" s="10"/>
    </row>
    <row r="46" spans="2:20" s="1" customFormat="1" ht="21" x14ac:dyDescent="0.3">
      <c r="B46" s="10"/>
      <c r="C46" s="10"/>
      <c r="D46" s="10"/>
      <c r="E46" s="10"/>
      <c r="F46" s="65"/>
      <c r="G46" s="65"/>
      <c r="H46" s="70"/>
      <c r="I46" s="70"/>
      <c r="J46" s="70"/>
      <c r="K46" s="10"/>
      <c r="M46" s="43"/>
      <c r="N46" s="10"/>
      <c r="O46" s="23"/>
      <c r="Q46" s="10"/>
    </row>
    <row r="47" spans="2:20" s="1" customFormat="1" x14ac:dyDescent="0.3">
      <c r="E47" s="24"/>
      <c r="F47" s="71"/>
      <c r="G47" s="65"/>
      <c r="H47" s="63"/>
      <c r="I47" s="63"/>
      <c r="J47" s="63"/>
      <c r="P47" s="45"/>
      <c r="Q47" s="10"/>
    </row>
    <row r="48" spans="2:20" s="1" customFormat="1" x14ac:dyDescent="0.3">
      <c r="F48" s="65"/>
      <c r="G48" s="65"/>
      <c r="H48" s="63"/>
      <c r="I48" s="63"/>
      <c r="J48" s="63"/>
      <c r="O48" s="25"/>
    </row>
    <row r="49" spans="2:15" s="1" customFormat="1" x14ac:dyDescent="0.3">
      <c r="F49" s="65"/>
      <c r="G49" s="65"/>
      <c r="H49" s="72"/>
      <c r="I49" s="72"/>
      <c r="J49" s="72"/>
      <c r="O49" s="25"/>
    </row>
    <row r="50" spans="2:15" s="1" customFormat="1" x14ac:dyDescent="0.3">
      <c r="B50" s="26"/>
      <c r="C50" s="26"/>
      <c r="D50" s="26"/>
      <c r="E50" s="26"/>
      <c r="F50" s="73"/>
      <c r="G50" s="73"/>
      <c r="H50" s="74"/>
      <c r="I50" s="74"/>
      <c r="J50" s="74"/>
      <c r="K50" s="26"/>
      <c r="L50" s="26"/>
      <c r="M50" s="26"/>
      <c r="N50" s="26"/>
      <c r="O50" s="27"/>
    </row>
    <row r="51" spans="2:15" s="26" customFormat="1" x14ac:dyDescent="0.3">
      <c r="F51" s="73"/>
      <c r="G51" s="73"/>
      <c r="H51" s="75"/>
      <c r="I51" s="75"/>
      <c r="J51" s="75"/>
    </row>
    <row r="52" spans="2:15" s="26" customFormat="1" x14ac:dyDescent="0.3">
      <c r="F52" s="73"/>
      <c r="G52" s="73"/>
      <c r="H52" s="73"/>
      <c r="I52" s="73"/>
      <c r="J52" s="73"/>
    </row>
    <row r="53" spans="2:15" s="26" customFormat="1" x14ac:dyDescent="0.3">
      <c r="F53" s="73"/>
      <c r="G53" s="73"/>
      <c r="H53" s="75"/>
      <c r="I53" s="75"/>
      <c r="J53" s="75"/>
    </row>
    <row r="54" spans="2:15" s="26" customFormat="1" x14ac:dyDescent="0.3">
      <c r="F54" s="73"/>
      <c r="G54" s="73"/>
      <c r="H54" s="73"/>
      <c r="I54" s="73"/>
      <c r="J54" s="73"/>
    </row>
    <row r="55" spans="2:15" s="26" customFormat="1" x14ac:dyDescent="0.3">
      <c r="B55" s="28"/>
      <c r="C55" s="28"/>
      <c r="D55" s="28"/>
      <c r="E55" s="28"/>
      <c r="F55" s="76"/>
      <c r="G55" s="76"/>
      <c r="H55" s="76"/>
      <c r="I55" s="76"/>
      <c r="J55" s="76"/>
      <c r="K55" s="28"/>
      <c r="L55" s="28"/>
      <c r="M55" s="28"/>
      <c r="N55" s="28"/>
      <c r="O55" s="28"/>
    </row>
  </sheetData>
  <mergeCells count="8">
    <mergeCell ref="N3:N4"/>
    <mergeCell ref="O3:O4"/>
    <mergeCell ref="B1:E1"/>
    <mergeCell ref="B2:B4"/>
    <mergeCell ref="E2:E4"/>
    <mergeCell ref="F2:O2"/>
    <mergeCell ref="I3:J3"/>
    <mergeCell ref="K3:M3"/>
  </mergeCells>
  <conditionalFormatting sqref="H7:H36">
    <cfRule type="cellIs" dxfId="7" priority="116" operator="greaterThan">
      <formula>$H$47</formula>
    </cfRule>
  </conditionalFormatting>
  <conditionalFormatting sqref="H6:H36">
    <cfRule type="cellIs" dxfId="6" priority="115" operator="greaterThan">
      <formula>$H$47</formula>
    </cfRule>
  </conditionalFormatting>
  <conditionalFormatting sqref="F6:F29">
    <cfRule type="cellIs" dxfId="5" priority="6" operator="greaterThan">
      <formula>$D$47</formula>
    </cfRule>
  </conditionalFormatting>
  <conditionalFormatting sqref="G6:G29">
    <cfRule type="cellIs" dxfId="4" priority="5" operator="greaterThan">
      <formula>$E$47</formula>
    </cfRule>
  </conditionalFormatting>
  <conditionalFormatting sqref="F30:F36">
    <cfRule type="cellIs" dxfId="3" priority="4" operator="greaterThan">
      <formula>$D$47</formula>
    </cfRule>
  </conditionalFormatting>
  <conditionalFormatting sqref="G30:G36">
    <cfRule type="cellIs" dxfId="2" priority="3" operator="greaterThan">
      <formula>$E$47</formula>
    </cfRule>
  </conditionalFormatting>
  <conditionalFormatting sqref="I6:I28">
    <cfRule type="cellIs" dxfId="1" priority="2" operator="greaterThan">
      <formula>$G$47</formula>
    </cfRule>
  </conditionalFormatting>
  <conditionalFormatting sqref="I29:I36">
    <cfRule type="cellIs" dxfId="0" priority="1" operator="greaterThan">
      <formula>$G$47</formula>
    </cfRule>
  </conditionalFormatting>
  <pageMargins left="0.23622047244094491" right="0.23622047244094491" top="0.74803149606299213" bottom="0.74803149606299213" header="0.31496062992125984" footer="0.31496062992125984"/>
  <pageSetup paperSize="8" scale="38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7"/>
  <sheetViews>
    <sheetView zoomScale="90" zoomScaleNormal="90" workbookViewId="0">
      <selection activeCell="F29" sqref="F29"/>
    </sheetView>
  </sheetViews>
  <sheetFormatPr defaultColWidth="9.109375" defaultRowHeight="14.4" x14ac:dyDescent="0.3"/>
  <cols>
    <col min="1" max="2" width="9.109375" style="32"/>
    <col min="3" max="3" width="29" style="32" customWidth="1"/>
    <col min="4" max="7" width="33.109375" style="122" customWidth="1"/>
    <col min="8" max="8" width="13.44140625" style="32" bestFit="1" customWidth="1"/>
    <col min="9" max="9" width="11.5546875" style="32" bestFit="1" customWidth="1"/>
    <col min="10" max="43" width="9.109375" style="32"/>
    <col min="44" max="16384" width="9.109375" style="130"/>
  </cols>
  <sheetData>
    <row r="1" spans="1:43" ht="15" customHeight="1" x14ac:dyDescent="0.3">
      <c r="B1" s="166" t="s">
        <v>4</v>
      </c>
      <c r="C1" s="166"/>
      <c r="D1" s="166"/>
      <c r="E1" s="166"/>
      <c r="F1" s="166"/>
      <c r="G1" s="166"/>
    </row>
    <row r="2" spans="1:43" ht="15" customHeight="1" x14ac:dyDescent="0.3">
      <c r="B2" s="166"/>
      <c r="C2" s="166"/>
      <c r="D2" s="166"/>
      <c r="E2" s="166"/>
      <c r="F2" s="166"/>
      <c r="G2" s="166"/>
    </row>
    <row r="3" spans="1:43" s="133" customFormat="1" ht="27" customHeight="1" x14ac:dyDescent="0.35">
      <c r="A3" s="131"/>
      <c r="B3" s="167" t="s">
        <v>0</v>
      </c>
      <c r="C3" s="132" t="s">
        <v>32</v>
      </c>
      <c r="D3" s="168" t="s">
        <v>34</v>
      </c>
      <c r="E3" s="168"/>
      <c r="F3" s="168"/>
      <c r="G3" s="168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1"/>
      <c r="AK3" s="131"/>
      <c r="AL3" s="131"/>
      <c r="AM3" s="131"/>
      <c r="AN3" s="131"/>
      <c r="AO3" s="131"/>
      <c r="AP3" s="131"/>
      <c r="AQ3" s="131"/>
    </row>
    <row r="4" spans="1:43" s="133" customFormat="1" ht="27" customHeight="1" x14ac:dyDescent="0.35">
      <c r="A4" s="131"/>
      <c r="B4" s="167"/>
      <c r="C4" s="132" t="s">
        <v>33</v>
      </c>
      <c r="D4" s="132" t="s">
        <v>31</v>
      </c>
      <c r="E4" s="134" t="s">
        <v>8</v>
      </c>
      <c r="F4" s="132" t="s">
        <v>42</v>
      </c>
      <c r="G4" s="132" t="s">
        <v>5</v>
      </c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1"/>
      <c r="AQ4" s="131"/>
    </row>
    <row r="5" spans="1:43" ht="15.6" x14ac:dyDescent="0.3">
      <c r="B5" s="30">
        <v>44774</v>
      </c>
      <c r="C5" s="104">
        <v>159.59999999999565</v>
      </c>
      <c r="D5" s="105">
        <v>16.5</v>
      </c>
      <c r="E5" s="106">
        <v>129.79999999999563</v>
      </c>
      <c r="F5" s="106">
        <v>13.3</v>
      </c>
      <c r="G5" s="106">
        <v>66.5</v>
      </c>
    </row>
    <row r="6" spans="1:43" ht="15.6" x14ac:dyDescent="0.3">
      <c r="B6" s="30">
        <v>44775</v>
      </c>
      <c r="C6" s="104">
        <v>134.14000000001252</v>
      </c>
      <c r="D6" s="105">
        <v>31.19999999999709</v>
      </c>
      <c r="E6" s="106">
        <v>88.100000000013097</v>
      </c>
      <c r="F6" s="106">
        <v>14.840000000002329</v>
      </c>
      <c r="G6" s="106">
        <v>74.200000000011642</v>
      </c>
    </row>
    <row r="7" spans="1:43" ht="15.6" x14ac:dyDescent="0.3">
      <c r="B7" s="30">
        <v>44776</v>
      </c>
      <c r="C7" s="104">
        <v>142.27999999998718</v>
      </c>
      <c r="D7" s="105">
        <v>30.19999999999709</v>
      </c>
      <c r="E7" s="106">
        <v>98.099999999991269</v>
      </c>
      <c r="F7" s="106">
        <v>13.979999999998837</v>
      </c>
      <c r="G7" s="106">
        <v>69.899999999994179</v>
      </c>
    </row>
    <row r="8" spans="1:43" ht="15.6" x14ac:dyDescent="0.3">
      <c r="B8" s="30">
        <v>44777</v>
      </c>
      <c r="C8" s="104">
        <v>157.9600000000035</v>
      </c>
      <c r="D8" s="105">
        <v>40.400000000008731</v>
      </c>
      <c r="E8" s="106">
        <v>104.69999999999709</v>
      </c>
      <c r="F8" s="106">
        <v>12.859999999997672</v>
      </c>
      <c r="G8" s="106">
        <v>64.299999999988358</v>
      </c>
    </row>
    <row r="9" spans="1:43" ht="15.6" x14ac:dyDescent="0.3">
      <c r="B9" s="30">
        <v>44778</v>
      </c>
      <c r="C9" s="104">
        <v>118.19999999999854</v>
      </c>
      <c r="D9" s="105">
        <v>25.599999999991269</v>
      </c>
      <c r="E9" s="106">
        <v>83.000000000007276</v>
      </c>
      <c r="F9" s="106">
        <v>9.6000000000000014</v>
      </c>
      <c r="G9" s="106">
        <v>48</v>
      </c>
    </row>
    <row r="10" spans="1:43" ht="15.6" x14ac:dyDescent="0.3">
      <c r="B10" s="30">
        <v>44779</v>
      </c>
      <c r="C10" s="104">
        <v>170.14000000000959</v>
      </c>
      <c r="D10" s="105">
        <v>43.700000000011642</v>
      </c>
      <c r="E10" s="106">
        <v>111.29999999999563</v>
      </c>
      <c r="F10" s="106">
        <v>15.140000000002329</v>
      </c>
      <c r="G10" s="106">
        <v>75.700000000011642</v>
      </c>
    </row>
    <row r="11" spans="1:43" ht="15.6" x14ac:dyDescent="0.3">
      <c r="B11" s="30">
        <v>44780</v>
      </c>
      <c r="C11" s="104">
        <v>145.51999999998807</v>
      </c>
      <c r="D11" s="105">
        <v>46.799999999988358</v>
      </c>
      <c r="E11" s="106">
        <v>86.599999999998545</v>
      </c>
      <c r="F11" s="106">
        <v>12.120000000001165</v>
      </c>
      <c r="G11" s="106">
        <v>60.600000000005821</v>
      </c>
    </row>
    <row r="12" spans="1:43" ht="15.6" x14ac:dyDescent="0.3">
      <c r="B12" s="30">
        <v>44781</v>
      </c>
      <c r="C12" s="104">
        <v>154.4199999999997</v>
      </c>
      <c r="D12" s="105">
        <v>48.80000000000291</v>
      </c>
      <c r="E12" s="106">
        <v>95.900000000001455</v>
      </c>
      <c r="F12" s="106">
        <v>9.7199999999953448</v>
      </c>
      <c r="G12" s="106">
        <v>48.599999999976717</v>
      </c>
    </row>
    <row r="13" spans="1:43" ht="15.6" x14ac:dyDescent="0.3">
      <c r="B13" s="30">
        <v>44782</v>
      </c>
      <c r="C13" s="104">
        <v>120.28000000002066</v>
      </c>
      <c r="D13" s="105">
        <v>10.600000000005821</v>
      </c>
      <c r="E13" s="106">
        <v>90.800000000010186</v>
      </c>
      <c r="F13" s="106">
        <v>18.880000000004657</v>
      </c>
      <c r="G13" s="106">
        <v>94.400000000023283</v>
      </c>
    </row>
    <row r="14" spans="1:43" ht="15.6" x14ac:dyDescent="0.3">
      <c r="B14" s="30">
        <v>44783</v>
      </c>
      <c r="C14" s="104">
        <v>115.29999999997963</v>
      </c>
      <c r="D14" s="105">
        <v>13.599999999991269</v>
      </c>
      <c r="E14" s="106">
        <v>88.799999999988358</v>
      </c>
      <c r="F14" s="106">
        <v>12.9</v>
      </c>
      <c r="G14" s="106">
        <v>64.5</v>
      </c>
    </row>
    <row r="15" spans="1:43" ht="15.6" x14ac:dyDescent="0.3">
      <c r="B15" s="30">
        <v>44784</v>
      </c>
      <c r="C15" s="104">
        <v>135.14000000001687</v>
      </c>
      <c r="D15" s="105">
        <v>34.900000000008731</v>
      </c>
      <c r="E15" s="106">
        <v>86.200000000011642</v>
      </c>
      <c r="F15" s="106">
        <v>14.039999999996509</v>
      </c>
      <c r="G15" s="106">
        <v>70.199999999982538</v>
      </c>
    </row>
    <row r="16" spans="1:43" ht="15.6" x14ac:dyDescent="0.3">
      <c r="B16" s="30">
        <v>44785</v>
      </c>
      <c r="C16" s="104">
        <v>113.63999999999942</v>
      </c>
      <c r="D16" s="105">
        <v>23.19999999999709</v>
      </c>
      <c r="E16" s="106">
        <v>80</v>
      </c>
      <c r="F16" s="106">
        <v>10.440000000002328</v>
      </c>
      <c r="G16" s="106">
        <v>52.200000000011642</v>
      </c>
    </row>
    <row r="17" spans="2:7" ht="15.6" x14ac:dyDescent="0.3">
      <c r="B17" s="30">
        <v>44786</v>
      </c>
      <c r="C17" s="104">
        <v>177.33999999998633</v>
      </c>
      <c r="D17" s="105">
        <v>27.19999999999709</v>
      </c>
      <c r="E17" s="106">
        <v>138.49999999999272</v>
      </c>
      <c r="F17" s="106">
        <v>11.639999999996508</v>
      </c>
      <c r="G17" s="106">
        <v>58.199999999982538</v>
      </c>
    </row>
    <row r="18" spans="2:7" ht="15.6" x14ac:dyDescent="0.3">
      <c r="B18" s="30">
        <v>44787</v>
      </c>
      <c r="C18" s="104">
        <v>196.32000000000409</v>
      </c>
      <c r="D18" s="105">
        <v>35.600000000005821</v>
      </c>
      <c r="E18" s="106">
        <v>147.19999999999709</v>
      </c>
      <c r="F18" s="106">
        <v>13.520000000001165</v>
      </c>
      <c r="G18" s="106">
        <v>67.600000000005821</v>
      </c>
    </row>
    <row r="19" spans="2:7" ht="15.6" x14ac:dyDescent="0.3">
      <c r="B19" s="30">
        <v>44788</v>
      </c>
      <c r="C19" s="104">
        <v>119.90000000001018</v>
      </c>
      <c r="D19" s="105">
        <v>32.80000000000291</v>
      </c>
      <c r="E19" s="106">
        <v>74.500000000007276</v>
      </c>
      <c r="F19" s="106">
        <v>12.600000000000001</v>
      </c>
      <c r="G19" s="106">
        <v>63</v>
      </c>
    </row>
    <row r="20" spans="2:7" ht="15.6" x14ac:dyDescent="0.3">
      <c r="B20" s="30">
        <v>44789</v>
      </c>
      <c r="C20" s="104">
        <v>157.8999999999869</v>
      </c>
      <c r="D20" s="105">
        <v>13.099999999991269</v>
      </c>
      <c r="E20" s="106">
        <v>130.29999999999563</v>
      </c>
      <c r="F20" s="106">
        <v>14.5</v>
      </c>
      <c r="G20" s="106">
        <v>72.5</v>
      </c>
    </row>
    <row r="21" spans="2:7" ht="15.6" x14ac:dyDescent="0.3">
      <c r="B21" s="30">
        <v>44790</v>
      </c>
      <c r="C21" s="104">
        <v>175.94000000000378</v>
      </c>
      <c r="D21" s="105">
        <v>52.30000000000291</v>
      </c>
      <c r="E21" s="106">
        <v>110.59999999999854</v>
      </c>
      <c r="F21" s="106">
        <v>13.04000000000233</v>
      </c>
      <c r="G21" s="106">
        <v>65.200000000011642</v>
      </c>
    </row>
    <row r="22" spans="2:7" ht="15.6" x14ac:dyDescent="0.3">
      <c r="B22" s="30">
        <v>44791</v>
      </c>
      <c r="C22" s="104">
        <v>118.07999999999883</v>
      </c>
      <c r="D22" s="105">
        <v>19.80000000000291</v>
      </c>
      <c r="E22" s="106">
        <v>85.69999999999709</v>
      </c>
      <c r="F22" s="106">
        <v>12.579999999998837</v>
      </c>
      <c r="G22" s="106">
        <v>62.899999999994179</v>
      </c>
    </row>
    <row r="23" spans="2:7" ht="15.6" x14ac:dyDescent="0.3">
      <c r="B23" s="30">
        <v>44792</v>
      </c>
      <c r="C23" s="104">
        <v>115.85999999999331</v>
      </c>
      <c r="D23" s="105">
        <v>12.399999999994179</v>
      </c>
      <c r="E23" s="106">
        <v>93.900000000001455</v>
      </c>
      <c r="F23" s="106">
        <v>9.5599999999976717</v>
      </c>
      <c r="G23" s="106">
        <v>47.799999999988358</v>
      </c>
    </row>
    <row r="24" spans="2:7" ht="15.6" x14ac:dyDescent="0.3">
      <c r="B24" s="30">
        <v>44793</v>
      </c>
      <c r="C24" s="104">
        <v>172.06000000000495</v>
      </c>
      <c r="D24" s="105">
        <v>20</v>
      </c>
      <c r="E24" s="106">
        <v>133.40000000000146</v>
      </c>
      <c r="F24" s="106">
        <v>18.660000000003492</v>
      </c>
      <c r="G24" s="106">
        <v>93.300000000017462</v>
      </c>
    </row>
    <row r="25" spans="2:7" ht="15.6" x14ac:dyDescent="0.3">
      <c r="B25" s="30">
        <v>44794</v>
      </c>
      <c r="C25" s="104">
        <v>102.68000000000465</v>
      </c>
      <c r="D25" s="105">
        <v>20.400000000008731</v>
      </c>
      <c r="E25" s="106">
        <v>69.19999999999709</v>
      </c>
      <c r="F25" s="106">
        <v>13.079999999998837</v>
      </c>
      <c r="G25" s="106">
        <v>65.399999999994179</v>
      </c>
    </row>
    <row r="26" spans="2:7" ht="15.6" x14ac:dyDescent="0.3">
      <c r="B26" s="30">
        <v>44795</v>
      </c>
      <c r="C26" s="104">
        <v>334.48000000000172</v>
      </c>
      <c r="D26" s="105">
        <v>134.69999999999709</v>
      </c>
      <c r="E26" s="106">
        <v>194.10000000000582</v>
      </c>
      <c r="F26" s="106">
        <v>5.6799999999988362</v>
      </c>
      <c r="G26" s="106">
        <v>28.399999999994179</v>
      </c>
    </row>
    <row r="27" spans="2:7" ht="15.6" x14ac:dyDescent="0.3">
      <c r="B27" s="30">
        <v>44796</v>
      </c>
      <c r="C27" s="104">
        <v>142.83999999999941</v>
      </c>
      <c r="D27" s="105">
        <v>-13.80000000000291</v>
      </c>
      <c r="E27" s="106">
        <v>140.5</v>
      </c>
      <c r="F27" s="106">
        <v>16.140000000002328</v>
      </c>
      <c r="G27" s="106">
        <v>80.700000000011642</v>
      </c>
    </row>
    <row r="28" spans="2:7" ht="15.6" x14ac:dyDescent="0.3">
      <c r="B28" s="30">
        <v>44797</v>
      </c>
      <c r="C28" s="104">
        <v>185.75999999999766</v>
      </c>
      <c r="D28" s="105">
        <v>34.69999999999709</v>
      </c>
      <c r="E28" s="106">
        <v>135.80000000000291</v>
      </c>
      <c r="F28" s="106">
        <v>15.259999999997673</v>
      </c>
      <c r="G28" s="106">
        <v>76.299999999988358</v>
      </c>
    </row>
    <row r="29" spans="2:7" ht="15.6" x14ac:dyDescent="0.3">
      <c r="B29" s="30">
        <v>44798</v>
      </c>
      <c r="C29" s="104">
        <v>165.88000000000321</v>
      </c>
      <c r="D29" s="105">
        <v>33.80000000000291</v>
      </c>
      <c r="E29" s="106">
        <v>116.90000000000146</v>
      </c>
      <c r="F29" s="106">
        <v>15.179999999998836</v>
      </c>
      <c r="G29" s="106">
        <v>75.899999999994179</v>
      </c>
    </row>
    <row r="30" spans="2:7" ht="15.6" x14ac:dyDescent="0.3">
      <c r="B30" s="30">
        <v>44799</v>
      </c>
      <c r="C30" s="104">
        <v>163.85999999999621</v>
      </c>
      <c r="D30" s="105">
        <v>38</v>
      </c>
      <c r="E30" s="106">
        <v>111.99999999999272</v>
      </c>
      <c r="F30" s="106">
        <v>13.860000000003494</v>
      </c>
      <c r="G30" s="106">
        <v>69.300000000017462</v>
      </c>
    </row>
    <row r="31" spans="2:7" ht="15.6" x14ac:dyDescent="0.3">
      <c r="B31" s="30">
        <v>44800</v>
      </c>
      <c r="C31" s="104">
        <v>140.46000000000495</v>
      </c>
      <c r="D31" s="105">
        <v>43.600000000005821</v>
      </c>
      <c r="E31" s="106">
        <v>84.400000000001455</v>
      </c>
      <c r="F31" s="106">
        <v>12.459999999997672</v>
      </c>
      <c r="G31" s="106">
        <v>62.299999999988358</v>
      </c>
    </row>
    <row r="32" spans="2:7" ht="15.6" x14ac:dyDescent="0.3">
      <c r="B32" s="30">
        <v>44801</v>
      </c>
      <c r="C32" s="104">
        <v>130.49999999998983</v>
      </c>
      <c r="D32" s="105">
        <v>33.599999999991269</v>
      </c>
      <c r="E32" s="106">
        <v>85.599999999998545</v>
      </c>
      <c r="F32" s="106">
        <v>11.3</v>
      </c>
      <c r="G32" s="106">
        <v>56.5</v>
      </c>
    </row>
    <row r="33" spans="2:9" ht="15.6" x14ac:dyDescent="0.3">
      <c r="B33" s="30">
        <v>44802</v>
      </c>
      <c r="C33" s="104">
        <v>141.26000000001369</v>
      </c>
      <c r="D33" s="105">
        <v>34.400000000008731</v>
      </c>
      <c r="E33" s="106">
        <v>93.400000000001455</v>
      </c>
      <c r="F33" s="106">
        <v>13.460000000003493</v>
      </c>
      <c r="G33" s="106">
        <v>67.300000000017462</v>
      </c>
    </row>
    <row r="34" spans="2:9" ht="15.6" x14ac:dyDescent="0.3">
      <c r="B34" s="30">
        <v>44803</v>
      </c>
      <c r="C34" s="104">
        <v>172.87999999998866</v>
      </c>
      <c r="D34" s="105">
        <v>65.099999999991269</v>
      </c>
      <c r="E34" s="106">
        <v>94.099999999998545</v>
      </c>
      <c r="F34" s="106">
        <v>13.679999999998836</v>
      </c>
      <c r="G34" s="106">
        <v>68.399999999994179</v>
      </c>
    </row>
    <row r="35" spans="2:9" ht="15.6" x14ac:dyDescent="0.3">
      <c r="B35" s="30">
        <v>44804</v>
      </c>
      <c r="C35" s="104">
        <v>148.67999999999302</v>
      </c>
      <c r="D35" s="105">
        <v>39.80000000000291</v>
      </c>
      <c r="E35" s="106">
        <v>94.099999999991269</v>
      </c>
      <c r="F35" s="106">
        <v>14.779999999998836</v>
      </c>
      <c r="G35" s="106">
        <v>73.899999999994179</v>
      </c>
    </row>
    <row r="36" spans="2:9" x14ac:dyDescent="0.3">
      <c r="B36" s="135"/>
      <c r="C36" s="135"/>
      <c r="D36" s="120"/>
      <c r="E36" s="120"/>
      <c r="F36" s="120"/>
      <c r="G36" s="120"/>
    </row>
    <row r="37" spans="2:9" ht="21" x14ac:dyDescent="0.4">
      <c r="B37" s="136"/>
      <c r="C37" s="78">
        <f>+D37+E37+F37</f>
        <v>4729.2999999999929</v>
      </c>
      <c r="D37" s="35">
        <f>SUM(D5:D35)</f>
        <v>1043</v>
      </c>
      <c r="E37" s="35">
        <f>SUM(E5:E35)</f>
        <v>3277.4999999999927</v>
      </c>
      <c r="F37" s="35">
        <f>SUM(F5:F35)</f>
        <v>408.79999999999995</v>
      </c>
      <c r="G37" s="35">
        <f>SUM(G5:G35)</f>
        <v>2044</v>
      </c>
    </row>
    <row r="38" spans="2:9" x14ac:dyDescent="0.3">
      <c r="I38" s="137"/>
    </row>
    <row r="39" spans="2:9" x14ac:dyDescent="0.3">
      <c r="I39" s="137"/>
    </row>
    <row r="40" spans="2:9" ht="15" thickBot="1" x14ac:dyDescent="0.35"/>
    <row r="41" spans="2:9" ht="21.6" thickBot="1" x14ac:dyDescent="0.45">
      <c r="B41" s="138" t="s">
        <v>35</v>
      </c>
      <c r="C41" s="138"/>
      <c r="D41" s="123"/>
      <c r="E41" s="124"/>
      <c r="F41" s="124"/>
      <c r="G41" s="139">
        <f>+D37+E37</f>
        <v>4320.4999999999927</v>
      </c>
      <c r="H41" s="140"/>
    </row>
    <row r="42" spans="2:9" x14ac:dyDescent="0.3">
      <c r="G42" s="141"/>
    </row>
    <row r="43" spans="2:9" x14ac:dyDescent="0.3">
      <c r="G43" s="141"/>
    </row>
    <row r="44" spans="2:9" ht="15.6" x14ac:dyDescent="0.3">
      <c r="B44" s="142" t="s">
        <v>6</v>
      </c>
      <c r="C44" s="142"/>
      <c r="E44" s="122" t="s">
        <v>36</v>
      </c>
      <c r="G44" s="143">
        <v>12500</v>
      </c>
      <c r="H44" s="140"/>
    </row>
    <row r="45" spans="2:9" ht="15.6" x14ac:dyDescent="0.3">
      <c r="B45" s="142"/>
      <c r="C45" s="142"/>
      <c r="G45" s="141"/>
      <c r="H45" s="140"/>
    </row>
    <row r="46" spans="2:9" ht="16.2" thickBot="1" x14ac:dyDescent="0.35">
      <c r="B46" s="142"/>
      <c r="C46" s="142"/>
      <c r="G46" s="141"/>
      <c r="H46" s="140"/>
    </row>
    <row r="47" spans="2:9" ht="26.4" thickBot="1" x14ac:dyDescent="0.35">
      <c r="B47" s="142" t="s">
        <v>7</v>
      </c>
      <c r="C47" s="142"/>
      <c r="G47" s="148">
        <f>+D37+E37*G44</f>
        <v>40969792.999999911</v>
      </c>
      <c r="H47" s="144"/>
    </row>
  </sheetData>
  <mergeCells count="3">
    <mergeCell ref="B1:G2"/>
    <mergeCell ref="B3:B4"/>
    <mergeCell ref="D3:G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47"/>
  <sheetViews>
    <sheetView workbookViewId="0">
      <selection activeCell="F42" sqref="F42"/>
    </sheetView>
  </sheetViews>
  <sheetFormatPr defaultRowHeight="14.4" x14ac:dyDescent="0.3"/>
  <cols>
    <col min="1" max="2" width="9.109375" style="29"/>
    <col min="3" max="4" width="34.109375" style="36" customWidth="1"/>
    <col min="5" max="8" width="27.6640625" style="36" customWidth="1"/>
    <col min="9" max="9" width="9.109375" style="29"/>
    <col min="10" max="10" width="13.44140625" style="29" bestFit="1" customWidth="1"/>
    <col min="11" max="11" width="11.5546875" style="29" bestFit="1" customWidth="1"/>
    <col min="12" max="45" width="9.109375" style="29"/>
  </cols>
  <sheetData>
    <row r="1" spans="1:45" ht="15" customHeight="1" x14ac:dyDescent="0.3">
      <c r="B1" s="169" t="s">
        <v>59</v>
      </c>
      <c r="C1" s="169"/>
      <c r="D1" s="169"/>
      <c r="E1" s="169"/>
      <c r="F1" s="169"/>
      <c r="G1" s="169"/>
      <c r="H1" s="169"/>
    </row>
    <row r="2" spans="1:45" ht="15" customHeight="1" x14ac:dyDescent="0.3">
      <c r="B2" s="169"/>
      <c r="C2" s="169"/>
      <c r="D2" s="169"/>
      <c r="E2" s="169"/>
      <c r="F2" s="169"/>
      <c r="G2" s="169"/>
      <c r="H2" s="169"/>
    </row>
    <row r="3" spans="1:45" s="80" customFormat="1" ht="33" customHeight="1" x14ac:dyDescent="0.45">
      <c r="A3" s="79"/>
      <c r="B3" s="170" t="s">
        <v>0</v>
      </c>
      <c r="C3" s="174" t="s">
        <v>30</v>
      </c>
      <c r="D3" s="175"/>
      <c r="E3" s="171" t="s">
        <v>38</v>
      </c>
      <c r="F3" s="172"/>
      <c r="G3" s="172"/>
      <c r="H3" s="173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</row>
    <row r="4" spans="1:45" s="80" customFormat="1" ht="33" customHeight="1" x14ac:dyDescent="0.45">
      <c r="A4" s="79"/>
      <c r="B4" s="170"/>
      <c r="C4" s="81" t="s">
        <v>37</v>
      </c>
      <c r="D4" s="81" t="s">
        <v>39</v>
      </c>
      <c r="E4" s="82" t="s">
        <v>26</v>
      </c>
      <c r="F4" s="82" t="s">
        <v>29</v>
      </c>
      <c r="G4" s="82" t="s">
        <v>27</v>
      </c>
      <c r="H4" s="81" t="s">
        <v>28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79"/>
    </row>
    <row r="5" spans="1:45" ht="15.6" x14ac:dyDescent="0.3">
      <c r="B5" s="30">
        <v>44774</v>
      </c>
      <c r="C5" s="116">
        <v>4.7</v>
      </c>
      <c r="D5" s="116">
        <v>129.19999999999999</v>
      </c>
      <c r="E5" s="31"/>
      <c r="F5" s="31"/>
      <c r="G5" s="31"/>
      <c r="H5" s="31"/>
      <c r="I5" s="32"/>
    </row>
    <row r="6" spans="1:45" ht="15.6" x14ac:dyDescent="0.3">
      <c r="B6" s="30">
        <v>44775</v>
      </c>
      <c r="C6" s="116">
        <v>5.75</v>
      </c>
      <c r="D6" s="116">
        <v>157.52000000000001</v>
      </c>
      <c r="E6" s="31"/>
      <c r="F6" s="31"/>
      <c r="G6" s="31"/>
      <c r="H6" s="31"/>
      <c r="I6" s="32"/>
    </row>
    <row r="7" spans="1:45" ht="15.6" x14ac:dyDescent="0.3">
      <c r="B7" s="30">
        <v>44776</v>
      </c>
      <c r="C7" s="116">
        <v>8.7100000000000009</v>
      </c>
      <c r="D7" s="116">
        <v>238.64</v>
      </c>
      <c r="E7" s="31"/>
      <c r="F7" s="31"/>
      <c r="G7" s="31"/>
      <c r="H7" s="31"/>
      <c r="I7" s="32"/>
    </row>
    <row r="8" spans="1:45" ht="15.6" x14ac:dyDescent="0.3">
      <c r="B8" s="30">
        <v>44777</v>
      </c>
      <c r="C8" s="116">
        <v>8.3000000000000007</v>
      </c>
      <c r="D8" s="116">
        <v>228.28</v>
      </c>
      <c r="E8" s="31"/>
      <c r="F8" s="31"/>
      <c r="G8" s="31"/>
      <c r="H8" s="31"/>
      <c r="I8" s="32"/>
    </row>
    <row r="9" spans="1:45" ht="15.6" x14ac:dyDescent="0.3">
      <c r="B9" s="30">
        <v>44778</v>
      </c>
      <c r="C9" s="116">
        <v>7.26</v>
      </c>
      <c r="D9" s="116">
        <v>199.05</v>
      </c>
      <c r="E9" s="31"/>
      <c r="F9" s="31"/>
      <c r="G9" s="31"/>
      <c r="H9" s="31"/>
      <c r="I9" s="32"/>
    </row>
    <row r="10" spans="1:45" ht="15.6" x14ac:dyDescent="0.3">
      <c r="B10" s="30">
        <v>44779</v>
      </c>
      <c r="C10" s="116">
        <v>7.27</v>
      </c>
      <c r="D10" s="116">
        <v>199.87</v>
      </c>
      <c r="E10" s="31"/>
      <c r="F10" s="31"/>
      <c r="G10" s="31"/>
      <c r="H10" s="31"/>
      <c r="I10" s="32"/>
    </row>
    <row r="11" spans="1:45" ht="15.6" x14ac:dyDescent="0.3">
      <c r="B11" s="30">
        <v>44780</v>
      </c>
      <c r="C11" s="116">
        <v>5.51</v>
      </c>
      <c r="D11" s="116">
        <v>151.59</v>
      </c>
      <c r="E11" s="31"/>
      <c r="F11" s="31"/>
      <c r="G11" s="31"/>
      <c r="H11" s="31"/>
      <c r="I11" s="32"/>
    </row>
    <row r="12" spans="1:45" ht="15.6" x14ac:dyDescent="0.3">
      <c r="B12" s="30">
        <v>44781</v>
      </c>
      <c r="C12" s="116">
        <v>5.13</v>
      </c>
      <c r="D12" s="116">
        <v>141.11000000000001</v>
      </c>
      <c r="E12" s="31"/>
      <c r="F12" s="31"/>
      <c r="G12" s="31"/>
      <c r="H12" s="31"/>
      <c r="I12" s="32"/>
    </row>
    <row r="13" spans="1:45" ht="15.6" x14ac:dyDescent="0.3">
      <c r="B13" s="30">
        <v>44782</v>
      </c>
      <c r="C13" s="116">
        <v>6.66</v>
      </c>
      <c r="D13" s="116">
        <v>183.22</v>
      </c>
      <c r="E13" s="31"/>
      <c r="F13" s="31"/>
      <c r="G13" s="31"/>
      <c r="H13" s="31"/>
      <c r="I13" s="32"/>
    </row>
    <row r="14" spans="1:45" ht="15.6" x14ac:dyDescent="0.3">
      <c r="B14" s="30">
        <v>44783</v>
      </c>
      <c r="C14" s="116">
        <v>5.46</v>
      </c>
      <c r="D14" s="116">
        <v>150.16999999999999</v>
      </c>
      <c r="E14" s="31"/>
      <c r="F14" s="31"/>
      <c r="G14" s="31"/>
      <c r="H14" s="31"/>
      <c r="I14" s="32"/>
    </row>
    <row r="15" spans="1:45" ht="15.6" x14ac:dyDescent="0.3">
      <c r="B15" s="30">
        <v>44784</v>
      </c>
      <c r="C15" s="116">
        <v>6.45</v>
      </c>
      <c r="D15" s="116">
        <v>177.62</v>
      </c>
      <c r="E15" s="31"/>
      <c r="F15" s="31"/>
      <c r="G15" s="31"/>
      <c r="H15" s="31"/>
      <c r="I15" s="32"/>
    </row>
    <row r="16" spans="1:45" ht="15.6" x14ac:dyDescent="0.3">
      <c r="B16" s="30">
        <v>44785</v>
      </c>
      <c r="C16" s="116">
        <v>5.52</v>
      </c>
      <c r="D16" s="116">
        <v>151.85</v>
      </c>
      <c r="E16" s="31"/>
      <c r="F16" s="31"/>
      <c r="G16" s="31"/>
      <c r="H16" s="31"/>
      <c r="I16" s="32"/>
    </row>
    <row r="17" spans="2:9" ht="15.6" x14ac:dyDescent="0.3">
      <c r="B17" s="30">
        <v>44786</v>
      </c>
      <c r="C17" s="116">
        <v>3.36</v>
      </c>
      <c r="D17" s="116">
        <v>92.38</v>
      </c>
      <c r="E17" s="31"/>
      <c r="F17" s="31"/>
      <c r="G17" s="31"/>
      <c r="H17" s="31"/>
      <c r="I17" s="32"/>
    </row>
    <row r="18" spans="2:9" ht="15.6" x14ac:dyDescent="0.3">
      <c r="B18" s="30">
        <v>44787</v>
      </c>
      <c r="C18" s="116">
        <v>4.6100000000000003</v>
      </c>
      <c r="D18" s="116">
        <v>126.72</v>
      </c>
      <c r="E18" s="31"/>
      <c r="F18" s="31"/>
      <c r="G18" s="31"/>
      <c r="H18" s="31"/>
      <c r="I18" s="32"/>
    </row>
    <row r="19" spans="2:9" ht="15.6" x14ac:dyDescent="0.3">
      <c r="B19" s="30">
        <v>44788</v>
      </c>
      <c r="C19" s="116">
        <v>6.26</v>
      </c>
      <c r="D19" s="116">
        <v>172.15</v>
      </c>
      <c r="E19" s="31"/>
      <c r="F19" s="31"/>
      <c r="G19" s="31"/>
      <c r="H19" s="31"/>
      <c r="I19" s="32"/>
    </row>
    <row r="20" spans="2:9" ht="15.6" x14ac:dyDescent="0.3">
      <c r="B20" s="30">
        <v>44789</v>
      </c>
      <c r="C20" s="116">
        <v>6.75</v>
      </c>
      <c r="D20" s="116">
        <v>185.55</v>
      </c>
      <c r="E20" s="31"/>
      <c r="F20" s="31"/>
      <c r="G20" s="31"/>
      <c r="H20" s="31"/>
      <c r="I20" s="32"/>
    </row>
    <row r="21" spans="2:9" ht="15.6" x14ac:dyDescent="0.3">
      <c r="B21" s="30">
        <v>44790</v>
      </c>
      <c r="C21" s="116">
        <v>6.04</v>
      </c>
      <c r="D21" s="116">
        <v>166.26</v>
      </c>
      <c r="E21" s="31"/>
      <c r="F21" s="31"/>
      <c r="G21" s="31"/>
      <c r="H21" s="31"/>
      <c r="I21" s="32"/>
    </row>
    <row r="22" spans="2:9" ht="15.6" x14ac:dyDescent="0.3">
      <c r="B22" s="30">
        <v>44791</v>
      </c>
      <c r="C22" s="116">
        <v>7.97</v>
      </c>
      <c r="D22" s="116">
        <v>219.22</v>
      </c>
      <c r="E22" s="31"/>
      <c r="F22" s="31"/>
      <c r="G22" s="31"/>
      <c r="H22" s="31"/>
      <c r="I22" s="32"/>
    </row>
    <row r="23" spans="2:9" ht="15.6" x14ac:dyDescent="0.3">
      <c r="B23" s="30">
        <v>44792</v>
      </c>
      <c r="C23" s="116">
        <v>7.03</v>
      </c>
      <c r="D23" s="116">
        <v>193.46</v>
      </c>
      <c r="E23" s="31"/>
      <c r="F23" s="31"/>
      <c r="G23" s="31"/>
      <c r="H23" s="31"/>
      <c r="I23" s="32"/>
    </row>
    <row r="24" spans="2:9" ht="15.6" x14ac:dyDescent="0.3">
      <c r="B24" s="30">
        <v>44793</v>
      </c>
      <c r="C24" s="116">
        <v>6.86</v>
      </c>
      <c r="D24" s="116">
        <v>188.66</v>
      </c>
      <c r="E24" s="31"/>
      <c r="F24" s="31"/>
      <c r="G24" s="31"/>
      <c r="H24" s="31"/>
      <c r="I24" s="32"/>
    </row>
    <row r="25" spans="2:9" ht="15.6" x14ac:dyDescent="0.3">
      <c r="B25" s="30">
        <v>44794</v>
      </c>
      <c r="C25" s="117">
        <v>4.8099999999999996</v>
      </c>
      <c r="D25" s="117">
        <v>132.27000000000001</v>
      </c>
      <c r="E25" s="31"/>
      <c r="F25" s="31"/>
      <c r="G25" s="31"/>
      <c r="H25" s="31"/>
      <c r="I25" s="32"/>
    </row>
    <row r="26" spans="2:9" ht="15.6" x14ac:dyDescent="0.3">
      <c r="B26" s="30">
        <v>44795</v>
      </c>
      <c r="C26" s="116">
        <v>7.05</v>
      </c>
      <c r="D26" s="116">
        <v>193.9</v>
      </c>
      <c r="E26" s="31"/>
      <c r="F26" s="31"/>
      <c r="G26" s="31"/>
      <c r="H26" s="31"/>
      <c r="I26" s="32"/>
    </row>
    <row r="27" spans="2:9" ht="15.6" x14ac:dyDescent="0.3">
      <c r="B27" s="30">
        <v>44796</v>
      </c>
      <c r="C27" s="116">
        <v>7.95</v>
      </c>
      <c r="D27" s="116">
        <v>218.28</v>
      </c>
      <c r="E27" s="31"/>
      <c r="F27" s="31"/>
      <c r="G27" s="31"/>
      <c r="H27" s="31"/>
      <c r="I27" s="32"/>
    </row>
    <row r="28" spans="2:9" ht="15.6" x14ac:dyDescent="0.3">
      <c r="B28" s="30">
        <v>44797</v>
      </c>
      <c r="C28" s="116">
        <v>9.4700000000000006</v>
      </c>
      <c r="D28" s="116">
        <v>259.83</v>
      </c>
      <c r="E28" s="31"/>
      <c r="F28" s="31"/>
      <c r="G28" s="31"/>
      <c r="H28" s="31"/>
      <c r="I28" s="32"/>
    </row>
    <row r="29" spans="2:9" ht="15.6" x14ac:dyDescent="0.3">
      <c r="B29" s="30">
        <v>44798</v>
      </c>
      <c r="C29" s="116">
        <v>8.33</v>
      </c>
      <c r="D29" s="116">
        <v>228.49</v>
      </c>
      <c r="E29" s="31"/>
      <c r="F29" s="31"/>
      <c r="G29" s="31"/>
      <c r="H29" s="31"/>
      <c r="I29" s="32"/>
    </row>
    <row r="30" spans="2:9" ht="15.6" x14ac:dyDescent="0.3">
      <c r="B30" s="30">
        <v>44799</v>
      </c>
      <c r="C30" s="116">
        <v>9.18</v>
      </c>
      <c r="D30" s="116">
        <v>251.94</v>
      </c>
      <c r="E30" s="31"/>
      <c r="F30" s="31"/>
      <c r="G30" s="31"/>
      <c r="H30" s="31"/>
      <c r="I30" s="32"/>
    </row>
    <row r="31" spans="2:9" ht="15.6" x14ac:dyDescent="0.3">
      <c r="B31" s="30">
        <v>44800</v>
      </c>
      <c r="C31" s="116">
        <v>7.54</v>
      </c>
      <c r="D31" s="116">
        <v>207.01</v>
      </c>
      <c r="E31" s="31"/>
      <c r="F31" s="31"/>
      <c r="G31" s="31"/>
      <c r="H31" s="31"/>
      <c r="I31" s="32"/>
    </row>
    <row r="32" spans="2:9" ht="15.6" x14ac:dyDescent="0.3">
      <c r="B32" s="30">
        <v>44801</v>
      </c>
      <c r="C32" s="116">
        <v>4.29</v>
      </c>
      <c r="D32" s="116">
        <v>117.68</v>
      </c>
      <c r="E32" s="31"/>
      <c r="F32" s="31"/>
      <c r="G32" s="31"/>
      <c r="H32" s="31"/>
      <c r="I32" s="32"/>
    </row>
    <row r="33" spans="2:12" ht="15.6" x14ac:dyDescent="0.3">
      <c r="B33" s="30">
        <v>44802</v>
      </c>
      <c r="C33" s="116">
        <v>6.73</v>
      </c>
      <c r="D33" s="116">
        <v>185.05</v>
      </c>
      <c r="E33" s="31"/>
      <c r="F33" s="31"/>
      <c r="G33" s="31"/>
      <c r="H33" s="31"/>
      <c r="I33" s="32"/>
    </row>
    <row r="34" spans="2:12" ht="15.6" x14ac:dyDescent="0.3">
      <c r="B34" s="30">
        <v>44803</v>
      </c>
      <c r="C34" s="116">
        <v>8.17</v>
      </c>
      <c r="D34" s="116">
        <v>222.42</v>
      </c>
      <c r="E34" s="31"/>
      <c r="F34" s="31"/>
      <c r="G34" s="31"/>
      <c r="H34" s="31"/>
      <c r="I34" s="32"/>
    </row>
    <row r="35" spans="2:12" ht="15.6" x14ac:dyDescent="0.3">
      <c r="B35" s="30">
        <v>44804</v>
      </c>
      <c r="C35" s="116">
        <v>8.61</v>
      </c>
      <c r="D35" s="116">
        <v>239.79</v>
      </c>
      <c r="E35" s="31"/>
      <c r="F35" s="31"/>
      <c r="G35" s="31"/>
      <c r="H35" s="31"/>
      <c r="I35" s="32"/>
    </row>
    <row r="36" spans="2:12" x14ac:dyDescent="0.3">
      <c r="B36" s="33"/>
      <c r="C36" s="120"/>
      <c r="D36" s="120"/>
      <c r="E36" s="120"/>
      <c r="F36" s="120"/>
      <c r="G36" s="120"/>
      <c r="H36" s="120"/>
    </row>
    <row r="37" spans="2:12" ht="18" x14ac:dyDescent="0.35">
      <c r="B37" s="34"/>
      <c r="C37" s="121">
        <f t="shared" ref="C37:H37" si="0">SUM(C5:C35)</f>
        <v>207.72999999999996</v>
      </c>
      <c r="D37" s="121">
        <f t="shared" si="0"/>
        <v>5709.18</v>
      </c>
      <c r="E37" s="121">
        <f t="shared" si="0"/>
        <v>0</v>
      </c>
      <c r="F37" s="121">
        <f t="shared" si="0"/>
        <v>0</v>
      </c>
      <c r="G37" s="121">
        <f t="shared" si="0"/>
        <v>0</v>
      </c>
      <c r="H37" s="121">
        <f t="shared" si="0"/>
        <v>0</v>
      </c>
      <c r="I37" s="32"/>
      <c r="L37" s="32"/>
    </row>
    <row r="38" spans="2:12" x14ac:dyDescent="0.3">
      <c r="C38" s="122"/>
      <c r="D38" s="122"/>
      <c r="E38" s="122"/>
      <c r="F38" s="122"/>
      <c r="G38" s="122"/>
      <c r="H38" s="122">
        <f>H37*80%</f>
        <v>0</v>
      </c>
      <c r="J38" s="32"/>
      <c r="K38" s="37"/>
    </row>
    <row r="39" spans="2:12" x14ac:dyDescent="0.3">
      <c r="C39" s="122"/>
      <c r="D39" s="122"/>
      <c r="E39" s="122"/>
      <c r="F39" s="122"/>
      <c r="G39" s="122"/>
      <c r="H39" s="122"/>
    </row>
    <row r="40" spans="2:12" ht="15.6" x14ac:dyDescent="0.3">
      <c r="B40" s="38"/>
      <c r="C40" s="123"/>
      <c r="D40" s="123"/>
      <c r="E40" s="124"/>
      <c r="F40" s="124"/>
      <c r="G40" s="124"/>
      <c r="H40" s="124"/>
      <c r="J40" s="39"/>
      <c r="K40" s="32"/>
    </row>
    <row r="41" spans="2:12" x14ac:dyDescent="0.3">
      <c r="C41" s="122"/>
      <c r="D41" s="122"/>
      <c r="E41" s="122"/>
      <c r="F41" s="122"/>
      <c r="G41" s="122"/>
      <c r="H41" s="122"/>
    </row>
    <row r="42" spans="2:12" x14ac:dyDescent="0.3">
      <c r="C42" s="122"/>
      <c r="D42" s="122"/>
      <c r="E42" s="122"/>
      <c r="F42" s="122"/>
      <c r="G42" s="122"/>
      <c r="H42" s="122"/>
    </row>
    <row r="43" spans="2:12" ht="21" x14ac:dyDescent="0.4">
      <c r="C43" s="125" t="s">
        <v>6</v>
      </c>
      <c r="D43" s="126" t="s">
        <v>40</v>
      </c>
      <c r="E43" s="127">
        <v>10.199999999999999</v>
      </c>
      <c r="F43" s="122"/>
      <c r="G43" s="122"/>
      <c r="H43" s="122"/>
      <c r="J43" s="40"/>
    </row>
    <row r="44" spans="2:12" ht="21" x14ac:dyDescent="0.4">
      <c r="C44" s="128" t="s">
        <v>41</v>
      </c>
      <c r="D44" s="126" t="s">
        <v>37</v>
      </c>
      <c r="E44" s="127">
        <v>350</v>
      </c>
      <c r="F44" s="122"/>
      <c r="G44" s="122"/>
      <c r="H44" s="122"/>
      <c r="J44" s="41"/>
    </row>
    <row r="45" spans="2:12" ht="21" x14ac:dyDescent="0.4">
      <c r="C45" s="128"/>
      <c r="D45" s="126"/>
      <c r="E45" s="127"/>
      <c r="F45" s="122"/>
      <c r="G45" s="122"/>
      <c r="H45" s="122"/>
    </row>
    <row r="46" spans="2:12" ht="21" x14ac:dyDescent="0.4">
      <c r="C46" s="125" t="s">
        <v>7</v>
      </c>
      <c r="D46" s="126" t="s">
        <v>40</v>
      </c>
      <c r="E46" s="129">
        <f>IF(C37&gt;E44,(C37*E43),(E44*E43))</f>
        <v>3569.9999999999995</v>
      </c>
      <c r="F46" s="122"/>
      <c r="G46" s="122"/>
      <c r="H46" s="122"/>
    </row>
    <row r="47" spans="2:12" x14ac:dyDescent="0.3">
      <c r="C47" s="122"/>
      <c r="D47" s="122"/>
      <c r="E47" s="122"/>
      <c r="F47" s="122"/>
      <c r="G47" s="122"/>
      <c r="H47" s="122"/>
    </row>
  </sheetData>
  <mergeCells count="4">
    <mergeCell ref="B1:H2"/>
    <mergeCell ref="B3:B4"/>
    <mergeCell ref="E3:H3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TOTAL</vt:lpstr>
      <vt:lpstr>Electricity</vt:lpstr>
      <vt:lpstr>Water</vt:lpstr>
      <vt:lpstr>Gas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Joe Khoury</cp:lastModifiedBy>
  <cp:lastPrinted>2020-01-30T09:39:19Z</cp:lastPrinted>
  <dcterms:created xsi:type="dcterms:W3CDTF">2017-12-04T02:44:15Z</dcterms:created>
  <dcterms:modified xsi:type="dcterms:W3CDTF">2022-09-23T08:53:32Z</dcterms:modified>
</cp:coreProperties>
</file>