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2\"/>
    </mc:Choice>
  </mc:AlternateContent>
  <xr:revisionPtr revIDLastSave="0" documentId="14_{6BB918CC-EDE1-452F-97BC-02CAE25C27B4}" xr6:coauthVersionLast="46" xr6:coauthVersionMax="46" xr10:uidLastSave="{00000000-0000-0000-0000-000000000000}"/>
  <bookViews>
    <workbookView xWindow="1470" yWindow="45" windowWidth="14430" windowHeight="15630" activeTab="1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10" i="2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K9" i="2"/>
  <c r="I9" i="2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K7" i="2"/>
  <c r="K6" i="2" s="1"/>
  <c r="K5" i="2" s="1"/>
  <c r="K4" i="2" s="1"/>
  <c r="I7" i="2"/>
  <c r="I6" i="2"/>
  <c r="L5" i="2"/>
  <c r="I5" i="2"/>
  <c r="I4" i="2" s="1"/>
  <c r="Z2" i="3" l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G32" i="1"/>
  <c r="E32" i="1"/>
  <c r="Z32" i="3"/>
  <c r="K31" i="1"/>
  <c r="I32" i="1"/>
  <c r="K32" i="1"/>
  <c r="K29" i="1" l="1"/>
  <c r="K30" i="1"/>
  <c r="Z21" i="3" l="1"/>
  <c r="Z22" i="3"/>
  <c r="Z23" i="3"/>
  <c r="Z24" i="3"/>
  <c r="Z25" i="3"/>
  <c r="Z26" i="3"/>
  <c r="Z27" i="3"/>
  <c r="Z28" i="3"/>
  <c r="Z29" i="3"/>
  <c r="Z30" i="3"/>
  <c r="Z31" i="3"/>
  <c r="G30" i="1"/>
  <c r="I30" i="1"/>
  <c r="G31" i="1"/>
  <c r="I31" i="1"/>
  <c r="E31" i="1" l="1"/>
  <c r="E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<sst xmlns="http://schemas.openxmlformats.org/spreadsheetml/2006/main" count="133" uniqueCount="59">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</sst>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6" borderId="2" xfId="0" applyFont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8" fillId="0" borderId="2" xfId="0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Y37" sqref="Y3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</v>
      </c>
      <c r="D2" s="1">
        <v>2022</v>
      </c>
      <c r="E2" s="4">
        <f>'Hampshire Daily'!D5-'Hampshire Daily'!D4</f>
        <v>2298</v>
      </c>
      <c r="F2" s="4">
        <f>'Hampshire Daily'!E5-'Hampshire Daily'!E4</f>
        <v>2300</v>
      </c>
      <c r="G2" s="4">
        <f>'Hampshire Daily'!H5-'Hampshire Daily'!H4</f>
        <v>0</v>
      </c>
      <c r="H2" s="4">
        <f>'Hampshire Daily'!I5-'Hampshire Daily'!I4</f>
        <v>2006.4000000003725</v>
      </c>
      <c r="I2" s="4">
        <f>'Hampshire Daily'!J5-'Hampshire Daily'!J4</f>
        <v>0</v>
      </c>
      <c r="J2" s="4">
        <f>'Hampshire Daily'!K5-'Hampshire Daily'!K4</f>
        <v>2429.4000000003725</v>
      </c>
      <c r="K2" s="4">
        <f>'Hampshire Daily'!L5-'Hampshire Daily'!L4</f>
        <v>984</v>
      </c>
      <c r="L2" s="4">
        <f>'Hampshire Daily'!M5-'Hampshire Daily'!M4</f>
        <v>1</v>
      </c>
      <c r="M2" s="4">
        <f>'Hampshire Daily'!N5-'Hampshire Daily'!N4</f>
        <v>2590</v>
      </c>
      <c r="N2" s="4">
        <f>'Hampshire Daily'!O5-'Hampshire Daily'!O4</f>
        <v>170</v>
      </c>
      <c r="O2" s="4">
        <f>'Hampshire Daily'!P5-'Hampshire Daily'!P4</f>
        <v>768</v>
      </c>
      <c r="P2" s="4">
        <f>'Hampshire Daily'!Q5-'Hampshire Daily'!Q4</f>
        <v>0</v>
      </c>
      <c r="Q2" s="4">
        <f>'Hampshire Daily'!R5-'Hampshire Daily'!R4</f>
        <v>0</v>
      </c>
      <c r="R2" s="4">
        <f>'Hampshire Daily'!S5-'Hampshire Daily'!S4</f>
        <v>105</v>
      </c>
      <c r="S2" s="4">
        <f>'Hampshire Daily'!T5-'Hampshire Daily'!T4</f>
        <v>107</v>
      </c>
      <c r="T2" s="4">
        <f>'Hampshire Daily'!U5-'Hampshire Daily'!U4</f>
        <v>21</v>
      </c>
      <c r="U2" s="4">
        <f>'Hampshire Daily'!V5-'Hampshire Daily'!V4</f>
        <v>0</v>
      </c>
      <c r="V2" s="4">
        <f>'Hampshire Daily'!W5-'Hampshire Daily'!W4</f>
        <v>0</v>
      </c>
      <c r="W2" s="4">
        <f>'Hampshire Daily'!X5-'Hampshire Daily'!X4</f>
        <v>0</v>
      </c>
      <c r="X2" s="4">
        <f>'Hampshire Daily'!Y5-'Hampshire Daily'!Y4</f>
        <v>0</v>
      </c>
      <c r="Y2" s="4">
        <f>'Hampshire Daily'!B5</f>
        <v>70</v>
      </c>
      <c r="Z2" s="4">
        <f>'Hampshire Daily'!C5</f>
        <v>190</v>
      </c>
    </row>
    <row r="3" spans="1:30" x14ac:dyDescent="0.25">
      <c r="A3" s="3" t="s">
        <v>40</v>
      </c>
      <c r="B3" s="1">
        <f>B2+1</f>
        <v>2</v>
      </c>
      <c r="C3" s="17">
        <v>1</v>
      </c>
      <c r="D3" s="1">
        <v>2022</v>
      </c>
      <c r="E3" s="4">
        <f>'Hampshire Daily'!D6-'Hampshire Daily'!D5</f>
        <v>1848</v>
      </c>
      <c r="F3" s="4">
        <f>'Hampshire Daily'!E6-'Hampshire Daily'!E5</f>
        <v>1851</v>
      </c>
      <c r="G3" s="4">
        <f>'Hampshire Daily'!H6-'Hampshire Daily'!H5</f>
        <v>86</v>
      </c>
      <c r="H3" s="4">
        <f>'Hampshire Daily'!I6-'Hampshire Daily'!I5</f>
        <v>2006.4000000003725</v>
      </c>
      <c r="I3" s="4">
        <f>'Hampshire Daily'!J6-'Hampshire Daily'!J5</f>
        <v>0</v>
      </c>
      <c r="J3" s="4">
        <f>'Hampshire Daily'!K6-'Hampshire Daily'!K5</f>
        <v>2429.4000000003725</v>
      </c>
      <c r="K3" s="4">
        <f>'Hampshire Daily'!L6-'Hampshire Daily'!L5</f>
        <v>1081</v>
      </c>
      <c r="L3" s="4">
        <f>'Hampshire Daily'!M6-'Hampshire Daily'!M5</f>
        <v>1</v>
      </c>
      <c r="M3" s="4">
        <f>'Hampshire Daily'!N6-'Hampshire Daily'!N5</f>
        <v>2368</v>
      </c>
      <c r="N3" s="4">
        <f>'Hampshire Daily'!O6-'Hampshire Daily'!O5</f>
        <v>127</v>
      </c>
      <c r="O3" s="4">
        <f>'Hampshire Daily'!P6-'Hampshire Daily'!P5</f>
        <v>744</v>
      </c>
      <c r="P3" s="4">
        <f>'Hampshire Daily'!Q6-'Hampshire Daily'!Q5</f>
        <v>0</v>
      </c>
      <c r="Q3" s="4">
        <f>'Hampshire Daily'!R6-'Hampshire Daily'!R5</f>
        <v>0</v>
      </c>
      <c r="R3" s="4">
        <f>'Hampshire Daily'!S6-'Hampshire Daily'!S5</f>
        <v>97</v>
      </c>
      <c r="S3" s="4">
        <f>'Hampshire Daily'!T6-'Hampshire Daily'!T5</f>
        <v>99</v>
      </c>
      <c r="T3" s="4">
        <f>'Hampshire Daily'!U6-'Hampshire Daily'!U5</f>
        <v>11</v>
      </c>
      <c r="U3" s="4">
        <f>'Hampshire Daily'!V6-'Hampshire Daily'!V5</f>
        <v>0</v>
      </c>
      <c r="V3" s="4">
        <f>'Hampshire Daily'!W6-'Hampshire Daily'!W5</f>
        <v>0</v>
      </c>
      <c r="W3" s="4">
        <f>'Hampshire Daily'!X6-'Hampshire Daily'!X5</f>
        <v>0.12400000000002365</v>
      </c>
      <c r="X3" s="4">
        <f>'Hampshire Daily'!Y6-'Hampshire Daily'!Y5</f>
        <v>1.0999999999967258E-2</v>
      </c>
      <c r="Y3" s="4">
        <f>'Hampshire Daily'!B6</f>
        <v>79</v>
      </c>
      <c r="Z3" s="4">
        <f>'Hampshire Daily'!C6</f>
        <v>229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</v>
      </c>
      <c r="D4" s="1">
        <v>2022</v>
      </c>
      <c r="E4" s="4">
        <f>'Hampshire Daily'!D7-'Hampshire Daily'!D6</f>
        <v>2098</v>
      </c>
      <c r="F4" s="4">
        <f>'Hampshire Daily'!E7-'Hampshire Daily'!E6</f>
        <v>2102</v>
      </c>
      <c r="G4" s="4">
        <f>'Hampshire Daily'!H7-'Hampshire Daily'!H6</f>
        <v>795</v>
      </c>
      <c r="H4" s="4">
        <f>'Hampshire Daily'!I7-'Hampshire Daily'!I6</f>
        <v>2006.4000000003725</v>
      </c>
      <c r="I4" s="4">
        <f>'Hampshire Daily'!J7-'Hampshire Daily'!J6</f>
        <v>0</v>
      </c>
      <c r="J4" s="4">
        <f>'Hampshire Daily'!K7-'Hampshire Daily'!K6</f>
        <v>2429.4000000003725</v>
      </c>
      <c r="K4" s="4">
        <f>'Hampshire Daily'!L7-'Hampshire Daily'!L6</f>
        <v>1051</v>
      </c>
      <c r="L4" s="4">
        <f>'Hampshire Daily'!M7-'Hampshire Daily'!M6</f>
        <v>2</v>
      </c>
      <c r="M4" s="4">
        <f>'Hampshire Daily'!N7-'Hampshire Daily'!N6</f>
        <v>2359</v>
      </c>
      <c r="N4" s="4">
        <f>'Hampshire Daily'!O7-'Hampshire Daily'!O6</f>
        <v>154</v>
      </c>
      <c r="O4" s="4">
        <f>'Hampshire Daily'!P7-'Hampshire Daily'!P6</f>
        <v>774</v>
      </c>
      <c r="P4" s="4">
        <f>'Hampshire Daily'!Q7-'Hampshire Daily'!Q6</f>
        <v>0</v>
      </c>
      <c r="Q4" s="4">
        <f>'Hampshire Daily'!R7-'Hampshire Daily'!R6</f>
        <v>0</v>
      </c>
      <c r="R4" s="4">
        <f>'Hampshire Daily'!S7-'Hampshire Daily'!S6</f>
        <v>101</v>
      </c>
      <c r="S4" s="4">
        <f>'Hampshire Daily'!T7-'Hampshire Daily'!T6</f>
        <v>102</v>
      </c>
      <c r="T4" s="4">
        <f>'Hampshire Daily'!U7-'Hampshire Daily'!U6</f>
        <v>11</v>
      </c>
      <c r="U4" s="4">
        <f>'Hampshire Daily'!V7-'Hampshire Daily'!V6</f>
        <v>12</v>
      </c>
      <c r="V4" s="4">
        <f>'Hampshire Daily'!W7-'Hampshire Daily'!W6</f>
        <v>0</v>
      </c>
      <c r="W4" s="4">
        <f>'Hampshire Daily'!X7-'Hampshire Daily'!X6</f>
        <v>0.33600000000001273</v>
      </c>
      <c r="X4" s="4">
        <f>'Hampshire Daily'!Y7-'Hampshire Daily'!Y6</f>
        <v>1.4000000000123691E-2</v>
      </c>
      <c r="Y4" s="4">
        <f>'Hampshire Daily'!B7</f>
        <v>74</v>
      </c>
      <c r="Z4" s="4">
        <f>'Hampshire Daily'!C7</f>
        <v>213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</v>
      </c>
      <c r="D5" s="1">
        <v>2022</v>
      </c>
      <c r="E5" s="4">
        <f>'Hampshire Daily'!D8-'Hampshire Daily'!D7</f>
        <v>2720</v>
      </c>
      <c r="F5" s="4">
        <f>'Hampshire Daily'!E8-'Hampshire Daily'!E7</f>
        <v>2725</v>
      </c>
      <c r="G5" s="4">
        <f>'Hampshire Daily'!H8-'Hampshire Daily'!H7</f>
        <v>85</v>
      </c>
      <c r="H5" s="4">
        <f>'Hampshire Daily'!I8-'Hampshire Daily'!I7</f>
        <v>2006.4000000003725</v>
      </c>
      <c r="I5" s="4">
        <f>'Hampshire Daily'!J8-'Hampshire Daily'!J7</f>
        <v>0</v>
      </c>
      <c r="J5" s="4">
        <f>'Hampshire Daily'!K8-'Hampshire Daily'!K7</f>
        <v>2429.4000000003725</v>
      </c>
      <c r="K5" s="4">
        <f>'Hampshire Daily'!L8-'Hampshire Daily'!L7</f>
        <v>1051</v>
      </c>
      <c r="L5" s="4">
        <f>'Hampshire Daily'!M8-'Hampshire Daily'!M7</f>
        <v>163</v>
      </c>
      <c r="M5" s="4">
        <f>'Hampshire Daily'!N8-'Hampshire Daily'!N7</f>
        <v>2514</v>
      </c>
      <c r="N5" s="4">
        <f>'Hampshire Daily'!O8-'Hampshire Daily'!O7</f>
        <v>117.5</v>
      </c>
      <c r="O5" s="4">
        <f>'Hampshire Daily'!P8-'Hampshire Daily'!P7</f>
        <v>736</v>
      </c>
      <c r="P5" s="4">
        <f>'Hampshire Daily'!Q8-'Hampshire Daily'!Q7</f>
        <v>0</v>
      </c>
      <c r="Q5" s="4">
        <f>'Hampshire Daily'!R8-'Hampshire Daily'!R7</f>
        <v>0</v>
      </c>
      <c r="R5" s="4">
        <f>'Hampshire Daily'!S8-'Hampshire Daily'!S7</f>
        <v>104</v>
      </c>
      <c r="S5" s="4">
        <f>'Hampshire Daily'!T8-'Hampshire Daily'!T7</f>
        <v>105</v>
      </c>
      <c r="T5" s="4">
        <f>'Hampshire Daily'!U8-'Hampshire Daily'!U7</f>
        <v>13</v>
      </c>
      <c r="U5" s="4">
        <f>'Hampshire Daily'!V8-'Hampshire Daily'!V7</f>
        <v>0</v>
      </c>
      <c r="V5" s="4">
        <f>'Hampshire Daily'!W8-'Hampshire Daily'!W7</f>
        <v>0</v>
      </c>
      <c r="W5" s="4">
        <f>'Hampshire Daily'!X8-'Hampshire Daily'!X7</f>
        <v>0.16399999999998727</v>
      </c>
      <c r="X5" s="4">
        <f>'Hampshire Daily'!Y8-'Hampshire Daily'!Y7</f>
        <v>1.3999999999668944E-2</v>
      </c>
      <c r="Y5" s="4">
        <f>'Hampshire Daily'!B8</f>
        <v>53</v>
      </c>
      <c r="Z5" s="4">
        <f>'Hampshire Daily'!C8</f>
        <v>157</v>
      </c>
    </row>
    <row r="6" spans="1:30" x14ac:dyDescent="0.25">
      <c r="A6" s="3" t="s">
        <v>40</v>
      </c>
      <c r="B6" s="1">
        <f t="shared" si="0"/>
        <v>5</v>
      </c>
      <c r="C6" s="17">
        <v>1</v>
      </c>
      <c r="D6" s="1">
        <v>2022</v>
      </c>
      <c r="E6" s="4">
        <f>'Hampshire Daily'!D9-'Hampshire Daily'!D8</f>
        <v>3724</v>
      </c>
      <c r="F6" s="4">
        <f>'Hampshire Daily'!E9-'Hampshire Daily'!E8</f>
        <v>3730</v>
      </c>
      <c r="G6" s="4">
        <f>'Hampshire Daily'!H9-'Hampshire Daily'!H8</f>
        <v>614</v>
      </c>
      <c r="H6" s="4">
        <f>'Hampshire Daily'!I9-'Hampshire Daily'!I8</f>
        <v>2006.4000000003725</v>
      </c>
      <c r="I6" s="4">
        <f>'Hampshire Daily'!J9-'Hampshire Daily'!J8</f>
        <v>0</v>
      </c>
      <c r="J6" s="4">
        <f>'Hampshire Daily'!K9-'Hampshire Daily'!K8</f>
        <v>2429.4000000003725</v>
      </c>
      <c r="K6" s="4">
        <f>'Hampshire Daily'!L9-'Hampshire Daily'!L8</f>
        <v>1051</v>
      </c>
      <c r="L6" s="4">
        <f>'Hampshire Daily'!M9-'Hampshire Daily'!M8</f>
        <v>350</v>
      </c>
      <c r="M6" s="4">
        <f>'Hampshire Daily'!N9-'Hampshire Daily'!N8</f>
        <v>2953</v>
      </c>
      <c r="N6" s="4">
        <f>'Hampshire Daily'!O9-'Hampshire Daily'!O8</f>
        <v>117.5</v>
      </c>
      <c r="O6" s="4">
        <f>'Hampshire Daily'!P9-'Hampshire Daily'!P8</f>
        <v>323</v>
      </c>
      <c r="P6" s="4">
        <f>'Hampshire Daily'!Q9-'Hampshire Daily'!Q8</f>
        <v>0</v>
      </c>
      <c r="Q6" s="4">
        <f>'Hampshire Daily'!R9-'Hampshire Daily'!R8</f>
        <v>322</v>
      </c>
      <c r="R6" s="4">
        <f>'Hampshire Daily'!S9-'Hampshire Daily'!S8</f>
        <v>103</v>
      </c>
      <c r="S6" s="4">
        <f>'Hampshire Daily'!T9-'Hampshire Daily'!T8</f>
        <v>105</v>
      </c>
      <c r="T6" s="4">
        <f>'Hampshire Daily'!U9-'Hampshire Daily'!U8</f>
        <v>11</v>
      </c>
      <c r="U6" s="4">
        <f>'Hampshire Daily'!V9-'Hampshire Daily'!V8</f>
        <v>2</v>
      </c>
      <c r="V6" s="4">
        <f>'Hampshire Daily'!W9-'Hampshire Daily'!W8</f>
        <v>0</v>
      </c>
      <c r="W6" s="4">
        <f>'Hampshire Daily'!X9-'Hampshire Daily'!X8</f>
        <v>0.29499999999995907</v>
      </c>
      <c r="X6" s="4">
        <f>'Hampshire Daily'!Y9-'Hampshire Daily'!Y8</f>
        <v>1.5000000000327418E-2</v>
      </c>
      <c r="Y6" s="4">
        <f>'Hampshire Daily'!B9</f>
        <v>37</v>
      </c>
      <c r="Z6" s="4">
        <f>'Hampshire Daily'!C9</f>
        <v>101</v>
      </c>
    </row>
    <row r="7" spans="1:30" x14ac:dyDescent="0.25">
      <c r="A7" s="3" t="s">
        <v>40</v>
      </c>
      <c r="B7" s="1">
        <f t="shared" si="0"/>
        <v>6</v>
      </c>
      <c r="C7" s="17">
        <v>1</v>
      </c>
      <c r="D7" s="1">
        <v>2022</v>
      </c>
      <c r="E7" s="4">
        <f>'Hampshire Daily'!D10-'Hampshire Daily'!D9</f>
        <v>4360</v>
      </c>
      <c r="F7" s="4">
        <f>'Hampshire Daily'!E10-'Hampshire Daily'!E9</f>
        <v>4368</v>
      </c>
      <c r="G7" s="4">
        <f>'Hampshire Daily'!H10-'Hampshire Daily'!H9</f>
        <v>53</v>
      </c>
      <c r="H7" s="4">
        <f>'Hampshire Daily'!I10-'Hampshire Daily'!I9</f>
        <v>2006.4000000003725</v>
      </c>
      <c r="I7" s="4">
        <f>'Hampshire Daily'!J10-'Hampshire Daily'!J9</f>
        <v>0</v>
      </c>
      <c r="J7" s="4">
        <f>'Hampshire Daily'!K10-'Hampshire Daily'!K9</f>
        <v>2429.4000000003725</v>
      </c>
      <c r="K7" s="4">
        <f>'Hampshire Daily'!L10-'Hampshire Daily'!L9</f>
        <v>1051</v>
      </c>
      <c r="L7" s="4">
        <f>'Hampshire Daily'!M10-'Hampshire Daily'!M9</f>
        <v>373</v>
      </c>
      <c r="M7" s="4">
        <f>'Hampshire Daily'!N10-'Hampshire Daily'!N9</f>
        <v>3216</v>
      </c>
      <c r="N7" s="4">
        <f>'Hampshire Daily'!O10-'Hampshire Daily'!O9</f>
        <v>117</v>
      </c>
      <c r="O7" s="4">
        <f>'Hampshire Daily'!P10-'Hampshire Daily'!P9</f>
        <v>0</v>
      </c>
      <c r="P7" s="4">
        <f>'Hampshire Daily'!Q10-'Hampshire Daily'!Q9</f>
        <v>0</v>
      </c>
      <c r="Q7" s="4">
        <f>'Hampshire Daily'!R10-'Hampshire Daily'!R9</f>
        <v>568</v>
      </c>
      <c r="R7" s="4">
        <f>'Hampshire Daily'!S10-'Hampshire Daily'!S9</f>
        <v>88</v>
      </c>
      <c r="S7" s="4">
        <f>'Hampshire Daily'!T10-'Hampshire Daily'!T9</f>
        <v>87</v>
      </c>
      <c r="T7" s="4">
        <f>'Hampshire Daily'!U10-'Hampshire Daily'!U9</f>
        <v>10</v>
      </c>
      <c r="U7" s="4">
        <f>'Hampshire Daily'!V10-'Hampshire Daily'!V9</f>
        <v>1</v>
      </c>
      <c r="V7" s="4">
        <f>'Hampshire Daily'!W10-'Hampshire Daily'!W9</f>
        <v>0</v>
      </c>
      <c r="W7" s="4">
        <f>'Hampshire Daily'!X10-'Hampshire Daily'!X9</f>
        <v>0.27700000000004366</v>
      </c>
      <c r="X7" s="4">
        <f>'Hampshire Daily'!Y10-'Hampshire Daily'!Y9</f>
        <v>1.3999999999668944E-2</v>
      </c>
      <c r="Y7" s="4">
        <f>'Hampshire Daily'!B10</f>
        <v>35</v>
      </c>
      <c r="Z7" s="4">
        <f>'Hampshire Daily'!C10</f>
        <v>104</v>
      </c>
    </row>
    <row r="8" spans="1:30" x14ac:dyDescent="0.25">
      <c r="A8" s="3" t="s">
        <v>40</v>
      </c>
      <c r="B8" s="1">
        <f t="shared" si="0"/>
        <v>7</v>
      </c>
      <c r="C8" s="17">
        <v>1</v>
      </c>
      <c r="D8" s="1">
        <v>2022</v>
      </c>
      <c r="E8" s="4">
        <f>'Hampshire Daily'!D11-'Hampshire Daily'!D10</f>
        <v>3127</v>
      </c>
      <c r="F8" s="4">
        <f>'Hampshire Daily'!E11-'Hampshire Daily'!E10</f>
        <v>3130</v>
      </c>
      <c r="G8" s="4">
        <f>'Hampshire Daily'!H11-'Hampshire Daily'!H10</f>
        <v>0</v>
      </c>
      <c r="H8" s="4">
        <f>'Hampshire Daily'!I11-'Hampshire Daily'!I10</f>
        <v>2006.4000000003725</v>
      </c>
      <c r="I8" s="4">
        <f>'Hampshire Daily'!J11-'Hampshire Daily'!J10</f>
        <v>0</v>
      </c>
      <c r="J8" s="4">
        <f>'Hampshire Daily'!K11-'Hampshire Daily'!K10</f>
        <v>2429.4000000003725</v>
      </c>
      <c r="K8" s="4">
        <f>'Hampshire Daily'!L11-'Hampshire Daily'!L10</f>
        <v>1051</v>
      </c>
      <c r="L8" s="4">
        <f>'Hampshire Daily'!M11-'Hampshire Daily'!M10</f>
        <v>44</v>
      </c>
      <c r="M8" s="4">
        <f>'Hampshire Daily'!N11-'Hampshire Daily'!N10</f>
        <v>3496</v>
      </c>
      <c r="N8" s="4">
        <f>'Hampshire Daily'!O11-'Hampshire Daily'!O10</f>
        <v>114</v>
      </c>
      <c r="O8" s="4">
        <f>'Hampshire Daily'!P11-'Hampshire Daily'!P10</f>
        <v>0</v>
      </c>
      <c r="P8" s="4">
        <f>'Hampshire Daily'!Q11-'Hampshire Daily'!Q10</f>
        <v>0</v>
      </c>
      <c r="Q8" s="4">
        <f>'Hampshire Daily'!R11-'Hampshire Daily'!R10</f>
        <v>445</v>
      </c>
      <c r="R8" s="4">
        <f>'Hampshire Daily'!S11-'Hampshire Daily'!S10</f>
        <v>86</v>
      </c>
      <c r="S8" s="4">
        <f>'Hampshire Daily'!T11-'Hampshire Daily'!T10</f>
        <v>89</v>
      </c>
      <c r="T8" s="4">
        <f>'Hampshire Daily'!U11-'Hampshire Daily'!U10</f>
        <v>9</v>
      </c>
      <c r="U8" s="4">
        <f>'Hampshire Daily'!V11-'Hampshire Daily'!V10</f>
        <v>1</v>
      </c>
      <c r="V8" s="4">
        <f>'Hampshire Daily'!W11-'Hampshire Daily'!W10</f>
        <v>0</v>
      </c>
      <c r="W8" s="4">
        <f>'Hampshire Daily'!X11-'Hampshire Daily'!X10</f>
        <v>0.23599999999999</v>
      </c>
      <c r="X8" s="4">
        <f>'Hampshire Daily'!Y11-'Hampshire Daily'!Y10</f>
        <v>1.0000000002037268E-3</v>
      </c>
      <c r="Y8" s="4">
        <f>'Hampshire Daily'!B11</f>
        <v>47</v>
      </c>
      <c r="Z8" s="4">
        <f>'Hampshire Daily'!C11</f>
        <v>115</v>
      </c>
    </row>
    <row r="9" spans="1:30" x14ac:dyDescent="0.25">
      <c r="A9" s="3" t="s">
        <v>40</v>
      </c>
      <c r="B9" s="1">
        <f t="shared" si="0"/>
        <v>8</v>
      </c>
      <c r="C9" s="17">
        <v>1</v>
      </c>
      <c r="D9" s="1">
        <v>2022</v>
      </c>
      <c r="E9" s="4">
        <f>'Hampshire Daily'!D12-'Hampshire Daily'!D11</f>
        <v>2514</v>
      </c>
      <c r="F9" s="4">
        <f>'Hampshire Daily'!E12-'Hampshire Daily'!E11</f>
        <v>2519</v>
      </c>
      <c r="G9" s="4">
        <f>'Hampshire Daily'!H12-'Hampshire Daily'!H11</f>
        <v>0</v>
      </c>
      <c r="H9" s="4">
        <f>'Hampshire Daily'!I12-'Hampshire Daily'!I11</f>
        <v>2006.4000000003725</v>
      </c>
      <c r="I9" s="4">
        <f>'Hampshire Daily'!J12-'Hampshire Daily'!J11</f>
        <v>0</v>
      </c>
      <c r="J9" s="4">
        <f>'Hampshire Daily'!K12-'Hampshire Daily'!K11</f>
        <v>2429.4000000003725</v>
      </c>
      <c r="K9" s="4">
        <f>'Hampshire Daily'!L12-'Hampshire Daily'!L11</f>
        <v>1051</v>
      </c>
      <c r="L9" s="4">
        <f>'Hampshire Daily'!M12-'Hampshire Daily'!M11</f>
        <v>4</v>
      </c>
      <c r="M9" s="4">
        <f>'Hampshire Daily'!N12-'Hampshire Daily'!N11</f>
        <v>3460</v>
      </c>
      <c r="N9" s="4">
        <f>'Hampshire Daily'!O12-'Hampshire Daily'!O11</f>
        <v>112</v>
      </c>
      <c r="O9" s="4">
        <f>'Hampshire Daily'!P12-'Hampshire Daily'!P11</f>
        <v>247</v>
      </c>
      <c r="P9" s="4">
        <f>'Hampshire Daily'!Q12-'Hampshire Daily'!Q11</f>
        <v>0</v>
      </c>
      <c r="Q9" s="4">
        <f>'Hampshire Daily'!R12-'Hampshire Daily'!R11</f>
        <v>0</v>
      </c>
      <c r="R9" s="4">
        <f>'Hampshire Daily'!S12-'Hampshire Daily'!S11</f>
        <v>85</v>
      </c>
      <c r="S9" s="4">
        <f>'Hampshire Daily'!T12-'Hampshire Daily'!T11</f>
        <v>85</v>
      </c>
      <c r="T9" s="4">
        <f>'Hampshire Daily'!U12-'Hampshire Daily'!U11</f>
        <v>10</v>
      </c>
      <c r="U9" s="4">
        <f>'Hampshire Daily'!V12-'Hampshire Daily'!V11</f>
        <v>1</v>
      </c>
      <c r="V9" s="4">
        <f>'Hampshire Daily'!W12-'Hampshire Daily'!W11</f>
        <v>0</v>
      </c>
      <c r="W9" s="4">
        <f>'Hampshire Daily'!X12-'Hampshire Daily'!X11</f>
        <v>0.2459999999999809</v>
      </c>
      <c r="X9" s="4">
        <f>'Hampshire Daily'!Y12-'Hampshire Daily'!Y11</f>
        <v>0</v>
      </c>
      <c r="Y9" s="4">
        <f>'Hampshire Daily'!B12</f>
        <v>54</v>
      </c>
      <c r="Z9" s="4">
        <f>'Hampshire Daily'!C12</f>
        <v>133</v>
      </c>
    </row>
    <row r="10" spans="1:30" x14ac:dyDescent="0.25">
      <c r="A10" s="3" t="s">
        <v>40</v>
      </c>
      <c r="B10" s="1">
        <f t="shared" si="0"/>
        <v>9</v>
      </c>
      <c r="C10" s="17">
        <v>1</v>
      </c>
      <c r="D10" s="1">
        <v>2022</v>
      </c>
      <c r="E10" s="4">
        <f>'Hampshire Daily'!D13-'Hampshire Daily'!D12</f>
        <v>2474</v>
      </c>
      <c r="F10" s="4">
        <f>'Hampshire Daily'!E13-'Hampshire Daily'!E12</f>
        <v>2478</v>
      </c>
      <c r="G10" s="4">
        <f>'Hampshire Daily'!H13-'Hampshire Daily'!H12</f>
        <v>0</v>
      </c>
      <c r="H10" s="4">
        <f>'Hampshire Daily'!I13-'Hampshire Daily'!I12</f>
        <v>2006.4000000003725</v>
      </c>
      <c r="I10" s="4">
        <f>'Hampshire Daily'!J13-'Hampshire Daily'!J12</f>
        <v>0</v>
      </c>
      <c r="J10" s="4">
        <f>'Hampshire Daily'!K13-'Hampshire Daily'!K12</f>
        <v>2429.4000000003725</v>
      </c>
      <c r="K10" s="4">
        <f>'Hampshire Daily'!L13-'Hampshire Daily'!L12</f>
        <v>1051</v>
      </c>
      <c r="L10" s="4">
        <f>'Hampshire Daily'!M13-'Hampshire Daily'!M12</f>
        <v>9</v>
      </c>
      <c r="M10" s="4">
        <f>'Hampshire Daily'!N13-'Hampshire Daily'!N12</f>
        <v>3069</v>
      </c>
      <c r="N10" s="4">
        <f>'Hampshire Daily'!O13-'Hampshire Daily'!O12</f>
        <v>115</v>
      </c>
      <c r="O10" s="4">
        <f>'Hampshire Daily'!P13-'Hampshire Daily'!P12</f>
        <v>0</v>
      </c>
      <c r="P10" s="4">
        <f>'Hampshire Daily'!Q13-'Hampshire Daily'!Q12</f>
        <v>0</v>
      </c>
      <c r="Q10" s="4">
        <f>'Hampshire Daily'!R13-'Hampshire Daily'!R12</f>
        <v>0</v>
      </c>
      <c r="R10" s="4">
        <f>'Hampshire Daily'!S13-'Hampshire Daily'!S12</f>
        <v>83</v>
      </c>
      <c r="S10" s="4">
        <f>'Hampshire Daily'!T13-'Hampshire Daily'!T12</f>
        <v>85</v>
      </c>
      <c r="T10" s="4">
        <f>'Hampshire Daily'!U13-'Hampshire Daily'!U12</f>
        <v>9</v>
      </c>
      <c r="U10" s="4">
        <f>'Hampshire Daily'!V13-'Hampshire Daily'!V12</f>
        <v>1</v>
      </c>
      <c r="V10" s="4">
        <f>'Hampshire Daily'!W13-'Hampshire Daily'!W12</f>
        <v>0</v>
      </c>
      <c r="W10" s="4">
        <f>'Hampshire Daily'!X13-'Hampshire Daily'!X12</f>
        <v>0.17200000000002547</v>
      </c>
      <c r="X10" s="4">
        <f>'Hampshire Daily'!Y13-'Hampshire Daily'!Y12</f>
        <v>0</v>
      </c>
      <c r="Y10" s="4">
        <f>'Hampshire Daily'!B13</f>
        <v>18</v>
      </c>
      <c r="Z10" s="4">
        <f>'Hampshire Daily'!C13</f>
        <v>48</v>
      </c>
    </row>
    <row r="11" spans="1:30" x14ac:dyDescent="0.25">
      <c r="A11" s="3" t="s">
        <v>40</v>
      </c>
      <c r="B11" s="1">
        <f t="shared" si="0"/>
        <v>10</v>
      </c>
      <c r="C11" s="17">
        <v>1</v>
      </c>
      <c r="D11" s="1">
        <v>2022</v>
      </c>
      <c r="E11" s="4">
        <f>'Hampshire Daily'!D14-'Hampshire Daily'!D13</f>
        <v>2352</v>
      </c>
      <c r="F11" s="4">
        <f>'Hampshire Daily'!E14-'Hampshire Daily'!E13</f>
        <v>2355</v>
      </c>
      <c r="G11" s="4">
        <f>'Hampshire Daily'!H14-'Hampshire Daily'!H13</f>
        <v>0</v>
      </c>
      <c r="H11" s="4">
        <f>'Hampshire Daily'!I14-'Hampshire Daily'!I13</f>
        <v>2006.4000000003725</v>
      </c>
      <c r="I11" s="4">
        <f>'Hampshire Daily'!J14-'Hampshire Daily'!J13</f>
        <v>0</v>
      </c>
      <c r="J11" s="4">
        <f>'Hampshire Daily'!K14-'Hampshire Daily'!K13</f>
        <v>2429.4000000003725</v>
      </c>
      <c r="K11" s="4">
        <f>'Hampshire Daily'!L14-'Hampshire Daily'!L13</f>
        <v>1051</v>
      </c>
      <c r="L11" s="4">
        <f>'Hampshire Daily'!M14-'Hampshire Daily'!M13</f>
        <v>1</v>
      </c>
      <c r="M11" s="4">
        <f>'Hampshire Daily'!N14-'Hampshire Daily'!N13</f>
        <v>3159</v>
      </c>
      <c r="N11" s="4">
        <f>'Hampshire Daily'!O14-'Hampshire Daily'!O13</f>
        <v>136</v>
      </c>
      <c r="O11" s="4">
        <f>'Hampshire Daily'!P14-'Hampshire Daily'!P13</f>
        <v>0</v>
      </c>
      <c r="P11" s="4">
        <f>'Hampshire Daily'!Q14-'Hampshire Daily'!Q13</f>
        <v>0</v>
      </c>
      <c r="Q11" s="4">
        <f>'Hampshire Daily'!R14-'Hampshire Daily'!R13</f>
        <v>463</v>
      </c>
      <c r="R11" s="4">
        <f>'Hampshire Daily'!S14-'Hampshire Daily'!S13</f>
        <v>80</v>
      </c>
      <c r="S11" s="4">
        <f>'Hampshire Daily'!T14-'Hampshire Daily'!T13</f>
        <v>66</v>
      </c>
      <c r="T11" s="4">
        <f>'Hampshire Daily'!U14-'Hampshire Daily'!U13</f>
        <v>9</v>
      </c>
      <c r="U11" s="4">
        <f>'Hampshire Daily'!V14-'Hampshire Daily'!V13</f>
        <v>13</v>
      </c>
      <c r="V11" s="4">
        <f>'Hampshire Daily'!W14-'Hampshire Daily'!W13</f>
        <v>0</v>
      </c>
      <c r="W11" s="4">
        <f>'Hampshire Daily'!X14-'Hampshire Daily'!X13</f>
        <v>0.19499999999993634</v>
      </c>
      <c r="X11" s="4">
        <f>'Hampshire Daily'!Y14-'Hampshire Daily'!Y13</f>
        <v>0</v>
      </c>
      <c r="Y11" s="4">
        <f>'Hampshire Daily'!B14</f>
        <v>17</v>
      </c>
      <c r="Z11" s="4">
        <f>'Hampshire Daily'!C14</f>
        <v>37</v>
      </c>
    </row>
    <row r="12" spans="1:30" x14ac:dyDescent="0.25">
      <c r="A12" s="3" t="s">
        <v>40</v>
      </c>
      <c r="B12" s="1">
        <f t="shared" si="0"/>
        <v>11</v>
      </c>
      <c r="C12" s="17">
        <v>1</v>
      </c>
      <c r="D12" s="1">
        <v>2022</v>
      </c>
      <c r="E12" s="4">
        <f>'Hampshire Daily'!D15-'Hampshire Daily'!D14</f>
        <v>2829</v>
      </c>
      <c r="F12" s="4">
        <f>'Hampshire Daily'!E15-'Hampshire Daily'!E14</f>
        <v>2833</v>
      </c>
      <c r="G12" s="4">
        <f>'Hampshire Daily'!H15-'Hampshire Daily'!H14</f>
        <v>0</v>
      </c>
      <c r="H12" s="4">
        <f>'Hampshire Daily'!I15-'Hampshire Daily'!I14</f>
        <v>2006.4000000003725</v>
      </c>
      <c r="I12" s="4">
        <f>'Hampshire Daily'!J15-'Hampshire Daily'!J14</f>
        <v>0</v>
      </c>
      <c r="J12" s="4">
        <f>'Hampshire Daily'!K15-'Hampshire Daily'!K14</f>
        <v>2429.4000000003725</v>
      </c>
      <c r="K12" s="4">
        <f>'Hampshire Daily'!L15-'Hampshire Daily'!L14</f>
        <v>1051</v>
      </c>
      <c r="L12" s="4">
        <f>'Hampshire Daily'!M15-'Hampshire Daily'!M14</f>
        <v>3</v>
      </c>
      <c r="M12" s="4">
        <f>'Hampshire Daily'!N15-'Hampshire Daily'!N14</f>
        <v>3022</v>
      </c>
      <c r="N12" s="4">
        <f>'Hampshire Daily'!O15-'Hampshire Daily'!O14</f>
        <v>79</v>
      </c>
      <c r="O12" s="4">
        <f>'Hampshire Daily'!P15-'Hampshire Daily'!P14</f>
        <v>0</v>
      </c>
      <c r="P12" s="4">
        <f>'Hampshire Daily'!Q15-'Hampshire Daily'!Q14</f>
        <v>0</v>
      </c>
      <c r="Q12" s="4">
        <f>'Hampshire Daily'!R15-'Hampshire Daily'!R14</f>
        <v>731</v>
      </c>
      <c r="R12" s="4">
        <f>'Hampshire Daily'!S15-'Hampshire Daily'!S14</f>
        <v>57</v>
      </c>
      <c r="S12" s="4">
        <f>'Hampshire Daily'!T15-'Hampshire Daily'!T14</f>
        <v>75</v>
      </c>
      <c r="T12" s="4">
        <f>'Hampshire Daily'!U15-'Hampshire Daily'!U14</f>
        <v>9</v>
      </c>
      <c r="U12" s="4">
        <f>'Hampshire Daily'!V15-'Hampshire Daily'!V14</f>
        <v>1</v>
      </c>
      <c r="V12" s="4">
        <f>'Hampshire Daily'!W15-'Hampshire Daily'!W14</f>
        <v>0</v>
      </c>
      <c r="W12" s="4">
        <f>'Hampshire Daily'!X15-'Hampshire Daily'!X14</f>
        <v>0.19300000000009732</v>
      </c>
      <c r="X12" s="4">
        <f>'Hampshire Daily'!Y15-'Hampshire Daily'!Y14</f>
        <v>0</v>
      </c>
      <c r="Y12" s="4">
        <f>'Hampshire Daily'!B15</f>
        <v>10</v>
      </c>
      <c r="Z12" s="4">
        <f>'Hampshire Daily'!C15</f>
        <v>27</v>
      </c>
    </row>
    <row r="13" spans="1:30" x14ac:dyDescent="0.25">
      <c r="A13" s="3" t="s">
        <v>40</v>
      </c>
      <c r="B13" s="1">
        <f t="shared" si="0"/>
        <v>12</v>
      </c>
      <c r="C13" s="17">
        <v>1</v>
      </c>
      <c r="D13" s="1">
        <v>2022</v>
      </c>
      <c r="E13" s="4">
        <f>'Hampshire Daily'!D16-'Hampshire Daily'!D15</f>
        <v>2953</v>
      </c>
      <c r="F13" s="4">
        <f>'Hampshire Daily'!E16-'Hampshire Daily'!E15</f>
        <v>2958</v>
      </c>
      <c r="G13" s="4">
        <f>'Hampshire Daily'!H16-'Hampshire Daily'!H15</f>
        <v>0</v>
      </c>
      <c r="H13" s="4">
        <f>'Hampshire Daily'!I16-'Hampshire Daily'!I15</f>
        <v>2006.4000000003725</v>
      </c>
      <c r="I13" s="4">
        <f>'Hampshire Daily'!J16-'Hampshire Daily'!J15</f>
        <v>0</v>
      </c>
      <c r="J13" s="4">
        <f>'Hampshire Daily'!K16-'Hampshire Daily'!K15</f>
        <v>2429.4000000003725</v>
      </c>
      <c r="K13" s="4">
        <f>'Hampshire Daily'!L16-'Hampshire Daily'!L15</f>
        <v>1051</v>
      </c>
      <c r="L13" s="4">
        <f>'Hampshire Daily'!M16-'Hampshire Daily'!M15</f>
        <v>1</v>
      </c>
      <c r="M13" s="4">
        <f>'Hampshire Daily'!N16-'Hampshire Daily'!N15</f>
        <v>2999</v>
      </c>
      <c r="N13" s="4">
        <f>'Hampshire Daily'!O16-'Hampshire Daily'!O15</f>
        <v>54</v>
      </c>
      <c r="O13" s="4">
        <f>'Hampshire Daily'!P16-'Hampshire Daily'!P15</f>
        <v>0</v>
      </c>
      <c r="P13" s="4">
        <f>'Hampshire Daily'!Q16-'Hampshire Daily'!Q15</f>
        <v>0</v>
      </c>
      <c r="Q13" s="4">
        <f>'Hampshire Daily'!R16-'Hampshire Daily'!R15</f>
        <v>658</v>
      </c>
      <c r="R13" s="4">
        <f>'Hampshire Daily'!S16-'Hampshire Daily'!S15</f>
        <v>19</v>
      </c>
      <c r="S13" s="4">
        <f>'Hampshire Daily'!T16-'Hampshire Daily'!T15</f>
        <v>26</v>
      </c>
      <c r="T13" s="4">
        <f>'Hampshire Daily'!U16-'Hampshire Daily'!U15</f>
        <v>8</v>
      </c>
      <c r="U13" s="4">
        <f>'Hampshire Daily'!V16-'Hampshire Daily'!V15</f>
        <v>1</v>
      </c>
      <c r="V13" s="4">
        <f>'Hampshire Daily'!W16-'Hampshire Daily'!W15</f>
        <v>0</v>
      </c>
      <c r="W13" s="4">
        <f>'Hampshire Daily'!X16-'Hampshire Daily'!X15</f>
        <v>0.20299999999997453</v>
      </c>
      <c r="X13" s="4">
        <f>'Hampshire Daily'!Y16-'Hampshire Daily'!Y15</f>
        <v>0</v>
      </c>
      <c r="Y13" s="4">
        <f>'Hampshire Daily'!B16</f>
        <v>26</v>
      </c>
      <c r="Z13" s="4">
        <f>'Hampshire Daily'!C16</f>
        <v>43</v>
      </c>
    </row>
    <row r="14" spans="1:30" x14ac:dyDescent="0.25">
      <c r="A14" s="3" t="s">
        <v>40</v>
      </c>
      <c r="B14" s="1">
        <f t="shared" si="0"/>
        <v>13</v>
      </c>
      <c r="C14" s="17">
        <v>1</v>
      </c>
      <c r="D14" s="1">
        <v>2022</v>
      </c>
      <c r="E14" s="4">
        <f>'Hampshire Daily'!D17-'Hampshire Daily'!D16</f>
        <v>2810</v>
      </c>
      <c r="F14" s="4">
        <f>'Hampshire Daily'!E17-'Hampshire Daily'!E16</f>
        <v>2814</v>
      </c>
      <c r="G14" s="4">
        <f>'Hampshire Daily'!H17-'Hampshire Daily'!H16</f>
        <v>814</v>
      </c>
      <c r="H14" s="4">
        <f>'Hampshire Daily'!I17-'Hampshire Daily'!I16</f>
        <v>2006.4000000003725</v>
      </c>
      <c r="I14" s="4">
        <f>'Hampshire Daily'!J17-'Hampshire Daily'!J16</f>
        <v>0</v>
      </c>
      <c r="J14" s="4">
        <f>'Hampshire Daily'!K17-'Hampshire Daily'!K16</f>
        <v>2429.4000000003725</v>
      </c>
      <c r="K14" s="4">
        <f>'Hampshire Daily'!L17-'Hampshire Daily'!L16</f>
        <v>1051</v>
      </c>
      <c r="L14" s="4">
        <f>'Hampshire Daily'!M17-'Hampshire Daily'!M16</f>
        <v>1</v>
      </c>
      <c r="M14" s="4">
        <f>'Hampshire Daily'!N17-'Hampshire Daily'!N16</f>
        <v>3075</v>
      </c>
      <c r="N14" s="4">
        <f>'Hampshire Daily'!O17-'Hampshire Daily'!O16</f>
        <v>62</v>
      </c>
      <c r="O14" s="4">
        <f>'Hampshire Daily'!P17-'Hampshire Daily'!P16</f>
        <v>236</v>
      </c>
      <c r="P14" s="4">
        <f>'Hampshire Daily'!Q17-'Hampshire Daily'!Q16</f>
        <v>0</v>
      </c>
      <c r="Q14" s="4">
        <f>'Hampshire Daily'!R17-'Hampshire Daily'!R16</f>
        <v>496</v>
      </c>
      <c r="R14" s="4">
        <f>'Hampshire Daily'!S17-'Hampshire Daily'!S16</f>
        <v>29</v>
      </c>
      <c r="S14" s="4">
        <f>'Hampshire Daily'!T17-'Hampshire Daily'!T16</f>
        <v>36</v>
      </c>
      <c r="T14" s="4">
        <f>'Hampshire Daily'!U17-'Hampshire Daily'!U16</f>
        <v>9</v>
      </c>
      <c r="U14" s="4">
        <f>'Hampshire Daily'!V17-'Hampshire Daily'!V16</f>
        <v>1</v>
      </c>
      <c r="V14" s="4">
        <f>'Hampshire Daily'!W17-'Hampshire Daily'!W16</f>
        <v>0</v>
      </c>
      <c r="W14" s="4">
        <f>'Hampshire Daily'!X17-'Hampshire Daily'!X16</f>
        <v>0.16399999999998727</v>
      </c>
      <c r="X14" s="4">
        <f>'Hampshire Daily'!Y17-'Hampshire Daily'!Y16</f>
        <v>0</v>
      </c>
      <c r="Y14" s="4">
        <f>'Hampshire Daily'!B17</f>
        <v>24</v>
      </c>
      <c r="Z14" s="4">
        <f>'Hampshire Daily'!C17</f>
        <v>45</v>
      </c>
    </row>
    <row r="15" spans="1:30" x14ac:dyDescent="0.25">
      <c r="A15" s="3" t="s">
        <v>40</v>
      </c>
      <c r="B15" s="1">
        <f t="shared" si="0"/>
        <v>14</v>
      </c>
      <c r="C15" s="17">
        <v>1</v>
      </c>
      <c r="D15" s="1">
        <v>2022</v>
      </c>
      <c r="E15" s="4">
        <f>'Hampshire Daily'!D18-'Hampshire Daily'!D17</f>
        <v>2804</v>
      </c>
      <c r="F15" s="4">
        <f>'Hampshire Daily'!E18-'Hampshire Daily'!E17</f>
        <v>2810</v>
      </c>
      <c r="G15" s="4">
        <f>'Hampshire Daily'!H18-'Hampshire Daily'!H17</f>
        <v>140</v>
      </c>
      <c r="H15" s="4">
        <f>'Hampshire Daily'!I18-'Hampshire Daily'!I17</f>
        <v>2006.4000000003725</v>
      </c>
      <c r="I15" s="4">
        <f>'Hampshire Daily'!J18-'Hampshire Daily'!J17</f>
        <v>0</v>
      </c>
      <c r="J15" s="4">
        <f>'Hampshire Daily'!K18-'Hampshire Daily'!K17</f>
        <v>2429.4000000003725</v>
      </c>
      <c r="K15" s="4">
        <f>'Hampshire Daily'!L18-'Hampshire Daily'!L17</f>
        <v>1051</v>
      </c>
      <c r="L15" s="4">
        <f>'Hampshire Daily'!M18-'Hampshire Daily'!M17</f>
        <v>3</v>
      </c>
      <c r="M15" s="4">
        <f>'Hampshire Daily'!N18-'Hampshire Daily'!N17</f>
        <v>2872</v>
      </c>
      <c r="N15" s="4">
        <f>'Hampshire Daily'!O18-'Hampshire Daily'!O17</f>
        <v>63.700000000011642</v>
      </c>
      <c r="O15" s="4">
        <f>'Hampshire Daily'!P18-'Hampshire Daily'!P17</f>
        <v>0</v>
      </c>
      <c r="P15" s="4">
        <f>'Hampshire Daily'!Q18-'Hampshire Daily'!Q17</f>
        <v>0</v>
      </c>
      <c r="Q15" s="4">
        <f>'Hampshire Daily'!R18-'Hampshire Daily'!R17</f>
        <v>662</v>
      </c>
      <c r="R15" s="4">
        <f>'Hampshire Daily'!S18-'Hampshire Daily'!S17</f>
        <v>22</v>
      </c>
      <c r="S15" s="4">
        <f>'Hampshire Daily'!T18-'Hampshire Daily'!T17</f>
        <v>28</v>
      </c>
      <c r="T15" s="4">
        <f>'Hampshire Daily'!U18-'Hampshire Daily'!U17</f>
        <v>8</v>
      </c>
      <c r="U15" s="4">
        <f>'Hampshire Daily'!V18-'Hampshire Daily'!V17</f>
        <v>2</v>
      </c>
      <c r="V15" s="4">
        <f>'Hampshire Daily'!W18-'Hampshire Daily'!W17</f>
        <v>0</v>
      </c>
      <c r="W15" s="4">
        <f>'Hampshire Daily'!X18-'Hampshire Daily'!X17</f>
        <v>0.17600000000004457</v>
      </c>
      <c r="X15" s="4">
        <f>'Hampshire Daily'!Y18-'Hampshire Daily'!Y17</f>
        <v>0</v>
      </c>
      <c r="Y15" s="4">
        <f>'Hampshire Daily'!B18</f>
        <v>28</v>
      </c>
      <c r="Z15" s="4">
        <f>'Hampshire Daily'!C18</f>
        <v>69</v>
      </c>
    </row>
    <row r="16" spans="1:30" x14ac:dyDescent="0.25">
      <c r="A16" s="3" t="s">
        <v>40</v>
      </c>
      <c r="B16" s="1">
        <f t="shared" si="0"/>
        <v>15</v>
      </c>
      <c r="C16" s="17">
        <v>1</v>
      </c>
      <c r="D16" s="1">
        <v>2022</v>
      </c>
      <c r="E16" s="4">
        <f>'Hampshire Daily'!D19-'Hampshire Daily'!D18</f>
        <v>3075</v>
      </c>
      <c r="F16" s="4">
        <f>'Hampshire Daily'!E19-'Hampshire Daily'!E18</f>
        <v>3079</v>
      </c>
      <c r="G16" s="4">
        <f>'Hampshire Daily'!H19-'Hampshire Daily'!H18</f>
        <v>0</v>
      </c>
      <c r="H16" s="4">
        <f>'Hampshire Daily'!I19-'Hampshire Daily'!I18</f>
        <v>2006.4000000003725</v>
      </c>
      <c r="I16" s="4">
        <f>'Hampshire Daily'!J19-'Hampshire Daily'!J18</f>
        <v>0</v>
      </c>
      <c r="J16" s="4">
        <f>'Hampshire Daily'!K19-'Hampshire Daily'!K18</f>
        <v>2429.4000000003725</v>
      </c>
      <c r="K16" s="4">
        <f>'Hampshire Daily'!L19-'Hampshire Daily'!L18</f>
        <v>1051</v>
      </c>
      <c r="L16" s="4">
        <f>'Hampshire Daily'!M19-'Hampshire Daily'!M18</f>
        <v>4</v>
      </c>
      <c r="M16" s="4">
        <f>'Hampshire Daily'!N19-'Hampshire Daily'!N18</f>
        <v>3391</v>
      </c>
      <c r="N16" s="4">
        <f>'Hampshire Daily'!O19-'Hampshire Daily'!O18</f>
        <v>63.299999999988358</v>
      </c>
      <c r="O16" s="4">
        <f>'Hampshire Daily'!P19-'Hampshire Daily'!P18</f>
        <v>0</v>
      </c>
      <c r="P16" s="4">
        <f>'Hampshire Daily'!Q19-'Hampshire Daily'!Q18</f>
        <v>0</v>
      </c>
      <c r="Q16" s="4">
        <f>'Hampshire Daily'!R19-'Hampshire Daily'!R18</f>
        <v>715</v>
      </c>
      <c r="R16" s="4">
        <f>'Hampshire Daily'!S19-'Hampshire Daily'!S18</f>
        <v>38</v>
      </c>
      <c r="S16" s="4">
        <f>'Hampshire Daily'!T19-'Hampshire Daily'!T18</f>
        <v>46</v>
      </c>
      <c r="T16" s="4">
        <f>'Hampshire Daily'!U19-'Hampshire Daily'!U18</f>
        <v>10</v>
      </c>
      <c r="U16" s="4">
        <f>'Hampshire Daily'!V19-'Hampshire Daily'!V18</f>
        <v>1</v>
      </c>
      <c r="V16" s="4">
        <f>'Hampshire Daily'!W19-'Hampshire Daily'!W18</f>
        <v>0</v>
      </c>
      <c r="W16" s="4">
        <f>'Hampshire Daily'!X19-'Hampshire Daily'!X18</f>
        <v>0.24099999999998545</v>
      </c>
      <c r="X16" s="4">
        <f>'Hampshire Daily'!Y19-'Hampshire Daily'!Y18</f>
        <v>0</v>
      </c>
      <c r="Y16" s="4">
        <f>'Hampshire Daily'!B19</f>
        <v>49</v>
      </c>
      <c r="Z16" s="4">
        <f>'Hampshire Daily'!C19</f>
        <v>128</v>
      </c>
    </row>
    <row r="17" spans="1:26" x14ac:dyDescent="0.25">
      <c r="A17" s="3" t="s">
        <v>40</v>
      </c>
      <c r="B17" s="1">
        <f t="shared" si="0"/>
        <v>16</v>
      </c>
      <c r="C17" s="17">
        <v>1</v>
      </c>
      <c r="D17" s="1">
        <v>2022</v>
      </c>
      <c r="E17" s="4">
        <f>'Hampshire Daily'!D20-'Hampshire Daily'!D19</f>
        <v>2870</v>
      </c>
      <c r="F17" s="4">
        <f>'Hampshire Daily'!E20-'Hampshire Daily'!E19</f>
        <v>2875</v>
      </c>
      <c r="G17" s="4">
        <f>'Hampshire Daily'!H20-'Hampshire Daily'!H19</f>
        <v>0</v>
      </c>
      <c r="H17" s="4">
        <f>'Hampshire Daily'!I20-'Hampshire Daily'!I19</f>
        <v>2006.4000000003725</v>
      </c>
      <c r="I17" s="4">
        <f>'Hampshire Daily'!J20-'Hampshire Daily'!J19</f>
        <v>0</v>
      </c>
      <c r="J17" s="4">
        <f>'Hampshire Daily'!K20-'Hampshire Daily'!K19</f>
        <v>2429.4000000003725</v>
      </c>
      <c r="K17" s="4">
        <f>'Hampshire Daily'!L20-'Hampshire Daily'!L19</f>
        <v>1051</v>
      </c>
      <c r="L17" s="4">
        <f>'Hampshire Daily'!M20-'Hampshire Daily'!M19</f>
        <v>7</v>
      </c>
      <c r="M17" s="4">
        <f>'Hampshire Daily'!N20-'Hampshire Daily'!N19</f>
        <v>3088</v>
      </c>
      <c r="N17" s="4">
        <f>'Hampshire Daily'!O20-'Hampshire Daily'!O19</f>
        <v>64</v>
      </c>
      <c r="O17" s="4">
        <f>'Hampshire Daily'!P20-'Hampshire Daily'!P19</f>
        <v>0</v>
      </c>
      <c r="P17" s="4">
        <f>'Hampshire Daily'!Q20-'Hampshire Daily'!Q19</f>
        <v>0</v>
      </c>
      <c r="Q17" s="4">
        <f>'Hampshire Daily'!R20-'Hampshire Daily'!R19</f>
        <v>720</v>
      </c>
      <c r="R17" s="4">
        <f>'Hampshire Daily'!S20-'Hampshire Daily'!S19</f>
        <v>23</v>
      </c>
      <c r="S17" s="4">
        <f>'Hampshire Daily'!T20-'Hampshire Daily'!T19</f>
        <v>40</v>
      </c>
      <c r="T17" s="4">
        <f>'Hampshire Daily'!U20-'Hampshire Daily'!U19</f>
        <v>10</v>
      </c>
      <c r="U17" s="4">
        <f>'Hampshire Daily'!V20-'Hampshire Daily'!V19</f>
        <v>1</v>
      </c>
      <c r="V17" s="4">
        <f>'Hampshire Daily'!W20-'Hampshire Daily'!W19</f>
        <v>0</v>
      </c>
      <c r="W17" s="4">
        <f>'Hampshire Daily'!X20-'Hampshire Daily'!X19</f>
        <v>0.19799999999997908</v>
      </c>
      <c r="X17" s="4">
        <f>'Hampshire Daily'!Y20-'Hampshire Daily'!Y19</f>
        <v>0</v>
      </c>
      <c r="Y17" s="4">
        <f>'Hampshire Daily'!B20</f>
        <v>24</v>
      </c>
      <c r="Z17" s="4">
        <f>'Hampshire Daily'!C20</f>
        <v>54</v>
      </c>
    </row>
    <row r="18" spans="1:26" x14ac:dyDescent="0.25">
      <c r="A18" s="3" t="s">
        <v>40</v>
      </c>
      <c r="B18" s="1">
        <f t="shared" si="0"/>
        <v>17</v>
      </c>
      <c r="C18" s="17">
        <v>1</v>
      </c>
      <c r="D18" s="1">
        <v>2022</v>
      </c>
      <c r="E18" s="4">
        <f>'Hampshire Daily'!D21-'Hampshire Daily'!D20</f>
        <v>2778</v>
      </c>
      <c r="F18" s="4">
        <f>'Hampshire Daily'!E21-'Hampshire Daily'!E20</f>
        <v>2782</v>
      </c>
      <c r="G18" s="4">
        <f>'Hampshire Daily'!H21-'Hampshire Daily'!H20</f>
        <v>0</v>
      </c>
      <c r="H18" s="4">
        <f>'Hampshire Daily'!I21-'Hampshire Daily'!I20</f>
        <v>2006.4000000003725</v>
      </c>
      <c r="I18" s="4">
        <f>'Hampshire Daily'!J21-'Hampshire Daily'!J20</f>
        <v>0</v>
      </c>
      <c r="J18" s="4">
        <f>'Hampshire Daily'!K21-'Hampshire Daily'!K20</f>
        <v>2429.4000000003725</v>
      </c>
      <c r="K18" s="4">
        <f>'Hampshire Daily'!L21-'Hampshire Daily'!L20</f>
        <v>1051</v>
      </c>
      <c r="L18" s="4">
        <f>'Hampshire Daily'!M21-'Hampshire Daily'!M20</f>
        <v>3</v>
      </c>
      <c r="M18" s="4">
        <f>'Hampshire Daily'!N21-'Hampshire Daily'!N20</f>
        <v>3090</v>
      </c>
      <c r="N18" s="4">
        <f>'Hampshire Daily'!O21-'Hampshire Daily'!O20</f>
        <v>63</v>
      </c>
      <c r="O18" s="4">
        <f>'Hampshire Daily'!P21-'Hampshire Daily'!P20</f>
        <v>0</v>
      </c>
      <c r="P18" s="4">
        <f>'Hampshire Daily'!Q21-'Hampshire Daily'!Q20</f>
        <v>0</v>
      </c>
      <c r="Q18" s="4">
        <f>'Hampshire Daily'!R21-'Hampshire Daily'!R20</f>
        <v>732</v>
      </c>
      <c r="R18" s="4">
        <f>'Hampshire Daily'!S21-'Hampshire Daily'!S20</f>
        <v>29</v>
      </c>
      <c r="S18" s="4">
        <f>'Hampshire Daily'!T21-'Hampshire Daily'!T20</f>
        <v>39</v>
      </c>
      <c r="T18" s="4">
        <f>'Hampshire Daily'!U21-'Hampshire Daily'!U20</f>
        <v>8</v>
      </c>
      <c r="U18" s="4">
        <f>'Hampshire Daily'!V21-'Hampshire Daily'!V20</f>
        <v>1</v>
      </c>
      <c r="V18" s="4">
        <f>'Hampshire Daily'!W21-'Hampshire Daily'!W20</f>
        <v>0</v>
      </c>
      <c r="W18" s="4">
        <f>'Hampshire Daily'!X21-'Hampshire Daily'!X20</f>
        <v>0.21100000000001273</v>
      </c>
      <c r="X18" s="4">
        <f>'Hampshire Daily'!Y21-'Hampshire Daily'!Y20</f>
        <v>0</v>
      </c>
      <c r="Y18" s="4">
        <f>'Hampshire Daily'!B21</f>
        <v>16</v>
      </c>
      <c r="Z18" s="4">
        <f>'Hampshire Daily'!C21</f>
        <v>42</v>
      </c>
    </row>
    <row r="19" spans="1:26" x14ac:dyDescent="0.25">
      <c r="A19" s="3" t="s">
        <v>40</v>
      </c>
      <c r="B19" s="1">
        <f t="shared" si="0"/>
        <v>18</v>
      </c>
      <c r="C19" s="17">
        <v>1</v>
      </c>
      <c r="D19" s="1">
        <v>2022</v>
      </c>
      <c r="E19" s="4">
        <f>'Hampshire Daily'!D22-'Hampshire Daily'!D21</f>
        <v>2840</v>
      </c>
      <c r="F19" s="4">
        <f>'Hampshire Daily'!E22-'Hampshire Daily'!E21</f>
        <v>2845</v>
      </c>
      <c r="G19" s="4">
        <f>'Hampshire Daily'!H22-'Hampshire Daily'!H21</f>
        <v>0</v>
      </c>
      <c r="H19" s="4">
        <f>'Hampshire Daily'!I22-'Hampshire Daily'!I21</f>
        <v>2006.4000000003725</v>
      </c>
      <c r="I19" s="4">
        <f>'Hampshire Daily'!J22-'Hampshire Daily'!J21</f>
        <v>0</v>
      </c>
      <c r="J19" s="4">
        <f>'Hampshire Daily'!K22-'Hampshire Daily'!K21</f>
        <v>2429.4000000003725</v>
      </c>
      <c r="K19" s="4">
        <f>'Hampshire Daily'!L22-'Hampshire Daily'!L21</f>
        <v>1051</v>
      </c>
      <c r="L19" s="4">
        <f>'Hampshire Daily'!M22-'Hampshire Daily'!M21</f>
        <v>3</v>
      </c>
      <c r="M19" s="4">
        <f>'Hampshire Daily'!N22-'Hampshire Daily'!N21</f>
        <v>3287</v>
      </c>
      <c r="N19" s="4">
        <f>'Hampshire Daily'!O22-'Hampshire Daily'!O21</f>
        <v>64</v>
      </c>
      <c r="O19" s="4">
        <f>'Hampshire Daily'!P22-'Hampshire Daily'!P21</f>
        <v>0</v>
      </c>
      <c r="P19" s="4">
        <f>'Hampshire Daily'!Q22-'Hampshire Daily'!Q21</f>
        <v>0</v>
      </c>
      <c r="Q19" s="4">
        <f>'Hampshire Daily'!R22-'Hampshire Daily'!R21</f>
        <v>723</v>
      </c>
      <c r="R19" s="4">
        <f>'Hampshire Daily'!S22-'Hampshire Daily'!S21</f>
        <v>26</v>
      </c>
      <c r="S19" s="4">
        <f>'Hampshire Daily'!T22-'Hampshire Daily'!T21</f>
        <v>31</v>
      </c>
      <c r="T19" s="4">
        <f>'Hampshire Daily'!U22-'Hampshire Daily'!U21</f>
        <v>10</v>
      </c>
      <c r="U19" s="4">
        <f>'Hampshire Daily'!V22-'Hampshire Daily'!V21</f>
        <v>1</v>
      </c>
      <c r="V19" s="4">
        <f>'Hampshire Daily'!W22-'Hampshire Daily'!W21</f>
        <v>0</v>
      </c>
      <c r="W19" s="4">
        <f>'Hampshire Daily'!X22-'Hampshire Daily'!X21</f>
        <v>0.24099999999998545</v>
      </c>
      <c r="X19" s="4">
        <f>'Hampshire Daily'!Y22-'Hampshire Daily'!Y21</f>
        <v>0</v>
      </c>
      <c r="Y19" s="4">
        <f>'Hampshire Daily'!B22</f>
        <v>12</v>
      </c>
      <c r="Z19" s="4">
        <f>'Hampshire Daily'!C22</f>
        <v>31</v>
      </c>
    </row>
    <row r="20" spans="1:26" x14ac:dyDescent="0.25">
      <c r="A20" s="3" t="s">
        <v>40</v>
      </c>
      <c r="B20" s="1">
        <f t="shared" si="0"/>
        <v>19</v>
      </c>
      <c r="C20" s="17">
        <v>1</v>
      </c>
      <c r="D20" s="1">
        <v>2022</v>
      </c>
      <c r="E20" s="4">
        <f>'Hampshire Daily'!D23-'Hampshire Daily'!D22</f>
        <v>3190</v>
      </c>
      <c r="F20" s="4">
        <f>'Hampshire Daily'!E23-'Hampshire Daily'!E22</f>
        <v>3195</v>
      </c>
      <c r="G20" s="4">
        <f>'Hampshire Daily'!H23-'Hampshire Daily'!H22</f>
        <v>54</v>
      </c>
      <c r="H20" s="4">
        <f>'Hampshire Daily'!I23-'Hampshire Daily'!I22</f>
        <v>2006.4000000003725</v>
      </c>
      <c r="I20" s="4">
        <f>'Hampshire Daily'!J23-'Hampshire Daily'!J22</f>
        <v>0</v>
      </c>
      <c r="J20" s="4">
        <f>'Hampshire Daily'!K23-'Hampshire Daily'!K22</f>
        <v>2429.4000000003725</v>
      </c>
      <c r="K20" s="4">
        <f>'Hampshire Daily'!L23-'Hampshire Daily'!L22</f>
        <v>1051</v>
      </c>
      <c r="L20" s="4">
        <f>'Hampshire Daily'!M23-'Hampshire Daily'!M22</f>
        <v>78</v>
      </c>
      <c r="M20" s="4">
        <f>'Hampshire Daily'!N23-'Hampshire Daily'!N22</f>
        <v>3126</v>
      </c>
      <c r="N20" s="4">
        <f>'Hampshire Daily'!O23-'Hampshire Daily'!O22</f>
        <v>52</v>
      </c>
      <c r="O20" s="4">
        <f>'Hampshire Daily'!P23-'Hampshire Daily'!P22</f>
        <v>0</v>
      </c>
      <c r="P20" s="4">
        <f>'Hampshire Daily'!Q23-'Hampshire Daily'!Q22</f>
        <v>0</v>
      </c>
      <c r="Q20" s="4">
        <f>'Hampshire Daily'!R23-'Hampshire Daily'!R22</f>
        <v>663</v>
      </c>
      <c r="R20" s="4">
        <f>'Hampshire Daily'!S23-'Hampshire Daily'!S22</f>
        <v>25</v>
      </c>
      <c r="S20" s="4">
        <f>'Hampshire Daily'!T23-'Hampshire Daily'!T22</f>
        <v>31</v>
      </c>
      <c r="T20" s="4">
        <f>'Hampshire Daily'!U23-'Hampshire Daily'!U22</f>
        <v>10</v>
      </c>
      <c r="U20" s="4">
        <f>'Hampshire Daily'!V23-'Hampshire Daily'!V22</f>
        <v>2</v>
      </c>
      <c r="V20" s="4">
        <f>'Hampshire Daily'!W23-'Hampshire Daily'!W22</f>
        <v>0</v>
      </c>
      <c r="W20" s="4">
        <f>'Hampshire Daily'!X23-'Hampshire Daily'!X22</f>
        <v>0.21500000000003183</v>
      </c>
      <c r="X20" s="4">
        <f>'Hampshire Daily'!Y23-'Hampshire Daily'!Y22</f>
        <v>0</v>
      </c>
      <c r="Y20" s="4">
        <f>'Hampshire Daily'!B23</f>
        <v>9</v>
      </c>
      <c r="Z20" s="4">
        <f>'Hampshire Daily'!C23</f>
        <v>23</v>
      </c>
    </row>
    <row r="21" spans="1:26" x14ac:dyDescent="0.25">
      <c r="A21" s="3" t="s">
        <v>40</v>
      </c>
      <c r="B21" s="1">
        <f t="shared" si="0"/>
        <v>20</v>
      </c>
      <c r="C21" s="17">
        <v>1</v>
      </c>
      <c r="D21" s="1">
        <v>2022</v>
      </c>
      <c r="E21" s="4">
        <f>'Hampshire Daily'!D24-'Hampshire Daily'!D23</f>
        <v>2896</v>
      </c>
      <c r="F21" s="4">
        <f>'Hampshire Daily'!E24-'Hampshire Daily'!E23</f>
        <v>2900</v>
      </c>
      <c r="G21" s="4">
        <f>'Hampshire Daily'!H24-'Hampshire Daily'!H23</f>
        <v>0</v>
      </c>
      <c r="H21" s="4">
        <f>'Hampshire Daily'!I24-'Hampshire Daily'!I23</f>
        <v>2006.4000000003725</v>
      </c>
      <c r="I21" s="4">
        <f>'Hampshire Daily'!J24-'Hampshire Daily'!J23</f>
        <v>0</v>
      </c>
      <c r="J21" s="4">
        <f>'Hampshire Daily'!K24-'Hampshire Daily'!K23</f>
        <v>2429.4000000003725</v>
      </c>
      <c r="K21" s="4">
        <f>'Hampshire Daily'!L24-'Hampshire Daily'!L23</f>
        <v>1051</v>
      </c>
      <c r="L21" s="4">
        <f>'Hampshire Daily'!M24-'Hampshire Daily'!M23</f>
        <v>3</v>
      </c>
      <c r="M21" s="4">
        <f>'Hampshire Daily'!N24-'Hampshire Daily'!N23</f>
        <v>797</v>
      </c>
      <c r="N21" s="4">
        <f>'Hampshire Daily'!O24-'Hampshire Daily'!O23</f>
        <v>54</v>
      </c>
      <c r="O21" s="4">
        <f>'Hampshire Daily'!P24-'Hampshire Daily'!P23</f>
        <v>0</v>
      </c>
      <c r="P21" s="4">
        <f>'Hampshire Daily'!Q24-'Hampshire Daily'!Q23</f>
        <v>0</v>
      </c>
      <c r="Q21" s="4">
        <f>'Hampshire Daily'!R24-'Hampshire Daily'!R23</f>
        <v>554</v>
      </c>
      <c r="R21" s="4">
        <f>'Hampshire Daily'!S24-'Hampshire Daily'!S23</f>
        <v>11</v>
      </c>
      <c r="S21" s="4">
        <f>'Hampshire Daily'!T24-'Hampshire Daily'!T23</f>
        <v>27</v>
      </c>
      <c r="T21" s="4">
        <f>'Hampshire Daily'!U24-'Hampshire Daily'!U23</f>
        <v>8</v>
      </c>
      <c r="U21" s="4">
        <f>'Hampshire Daily'!V24-'Hampshire Daily'!V23</f>
        <v>1</v>
      </c>
      <c r="V21" s="4">
        <f>'Hampshire Daily'!W24-'Hampshire Daily'!W23</f>
        <v>0</v>
      </c>
      <c r="W21" s="4">
        <f>'Hampshire Daily'!X24-'Hampshire Daily'!X23</f>
        <v>0.29099999999993997</v>
      </c>
      <c r="X21" s="4">
        <f>'Hampshire Daily'!Y24-'Hampshire Daily'!Y23</f>
        <v>0</v>
      </c>
      <c r="Y21" s="4">
        <f>'Hampshire Daily'!B24</f>
        <v>13</v>
      </c>
      <c r="Z21" s="4">
        <f>'Hampshire Daily'!C24</f>
        <v>34</v>
      </c>
    </row>
    <row r="22" spans="1:26" x14ac:dyDescent="0.25">
      <c r="A22" s="3" t="s">
        <v>40</v>
      </c>
      <c r="B22" s="1">
        <f t="shared" si="0"/>
        <v>21</v>
      </c>
      <c r="C22" s="17">
        <v>1</v>
      </c>
      <c r="D22" s="1">
        <v>2022</v>
      </c>
      <c r="E22" s="4">
        <f>'Hampshire Daily'!D25-'Hampshire Daily'!D24</f>
        <v>3106</v>
      </c>
      <c r="F22" s="4">
        <f>'Hampshire Daily'!E25-'Hampshire Daily'!E24</f>
        <v>3111</v>
      </c>
      <c r="G22" s="4">
        <f>'Hampshire Daily'!H25-'Hampshire Daily'!H24</f>
        <v>0</v>
      </c>
      <c r="H22" s="4">
        <f>'Hampshire Daily'!I25-'Hampshire Daily'!I24</f>
        <v>2006.4000000003725</v>
      </c>
      <c r="I22" s="4">
        <f>'Hampshire Daily'!J25-'Hampshire Daily'!J24</f>
        <v>0</v>
      </c>
      <c r="J22" s="4">
        <f>'Hampshire Daily'!K25-'Hampshire Daily'!K24</f>
        <v>2429.4000000003725</v>
      </c>
      <c r="K22" s="4">
        <f>'Hampshire Daily'!L25-'Hampshire Daily'!L24</f>
        <v>1051</v>
      </c>
      <c r="L22" s="4">
        <f>'Hampshire Daily'!M25-'Hampshire Daily'!M24</f>
        <v>3</v>
      </c>
      <c r="M22" s="4">
        <f>'Hampshire Daily'!N25-'Hampshire Daily'!N24</f>
        <v>5994</v>
      </c>
      <c r="N22" s="4">
        <f>'Hampshire Daily'!O25-'Hampshire Daily'!O24</f>
        <v>54</v>
      </c>
      <c r="O22" s="4">
        <f>'Hampshire Daily'!P25-'Hampshire Daily'!P24</f>
        <v>0</v>
      </c>
      <c r="P22" s="4">
        <f>'Hampshire Daily'!Q25-'Hampshire Daily'!Q24</f>
        <v>0</v>
      </c>
      <c r="Q22" s="4">
        <f>'Hampshire Daily'!R25-'Hampshire Daily'!R24</f>
        <v>530</v>
      </c>
      <c r="R22" s="4">
        <f>'Hampshire Daily'!S25-'Hampshire Daily'!S24</f>
        <v>16</v>
      </c>
      <c r="S22" s="4">
        <f>'Hampshire Daily'!T25-'Hampshire Daily'!T24</f>
        <v>29</v>
      </c>
      <c r="T22" s="4">
        <f>'Hampshire Daily'!U25-'Hampshire Daily'!U24</f>
        <v>9</v>
      </c>
      <c r="U22" s="4">
        <f>'Hampshire Daily'!V25-'Hampshire Daily'!V24</f>
        <v>2</v>
      </c>
      <c r="V22" s="4">
        <f>'Hampshire Daily'!W25-'Hampshire Daily'!W24</f>
        <v>0</v>
      </c>
      <c r="W22" s="4">
        <f>'Hampshire Daily'!X25-'Hampshire Daily'!X24</f>
        <v>0.29600000000004911</v>
      </c>
      <c r="X22" s="4">
        <f>'Hampshire Daily'!Y25-'Hampshire Daily'!Y24</f>
        <v>0</v>
      </c>
      <c r="Y22" s="4">
        <f>'Hampshire Daily'!B25</f>
        <v>64</v>
      </c>
      <c r="Z22" s="4">
        <f>'Hampshire Daily'!C25</f>
        <v>148</v>
      </c>
    </row>
    <row r="23" spans="1:26" x14ac:dyDescent="0.25">
      <c r="A23" s="3" t="s">
        <v>40</v>
      </c>
      <c r="B23" s="1">
        <f t="shared" si="0"/>
        <v>22</v>
      </c>
      <c r="C23" s="17">
        <v>1</v>
      </c>
      <c r="D23" s="1">
        <v>2022</v>
      </c>
      <c r="E23" s="4">
        <f>'Hampshire Daily'!D26-'Hampshire Daily'!D25</f>
        <v>2718</v>
      </c>
      <c r="F23" s="4">
        <f>'Hampshire Daily'!E26-'Hampshire Daily'!E25</f>
        <v>2722</v>
      </c>
      <c r="G23" s="4">
        <f>'Hampshire Daily'!H26-'Hampshire Daily'!H25</f>
        <v>1</v>
      </c>
      <c r="H23" s="4">
        <f>'Hampshire Daily'!I26-'Hampshire Daily'!I25</f>
        <v>2006.4000000003725</v>
      </c>
      <c r="I23" s="4">
        <f>'Hampshire Daily'!J26-'Hampshire Daily'!J25</f>
        <v>0</v>
      </c>
      <c r="J23" s="4">
        <f>'Hampshire Daily'!K26-'Hampshire Daily'!K25</f>
        <v>2429.4000000003725</v>
      </c>
      <c r="K23" s="4">
        <f>'Hampshire Daily'!L26-'Hampshire Daily'!L25</f>
        <v>1051</v>
      </c>
      <c r="L23" s="4">
        <f>'Hampshire Daily'!M26-'Hampshire Daily'!M25</f>
        <v>10</v>
      </c>
      <c r="M23" s="4">
        <f>'Hampshire Daily'!N26-'Hampshire Daily'!N25</f>
        <v>3361</v>
      </c>
      <c r="N23" s="4">
        <f>'Hampshire Daily'!O26-'Hampshire Daily'!O25</f>
        <v>75</v>
      </c>
      <c r="O23" s="4">
        <f>'Hampshire Daily'!P26-'Hampshire Daily'!P25</f>
        <v>0</v>
      </c>
      <c r="P23" s="4">
        <f>'Hampshire Daily'!Q26-'Hampshire Daily'!Q25</f>
        <v>0</v>
      </c>
      <c r="Q23" s="4">
        <f>'Hampshire Daily'!R26-'Hampshire Daily'!R25</f>
        <v>56</v>
      </c>
      <c r="R23" s="4">
        <f>'Hampshire Daily'!S26-'Hampshire Daily'!S25</f>
        <v>37</v>
      </c>
      <c r="S23" s="4">
        <f>'Hampshire Daily'!T26-'Hampshire Daily'!T25</f>
        <v>45</v>
      </c>
      <c r="T23" s="4">
        <f>'Hampshire Daily'!U26-'Hampshire Daily'!U25</f>
        <v>11</v>
      </c>
      <c r="U23" s="4">
        <f>'Hampshire Daily'!V26-'Hampshire Daily'!V25</f>
        <v>1</v>
      </c>
      <c r="V23" s="4">
        <f>'Hampshire Daily'!W26-'Hampshire Daily'!W25</f>
        <v>0</v>
      </c>
      <c r="W23" s="4">
        <f>'Hampshire Daily'!X26-'Hampshire Daily'!X25</f>
        <v>0.22699999999997544</v>
      </c>
      <c r="X23" s="4">
        <f>'Hampshire Daily'!Y26-'Hampshire Daily'!Y25</f>
        <v>0</v>
      </c>
      <c r="Y23" s="4">
        <f>'Hampshire Daily'!B26</f>
        <v>60</v>
      </c>
      <c r="Z23" s="4">
        <f>'Hampshire Daily'!C26</f>
        <v>146</v>
      </c>
    </row>
    <row r="24" spans="1:26" x14ac:dyDescent="0.25">
      <c r="A24" s="3" t="s">
        <v>40</v>
      </c>
      <c r="B24" s="1">
        <f t="shared" si="0"/>
        <v>23</v>
      </c>
      <c r="C24" s="17">
        <v>1</v>
      </c>
      <c r="D24" s="1">
        <v>2022</v>
      </c>
      <c r="E24" s="4">
        <f>'Hampshire Daily'!D27-'Hampshire Daily'!D26</f>
        <v>2454</v>
      </c>
      <c r="F24" s="4">
        <f>'Hampshire Daily'!E27-'Hampshire Daily'!E26</f>
        <v>2458</v>
      </c>
      <c r="G24" s="4">
        <f>'Hampshire Daily'!H27-'Hampshire Daily'!H26</f>
        <v>211</v>
      </c>
      <c r="H24" s="4">
        <f>'Hampshire Daily'!I27-'Hampshire Daily'!I26</f>
        <v>2006.4000000003725</v>
      </c>
      <c r="I24" s="4">
        <f>'Hampshire Daily'!J27-'Hampshire Daily'!J26</f>
        <v>0</v>
      </c>
      <c r="J24" s="4">
        <f>'Hampshire Daily'!K27-'Hampshire Daily'!K26</f>
        <v>2429.4000000003725</v>
      </c>
      <c r="K24" s="4">
        <f>'Hampshire Daily'!L27-'Hampshire Daily'!L26</f>
        <v>1051</v>
      </c>
      <c r="L24" s="4">
        <f>'Hampshire Daily'!M27-'Hampshire Daily'!M26</f>
        <v>9</v>
      </c>
      <c r="M24" s="4">
        <f>'Hampshire Daily'!N27-'Hampshire Daily'!N26</f>
        <v>2984</v>
      </c>
      <c r="N24" s="4">
        <f>'Hampshire Daily'!O27-'Hampshire Daily'!O26</f>
        <v>74</v>
      </c>
      <c r="O24" s="4">
        <f>'Hampshire Daily'!P27-'Hampshire Daily'!P26</f>
        <v>0</v>
      </c>
      <c r="P24" s="4">
        <f>'Hampshire Daily'!Q27-'Hampshire Daily'!Q26</f>
        <v>0</v>
      </c>
      <c r="Q24" s="4">
        <f>'Hampshire Daily'!R27-'Hampshire Daily'!R26</f>
        <v>251</v>
      </c>
      <c r="R24" s="4">
        <f>'Hampshire Daily'!S27-'Hampshire Daily'!S26</f>
        <v>46</v>
      </c>
      <c r="S24" s="4">
        <f>'Hampshire Daily'!T27-'Hampshire Daily'!T26</f>
        <v>53</v>
      </c>
      <c r="T24" s="4">
        <f>'Hampshire Daily'!U27-'Hampshire Daily'!U26</f>
        <v>11</v>
      </c>
      <c r="U24" s="4">
        <f>'Hampshire Daily'!V27-'Hampshire Daily'!V26</f>
        <v>1</v>
      </c>
      <c r="V24" s="4">
        <f>'Hampshire Daily'!W27-'Hampshire Daily'!W26</f>
        <v>0</v>
      </c>
      <c r="W24" s="4">
        <f>'Hampshire Daily'!X27-'Hampshire Daily'!X26</f>
        <v>0.24500000000000455</v>
      </c>
      <c r="X24" s="4">
        <f>'Hampshire Daily'!Y27-'Hampshire Daily'!Y26</f>
        <v>0</v>
      </c>
      <c r="Y24" s="4">
        <f>'Hampshire Daily'!B27</f>
        <v>12</v>
      </c>
      <c r="Z24" s="4">
        <f>'Hampshire Daily'!C27</f>
        <v>34</v>
      </c>
    </row>
    <row r="25" spans="1:26" x14ac:dyDescent="0.25">
      <c r="A25" s="3" t="s">
        <v>40</v>
      </c>
      <c r="B25" s="1">
        <f t="shared" si="0"/>
        <v>24</v>
      </c>
      <c r="C25" s="17">
        <v>1</v>
      </c>
      <c r="D25" s="1">
        <v>2022</v>
      </c>
      <c r="E25" s="4">
        <f>'Hampshire Daily'!D28-'Hampshire Daily'!D27</f>
        <v>2098</v>
      </c>
      <c r="F25" s="4">
        <f>'Hampshire Daily'!E28-'Hampshire Daily'!E27</f>
        <v>2101</v>
      </c>
      <c r="G25" s="4">
        <f>'Hampshire Daily'!H28-'Hampshire Daily'!H27</f>
        <v>36</v>
      </c>
      <c r="H25" s="4">
        <f>'Hampshire Daily'!I28-'Hampshire Daily'!I27</f>
        <v>2006.4000000003725</v>
      </c>
      <c r="I25" s="4">
        <f>'Hampshire Daily'!J28-'Hampshire Daily'!J27</f>
        <v>0</v>
      </c>
      <c r="J25" s="4">
        <f>'Hampshire Daily'!K28-'Hampshire Daily'!K27</f>
        <v>2429.4000000003725</v>
      </c>
      <c r="K25" s="4">
        <f>'Hampshire Daily'!L28-'Hampshire Daily'!L27</f>
        <v>1051</v>
      </c>
      <c r="L25" s="4">
        <f>'Hampshire Daily'!M28-'Hampshire Daily'!M27</f>
        <v>11</v>
      </c>
      <c r="M25" s="4">
        <f>'Hampshire Daily'!N28-'Hampshire Daily'!N27</f>
        <v>649</v>
      </c>
      <c r="N25" s="4">
        <f>'Hampshire Daily'!O28-'Hampshire Daily'!O27</f>
        <v>77</v>
      </c>
      <c r="O25" s="4">
        <f>'Hampshire Daily'!P28-'Hampshire Daily'!P27</f>
        <v>11</v>
      </c>
      <c r="P25" s="4">
        <f>'Hampshire Daily'!Q28-'Hampshire Daily'!Q27</f>
        <v>0</v>
      </c>
      <c r="Q25" s="4">
        <f>'Hampshire Daily'!R28-'Hampshire Daily'!R27</f>
        <v>64</v>
      </c>
      <c r="R25" s="4">
        <f>'Hampshire Daily'!S28-'Hampshire Daily'!S27</f>
        <v>20</v>
      </c>
      <c r="S25" s="4">
        <f>'Hampshire Daily'!T28-'Hampshire Daily'!T27</f>
        <v>38</v>
      </c>
      <c r="T25" s="4">
        <f>'Hampshire Daily'!U28-'Hampshire Daily'!U27</f>
        <v>10</v>
      </c>
      <c r="U25" s="4">
        <f>'Hampshire Daily'!V28-'Hampshire Daily'!V27</f>
        <v>5</v>
      </c>
      <c r="V25" s="4">
        <f>'Hampshire Daily'!W28-'Hampshire Daily'!W27</f>
        <v>0</v>
      </c>
      <c r="W25" s="4">
        <f>'Hampshire Daily'!X28-'Hampshire Daily'!X27</f>
        <v>0.18799999999998818</v>
      </c>
      <c r="X25" s="4">
        <f>'Hampshire Daily'!Y28-'Hampshire Daily'!Y27</f>
        <v>0</v>
      </c>
      <c r="Y25" s="4">
        <f>'Hampshire Daily'!B28</f>
        <v>42</v>
      </c>
      <c r="Z25" s="4">
        <f>'Hampshire Daily'!C28</f>
        <v>60</v>
      </c>
    </row>
    <row r="26" spans="1:26" x14ac:dyDescent="0.25">
      <c r="A26" s="3" t="s">
        <v>40</v>
      </c>
      <c r="B26" s="28">
        <f>B25+1</f>
        <v>25</v>
      </c>
      <c r="C26" s="17">
        <v>1</v>
      </c>
      <c r="D26" s="1">
        <v>2022</v>
      </c>
      <c r="E26" s="4">
        <f>'Hampshire Daily'!D29-'Hampshire Daily'!D28</f>
        <v>2206</v>
      </c>
      <c r="F26" s="4">
        <f>'Hampshire Daily'!E29-'Hampshire Daily'!E28</f>
        <v>2210</v>
      </c>
      <c r="G26" s="4">
        <f>'Hampshire Daily'!H29-'Hampshire Daily'!H28</f>
        <v>36</v>
      </c>
      <c r="H26" s="4">
        <f>'Hampshire Daily'!I29-'Hampshire Daily'!I28</f>
        <v>2006.4000000003725</v>
      </c>
      <c r="I26" s="4">
        <f>'Hampshire Daily'!J29-'Hampshire Daily'!J28</f>
        <v>0</v>
      </c>
      <c r="J26" s="4">
        <f>'Hampshire Daily'!K29-'Hampshire Daily'!K28</f>
        <v>2429.4000000003725</v>
      </c>
      <c r="K26" s="4">
        <f>'Hampshire Daily'!L29-'Hampshire Daily'!L28</f>
        <v>1051</v>
      </c>
      <c r="L26" s="4">
        <f>'Hampshire Daily'!M29-'Hampshire Daily'!M28</f>
        <v>10</v>
      </c>
      <c r="M26" s="4">
        <f>'Hampshire Daily'!N29-'Hampshire Daily'!N28</f>
        <v>5735</v>
      </c>
      <c r="N26" s="4">
        <f>'Hampshire Daily'!O29-'Hampshire Daily'!O28</f>
        <v>60</v>
      </c>
      <c r="O26" s="4">
        <f>'Hampshire Daily'!P29-'Hampshire Daily'!P28</f>
        <v>0</v>
      </c>
      <c r="P26" s="4">
        <f>'Hampshire Daily'!Q29-'Hampshire Daily'!Q28</f>
        <v>0</v>
      </c>
      <c r="Q26" s="4">
        <f>'Hampshire Daily'!R29-'Hampshire Daily'!R28</f>
        <v>0</v>
      </c>
      <c r="R26" s="4">
        <f>'Hampshire Daily'!S29-'Hampshire Daily'!S28</f>
        <v>19</v>
      </c>
      <c r="S26" s="4">
        <f>'Hampshire Daily'!T29-'Hampshire Daily'!T28</f>
        <v>37</v>
      </c>
      <c r="T26" s="4">
        <f>'Hampshire Daily'!U29-'Hampshire Daily'!U28</f>
        <v>10</v>
      </c>
      <c r="U26" s="4">
        <f>'Hampshire Daily'!V29-'Hampshire Daily'!V28</f>
        <v>4</v>
      </c>
      <c r="V26" s="4">
        <f>'Hampshire Daily'!W29-'Hampshire Daily'!W28</f>
        <v>0</v>
      </c>
      <c r="W26" s="4">
        <f>'Hampshire Daily'!X29-'Hampshire Daily'!X28</f>
        <v>0.18700000000001182</v>
      </c>
      <c r="X26" s="4">
        <f>'Hampshire Daily'!Y29-'Hampshire Daily'!Y28</f>
        <v>0</v>
      </c>
      <c r="Y26" s="4">
        <f>'Hampshire Daily'!B29</f>
        <v>46</v>
      </c>
      <c r="Z26" s="4">
        <f>'Hampshire Daily'!C29</f>
        <v>68</v>
      </c>
    </row>
    <row r="27" spans="1:26" x14ac:dyDescent="0.25">
      <c r="A27" s="3" t="s">
        <v>40</v>
      </c>
      <c r="B27" s="1">
        <f t="shared" si="0"/>
        <v>26</v>
      </c>
      <c r="C27" s="17">
        <v>1</v>
      </c>
      <c r="D27" s="1">
        <v>2022</v>
      </c>
      <c r="E27" s="4">
        <f>'Hampshire Daily'!D30-'Hampshire Daily'!D29</f>
        <v>2256</v>
      </c>
      <c r="F27" s="4">
        <f>'Hampshire Daily'!E30-'Hampshire Daily'!E29</f>
        <v>2260</v>
      </c>
      <c r="G27" s="4">
        <f>'Hampshire Daily'!H30-'Hampshire Daily'!H29</f>
        <v>10</v>
      </c>
      <c r="H27" s="4">
        <f>'Hampshire Daily'!I30-'Hampshire Daily'!I29</f>
        <v>2006.4000000003725</v>
      </c>
      <c r="I27" s="4">
        <f>'Hampshire Daily'!J30-'Hampshire Daily'!J29</f>
        <v>0</v>
      </c>
      <c r="J27" s="4">
        <f>'Hampshire Daily'!K30-'Hampshire Daily'!K29</f>
        <v>2429.4000000003725</v>
      </c>
      <c r="K27" s="4">
        <f>'Hampshire Daily'!L30-'Hampshire Daily'!L29</f>
        <v>1051</v>
      </c>
      <c r="L27" s="4">
        <f>'Hampshire Daily'!M30-'Hampshire Daily'!M29</f>
        <v>36</v>
      </c>
      <c r="M27" s="4">
        <f>'Hampshire Daily'!N30-'Hampshire Daily'!N29</f>
        <v>3197</v>
      </c>
      <c r="N27" s="4">
        <f>'Hampshire Daily'!O30-'Hampshire Daily'!O29</f>
        <v>59</v>
      </c>
      <c r="O27" s="4">
        <f>'Hampshire Daily'!P30-'Hampshire Daily'!P29</f>
        <v>92</v>
      </c>
      <c r="P27" s="4">
        <f>'Hampshire Daily'!Q30-'Hampshire Daily'!Q29</f>
        <v>0</v>
      </c>
      <c r="Q27" s="4">
        <f>'Hampshire Daily'!R30-'Hampshire Daily'!R29</f>
        <v>0</v>
      </c>
      <c r="R27" s="4">
        <f>'Hampshire Daily'!S30-'Hampshire Daily'!S29</f>
        <v>38</v>
      </c>
      <c r="S27" s="4">
        <f>'Hampshire Daily'!T30-'Hampshire Daily'!T29</f>
        <v>33</v>
      </c>
      <c r="T27" s="4">
        <f>'Hampshire Daily'!U30-'Hampshire Daily'!U29</f>
        <v>9</v>
      </c>
      <c r="U27" s="4">
        <f>'Hampshire Daily'!V30-'Hampshire Daily'!V29</f>
        <v>1</v>
      </c>
      <c r="V27" s="4">
        <f>'Hampshire Daily'!W30-'Hampshire Daily'!W29</f>
        <v>0</v>
      </c>
      <c r="W27" s="4">
        <f>'Hampshire Daily'!X30-'Hampshire Daily'!X29</f>
        <v>0.19899999999995543</v>
      </c>
      <c r="X27" s="4">
        <f>'Hampshire Daily'!Y30-'Hampshire Daily'!Y29</f>
        <v>9.9999999999909051E-2</v>
      </c>
      <c r="Y27" s="4">
        <f>'Hampshire Daily'!B30</f>
        <v>28</v>
      </c>
      <c r="Z27" s="4">
        <f>'Hampshire Daily'!C30</f>
        <v>52</v>
      </c>
    </row>
    <row r="28" spans="1:26" x14ac:dyDescent="0.25">
      <c r="A28" s="3" t="s">
        <v>40</v>
      </c>
      <c r="B28" s="1">
        <f t="shared" si="0"/>
        <v>27</v>
      </c>
      <c r="C28" s="17">
        <v>1</v>
      </c>
      <c r="D28" s="1">
        <v>2022</v>
      </c>
      <c r="E28" s="4">
        <f>'Hampshire Daily'!D31-'Hampshire Daily'!D30</f>
        <v>1926</v>
      </c>
      <c r="F28" s="4">
        <f>'Hampshire Daily'!E31-'Hampshire Daily'!E30</f>
        <v>1929</v>
      </c>
      <c r="G28" s="4">
        <f>'Hampshire Daily'!H31-'Hampshire Daily'!H30</f>
        <v>257</v>
      </c>
      <c r="H28" s="4">
        <f>'Hampshire Daily'!I31-'Hampshire Daily'!I30</f>
        <v>2006.4000000003725</v>
      </c>
      <c r="I28" s="4">
        <f>'Hampshire Daily'!J31-'Hampshire Daily'!J30</f>
        <v>0</v>
      </c>
      <c r="J28" s="4">
        <f>'Hampshire Daily'!K31-'Hampshire Daily'!K30</f>
        <v>2429.4000000003725</v>
      </c>
      <c r="K28" s="4">
        <f>'Hampshire Daily'!L31-'Hampshire Daily'!L30</f>
        <v>1051</v>
      </c>
      <c r="L28" s="4">
        <f>'Hampshire Daily'!M31-'Hampshire Daily'!M30</f>
        <v>1</v>
      </c>
      <c r="M28" s="4">
        <f>'Hampshire Daily'!N31-'Hampshire Daily'!N30</f>
        <v>2793</v>
      </c>
      <c r="N28" s="4">
        <f>'Hampshire Daily'!O31-'Hampshire Daily'!O30</f>
        <v>61</v>
      </c>
      <c r="O28" s="4">
        <f>'Hampshire Daily'!P31-'Hampshire Daily'!P30</f>
        <v>0</v>
      </c>
      <c r="P28" s="4">
        <f>'Hampshire Daily'!Q31-'Hampshire Daily'!Q30</f>
        <v>0</v>
      </c>
      <c r="Q28" s="4">
        <f>'Hampshire Daily'!R31-'Hampshire Daily'!R30</f>
        <v>16</v>
      </c>
      <c r="R28" s="4">
        <f>'Hampshire Daily'!S31-'Hampshire Daily'!S30</f>
        <v>26</v>
      </c>
      <c r="S28" s="4">
        <f>'Hampshire Daily'!T31-'Hampshire Daily'!T30</f>
        <v>33</v>
      </c>
      <c r="T28" s="4">
        <f>'Hampshire Daily'!U31-'Hampshire Daily'!U30</f>
        <v>10</v>
      </c>
      <c r="U28" s="4">
        <f>'Hampshire Daily'!V31-'Hampshire Daily'!V30</f>
        <v>1</v>
      </c>
      <c r="V28" s="4">
        <f>'Hampshire Daily'!W31-'Hampshire Daily'!W30</f>
        <v>0</v>
      </c>
      <c r="W28" s="4">
        <f>'Hampshire Daily'!X31-'Hampshire Daily'!X30</f>
        <v>0.18000000000006366</v>
      </c>
      <c r="X28" s="4">
        <f>'Hampshire Daily'!Y31-'Hampshire Daily'!Y30</f>
        <v>0</v>
      </c>
      <c r="Y28" s="4">
        <f>'Hampshire Daily'!B31</f>
        <v>37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</v>
      </c>
      <c r="D29" s="1">
        <v>2022</v>
      </c>
      <c r="E29" s="4">
        <f>'Hampshire Daily'!D32-'Hampshire Daily'!D31</f>
        <v>2422</v>
      </c>
      <c r="F29" s="4">
        <f>'Hampshire Daily'!E32-'Hampshire Daily'!E31</f>
        <v>2425</v>
      </c>
      <c r="G29" s="4">
        <f>'Hampshire Daily'!H32-'Hampshire Daily'!H31</f>
        <v>5</v>
      </c>
      <c r="H29" s="4">
        <f>'Hampshire Daily'!I32-'Hampshire Daily'!I31</f>
        <v>2006.4000000003725</v>
      </c>
      <c r="I29" s="4">
        <f>'Hampshire Daily'!J32-'Hampshire Daily'!J31</f>
        <v>0</v>
      </c>
      <c r="J29" s="4">
        <f>'Hampshire Daily'!K32-'Hampshire Daily'!K31</f>
        <v>2429.4000000003725</v>
      </c>
      <c r="K29" s="4">
        <f>'Hampshire Daily'!L32-'Hampshire Daily'!L31</f>
        <v>1051</v>
      </c>
      <c r="L29" s="4">
        <f>'Hampshire Daily'!M32-'Hampshire Daily'!M31</f>
        <v>1</v>
      </c>
      <c r="M29" s="4">
        <f>'Hampshire Daily'!N32-'Hampshire Daily'!N31</f>
        <v>2815</v>
      </c>
      <c r="N29" s="4">
        <f>'Hampshire Daily'!O32-'Hampshire Daily'!O31</f>
        <v>74</v>
      </c>
      <c r="O29" s="4">
        <f>'Hampshire Daily'!P32-'Hampshire Daily'!P31</f>
        <v>3</v>
      </c>
      <c r="P29" s="4">
        <f>'Hampshire Daily'!Q32-'Hampshire Daily'!Q31</f>
        <v>0</v>
      </c>
      <c r="Q29" s="4">
        <f>'Hampshire Daily'!R32-'Hampshire Daily'!R31</f>
        <v>290</v>
      </c>
      <c r="R29" s="4">
        <f>'Hampshire Daily'!S32-'Hampshire Daily'!S31</f>
        <v>29</v>
      </c>
      <c r="S29" s="4">
        <f>'Hampshire Daily'!T32-'Hampshire Daily'!T31</f>
        <v>41</v>
      </c>
      <c r="T29" s="4">
        <f>'Hampshire Daily'!U32-'Hampshire Daily'!U31</f>
        <v>9</v>
      </c>
      <c r="U29" s="4">
        <f>'Hampshire Daily'!V32-'Hampshire Daily'!V31</f>
        <v>2</v>
      </c>
      <c r="V29" s="4">
        <f>'Hampshire Daily'!W32-'Hampshire Daily'!W31</f>
        <v>0</v>
      </c>
      <c r="W29" s="4">
        <f>'Hampshire Daily'!X32-'Hampshire Daily'!X31</f>
        <v>0.11000000000001364</v>
      </c>
      <c r="X29" s="4">
        <f>'Hampshire Daily'!Y32-'Hampshire Daily'!Y31</f>
        <v>-9.9999999999909051E-2</v>
      </c>
      <c r="Y29" s="4">
        <f>'Hampshire Daily'!B32</f>
        <v>37</v>
      </c>
      <c r="Z29" s="4">
        <f>'Hampshire Daily'!C32</f>
        <v>90</v>
      </c>
    </row>
    <row r="30" spans="1:26" x14ac:dyDescent="0.25">
      <c r="A30" s="3" t="s">
        <v>40</v>
      </c>
      <c r="B30" s="1">
        <f t="shared" si="0"/>
        <v>29</v>
      </c>
      <c r="C30" s="17">
        <v>1</v>
      </c>
      <c r="D30" s="1">
        <v>2022</v>
      </c>
      <c r="E30" s="4">
        <f>'Hampshire Daily'!D33-'Hampshire Daily'!D32</f>
        <v>2205</v>
      </c>
      <c r="F30" s="4">
        <f>'Hampshire Daily'!E33-'Hampshire Daily'!E32</f>
        <v>2209</v>
      </c>
      <c r="G30" s="4">
        <f>'Hampshire Daily'!H33-'Hampshire Daily'!H32</f>
        <v>316</v>
      </c>
      <c r="H30" s="4">
        <f>'Hampshire Daily'!I33-'Hampshire Daily'!I32</f>
        <v>2006.4000000003725</v>
      </c>
      <c r="I30" s="4">
        <f>'Hampshire Daily'!J33-'Hampshire Daily'!J32</f>
        <v>0</v>
      </c>
      <c r="J30" s="4">
        <f>'Hampshire Daily'!K33-'Hampshire Daily'!K32</f>
        <v>2429.4000000003725</v>
      </c>
      <c r="K30" s="4">
        <f>'Hampshire Daily'!L33-'Hampshire Daily'!L32</f>
        <v>1051</v>
      </c>
      <c r="L30" s="4">
        <f>'Hampshire Daily'!M33-'Hampshire Daily'!M32</f>
        <v>1</v>
      </c>
      <c r="M30" s="4">
        <f>'Hampshire Daily'!N33-'Hampshire Daily'!N32</f>
        <v>2663</v>
      </c>
      <c r="N30" s="4">
        <f>'Hampshire Daily'!O33-'Hampshire Daily'!O32</f>
        <v>62</v>
      </c>
      <c r="O30" s="4">
        <f>'Hampshire Daily'!P33-'Hampshire Daily'!P32</f>
        <v>689</v>
      </c>
      <c r="P30" s="4">
        <f>'Hampshire Daily'!Q33-'Hampshire Daily'!Q32</f>
        <v>0</v>
      </c>
      <c r="Q30" s="4">
        <f>'Hampshire Daily'!R33-'Hampshire Daily'!R32</f>
        <v>18</v>
      </c>
      <c r="R30" s="4">
        <f>'Hampshire Daily'!S33-'Hampshire Daily'!S32</f>
        <v>33</v>
      </c>
      <c r="S30" s="4">
        <f>'Hampshire Daily'!T33-'Hampshire Daily'!T32</f>
        <v>38</v>
      </c>
      <c r="T30" s="4">
        <f>'Hampshire Daily'!U33-'Hampshire Daily'!U32</f>
        <v>9</v>
      </c>
      <c r="U30" s="4">
        <f>'Hampshire Daily'!V33-'Hampshire Daily'!V32</f>
        <v>1</v>
      </c>
      <c r="V30" s="4">
        <f>'Hampshire Daily'!W33-'Hampshire Daily'!W32</f>
        <v>0</v>
      </c>
      <c r="W30" s="4">
        <f>'Hampshire Daily'!X33-'Hampshire Daily'!X32</f>
        <v>0.18799999999998818</v>
      </c>
      <c r="X30" s="4">
        <f>'Hampshire Daily'!Y33-'Hampshire Daily'!Y32</f>
        <v>0</v>
      </c>
      <c r="Y30" s="4">
        <f>'Hampshire Daily'!B33</f>
        <v>60</v>
      </c>
      <c r="Z30" s="4">
        <f>'Hampshire Daily'!C33</f>
        <v>148</v>
      </c>
    </row>
    <row r="31" spans="1:26" x14ac:dyDescent="0.25">
      <c r="A31" s="3" t="s">
        <v>40</v>
      </c>
      <c r="B31" s="1">
        <f t="shared" si="0"/>
        <v>30</v>
      </c>
      <c r="C31" s="17">
        <v>1</v>
      </c>
      <c r="D31" s="1">
        <v>2022</v>
      </c>
      <c r="E31" s="4">
        <f>'Hampshire Daily'!D34-'Hampshire Daily'!D33</f>
        <v>2338</v>
      </c>
      <c r="F31" s="4">
        <f>'Hampshire Daily'!E34-'Hampshire Daily'!E33</f>
        <v>2342</v>
      </c>
      <c r="G31" s="4">
        <f>'Hampshire Daily'!H34-'Hampshire Daily'!H33</f>
        <v>788</v>
      </c>
      <c r="H31" s="4">
        <f>'Hampshire Daily'!I34-'Hampshire Daily'!I33</f>
        <v>2006.4000000003725</v>
      </c>
      <c r="I31" s="4">
        <f>'Hampshire Daily'!J34-'Hampshire Daily'!J33</f>
        <v>0</v>
      </c>
      <c r="J31" s="4">
        <f>'Hampshire Daily'!K34-'Hampshire Daily'!K33</f>
        <v>2429.4000000003725</v>
      </c>
      <c r="K31" s="4">
        <f>'Hampshire Daily'!L34-'Hampshire Daily'!L33</f>
        <v>1051</v>
      </c>
      <c r="L31" s="4">
        <f>'Hampshire Daily'!M34-'Hampshire Daily'!M33</f>
        <v>2</v>
      </c>
      <c r="M31" s="4">
        <f>'Hampshire Daily'!N34-'Hampshire Daily'!N33</f>
        <v>2641</v>
      </c>
      <c r="N31" s="4">
        <f>'Hampshire Daily'!O34-'Hampshire Daily'!O33</f>
        <v>65</v>
      </c>
      <c r="O31" s="4">
        <f>'Hampshire Daily'!P34-'Hampshire Daily'!P33</f>
        <v>268</v>
      </c>
      <c r="P31" s="4">
        <f>'Hampshire Daily'!Q34-'Hampshire Daily'!Q33</f>
        <v>0</v>
      </c>
      <c r="Q31" s="4">
        <f>'Hampshire Daily'!R34-'Hampshire Daily'!R33</f>
        <v>327</v>
      </c>
      <c r="R31" s="4">
        <f>'Hampshire Daily'!S34-'Hampshire Daily'!S33</f>
        <v>39</v>
      </c>
      <c r="S31" s="4">
        <f>'Hampshire Daily'!T34-'Hampshire Daily'!T33</f>
        <v>47</v>
      </c>
      <c r="T31" s="4">
        <f>'Hampshire Daily'!U34-'Hampshire Daily'!U33</f>
        <v>11</v>
      </c>
      <c r="U31" s="4">
        <f>'Hampshire Daily'!V34-'Hampshire Daily'!V33</f>
        <v>14</v>
      </c>
      <c r="V31" s="4">
        <f>'Hampshire Daily'!W34-'Hampshire Daily'!W33</f>
        <v>0</v>
      </c>
      <c r="W31" s="4">
        <f>'Hampshire Daily'!X34-'Hampshire Daily'!X33</f>
        <v>0.20899999999994634</v>
      </c>
      <c r="X31" s="4">
        <f>'Hampshire Daily'!Y34-'Hampshire Daily'!Y33</f>
        <v>0</v>
      </c>
      <c r="Y31" s="4">
        <f>'Hampshire Daily'!B34</f>
        <v>22</v>
      </c>
      <c r="Z31" s="4">
        <f>'Hampshire Daily'!C34</f>
        <v>50</v>
      </c>
    </row>
    <row r="32" spans="1:26" x14ac:dyDescent="0.25">
      <c r="A32" s="3" t="s">
        <v>40</v>
      </c>
      <c r="B32" s="1">
        <v>31</v>
      </c>
      <c r="C32" s="17">
        <v>1</v>
      </c>
      <c r="D32" s="1">
        <v>2022</v>
      </c>
      <c r="E32" s="4">
        <f>'Hampshire Daily'!D35-'Hampshire Daily'!D34</f>
        <v>2570</v>
      </c>
      <c r="F32" s="4">
        <f>'Hampshire Daily'!E35-'Hampshire Daily'!E34</f>
        <v>2575</v>
      </c>
      <c r="G32" s="4">
        <f>'Hampshire Daily'!H35-'Hampshire Daily'!H34</f>
        <v>809</v>
      </c>
      <c r="H32" s="4">
        <f>'Hampshire Daily'!I35-'Hampshire Daily'!I34</f>
        <v>2007.5999999903142</v>
      </c>
      <c r="I32" s="4">
        <f>'Hampshire Daily'!J35-'Hampshire Daily'!J34</f>
        <v>0</v>
      </c>
      <c r="J32" s="4">
        <f>'Hampshire Daily'!K35-'Hampshire Daily'!K34</f>
        <v>2428.5999999903142</v>
      </c>
      <c r="K32" s="4">
        <f>'Hampshire Daily'!L35-'Hampshire Daily'!L34</f>
        <v>2947</v>
      </c>
      <c r="L32" s="4">
        <f>'Hampshire Daily'!M35-'Hampshire Daily'!M34</f>
        <v>1</v>
      </c>
      <c r="M32" s="4">
        <f>'Hampshire Daily'!N35-'Hampshire Daily'!N34</f>
        <v>2638</v>
      </c>
      <c r="N32" s="4">
        <f>'Hampshire Daily'!O35-'Hampshire Daily'!O34</f>
        <v>93</v>
      </c>
      <c r="O32" s="4">
        <f>'Hampshire Daily'!P35-'Hampshire Daily'!P34</f>
        <v>94</v>
      </c>
      <c r="P32" s="4">
        <f>'Hampshire Daily'!Q35-'Hampshire Daily'!Q34</f>
        <v>0</v>
      </c>
      <c r="Q32" s="4">
        <f>'Hampshire Daily'!R35-'Hampshire Daily'!R34</f>
        <v>665</v>
      </c>
      <c r="R32" s="4">
        <f>'Hampshire Daily'!S35-'Hampshire Daily'!S34</f>
        <v>33</v>
      </c>
      <c r="S32" s="4">
        <f>'Hampshire Daily'!T35-'Hampshire Daily'!T34</f>
        <v>40</v>
      </c>
      <c r="T32" s="4">
        <f>'Hampshire Daily'!U35-'Hampshire Daily'!U34</f>
        <v>11</v>
      </c>
      <c r="U32" s="4">
        <f>'Hampshire Daily'!V35-'Hampshire Daily'!V34</f>
        <v>0</v>
      </c>
      <c r="V32" s="4">
        <f>'Hampshire Daily'!W35-'Hampshire Daily'!W34</f>
        <v>0</v>
      </c>
      <c r="W32" s="4">
        <f>'Hampshire Daily'!X35-'Hampshire Daily'!X34</f>
        <v>0.21100000000001273</v>
      </c>
      <c r="X32" s="4">
        <f>'Hampshire Daily'!Y35-'Hampshire Daily'!Y34</f>
        <v>0</v>
      </c>
      <c r="Y32" s="4">
        <f>'Hampshire Daily'!B35</f>
        <v>20</v>
      </c>
      <c r="Z32" s="4">
        <f>'Hampshire Daily'!C35</f>
        <v>50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topLeftCell="B1" workbookViewId="0">
      <selection activeCell="H34" sqref="H34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</v>
      </c>
      <c r="D2" s="2">
        <v>2022</v>
      </c>
      <c r="E2" s="4">
        <f>(Submetering!E2+Submetering!F2)</f>
        <v>4598</v>
      </c>
      <c r="F2" s="12">
        <v>0.35</v>
      </c>
      <c r="G2" s="4">
        <f>Submetering!M2</f>
        <v>2590</v>
      </c>
      <c r="H2" s="12">
        <v>0.6</v>
      </c>
      <c r="I2" s="4">
        <f>Submetering!N2</f>
        <v>170</v>
      </c>
      <c r="J2" s="13">
        <v>2.06</v>
      </c>
      <c r="K2" s="4">
        <f>'Hampshire Daily'!B5</f>
        <v>70</v>
      </c>
      <c r="L2" s="4">
        <f>'Hampshire Daily'!C5</f>
        <v>190</v>
      </c>
    </row>
    <row r="3" spans="1:24" x14ac:dyDescent="0.25">
      <c r="A3" s="3" t="s">
        <v>40</v>
      </c>
      <c r="B3" s="2">
        <f>B2+1</f>
        <v>2</v>
      </c>
      <c r="C3" s="2">
        <v>1</v>
      </c>
      <c r="D3" s="2">
        <v>2022</v>
      </c>
      <c r="E3" s="4">
        <f>Submetering!E3+Submetering!F3</f>
        <v>3699</v>
      </c>
      <c r="F3" s="12">
        <v>0.35</v>
      </c>
      <c r="G3" s="4">
        <f>Submetering!M3</f>
        <v>2368</v>
      </c>
      <c r="H3" s="12">
        <v>0.6</v>
      </c>
      <c r="I3" s="4">
        <f>Submetering!N3</f>
        <v>127</v>
      </c>
      <c r="J3" s="13">
        <v>2.06</v>
      </c>
      <c r="K3" s="4">
        <f>'Hampshire Daily'!B6</f>
        <v>79</v>
      </c>
      <c r="L3" s="4">
        <f>'Hampshire Daily'!C6</f>
        <v>229</v>
      </c>
    </row>
    <row r="4" spans="1:24" x14ac:dyDescent="0.25">
      <c r="A4" s="3" t="s">
        <v>40</v>
      </c>
      <c r="B4" s="2">
        <f t="shared" ref="B4:B31" si="0">B3+1</f>
        <v>3</v>
      </c>
      <c r="C4" s="2">
        <v>1</v>
      </c>
      <c r="D4" s="2">
        <v>2022</v>
      </c>
      <c r="E4" s="4">
        <f>Submetering!E4+Submetering!F4</f>
        <v>4200</v>
      </c>
      <c r="F4" s="12">
        <v>0.35</v>
      </c>
      <c r="G4" s="4">
        <f>Submetering!M4</f>
        <v>2359</v>
      </c>
      <c r="H4" s="12">
        <v>0.6</v>
      </c>
      <c r="I4" s="4">
        <f>Submetering!N4</f>
        <v>154</v>
      </c>
      <c r="J4" s="13">
        <v>2.06</v>
      </c>
      <c r="K4" s="4">
        <f>'Hampshire Daily'!B7</f>
        <v>74</v>
      </c>
      <c r="L4" s="4">
        <f>'Hampshire Daily'!C7</f>
        <v>213</v>
      </c>
    </row>
    <row r="5" spans="1:24" x14ac:dyDescent="0.25">
      <c r="A5" s="3" t="s">
        <v>40</v>
      </c>
      <c r="B5" s="2">
        <f t="shared" si="0"/>
        <v>4</v>
      </c>
      <c r="C5" s="2">
        <v>1</v>
      </c>
      <c r="D5" s="2">
        <v>2022</v>
      </c>
      <c r="E5" s="4">
        <f>Submetering!E5+Submetering!F5</f>
        <v>5445</v>
      </c>
      <c r="F5" s="12">
        <v>0.35</v>
      </c>
      <c r="G5" s="4">
        <f>Submetering!M5</f>
        <v>2514</v>
      </c>
      <c r="H5" s="12">
        <v>0.6</v>
      </c>
      <c r="I5" s="4">
        <f>Submetering!N5</f>
        <v>117.5</v>
      </c>
      <c r="J5" s="13">
        <v>2.06</v>
      </c>
      <c r="K5" s="4">
        <f>'Hampshire Daily'!B8</f>
        <v>53</v>
      </c>
      <c r="L5" s="4">
        <f>'Hampshire Daily'!C8</f>
        <v>157</v>
      </c>
    </row>
    <row r="6" spans="1:24" x14ac:dyDescent="0.25">
      <c r="A6" s="3" t="s">
        <v>40</v>
      </c>
      <c r="B6" s="2">
        <f t="shared" si="0"/>
        <v>5</v>
      </c>
      <c r="C6" s="2">
        <v>1</v>
      </c>
      <c r="D6" s="2">
        <v>2022</v>
      </c>
      <c r="E6" s="4">
        <f>Submetering!E6+Submetering!F6</f>
        <v>7454</v>
      </c>
      <c r="F6" s="12">
        <v>0.35</v>
      </c>
      <c r="G6" s="4">
        <f>Submetering!M6</f>
        <v>2953</v>
      </c>
      <c r="H6" s="12">
        <v>0.6</v>
      </c>
      <c r="I6" s="4">
        <f>Submetering!N6</f>
        <v>117.5</v>
      </c>
      <c r="J6" s="13">
        <v>2.06</v>
      </c>
      <c r="K6" s="4">
        <f>'Hampshire Daily'!B9</f>
        <v>37</v>
      </c>
      <c r="L6" s="4">
        <f>'Hampshire Daily'!C9</f>
        <v>101</v>
      </c>
    </row>
    <row r="7" spans="1:24" x14ac:dyDescent="0.25">
      <c r="A7" s="3" t="s">
        <v>40</v>
      </c>
      <c r="B7" s="2">
        <f t="shared" si="0"/>
        <v>6</v>
      </c>
      <c r="C7" s="2">
        <v>1</v>
      </c>
      <c r="D7" s="2">
        <v>2022</v>
      </c>
      <c r="E7" s="4">
        <f>Submetering!E7+Submetering!F7</f>
        <v>8728</v>
      </c>
      <c r="F7" s="12">
        <v>0.35</v>
      </c>
      <c r="G7" s="4">
        <f>Submetering!M7</f>
        <v>3216</v>
      </c>
      <c r="H7" s="12">
        <v>0.6</v>
      </c>
      <c r="I7" s="4">
        <f>Submetering!N7</f>
        <v>117</v>
      </c>
      <c r="J7" s="13">
        <v>2.06</v>
      </c>
      <c r="K7" s="4">
        <f>'Hampshire Daily'!B10</f>
        <v>35</v>
      </c>
      <c r="L7" s="4">
        <f>'Hampshire Daily'!C10</f>
        <v>104</v>
      </c>
    </row>
    <row r="8" spans="1:24" x14ac:dyDescent="0.25">
      <c r="A8" s="3" t="s">
        <v>40</v>
      </c>
      <c r="B8" s="2">
        <f t="shared" si="0"/>
        <v>7</v>
      </c>
      <c r="C8" s="2">
        <v>1</v>
      </c>
      <c r="D8" s="2">
        <v>2022</v>
      </c>
      <c r="E8" s="4">
        <f>Submetering!E8+Submetering!F8</f>
        <v>6257</v>
      </c>
      <c r="F8" s="12">
        <v>0.35</v>
      </c>
      <c r="G8" s="4">
        <f>Submetering!M8</f>
        <v>3496</v>
      </c>
      <c r="H8" s="12">
        <v>0.6</v>
      </c>
      <c r="I8" s="4">
        <f>Submetering!N8</f>
        <v>114</v>
      </c>
      <c r="J8" s="13">
        <v>2.06</v>
      </c>
      <c r="K8" s="4">
        <f>'Hampshire Daily'!B11</f>
        <v>47</v>
      </c>
      <c r="L8" s="4">
        <f>'Hampshire Daily'!C11</f>
        <v>115</v>
      </c>
    </row>
    <row r="9" spans="1:24" x14ac:dyDescent="0.25">
      <c r="A9" s="3" t="s">
        <v>40</v>
      </c>
      <c r="B9" s="2">
        <f t="shared" si="0"/>
        <v>8</v>
      </c>
      <c r="C9" s="2">
        <v>1</v>
      </c>
      <c r="D9" s="2">
        <v>2022</v>
      </c>
      <c r="E9" s="4">
        <f>Submetering!E9+Submetering!F9</f>
        <v>5033</v>
      </c>
      <c r="F9" s="12">
        <v>0.35</v>
      </c>
      <c r="G9" s="4">
        <f>Submetering!M9</f>
        <v>3460</v>
      </c>
      <c r="H9" s="12">
        <v>0.6</v>
      </c>
      <c r="I9" s="4">
        <f>Submetering!N9</f>
        <v>112</v>
      </c>
      <c r="J9" s="13">
        <v>2.06</v>
      </c>
      <c r="K9" s="4">
        <f>'Hampshire Daily'!B12</f>
        <v>54</v>
      </c>
      <c r="L9" s="4">
        <f>'Hampshire Daily'!C12</f>
        <v>133</v>
      </c>
    </row>
    <row r="10" spans="1:24" x14ac:dyDescent="0.25">
      <c r="A10" s="3" t="s">
        <v>40</v>
      </c>
      <c r="B10" s="2">
        <f t="shared" si="0"/>
        <v>9</v>
      </c>
      <c r="C10" s="2">
        <v>1</v>
      </c>
      <c r="D10" s="2">
        <v>2022</v>
      </c>
      <c r="E10" s="4">
        <f>Submetering!E10+Submetering!F10</f>
        <v>4952</v>
      </c>
      <c r="F10" s="12">
        <v>0.35</v>
      </c>
      <c r="G10" s="4">
        <f>Submetering!M10</f>
        <v>3069</v>
      </c>
      <c r="H10" s="12">
        <v>0.6</v>
      </c>
      <c r="I10" s="4">
        <f>Submetering!N10</f>
        <v>115</v>
      </c>
      <c r="J10" s="13">
        <v>2.06</v>
      </c>
      <c r="K10" s="4">
        <f>'Hampshire Daily'!B13</f>
        <v>18</v>
      </c>
      <c r="L10" s="4">
        <f>'Hampshire Daily'!C13</f>
        <v>48</v>
      </c>
    </row>
    <row r="11" spans="1:24" x14ac:dyDescent="0.25">
      <c r="A11" s="3" t="s">
        <v>40</v>
      </c>
      <c r="B11" s="2">
        <f t="shared" si="0"/>
        <v>10</v>
      </c>
      <c r="C11" s="2">
        <v>1</v>
      </c>
      <c r="D11" s="2">
        <v>2022</v>
      </c>
      <c r="E11" s="4">
        <f>Submetering!E11+Submetering!F11</f>
        <v>4707</v>
      </c>
      <c r="F11" s="12">
        <v>0.35</v>
      </c>
      <c r="G11" s="4">
        <f>Submetering!M11</f>
        <v>3159</v>
      </c>
      <c r="H11" s="12">
        <v>0.6</v>
      </c>
      <c r="I11" s="4">
        <f>Submetering!N11</f>
        <v>136</v>
      </c>
      <c r="J11" s="13">
        <v>2.06</v>
      </c>
      <c r="K11" s="4">
        <f>'Hampshire Daily'!B14</f>
        <v>17</v>
      </c>
      <c r="L11" s="4">
        <f>'Hampshire Daily'!C14</f>
        <v>37</v>
      </c>
    </row>
    <row r="12" spans="1:24" x14ac:dyDescent="0.25">
      <c r="A12" s="3" t="s">
        <v>40</v>
      </c>
      <c r="B12" s="2">
        <f t="shared" si="0"/>
        <v>11</v>
      </c>
      <c r="C12" s="2">
        <v>1</v>
      </c>
      <c r="D12" s="2">
        <v>2022</v>
      </c>
      <c r="E12" s="4">
        <f>Submetering!E12+Submetering!F12</f>
        <v>5662</v>
      </c>
      <c r="F12" s="12">
        <v>0.35</v>
      </c>
      <c r="G12" s="4">
        <f>Submetering!M12</f>
        <v>3022</v>
      </c>
      <c r="H12" s="12">
        <v>0.6</v>
      </c>
      <c r="I12" s="4">
        <f>Submetering!N12</f>
        <v>79</v>
      </c>
      <c r="J12" s="13">
        <v>2.06</v>
      </c>
      <c r="K12" s="4">
        <f>'Hampshire Daily'!B15</f>
        <v>10</v>
      </c>
      <c r="L12" s="4">
        <f>'Hampshire Daily'!C15</f>
        <v>27</v>
      </c>
    </row>
    <row r="13" spans="1:24" x14ac:dyDescent="0.25">
      <c r="A13" s="3" t="s">
        <v>40</v>
      </c>
      <c r="B13" s="2">
        <f t="shared" si="0"/>
        <v>12</v>
      </c>
      <c r="C13" s="2">
        <v>1</v>
      </c>
      <c r="D13" s="2">
        <v>2022</v>
      </c>
      <c r="E13" s="4">
        <f>Submetering!E13+Submetering!F13</f>
        <v>5911</v>
      </c>
      <c r="F13" s="12">
        <v>0.35</v>
      </c>
      <c r="G13" s="4">
        <f>Submetering!M13</f>
        <v>2999</v>
      </c>
      <c r="H13" s="12">
        <v>0.6</v>
      </c>
      <c r="I13" s="4">
        <f>Submetering!N13</f>
        <v>54</v>
      </c>
      <c r="J13" s="13">
        <v>2.06</v>
      </c>
      <c r="K13" s="4">
        <f>'Hampshire Daily'!B16</f>
        <v>26</v>
      </c>
      <c r="L13" s="4">
        <f>'Hampshire Daily'!C16</f>
        <v>43</v>
      </c>
    </row>
    <row r="14" spans="1:24" x14ac:dyDescent="0.25">
      <c r="A14" s="3" t="s">
        <v>40</v>
      </c>
      <c r="B14" s="2">
        <f t="shared" si="0"/>
        <v>13</v>
      </c>
      <c r="C14" s="2">
        <v>1</v>
      </c>
      <c r="D14" s="2">
        <v>2022</v>
      </c>
      <c r="E14" s="4">
        <f>Submetering!E14+Submetering!F14</f>
        <v>5624</v>
      </c>
      <c r="F14" s="12">
        <v>0.35</v>
      </c>
      <c r="G14" s="4">
        <f>Submetering!M14</f>
        <v>3075</v>
      </c>
      <c r="H14" s="12">
        <v>0.6</v>
      </c>
      <c r="I14" s="4">
        <f>Submetering!N14</f>
        <v>62</v>
      </c>
      <c r="J14" s="13">
        <v>2.06</v>
      </c>
      <c r="K14" s="4">
        <f>'Hampshire Daily'!B17</f>
        <v>24</v>
      </c>
      <c r="L14" s="4">
        <f>'Hampshire Daily'!C17</f>
        <v>45</v>
      </c>
    </row>
    <row r="15" spans="1:24" x14ac:dyDescent="0.25">
      <c r="A15" s="3" t="s">
        <v>40</v>
      </c>
      <c r="B15" s="2">
        <f t="shared" si="0"/>
        <v>14</v>
      </c>
      <c r="C15" s="2">
        <v>1</v>
      </c>
      <c r="D15" s="2">
        <v>2022</v>
      </c>
      <c r="E15" s="4">
        <f>Submetering!E15+Submetering!F15</f>
        <v>5614</v>
      </c>
      <c r="F15" s="12">
        <v>0.35</v>
      </c>
      <c r="G15" s="4">
        <f>Submetering!M15</f>
        <v>2872</v>
      </c>
      <c r="H15" s="12">
        <v>0.6</v>
      </c>
      <c r="I15" s="4">
        <f>Submetering!N15</f>
        <v>63.700000000011642</v>
      </c>
      <c r="J15" s="13">
        <v>2.06</v>
      </c>
      <c r="K15" s="4">
        <f>'Hampshire Daily'!B18</f>
        <v>28</v>
      </c>
      <c r="L15" s="4">
        <f>'Hampshire Daily'!C18</f>
        <v>69</v>
      </c>
    </row>
    <row r="16" spans="1:24" x14ac:dyDescent="0.25">
      <c r="A16" s="3" t="s">
        <v>40</v>
      </c>
      <c r="B16" s="2">
        <f t="shared" si="0"/>
        <v>15</v>
      </c>
      <c r="C16" s="2">
        <v>1</v>
      </c>
      <c r="D16" s="2">
        <v>2022</v>
      </c>
      <c r="E16" s="4">
        <f>Submetering!E16+Submetering!F16</f>
        <v>6154</v>
      </c>
      <c r="F16" s="12">
        <v>0.35</v>
      </c>
      <c r="G16" s="4">
        <f>Submetering!M16</f>
        <v>3391</v>
      </c>
      <c r="H16" s="12">
        <v>0.6</v>
      </c>
      <c r="I16" s="4">
        <f>Submetering!N16</f>
        <v>63.299999999988358</v>
      </c>
      <c r="J16" s="13">
        <v>2.06</v>
      </c>
      <c r="K16" s="4">
        <f>'Hampshire Daily'!B19</f>
        <v>49</v>
      </c>
      <c r="L16" s="4">
        <f>'Hampshire Daily'!C19</f>
        <v>128</v>
      </c>
    </row>
    <row r="17" spans="1:12" x14ac:dyDescent="0.25">
      <c r="A17" s="3" t="s">
        <v>40</v>
      </c>
      <c r="B17" s="2">
        <f t="shared" si="0"/>
        <v>16</v>
      </c>
      <c r="C17" s="2">
        <v>1</v>
      </c>
      <c r="D17" s="2">
        <v>2022</v>
      </c>
      <c r="E17" s="4">
        <f>Submetering!E17+Submetering!F17</f>
        <v>5745</v>
      </c>
      <c r="F17" s="12">
        <v>0.35</v>
      </c>
      <c r="G17" s="4">
        <f>Submetering!M17</f>
        <v>3088</v>
      </c>
      <c r="H17" s="12">
        <v>0.6</v>
      </c>
      <c r="I17" s="4">
        <f>Submetering!N17</f>
        <v>64</v>
      </c>
      <c r="J17" s="13">
        <v>2.06</v>
      </c>
      <c r="K17" s="4">
        <f>'Hampshire Daily'!B20</f>
        <v>24</v>
      </c>
      <c r="L17" s="4">
        <f>'Hampshire Daily'!C20</f>
        <v>54</v>
      </c>
    </row>
    <row r="18" spans="1:12" x14ac:dyDescent="0.25">
      <c r="A18" s="3" t="s">
        <v>40</v>
      </c>
      <c r="B18" s="2">
        <f t="shared" si="0"/>
        <v>17</v>
      </c>
      <c r="C18" s="2">
        <v>1</v>
      </c>
      <c r="D18" s="2">
        <v>2022</v>
      </c>
      <c r="E18" s="4">
        <f>Submetering!E18+Submetering!F18</f>
        <v>5560</v>
      </c>
      <c r="F18" s="12">
        <v>0.35</v>
      </c>
      <c r="G18" s="4">
        <f>Submetering!M18</f>
        <v>3090</v>
      </c>
      <c r="H18" s="12">
        <v>0.6</v>
      </c>
      <c r="I18" s="4">
        <f>Submetering!N18</f>
        <v>63</v>
      </c>
      <c r="J18" s="13">
        <v>2.06</v>
      </c>
      <c r="K18" s="4">
        <f>'Hampshire Daily'!B21</f>
        <v>16</v>
      </c>
      <c r="L18" s="4">
        <f>'Hampshire Daily'!C21</f>
        <v>42</v>
      </c>
    </row>
    <row r="19" spans="1:12" x14ac:dyDescent="0.25">
      <c r="A19" s="3" t="s">
        <v>40</v>
      </c>
      <c r="B19" s="2">
        <f t="shared" si="0"/>
        <v>18</v>
      </c>
      <c r="C19" s="2">
        <v>1</v>
      </c>
      <c r="D19" s="2">
        <v>2022</v>
      </c>
      <c r="E19" s="4">
        <f>Submetering!E19+Submetering!F19</f>
        <v>5685</v>
      </c>
      <c r="F19" s="12">
        <v>0.35</v>
      </c>
      <c r="G19" s="4">
        <f>Submetering!M19</f>
        <v>3287</v>
      </c>
      <c r="H19" s="12">
        <v>0.6</v>
      </c>
      <c r="I19" s="4">
        <f>Submetering!N19</f>
        <v>64</v>
      </c>
      <c r="J19" s="13">
        <v>2.06</v>
      </c>
      <c r="K19" s="4">
        <f>'Hampshire Daily'!B22</f>
        <v>12</v>
      </c>
      <c r="L19" s="4">
        <f>'Hampshire Daily'!C22</f>
        <v>31</v>
      </c>
    </row>
    <row r="20" spans="1:12" x14ac:dyDescent="0.25">
      <c r="A20" s="3" t="s">
        <v>40</v>
      </c>
      <c r="B20" s="2">
        <f t="shared" si="0"/>
        <v>19</v>
      </c>
      <c r="C20" s="2">
        <v>1</v>
      </c>
      <c r="D20" s="2">
        <v>2022</v>
      </c>
      <c r="E20" s="4">
        <f>Submetering!E20+Submetering!F20</f>
        <v>6385</v>
      </c>
      <c r="F20" s="12">
        <v>0.35</v>
      </c>
      <c r="G20" s="4">
        <f>Submetering!M20</f>
        <v>3126</v>
      </c>
      <c r="H20" s="12">
        <v>0.6</v>
      </c>
      <c r="I20" s="4">
        <f>Submetering!N20</f>
        <v>52</v>
      </c>
      <c r="J20" s="13">
        <v>2.06</v>
      </c>
      <c r="K20" s="4">
        <f>'Hampshire Daily'!B23</f>
        <v>9</v>
      </c>
      <c r="L20" s="4">
        <f>'Hampshire Daily'!C23</f>
        <v>23</v>
      </c>
    </row>
    <row r="21" spans="1:12" x14ac:dyDescent="0.25">
      <c r="A21" s="3" t="s">
        <v>40</v>
      </c>
      <c r="B21" s="2">
        <f t="shared" si="0"/>
        <v>20</v>
      </c>
      <c r="C21" s="2">
        <v>1</v>
      </c>
      <c r="D21" s="2">
        <v>2022</v>
      </c>
      <c r="E21" s="4">
        <f>Submetering!E21+Submetering!F21</f>
        <v>5796</v>
      </c>
      <c r="F21" s="12">
        <v>0.35</v>
      </c>
      <c r="G21" s="4">
        <f>Submetering!M21</f>
        <v>797</v>
      </c>
      <c r="H21" s="12">
        <v>0.6</v>
      </c>
      <c r="I21" s="4">
        <f>Submetering!N21</f>
        <v>54</v>
      </c>
      <c r="J21" s="13">
        <v>2.06</v>
      </c>
      <c r="K21" s="4">
        <f>'Hampshire Daily'!B24</f>
        <v>13</v>
      </c>
      <c r="L21" s="4">
        <f>'Hampshire Daily'!C24</f>
        <v>34</v>
      </c>
    </row>
    <row r="22" spans="1:12" x14ac:dyDescent="0.25">
      <c r="A22" s="3" t="s">
        <v>40</v>
      </c>
      <c r="B22" s="2">
        <f t="shared" si="0"/>
        <v>21</v>
      </c>
      <c r="C22" s="2">
        <v>1</v>
      </c>
      <c r="D22" s="2">
        <v>2022</v>
      </c>
      <c r="E22" s="4">
        <f>Submetering!E22+Submetering!F22</f>
        <v>6217</v>
      </c>
      <c r="F22" s="12">
        <v>0.35</v>
      </c>
      <c r="G22" s="4">
        <f>Submetering!M22</f>
        <v>5994</v>
      </c>
      <c r="H22" s="12">
        <v>0.6</v>
      </c>
      <c r="I22" s="4">
        <f>Submetering!N22</f>
        <v>54</v>
      </c>
      <c r="J22" s="13">
        <v>2.06</v>
      </c>
      <c r="K22" s="4">
        <f>'Hampshire Daily'!B25</f>
        <v>64</v>
      </c>
      <c r="L22" s="4">
        <f>'Hampshire Daily'!C25</f>
        <v>148</v>
      </c>
    </row>
    <row r="23" spans="1:12" x14ac:dyDescent="0.25">
      <c r="A23" s="3" t="s">
        <v>40</v>
      </c>
      <c r="B23" s="2">
        <f t="shared" si="0"/>
        <v>22</v>
      </c>
      <c r="C23" s="2">
        <v>1</v>
      </c>
      <c r="D23" s="2">
        <v>2022</v>
      </c>
      <c r="E23" s="4">
        <f>Submetering!E23+Submetering!F23</f>
        <v>5440</v>
      </c>
      <c r="F23" s="12">
        <v>0.35</v>
      </c>
      <c r="G23" s="4">
        <f>Submetering!M23</f>
        <v>3361</v>
      </c>
      <c r="H23" s="12">
        <v>0.6</v>
      </c>
      <c r="I23" s="4">
        <f>Submetering!N23</f>
        <v>75</v>
      </c>
      <c r="J23" s="13">
        <v>2.06</v>
      </c>
      <c r="K23" s="4">
        <f>'Hampshire Daily'!B26</f>
        <v>60</v>
      </c>
      <c r="L23" s="4">
        <f>'Hampshire Daily'!C26</f>
        <v>146</v>
      </c>
    </row>
    <row r="24" spans="1:12" x14ac:dyDescent="0.25">
      <c r="A24" s="3" t="s">
        <v>40</v>
      </c>
      <c r="B24" s="2">
        <f t="shared" si="0"/>
        <v>23</v>
      </c>
      <c r="C24" s="2">
        <v>1</v>
      </c>
      <c r="D24" s="2">
        <v>2022</v>
      </c>
      <c r="E24" s="4">
        <f>Submetering!E24+Submetering!F24</f>
        <v>4912</v>
      </c>
      <c r="F24" s="12">
        <v>0.35</v>
      </c>
      <c r="G24" s="4">
        <f>Submetering!M24</f>
        <v>2984</v>
      </c>
      <c r="H24" s="12">
        <v>0.6</v>
      </c>
      <c r="I24" s="4">
        <f>Submetering!N24</f>
        <v>74</v>
      </c>
      <c r="J24" s="13">
        <v>2.06</v>
      </c>
      <c r="K24" s="4">
        <f>'Hampshire Daily'!B27</f>
        <v>12</v>
      </c>
      <c r="L24" s="4">
        <f>'Hampshire Daily'!C27</f>
        <v>34</v>
      </c>
    </row>
    <row r="25" spans="1:12" x14ac:dyDescent="0.25">
      <c r="A25" s="3" t="s">
        <v>40</v>
      </c>
      <c r="B25" s="2">
        <f t="shared" si="0"/>
        <v>24</v>
      </c>
      <c r="C25" s="2">
        <v>1</v>
      </c>
      <c r="D25" s="2">
        <v>2022</v>
      </c>
      <c r="E25" s="4">
        <f>Submetering!E25+Submetering!F25</f>
        <v>4199</v>
      </c>
      <c r="F25" s="12">
        <v>0.35</v>
      </c>
      <c r="G25" s="4">
        <f>Submetering!M25</f>
        <v>649</v>
      </c>
      <c r="H25" s="12">
        <v>0.6</v>
      </c>
      <c r="I25" s="4">
        <f>Submetering!N25</f>
        <v>77</v>
      </c>
      <c r="J25" s="13">
        <v>2.06</v>
      </c>
      <c r="K25" s="4">
        <f>'Hampshire Daily'!B28</f>
        <v>42</v>
      </c>
      <c r="L25" s="4">
        <f>'Hampshire Daily'!C28</f>
        <v>60</v>
      </c>
    </row>
    <row r="26" spans="1:12" x14ac:dyDescent="0.25">
      <c r="A26" s="3" t="s">
        <v>40</v>
      </c>
      <c r="B26" s="2">
        <f>B25+1</f>
        <v>25</v>
      </c>
      <c r="C26" s="2">
        <v>1</v>
      </c>
      <c r="D26" s="2">
        <v>2022</v>
      </c>
      <c r="E26" s="4">
        <f>Submetering!E26+Submetering!F26</f>
        <v>4416</v>
      </c>
      <c r="F26" s="12">
        <v>0.35</v>
      </c>
      <c r="G26" s="4">
        <f>Submetering!M26</f>
        <v>5735</v>
      </c>
      <c r="H26" s="12">
        <v>0.6</v>
      </c>
      <c r="I26" s="4">
        <f>Submetering!N26</f>
        <v>60</v>
      </c>
      <c r="J26" s="13">
        <v>2.06</v>
      </c>
      <c r="K26" s="4">
        <f>'Hampshire Daily'!B29</f>
        <v>46</v>
      </c>
      <c r="L26" s="4">
        <f>'Hampshire Daily'!C29</f>
        <v>68</v>
      </c>
    </row>
    <row r="27" spans="1:12" x14ac:dyDescent="0.25">
      <c r="A27" s="3" t="s">
        <v>40</v>
      </c>
      <c r="B27" s="2">
        <f t="shared" si="0"/>
        <v>26</v>
      </c>
      <c r="C27" s="2">
        <v>1</v>
      </c>
      <c r="D27" s="2">
        <v>2022</v>
      </c>
      <c r="E27" s="4">
        <f>Submetering!E27+Submetering!F27</f>
        <v>4516</v>
      </c>
      <c r="F27" s="12">
        <v>0.35</v>
      </c>
      <c r="G27" s="4">
        <f>Submetering!M27</f>
        <v>3197</v>
      </c>
      <c r="H27" s="12">
        <v>0.6</v>
      </c>
      <c r="I27" s="4">
        <f>Submetering!N27</f>
        <v>59</v>
      </c>
      <c r="J27" s="13">
        <v>2.06</v>
      </c>
      <c r="K27" s="4">
        <f>'Hampshire Daily'!B30</f>
        <v>28</v>
      </c>
      <c r="L27" s="4">
        <f>'Hampshire Daily'!C30</f>
        <v>52</v>
      </c>
    </row>
    <row r="28" spans="1:12" x14ac:dyDescent="0.25">
      <c r="A28" s="3" t="s">
        <v>40</v>
      </c>
      <c r="B28" s="2">
        <f t="shared" si="0"/>
        <v>27</v>
      </c>
      <c r="C28" s="2">
        <v>1</v>
      </c>
      <c r="D28" s="2">
        <v>2022</v>
      </c>
      <c r="E28" s="4">
        <f>Submetering!E28+Submetering!F28</f>
        <v>3855</v>
      </c>
      <c r="F28" s="12">
        <v>0.35</v>
      </c>
      <c r="G28" s="4">
        <f>Submetering!M28</f>
        <v>2793</v>
      </c>
      <c r="H28" s="12">
        <v>0.6</v>
      </c>
      <c r="I28" s="4">
        <f>Submetering!N28</f>
        <v>61</v>
      </c>
      <c r="J28" s="13">
        <v>2.06</v>
      </c>
      <c r="K28" s="4">
        <f>'Hampshire Daily'!B31</f>
        <v>37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</v>
      </c>
      <c r="D29" s="2">
        <v>2022</v>
      </c>
      <c r="E29" s="4">
        <f>Submetering!E29+Submetering!F29</f>
        <v>4847</v>
      </c>
      <c r="F29" s="12">
        <v>0.35</v>
      </c>
      <c r="G29" s="4">
        <f>Submetering!M29</f>
        <v>2815</v>
      </c>
      <c r="H29" s="12">
        <v>0.6</v>
      </c>
      <c r="I29" s="4">
        <f>Submetering!N29</f>
        <v>74</v>
      </c>
      <c r="J29" s="13">
        <v>2.06</v>
      </c>
      <c r="K29" s="4">
        <f>'Hampshire Daily'!B32</f>
        <v>37</v>
      </c>
      <c r="L29" s="4">
        <f>'Hampshire Daily'!C32</f>
        <v>90</v>
      </c>
    </row>
    <row r="30" spans="1:12" x14ac:dyDescent="0.25">
      <c r="A30" s="3" t="s">
        <v>40</v>
      </c>
      <c r="B30" s="2">
        <f t="shared" si="0"/>
        <v>29</v>
      </c>
      <c r="C30" s="2">
        <v>1</v>
      </c>
      <c r="D30" s="2">
        <v>2022</v>
      </c>
      <c r="E30" s="4">
        <f>Submetering!E30+Submetering!F30</f>
        <v>4414</v>
      </c>
      <c r="F30" s="12">
        <v>0.35</v>
      </c>
      <c r="G30" s="4">
        <f>Submetering!M30</f>
        <v>2663</v>
      </c>
      <c r="H30" s="12">
        <v>0.6</v>
      </c>
      <c r="I30" s="4">
        <f>Submetering!N30</f>
        <v>62</v>
      </c>
      <c r="J30" s="13">
        <v>2.06</v>
      </c>
      <c r="K30" s="4">
        <f>'Hampshire Daily'!B33</f>
        <v>60</v>
      </c>
      <c r="L30" s="4">
        <f>'Hampshire Daily'!C33</f>
        <v>148</v>
      </c>
    </row>
    <row r="31" spans="1:12" x14ac:dyDescent="0.25">
      <c r="A31" s="3" t="s">
        <v>40</v>
      </c>
      <c r="B31" s="2">
        <f t="shared" si="0"/>
        <v>30</v>
      </c>
      <c r="C31" s="2">
        <v>1</v>
      </c>
      <c r="D31" s="2">
        <v>2022</v>
      </c>
      <c r="E31" s="4">
        <f>Submetering!E31+Submetering!F31</f>
        <v>4680</v>
      </c>
      <c r="F31" s="12">
        <v>0.35</v>
      </c>
      <c r="G31" s="4">
        <f>Submetering!M31</f>
        <v>2641</v>
      </c>
      <c r="H31" s="12">
        <v>0.6</v>
      </c>
      <c r="I31" s="4">
        <f>Submetering!N31</f>
        <v>65</v>
      </c>
      <c r="J31" s="13">
        <v>2.06</v>
      </c>
      <c r="K31" s="4">
        <f>'Hampshire Daily'!B34</f>
        <v>22</v>
      </c>
      <c r="L31" s="4">
        <f>'Hampshire Daily'!C34</f>
        <v>50</v>
      </c>
    </row>
    <row r="32" spans="1:12" x14ac:dyDescent="0.25">
      <c r="A32" s="3" t="s">
        <v>40</v>
      </c>
      <c r="B32" s="2">
        <v>31</v>
      </c>
      <c r="C32" s="2">
        <v>1</v>
      </c>
      <c r="D32" s="2">
        <v>2022</v>
      </c>
      <c r="E32" s="4">
        <f>Submetering!E32+Submetering!F32</f>
        <v>5145</v>
      </c>
      <c r="F32" s="12">
        <v>0.35</v>
      </c>
      <c r="G32" s="4">
        <f>Submetering!M32</f>
        <v>2638</v>
      </c>
      <c r="H32" s="12">
        <v>0.6</v>
      </c>
      <c r="I32" s="4">
        <f>Submetering!N32</f>
        <v>93</v>
      </c>
      <c r="J32" s="13">
        <v>2.06</v>
      </c>
      <c r="K32" s="4">
        <f>'Hampshire Daily'!B35</f>
        <v>20</v>
      </c>
      <c r="L32" s="4">
        <f>'Hampshire Daily'!C35</f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zoomScaleNormal="100" workbookViewId="0">
      <pane xSplit="1" topLeftCell="I1" activePane="topRight" state="frozen"/>
      <selection pane="topRight" activeCell="P6" sqref="P6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0"/>
      <c r="B1" s="21"/>
      <c r="C1" s="21"/>
      <c r="D1" s="33" t="s">
        <v>12</v>
      </c>
      <c r="E1" s="33"/>
      <c r="F1" s="33"/>
      <c r="G1" s="33"/>
      <c r="H1" s="33"/>
      <c r="I1" s="33"/>
      <c r="J1" s="33"/>
      <c r="K1" s="33"/>
      <c r="L1" s="33"/>
      <c r="M1" s="33"/>
      <c r="N1" s="39" t="s">
        <v>13</v>
      </c>
      <c r="O1" s="41" t="s">
        <v>14</v>
      </c>
      <c r="P1" s="23"/>
      <c r="Q1" s="23"/>
      <c r="R1" s="23"/>
      <c r="S1" s="41" t="s">
        <v>15</v>
      </c>
      <c r="T1" s="43"/>
      <c r="U1" s="41" t="s">
        <v>16</v>
      </c>
      <c r="V1" s="44" t="s">
        <v>17</v>
      </c>
      <c r="W1" s="41" t="s">
        <v>18</v>
      </c>
      <c r="X1" s="41" t="s">
        <v>19</v>
      </c>
      <c r="Y1" s="50" t="s">
        <v>20</v>
      </c>
      <c r="Z1" s="41" t="s">
        <v>54</v>
      </c>
      <c r="AA1" s="46" t="s">
        <v>55</v>
      </c>
      <c r="AB1" s="1">
        <v>42</v>
      </c>
      <c r="AC1" s="1">
        <v>41</v>
      </c>
    </row>
    <row r="2" spans="1:29" ht="15" customHeight="1" x14ac:dyDescent="0.25">
      <c r="A2" s="31"/>
      <c r="B2" s="36" t="s">
        <v>52</v>
      </c>
      <c r="C2" s="36" t="s">
        <v>53</v>
      </c>
      <c r="D2" s="34" t="s">
        <v>21</v>
      </c>
      <c r="E2" s="34" t="s">
        <v>22</v>
      </c>
      <c r="F2" s="34" t="s">
        <v>23</v>
      </c>
      <c r="G2" s="34" t="s">
        <v>24</v>
      </c>
      <c r="H2" s="34" t="s">
        <v>25</v>
      </c>
      <c r="I2" s="34" t="s">
        <v>26</v>
      </c>
      <c r="J2" s="34" t="s">
        <v>27</v>
      </c>
      <c r="K2" s="34" t="s">
        <v>28</v>
      </c>
      <c r="L2" s="34" t="s">
        <v>29</v>
      </c>
      <c r="M2" s="34" t="s">
        <v>30</v>
      </c>
      <c r="N2" s="40"/>
      <c r="O2" s="41"/>
      <c r="P2" s="23" t="s">
        <v>31</v>
      </c>
      <c r="Q2" s="23" t="s">
        <v>31</v>
      </c>
      <c r="R2" s="23" t="s">
        <v>31</v>
      </c>
      <c r="S2" s="41"/>
      <c r="T2" s="43"/>
      <c r="U2" s="41"/>
      <c r="V2" s="44"/>
      <c r="W2" s="41"/>
      <c r="X2" s="41"/>
      <c r="Y2" s="50"/>
      <c r="Z2" s="41"/>
      <c r="AA2" s="47"/>
      <c r="AB2" s="49" t="s">
        <v>57</v>
      </c>
      <c r="AC2" s="49" t="s">
        <v>58</v>
      </c>
    </row>
    <row r="3" spans="1:29" ht="27" customHeight="1" thickBot="1" x14ac:dyDescent="0.3">
      <c r="A3" s="32"/>
      <c r="B3" s="37"/>
      <c r="C3" s="37"/>
      <c r="D3" s="38"/>
      <c r="E3" s="38"/>
      <c r="F3" s="38"/>
      <c r="G3" s="38"/>
      <c r="H3" s="34"/>
      <c r="I3" s="34"/>
      <c r="J3" s="34"/>
      <c r="K3" s="34"/>
      <c r="L3" s="34"/>
      <c r="M3" s="35"/>
      <c r="N3" s="40"/>
      <c r="O3" s="42"/>
      <c r="P3" s="24">
        <v>2</v>
      </c>
      <c r="Q3" s="24">
        <v>3</v>
      </c>
      <c r="R3" s="24">
        <v>4</v>
      </c>
      <c r="S3" s="43"/>
      <c r="T3" s="43"/>
      <c r="U3" s="42"/>
      <c r="V3" s="45"/>
      <c r="W3" s="41"/>
      <c r="X3" s="41"/>
      <c r="Y3" s="50"/>
      <c r="Z3" s="41"/>
      <c r="AA3" s="48"/>
      <c r="AB3" s="49"/>
      <c r="AC3" s="49"/>
    </row>
    <row r="4" spans="1:29" s="18" customFormat="1" ht="19.899999999999999" customHeight="1" x14ac:dyDescent="0.25">
      <c r="A4" s="20">
        <v>44561</v>
      </c>
      <c r="B4" s="29">
        <v>77</v>
      </c>
      <c r="C4" s="51">
        <v>143</v>
      </c>
      <c r="D4" s="52">
        <v>1112230</v>
      </c>
      <c r="E4" s="53">
        <v>1113985</v>
      </c>
      <c r="F4" s="53">
        <v>1150440</v>
      </c>
      <c r="G4" s="53">
        <v>1149269</v>
      </c>
      <c r="H4" s="53">
        <v>292042</v>
      </c>
      <c r="I4" s="53">
        <f t="shared" ref="I4:I6" si="0">I5-2006.4</f>
        <v>7498991.3999999985</v>
      </c>
      <c r="J4" s="53">
        <v>32807</v>
      </c>
      <c r="K4" s="53">
        <f t="shared" ref="K4:K6" si="1">K5-2429.4</f>
        <v>5573566.3999999985</v>
      </c>
      <c r="L4" s="53">
        <v>929252</v>
      </c>
      <c r="M4" s="53">
        <v>2646828</v>
      </c>
      <c r="N4" s="53">
        <v>1465728</v>
      </c>
      <c r="O4" s="53">
        <v>381963</v>
      </c>
      <c r="P4" s="53">
        <v>1532808</v>
      </c>
      <c r="Q4" s="53">
        <v>1163</v>
      </c>
      <c r="R4" s="54">
        <v>601551</v>
      </c>
      <c r="S4" s="53">
        <v>346669</v>
      </c>
      <c r="T4" s="53">
        <v>49652</v>
      </c>
      <c r="U4" s="53">
        <v>52900</v>
      </c>
      <c r="V4" s="53">
        <v>31061</v>
      </c>
      <c r="W4" s="53">
        <v>490.33100000000002</v>
      </c>
      <c r="X4" s="53">
        <v>961.36099999999999</v>
      </c>
      <c r="Y4" s="53">
        <v>3889.98</v>
      </c>
      <c r="Z4" s="25"/>
      <c r="AA4" s="53">
        <v>2801</v>
      </c>
      <c r="AB4" s="55">
        <v>2920</v>
      </c>
      <c r="AC4" s="55">
        <v>3549</v>
      </c>
    </row>
    <row r="5" spans="1:29" x14ac:dyDescent="0.25">
      <c r="A5" s="20">
        <v>44562</v>
      </c>
      <c r="B5" s="27">
        <v>70</v>
      </c>
      <c r="C5" s="51">
        <v>190</v>
      </c>
      <c r="D5" s="52">
        <v>1114528</v>
      </c>
      <c r="E5" s="53">
        <v>1116285</v>
      </c>
      <c r="F5" s="53">
        <v>1153813</v>
      </c>
      <c r="G5" s="53">
        <v>1152638</v>
      </c>
      <c r="H5" s="53">
        <v>292042</v>
      </c>
      <c r="I5" s="53">
        <f t="shared" si="0"/>
        <v>7500997.7999999989</v>
      </c>
      <c r="J5" s="53">
        <v>32807</v>
      </c>
      <c r="K5" s="53">
        <f t="shared" si="1"/>
        <v>5575995.7999999989</v>
      </c>
      <c r="L5" s="53">
        <f>L6-1081</f>
        <v>930236</v>
      </c>
      <c r="M5" s="53">
        <v>2646829</v>
      </c>
      <c r="N5" s="53">
        <v>1468318</v>
      </c>
      <c r="O5" s="53">
        <v>382133</v>
      </c>
      <c r="P5" s="53">
        <v>1533576</v>
      </c>
      <c r="Q5" s="53">
        <v>1163</v>
      </c>
      <c r="R5" s="53">
        <v>601551</v>
      </c>
      <c r="S5" s="53">
        <v>346774</v>
      </c>
      <c r="T5" s="53">
        <v>49759</v>
      </c>
      <c r="U5" s="53">
        <v>52921</v>
      </c>
      <c r="V5" s="53">
        <v>31061</v>
      </c>
      <c r="W5" s="53">
        <v>490.33100000000002</v>
      </c>
      <c r="X5" s="53">
        <v>961.36099999999999</v>
      </c>
      <c r="Y5" s="53">
        <v>3889.98</v>
      </c>
      <c r="Z5" s="25"/>
      <c r="AA5" s="53">
        <v>2801</v>
      </c>
      <c r="AB5" s="26">
        <v>2899</v>
      </c>
      <c r="AC5" s="26">
        <v>2954</v>
      </c>
    </row>
    <row r="6" spans="1:29" x14ac:dyDescent="0.25">
      <c r="A6" s="20">
        <v>44563</v>
      </c>
      <c r="B6" s="27">
        <v>79</v>
      </c>
      <c r="C6" s="51">
        <v>229</v>
      </c>
      <c r="D6" s="52">
        <v>1116376</v>
      </c>
      <c r="E6" s="53">
        <v>1118136</v>
      </c>
      <c r="F6" s="53">
        <v>1157390</v>
      </c>
      <c r="G6" s="53">
        <v>1156212</v>
      </c>
      <c r="H6" s="53">
        <v>292128</v>
      </c>
      <c r="I6" s="53">
        <f t="shared" si="0"/>
        <v>7503004.1999999993</v>
      </c>
      <c r="J6" s="53">
        <v>32807</v>
      </c>
      <c r="K6" s="53">
        <f t="shared" si="1"/>
        <v>5578425.1999999993</v>
      </c>
      <c r="L6" s="53">
        <v>931317</v>
      </c>
      <c r="M6" s="53">
        <v>2646830</v>
      </c>
      <c r="N6" s="53">
        <v>1470686</v>
      </c>
      <c r="O6" s="53">
        <v>382260</v>
      </c>
      <c r="P6" s="54">
        <v>1534320</v>
      </c>
      <c r="Q6" s="53">
        <v>1163</v>
      </c>
      <c r="R6" s="53">
        <v>601551</v>
      </c>
      <c r="S6" s="53">
        <v>346871</v>
      </c>
      <c r="T6" s="53">
        <v>49858</v>
      </c>
      <c r="U6" s="53">
        <v>52932</v>
      </c>
      <c r="V6" s="53">
        <v>31061</v>
      </c>
      <c r="W6" s="53">
        <v>490.33100000000002</v>
      </c>
      <c r="X6" s="53">
        <v>961.48500000000001</v>
      </c>
      <c r="Y6" s="53">
        <v>3889.991</v>
      </c>
      <c r="Z6" s="25"/>
      <c r="AA6" s="53">
        <v>2808</v>
      </c>
      <c r="AB6" s="26">
        <v>2909</v>
      </c>
      <c r="AC6" s="26">
        <v>661</v>
      </c>
    </row>
    <row r="7" spans="1:29" x14ac:dyDescent="0.25">
      <c r="A7" s="20">
        <v>44564</v>
      </c>
      <c r="B7" s="27">
        <v>74</v>
      </c>
      <c r="C7" s="51">
        <v>213</v>
      </c>
      <c r="D7" s="52">
        <v>1118474</v>
      </c>
      <c r="E7" s="53">
        <v>1120238</v>
      </c>
      <c r="F7" s="53">
        <v>1164119</v>
      </c>
      <c r="G7" s="53">
        <v>1162935</v>
      </c>
      <c r="H7" s="53">
        <v>292923</v>
      </c>
      <c r="I7" s="53">
        <f>I8-2006.4</f>
        <v>7505010.5999999996</v>
      </c>
      <c r="J7" s="53">
        <v>32807</v>
      </c>
      <c r="K7" s="53">
        <f>K8-2429.4</f>
        <v>5580854.5999999996</v>
      </c>
      <c r="L7" s="53">
        <f>L6+1051</f>
        <v>932368</v>
      </c>
      <c r="M7" s="53">
        <v>2646832</v>
      </c>
      <c r="N7" s="53">
        <v>1473045</v>
      </c>
      <c r="O7" s="53">
        <v>382414</v>
      </c>
      <c r="P7" s="53">
        <v>1535094</v>
      </c>
      <c r="Q7" s="53">
        <v>1163</v>
      </c>
      <c r="R7" s="53">
        <v>601551</v>
      </c>
      <c r="S7" s="53">
        <v>346972</v>
      </c>
      <c r="T7" s="53">
        <v>49960</v>
      </c>
      <c r="U7" s="53">
        <v>52943</v>
      </c>
      <c r="V7" s="53">
        <v>31073</v>
      </c>
      <c r="W7" s="53">
        <v>490.33100000000002</v>
      </c>
      <c r="X7" s="53">
        <v>961.82100000000003</v>
      </c>
      <c r="Y7" s="53">
        <v>3890.0050000000001</v>
      </c>
      <c r="Z7" s="25"/>
      <c r="AA7" s="53">
        <v>2814</v>
      </c>
      <c r="AB7" s="26">
        <v>2924</v>
      </c>
      <c r="AC7" s="26">
        <v>1740</v>
      </c>
    </row>
    <row r="8" spans="1:29" x14ac:dyDescent="0.25">
      <c r="A8" s="20">
        <v>44565</v>
      </c>
      <c r="B8" s="27">
        <v>53</v>
      </c>
      <c r="C8" s="51">
        <v>157</v>
      </c>
      <c r="D8" s="52">
        <v>1121194</v>
      </c>
      <c r="E8" s="53">
        <v>1122963</v>
      </c>
      <c r="F8" s="53">
        <v>1167660</v>
      </c>
      <c r="G8" s="53">
        <v>1166471</v>
      </c>
      <c r="H8" s="53">
        <v>293008</v>
      </c>
      <c r="I8" s="53">
        <v>7507017</v>
      </c>
      <c r="J8" s="53">
        <v>32807</v>
      </c>
      <c r="K8" s="53">
        <v>5583284</v>
      </c>
      <c r="L8" s="53">
        <f t="shared" ref="L8:L34" si="2">L7+1051</f>
        <v>933419</v>
      </c>
      <c r="M8" s="53">
        <v>2646995</v>
      </c>
      <c r="N8" s="53">
        <v>1475559</v>
      </c>
      <c r="O8" s="54">
        <v>382531.5</v>
      </c>
      <c r="P8" s="53">
        <v>1535830</v>
      </c>
      <c r="Q8" s="53">
        <v>1163</v>
      </c>
      <c r="R8" s="53">
        <v>601551</v>
      </c>
      <c r="S8" s="53">
        <v>347076</v>
      </c>
      <c r="T8" s="53">
        <v>50065</v>
      </c>
      <c r="U8" s="53">
        <v>52956</v>
      </c>
      <c r="V8" s="53">
        <v>31073</v>
      </c>
      <c r="W8" s="53">
        <v>490.33100000000002</v>
      </c>
      <c r="X8" s="53">
        <v>961.98500000000001</v>
      </c>
      <c r="Y8" s="53">
        <v>3890.0189999999998</v>
      </c>
      <c r="Z8" s="25"/>
      <c r="AA8" s="53">
        <v>2818</v>
      </c>
      <c r="AB8" s="26">
        <v>1197</v>
      </c>
      <c r="AC8" s="26">
        <v>0</v>
      </c>
    </row>
    <row r="9" spans="1:29" x14ac:dyDescent="0.25">
      <c r="A9" s="20">
        <v>44566</v>
      </c>
      <c r="B9" s="27">
        <v>37</v>
      </c>
      <c r="C9" s="51">
        <v>101</v>
      </c>
      <c r="D9" s="52">
        <v>1124918</v>
      </c>
      <c r="E9" s="53">
        <v>1126693</v>
      </c>
      <c r="F9" s="53">
        <v>1173015</v>
      </c>
      <c r="G9" s="53">
        <v>1171820</v>
      </c>
      <c r="H9" s="53">
        <v>293622</v>
      </c>
      <c r="I9" s="53">
        <f>I8+2006.4</f>
        <v>7509023.4000000004</v>
      </c>
      <c r="J9" s="53">
        <v>32807</v>
      </c>
      <c r="K9" s="53">
        <f>K8+2429.4</f>
        <v>5585713.4000000004</v>
      </c>
      <c r="L9" s="53">
        <f t="shared" si="2"/>
        <v>934470</v>
      </c>
      <c r="M9" s="53">
        <v>2647345</v>
      </c>
      <c r="N9" s="53">
        <v>1478512</v>
      </c>
      <c r="O9" s="53">
        <v>382649</v>
      </c>
      <c r="P9" s="53">
        <v>1536153</v>
      </c>
      <c r="Q9" s="53">
        <v>1163</v>
      </c>
      <c r="R9" s="53">
        <v>601873</v>
      </c>
      <c r="S9" s="53">
        <v>347179</v>
      </c>
      <c r="T9" s="53">
        <v>50170</v>
      </c>
      <c r="U9" s="53">
        <v>52967</v>
      </c>
      <c r="V9" s="53">
        <v>31075</v>
      </c>
      <c r="W9" s="53">
        <v>490.33100000000002</v>
      </c>
      <c r="X9" s="53">
        <v>962.28</v>
      </c>
      <c r="Y9" s="53">
        <v>3890.0340000000001</v>
      </c>
      <c r="Z9" s="25"/>
      <c r="AA9" s="53">
        <v>2823</v>
      </c>
      <c r="AB9" s="26">
        <v>2479</v>
      </c>
      <c r="AC9" s="26">
        <v>2228</v>
      </c>
    </row>
    <row r="10" spans="1:29" x14ac:dyDescent="0.25">
      <c r="A10" s="20">
        <v>44567</v>
      </c>
      <c r="B10" s="27">
        <v>35</v>
      </c>
      <c r="C10" s="51">
        <v>104</v>
      </c>
      <c r="D10" s="52">
        <v>1129278</v>
      </c>
      <c r="E10" s="53">
        <v>1131061</v>
      </c>
      <c r="F10" s="53">
        <v>1175412</v>
      </c>
      <c r="G10" s="53">
        <v>1174215</v>
      </c>
      <c r="H10" s="53">
        <v>293675</v>
      </c>
      <c r="I10" s="53">
        <f t="shared" ref="I10:I34" si="3">I9+2006.4</f>
        <v>7511029.8000000007</v>
      </c>
      <c r="J10" s="53">
        <v>32807</v>
      </c>
      <c r="K10" s="53">
        <f t="shared" ref="K10:K34" si="4">K9+2429.4</f>
        <v>5588142.8000000007</v>
      </c>
      <c r="L10" s="53">
        <f t="shared" si="2"/>
        <v>935521</v>
      </c>
      <c r="M10" s="53">
        <v>2647718</v>
      </c>
      <c r="N10" s="53">
        <v>1481728</v>
      </c>
      <c r="O10" s="53">
        <v>382766</v>
      </c>
      <c r="P10" s="53">
        <v>1536153</v>
      </c>
      <c r="Q10" s="53">
        <v>1163</v>
      </c>
      <c r="R10" s="53">
        <v>602441</v>
      </c>
      <c r="S10" s="53">
        <v>347267</v>
      </c>
      <c r="T10" s="53">
        <v>50257</v>
      </c>
      <c r="U10" s="53">
        <v>52977</v>
      </c>
      <c r="V10" s="53">
        <v>31076</v>
      </c>
      <c r="W10" s="53">
        <v>490.33100000000002</v>
      </c>
      <c r="X10" s="53">
        <v>962.55700000000002</v>
      </c>
      <c r="Y10" s="53">
        <v>3890.0479999999998</v>
      </c>
      <c r="Z10" s="25"/>
      <c r="AA10" s="53">
        <v>2826</v>
      </c>
      <c r="AB10" s="26">
        <v>1878</v>
      </c>
      <c r="AC10" s="26">
        <v>2035</v>
      </c>
    </row>
    <row r="11" spans="1:29" x14ac:dyDescent="0.25">
      <c r="A11" s="20">
        <v>44568</v>
      </c>
      <c r="B11" s="27">
        <v>47</v>
      </c>
      <c r="C11" s="51">
        <v>115</v>
      </c>
      <c r="D11" s="52">
        <v>1132405</v>
      </c>
      <c r="E11" s="53">
        <v>1134191</v>
      </c>
      <c r="F11" s="53">
        <v>117437</v>
      </c>
      <c r="G11" s="53">
        <v>1176237</v>
      </c>
      <c r="H11" s="53">
        <v>293675</v>
      </c>
      <c r="I11" s="53">
        <f t="shared" si="3"/>
        <v>7513036.2000000011</v>
      </c>
      <c r="J11" s="53">
        <v>32807</v>
      </c>
      <c r="K11" s="53">
        <f t="shared" si="4"/>
        <v>5590572.2000000011</v>
      </c>
      <c r="L11" s="53">
        <f t="shared" si="2"/>
        <v>936572</v>
      </c>
      <c r="M11" s="53">
        <v>2647762</v>
      </c>
      <c r="N11" s="53">
        <v>1485224</v>
      </c>
      <c r="O11" s="53">
        <v>382880</v>
      </c>
      <c r="P11" s="53">
        <v>1536153</v>
      </c>
      <c r="Q11" s="53">
        <v>1163</v>
      </c>
      <c r="R11" s="53">
        <v>602886</v>
      </c>
      <c r="S11" s="53">
        <v>347353</v>
      </c>
      <c r="T11" s="53">
        <v>50346</v>
      </c>
      <c r="U11" s="53">
        <v>52986</v>
      </c>
      <c r="V11" s="53">
        <v>31077</v>
      </c>
      <c r="W11" s="53">
        <v>490.33100000000002</v>
      </c>
      <c r="X11" s="53">
        <v>962.79300000000001</v>
      </c>
      <c r="Y11" s="53">
        <v>3890.049</v>
      </c>
      <c r="Z11" s="25"/>
      <c r="AA11" s="53">
        <v>2829</v>
      </c>
      <c r="AB11" s="26">
        <v>2923</v>
      </c>
      <c r="AC11" s="26">
        <v>1505</v>
      </c>
    </row>
    <row r="12" spans="1:29" x14ac:dyDescent="0.25">
      <c r="A12" s="20">
        <v>44569</v>
      </c>
      <c r="B12" s="27">
        <v>54</v>
      </c>
      <c r="C12" s="51">
        <v>133</v>
      </c>
      <c r="D12" s="52">
        <v>1134919</v>
      </c>
      <c r="E12" s="53">
        <v>1136710</v>
      </c>
      <c r="F12" s="53">
        <v>1179933</v>
      </c>
      <c r="G12" s="53">
        <v>1178730</v>
      </c>
      <c r="H12" s="53">
        <v>293675</v>
      </c>
      <c r="I12" s="53">
        <f t="shared" si="3"/>
        <v>7515042.6000000015</v>
      </c>
      <c r="J12" s="53">
        <v>32807</v>
      </c>
      <c r="K12" s="53">
        <f t="shared" si="4"/>
        <v>5593001.6000000015</v>
      </c>
      <c r="L12" s="53">
        <f t="shared" si="2"/>
        <v>937623</v>
      </c>
      <c r="M12" s="53">
        <v>2647766</v>
      </c>
      <c r="N12" s="53">
        <v>1488684</v>
      </c>
      <c r="O12" s="53">
        <v>382992</v>
      </c>
      <c r="P12" s="53">
        <v>1536400</v>
      </c>
      <c r="Q12" s="53">
        <v>1163</v>
      </c>
      <c r="R12" s="53">
        <v>602886</v>
      </c>
      <c r="S12" s="53">
        <v>347438</v>
      </c>
      <c r="T12" s="53">
        <v>50431</v>
      </c>
      <c r="U12" s="53">
        <v>52996</v>
      </c>
      <c r="V12" s="53">
        <v>31078</v>
      </c>
      <c r="W12" s="53">
        <v>490.33100000000002</v>
      </c>
      <c r="X12" s="53">
        <v>963.03899999999999</v>
      </c>
      <c r="Y12" s="53">
        <v>3890.049</v>
      </c>
      <c r="Z12" s="25"/>
      <c r="AA12" s="53">
        <v>2834</v>
      </c>
      <c r="AB12" s="26">
        <v>2925</v>
      </c>
      <c r="AC12" s="26">
        <v>619</v>
      </c>
    </row>
    <row r="13" spans="1:29" x14ac:dyDescent="0.25">
      <c r="A13" s="20">
        <v>44570</v>
      </c>
      <c r="B13" s="27">
        <v>18</v>
      </c>
      <c r="C13" s="51">
        <v>48</v>
      </c>
      <c r="D13" s="52">
        <v>1137393</v>
      </c>
      <c r="E13" s="53">
        <v>1139188</v>
      </c>
      <c r="F13" s="53">
        <v>1182099</v>
      </c>
      <c r="G13" s="53">
        <v>1180894</v>
      </c>
      <c r="H13" s="53">
        <v>293675</v>
      </c>
      <c r="I13" s="53">
        <f t="shared" si="3"/>
        <v>7517049.0000000019</v>
      </c>
      <c r="J13" s="53">
        <v>32807</v>
      </c>
      <c r="K13" s="53">
        <f t="shared" si="4"/>
        <v>5595431.0000000019</v>
      </c>
      <c r="L13" s="53">
        <f t="shared" si="2"/>
        <v>938674</v>
      </c>
      <c r="M13" s="53">
        <v>2647775</v>
      </c>
      <c r="N13" s="53">
        <v>1491753</v>
      </c>
      <c r="O13" s="53">
        <v>383107</v>
      </c>
      <c r="P13" s="53">
        <v>1536400</v>
      </c>
      <c r="Q13" s="53">
        <v>1163</v>
      </c>
      <c r="R13" s="53">
        <v>602886</v>
      </c>
      <c r="S13" s="53">
        <v>347521</v>
      </c>
      <c r="T13" s="53">
        <v>50516</v>
      </c>
      <c r="U13" s="53">
        <v>53005</v>
      </c>
      <c r="V13" s="53">
        <v>31079</v>
      </c>
      <c r="W13" s="53">
        <v>490.33100000000002</v>
      </c>
      <c r="X13" s="53">
        <v>963.21100000000001</v>
      </c>
      <c r="Y13" s="53">
        <v>3890.049</v>
      </c>
      <c r="Z13" s="25"/>
      <c r="AA13" s="53">
        <v>2840</v>
      </c>
      <c r="AB13" s="26">
        <v>2921</v>
      </c>
      <c r="AC13" s="26">
        <v>3524</v>
      </c>
    </row>
    <row r="14" spans="1:29" x14ac:dyDescent="0.25">
      <c r="A14" s="20">
        <v>44571</v>
      </c>
      <c r="B14" s="27">
        <v>17</v>
      </c>
      <c r="C14" s="51">
        <v>37</v>
      </c>
      <c r="D14" s="52">
        <v>1139745</v>
      </c>
      <c r="E14" s="53">
        <v>1141543</v>
      </c>
      <c r="F14" s="53">
        <v>1184123</v>
      </c>
      <c r="G14" s="53">
        <v>1182316</v>
      </c>
      <c r="H14" s="53">
        <v>293675</v>
      </c>
      <c r="I14" s="53">
        <f t="shared" si="3"/>
        <v>7519055.4000000022</v>
      </c>
      <c r="J14" s="53">
        <v>32807</v>
      </c>
      <c r="K14" s="53">
        <f t="shared" si="4"/>
        <v>5597860.4000000022</v>
      </c>
      <c r="L14" s="53">
        <f t="shared" si="2"/>
        <v>939725</v>
      </c>
      <c r="M14" s="53">
        <v>2647776</v>
      </c>
      <c r="N14" s="53">
        <v>1494912</v>
      </c>
      <c r="O14" s="53">
        <v>383243</v>
      </c>
      <c r="P14" s="53">
        <v>1536400</v>
      </c>
      <c r="Q14" s="53">
        <v>1163</v>
      </c>
      <c r="R14" s="53">
        <v>603349</v>
      </c>
      <c r="S14" s="53">
        <v>347601</v>
      </c>
      <c r="T14" s="53">
        <v>50582</v>
      </c>
      <c r="U14" s="53">
        <v>53014</v>
      </c>
      <c r="V14" s="53">
        <v>31092</v>
      </c>
      <c r="W14" s="53">
        <v>490.33100000000002</v>
      </c>
      <c r="X14" s="53">
        <v>963.40599999999995</v>
      </c>
      <c r="Y14" s="53">
        <v>3890.049</v>
      </c>
      <c r="Z14" s="25"/>
      <c r="AA14" s="53">
        <v>2847</v>
      </c>
      <c r="AB14" s="55">
        <v>2927</v>
      </c>
      <c r="AC14" s="55">
        <v>0</v>
      </c>
    </row>
    <row r="15" spans="1:29" x14ac:dyDescent="0.25">
      <c r="A15" s="20">
        <v>44572</v>
      </c>
      <c r="B15" s="27">
        <v>10</v>
      </c>
      <c r="C15" s="51">
        <v>27</v>
      </c>
      <c r="D15" s="52">
        <v>1142574</v>
      </c>
      <c r="E15" s="53">
        <v>1144376</v>
      </c>
      <c r="F15" s="53">
        <v>1186013</v>
      </c>
      <c r="G15" s="53">
        <v>1184804</v>
      </c>
      <c r="H15" s="53">
        <v>293675</v>
      </c>
      <c r="I15" s="53">
        <f t="shared" si="3"/>
        <v>7521061.8000000026</v>
      </c>
      <c r="J15" s="53">
        <v>32807</v>
      </c>
      <c r="K15" s="53">
        <f t="shared" si="4"/>
        <v>5600289.8000000026</v>
      </c>
      <c r="L15" s="53">
        <f t="shared" si="2"/>
        <v>940776</v>
      </c>
      <c r="M15" s="53">
        <v>2647779</v>
      </c>
      <c r="N15" s="53">
        <v>1497934</v>
      </c>
      <c r="O15" s="53">
        <v>383322</v>
      </c>
      <c r="P15" s="53">
        <v>1536400</v>
      </c>
      <c r="Q15" s="53">
        <v>1163</v>
      </c>
      <c r="R15" s="53">
        <v>604080</v>
      </c>
      <c r="S15" s="53">
        <v>347658</v>
      </c>
      <c r="T15" s="53">
        <v>50657</v>
      </c>
      <c r="U15" s="53">
        <v>53023</v>
      </c>
      <c r="V15" s="53">
        <v>31093</v>
      </c>
      <c r="W15" s="53">
        <v>490.33100000000002</v>
      </c>
      <c r="X15" s="53">
        <v>963.59900000000005</v>
      </c>
      <c r="Y15" s="53">
        <v>3890.049</v>
      </c>
      <c r="Z15" s="25"/>
      <c r="AA15" s="53">
        <v>2853</v>
      </c>
      <c r="AB15" s="55">
        <v>2924</v>
      </c>
      <c r="AC15" s="55">
        <v>2773</v>
      </c>
    </row>
    <row r="16" spans="1:29" x14ac:dyDescent="0.25">
      <c r="A16" s="20">
        <v>44573</v>
      </c>
      <c r="B16" s="27">
        <v>26</v>
      </c>
      <c r="C16" s="51">
        <v>43</v>
      </c>
      <c r="D16" s="52">
        <v>1145527</v>
      </c>
      <c r="E16" s="53">
        <v>1147334</v>
      </c>
      <c r="F16" s="53">
        <v>1187746</v>
      </c>
      <c r="G16" s="53">
        <v>1186535</v>
      </c>
      <c r="H16" s="53">
        <v>293675</v>
      </c>
      <c r="I16" s="53">
        <f t="shared" si="3"/>
        <v>7523068.200000003</v>
      </c>
      <c r="J16" s="53">
        <v>32807</v>
      </c>
      <c r="K16" s="53">
        <f t="shared" si="4"/>
        <v>5602719.200000003</v>
      </c>
      <c r="L16" s="53">
        <f t="shared" si="2"/>
        <v>941827</v>
      </c>
      <c r="M16" s="53">
        <v>2647780</v>
      </c>
      <c r="N16" s="53">
        <v>1500933</v>
      </c>
      <c r="O16" s="53">
        <v>383376</v>
      </c>
      <c r="P16" s="53">
        <v>1536400</v>
      </c>
      <c r="Q16" s="53">
        <v>1163</v>
      </c>
      <c r="R16" s="53">
        <v>604738</v>
      </c>
      <c r="S16" s="53">
        <v>347677</v>
      </c>
      <c r="T16" s="53">
        <v>50683</v>
      </c>
      <c r="U16" s="53">
        <v>53031</v>
      </c>
      <c r="V16" s="53">
        <v>31094</v>
      </c>
      <c r="W16" s="53">
        <v>490.33100000000002</v>
      </c>
      <c r="X16" s="53">
        <v>963.80200000000002</v>
      </c>
      <c r="Y16" s="53">
        <v>3890.049</v>
      </c>
      <c r="Z16" s="25"/>
      <c r="AA16" s="53">
        <v>2858</v>
      </c>
      <c r="AB16" s="55">
        <v>2925</v>
      </c>
      <c r="AC16" s="55">
        <v>1020</v>
      </c>
    </row>
    <row r="17" spans="1:29" x14ac:dyDescent="0.25">
      <c r="A17" s="20">
        <v>44574</v>
      </c>
      <c r="B17" s="27">
        <v>24</v>
      </c>
      <c r="C17" s="51">
        <v>45</v>
      </c>
      <c r="D17" s="52">
        <v>1148337</v>
      </c>
      <c r="E17" s="53">
        <v>1150148</v>
      </c>
      <c r="F17" s="53">
        <v>1193280</v>
      </c>
      <c r="G17" s="53">
        <v>1192063</v>
      </c>
      <c r="H17" s="53">
        <v>294489</v>
      </c>
      <c r="I17" s="53">
        <f t="shared" si="3"/>
        <v>7525074.6000000034</v>
      </c>
      <c r="J17" s="53">
        <v>32807</v>
      </c>
      <c r="K17" s="53">
        <f t="shared" si="4"/>
        <v>5605148.6000000034</v>
      </c>
      <c r="L17" s="53">
        <f t="shared" si="2"/>
        <v>942878</v>
      </c>
      <c r="M17" s="53">
        <v>2647781</v>
      </c>
      <c r="N17" s="53">
        <v>1504008</v>
      </c>
      <c r="O17" s="53">
        <v>383438</v>
      </c>
      <c r="P17" s="53">
        <v>1536636</v>
      </c>
      <c r="Q17" s="53">
        <v>1163</v>
      </c>
      <c r="R17" s="53">
        <v>605234</v>
      </c>
      <c r="S17" s="53">
        <v>347706</v>
      </c>
      <c r="T17" s="53">
        <v>50719</v>
      </c>
      <c r="U17" s="53">
        <v>53040</v>
      </c>
      <c r="V17" s="53">
        <v>31095</v>
      </c>
      <c r="W17" s="53">
        <v>490.33100000000002</v>
      </c>
      <c r="X17" s="53">
        <v>963.96600000000001</v>
      </c>
      <c r="Y17" s="53">
        <v>3890.049</v>
      </c>
      <c r="Z17" s="25"/>
      <c r="AA17" s="53">
        <v>2862</v>
      </c>
      <c r="AB17" s="55">
        <v>2927</v>
      </c>
      <c r="AC17" s="55">
        <v>133</v>
      </c>
    </row>
    <row r="18" spans="1:29" x14ac:dyDescent="0.25">
      <c r="A18" s="20">
        <v>44575</v>
      </c>
      <c r="B18" s="27">
        <v>28</v>
      </c>
      <c r="C18" s="51">
        <v>69</v>
      </c>
      <c r="D18" s="52">
        <v>1151141</v>
      </c>
      <c r="E18" s="53">
        <v>1152958</v>
      </c>
      <c r="F18" s="53">
        <v>1195866</v>
      </c>
      <c r="G18" s="53">
        <v>1194646</v>
      </c>
      <c r="H18" s="53">
        <v>294629</v>
      </c>
      <c r="I18" s="53">
        <f t="shared" si="3"/>
        <v>7527081.0000000037</v>
      </c>
      <c r="J18" s="53">
        <v>32807</v>
      </c>
      <c r="K18" s="53">
        <f t="shared" si="4"/>
        <v>5607578.0000000037</v>
      </c>
      <c r="L18" s="53">
        <f t="shared" si="2"/>
        <v>943929</v>
      </c>
      <c r="M18" s="53">
        <v>2647784</v>
      </c>
      <c r="N18" s="53">
        <v>1506880</v>
      </c>
      <c r="O18" s="54">
        <v>383501.7</v>
      </c>
      <c r="P18" s="53">
        <v>1536636</v>
      </c>
      <c r="Q18" s="53">
        <v>1163</v>
      </c>
      <c r="R18" s="53">
        <v>605896</v>
      </c>
      <c r="S18" s="53">
        <v>347728</v>
      </c>
      <c r="T18" s="53">
        <v>50747</v>
      </c>
      <c r="U18" s="53">
        <v>53048</v>
      </c>
      <c r="V18" s="53">
        <v>31097</v>
      </c>
      <c r="W18" s="53">
        <v>490.33100000000002</v>
      </c>
      <c r="X18" s="53">
        <v>964.14200000000005</v>
      </c>
      <c r="Y18" s="53">
        <v>3890.049</v>
      </c>
      <c r="Z18" s="25"/>
      <c r="AA18" s="53">
        <v>2865</v>
      </c>
      <c r="AB18" s="55">
        <v>2928</v>
      </c>
      <c r="AC18" s="55">
        <v>0</v>
      </c>
    </row>
    <row r="19" spans="1:29" x14ac:dyDescent="0.25">
      <c r="A19" s="20">
        <v>44576</v>
      </c>
      <c r="B19" s="27">
        <v>49</v>
      </c>
      <c r="C19" s="51">
        <v>128</v>
      </c>
      <c r="D19" s="52">
        <v>1154216</v>
      </c>
      <c r="E19" s="53">
        <v>1156037</v>
      </c>
      <c r="F19" s="53">
        <v>1198473</v>
      </c>
      <c r="G19" s="53">
        <v>1197250</v>
      </c>
      <c r="H19" s="53">
        <v>294629</v>
      </c>
      <c r="I19" s="53">
        <f t="shared" si="3"/>
        <v>7529087.4000000041</v>
      </c>
      <c r="J19" s="53">
        <v>32807</v>
      </c>
      <c r="K19" s="53">
        <f t="shared" si="4"/>
        <v>5610007.4000000041</v>
      </c>
      <c r="L19" s="53">
        <f t="shared" si="2"/>
        <v>944980</v>
      </c>
      <c r="M19" s="53">
        <v>2647788</v>
      </c>
      <c r="N19" s="53">
        <v>1510271</v>
      </c>
      <c r="O19" s="53">
        <v>383565</v>
      </c>
      <c r="P19" s="53">
        <v>1536636</v>
      </c>
      <c r="Q19" s="53">
        <v>1163</v>
      </c>
      <c r="R19" s="53">
        <v>606611</v>
      </c>
      <c r="S19" s="53">
        <v>347766</v>
      </c>
      <c r="T19" s="53">
        <v>50793</v>
      </c>
      <c r="U19" s="53">
        <v>53058</v>
      </c>
      <c r="V19" s="53">
        <v>31098</v>
      </c>
      <c r="W19" s="53">
        <v>490.33100000000002</v>
      </c>
      <c r="X19" s="53">
        <v>964.38300000000004</v>
      </c>
      <c r="Y19" s="53">
        <v>3890.049</v>
      </c>
      <c r="Z19" s="25"/>
      <c r="AA19" s="53">
        <v>2869</v>
      </c>
      <c r="AB19" s="55">
        <v>2928</v>
      </c>
      <c r="AC19" s="55">
        <v>0</v>
      </c>
    </row>
    <row r="20" spans="1:29" x14ac:dyDescent="0.25">
      <c r="A20" s="20">
        <v>44577</v>
      </c>
      <c r="B20" s="27">
        <v>24</v>
      </c>
      <c r="C20" s="51">
        <v>54</v>
      </c>
      <c r="D20" s="52">
        <v>1157086</v>
      </c>
      <c r="E20" s="53">
        <v>1158912</v>
      </c>
      <c r="F20" s="53">
        <v>1201060</v>
      </c>
      <c r="G20" s="53">
        <v>1199834</v>
      </c>
      <c r="H20" s="53">
        <v>294629</v>
      </c>
      <c r="I20" s="53">
        <f t="shared" si="3"/>
        <v>7531093.8000000045</v>
      </c>
      <c r="J20" s="53">
        <v>32807</v>
      </c>
      <c r="K20" s="53">
        <f t="shared" si="4"/>
        <v>5612436.8000000045</v>
      </c>
      <c r="L20" s="53">
        <f t="shared" si="2"/>
        <v>946031</v>
      </c>
      <c r="M20" s="53">
        <v>2647795</v>
      </c>
      <c r="N20" s="53">
        <v>1513359</v>
      </c>
      <c r="O20" s="53">
        <v>383629</v>
      </c>
      <c r="P20" s="53">
        <v>1536636</v>
      </c>
      <c r="Q20" s="53">
        <v>1163</v>
      </c>
      <c r="R20" s="53">
        <v>607331</v>
      </c>
      <c r="S20" s="53">
        <v>347789</v>
      </c>
      <c r="T20" s="53">
        <v>50833</v>
      </c>
      <c r="U20" s="53">
        <v>53068</v>
      </c>
      <c r="V20" s="53">
        <v>31099</v>
      </c>
      <c r="W20" s="53">
        <v>490.33100000000002</v>
      </c>
      <c r="X20" s="53">
        <v>964.58100000000002</v>
      </c>
      <c r="Y20" s="53">
        <v>3890.049</v>
      </c>
      <c r="Z20" s="25"/>
      <c r="AA20" s="53">
        <v>2874</v>
      </c>
      <c r="AB20" s="55">
        <v>2927</v>
      </c>
      <c r="AC20" s="55">
        <v>0</v>
      </c>
    </row>
    <row r="21" spans="1:29" x14ac:dyDescent="0.25">
      <c r="A21" s="20">
        <v>44578</v>
      </c>
      <c r="B21" s="27">
        <v>16</v>
      </c>
      <c r="C21" s="51">
        <v>42</v>
      </c>
      <c r="D21" s="52">
        <v>1159864</v>
      </c>
      <c r="E21" s="53">
        <v>1161694</v>
      </c>
      <c r="F21" s="53">
        <v>1203578</v>
      </c>
      <c r="G21" s="53">
        <v>1202348</v>
      </c>
      <c r="H21" s="53">
        <v>294629</v>
      </c>
      <c r="I21" s="53">
        <f t="shared" si="3"/>
        <v>7533100.2000000048</v>
      </c>
      <c r="J21" s="53">
        <v>32807</v>
      </c>
      <c r="K21" s="53">
        <f t="shared" si="4"/>
        <v>5614866.2000000048</v>
      </c>
      <c r="L21" s="53">
        <f t="shared" si="2"/>
        <v>947082</v>
      </c>
      <c r="M21" s="53">
        <v>2647798</v>
      </c>
      <c r="N21" s="53">
        <v>1516449</v>
      </c>
      <c r="O21" s="53">
        <v>383692</v>
      </c>
      <c r="P21" s="53">
        <v>1536636</v>
      </c>
      <c r="Q21" s="53">
        <v>1163</v>
      </c>
      <c r="R21" s="53">
        <v>608063</v>
      </c>
      <c r="S21" s="53">
        <v>347818</v>
      </c>
      <c r="T21" s="53">
        <v>50872</v>
      </c>
      <c r="U21" s="53">
        <v>53076</v>
      </c>
      <c r="V21" s="53">
        <v>31100</v>
      </c>
      <c r="W21" s="53">
        <v>490.33100000000002</v>
      </c>
      <c r="X21" s="53">
        <v>964.79200000000003</v>
      </c>
      <c r="Y21" s="53">
        <v>3890.049</v>
      </c>
      <c r="Z21" s="25"/>
      <c r="AA21" s="53">
        <v>2879</v>
      </c>
      <c r="AB21" s="55">
        <v>2927</v>
      </c>
      <c r="AC21" s="55">
        <v>1650</v>
      </c>
    </row>
    <row r="22" spans="1:29" x14ac:dyDescent="0.25">
      <c r="A22" s="20">
        <v>44579</v>
      </c>
      <c r="B22" s="27">
        <v>12</v>
      </c>
      <c r="C22" s="51">
        <v>31</v>
      </c>
      <c r="D22" s="52">
        <v>1162704</v>
      </c>
      <c r="E22" s="53">
        <v>1164539</v>
      </c>
      <c r="F22" s="53">
        <v>1206034</v>
      </c>
      <c r="G22" s="53">
        <v>1204802</v>
      </c>
      <c r="H22" s="53">
        <v>294629</v>
      </c>
      <c r="I22" s="53">
        <f t="shared" si="3"/>
        <v>7535106.6000000052</v>
      </c>
      <c r="J22" s="53">
        <v>32807</v>
      </c>
      <c r="K22" s="53">
        <f t="shared" si="4"/>
        <v>5617295.6000000052</v>
      </c>
      <c r="L22" s="53">
        <f t="shared" si="2"/>
        <v>948133</v>
      </c>
      <c r="M22" s="53">
        <v>2647801</v>
      </c>
      <c r="N22" s="53">
        <v>1519736</v>
      </c>
      <c r="O22" s="53">
        <v>383756</v>
      </c>
      <c r="P22" s="53">
        <v>1536636</v>
      </c>
      <c r="Q22" s="53">
        <v>1163</v>
      </c>
      <c r="R22" s="53">
        <v>608786</v>
      </c>
      <c r="S22" s="53">
        <v>347844</v>
      </c>
      <c r="T22" s="53">
        <v>50903</v>
      </c>
      <c r="U22" s="53">
        <v>53086</v>
      </c>
      <c r="V22" s="53">
        <v>31101</v>
      </c>
      <c r="W22" s="53">
        <v>490.33100000000002</v>
      </c>
      <c r="X22" s="53">
        <v>965.03300000000002</v>
      </c>
      <c r="Y22" s="53">
        <v>3890.049</v>
      </c>
      <c r="Z22" s="25"/>
      <c r="AA22" s="53">
        <v>2884</v>
      </c>
      <c r="AB22" s="55">
        <v>2701</v>
      </c>
      <c r="AC22" s="55">
        <v>2968</v>
      </c>
    </row>
    <row r="23" spans="1:29" x14ac:dyDescent="0.25">
      <c r="A23" s="20">
        <v>44580</v>
      </c>
      <c r="B23" s="27">
        <v>9</v>
      </c>
      <c r="C23" s="51">
        <v>23</v>
      </c>
      <c r="D23" s="52">
        <v>1165894</v>
      </c>
      <c r="E23" s="53">
        <v>1167734</v>
      </c>
      <c r="F23" s="53">
        <v>1208024</v>
      </c>
      <c r="G23" s="53">
        <v>1206790</v>
      </c>
      <c r="H23" s="53">
        <v>294683</v>
      </c>
      <c r="I23" s="53">
        <f t="shared" si="3"/>
        <v>7537113.0000000056</v>
      </c>
      <c r="J23" s="53">
        <v>32807</v>
      </c>
      <c r="K23" s="53">
        <f t="shared" si="4"/>
        <v>5619725.0000000056</v>
      </c>
      <c r="L23" s="53">
        <f t="shared" si="2"/>
        <v>949184</v>
      </c>
      <c r="M23" s="53">
        <v>2647879</v>
      </c>
      <c r="N23" s="53">
        <v>1522862</v>
      </c>
      <c r="O23" s="53">
        <v>383808</v>
      </c>
      <c r="P23" s="53">
        <v>1536636</v>
      </c>
      <c r="Q23" s="53">
        <v>1163</v>
      </c>
      <c r="R23" s="53">
        <v>609449</v>
      </c>
      <c r="S23" s="53">
        <v>347869</v>
      </c>
      <c r="T23" s="53">
        <v>50934</v>
      </c>
      <c r="U23" s="53">
        <v>53096</v>
      </c>
      <c r="V23" s="53">
        <v>31103</v>
      </c>
      <c r="W23" s="53">
        <v>490.33100000000002</v>
      </c>
      <c r="X23" s="53">
        <v>965.24800000000005</v>
      </c>
      <c r="Y23" s="53">
        <v>3890.049</v>
      </c>
      <c r="Z23" s="25"/>
      <c r="AA23" s="53">
        <v>2889</v>
      </c>
      <c r="AB23" s="55">
        <v>2927</v>
      </c>
      <c r="AC23" s="55">
        <v>3559</v>
      </c>
    </row>
    <row r="24" spans="1:29" x14ac:dyDescent="0.25">
      <c r="A24" s="20">
        <v>44581</v>
      </c>
      <c r="B24" s="27">
        <v>13</v>
      </c>
      <c r="C24" s="51">
        <v>34</v>
      </c>
      <c r="D24" s="52">
        <v>1168790</v>
      </c>
      <c r="E24" s="53">
        <v>1170634</v>
      </c>
      <c r="F24" s="53">
        <v>1209563</v>
      </c>
      <c r="G24" s="53">
        <v>1208327</v>
      </c>
      <c r="H24" s="53">
        <v>294683</v>
      </c>
      <c r="I24" s="53">
        <f t="shared" si="3"/>
        <v>7539119.400000006</v>
      </c>
      <c r="J24" s="53">
        <v>32807</v>
      </c>
      <c r="K24" s="53">
        <f t="shared" si="4"/>
        <v>5622154.400000006</v>
      </c>
      <c r="L24" s="53">
        <f t="shared" si="2"/>
        <v>950235</v>
      </c>
      <c r="M24" s="53">
        <v>2647882</v>
      </c>
      <c r="N24" s="53">
        <v>1523659</v>
      </c>
      <c r="O24" s="53">
        <v>383862</v>
      </c>
      <c r="P24" s="53">
        <v>1536636</v>
      </c>
      <c r="Q24" s="53">
        <v>1163</v>
      </c>
      <c r="R24" s="53">
        <v>610003</v>
      </c>
      <c r="S24" s="53">
        <v>347880</v>
      </c>
      <c r="T24" s="53">
        <v>50961</v>
      </c>
      <c r="U24" s="53">
        <v>53104</v>
      </c>
      <c r="V24" s="53">
        <v>31104</v>
      </c>
      <c r="W24" s="53">
        <v>490.33100000000002</v>
      </c>
      <c r="X24" s="53">
        <v>965.53899999999999</v>
      </c>
      <c r="Y24" s="53">
        <v>3890.049</v>
      </c>
      <c r="Z24" s="25"/>
      <c r="AA24" s="53">
        <v>2894</v>
      </c>
      <c r="AB24" s="55">
        <v>2923</v>
      </c>
      <c r="AC24" s="55">
        <v>3586</v>
      </c>
    </row>
    <row r="25" spans="1:29" x14ac:dyDescent="0.25">
      <c r="A25" s="20">
        <v>44582</v>
      </c>
      <c r="B25" s="27">
        <v>64</v>
      </c>
      <c r="C25" s="51">
        <v>148</v>
      </c>
      <c r="D25" s="52">
        <v>1171896</v>
      </c>
      <c r="E25" s="53">
        <v>1173745</v>
      </c>
      <c r="F25" s="53">
        <v>1211282</v>
      </c>
      <c r="G25" s="53">
        <v>1210044</v>
      </c>
      <c r="H25" s="53">
        <v>294683</v>
      </c>
      <c r="I25" s="53">
        <f t="shared" si="3"/>
        <v>7541125.8000000063</v>
      </c>
      <c r="J25" s="53">
        <v>32807</v>
      </c>
      <c r="K25" s="53">
        <f t="shared" si="4"/>
        <v>5624583.8000000063</v>
      </c>
      <c r="L25" s="53">
        <f t="shared" si="2"/>
        <v>951286</v>
      </c>
      <c r="M25" s="53">
        <v>2647885</v>
      </c>
      <c r="N25" s="53">
        <v>1529653</v>
      </c>
      <c r="O25" s="53">
        <v>383916</v>
      </c>
      <c r="P25" s="53">
        <v>1536636</v>
      </c>
      <c r="Q25" s="53">
        <v>1163</v>
      </c>
      <c r="R25" s="53">
        <v>610533</v>
      </c>
      <c r="S25" s="53">
        <v>347896</v>
      </c>
      <c r="T25" s="53">
        <v>50990</v>
      </c>
      <c r="U25" s="53">
        <v>53113</v>
      </c>
      <c r="V25" s="53">
        <v>31106</v>
      </c>
      <c r="W25" s="53">
        <v>490.33100000000002</v>
      </c>
      <c r="X25" s="53">
        <v>965.83500000000004</v>
      </c>
      <c r="Y25" s="53">
        <v>3890.049</v>
      </c>
      <c r="Z25" s="25"/>
      <c r="AA25" s="53">
        <v>2898</v>
      </c>
      <c r="AB25" s="55">
        <v>2928</v>
      </c>
      <c r="AC25" s="55">
        <v>3569</v>
      </c>
    </row>
    <row r="26" spans="1:29" x14ac:dyDescent="0.25">
      <c r="A26" s="20">
        <v>44583</v>
      </c>
      <c r="B26" s="27">
        <v>60</v>
      </c>
      <c r="C26" s="51">
        <v>146</v>
      </c>
      <c r="D26" s="52">
        <v>1174614</v>
      </c>
      <c r="E26" s="53">
        <v>1176467</v>
      </c>
      <c r="F26" s="53">
        <v>1213101</v>
      </c>
      <c r="G26" s="53">
        <v>1211860</v>
      </c>
      <c r="H26" s="53">
        <v>294684</v>
      </c>
      <c r="I26" s="53">
        <f t="shared" si="3"/>
        <v>7543132.2000000067</v>
      </c>
      <c r="J26" s="53">
        <v>32807</v>
      </c>
      <c r="K26" s="53">
        <f t="shared" si="4"/>
        <v>5627013.2000000067</v>
      </c>
      <c r="L26" s="53">
        <f t="shared" si="2"/>
        <v>952337</v>
      </c>
      <c r="M26" s="53">
        <v>2647895</v>
      </c>
      <c r="N26" s="53">
        <v>1533014</v>
      </c>
      <c r="O26" s="53">
        <v>383991</v>
      </c>
      <c r="P26" s="53">
        <v>1536636</v>
      </c>
      <c r="Q26" s="53">
        <v>1163</v>
      </c>
      <c r="R26" s="53">
        <v>610589</v>
      </c>
      <c r="S26" s="53">
        <v>347933</v>
      </c>
      <c r="T26" s="53">
        <v>51035</v>
      </c>
      <c r="U26" s="53">
        <v>53124</v>
      </c>
      <c r="V26" s="53">
        <v>31107</v>
      </c>
      <c r="W26" s="53">
        <v>490.33100000000002</v>
      </c>
      <c r="X26" s="53">
        <v>966.06200000000001</v>
      </c>
      <c r="Y26" s="53">
        <v>3890.049</v>
      </c>
      <c r="Z26" s="25"/>
      <c r="AA26" s="53">
        <v>2903</v>
      </c>
      <c r="AB26" s="55">
        <v>2910</v>
      </c>
      <c r="AC26" s="55">
        <v>3558</v>
      </c>
    </row>
    <row r="27" spans="1:29" x14ac:dyDescent="0.25">
      <c r="A27" s="20">
        <v>44584</v>
      </c>
      <c r="B27" s="27">
        <v>12</v>
      </c>
      <c r="C27" s="51">
        <v>34</v>
      </c>
      <c r="D27" s="52">
        <v>1177068</v>
      </c>
      <c r="E27" s="53">
        <v>1178925</v>
      </c>
      <c r="F27" s="53">
        <v>1215831</v>
      </c>
      <c r="G27" s="53">
        <v>1214588</v>
      </c>
      <c r="H27" s="53">
        <v>294895</v>
      </c>
      <c r="I27" s="53">
        <f t="shared" si="3"/>
        <v>7545138.6000000071</v>
      </c>
      <c r="J27" s="53">
        <v>32807</v>
      </c>
      <c r="K27" s="53">
        <f t="shared" si="4"/>
        <v>5629442.6000000071</v>
      </c>
      <c r="L27" s="53">
        <f t="shared" si="2"/>
        <v>953388</v>
      </c>
      <c r="M27" s="53">
        <v>2647904</v>
      </c>
      <c r="N27" s="53">
        <v>1535998</v>
      </c>
      <c r="O27" s="53">
        <v>384065</v>
      </c>
      <c r="P27" s="53">
        <v>1536636</v>
      </c>
      <c r="Q27" s="53">
        <v>1163</v>
      </c>
      <c r="R27" s="53">
        <v>610840</v>
      </c>
      <c r="S27" s="53">
        <v>347979</v>
      </c>
      <c r="T27" s="53">
        <v>51088</v>
      </c>
      <c r="U27" s="53">
        <v>53135</v>
      </c>
      <c r="V27" s="53">
        <v>31108</v>
      </c>
      <c r="W27" s="53">
        <v>490.33100000000002</v>
      </c>
      <c r="X27" s="53">
        <v>966.30700000000002</v>
      </c>
      <c r="Y27" s="53">
        <v>3890.049</v>
      </c>
      <c r="Z27" s="25"/>
      <c r="AA27" s="53">
        <v>2910</v>
      </c>
      <c r="AB27" s="55">
        <v>2921</v>
      </c>
      <c r="AC27" s="55">
        <v>2070</v>
      </c>
    </row>
    <row r="28" spans="1:29" x14ac:dyDescent="0.25">
      <c r="A28" s="20">
        <v>44585</v>
      </c>
      <c r="B28" s="27">
        <v>42</v>
      </c>
      <c r="C28" s="51">
        <v>60</v>
      </c>
      <c r="D28" s="52">
        <v>1179166</v>
      </c>
      <c r="E28" s="53">
        <v>1181026</v>
      </c>
      <c r="F28" s="53">
        <v>1217965</v>
      </c>
      <c r="G28" s="53">
        <v>1216719</v>
      </c>
      <c r="H28" s="53">
        <v>294931</v>
      </c>
      <c r="I28" s="53">
        <f t="shared" si="3"/>
        <v>7547145.0000000075</v>
      </c>
      <c r="J28" s="53">
        <v>32807</v>
      </c>
      <c r="K28" s="53">
        <f t="shared" si="4"/>
        <v>5631872.0000000075</v>
      </c>
      <c r="L28" s="53">
        <f t="shared" si="2"/>
        <v>954439</v>
      </c>
      <c r="M28" s="53">
        <v>2647915</v>
      </c>
      <c r="N28" s="53">
        <v>1536647</v>
      </c>
      <c r="O28" s="53">
        <v>384142</v>
      </c>
      <c r="P28" s="53">
        <v>1536647</v>
      </c>
      <c r="Q28" s="53">
        <v>1163</v>
      </c>
      <c r="R28" s="53">
        <v>610904</v>
      </c>
      <c r="S28" s="53">
        <v>347999</v>
      </c>
      <c r="T28" s="53">
        <v>51126</v>
      </c>
      <c r="U28" s="53">
        <v>53145</v>
      </c>
      <c r="V28" s="53">
        <v>31113</v>
      </c>
      <c r="W28" s="53">
        <v>490.33100000000002</v>
      </c>
      <c r="X28" s="53">
        <v>966.495</v>
      </c>
      <c r="Y28" s="53">
        <v>3890.049</v>
      </c>
      <c r="Z28" s="25"/>
      <c r="AA28" s="53">
        <v>2917</v>
      </c>
      <c r="AB28" s="55">
        <v>2899</v>
      </c>
      <c r="AC28" s="55">
        <v>3572</v>
      </c>
    </row>
    <row r="29" spans="1:29" x14ac:dyDescent="0.25">
      <c r="A29" s="20">
        <v>44586</v>
      </c>
      <c r="B29" s="27">
        <v>46</v>
      </c>
      <c r="C29" s="51">
        <v>68</v>
      </c>
      <c r="D29" s="52">
        <v>1181372</v>
      </c>
      <c r="E29" s="53">
        <v>1183236</v>
      </c>
      <c r="F29" s="53">
        <v>1219524</v>
      </c>
      <c r="G29" s="53">
        <v>1218277</v>
      </c>
      <c r="H29" s="53">
        <v>294967</v>
      </c>
      <c r="I29" s="53">
        <f t="shared" si="3"/>
        <v>7549151.4000000078</v>
      </c>
      <c r="J29" s="53">
        <v>32807</v>
      </c>
      <c r="K29" s="53">
        <f t="shared" si="4"/>
        <v>5634301.4000000078</v>
      </c>
      <c r="L29" s="53">
        <f t="shared" si="2"/>
        <v>955490</v>
      </c>
      <c r="M29" s="53">
        <v>2647925</v>
      </c>
      <c r="N29" s="53">
        <v>1542382</v>
      </c>
      <c r="O29" s="53">
        <v>384202</v>
      </c>
      <c r="P29" s="53">
        <v>1536647</v>
      </c>
      <c r="Q29" s="53">
        <v>1163</v>
      </c>
      <c r="R29" s="53">
        <v>610904</v>
      </c>
      <c r="S29" s="53">
        <v>348018</v>
      </c>
      <c r="T29" s="53">
        <v>51163</v>
      </c>
      <c r="U29" s="53">
        <v>53155</v>
      </c>
      <c r="V29" s="53">
        <v>31117</v>
      </c>
      <c r="W29" s="53">
        <v>490.33100000000002</v>
      </c>
      <c r="X29" s="53">
        <v>966.68200000000002</v>
      </c>
      <c r="Y29" s="53">
        <v>3890.049</v>
      </c>
      <c r="Z29" s="25"/>
      <c r="AA29" s="53">
        <v>2921</v>
      </c>
      <c r="AB29" s="55">
        <v>2792</v>
      </c>
      <c r="AC29" s="55">
        <v>2968</v>
      </c>
    </row>
    <row r="30" spans="1:29" x14ac:dyDescent="0.25">
      <c r="A30" s="20">
        <v>44587</v>
      </c>
      <c r="B30" s="27">
        <v>28</v>
      </c>
      <c r="C30" s="51">
        <v>52</v>
      </c>
      <c r="D30" s="52">
        <v>1183628</v>
      </c>
      <c r="E30" s="53">
        <v>1185496</v>
      </c>
      <c r="F30" s="53">
        <v>1221602</v>
      </c>
      <c r="G30" s="53">
        <v>122052</v>
      </c>
      <c r="H30" s="53">
        <v>294977</v>
      </c>
      <c r="I30" s="53">
        <f t="shared" si="3"/>
        <v>7551157.8000000082</v>
      </c>
      <c r="J30" s="53">
        <v>32807</v>
      </c>
      <c r="K30" s="53">
        <f t="shared" si="4"/>
        <v>5636730.8000000082</v>
      </c>
      <c r="L30" s="53">
        <f t="shared" si="2"/>
        <v>956541</v>
      </c>
      <c r="M30" s="53">
        <v>2647961</v>
      </c>
      <c r="N30" s="53">
        <v>1545579</v>
      </c>
      <c r="O30" s="53">
        <v>384261</v>
      </c>
      <c r="P30" s="53">
        <v>1536739</v>
      </c>
      <c r="Q30" s="53">
        <v>1163</v>
      </c>
      <c r="R30" s="53">
        <v>610904</v>
      </c>
      <c r="S30" s="53">
        <v>348056</v>
      </c>
      <c r="T30" s="53">
        <v>51196</v>
      </c>
      <c r="U30" s="53">
        <v>53164</v>
      </c>
      <c r="V30" s="53">
        <v>31118</v>
      </c>
      <c r="W30" s="53">
        <v>490.33100000000002</v>
      </c>
      <c r="X30" s="53">
        <v>966.88099999999997</v>
      </c>
      <c r="Y30" s="53">
        <v>3890.1489999999999</v>
      </c>
      <c r="Z30" s="25"/>
      <c r="AA30" s="53">
        <v>2925</v>
      </c>
      <c r="AB30" s="55">
        <v>2916</v>
      </c>
      <c r="AC30" s="55">
        <v>3520</v>
      </c>
    </row>
    <row r="31" spans="1:29" x14ac:dyDescent="0.25">
      <c r="A31" s="20">
        <v>44588</v>
      </c>
      <c r="B31" s="27">
        <v>37</v>
      </c>
      <c r="C31" s="51">
        <v>75</v>
      </c>
      <c r="D31" s="52">
        <v>1185554</v>
      </c>
      <c r="E31" s="53">
        <v>1187425</v>
      </c>
      <c r="F31" s="53">
        <v>1223781</v>
      </c>
      <c r="G31" s="53">
        <v>1222529</v>
      </c>
      <c r="H31" s="53">
        <v>295234</v>
      </c>
      <c r="I31" s="53">
        <f t="shared" si="3"/>
        <v>7553164.2000000086</v>
      </c>
      <c r="J31" s="53">
        <v>32807</v>
      </c>
      <c r="K31" s="53">
        <f t="shared" si="4"/>
        <v>5639160.2000000086</v>
      </c>
      <c r="L31" s="53">
        <f t="shared" si="2"/>
        <v>957592</v>
      </c>
      <c r="M31" s="53">
        <v>2647962</v>
      </c>
      <c r="N31" s="53">
        <v>1548372</v>
      </c>
      <c r="O31" s="53">
        <v>384322</v>
      </c>
      <c r="P31" s="53">
        <v>1536739</v>
      </c>
      <c r="Q31" s="53">
        <v>1163</v>
      </c>
      <c r="R31" s="53">
        <v>610920</v>
      </c>
      <c r="S31" s="53">
        <v>348082</v>
      </c>
      <c r="T31" s="53">
        <v>51229</v>
      </c>
      <c r="U31" s="53">
        <v>53174</v>
      </c>
      <c r="V31" s="53">
        <v>31119</v>
      </c>
      <c r="W31" s="53">
        <v>490.33100000000002</v>
      </c>
      <c r="X31" s="53">
        <v>967.06100000000004</v>
      </c>
      <c r="Y31" s="53">
        <v>3890.1489999999999</v>
      </c>
      <c r="Z31" s="25"/>
      <c r="AA31" s="53">
        <v>2931</v>
      </c>
      <c r="AB31" s="55">
        <v>2894</v>
      </c>
      <c r="AC31" s="55">
        <v>2633</v>
      </c>
    </row>
    <row r="32" spans="1:29" x14ac:dyDescent="0.25">
      <c r="A32" s="20">
        <v>44589</v>
      </c>
      <c r="B32" s="27">
        <v>37</v>
      </c>
      <c r="C32" s="51">
        <v>90</v>
      </c>
      <c r="D32" s="52">
        <v>1187976</v>
      </c>
      <c r="E32" s="53">
        <v>1189850</v>
      </c>
      <c r="F32" s="53">
        <v>1225230</v>
      </c>
      <c r="G32" s="53">
        <v>1223976</v>
      </c>
      <c r="H32" s="53">
        <v>295239</v>
      </c>
      <c r="I32" s="53">
        <f t="shared" si="3"/>
        <v>7555170.6000000089</v>
      </c>
      <c r="J32" s="53">
        <v>32807</v>
      </c>
      <c r="K32" s="53">
        <f t="shared" si="4"/>
        <v>5641589.6000000089</v>
      </c>
      <c r="L32" s="53">
        <f t="shared" si="2"/>
        <v>958643</v>
      </c>
      <c r="M32" s="53">
        <v>2647963</v>
      </c>
      <c r="N32" s="53">
        <v>1551187</v>
      </c>
      <c r="O32" s="53">
        <v>384396</v>
      </c>
      <c r="P32" s="53">
        <v>1536742</v>
      </c>
      <c r="Q32" s="53">
        <v>1163</v>
      </c>
      <c r="R32" s="53">
        <v>611210</v>
      </c>
      <c r="S32" s="53">
        <v>348111</v>
      </c>
      <c r="T32" s="53">
        <v>51270</v>
      </c>
      <c r="U32" s="53">
        <v>53183</v>
      </c>
      <c r="V32" s="53">
        <v>31121</v>
      </c>
      <c r="W32" s="53">
        <v>490.33100000000002</v>
      </c>
      <c r="X32" s="53">
        <v>967.17100000000005</v>
      </c>
      <c r="Y32" s="53">
        <v>3890.049</v>
      </c>
      <c r="Z32" s="25"/>
      <c r="AA32" s="53">
        <v>2935</v>
      </c>
      <c r="AB32" s="55">
        <v>2927</v>
      </c>
      <c r="AC32" s="55">
        <v>2992</v>
      </c>
    </row>
    <row r="33" spans="1:29" x14ac:dyDescent="0.25">
      <c r="A33" s="20">
        <v>44590</v>
      </c>
      <c r="B33" s="27">
        <v>60</v>
      </c>
      <c r="C33" s="51">
        <v>148</v>
      </c>
      <c r="D33" s="52">
        <v>1190181</v>
      </c>
      <c r="E33" s="53">
        <v>1192059</v>
      </c>
      <c r="F33" s="53">
        <v>1229739</v>
      </c>
      <c r="G33" s="53">
        <v>1228481</v>
      </c>
      <c r="H33" s="53">
        <v>295555</v>
      </c>
      <c r="I33" s="53">
        <f t="shared" si="3"/>
        <v>7557177.0000000093</v>
      </c>
      <c r="J33" s="53">
        <v>32807</v>
      </c>
      <c r="K33" s="53">
        <f t="shared" si="4"/>
        <v>5644019.0000000093</v>
      </c>
      <c r="L33" s="53">
        <f t="shared" si="2"/>
        <v>959694</v>
      </c>
      <c r="M33" s="53">
        <v>2647964</v>
      </c>
      <c r="N33" s="53">
        <v>1553850</v>
      </c>
      <c r="O33" s="53">
        <v>384458</v>
      </c>
      <c r="P33" s="53">
        <v>1537431</v>
      </c>
      <c r="Q33" s="53">
        <v>1163</v>
      </c>
      <c r="R33" s="53">
        <v>611228</v>
      </c>
      <c r="S33" s="53">
        <v>348144</v>
      </c>
      <c r="T33" s="53">
        <v>51308</v>
      </c>
      <c r="U33" s="53">
        <v>53192</v>
      </c>
      <c r="V33" s="53">
        <v>31122</v>
      </c>
      <c r="W33" s="53">
        <v>490.33100000000002</v>
      </c>
      <c r="X33" s="53">
        <v>967.35900000000004</v>
      </c>
      <c r="Y33" s="53">
        <v>3890.049</v>
      </c>
      <c r="Z33" s="25"/>
      <c r="AA33" s="53">
        <v>2939</v>
      </c>
      <c r="AB33" s="55">
        <v>2927</v>
      </c>
      <c r="AC33" s="55">
        <v>0</v>
      </c>
    </row>
    <row r="34" spans="1:29" x14ac:dyDescent="0.25">
      <c r="A34" s="20">
        <v>44591</v>
      </c>
      <c r="B34" s="27">
        <v>22</v>
      </c>
      <c r="C34" s="51">
        <v>50</v>
      </c>
      <c r="D34" s="52">
        <v>1192519</v>
      </c>
      <c r="E34" s="53">
        <v>1194401</v>
      </c>
      <c r="F34" s="53">
        <v>1235642</v>
      </c>
      <c r="G34" s="53">
        <v>1234378</v>
      </c>
      <c r="H34" s="53">
        <v>296343</v>
      </c>
      <c r="I34" s="53">
        <f t="shared" si="3"/>
        <v>7559183.4000000097</v>
      </c>
      <c r="J34" s="53">
        <v>32807</v>
      </c>
      <c r="K34" s="53">
        <f t="shared" si="4"/>
        <v>5646448.4000000097</v>
      </c>
      <c r="L34" s="53">
        <f t="shared" si="2"/>
        <v>960745</v>
      </c>
      <c r="M34" s="53">
        <v>2647966</v>
      </c>
      <c r="N34" s="53">
        <v>1556491</v>
      </c>
      <c r="O34" s="53">
        <v>384523</v>
      </c>
      <c r="P34" s="53">
        <v>1537699</v>
      </c>
      <c r="Q34" s="53">
        <v>1163</v>
      </c>
      <c r="R34" s="53">
        <v>611555</v>
      </c>
      <c r="S34" s="53">
        <v>348183</v>
      </c>
      <c r="T34" s="53">
        <v>51355</v>
      </c>
      <c r="U34" s="53">
        <v>53203</v>
      </c>
      <c r="V34" s="53">
        <v>31136</v>
      </c>
      <c r="W34" s="53">
        <v>490.33100000000002</v>
      </c>
      <c r="X34" s="53">
        <v>967.56799999999998</v>
      </c>
      <c r="Y34" s="53">
        <v>3890.049</v>
      </c>
      <c r="Z34" s="25"/>
      <c r="AA34" s="53">
        <v>2944</v>
      </c>
      <c r="AB34" s="55">
        <v>2910</v>
      </c>
      <c r="AC34" s="55">
        <v>0</v>
      </c>
    </row>
    <row r="35" spans="1:29" x14ac:dyDescent="0.25">
      <c r="A35" s="20">
        <v>44592</v>
      </c>
      <c r="B35" s="27">
        <v>20</v>
      </c>
      <c r="C35" s="56">
        <v>50</v>
      </c>
      <c r="D35" s="52">
        <v>1195089</v>
      </c>
      <c r="E35" s="53">
        <v>1196976</v>
      </c>
      <c r="F35" s="53">
        <v>1240855</v>
      </c>
      <c r="G35" s="53">
        <v>1239585</v>
      </c>
      <c r="H35" s="53">
        <v>297152</v>
      </c>
      <c r="I35" s="53">
        <v>7561191</v>
      </c>
      <c r="J35" s="53">
        <v>32807</v>
      </c>
      <c r="K35" s="53">
        <v>5648877</v>
      </c>
      <c r="L35" s="53">
        <v>963692</v>
      </c>
      <c r="M35" s="53">
        <v>2647967</v>
      </c>
      <c r="N35" s="53">
        <v>1559129</v>
      </c>
      <c r="O35" s="53">
        <v>384616</v>
      </c>
      <c r="P35" s="53">
        <v>1537793</v>
      </c>
      <c r="Q35" s="53">
        <v>1163</v>
      </c>
      <c r="R35" s="53">
        <v>612220</v>
      </c>
      <c r="S35" s="53">
        <v>348216</v>
      </c>
      <c r="T35" s="53">
        <v>51395</v>
      </c>
      <c r="U35" s="53">
        <v>53214</v>
      </c>
      <c r="V35" s="53">
        <v>31136</v>
      </c>
      <c r="W35" s="53">
        <v>490.33100000000002</v>
      </c>
      <c r="X35" s="53">
        <v>967.779</v>
      </c>
      <c r="Y35" s="53">
        <v>3890.049</v>
      </c>
      <c r="Z35" s="25"/>
      <c r="AA35" s="53">
        <v>2953</v>
      </c>
      <c r="AB35" s="55">
        <v>2910</v>
      </c>
      <c r="AC35" s="55">
        <v>0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2022-03-02T11:43:59Z</dcterms:modified>
</cp:coreProperties>
</file>