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8_{4C28CB26-13C0-418C-8819-27EAB6360A84}" xr6:coauthVersionLast="47" xr6:coauthVersionMax="47" xr10:uidLastSave="{00000000-0000-0000-0000-000000000000}"/>
  <bookViews>
    <workbookView xWindow="-120" yWindow="-120" windowWidth="20730" windowHeight="11160" tabRatio="960" activeTab="1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'14'!$A$1:$J$167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31" l="1"/>
  <c r="F15" i="16"/>
  <c r="F15" i="15"/>
  <c r="F8" i="31"/>
  <c r="F7" i="31"/>
  <c r="F8" i="16"/>
  <c r="F7" i="16"/>
  <c r="F8" i="15"/>
  <c r="F7" i="15"/>
  <c r="E140" i="14"/>
  <c r="E8" i="14"/>
  <c r="E7" i="14"/>
  <c r="E140" i="13"/>
  <c r="E58" i="10"/>
  <c r="E130" i="10"/>
  <c r="E115" i="10"/>
  <c r="E78" i="10"/>
  <c r="E38" i="10"/>
  <c r="E39" i="10"/>
  <c r="E40" i="10"/>
  <c r="E41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F18" i="4"/>
  <c r="E57" i="3"/>
  <c r="E149" i="43"/>
  <c r="E140" i="29"/>
  <c r="F147" i="27"/>
  <c r="E9" i="25"/>
  <c r="E10" i="25"/>
  <c r="E11" i="25"/>
  <c r="E12" i="25"/>
  <c r="E132" i="24"/>
  <c r="E133" i="24"/>
  <c r="E134" i="24"/>
  <c r="E129" i="24"/>
  <c r="E128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36" i="21"/>
  <c r="E37" i="21"/>
  <c r="E38" i="21"/>
  <c r="E39" i="21"/>
  <c r="E40" i="21"/>
  <c r="E41" i="21"/>
  <c r="E42" i="21"/>
  <c r="E43" i="21"/>
  <c r="E44" i="21"/>
  <c r="E45" i="21"/>
  <c r="E46" i="21"/>
  <c r="E50" i="21"/>
  <c r="E51" i="21"/>
  <c r="E52" i="21"/>
  <c r="E53" i="21"/>
  <c r="E54" i="21"/>
  <c r="E55" i="21"/>
  <c r="E56" i="21"/>
  <c r="E57" i="21"/>
  <c r="E58" i="2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E162" i="19"/>
  <c r="E163" i="19"/>
  <c r="E164" i="19"/>
  <c r="E165" i="19"/>
  <c r="E166" i="19"/>
  <c r="E167" i="19"/>
  <c r="E168" i="19"/>
  <c r="E36" i="19"/>
  <c r="E37" i="19"/>
  <c r="E38" i="19"/>
  <c r="E39" i="19"/>
  <c r="E40" i="19"/>
  <c r="E41" i="19"/>
  <c r="E42" i="19"/>
  <c r="E43" i="19"/>
  <c r="E44" i="19"/>
  <c r="E45" i="19"/>
  <c r="E46" i="19"/>
  <c r="E35" i="19"/>
  <c r="E9" i="19"/>
  <c r="E10" i="19"/>
  <c r="E11" i="19"/>
  <c r="E12" i="19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66" i="17"/>
  <c r="E67" i="17"/>
  <c r="E68" i="17"/>
  <c r="E69" i="17"/>
  <c r="E70" i="17"/>
  <c r="E130" i="11" l="1"/>
  <c r="E115" i="11"/>
  <c r="E62" i="10"/>
  <c r="E49" i="10"/>
  <c r="E138" i="10"/>
  <c r="E8" i="9"/>
  <c r="G8" i="9" s="1"/>
  <c r="O9" i="9" s="1"/>
  <c r="E7" i="9"/>
  <c r="G7" i="9" s="1"/>
  <c r="E146" i="7" l="1"/>
  <c r="E115" i="7"/>
  <c r="F195" i="7"/>
  <c r="E195" i="7"/>
  <c r="E174" i="5"/>
  <c r="E175" i="5"/>
  <c r="E129" i="33"/>
  <c r="E130" i="33"/>
  <c r="E131" i="33"/>
  <c r="E132" i="33"/>
  <c r="E133" i="33"/>
  <c r="E134" i="33"/>
  <c r="E8" i="33"/>
  <c r="E9" i="33"/>
  <c r="E10" i="33"/>
  <c r="E11" i="33"/>
  <c r="E12" i="33"/>
  <c r="E8" i="5"/>
  <c r="E9" i="5"/>
  <c r="E10" i="5"/>
  <c r="E11" i="5"/>
  <c r="E12" i="5"/>
  <c r="E8" i="4"/>
  <c r="E9" i="4"/>
  <c r="E10" i="4"/>
  <c r="E11" i="4"/>
  <c r="E12" i="4"/>
  <c r="N15" i="31"/>
  <c r="N8" i="31"/>
  <c r="N7" i="31"/>
  <c r="E29" i="31"/>
  <c r="J16" i="31" l="1"/>
  <c r="E123" i="29"/>
  <c r="E112" i="29"/>
  <c r="E113" i="29"/>
  <c r="E114" i="29"/>
  <c r="E115" i="29"/>
  <c r="E9" i="29"/>
  <c r="E10" i="29"/>
  <c r="E11" i="29"/>
  <c r="F191" i="27" l="1"/>
  <c r="E68" i="27"/>
  <c r="G68" i="27" s="1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29" i="18"/>
  <c r="E15" i="17"/>
  <c r="F15" i="17" s="1"/>
  <c r="E15" i="18" s="1"/>
  <c r="F15" i="18" s="1"/>
  <c r="E15" i="19" s="1"/>
  <c r="F15" i="19" s="1"/>
  <c r="E15" i="20" s="1"/>
  <c r="F15" i="20" s="1"/>
  <c r="E115" i="16"/>
  <c r="E15" i="16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5" i="21" l="1"/>
  <c r="E15" i="15"/>
  <c r="E118" i="12"/>
  <c r="E54" i="12"/>
  <c r="O8" i="12"/>
  <c r="P8" i="12" s="1"/>
  <c r="H159" i="10"/>
  <c r="J159" i="10" s="1"/>
  <c r="E15" i="22" l="1"/>
  <c r="F15" i="21"/>
  <c r="G15" i="20"/>
  <c r="E7" i="8"/>
  <c r="G7" i="8" s="1"/>
  <c r="E8" i="8"/>
  <c r="E7" i="7"/>
  <c r="E15" i="23" l="1"/>
  <c r="F15" i="22"/>
  <c r="E7" i="3"/>
  <c r="E129" i="30"/>
  <c r="E130" i="30"/>
  <c r="E131" i="30"/>
  <c r="E132" i="30"/>
  <c r="E133" i="30"/>
  <c r="E134" i="30"/>
  <c r="E9" i="30"/>
  <c r="E10" i="30"/>
  <c r="E11" i="30"/>
  <c r="E12" i="30"/>
  <c r="E15" i="24" l="1"/>
  <c r="F15" i="23"/>
  <c r="E41" i="27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F15" i="24" l="1"/>
  <c r="E15" i="25" s="1"/>
  <c r="F15" i="25" s="1"/>
  <c r="E15" i="40" s="1"/>
  <c r="E158" i="1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F15" i="40" l="1"/>
  <c r="E15" i="27" s="1"/>
  <c r="N9" i="10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F15" i="27" l="1"/>
  <c r="E15" i="28" s="1"/>
  <c r="E157" i="8"/>
  <c r="G157" i="8" s="1"/>
  <c r="E158" i="8"/>
  <c r="G158" i="8" s="1"/>
  <c r="E157" i="9"/>
  <c r="G157" i="9" s="1"/>
  <c r="E158" i="9"/>
  <c r="G158" i="9" s="1"/>
  <c r="F15" i="28" l="1"/>
  <c r="E15" i="29" s="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F15" i="29" l="1"/>
  <c r="E15" i="30" s="1"/>
  <c r="F15" i="30" s="1"/>
  <c r="E15" i="43" s="1"/>
  <c r="F15" i="43" s="1"/>
  <c r="G152" i="30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149" i="20" l="1"/>
  <c r="G9" i="50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G15" i="15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14" i="18"/>
  <c r="H191" i="17"/>
  <c r="I191" i="17" s="1"/>
  <c r="K191" i="17" s="1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46" i="3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G152" i="18"/>
  <c r="G151" i="18"/>
  <c r="Z21" i="44" s="1"/>
  <c r="G150" i="18"/>
  <c r="G149" i="18"/>
  <c r="G148" i="18"/>
  <c r="W21" i="44" s="1"/>
  <c r="G147" i="18"/>
  <c r="V21" i="44" s="1"/>
  <c r="G146" i="18"/>
  <c r="T21" i="44" s="1"/>
  <c r="G145" i="18"/>
  <c r="S21" i="44" s="1"/>
  <c r="G144" i="18"/>
  <c r="U21" i="44" s="1"/>
  <c r="G143" i="18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G134" i="33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40" i="24"/>
  <c r="E139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4" i="7"/>
  <c r="E113" i="7"/>
  <c r="E112" i="7"/>
  <c r="E92" i="7"/>
  <c r="E91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H124" i="5"/>
  <c r="E185" i="5"/>
  <c r="E184" i="5"/>
  <c r="E183" i="5"/>
  <c r="E180" i="5"/>
  <c r="E179" i="5"/>
  <c r="E178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J155" i="5" l="1"/>
  <c r="J155" i="4"/>
  <c r="H155" i="7"/>
  <c r="H155" i="8" s="1"/>
  <c r="J156" i="5"/>
  <c r="J156" i="4"/>
  <c r="I92" i="17"/>
  <c r="E27" i="2"/>
  <c r="G27" i="2" s="1"/>
  <c r="G22" i="19"/>
  <c r="G24" i="19" s="1"/>
  <c r="E29" i="19" s="1"/>
  <c r="E24" i="19"/>
  <c r="G8" i="3"/>
  <c r="E27" i="3" s="1"/>
  <c r="G27" i="3" s="1"/>
  <c r="E15" i="4"/>
  <c r="E15" i="5" s="1"/>
  <c r="E15" i="33" s="1"/>
  <c r="E7" i="4"/>
  <c r="E7" i="5" s="1"/>
  <c r="E7" i="33" s="1"/>
  <c r="E10" i="7"/>
  <c r="E10" i="8" s="1"/>
  <c r="E10" i="9" s="1"/>
  <c r="E10" i="11" s="1"/>
  <c r="E10" i="12" s="1"/>
  <c r="E10" i="13" s="1"/>
  <c r="G9" i="3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15" i="17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47" i="10" l="1"/>
  <c r="AB23" i="45"/>
  <c r="G181" i="40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80" i="16" s="1"/>
  <c r="G15" i="18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9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0" l="1"/>
  <c r="G60" i="11"/>
  <c r="G60" i="40"/>
  <c r="G79" i="18"/>
  <c r="G80" i="18" s="1"/>
  <c r="E28" i="18"/>
  <c r="G28" i="18" s="1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G9" i="7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J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60" i="7" l="1"/>
  <c r="E27" i="8"/>
  <c r="G27" i="8" s="1"/>
  <c r="O8" i="8"/>
  <c r="H10" i="17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G15" i="19"/>
  <c r="H20" i="7"/>
  <c r="G19" i="8"/>
  <c r="P9" i="9"/>
  <c r="G9" i="9"/>
  <c r="H9" i="9" s="1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G15" i="21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E15" i="14" s="1"/>
  <c r="G15" i="14" s="1"/>
  <c r="G15" i="12"/>
  <c r="G79" i="23"/>
  <c r="G80" i="23" s="1"/>
  <c r="E28" i="23"/>
  <c r="G28" i="23" s="1"/>
  <c r="G15" i="24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G15" i="13"/>
  <c r="G15" i="25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G79" i="25"/>
  <c r="E28" i="25"/>
  <c r="G28" i="25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13" l="1"/>
  <c r="O9" i="13"/>
  <c r="G105" i="12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G79" i="27" s="1"/>
  <c r="H79" i="13"/>
  <c r="J79" i="13" s="1"/>
  <c r="G79" i="40"/>
  <c r="E28" i="40"/>
  <c r="G28" i="40" s="1"/>
  <c r="H27" i="13"/>
  <c r="E9" i="15"/>
  <c r="G9" i="14"/>
  <c r="E8" i="15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" i="14" l="1"/>
  <c r="H97" i="13"/>
  <c r="H99" i="13"/>
  <c r="H95" i="13"/>
  <c r="H105" i="13"/>
  <c r="H103" i="13"/>
  <c r="H101" i="13"/>
  <c r="G7" i="14"/>
  <c r="H19" i="12"/>
  <c r="G187" i="12"/>
  <c r="E30" i="12"/>
  <c r="G30" i="12" s="1"/>
  <c r="G32" i="12" s="1"/>
  <c r="G20" i="12"/>
  <c r="H20" i="12" s="1"/>
  <c r="E19" i="13"/>
  <c r="G15" i="28"/>
  <c r="E28" i="27"/>
  <c r="G28" i="27" s="1"/>
  <c r="H15" i="27"/>
  <c r="H28" i="40"/>
  <c r="G80" i="40"/>
  <c r="G80" i="14"/>
  <c r="H79" i="14"/>
  <c r="G8" i="15"/>
  <c r="E8" i="16"/>
  <c r="E9" i="16"/>
  <c r="G9" i="15"/>
  <c r="H27" i="14"/>
  <c r="H135" i="22"/>
  <c r="H135" i="23"/>
  <c r="H135" i="18"/>
  <c r="H135" i="19"/>
  <c r="H135" i="24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H79" i="15" l="1"/>
  <c r="J79" i="15" s="1"/>
  <c r="J79" i="14"/>
  <c r="H9" i="15"/>
  <c r="E8" i="17"/>
  <c r="E10" i="40"/>
  <c r="E10" i="27" s="1"/>
  <c r="E10" i="28" s="1"/>
  <c r="E9" i="17"/>
  <c r="E9" i="18" s="1"/>
  <c r="H135" i="30"/>
  <c r="H135" i="29"/>
  <c r="H135" i="14"/>
  <c r="J135" i="14" s="1"/>
  <c r="J135" i="13"/>
  <c r="E7" i="15"/>
  <c r="G15" i="29"/>
  <c r="G79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G19" i="13"/>
  <c r="G187" i="13" s="1"/>
  <c r="H32" i="12"/>
  <c r="H30" i="12"/>
  <c r="G80" i="27"/>
  <c r="H28" i="27"/>
  <c r="H15" i="28"/>
  <c r="E28" i="28"/>
  <c r="G28" i="28" s="1"/>
  <c r="G79" i="28"/>
  <c r="G80" i="28" s="1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F8" i="17" l="1"/>
  <c r="E8" i="18" s="1"/>
  <c r="F8" i="18" s="1"/>
  <c r="E8" i="19" s="1"/>
  <c r="F8" i="19" s="1"/>
  <c r="E8" i="20" s="1"/>
  <c r="F8" i="20" s="1"/>
  <c r="E8" i="21" s="1"/>
  <c r="F8" i="21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G9" i="16"/>
  <c r="H9" i="16" s="1"/>
  <c r="G10" i="24"/>
  <c r="H10" i="24" s="1"/>
  <c r="E7" i="16"/>
  <c r="G80" i="29"/>
  <c r="E28" i="29"/>
  <c r="G28" i="29" s="1"/>
  <c r="H15" i="29"/>
  <c r="H28" i="28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79" i="40" l="1"/>
  <c r="H79" i="27" s="1"/>
  <c r="H79" i="28" s="1"/>
  <c r="H79" i="29" s="1"/>
  <c r="H28" i="29"/>
  <c r="H10" i="25"/>
  <c r="H9" i="17"/>
  <c r="E7" i="17"/>
  <c r="F7" i="17" s="1"/>
  <c r="G7" i="16"/>
  <c r="G103" i="16" s="1"/>
  <c r="G7" i="15"/>
  <c r="G105" i="15" s="1"/>
  <c r="H105" i="15" s="1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7" i="18" l="1"/>
  <c r="F7" i="18" s="1"/>
  <c r="E7" i="19" s="1"/>
  <c r="F7" i="19" s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" i="17" l="1"/>
  <c r="G101" i="17" s="1"/>
  <c r="G7" i="18"/>
  <c r="G95" i="18" s="1"/>
  <c r="H95" i="16"/>
  <c r="H99" i="16"/>
  <c r="H101" i="16"/>
  <c r="H97" i="16"/>
  <c r="H28" i="43"/>
  <c r="G80" i="30"/>
  <c r="H79" i="30"/>
  <c r="H79" i="43" s="1"/>
  <c r="E27" i="18"/>
  <c r="G27" i="18" s="1"/>
  <c r="H27" i="18" s="1"/>
  <c r="G19" i="15"/>
  <c r="G32" i="14"/>
  <c r="H32" i="14" s="1"/>
  <c r="H30" i="14"/>
  <c r="G15" i="31"/>
  <c r="E28" i="31" s="1"/>
  <c r="G8" i="19"/>
  <c r="H9" i="19"/>
  <c r="G97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101" i="18" l="1"/>
  <c r="O8" i="18"/>
  <c r="G99" i="18"/>
  <c r="G105" i="18"/>
  <c r="G103" i="18"/>
  <c r="G99" i="17"/>
  <c r="H99" i="17" s="1"/>
  <c r="G103" i="17"/>
  <c r="H103" i="17" s="1"/>
  <c r="H101" i="17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G7" i="19"/>
  <c r="G95" i="19" s="1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J15" i="31" s="1"/>
  <c r="G79" i="31"/>
  <c r="G80" i="31" s="1"/>
  <c r="G28" i="31"/>
  <c r="H28" i="31" s="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1" i="18" l="1"/>
  <c r="H99" i="18"/>
  <c r="H103" i="18"/>
  <c r="G99" i="19"/>
  <c r="G103" i="19"/>
  <c r="O8" i="19"/>
  <c r="G97" i="19"/>
  <c r="H97" i="19" s="1"/>
  <c r="H7" i="19"/>
  <c r="I59" i="19"/>
  <c r="H95" i="19"/>
  <c r="G101" i="19"/>
  <c r="G105" i="19"/>
  <c r="H105" i="19" s="1"/>
  <c r="E7" i="20"/>
  <c r="F7" i="20" s="1"/>
  <c r="E7" i="21" s="1"/>
  <c r="F7" i="21" s="1"/>
  <c r="E7" i="22" s="1"/>
  <c r="F7" i="22" s="1"/>
  <c r="E7" i="23" s="1"/>
  <c r="F7" i="23" s="1"/>
  <c r="E7" i="24" s="1"/>
  <c r="F7" i="24" s="1"/>
  <c r="E7" i="25" s="1"/>
  <c r="F7" i="25" s="1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F8" i="22" s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101" i="19" l="1"/>
  <c r="H99" i="19"/>
  <c r="H103" i="19"/>
  <c r="G7" i="20"/>
  <c r="G8" i="21"/>
  <c r="E27" i="21" s="1"/>
  <c r="G27" i="21" s="1"/>
  <c r="H27" i="21" s="1"/>
  <c r="H30" i="16"/>
  <c r="G19" i="17"/>
  <c r="E9" i="23"/>
  <c r="G8" i="22"/>
  <c r="E27" i="22" s="1"/>
  <c r="G27" i="22" s="1"/>
  <c r="E8" i="23"/>
  <c r="F8" i="23" s="1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 l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F8" i="24" s="1"/>
  <c r="E8" i="25" s="1"/>
  <c r="F8" i="25" s="1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G7" i="22" l="1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40"/>
  <c r="E9" i="27" s="1"/>
  <c r="E9" i="28" s="1"/>
  <c r="G8" i="24"/>
  <c r="E27" i="24" s="1"/>
  <c r="G27" i="24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" i="23" l="1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F8" i="40" s="1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7" i="24" l="1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F8" i="27" s="1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8" i="28" l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F7" i="40" s="1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F8" i="28" l="1"/>
  <c r="E8" i="29" s="1"/>
  <c r="G8" i="27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F7" i="27" s="1"/>
  <c r="G7" i="40"/>
  <c r="G8" i="28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F8" i="29" l="1"/>
  <c r="E8" i="30" s="1"/>
  <c r="F8" i="30" s="1"/>
  <c r="E8" i="43" s="1"/>
  <c r="F8" i="43" s="1"/>
  <c r="G97" i="40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E27" i="28"/>
  <c r="G27" i="28" s="1"/>
  <c r="H27" i="28" s="1"/>
  <c r="G8" i="29"/>
  <c r="G32" i="20"/>
  <c r="H32" i="20" s="1"/>
  <c r="H9" i="28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99" i="27" l="1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O8" i="29"/>
  <c r="E27" i="29"/>
  <c r="G27" i="29" s="1"/>
  <c r="H27" i="29" s="1"/>
  <c r="O15" i="29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F7" i="28" l="1"/>
  <c r="E7" i="29" s="1"/>
  <c r="F7" i="29" s="1"/>
  <c r="G7" i="28"/>
  <c r="G9" i="43"/>
  <c r="H9" i="43" s="1"/>
  <c r="H9" i="50" s="1"/>
  <c r="J9" i="50" s="1"/>
  <c r="H27" i="30"/>
  <c r="G8" i="43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O10" i="29" l="1"/>
  <c r="G7" i="29"/>
  <c r="O12" i="29" s="1"/>
  <c r="E7" i="30"/>
  <c r="F7" i="30" s="1"/>
  <c r="G7" i="30" s="1"/>
  <c r="E27" i="43"/>
  <c r="G27" i="43" s="1"/>
  <c r="I59" i="29"/>
  <c r="G105" i="29"/>
  <c r="G95" i="29"/>
  <c r="G97" i="29"/>
  <c r="G99" i="29"/>
  <c r="G103" i="29"/>
  <c r="G101" i="29"/>
  <c r="E7" i="43"/>
  <c r="G101" i="28"/>
  <c r="H101" i="28" s="1"/>
  <c r="G105" i="28"/>
  <c r="H105" i="28" s="1"/>
  <c r="G99" i="28"/>
  <c r="H99" i="28" s="1"/>
  <c r="G103" i="28"/>
  <c r="H103" i="28" s="1"/>
  <c r="H103" i="29" s="1"/>
  <c r="G95" i="28"/>
  <c r="H95" i="28" s="1"/>
  <c r="G97" i="28"/>
  <c r="H97" i="28" s="1"/>
  <c r="I59" i="28"/>
  <c r="O9" i="28"/>
  <c r="H7" i="28"/>
  <c r="H7" i="29" s="1"/>
  <c r="H27" i="43"/>
  <c r="G8" i="3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F7" i="43" l="1"/>
  <c r="G7" i="43" s="1"/>
  <c r="H97" i="29"/>
  <c r="H105" i="29"/>
  <c r="H95" i="29"/>
  <c r="G97" i="30"/>
  <c r="H97" i="30" s="1"/>
  <c r="G95" i="30"/>
  <c r="G103" i="30"/>
  <c r="H103" i="30" s="1"/>
  <c r="G101" i="30"/>
  <c r="G99" i="30"/>
  <c r="I59" i="30"/>
  <c r="G105" i="30"/>
  <c r="H99" i="29"/>
  <c r="H7" i="30"/>
  <c r="H101" i="29"/>
  <c r="E27" i="31"/>
  <c r="G27" i="31" s="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G103" i="43" l="1"/>
  <c r="G101" i="43"/>
  <c r="H7" i="43"/>
  <c r="G95" i="43"/>
  <c r="G99" i="43"/>
  <c r="G105" i="43"/>
  <c r="I59" i="43"/>
  <c r="G97" i="43"/>
  <c r="H97" i="43" s="1"/>
  <c r="J97" i="43" s="1"/>
  <c r="H105" i="30"/>
  <c r="H101" i="30"/>
  <c r="H101" i="43" s="1"/>
  <c r="J101" i="43" s="1"/>
  <c r="H95" i="30"/>
  <c r="H95" i="43" s="1"/>
  <c r="H95" i="31" s="1"/>
  <c r="J95" i="31" s="1"/>
  <c r="H103" i="43"/>
  <c r="J103" i="43" s="1"/>
  <c r="H99" i="30"/>
  <c r="H99" i="43" s="1"/>
  <c r="H30" i="24"/>
  <c r="H19" i="25"/>
  <c r="E30" i="25"/>
  <c r="G30" i="25" s="1"/>
  <c r="G187" i="25"/>
  <c r="H187" i="25" s="1"/>
  <c r="J187" i="25" s="1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H105" i="43" l="1"/>
  <c r="H105" i="31" s="1"/>
  <c r="J105" i="31" s="1"/>
  <c r="H97" i="31"/>
  <c r="J97" i="31" s="1"/>
  <c r="H103" i="31"/>
  <c r="J103" i="31" s="1"/>
  <c r="J99" i="43"/>
  <c r="H99" i="31"/>
  <c r="J99" i="31" s="1"/>
  <c r="J95" i="43"/>
  <c r="H101" i="31"/>
  <c r="J101" i="31" s="1"/>
  <c r="J105" i="43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16" l="1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H8" i="43" s="1"/>
  <c r="J8" i="30" l="1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<sst xmlns="http://schemas.openxmlformats.org/spreadsheetml/2006/main" count="10752" uniqueCount="378">
  <si>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</si>
  <si>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</si>
  <si>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</si>
  <si>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</si>
  <si>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</si>
  <si>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</si>
  <si>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</si>
  <si>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</si>
  <si>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</si>
  <si>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</si>
  <si>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</si>
  <si>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</si>
  <si>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</si>
  <si>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</si>
  <si>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</si>
  <si>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</si>
  <si>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</si>
  <si>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</si>
  <si>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</si>
  <si>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</si>
  <si>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</si>
  <si>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</si>
  <si>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</si>
  <si>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</si>
  <si>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</si>
  <si>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</si>
  <si>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</si>
  <si>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</si>
  <si>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</si>
  <si>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</si>
  <si>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</si>
  <si>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</si>
  <si>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</si>
  <si>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</si>
  <si>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</si>
  <si>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</si>
  <si>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</si>
  <si>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</si>
  <si>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</si>
  <si>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</si>
  <si>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</si>
  <si>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</si>
  <si>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</si>
  <si>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</si>
  <si>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</si>
  <si>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</si>
  <si>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</si>
  <si>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</si>
  <si>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</si>
  <si>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</si>
  <si>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</si>
  <si>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</si>
  <si>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</si>
  <si>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</si>
  <si>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</si>
  <si>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</si>
  <si>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</si>
  <si>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</si>
  <si>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</si>
  <si>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</si>
  <si>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</si>
  <si>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</si>
  <si>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</si>
  <si>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</si>
  <si>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</si>
  <si>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</si>
  <si>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</si>
  <si>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</si>
  <si>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</si>
  <si>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</si>
  <si>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</si>
  <si>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</si>
  <si>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</si>
  <si>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</si>
  <si>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</si>
  <si>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</si>
  <si>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</si>
  <si>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</si>
  <si>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</si>
  <si>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</si>
  <si>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</si>
  <si>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</si>
  <si>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</si>
  <si>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</si>
  <si>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</si>
  <si>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</si>
  <si>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</si>
  <si>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</si>
  <si>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</si>
  <si>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</si>
  <si>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</si>
  <si>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</si>
  <si>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</si>
  <si>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</si>
  <si>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</si>
  <si>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</si>
  <si>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</si>
  <si>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</si>
  <si>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</si>
  <si>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</si>
  <si>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</si>
  <si>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</si>
  <si>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</si>
  <si>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</si>
  <si>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</si>
  <si>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</si>
  <si>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</si>
  <si>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</si>
  <si>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</si>
  <si>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</si>
  <si>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</si>
  <si>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</si>
  <si>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</si>
  <si>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</si>
  <si>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</si>
  <si>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</si>
  <si>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</si>
  <si>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</si>
  <si>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</si>
  <si>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</si>
  <si>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</si>
  <si>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</si>
  <si>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</si>
  <si>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</si>
  <si>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</si>
  <si>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</si>
  <si>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</si>
  <si>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</si>
  <si>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</si>
  <si>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</si>
  <si>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</si>
  <si>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</si>
  <si>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</si>
  <si>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</si>
  <si>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</si>
  <si>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</si>
  <si>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</si>
  <si>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</si>
  <si>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</si>
  <si>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</si>
  <si>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</si>
  <si>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</si>
  <si>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</si>
  <si>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</si>
  <si>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</si>
  <si>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</si>
  <si>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</si>
  <si>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</si>
  <si>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</si>
  <si>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</si>
  <si>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</si>
  <si>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</si>
  <si>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</si>
  <si>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</si>
  <si>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</si>
  <si>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</si>
  <si>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</si>
  <si>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</si>
  <si>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</si>
  <si>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</si>
  <si>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</si>
  <si>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</si>
  <si>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</si>
  <si>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</si>
  <si>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</si>
  <si>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</si>
  <si>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</si>
  <si>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</si>
  <si>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</si>
  <si>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</si>
  <si>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</si>
  <si>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</si>
  <si>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</si>
  <si>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</si>
  <si>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</si>
  <si>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</si>
  <si>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</si>
  <si>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</si>
  <si>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</si>
  <si>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</si>
  <si>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</si>
  <si>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</si>
  <si>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</si>
  <si>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</si>
  <si>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</si>
  <si>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</si>
  <si>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</si>
  <si>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</si>
  <si>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</si>
  <si>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</si>
  <si>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</si>
  <si>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</si>
  <si>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</si>
  <si>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</si>
  <si>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</si>
  <si>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</si>
  <si>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</si>
  <si>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</si>
  <si>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</si>
  <si>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</si>
  <si>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</si>
  <si>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</si>
  <si>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</si>
  <si>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</si>
  <si>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</si>
  <si>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</si>
  <si>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</si>
  <si>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</si>
  <si>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</si>
  <si>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</si>
  <si>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</si>
  <si>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</si>
  <si>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</si>
  <si>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</si>
  <si>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</si>
  <si>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</si>
  <si>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</si>
  <si>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</si>
  <si>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</si>
  <si>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</si>
  <si>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</si>
  <si>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</si>
  <si>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</si>
  <si>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</si>
  <si>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</si>
  <si>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</si>
  <si>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</si>
  <si>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</si>
  <si>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</si>
  <si>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</si>
  <si>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</si>
  <si>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</si>
  <si>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</si>
  <si>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</si>
  <si>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</si>
  <si>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</si>
  <si>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</si>
  <si>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</si>
  <si>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</si>
  <si>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</si>
  <si>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</si>
  <si>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</si>
  <si>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</si>
  <si>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</si>
  <si>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</si>
  <si>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</si>
  <si>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</si>
  <si>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</si>
  <si>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</si>
  <si>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</si>
  <si>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</si>
  <si>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</si>
  <si>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</si>
  <si>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</si>
  <si>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</si>
  <si>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</si>
  <si>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</si>
  <si>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</si>
  <si>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</si>
  <si>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</si>
  <si>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</si>
  <si>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</si>
  <si>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</si>
  <si>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</si>
  <si>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</si>
  <si>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</si>
  <si>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</si>
  <si>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</si>
  <si>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</si>
  <si>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</si>
  <si>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</si>
  <si>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</si>
  <si>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</si>
  <si>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</si>
  <si>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</si>
  <si>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</si>
  <si>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</si>
  <si>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</si>
  <si>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</si>
  <si>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</si>
  <si>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</si>
  <si>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</si>
  <si>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</si>
  <si>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</si>
  <si>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</si>
  <si>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</si>
  <si>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</si>
  <si>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</si>
  <si>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</si>
  <si>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</si>
  <si>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</si>
  <si>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</si>
  <si>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</si>
  <si>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</si>
  <si>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</si>
  <si>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</si>
  <si>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</si>
  <si>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</si>
  <si>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</si>
  <si>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</si>
  <si>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</si>
  <si>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</si>
  <si>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</si>
  <si>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</si>
  <si>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</si>
  <si>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</si>
  <si>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</si>
  <si>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</si>
  <si>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</si>
  <si>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</si>
  <si>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</si>
  <si>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</si>
  <si>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</si>
  <si>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</si>
  <si>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</si>
  <si>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</si>
  <si>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</si>
  <si>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</si>
  <si>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</si>
  <si>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</si>
  <si>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</si>
  <si>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</si>
  <si>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</si>
  <si>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</si>
  <si>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</si>
  <si>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</si>
  <si>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</si>
  <si>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</si>
  <si>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</si>
  <si>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</si>
  <si>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</si>
  <si>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</si>
  <si>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</si>
  <si>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</si>
  <si>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</si>
  <si>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</si>
  <si>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</si>
  <si>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</si>
  <si>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</si>
  <si>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</si>
  <si>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</si>
  <si>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</si>
  <si>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</si>
  <si>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</si>
  <si>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</si>
  <si>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</si>
  <si>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</si>
  <si>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</si>
  <si>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</si>
  <si>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</si>
  <si>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</si>
  <si>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</si>
  <si>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</si>
  <si>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</si>
  <si>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</si>
  <si>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</si>
  <si>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</si>
  <si>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</si>
  <si>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</si>
  <si>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</si>
  <si>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</si>
  <si>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</si>
  <si>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</si>
  <si>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</si>
  <si>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</si>
  <si>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</si>
  <si>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</si>
  <si>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</si>
  <si>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</si>
  <si>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</si>
  <si>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</si>
  <si>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>Prepaired by---Prakash</t>
  </si>
  <si>
    <t xml:space="preserve">            </t>
  </si>
  <si>
    <t>need to check tonight.</t>
  </si>
  <si>
    <t>Meter Reset</t>
  </si>
  <si>
    <t>Prepaired by--- Devendra</t>
  </si>
  <si>
    <t xml:space="preserve">Prepaired by--- Prakash </t>
  </si>
  <si>
    <t>Nilesh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</si>
</sst>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99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2" fontId="44" fillId="10" borderId="1" xfId="4" applyNumberFormat="1" applyFont="1" applyFill="1" applyBorder="1" applyAlignment="1">
      <alignment horizont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87" fillId="8" borderId="1" xfId="19" applyFont="1" applyFill="1" applyBorder="1" applyAlignment="1" applyProtection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0" fontId="78" fillId="2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81" fillId="0" borderId="13" xfId="0" applyFont="1" applyBorder="1" applyAlignment="1">
      <alignment horizontal="left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78" fillId="8" borderId="0" xfId="3" applyFont="1" applyFill="1" applyBorder="1" applyAlignment="1">
      <alignment vertical="center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13" xfId="0" applyFont="1" applyFill="1" applyBorder="1" applyAlignment="1">
      <alignment horizontal="left"/>
    </xf>
    <xf numFmtId="0" fontId="81" fillId="2" borderId="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81" fillId="12" borderId="1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38.209999999991851</c:v>
                </c:pt>
                <c:pt idx="1">
                  <c:v>42.289999999999964</c:v>
                </c:pt>
                <c:pt idx="2">
                  <c:v>44.080000000000837</c:v>
                </c:pt>
                <c:pt idx="3">
                  <c:v>40.320000000003347</c:v>
                </c:pt>
                <c:pt idx="4">
                  <c:v>39</c:v>
                </c:pt>
                <c:pt idx="5">
                  <c:v>38</c:v>
                </c:pt>
                <c:pt idx="6">
                  <c:v>40.739999999997963</c:v>
                </c:pt>
                <c:pt idx="7">
                  <c:v>41</c:v>
                </c:pt>
                <c:pt idx="8">
                  <c:v>40.280000000005202</c:v>
                </c:pt>
                <c:pt idx="9">
                  <c:v>37.099999999998545</c:v>
                </c:pt>
                <c:pt idx="10">
                  <c:v>39.220000000001164</c:v>
                </c:pt>
                <c:pt idx="11">
                  <c:v>39.459999999999127</c:v>
                </c:pt>
                <c:pt idx="12">
                  <c:v>39.350000000004002</c:v>
                </c:pt>
                <c:pt idx="13">
                  <c:v>-1178.410000000008</c:v>
                </c:pt>
                <c:pt idx="14">
                  <c:v>43</c:v>
                </c:pt>
                <c:pt idx="15">
                  <c:v>43</c:v>
                </c:pt>
                <c:pt idx="16">
                  <c:v>42.830000000002656</c:v>
                </c:pt>
                <c:pt idx="17">
                  <c:v>42.899999999998727</c:v>
                </c:pt>
                <c:pt idx="18">
                  <c:v>41.339999999997417</c:v>
                </c:pt>
                <c:pt idx="19">
                  <c:v>41.480000000001382</c:v>
                </c:pt>
                <c:pt idx="20">
                  <c:v>38.840000000001965</c:v>
                </c:pt>
                <c:pt idx="21">
                  <c:v>41.170000000000982</c:v>
                </c:pt>
                <c:pt idx="22">
                  <c:v>37.899999999995998</c:v>
                </c:pt>
                <c:pt idx="23">
                  <c:v>41.230000000003201</c:v>
                </c:pt>
                <c:pt idx="24">
                  <c:v>40.360000000000582</c:v>
                </c:pt>
                <c:pt idx="25">
                  <c:v>43.700000000001637</c:v>
                </c:pt>
                <c:pt idx="26">
                  <c:v>38.579999999998108</c:v>
                </c:pt>
                <c:pt idx="27">
                  <c:v>43.809999999997672</c:v>
                </c:pt>
                <c:pt idx="28">
                  <c:v>39.6299999999992</c:v>
                </c:pt>
                <c:pt idx="29">
                  <c:v>39.590000000006512</c:v>
                </c:pt>
                <c:pt idx="30">
                  <c:v>42</c:v>
                </c:pt>
                <c:pt idx="3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72110592"/>
        <c:axId val="172112128"/>
      </c:lineChart>
      <c:catAx>
        <c:axId val="1721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12128"/>
        <c:crosses val="autoZero"/>
        <c:auto val="1"/>
        <c:lblAlgn val="ctr"/>
        <c:lblOffset val="100"/>
        <c:noMultiLvlLbl val="0"/>
      </c:catAx>
      <c:valAx>
        <c:axId val="17211212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7211059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16.390000000003056</c:v>
                </c:pt>
                <c:pt idx="1">
                  <c:v>16.830000000005384</c:v>
                </c:pt>
                <c:pt idx="2">
                  <c:v>9.2999999999992724</c:v>
                </c:pt>
                <c:pt idx="3">
                  <c:v>19.080000000001746</c:v>
                </c:pt>
                <c:pt idx="4">
                  <c:v>19.670000000001892</c:v>
                </c:pt>
                <c:pt idx="5">
                  <c:v>18.950000000000728</c:v>
                </c:pt>
                <c:pt idx="6">
                  <c:v>20.029999999998836</c:v>
                </c:pt>
                <c:pt idx="7">
                  <c:v>21.560000000004948</c:v>
                </c:pt>
                <c:pt idx="8">
                  <c:v>20.599999999991269</c:v>
                </c:pt>
                <c:pt idx="9">
                  <c:v>20.590000000007421</c:v>
                </c:pt>
                <c:pt idx="10">
                  <c:v>19.650000000001455</c:v>
                </c:pt>
                <c:pt idx="11">
                  <c:v>19.749999999992724</c:v>
                </c:pt>
                <c:pt idx="12">
                  <c:v>20.040000000000873</c:v>
                </c:pt>
                <c:pt idx="13">
                  <c:v>-532.46999999999753</c:v>
                </c:pt>
                <c:pt idx="14">
                  <c:v>21.229999999999563</c:v>
                </c:pt>
                <c:pt idx="15">
                  <c:v>22.05000000000291</c:v>
                </c:pt>
                <c:pt idx="16">
                  <c:v>19.999999999996362</c:v>
                </c:pt>
                <c:pt idx="17">
                  <c:v>22</c:v>
                </c:pt>
                <c:pt idx="18">
                  <c:v>18.470000000001164</c:v>
                </c:pt>
                <c:pt idx="19">
                  <c:v>20.529999999998836</c:v>
                </c:pt>
                <c:pt idx="20">
                  <c:v>20.42000000000553</c:v>
                </c:pt>
                <c:pt idx="21">
                  <c:v>18.819999999992433</c:v>
                </c:pt>
                <c:pt idx="22">
                  <c:v>20.030000000006112</c:v>
                </c:pt>
                <c:pt idx="23">
                  <c:v>20.359999999989668</c:v>
                </c:pt>
                <c:pt idx="24">
                  <c:v>20.820000000010623</c:v>
                </c:pt>
                <c:pt idx="25">
                  <c:v>12.859999999989668</c:v>
                </c:pt>
                <c:pt idx="26">
                  <c:v>20.059999999997672</c:v>
                </c:pt>
                <c:pt idx="27">
                  <c:v>20.140000000006694</c:v>
                </c:pt>
                <c:pt idx="28">
                  <c:v>19.009999999998399</c:v>
                </c:pt>
                <c:pt idx="29">
                  <c:v>18.499999999996362</c:v>
                </c:pt>
                <c:pt idx="30">
                  <c:v>20.909999999999854</c:v>
                </c:pt>
                <c:pt idx="31">
                  <c:v>46.180000000003929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2149376"/>
        <c:axId val="172921216"/>
      </c:lineChart>
      <c:catAx>
        <c:axId val="17214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21216"/>
        <c:crosses val="autoZero"/>
        <c:auto val="1"/>
        <c:lblAlgn val="ctr"/>
        <c:lblOffset val="100"/>
        <c:noMultiLvlLbl val="0"/>
      </c:catAx>
      <c:valAx>
        <c:axId val="172921216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4937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392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198</c:v>
                </c:pt>
                <c:pt idx="1">
                  <c:v>167</c:v>
                </c:pt>
                <c:pt idx="2">
                  <c:v>222</c:v>
                </c:pt>
                <c:pt idx="3">
                  <c:v>290</c:v>
                </c:pt>
                <c:pt idx="4">
                  <c:v>200</c:v>
                </c:pt>
                <c:pt idx="5">
                  <c:v>250</c:v>
                </c:pt>
                <c:pt idx="6">
                  <c:v>251</c:v>
                </c:pt>
                <c:pt idx="7">
                  <c:v>217</c:v>
                </c:pt>
                <c:pt idx="8">
                  <c:v>270</c:v>
                </c:pt>
                <c:pt idx="9">
                  <c:v>270</c:v>
                </c:pt>
                <c:pt idx="10">
                  <c:v>221</c:v>
                </c:pt>
                <c:pt idx="11">
                  <c:v>254</c:v>
                </c:pt>
                <c:pt idx="12">
                  <c:v>170</c:v>
                </c:pt>
                <c:pt idx="13">
                  <c:v>-388</c:v>
                </c:pt>
                <c:pt idx="14">
                  <c:v>250</c:v>
                </c:pt>
                <c:pt idx="15">
                  <c:v>230</c:v>
                </c:pt>
                <c:pt idx="16">
                  <c:v>283</c:v>
                </c:pt>
                <c:pt idx="17">
                  <c:v>232</c:v>
                </c:pt>
                <c:pt idx="18">
                  <c:v>212</c:v>
                </c:pt>
                <c:pt idx="19">
                  <c:v>253</c:v>
                </c:pt>
                <c:pt idx="20">
                  <c:v>263</c:v>
                </c:pt>
                <c:pt idx="21">
                  <c:v>243</c:v>
                </c:pt>
                <c:pt idx="22">
                  <c:v>182</c:v>
                </c:pt>
                <c:pt idx="23">
                  <c:v>233</c:v>
                </c:pt>
                <c:pt idx="24">
                  <c:v>210</c:v>
                </c:pt>
                <c:pt idx="25">
                  <c:v>212</c:v>
                </c:pt>
                <c:pt idx="26">
                  <c:v>208</c:v>
                </c:pt>
                <c:pt idx="27">
                  <c:v>188</c:v>
                </c:pt>
                <c:pt idx="28">
                  <c:v>206</c:v>
                </c:pt>
                <c:pt idx="29">
                  <c:v>228</c:v>
                </c:pt>
                <c:pt idx="30">
                  <c:v>350</c:v>
                </c:pt>
                <c:pt idx="31">
                  <c:v>6575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52462464"/>
        <c:axId val="152464000"/>
      </c:lineChart>
      <c:catAx>
        <c:axId val="15246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64000"/>
        <c:crosses val="autoZero"/>
        <c:auto val="1"/>
        <c:lblAlgn val="ctr"/>
        <c:lblOffset val="100"/>
        <c:noMultiLvlLbl val="0"/>
      </c:catAx>
      <c:valAx>
        <c:axId val="15246400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6246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4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962.59000000008382</c:v>
                </c:pt>
                <c:pt idx="1">
                  <c:v>989.68999999994412</c:v>
                </c:pt>
                <c:pt idx="2">
                  <c:v>1015.8000000000466</c:v>
                </c:pt>
                <c:pt idx="3">
                  <c:v>997.51000000000931</c:v>
                </c:pt>
                <c:pt idx="4">
                  <c:v>1007</c:v>
                </c:pt>
                <c:pt idx="5">
                  <c:v>1051</c:v>
                </c:pt>
                <c:pt idx="6">
                  <c:v>1082</c:v>
                </c:pt>
                <c:pt idx="7">
                  <c:v>1146</c:v>
                </c:pt>
                <c:pt idx="8">
                  <c:v>1023.5200000000186</c:v>
                </c:pt>
                <c:pt idx="9">
                  <c:v>992.04000000003725</c:v>
                </c:pt>
                <c:pt idx="10">
                  <c:v>944.76000000000931</c:v>
                </c:pt>
                <c:pt idx="11">
                  <c:v>1027.1899999999441</c:v>
                </c:pt>
                <c:pt idx="12">
                  <c:v>1143.7299999999814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1000.0000000002328</c:v>
                </c:pt>
                <c:pt idx="29">
                  <c:v>1000</c:v>
                </c:pt>
                <c:pt idx="30">
                  <c:v>1000</c:v>
                </c:pt>
                <c:pt idx="31">
                  <c:v>31382.830000000307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32128"/>
        <c:axId val="173642112"/>
      </c:lineChart>
      <c:catAx>
        <c:axId val="17363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42112"/>
        <c:crosses val="autoZero"/>
        <c:auto val="1"/>
        <c:lblAlgn val="ctr"/>
        <c:lblOffset val="100"/>
        <c:noMultiLvlLbl val="0"/>
      </c:catAx>
      <c:valAx>
        <c:axId val="17364211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3212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563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2995.1199999999371</c:v>
                </c:pt>
                <c:pt idx="1">
                  <c:v>2959.1199999999953</c:v>
                </c:pt>
                <c:pt idx="2">
                  <c:v>3008.2399999999907</c:v>
                </c:pt>
                <c:pt idx="3">
                  <c:v>3012.9300000000512</c:v>
                </c:pt>
                <c:pt idx="4">
                  <c:v>3006</c:v>
                </c:pt>
                <c:pt idx="5">
                  <c:v>2882</c:v>
                </c:pt>
                <c:pt idx="6">
                  <c:v>2980</c:v>
                </c:pt>
                <c:pt idx="7">
                  <c:v>3003</c:v>
                </c:pt>
                <c:pt idx="8">
                  <c:v>3026.1500000000233</c:v>
                </c:pt>
                <c:pt idx="9">
                  <c:v>2907.9599999999627</c:v>
                </c:pt>
                <c:pt idx="10">
                  <c:v>2848.8000000000466</c:v>
                </c:pt>
                <c:pt idx="11">
                  <c:v>2839.7999999999302</c:v>
                </c:pt>
                <c:pt idx="12">
                  <c:v>2983.359999999986</c:v>
                </c:pt>
                <c:pt idx="13">
                  <c:v>-87156.069999999949</c:v>
                </c:pt>
                <c:pt idx="14">
                  <c:v>3010</c:v>
                </c:pt>
                <c:pt idx="15">
                  <c:v>3099</c:v>
                </c:pt>
                <c:pt idx="16">
                  <c:v>3142</c:v>
                </c:pt>
                <c:pt idx="17">
                  <c:v>3158</c:v>
                </c:pt>
                <c:pt idx="18">
                  <c:v>3175</c:v>
                </c:pt>
                <c:pt idx="19">
                  <c:v>3213</c:v>
                </c:pt>
                <c:pt idx="20">
                  <c:v>3123.9099999999744</c:v>
                </c:pt>
                <c:pt idx="21">
                  <c:v>3040.2400000000489</c:v>
                </c:pt>
                <c:pt idx="22">
                  <c:v>3028.1199999999953</c:v>
                </c:pt>
                <c:pt idx="23">
                  <c:v>2993.4400000000023</c:v>
                </c:pt>
                <c:pt idx="24">
                  <c:v>2960.1599999999744</c:v>
                </c:pt>
                <c:pt idx="25">
                  <c:v>3027.320000000007</c:v>
                </c:pt>
                <c:pt idx="26">
                  <c:v>2936.4799999999814</c:v>
                </c:pt>
                <c:pt idx="27">
                  <c:v>2949.1199999999953</c:v>
                </c:pt>
                <c:pt idx="28">
                  <c:v>2907.1600000000326</c:v>
                </c:pt>
                <c:pt idx="29">
                  <c:v>2940.640000000014</c:v>
                </c:pt>
                <c:pt idx="30">
                  <c:v>3217</c:v>
                </c:pt>
                <c:pt idx="31">
                  <c:v>3217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73753856"/>
        <c:axId val="173755392"/>
      </c:lineChart>
      <c:catAx>
        <c:axId val="17375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55392"/>
        <c:crosses val="autoZero"/>
        <c:auto val="1"/>
        <c:lblAlgn val="ctr"/>
        <c:lblOffset val="100"/>
        <c:noMultiLvlLbl val="0"/>
      </c:catAx>
      <c:valAx>
        <c:axId val="17375539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5385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4.9999999988358468E-2</c:v>
                </c:pt>
                <c:pt idx="9">
                  <c:v>0</c:v>
                </c:pt>
                <c:pt idx="10">
                  <c:v>0</c:v>
                </c:pt>
                <c:pt idx="11">
                  <c:v>-4.9999999988358468E-2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-0.95000000001164153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76256"/>
        <c:axId val="173798528"/>
      </c:lineChart>
      <c:catAx>
        <c:axId val="17377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98528"/>
        <c:crosses val="autoZero"/>
        <c:auto val="1"/>
        <c:lblAlgn val="ctr"/>
        <c:lblOffset val="100"/>
        <c:noMultiLvlLbl val="0"/>
      </c:catAx>
      <c:valAx>
        <c:axId val="17379852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762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0.88</c:v>
                </c:pt>
                <c:pt idx="1">
                  <c:v>0.98</c:v>
                </c:pt>
                <c:pt idx="2">
                  <c:v>0.98</c:v>
                </c:pt>
                <c:pt idx="3">
                  <c:v>0.53</c:v>
                </c:pt>
                <c:pt idx="4">
                  <c:v>0.63</c:v>
                </c:pt>
                <c:pt idx="5">
                  <c:v>0.6</c:v>
                </c:pt>
                <c:pt idx="6">
                  <c:v>0.6</c:v>
                </c:pt>
                <c:pt idx="7">
                  <c:v>0.98</c:v>
                </c:pt>
                <c:pt idx="8">
                  <c:v>0.65</c:v>
                </c:pt>
                <c:pt idx="9">
                  <c:v>0.91</c:v>
                </c:pt>
                <c:pt idx="10">
                  <c:v>0.72</c:v>
                </c:pt>
                <c:pt idx="11">
                  <c:v>0.6</c:v>
                </c:pt>
                <c:pt idx="12">
                  <c:v>0.66</c:v>
                </c:pt>
                <c:pt idx="13">
                  <c:v>0.56999999999999995</c:v>
                </c:pt>
                <c:pt idx="14">
                  <c:v>0.6</c:v>
                </c:pt>
                <c:pt idx="15">
                  <c:v>0.6</c:v>
                </c:pt>
                <c:pt idx="16">
                  <c:v>0.91</c:v>
                </c:pt>
                <c:pt idx="17">
                  <c:v>0.98</c:v>
                </c:pt>
                <c:pt idx="18">
                  <c:v>0.94</c:v>
                </c:pt>
                <c:pt idx="19">
                  <c:v>0.94</c:v>
                </c:pt>
                <c:pt idx="20">
                  <c:v>0.71</c:v>
                </c:pt>
                <c:pt idx="21">
                  <c:v>0.98</c:v>
                </c:pt>
                <c:pt idx="22">
                  <c:v>0.99</c:v>
                </c:pt>
                <c:pt idx="23">
                  <c:v>1</c:v>
                </c:pt>
                <c:pt idx="24">
                  <c:v>0.98</c:v>
                </c:pt>
                <c:pt idx="25">
                  <c:v>1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0.73</c:v>
                </c:pt>
                <c:pt idx="30">
                  <c:v>31</c:v>
                </c:pt>
                <c:pt idx="31">
                  <c:v>1.7809677419354839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04320"/>
        <c:axId val="173705856"/>
      </c:lineChart>
      <c:catAx>
        <c:axId val="17370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05856"/>
        <c:crosses val="autoZero"/>
        <c:auto val="1"/>
        <c:lblAlgn val="ctr"/>
        <c:lblOffset val="100"/>
        <c:noMultiLvlLbl val="0"/>
      </c:catAx>
      <c:valAx>
        <c:axId val="173705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737043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25381.790000000037</c:v>
                </c:pt>
                <c:pt idx="1">
                  <c:v>27519.279999999912</c:v>
                </c:pt>
                <c:pt idx="2">
                  <c:v>29256.720000000088</c:v>
                </c:pt>
                <c:pt idx="3">
                  <c:v>27545.209999999963</c:v>
                </c:pt>
                <c:pt idx="4">
                  <c:v>26694</c:v>
                </c:pt>
                <c:pt idx="5">
                  <c:v>25238</c:v>
                </c:pt>
                <c:pt idx="6">
                  <c:v>28846</c:v>
                </c:pt>
                <c:pt idx="7">
                  <c:v>28583</c:v>
                </c:pt>
                <c:pt idx="8">
                  <c:v>28131.550000000047</c:v>
                </c:pt>
                <c:pt idx="9">
                  <c:v>27095.039999999921</c:v>
                </c:pt>
                <c:pt idx="10">
                  <c:v>26361.599999999977</c:v>
                </c:pt>
                <c:pt idx="11">
                  <c:v>26347.440000000061</c:v>
                </c:pt>
                <c:pt idx="12">
                  <c:v>27466.020000000019</c:v>
                </c:pt>
                <c:pt idx="13">
                  <c:v>27000</c:v>
                </c:pt>
                <c:pt idx="14">
                  <c:v>26999.999999999884</c:v>
                </c:pt>
                <c:pt idx="15">
                  <c:v>27000</c:v>
                </c:pt>
                <c:pt idx="16">
                  <c:v>27000</c:v>
                </c:pt>
                <c:pt idx="17">
                  <c:v>27000</c:v>
                </c:pt>
                <c:pt idx="18">
                  <c:v>27000</c:v>
                </c:pt>
                <c:pt idx="19">
                  <c:v>27000</c:v>
                </c:pt>
                <c:pt idx="20">
                  <c:v>27000</c:v>
                </c:pt>
                <c:pt idx="21">
                  <c:v>27000</c:v>
                </c:pt>
                <c:pt idx="22">
                  <c:v>27000</c:v>
                </c:pt>
                <c:pt idx="23">
                  <c:v>27000</c:v>
                </c:pt>
                <c:pt idx="24">
                  <c:v>27000</c:v>
                </c:pt>
                <c:pt idx="25">
                  <c:v>27000</c:v>
                </c:pt>
                <c:pt idx="26">
                  <c:v>27000</c:v>
                </c:pt>
                <c:pt idx="27">
                  <c:v>27000</c:v>
                </c:pt>
                <c:pt idx="28">
                  <c:v>27000</c:v>
                </c:pt>
                <c:pt idx="29">
                  <c:v>27000</c:v>
                </c:pt>
                <c:pt idx="30">
                  <c:v>27000</c:v>
                </c:pt>
                <c:pt idx="31">
                  <c:v>840465.64999999991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3870080"/>
        <c:axId val="173900544"/>
      </c:lineChart>
      <c:catAx>
        <c:axId val="17387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00544"/>
        <c:crosses val="autoZero"/>
        <c:auto val="1"/>
        <c:lblAlgn val="ctr"/>
        <c:lblOffset val="100"/>
        <c:noMultiLvlLbl val="0"/>
      </c:catAx>
      <c:valAx>
        <c:axId val="17390054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87008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11.420000000000073</c:v>
                </c:pt>
                <c:pt idx="1">
                  <c:v>9.6499999999996362</c:v>
                </c:pt>
                <c:pt idx="2">
                  <c:v>10.789999999999964</c:v>
                </c:pt>
                <c:pt idx="3">
                  <c:v>11.190000000000509</c:v>
                </c:pt>
                <c:pt idx="4">
                  <c:v>11.75</c:v>
                </c:pt>
                <c:pt idx="5">
                  <c:v>11.119999999999891</c:v>
                </c:pt>
                <c:pt idx="6">
                  <c:v>10.730000000000473</c:v>
                </c:pt>
                <c:pt idx="7">
                  <c:v>10.569999999999709</c:v>
                </c:pt>
                <c:pt idx="8">
                  <c:v>11.489999999999782</c:v>
                </c:pt>
                <c:pt idx="9">
                  <c:v>9.8299999999999272</c:v>
                </c:pt>
                <c:pt idx="10">
                  <c:v>9.6999999999998181</c:v>
                </c:pt>
                <c:pt idx="11">
                  <c:v>12.470000000000255</c:v>
                </c:pt>
                <c:pt idx="12">
                  <c:v>13.420000000000073</c:v>
                </c:pt>
                <c:pt idx="13">
                  <c:v>-306.78999999999996</c:v>
                </c:pt>
                <c:pt idx="14">
                  <c:v>10.880000000000109</c:v>
                </c:pt>
                <c:pt idx="15">
                  <c:v>10.609999999999673</c:v>
                </c:pt>
                <c:pt idx="16">
                  <c:v>10.390000000000327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9.6400000000003274</c:v>
                </c:pt>
                <c:pt idx="21">
                  <c:v>10.319999999999709</c:v>
                </c:pt>
                <c:pt idx="22">
                  <c:v>10.039999999999964</c:v>
                </c:pt>
                <c:pt idx="23">
                  <c:v>10.050000000000182</c:v>
                </c:pt>
                <c:pt idx="24">
                  <c:v>10.949999999999818</c:v>
                </c:pt>
                <c:pt idx="25">
                  <c:v>8.7600000000002183</c:v>
                </c:pt>
                <c:pt idx="26">
                  <c:v>9.7399999999997817</c:v>
                </c:pt>
                <c:pt idx="27">
                  <c:v>10.329999999999927</c:v>
                </c:pt>
                <c:pt idx="28">
                  <c:v>10.069999999999709</c:v>
                </c:pt>
                <c:pt idx="29">
                  <c:v>9.8800000000001091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45216"/>
        <c:axId val="173946752"/>
      </c:lineChart>
      <c:catAx>
        <c:axId val="17394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46752"/>
        <c:crosses val="autoZero"/>
        <c:auto val="1"/>
        <c:lblAlgn val="ctr"/>
        <c:lblOffset val="100"/>
        <c:noMultiLvlLbl val="0"/>
      </c:catAx>
      <c:valAx>
        <c:axId val="17394675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452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289.05000000004657</c:v>
                </c:pt>
                <c:pt idx="1">
                  <c:v>311</c:v>
                </c:pt>
                <c:pt idx="2">
                  <c:v>297</c:v>
                </c:pt>
                <c:pt idx="3">
                  <c:v>294</c:v>
                </c:pt>
                <c:pt idx="4">
                  <c:v>331</c:v>
                </c:pt>
                <c:pt idx="5">
                  <c:v>328.44999999995343</c:v>
                </c:pt>
                <c:pt idx="6">
                  <c:v>265.84000000008382</c:v>
                </c:pt>
                <c:pt idx="7">
                  <c:v>270.43999999994412</c:v>
                </c:pt>
                <c:pt idx="8">
                  <c:v>339.29000000003725</c:v>
                </c:pt>
                <c:pt idx="9">
                  <c:v>375.9100000000326</c:v>
                </c:pt>
                <c:pt idx="10">
                  <c:v>-8699.9300000000512</c:v>
                </c:pt>
                <c:pt idx="11">
                  <c:v>312</c:v>
                </c:pt>
                <c:pt idx="12">
                  <c:v>311</c:v>
                </c:pt>
                <c:pt idx="13">
                  <c:v>293.52000000001863</c:v>
                </c:pt>
                <c:pt idx="14">
                  <c:v>297.47999999998137</c:v>
                </c:pt>
                <c:pt idx="15">
                  <c:v>300</c:v>
                </c:pt>
                <c:pt idx="16">
                  <c:v>296</c:v>
                </c:pt>
                <c:pt idx="17">
                  <c:v>293.61999999999534</c:v>
                </c:pt>
                <c:pt idx="18">
                  <c:v>299.88000000000466</c:v>
                </c:pt>
                <c:pt idx="19">
                  <c:v>288.39000000001397</c:v>
                </c:pt>
                <c:pt idx="20">
                  <c:v>288.48999999999069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565.85999999995693</c:v>
                </c:pt>
                <c:pt idx="1">
                  <c:v>543.60000000000036</c:v>
                </c:pt>
                <c:pt idx="2">
                  <c:v>602</c:v>
                </c:pt>
                <c:pt idx="3">
                  <c:v>624</c:v>
                </c:pt>
                <c:pt idx="4">
                  <c:v>694</c:v>
                </c:pt>
                <c:pt idx="5">
                  <c:v>465.97000000006483</c:v>
                </c:pt>
                <c:pt idx="6">
                  <c:v>585.69999999995343</c:v>
                </c:pt>
                <c:pt idx="7">
                  <c:v>541.32000000006519</c:v>
                </c:pt>
                <c:pt idx="8">
                  <c:v>558.49999999990723</c:v>
                </c:pt>
                <c:pt idx="9">
                  <c:v>593.77999999994609</c:v>
                </c:pt>
                <c:pt idx="10">
                  <c:v>14020.370000000054</c:v>
                </c:pt>
                <c:pt idx="11">
                  <c:v>522</c:v>
                </c:pt>
                <c:pt idx="12">
                  <c:v>583</c:v>
                </c:pt>
                <c:pt idx="13">
                  <c:v>536.47999999998137</c:v>
                </c:pt>
                <c:pt idx="14">
                  <c:v>541.52000000001863</c:v>
                </c:pt>
                <c:pt idx="15">
                  <c:v>519</c:v>
                </c:pt>
                <c:pt idx="16">
                  <c:v>559</c:v>
                </c:pt>
                <c:pt idx="17">
                  <c:v>547.34999999999854</c:v>
                </c:pt>
                <c:pt idx="18">
                  <c:v>567.45000000000437</c:v>
                </c:pt>
                <c:pt idx="19">
                  <c:v>577.73999999999069</c:v>
                </c:pt>
                <c:pt idx="20">
                  <c:v>586.73000000001048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93.600000000005821</c:v>
                </c:pt>
                <c:pt idx="1">
                  <c:v>106</c:v>
                </c:pt>
                <c:pt idx="2">
                  <c:v>102</c:v>
                </c:pt>
                <c:pt idx="3">
                  <c:v>114</c:v>
                </c:pt>
                <c:pt idx="4">
                  <c:v>116</c:v>
                </c:pt>
                <c:pt idx="5">
                  <c:v>107.5</c:v>
                </c:pt>
                <c:pt idx="6">
                  <c:v>98.5</c:v>
                </c:pt>
                <c:pt idx="7">
                  <c:v>98</c:v>
                </c:pt>
                <c:pt idx="8">
                  <c:v>88</c:v>
                </c:pt>
                <c:pt idx="9">
                  <c:v>116.94000000000233</c:v>
                </c:pt>
                <c:pt idx="10">
                  <c:v>-2972.9400000000023</c:v>
                </c:pt>
                <c:pt idx="11">
                  <c:v>114</c:v>
                </c:pt>
                <c:pt idx="12">
                  <c:v>63</c:v>
                </c:pt>
                <c:pt idx="13">
                  <c:v>132</c:v>
                </c:pt>
                <c:pt idx="14">
                  <c:v>111</c:v>
                </c:pt>
                <c:pt idx="15">
                  <c:v>118</c:v>
                </c:pt>
                <c:pt idx="16">
                  <c:v>103</c:v>
                </c:pt>
                <c:pt idx="17">
                  <c:v>113.63000000000466</c:v>
                </c:pt>
                <c:pt idx="18">
                  <c:v>97.869999999995343</c:v>
                </c:pt>
                <c:pt idx="19">
                  <c:v>96.269999999989523</c:v>
                </c:pt>
                <c:pt idx="20">
                  <c:v>81.880000000004657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04640"/>
        <c:axId val="174314624"/>
      </c:lineChart>
      <c:catAx>
        <c:axId val="1743046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4314624"/>
        <c:crosses val="autoZero"/>
        <c:auto val="1"/>
        <c:lblAlgn val="ctr"/>
        <c:lblOffset val="100"/>
        <c:noMultiLvlLbl val="0"/>
      </c:catAx>
      <c:valAx>
        <c:axId val="1743146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43046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42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0.22093240255320978</c:v>
                </c:pt>
                <c:pt idx="1">
                  <c:v>7548.4200000000274</c:v>
                </c:pt>
                <c:pt idx="2">
                  <c:v>8860.9000000000233</c:v>
                </c:pt>
                <c:pt idx="3">
                  <c:v>8291.0199999999459</c:v>
                </c:pt>
                <c:pt idx="4">
                  <c:v>0</c:v>
                </c:pt>
                <c:pt idx="5">
                  <c:v>6812</c:v>
                </c:pt>
                <c:pt idx="6">
                  <c:v>9955</c:v>
                </c:pt>
                <c:pt idx="7">
                  <c:v>8461</c:v>
                </c:pt>
                <c:pt idx="8">
                  <c:v>8124.6299999999901</c:v>
                </c:pt>
                <c:pt idx="9">
                  <c:v>5749.1899999999732</c:v>
                </c:pt>
                <c:pt idx="10">
                  <c:v>6949.2699999999604</c:v>
                </c:pt>
                <c:pt idx="11">
                  <c:v>6974.600000000064</c:v>
                </c:pt>
                <c:pt idx="12">
                  <c:v>7606.6199999999953</c:v>
                </c:pt>
                <c:pt idx="13">
                  <c:v>-238602.31</c:v>
                </c:pt>
                <c:pt idx="14">
                  <c:v>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1534720"/>
        <c:axId val="101544704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1043254.65</c:v>
                </c:pt>
                <c:pt idx="14">
                  <c:v>1070254.6499999999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46240"/>
        <c:axId val="101552128"/>
      </c:lineChart>
      <c:catAx>
        <c:axId val="10153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4704"/>
        <c:crosses val="autoZero"/>
        <c:auto val="1"/>
        <c:lblAlgn val="ctr"/>
        <c:lblOffset val="100"/>
        <c:noMultiLvlLbl val="0"/>
      </c:catAx>
      <c:valAx>
        <c:axId val="10154470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34720"/>
        <c:crosses val="autoZero"/>
        <c:crossBetween val="between"/>
        <c:minorUnit val="50"/>
      </c:valAx>
      <c:catAx>
        <c:axId val="101546240"/>
        <c:scaling>
          <c:orientation val="minMax"/>
        </c:scaling>
        <c:delete val="1"/>
        <c:axPos val="b"/>
        <c:majorTickMark val="out"/>
        <c:minorTickMark val="none"/>
        <c:tickLblPos val="none"/>
        <c:crossAx val="101552128"/>
        <c:crosses val="autoZero"/>
        <c:auto val="1"/>
        <c:lblAlgn val="ctr"/>
        <c:lblOffset val="100"/>
        <c:noMultiLvlLbl val="0"/>
      </c:catAx>
      <c:valAx>
        <c:axId val="1015521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6240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05376"/>
        <c:axId val="101606912"/>
      </c:lineChart>
      <c:catAx>
        <c:axId val="10160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06912"/>
        <c:crosses val="autoZero"/>
        <c:auto val="1"/>
        <c:lblAlgn val="ctr"/>
        <c:lblOffset val="100"/>
        <c:noMultiLvlLbl val="0"/>
      </c:catAx>
      <c:valAx>
        <c:axId val="101606912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053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1043254.65</c:v>
                </c:pt>
                <c:pt idx="14">
                  <c:v>1070254.6499999999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1640064"/>
        <c:axId val="101641600"/>
      </c:lineChart>
      <c:catAx>
        <c:axId val="10164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41600"/>
        <c:crosses val="autoZero"/>
        <c:auto val="1"/>
        <c:lblAlgn val="ctr"/>
        <c:lblOffset val="100"/>
        <c:noMultiLvlLbl val="0"/>
      </c:catAx>
      <c:valAx>
        <c:axId val="101641600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400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33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134</c:v>
                </c:pt>
                <c:pt idx="1">
                  <c:v>181</c:v>
                </c:pt>
                <c:pt idx="2">
                  <c:v>182</c:v>
                </c:pt>
                <c:pt idx="3">
                  <c:v>164</c:v>
                </c:pt>
                <c:pt idx="4">
                  <c:v>0</c:v>
                </c:pt>
                <c:pt idx="5">
                  <c:v>165</c:v>
                </c:pt>
                <c:pt idx="6">
                  <c:v>185</c:v>
                </c:pt>
                <c:pt idx="7">
                  <c:v>192</c:v>
                </c:pt>
                <c:pt idx="8">
                  <c:v>179</c:v>
                </c:pt>
                <c:pt idx="9">
                  <c:v>184</c:v>
                </c:pt>
                <c:pt idx="10">
                  <c:v>163</c:v>
                </c:pt>
                <c:pt idx="11">
                  <c:v>181</c:v>
                </c:pt>
                <c:pt idx="12">
                  <c:v>158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74752"/>
        <c:axId val="101276288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1043254.65</c:v>
                </c:pt>
                <c:pt idx="14">
                  <c:v>1070254.6499999999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86272"/>
        <c:axId val="101287808"/>
      </c:lineChart>
      <c:catAx>
        <c:axId val="10127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76288"/>
        <c:crosses val="autoZero"/>
        <c:auto val="1"/>
        <c:lblAlgn val="ctr"/>
        <c:lblOffset val="100"/>
        <c:noMultiLvlLbl val="0"/>
      </c:catAx>
      <c:valAx>
        <c:axId val="101276288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74752"/>
        <c:crosses val="autoZero"/>
        <c:crossBetween val="between"/>
      </c:valAx>
      <c:catAx>
        <c:axId val="101286272"/>
        <c:scaling>
          <c:orientation val="minMax"/>
        </c:scaling>
        <c:delete val="1"/>
        <c:axPos val="b"/>
        <c:majorTickMark val="out"/>
        <c:minorTickMark val="none"/>
        <c:tickLblPos val="none"/>
        <c:crossAx val="101287808"/>
        <c:crosses val="autoZero"/>
        <c:auto val="1"/>
        <c:lblAlgn val="ctr"/>
        <c:lblOffset val="100"/>
        <c:noMultiLvlLbl val="0"/>
      </c:catAx>
      <c:valAx>
        <c:axId val="1012878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62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37</c:v>
                </c:pt>
                <c:pt idx="1">
                  <c:v>61</c:v>
                </c:pt>
                <c:pt idx="2">
                  <c:v>61</c:v>
                </c:pt>
                <c:pt idx="3">
                  <c:v>46</c:v>
                </c:pt>
                <c:pt idx="4">
                  <c:v>0</c:v>
                </c:pt>
                <c:pt idx="5">
                  <c:v>41</c:v>
                </c:pt>
                <c:pt idx="6">
                  <c:v>48</c:v>
                </c:pt>
                <c:pt idx="7">
                  <c:v>52</c:v>
                </c:pt>
                <c:pt idx="8">
                  <c:v>45</c:v>
                </c:pt>
                <c:pt idx="9">
                  <c:v>48</c:v>
                </c:pt>
                <c:pt idx="10">
                  <c:v>28</c:v>
                </c:pt>
                <c:pt idx="11">
                  <c:v>45</c:v>
                </c:pt>
                <c:pt idx="12">
                  <c:v>27</c:v>
                </c:pt>
                <c:pt idx="13">
                  <c:v>-1324</c:v>
                </c:pt>
                <c:pt idx="14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10</c:v>
                </c:pt>
                <c:pt idx="1">
                  <c:v>4</c:v>
                </c:pt>
                <c:pt idx="2">
                  <c:v>11</c:v>
                </c:pt>
                <c:pt idx="3">
                  <c:v>9</c:v>
                </c:pt>
                <c:pt idx="4">
                  <c:v>0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9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-5082</c:v>
                </c:pt>
                <c:pt idx="14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71296"/>
        <c:axId val="10167283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1043254.65</c:v>
                </c:pt>
                <c:pt idx="14">
                  <c:v>1070254.6499999999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74368"/>
        <c:axId val="101680256"/>
      </c:lineChart>
      <c:catAx>
        <c:axId val="10167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72832"/>
        <c:crosses val="autoZero"/>
        <c:auto val="1"/>
        <c:lblAlgn val="ctr"/>
        <c:lblOffset val="100"/>
        <c:noMultiLvlLbl val="0"/>
      </c:catAx>
      <c:valAx>
        <c:axId val="10167283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71296"/>
        <c:crosses val="autoZero"/>
        <c:crossBetween val="between"/>
        <c:majorUnit val="2"/>
      </c:valAx>
      <c:catAx>
        <c:axId val="101674368"/>
        <c:scaling>
          <c:orientation val="minMax"/>
        </c:scaling>
        <c:delete val="1"/>
        <c:axPos val="b"/>
        <c:majorTickMark val="out"/>
        <c:minorTickMark val="none"/>
        <c:tickLblPos val="none"/>
        <c:crossAx val="101680256"/>
        <c:crosses val="autoZero"/>
        <c:auto val="1"/>
        <c:lblAlgn val="ctr"/>
        <c:lblOffset val="100"/>
        <c:noMultiLvlLbl val="0"/>
      </c:catAx>
      <c:valAx>
        <c:axId val="10168025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7436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3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7</v>
      </c>
      <c r="D2" s="274">
        <v>2022</v>
      </c>
      <c r="E2" s="275">
        <f>(IF('Daily HLP'!H4&gt;0,'Daily HLP'!H4,0))</f>
        <v>25381.790000000037</v>
      </c>
      <c r="F2" s="276">
        <v>9</v>
      </c>
      <c r="G2" s="276">
        <f>(IF('Daily HLP'!L4&gt;0,'Daily HLP'!L4,0))</f>
        <v>962.59000000008382</v>
      </c>
      <c r="H2" s="276">
        <v>75</v>
      </c>
      <c r="I2" s="276">
        <f>(IF('Daily HLP'!O4&gt;0,'Daily HLP'!O4,0))</f>
        <v>198</v>
      </c>
      <c r="J2" s="276">
        <v>100</v>
      </c>
      <c r="K2" s="281">
        <f>Occupancy!G2</f>
        <v>115</v>
      </c>
      <c r="L2" s="275">
        <f>Occupancy!F2</f>
        <v>328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7</v>
      </c>
      <c r="D3" s="274">
        <v>2022</v>
      </c>
      <c r="E3" s="275">
        <f>(IF('Daily HLP'!H5&gt;0,'Daily HLP'!H5,0))</f>
        <v>27519.279999999912</v>
      </c>
      <c r="F3" s="276">
        <v>9</v>
      </c>
      <c r="G3" s="276">
        <f>(IF('Daily HLP'!L5&gt;0,'Daily HLP'!L5,0))</f>
        <v>989.68999999994412</v>
      </c>
      <c r="H3" s="276">
        <v>75</v>
      </c>
      <c r="I3" s="276">
        <f>(IF('Daily HLP'!O5&gt;0,'Daily HLP'!O5,0))</f>
        <v>167</v>
      </c>
      <c r="J3" s="276">
        <v>100</v>
      </c>
      <c r="K3" s="281">
        <f>Occupancy!G3</f>
        <v>135</v>
      </c>
      <c r="L3" s="275">
        <f>Occupancy!F3</f>
        <v>306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7</v>
      </c>
      <c r="D4" s="274">
        <v>2022</v>
      </c>
      <c r="E4" s="275">
        <f>(IF('Daily HLP'!H6&gt;0,'Daily HLP'!H6,0))</f>
        <v>29256.720000000088</v>
      </c>
      <c r="F4" s="276">
        <v>9</v>
      </c>
      <c r="G4" s="276">
        <f>(IF('Daily HLP'!L6&gt;0,'Daily HLP'!L6,0))</f>
        <v>1015.8000000000466</v>
      </c>
      <c r="H4" s="276">
        <v>75</v>
      </c>
      <c r="I4" s="276">
        <f>(IF('Daily HLP'!O6&gt;0,'Daily HLP'!O6,0))</f>
        <v>222</v>
      </c>
      <c r="J4" s="276">
        <v>100</v>
      </c>
      <c r="K4" s="281">
        <f>Occupancy!G4</f>
        <v>111</v>
      </c>
      <c r="L4" s="275">
        <f>Occupancy!F4</f>
        <v>248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7</v>
      </c>
      <c r="D5" s="274">
        <v>2022</v>
      </c>
      <c r="E5" s="275">
        <f>(IF('Daily HLP'!H7&gt;0,'Daily HLP'!H7,0))</f>
        <v>27545.209999999963</v>
      </c>
      <c r="F5" s="276">
        <v>9</v>
      </c>
      <c r="G5" s="276">
        <f>(IF('Daily HLP'!L7&gt;0,'Daily HLP'!L7,0))</f>
        <v>997.51000000000931</v>
      </c>
      <c r="H5" s="276">
        <v>75</v>
      </c>
      <c r="I5" s="276">
        <f>(IF('Daily HLP'!O7&gt;0,'Daily HLP'!O7,0))</f>
        <v>290</v>
      </c>
      <c r="J5" s="276">
        <v>100</v>
      </c>
      <c r="K5" s="281">
        <f>Occupancy!G5</f>
        <v>110</v>
      </c>
      <c r="L5" s="275">
        <f>Occupancy!F5</f>
        <v>296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7</v>
      </c>
      <c r="D6" s="274">
        <v>2022</v>
      </c>
      <c r="E6" s="275">
        <f>(IF('Daily HLP'!H8&gt;0,'Daily HLP'!H8,0))</f>
        <v>26694</v>
      </c>
      <c r="F6" s="276">
        <v>9</v>
      </c>
      <c r="G6" s="276">
        <f>(IF('Daily HLP'!L8&gt;0,'Daily HLP'!L8,0))</f>
        <v>1007</v>
      </c>
      <c r="H6" s="276">
        <v>75</v>
      </c>
      <c r="I6" s="276">
        <f>(IF('Daily HLP'!O8&gt;0,'Daily HLP'!O8,0))</f>
        <v>200</v>
      </c>
      <c r="J6" s="276">
        <v>100</v>
      </c>
      <c r="K6" s="281">
        <f>Occupancy!G6</f>
        <v>143</v>
      </c>
      <c r="L6" s="275">
        <f>Occupancy!F6</f>
        <v>606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7</v>
      </c>
      <c r="D7" s="274">
        <v>2022</v>
      </c>
      <c r="E7" s="275">
        <f>(IF('Daily HLP'!H9&gt;0,'Daily HLP'!H9,0))</f>
        <v>25238</v>
      </c>
      <c r="F7" s="276">
        <v>9</v>
      </c>
      <c r="G7" s="276">
        <f>(IF('Daily HLP'!L9&gt;0,'Daily HLP'!L9,0))</f>
        <v>1051</v>
      </c>
      <c r="H7" s="276">
        <v>75</v>
      </c>
      <c r="I7" s="276">
        <f>(IF('Daily HLP'!O9&gt;0,'Daily HLP'!O9,0))</f>
        <v>250</v>
      </c>
      <c r="J7" s="276">
        <v>100</v>
      </c>
      <c r="K7" s="281">
        <f>Occupancy!G7</f>
        <v>136</v>
      </c>
      <c r="L7" s="275">
        <f>Occupancy!F7</f>
        <v>331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7</v>
      </c>
      <c r="D8" s="274">
        <v>2022</v>
      </c>
      <c r="E8" s="275">
        <f>(IF('Daily HLP'!H10&gt;0,'Daily HLP'!H10,0))</f>
        <v>28846</v>
      </c>
      <c r="F8" s="276">
        <v>9</v>
      </c>
      <c r="G8" s="276">
        <f>(IF('Daily HLP'!L10&gt;0,'Daily HLP'!L10,0))</f>
        <v>1082</v>
      </c>
      <c r="H8" s="276">
        <v>75</v>
      </c>
      <c r="I8" s="276">
        <f>(IF('Daily HLP'!O10&gt;0,'Daily HLP'!O10,0))</f>
        <v>251</v>
      </c>
      <c r="J8" s="276">
        <v>100</v>
      </c>
      <c r="K8" s="281">
        <f>Occupancy!G8</f>
        <v>133</v>
      </c>
      <c r="L8" s="275">
        <f>Occupancy!F8</f>
        <v>399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7</v>
      </c>
      <c r="D9" s="274">
        <v>2022</v>
      </c>
      <c r="E9" s="275">
        <f>(IF('Daily HLP'!H11&gt;0,'Daily HLP'!H11,0))</f>
        <v>28583</v>
      </c>
      <c r="F9" s="276">
        <v>9</v>
      </c>
      <c r="G9" s="276">
        <f>(IF('Daily HLP'!L11&gt;0,'Daily HLP'!L11,0))</f>
        <v>1146</v>
      </c>
      <c r="H9" s="276">
        <v>75</v>
      </c>
      <c r="I9" s="276">
        <f>(IF('Daily HLP'!O11&gt;0,'Daily HLP'!O11,0))</f>
        <v>217</v>
      </c>
      <c r="J9" s="276">
        <v>100</v>
      </c>
      <c r="K9" s="281">
        <f>Occupancy!G9</f>
        <v>132</v>
      </c>
      <c r="L9" s="275">
        <f>Occupancy!F9</f>
        <v>429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7</v>
      </c>
      <c r="D10" s="274">
        <v>2022</v>
      </c>
      <c r="E10" s="275">
        <f>(IF('Daily HLP'!H12&gt;0,'Daily HLP'!H12,0))</f>
        <v>28131.550000000047</v>
      </c>
      <c r="F10" s="276">
        <v>9</v>
      </c>
      <c r="G10" s="276">
        <f>(IF('Daily HLP'!L12&gt;0,'Daily HLP'!L12,0))</f>
        <v>1023.5200000000186</v>
      </c>
      <c r="H10" s="276">
        <v>75</v>
      </c>
      <c r="I10" s="276">
        <f>(IF('Daily HLP'!O12&gt;0,'Daily HLP'!O12,0))</f>
        <v>270</v>
      </c>
      <c r="J10" s="276">
        <v>100</v>
      </c>
      <c r="K10" s="281">
        <f>Occupancy!G10</f>
        <v>138</v>
      </c>
      <c r="L10" s="275">
        <f>Occupancy!F10</f>
        <v>649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7</v>
      </c>
      <c r="D11" s="274">
        <v>2022</v>
      </c>
      <c r="E11" s="275">
        <f>(IF('Daily HLP'!H13&gt;0,'Daily HLP'!H13,0))</f>
        <v>27095.039999999921</v>
      </c>
      <c r="F11" s="276">
        <v>9</v>
      </c>
      <c r="G11" s="276">
        <f>(IF('Daily HLP'!L13&gt;0,'Daily HLP'!L13,0))</f>
        <v>992.04000000003725</v>
      </c>
      <c r="H11" s="276">
        <v>75</v>
      </c>
      <c r="I11" s="276">
        <f>(IF('Daily HLP'!O13&gt;0,'Daily HLP'!O13,0))</f>
        <v>270</v>
      </c>
      <c r="J11" s="276">
        <v>100</v>
      </c>
      <c r="K11" s="281">
        <f>Occupancy!G11</f>
        <v>105</v>
      </c>
      <c r="L11" s="275">
        <f>Occupancy!F11</f>
        <v>316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7</v>
      </c>
      <c r="D12" s="274">
        <v>2022</v>
      </c>
      <c r="E12" s="275">
        <f>(IF('Daily HLP'!H14&gt;0,'Daily HLP'!H14,0))</f>
        <v>26361.599999999977</v>
      </c>
      <c r="F12" s="276">
        <v>9</v>
      </c>
      <c r="G12" s="276">
        <f>(IF('Daily HLP'!L14&gt;0,'Daily HLP'!L14,0))</f>
        <v>944.76000000000931</v>
      </c>
      <c r="H12" s="276">
        <v>75</v>
      </c>
      <c r="I12" s="276">
        <f>(IF('Daily HLP'!O14&gt;0,'Daily HLP'!O14,0))</f>
        <v>221</v>
      </c>
      <c r="J12" s="276">
        <v>100</v>
      </c>
      <c r="K12" s="281">
        <f>Occupancy!G12</f>
        <v>130</v>
      </c>
      <c r="L12" s="275">
        <f>Occupancy!F12</f>
        <v>279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7</v>
      </c>
      <c r="D13" s="274">
        <v>2022</v>
      </c>
      <c r="E13" s="275">
        <f>(IF('Daily HLP'!H15&gt;0,'Daily HLP'!H15,0))</f>
        <v>26347.440000000061</v>
      </c>
      <c r="F13" s="276">
        <v>9</v>
      </c>
      <c r="G13" s="276">
        <f>(IF('Daily HLP'!L15&gt;0,'Daily HLP'!L15,0))</f>
        <v>1027.1899999999441</v>
      </c>
      <c r="H13" s="276">
        <v>75</v>
      </c>
      <c r="I13" s="276">
        <f>(IF('Daily HLP'!O15&gt;0,'Daily HLP'!O15,0))</f>
        <v>254</v>
      </c>
      <c r="J13" s="276">
        <v>100</v>
      </c>
      <c r="K13" s="281">
        <f>Occupancy!G13</f>
        <v>139</v>
      </c>
      <c r="L13" s="275">
        <f>Occupancy!F13</f>
        <v>716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7</v>
      </c>
      <c r="D14" s="274">
        <v>2022</v>
      </c>
      <c r="E14" s="275">
        <f>(IF('Daily HLP'!H16&gt;0,'Daily HLP'!H16,0))</f>
        <v>27466.020000000019</v>
      </c>
      <c r="F14" s="276">
        <v>9</v>
      </c>
      <c r="G14" s="276">
        <f>(IF('Daily HLP'!L16&gt;0,'Daily HLP'!L16,0))</f>
        <v>1143.7299999999814</v>
      </c>
      <c r="H14" s="276">
        <v>75</v>
      </c>
      <c r="I14" s="276">
        <f>(IF('Daily HLP'!O16&gt;0,'Daily HLP'!O16,0))</f>
        <v>170</v>
      </c>
      <c r="J14" s="276">
        <v>100</v>
      </c>
      <c r="K14" s="281">
        <f>Occupancy!G14</f>
        <v>139</v>
      </c>
      <c r="L14" s="275">
        <f>Occupancy!F14</f>
        <v>323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7</v>
      </c>
      <c r="D15" s="274">
        <v>2022</v>
      </c>
      <c r="E15" s="275">
        <f>(IF('Daily HLP'!H17&gt;0,'Daily HLP'!H17,0))</f>
        <v>27000</v>
      </c>
      <c r="F15" s="276">
        <v>9</v>
      </c>
      <c r="G15" s="276">
        <f>(IF('Daily HLP'!L17&gt;0,'Daily HLP'!L17,0))</f>
        <v>1000</v>
      </c>
      <c r="H15" s="276">
        <v>75</v>
      </c>
      <c r="I15" s="276">
        <f>(IF('Daily HLP'!O17&gt;0,'Daily HLP'!O17,0))</f>
        <v>0</v>
      </c>
      <c r="J15" s="276">
        <v>100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7</v>
      </c>
      <c r="D16" s="274">
        <v>2022</v>
      </c>
      <c r="E16" s="275">
        <f>(IF('Daily HLP'!H18&gt;0,'Daily HLP'!H18,0))</f>
        <v>26999.999999999884</v>
      </c>
      <c r="F16" s="276">
        <v>9</v>
      </c>
      <c r="G16" s="276">
        <f>(IF('Daily HLP'!L18&gt;0,'Daily HLP'!L18,0))</f>
        <v>1000</v>
      </c>
      <c r="H16" s="276">
        <v>75</v>
      </c>
      <c r="I16" s="276">
        <f>(IF('Daily HLP'!O18&gt;0,'Daily HLP'!O18,0))</f>
        <v>250</v>
      </c>
      <c r="J16" s="276">
        <v>100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7</v>
      </c>
      <c r="D17" s="274">
        <v>2022</v>
      </c>
      <c r="E17" s="275">
        <f>(IF('Daily HLP'!H19&gt;0,'Daily HLP'!H19,0))</f>
        <v>27000</v>
      </c>
      <c r="F17" s="276">
        <v>9</v>
      </c>
      <c r="G17" s="276">
        <f>(IF('Daily HLP'!L19&gt;0,'Daily HLP'!L19,0))</f>
        <v>1000</v>
      </c>
      <c r="H17" s="276">
        <v>75</v>
      </c>
      <c r="I17" s="276">
        <f>(IF('Daily HLP'!O19&gt;0,'Daily HLP'!O19,0))</f>
        <v>230</v>
      </c>
      <c r="J17" s="276">
        <v>100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7</v>
      </c>
      <c r="D18" s="274">
        <v>2022</v>
      </c>
      <c r="E18" s="275">
        <f>(IF('Daily HLP'!H20&gt;0,'Daily HLP'!H20,0))</f>
        <v>27000</v>
      </c>
      <c r="F18" s="276">
        <v>9</v>
      </c>
      <c r="G18" s="276">
        <f>(IF('Daily HLP'!L20&gt;0,'Daily HLP'!L20,0))</f>
        <v>1000</v>
      </c>
      <c r="H18" s="276">
        <v>75</v>
      </c>
      <c r="I18" s="276">
        <f>(IF('Daily HLP'!O20&gt;0,'Daily HLP'!O20,0))</f>
        <v>283</v>
      </c>
      <c r="J18" s="276">
        <v>100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7</v>
      </c>
      <c r="D19" s="274">
        <v>2022</v>
      </c>
      <c r="E19" s="275">
        <f>(IF('Daily HLP'!H21&gt;0,'Daily HLP'!H21,0))</f>
        <v>27000</v>
      </c>
      <c r="F19" s="276">
        <v>9</v>
      </c>
      <c r="G19" s="276">
        <f>(IF('Daily HLP'!L21&gt;0,'Daily HLP'!L21,0))</f>
        <v>1000</v>
      </c>
      <c r="H19" s="276">
        <v>75</v>
      </c>
      <c r="I19" s="276">
        <f>(IF('Daily HLP'!O21&gt;0,'Daily HLP'!O21,0))</f>
        <v>232</v>
      </c>
      <c r="J19" s="276">
        <v>100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7</v>
      </c>
      <c r="D20" s="274">
        <v>2022</v>
      </c>
      <c r="E20" s="275">
        <f>(IF('Daily HLP'!H22&gt;0,'Daily HLP'!H22,0))</f>
        <v>27000</v>
      </c>
      <c r="F20" s="276">
        <v>9</v>
      </c>
      <c r="G20" s="276">
        <f>(IF('Daily HLP'!L22&gt;0,'Daily HLP'!L22,0))</f>
        <v>1000</v>
      </c>
      <c r="H20" s="276">
        <v>75</v>
      </c>
      <c r="I20" s="276">
        <f>(IF('Daily HLP'!O22&gt;0,'Daily HLP'!O22,0))</f>
        <v>212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7</v>
      </c>
      <c r="D21" s="274">
        <v>2022</v>
      </c>
      <c r="E21" s="275">
        <f>(IF('Daily HLP'!H23&gt;0,'Daily HLP'!H23,0))</f>
        <v>27000</v>
      </c>
      <c r="F21" s="276">
        <v>9</v>
      </c>
      <c r="G21" s="276">
        <f>(IF('Daily HLP'!L23&gt;0,'Daily HLP'!L23,0))</f>
        <v>1000</v>
      </c>
      <c r="H21" s="276">
        <v>75</v>
      </c>
      <c r="I21" s="276">
        <f>(IF('Daily HLP'!O23&gt;0,'Daily HLP'!O23,0))</f>
        <v>253</v>
      </c>
      <c r="J21" s="276">
        <v>100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7</v>
      </c>
      <c r="D22" s="274">
        <v>2022</v>
      </c>
      <c r="E22" s="275">
        <f>(IF('Daily HLP'!H24&gt;0,'Daily HLP'!H24,0))</f>
        <v>27000</v>
      </c>
      <c r="F22" s="276">
        <v>9</v>
      </c>
      <c r="G22" s="276">
        <f>(IF('Daily HLP'!L24&gt;0,'Daily HLP'!L24,0))</f>
        <v>1000</v>
      </c>
      <c r="H22" s="276">
        <v>75</v>
      </c>
      <c r="I22" s="276">
        <f>(IF('Daily HLP'!O24&gt;0,'Daily HLP'!O24,0))</f>
        <v>263</v>
      </c>
      <c r="J22" s="276">
        <v>100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7</v>
      </c>
      <c r="D23" s="274">
        <v>2022</v>
      </c>
      <c r="E23" s="275">
        <f>(IF('Daily HLP'!H25&gt;0,'Daily HLP'!H25,0))</f>
        <v>27000</v>
      </c>
      <c r="F23" s="276">
        <v>9</v>
      </c>
      <c r="G23" s="276">
        <f>(IF('Daily HLP'!L25&gt;0,'Daily HLP'!L25,0))</f>
        <v>1000</v>
      </c>
      <c r="H23" s="276">
        <v>75</v>
      </c>
      <c r="I23" s="276">
        <f>(IF('Daily HLP'!O25&gt;0,'Daily HLP'!O25,0))</f>
        <v>243</v>
      </c>
      <c r="J23" s="276">
        <v>100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7</v>
      </c>
      <c r="D24" s="274">
        <v>2022</v>
      </c>
      <c r="E24" s="275">
        <f>(IF('Daily HLP'!H26&gt;0,'Daily HLP'!H26,0))</f>
        <v>27000</v>
      </c>
      <c r="F24" s="276">
        <v>9</v>
      </c>
      <c r="G24" s="276">
        <f>(IF('Daily HLP'!L26&gt;0,'Daily HLP'!L26,0))</f>
        <v>1000</v>
      </c>
      <c r="H24" s="276">
        <v>75</v>
      </c>
      <c r="I24" s="276">
        <f>(IF('Daily HLP'!O26&gt;0,'Daily HLP'!O26,0))</f>
        <v>182</v>
      </c>
      <c r="J24" s="276">
        <v>100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7</v>
      </c>
      <c r="D25" s="274">
        <v>2022</v>
      </c>
      <c r="E25" s="275">
        <f>(IF('Daily HLP'!H27&gt;0,'Daily HLP'!H27,0))</f>
        <v>27000</v>
      </c>
      <c r="F25" s="276">
        <v>9</v>
      </c>
      <c r="G25" s="276">
        <f>(IF('Daily HLP'!L27&gt;0,'Daily HLP'!L27,0))</f>
        <v>1000</v>
      </c>
      <c r="H25" s="276">
        <v>75</v>
      </c>
      <c r="I25" s="276">
        <f>(IF('Daily HLP'!O27&gt;0,'Daily HLP'!O27,0))</f>
        <v>233</v>
      </c>
      <c r="J25" s="276">
        <v>100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7</v>
      </c>
      <c r="D26" s="274">
        <v>2022</v>
      </c>
      <c r="E26" s="275">
        <f>(IF('Daily HLP'!H28&gt;0,'Daily HLP'!H28,0))</f>
        <v>27000</v>
      </c>
      <c r="F26" s="276">
        <v>9</v>
      </c>
      <c r="G26" s="276">
        <f>(IF('Daily HLP'!L28&gt;0,'Daily HLP'!L28,0))</f>
        <v>1000</v>
      </c>
      <c r="H26" s="276">
        <v>75</v>
      </c>
      <c r="I26" s="276">
        <f>(IF('Daily HLP'!O28&gt;0,'Daily HLP'!O28,0))</f>
        <v>210</v>
      </c>
      <c r="J26" s="276">
        <v>100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7</v>
      </c>
      <c r="D27" s="274">
        <v>2022</v>
      </c>
      <c r="E27" s="275">
        <f>(IF('Daily HLP'!H29&gt;0,'Daily HLP'!H29,0))</f>
        <v>27000</v>
      </c>
      <c r="F27" s="276">
        <v>9</v>
      </c>
      <c r="G27" s="276">
        <f>(IF('Daily HLP'!L29&gt;0,'Daily HLP'!L29,0))</f>
        <v>1000</v>
      </c>
      <c r="H27" s="276">
        <v>75</v>
      </c>
      <c r="I27" s="276">
        <f>(IF('Daily HLP'!O29&gt;0,'Daily HLP'!O29,0))</f>
        <v>212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7</v>
      </c>
      <c r="D28" s="274">
        <v>2022</v>
      </c>
      <c r="E28" s="275">
        <f>(IF('Daily HLP'!H30&gt;0,'Daily HLP'!H30,0))</f>
        <v>27000</v>
      </c>
      <c r="F28" s="276">
        <v>9</v>
      </c>
      <c r="G28" s="276">
        <f>(IF('Daily HLP'!L30&gt;0,'Daily HLP'!L30,0))</f>
        <v>1000</v>
      </c>
      <c r="H28" s="276">
        <v>75</v>
      </c>
      <c r="I28" s="276">
        <f>(IF('Daily HLP'!O30&gt;0,'Daily HLP'!O30,0))</f>
        <v>208</v>
      </c>
      <c r="J28" s="276">
        <v>100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7</v>
      </c>
      <c r="D29" s="274">
        <v>2022</v>
      </c>
      <c r="E29" s="275">
        <f>(IF('Daily HLP'!H31&gt;0,'Daily HLP'!H31,0))</f>
        <v>27000</v>
      </c>
      <c r="F29" s="276">
        <v>9</v>
      </c>
      <c r="G29" s="276">
        <f>(IF('Daily HLP'!L31&gt;0,'Daily HLP'!L31,0))</f>
        <v>1000</v>
      </c>
      <c r="H29" s="276">
        <v>75</v>
      </c>
      <c r="I29" s="276">
        <f>(IF('Daily HLP'!O31&gt;0,'Daily HLP'!O31,0))</f>
        <v>188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7</v>
      </c>
      <c r="D30" s="274">
        <v>2022</v>
      </c>
      <c r="E30" s="275">
        <f>(IF('Daily HLP'!H32&gt;0,'Daily HLP'!H32,0))</f>
        <v>27000</v>
      </c>
      <c r="F30" s="276">
        <v>9</v>
      </c>
      <c r="G30" s="276">
        <f>(IF('Daily HLP'!L32&gt;0,'Daily HLP'!L32,0))</f>
        <v>1000.0000000002328</v>
      </c>
      <c r="H30" s="276">
        <v>75</v>
      </c>
      <c r="I30" s="276">
        <f>(IF('Daily HLP'!O32&gt;0,'Daily HLP'!O32,0))</f>
        <v>206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7</v>
      </c>
      <c r="D31" s="274">
        <v>2022</v>
      </c>
      <c r="E31" s="275">
        <f>(IF('Daily HLP'!H33&gt;0,'Daily HLP'!H33,0))</f>
        <v>27000</v>
      </c>
      <c r="F31" s="276">
        <v>9</v>
      </c>
      <c r="G31" s="276">
        <f>(IF('Daily HLP'!L33&gt;0,'Daily HLP'!L33,0))</f>
        <v>1000</v>
      </c>
      <c r="H31" s="276">
        <v>75</v>
      </c>
      <c r="I31" s="276">
        <f>(IF('Daily HLP'!O33&gt;0,'Daily HLP'!O33,0))</f>
        <v>228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7</v>
      </c>
      <c r="D32" s="274">
        <v>2022</v>
      </c>
      <c r="E32" s="275">
        <f>(IF('Daily HLP'!H34&gt;0,'Daily HLP'!H34,0))</f>
        <v>27000</v>
      </c>
      <c r="F32" s="276">
        <v>9</v>
      </c>
      <c r="G32" s="276">
        <f>(IF('Daily HLP'!L34&gt;0,'Daily HLP'!L34,0))</f>
        <v>1000</v>
      </c>
      <c r="H32" s="276">
        <v>75</v>
      </c>
      <c r="I32" s="276">
        <f>(IF('Daily HLP'!O34&gt;0,'Daily HLP'!O34,0))</f>
        <v>350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7</v>
      </c>
      <c r="D2" s="288">
        <v>2022</v>
      </c>
      <c r="E2" s="294">
        <f>(IF('Section Load'!F5&gt;0,'Section Load'!F5,0))</f>
        <v>3496.5599999999977</v>
      </c>
      <c r="F2" s="294">
        <f>(IF('Section Load'!G5&gt;0,'Section Load'!G5,0))</f>
        <v>1693.7600000000023</v>
      </c>
      <c r="G2" s="294">
        <f>(IF('Section Load'!H5&gt;0,'Section Load'!H5,0))</f>
        <v>2196.5200000000095</v>
      </c>
      <c r="H2" s="294">
        <f>(IF('Section Load'!I5&gt;0,'Section Load'!I5,0))</f>
        <v>2995.1199999999371</v>
      </c>
      <c r="I2" s="294">
        <f>(IF('Section Load'!J5&gt;0,'Section Load'!J5,0))</f>
        <v>5528.6499999999651</v>
      </c>
      <c r="J2" s="294">
        <f>(IF('Section Load'!K5&gt;0,'Section Load'!K5,0))</f>
        <v>2932.179999999993</v>
      </c>
      <c r="K2" s="294">
        <f>(IF('Section Load'!L5&gt;0,'Section Load'!L5,0))</f>
        <v>1003.3500000000058</v>
      </c>
      <c r="L2" s="294">
        <f>(IF('Section Load'!M5&gt;0,'Section Load'!M5,0))</f>
        <v>855.11999999999534</v>
      </c>
      <c r="M2" s="294">
        <f>(IF('Section Load'!N5&gt;0,'Section Load'!N5,0))</f>
        <v>127</v>
      </c>
      <c r="N2" s="294">
        <f>(IF('Section Load'!O5&gt;0,'Section Load'!O5,0))</f>
        <v>179</v>
      </c>
      <c r="O2" s="294">
        <f>(IF('Section Load'!P5&gt;0,'Section Load'!P5,0))</f>
        <v>14.210000000000036</v>
      </c>
      <c r="P2" s="294">
        <f>(IF('Section Load'!Q5&gt;0,'Section Load'!Q5,0))</f>
        <v>205.57000000000698</v>
      </c>
      <c r="Q2" s="294">
        <f>(IF('Section Load'!R5&gt;0,'Section Load'!R5,0))</f>
        <v>72.180000000000291</v>
      </c>
      <c r="R2" s="294">
        <f>(IF('Section Load'!S5&gt;0,'Section Load'!S5,0))</f>
        <v>0</v>
      </c>
      <c r="S2" s="294">
        <f>(IF('Section Load'!T5&gt;0,'Section Load'!T5,0))</f>
        <v>41</v>
      </c>
      <c r="T2" s="294">
        <f>(IF('Section Load'!U5&gt;0,'Section Load'!U5,0))</f>
        <v>251</v>
      </c>
      <c r="U2" s="294">
        <f>(IF('Section Load'!V5&gt;0,'Section Load'!V5,0))</f>
        <v>375.35999999998603</v>
      </c>
      <c r="V2" s="294">
        <f>(IF('Section Load'!W5&gt;0,'Section Load'!W5,0))</f>
        <v>307.76000000000931</v>
      </c>
      <c r="W2" s="294">
        <f>(IF('Section Load'!X5&gt;0,'Section Load'!X5,0))</f>
        <v>26.510000000000218</v>
      </c>
      <c r="X2" s="294">
        <f>(IF('Section Load'!Y5&gt;0,'Section Load'!Y5,0))</f>
        <v>272.13999999999942</v>
      </c>
      <c r="Y2" s="294">
        <f>(IF('Section Load'!Z5&gt;0,'Section Load'!Z5,0))</f>
        <v>255</v>
      </c>
      <c r="Z2" s="294">
        <f>(IF('Section Load'!AA5&gt;0,'Section Load'!AA5,0))</f>
        <v>39.200000000011642</v>
      </c>
      <c r="AA2" s="294">
        <f>(IF('Section Load'!AB5&gt;0,'Section Load'!AB5,0))</f>
        <v>43.099999999991269</v>
      </c>
      <c r="AB2" s="294">
        <f>(IF('Section Load'!AC5&gt;0,'Section Load'!AC5,0))</f>
        <v>0</v>
      </c>
      <c r="AC2" s="294">
        <f>(IF('Section Load'!AD5&gt;0,'Section Load'!AD5,0))</f>
        <v>160.20000000000027</v>
      </c>
      <c r="AD2" s="294">
        <f>(IF('Section Load'!AE5&gt;0,'Section Load'!AE5,0))</f>
        <v>390.72999999999593</v>
      </c>
      <c r="AE2" s="294">
        <f>(IF('Section Load'!AF5&gt;0,'Section Load'!AF5,0))</f>
        <v>227.82999999999447</v>
      </c>
      <c r="AF2" s="294">
        <f>(IF('Section Load'!AG5&gt;0,'Section Load'!AG5,0))</f>
        <v>647.60000000000582</v>
      </c>
      <c r="AG2" s="294">
        <f>(IF('Section Load'!AH5&gt;0,'Section Load'!AH5,0))</f>
        <v>228.31000000000131</v>
      </c>
      <c r="AH2" s="294">
        <f>(IF('Section Load'!AI5&gt;0,'Section Load'!AI5,0))</f>
        <v>444.47000000000116</v>
      </c>
      <c r="AI2" s="294">
        <f>(IF('Section Load'!AJ5&gt;0,'Section Load'!AJ5,0))</f>
        <v>467.13999999999942</v>
      </c>
      <c r="AJ2" s="294">
        <f>(IF('Section Load'!AK5&gt;0,'Section Load'!AK5,0))</f>
        <v>300.38999999999942</v>
      </c>
      <c r="AK2" s="294">
        <f>(IF('Section Load'!AL5&gt;0,'Section Load'!AL5,0))</f>
        <v>319.08000000000175</v>
      </c>
      <c r="AL2" s="294">
        <f>(IF('Section Load'!AM5&gt;0,'Section Load'!AM5,0))</f>
        <v>739</v>
      </c>
      <c r="AM2" s="295">
        <f>(IF('Water Report'!$D$7&gt;0,'Water Report'!$D$7,0))</f>
        <v>57</v>
      </c>
      <c r="AN2" s="295">
        <f>(IF('Water Report'!$D$8&gt;0,'Water Report'!$D$8,0))</f>
        <v>95</v>
      </c>
      <c r="AO2" s="295">
        <f>(IF('Water Report'!$D$9&gt;0,'Water Report'!$D$9,0))</f>
        <v>77</v>
      </c>
      <c r="AP2" s="295">
        <f>(IF('Water Report'!$D$10&gt;0,'Water Report'!$D$10,0))</f>
        <v>10</v>
      </c>
      <c r="AQ2" s="295">
        <f>(IF('Water Report'!$D$11&gt;0,'Water Report'!$D$11,0))</f>
        <v>0</v>
      </c>
      <c r="AR2" s="295">
        <f>(IF('Water Report'!$D$13&gt;0,'Water Report'!$D$13,0))</f>
        <v>33</v>
      </c>
      <c r="AS2" s="295">
        <f>(IF('Water Report'!$D$14&gt;0,'Water Report'!$D$14,0))</f>
        <v>4</v>
      </c>
      <c r="AT2" s="295">
        <f>(IF('Water Report'!$D$15&gt;0,'Water Report'!$D$15,0))</f>
        <v>10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14</v>
      </c>
      <c r="AY2" s="301">
        <f>(IF('Water Report'!$D$22&gt;0,'Water Report'!$D$22,0))</f>
        <v>0</v>
      </c>
      <c r="AZ2" s="301">
        <f>(IF('Water Report'!$D$23&gt;0,'Water Report'!$D$23,0))</f>
        <v>9</v>
      </c>
      <c r="BA2" s="301">
        <f>(IF('Water Report'!$D$14&gt;0,'Water Report'!$D$14,0))</f>
        <v>4</v>
      </c>
      <c r="BB2" s="301">
        <f>(IF('Water Report'!$D$15&gt;0,'Water Report'!$D$15,0))</f>
        <v>10</v>
      </c>
      <c r="BC2" s="301">
        <f>(IF('Water Report'!$D$13&gt;0,'Water Report'!$D$13,0))</f>
        <v>33</v>
      </c>
      <c r="BD2" s="301">
        <f>(IF('Water Report'!$D$24&gt;0,'Water Report'!$D$24,0))</f>
        <v>198</v>
      </c>
      <c r="BE2" s="301">
        <f>(IF('Water Report'!$D$25&gt;0,'Water Report'!$D$25,0))</f>
        <v>101</v>
      </c>
      <c r="BF2" s="301">
        <f>(IF('Water Report'!$D$27&gt;0,'Water Report'!$D$27,0))</f>
        <v>56</v>
      </c>
      <c r="BG2" s="296">
        <f>(IF('Section Load'!AN5&gt;0,'Section Load'!AN5,0))</f>
        <v>962.59000000008382</v>
      </c>
      <c r="BH2" s="296">
        <f>(IF('Section Load'!AO5&gt;0,'Section Load'!AO5,0))</f>
        <v>328.31000000005588</v>
      </c>
      <c r="BI2" s="296">
        <f>(IF('Section Load'!AP5&gt;0,'Section Load'!AP5,0))</f>
        <v>0</v>
      </c>
      <c r="BJ2" s="296">
        <f>(IF('Section Load'!AQ5&gt;0,'Section Load'!AQ5,0))</f>
        <v>114.27000000001863</v>
      </c>
      <c r="BK2" s="296">
        <f>(IF('Section Load'!AR5&gt;0,'Section Load'!AR5,0))</f>
        <v>45.19999999999709</v>
      </c>
      <c r="BL2" s="296">
        <f>(IF('Section Load'!AS5&gt;0,'Section Load'!AS5,0))</f>
        <v>0</v>
      </c>
      <c r="BM2" s="296">
        <f>(IF('Section Load'!AT5&gt;0,'Section Load'!AT5,0))</f>
        <v>474.81000000001222</v>
      </c>
    </row>
    <row r="3" spans="1:65">
      <c r="A3" s="287" t="s">
        <v>268</v>
      </c>
      <c r="B3" s="288">
        <f>B2+1</f>
        <v>2</v>
      </c>
      <c r="C3" s="288">
        <v>7</v>
      </c>
      <c r="D3" s="288">
        <v>2022</v>
      </c>
      <c r="E3" s="294">
        <f>(IF('Section Load'!F6&gt;0,'Section Load'!F6,0))</f>
        <v>3433.1599999999744</v>
      </c>
      <c r="F3" s="294">
        <f>(IF('Section Load'!G6&gt;0,'Section Load'!G6,0))</f>
        <v>1662.1199999999953</v>
      </c>
      <c r="G3" s="294">
        <f>(IF('Section Load'!H6&gt;0,'Section Load'!H6,0))</f>
        <v>2286.1600000000326</v>
      </c>
      <c r="H3" s="294">
        <f>(IF('Section Load'!I6&gt;0,'Section Load'!I6,0))</f>
        <v>2959.1199999999953</v>
      </c>
      <c r="I3" s="294">
        <f>(IF('Section Load'!J6&gt;0,'Section Load'!J6,0))</f>
        <v>7548.4200000000274</v>
      </c>
      <c r="J3" s="294">
        <f>(IF('Section Load'!K6&gt;0,'Section Load'!K6,0))</f>
        <v>2976.8299999999872</v>
      </c>
      <c r="K3" s="294">
        <f>(IF('Section Load'!L6&gt;0,'Section Load'!L6,0))</f>
        <v>1101.3800000000047</v>
      </c>
      <c r="L3" s="294">
        <f>(IF('Section Load'!M6&gt;0,'Section Load'!M6,0))</f>
        <v>1059.859999999986</v>
      </c>
      <c r="M3" s="294">
        <f>(IF('Section Load'!N6&gt;0,'Section Load'!N6,0))</f>
        <v>143</v>
      </c>
      <c r="N3" s="294">
        <f>(IF('Section Load'!O6&gt;0,'Section Load'!O6,0))</f>
        <v>152</v>
      </c>
      <c r="O3" s="294">
        <f>(IF('Section Load'!P6&gt;0,'Section Load'!P6,0))</f>
        <v>14.319999999999936</v>
      </c>
      <c r="P3" s="294">
        <f>(IF('Section Load'!Q6&gt;0,'Section Load'!Q6,0))</f>
        <v>212.3799999999901</v>
      </c>
      <c r="Q3" s="294">
        <f>(IF('Section Load'!R6&gt;0,'Section Load'!R6,0))</f>
        <v>72.519999999996799</v>
      </c>
      <c r="R3" s="294">
        <f>(IF('Section Load'!S6&gt;0,'Section Load'!S6,0))</f>
        <v>0</v>
      </c>
      <c r="S3" s="294">
        <f>(IF('Section Load'!T6&gt;0,'Section Load'!T6,0))</f>
        <v>41</v>
      </c>
      <c r="T3" s="294">
        <f>(IF('Section Load'!U6&gt;0,'Section Load'!U6,0))</f>
        <v>250</v>
      </c>
      <c r="U3" s="294">
        <f>(IF('Section Load'!V6&gt;0,'Section Load'!V6,0))</f>
        <v>356.47999999998137</v>
      </c>
      <c r="V3" s="294">
        <f>(IF('Section Load'!W6&gt;0,'Section Load'!W6,0))</f>
        <v>352.95999999996275</v>
      </c>
      <c r="W3" s="294">
        <f>(IF('Section Load'!X6&gt;0,'Section Load'!X6,0))</f>
        <v>32.430000000000291</v>
      </c>
      <c r="X3" s="294">
        <f>(IF('Section Load'!Y6&gt;0,'Section Load'!Y6,0))</f>
        <v>315.05999999999767</v>
      </c>
      <c r="Y3" s="294">
        <f>(IF('Section Load'!Z6&gt;0,'Section Load'!Z6,0))</f>
        <v>271</v>
      </c>
      <c r="Z3" s="294">
        <f>(IF('Section Load'!AA6&gt;0,'Section Load'!AA6,0))</f>
        <v>34.799999999988358</v>
      </c>
      <c r="AA3" s="294">
        <f>(IF('Section Load'!AB6&gt;0,'Section Load'!AB6,0))</f>
        <v>37.30000000000291</v>
      </c>
      <c r="AB3" s="294">
        <f>(IF('Section Load'!AC6&gt;0,'Section Load'!AC6,0))</f>
        <v>0</v>
      </c>
      <c r="AC3" s="294">
        <f>(IF('Section Load'!AD6&gt;0,'Section Load'!AD6,0))</f>
        <v>141.30000000000064</v>
      </c>
      <c r="AD3" s="294">
        <f>(IF('Section Load'!AE6&gt;0,'Section Load'!AE6,0))</f>
        <v>387.47000000000116</v>
      </c>
      <c r="AE3" s="294">
        <f>(IF('Section Load'!AF6&gt;0,'Section Load'!AF6,0))</f>
        <v>265.56000000000495</v>
      </c>
      <c r="AF3" s="294">
        <f>(IF('Section Load'!AG6&gt;0,'Section Load'!AG6,0))</f>
        <v>617.17999999999302</v>
      </c>
      <c r="AG3" s="294">
        <f>(IF('Section Load'!AH6&gt;0,'Section Load'!AH6,0))</f>
        <v>234.72000000000116</v>
      </c>
      <c r="AH3" s="294">
        <f>(IF('Section Load'!AI6&gt;0,'Section Load'!AI6,0))</f>
        <v>434.27999999999884</v>
      </c>
      <c r="AI3" s="294">
        <f>(IF('Section Load'!AJ6&gt;0,'Section Load'!AJ6,0))</f>
        <v>451.26000000000204</v>
      </c>
      <c r="AJ3" s="294">
        <f>(IF('Section Load'!AK6&gt;0,'Section Load'!AK6,0))</f>
        <v>280.7599999999984</v>
      </c>
      <c r="AK3" s="294">
        <f>(IF('Section Load'!AL6&gt;0,'Section Load'!AL6,0))</f>
        <v>312.15999999999985</v>
      </c>
      <c r="AL3" s="294">
        <f>(IF('Section Load'!AM6&gt;0,'Section Load'!AM6,0))</f>
        <v>608</v>
      </c>
      <c r="AM3" s="295">
        <f>(IF('Water Report'!$E$7&gt;0,'Water Report'!$E$7,0))</f>
        <v>94</v>
      </c>
      <c r="AN3" s="295">
        <f>(IF('Water Report'!$E$8&gt;0,'Water Report'!$E$8,0))</f>
        <v>129</v>
      </c>
      <c r="AO3" s="295">
        <f>(IF('Water Report'!$E$9&gt;0,'Water Report'!$E$9,0))</f>
        <v>98</v>
      </c>
      <c r="AP3" s="295">
        <f>(IF('Water Report'!$E$10&gt;0,'Water Report'!$E$10,0))</f>
        <v>18</v>
      </c>
      <c r="AQ3" s="295">
        <f>(IF('Water Report'!$E$11&gt;0,'Water Report'!$E$11,0))</f>
        <v>0</v>
      </c>
      <c r="AR3" s="295">
        <f>(IF('Water Report'!$E$13&gt;0,'Water Report'!$E$13,0))</f>
        <v>55</v>
      </c>
      <c r="AS3" s="295">
        <f>(IF('Water Report'!$E$14&gt;0,'Water Report'!$E$14,0))</f>
        <v>6</v>
      </c>
      <c r="AT3" s="295">
        <f>(IF('Water Report'!$E$15&gt;0,'Water Report'!$E$15,0))</f>
        <v>4</v>
      </c>
      <c r="AU3" s="295">
        <f>(IF('Water Report'!$E$17&gt;0,'Water Report'!$E$17,0))</f>
        <v>38</v>
      </c>
      <c r="AV3" s="295">
        <f>(IF('Water Report'!$E$18&gt;0,'Water Report'!$E$18,0))</f>
        <v>14</v>
      </c>
      <c r="AW3" s="295">
        <f>(IF('Water Report'!$E$19&gt;0,'Water Report'!$E$19,0))</f>
        <v>12</v>
      </c>
      <c r="AX3" s="301">
        <f>(IF('Water Report'!$E$21&gt;0,'Water Report'!$E$21,0))</f>
        <v>84</v>
      </c>
      <c r="AY3" s="301">
        <f>(IF('Water Report'!$E$22&gt;0,'Water Report'!$E$22,0))</f>
        <v>0</v>
      </c>
      <c r="AZ3" s="301">
        <f>(IF('Water Report'!$E$23&gt;0,'Water Report'!$E$23,0))</f>
        <v>11</v>
      </c>
      <c r="BA3" s="301">
        <f>(IF('Water Report'!$E$14&gt;0,'Water Report'!$E$14,0))</f>
        <v>6</v>
      </c>
      <c r="BB3" s="301">
        <f>(IF('Water Report'!$E$15&gt;0,'Water Report'!$E$15,0))</f>
        <v>4</v>
      </c>
      <c r="BC3" s="301">
        <f>(IF('Water Report'!$E$13&gt;0,'Water Report'!$E$13,0))</f>
        <v>55</v>
      </c>
      <c r="BD3" s="301">
        <f>(IF('Water Report'!$E$24&gt;0,'Water Report'!$E$24,0))</f>
        <v>167</v>
      </c>
      <c r="BE3" s="301">
        <f>(IF('Water Report'!$E$25&gt;0,'Water Report'!$E$25,0))</f>
        <v>126</v>
      </c>
      <c r="BF3" s="301">
        <f>(IF('Water Report'!$E$27&gt;0,'Water Report'!$E$27,0))</f>
        <v>150</v>
      </c>
      <c r="BG3" s="296">
        <f>(IF('Section Load'!AN6&gt;0,'Section Load'!AN6,0))</f>
        <v>989.68999999994412</v>
      </c>
      <c r="BH3" s="296">
        <f>(IF('Section Load'!AO6&gt;0,'Section Load'!AO6,0))</f>
        <v>277.96999999997206</v>
      </c>
      <c r="BI3" s="296">
        <f>(IF('Section Load'!AP6&gt;0,'Section Load'!AP6,0))</f>
        <v>0</v>
      </c>
      <c r="BJ3" s="296">
        <f>(IF('Section Load'!AQ6&gt;0,'Section Load'!AQ6,0))</f>
        <v>103.60999999998603</v>
      </c>
      <c r="BK3" s="296">
        <f>(IF('Section Load'!AR6&gt;0,'Section Load'!AR6,0))</f>
        <v>43.19999999999709</v>
      </c>
      <c r="BL3" s="296">
        <f>(IF('Section Load'!AS6&gt;0,'Section Load'!AS6,0))</f>
        <v>0</v>
      </c>
      <c r="BM3" s="296">
        <f>(IF('Section Load'!AT6&gt;0,'Section Load'!AT6,0))</f>
        <v>564.90999999998894</v>
      </c>
    </row>
    <row r="4" spans="1:65">
      <c r="A4" s="287" t="s">
        <v>268</v>
      </c>
      <c r="B4" s="288">
        <f t="shared" ref="B4:B32" si="0">B3+1</f>
        <v>3</v>
      </c>
      <c r="C4" s="288">
        <v>7</v>
      </c>
      <c r="D4" s="288">
        <v>2022</v>
      </c>
      <c r="E4" s="294">
        <f>(IF('Section Load'!F7&gt;0,'Section Load'!F7,0))</f>
        <v>3612.7600000000093</v>
      </c>
      <c r="F4" s="294">
        <f>(IF('Section Load'!G7&gt;0,'Section Load'!G7,0))</f>
        <v>1570</v>
      </c>
      <c r="G4" s="294">
        <f>(IF('Section Load'!H7&gt;0,'Section Load'!H7,0))</f>
        <v>2274.1199999999953</v>
      </c>
      <c r="H4" s="294">
        <f>(IF('Section Load'!I7&gt;0,'Section Load'!I7,0))</f>
        <v>3008.2399999999907</v>
      </c>
      <c r="I4" s="294">
        <f>(IF('Section Load'!J7&gt;0,'Section Load'!J7,0))</f>
        <v>8860.9000000000233</v>
      </c>
      <c r="J4" s="294">
        <f>(IF('Section Load'!K7&gt;0,'Section Load'!K7,0))</f>
        <v>3250.9900000000198</v>
      </c>
      <c r="K4" s="294">
        <f>(IF('Section Load'!L7&gt;0,'Section Load'!L7,0))</f>
        <v>1045.2600000000093</v>
      </c>
      <c r="L4" s="294">
        <f>(IF('Section Load'!M7&gt;0,'Section Load'!M7,0))</f>
        <v>1142</v>
      </c>
      <c r="M4" s="294">
        <f>(IF('Section Load'!N7&gt;0,'Section Load'!N7,0))</f>
        <v>153</v>
      </c>
      <c r="N4" s="294">
        <f>(IF('Section Load'!O7&gt;0,'Section Load'!O7,0))</f>
        <v>153</v>
      </c>
      <c r="O4" s="294">
        <f>(IF('Section Load'!P7&gt;0,'Section Load'!P7,0))</f>
        <v>12.940000000000055</v>
      </c>
      <c r="P4" s="294">
        <f>(IF('Section Load'!Q7&gt;0,'Section Load'!Q7,0))</f>
        <v>213.60000000000582</v>
      </c>
      <c r="Q4" s="294">
        <f>(IF('Section Load'!R7&gt;0,'Section Load'!R7,0))</f>
        <v>77.900000000001455</v>
      </c>
      <c r="R4" s="294">
        <f>(IF('Section Load'!S7&gt;0,'Section Load'!S7,0))</f>
        <v>0</v>
      </c>
      <c r="S4" s="294">
        <f>(IF('Section Load'!T7&gt;0,'Section Load'!T7,0))</f>
        <v>63</v>
      </c>
      <c r="T4" s="294">
        <f>(IF('Section Load'!U7&gt;0,'Section Load'!U7,0))</f>
        <v>251</v>
      </c>
      <c r="U4" s="294">
        <f>(IF('Section Load'!V7&gt;0,'Section Load'!V7,0))</f>
        <v>392</v>
      </c>
      <c r="V4" s="294">
        <f>(IF('Section Load'!W7&gt;0,'Section Load'!W7,0))</f>
        <v>349</v>
      </c>
      <c r="W4" s="294">
        <f>(IF('Section Load'!X7&gt;0,'Section Load'!X7,0))</f>
        <v>28.280000000000655</v>
      </c>
      <c r="X4" s="294">
        <f>(IF('Section Load'!Y7&gt;0,'Section Load'!Y7,0))</f>
        <v>297.54000000000087</v>
      </c>
      <c r="Y4" s="294">
        <f>(IF('Section Load'!Z7&gt;0,'Section Load'!Z7,0))</f>
        <v>271</v>
      </c>
      <c r="Z4" s="294">
        <f>(IF('Section Load'!AA7&gt;0,'Section Load'!AA7,0))</f>
        <v>40.039999999979045</v>
      </c>
      <c r="AA4" s="294">
        <f>(IF('Section Load'!AB7&gt;0,'Section Load'!AB7,0))</f>
        <v>23.30000000000291</v>
      </c>
      <c r="AB4" s="294">
        <f>(IF('Section Load'!AC7&gt;0,'Section Load'!AC7,0))</f>
        <v>0</v>
      </c>
      <c r="AC4" s="294">
        <f>(IF('Section Load'!AD7&gt;0,'Section Load'!AD7,0))</f>
        <v>189.39999999999918</v>
      </c>
      <c r="AD4" s="294">
        <f>(IF('Section Load'!AE7&gt;0,'Section Load'!AE7,0))</f>
        <v>460.04000000000087</v>
      </c>
      <c r="AE4" s="294">
        <f>(IF('Section Load'!AF7&gt;0,'Section Load'!AF7,0))</f>
        <v>284.56999999999971</v>
      </c>
      <c r="AF4" s="294">
        <f>(IF('Section Load'!AG7&gt;0,'Section Load'!AG7,0))</f>
        <v>644.19000000000233</v>
      </c>
      <c r="AG4" s="294">
        <f>(IF('Section Load'!AH7&gt;0,'Section Load'!AH7,0))</f>
        <v>236.55999999999767</v>
      </c>
      <c r="AH4" s="294">
        <f>(IF('Section Load'!AI7&gt;0,'Section Load'!AI7,0))</f>
        <v>432.26000000000204</v>
      </c>
      <c r="AI4" s="294">
        <f>(IF('Section Load'!AJ7&gt;0,'Section Load'!AJ7,0))</f>
        <v>457.66999999999825</v>
      </c>
      <c r="AJ4" s="294">
        <f>(IF('Section Load'!AK7&gt;0,'Section Load'!AK7,0))</f>
        <v>301.70000000000073</v>
      </c>
      <c r="AK4" s="294">
        <f>(IF('Section Load'!AL7&gt;0,'Section Load'!AL7,0))</f>
        <v>312.77999999999884</v>
      </c>
      <c r="AL4" s="294">
        <f>(IF('Section Load'!AM7&gt;0,'Section Load'!AM7,0))</f>
        <v>657</v>
      </c>
      <c r="AM4" s="295">
        <f>(IF('Water Report'!$F$7&gt;0,'Water Report'!$F$7,0))</f>
        <v>116</v>
      </c>
      <c r="AN4" s="295">
        <f>(IF('Water Report'!$F$8&gt;0,'Water Report'!$F$8,0))</f>
        <v>137</v>
      </c>
      <c r="AO4" s="295">
        <f>(IF('Water Report'!$F$9&gt;0,'Water Report'!$G$9,0))</f>
        <v>97</v>
      </c>
      <c r="AP4" s="295">
        <f>(IF('Water Report'!$F$10&gt;0,'Water Report'!$F$10,0))</f>
        <v>16</v>
      </c>
      <c r="AQ4" s="295">
        <f>(IF('Water Report'!$F$11&gt;0,'Water Report'!$F$11,0))</f>
        <v>0</v>
      </c>
      <c r="AR4" s="295">
        <f>(IF('Water Report'!$F$13&gt;0,'Water Report'!$F$13,0))</f>
        <v>42</v>
      </c>
      <c r="AS4" s="295">
        <f>(IF('Water Report'!$F$14&gt;0,'Water Report'!$F$14,0))</f>
        <v>4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15</v>
      </c>
      <c r="AW4" s="295">
        <f>(IF('Water Report'!$F$19&gt;0,'Water Report'!$F$19,0))</f>
        <v>12</v>
      </c>
      <c r="AX4" s="301">
        <f>(IF('Water Report'!$F$21&gt;0,'Water Report'!$F$21,0))</f>
        <v>134</v>
      </c>
      <c r="AY4" s="301">
        <f>(IF('Water Report'!$F$22&gt;0,'Water Report'!$F$22,0))</f>
        <v>0</v>
      </c>
      <c r="AZ4" s="301">
        <f>(IF('Water Report'!$F$23&gt;0,'Water Report'!$F$23,0))</f>
        <v>11</v>
      </c>
      <c r="BA4" s="301">
        <f>(IF('Water Report'!$F$14&gt;0,'Water Report'!$F$14,0))</f>
        <v>4</v>
      </c>
      <c r="BB4" s="301">
        <f>(IF('Water Report'!$F$15&gt;0,'Water Report'!$F$15,0))</f>
        <v>9</v>
      </c>
      <c r="BC4" s="301">
        <f>(IF('Water Report'!$F$13&gt;0,'Water Report'!$F$13,0))</f>
        <v>42</v>
      </c>
      <c r="BD4" s="301">
        <f>(IF('Water Report'!$F$24&gt;0,'Water Report'!$F$24,0))</f>
        <v>222</v>
      </c>
      <c r="BE4" s="301">
        <f>(IF('Water Report'!$F$25&gt;0,'Water Report'!$F$25,0))</f>
        <v>122</v>
      </c>
      <c r="BF4" s="301">
        <f>(IF('Water Report'!$F$27&gt;0,'Water Report'!$F$27,0))</f>
        <v>187</v>
      </c>
      <c r="BG4" s="296">
        <f>(IF('Section Load'!AN7&gt;0,'Section Load'!AN7,0))</f>
        <v>1015.8000000000466</v>
      </c>
      <c r="BH4" s="296">
        <f>(IF('Section Load'!AO7&gt;0,'Section Load'!AO7,0))</f>
        <v>304.46999999997206</v>
      </c>
      <c r="BI4" s="296">
        <f>(IF('Section Load'!AP7&gt;0,'Section Load'!AP7,0))</f>
        <v>0</v>
      </c>
      <c r="BJ4" s="296">
        <f>(IF('Section Load'!AQ7&gt;0,'Section Load'!AQ7,0))</f>
        <v>110.22000000000116</v>
      </c>
      <c r="BK4" s="296">
        <f>(IF('Section Load'!AR7&gt;0,'Section Load'!AR7,0))</f>
        <v>43.80000000000291</v>
      </c>
      <c r="BL4" s="296">
        <f>(IF('Section Load'!AS7&gt;0,'Section Load'!AS7,0))</f>
        <v>0</v>
      </c>
      <c r="BM4" s="296">
        <f>(IF('Section Load'!AT7&gt;0,'Section Load'!AT7,0))</f>
        <v>557.71000000007007</v>
      </c>
    </row>
    <row r="5" spans="1:65">
      <c r="A5" s="287" t="s">
        <v>268</v>
      </c>
      <c r="B5" s="288">
        <f t="shared" si="0"/>
        <v>4</v>
      </c>
      <c r="C5" s="288">
        <v>7</v>
      </c>
      <c r="D5" s="288">
        <v>2022</v>
      </c>
      <c r="E5" s="294">
        <f>(IF('Section Load'!F8&gt;0,'Section Load'!F8,0))</f>
        <v>3635.7200000000303</v>
      </c>
      <c r="F5" s="294">
        <f>(IF('Section Load'!G8&gt;0,'Section Load'!G8,0))</f>
        <v>1599.4500000000116</v>
      </c>
      <c r="G5" s="294">
        <f>(IF('Section Load'!H8&gt;0,'Section Load'!H8,0))</f>
        <v>2193.5999999999858</v>
      </c>
      <c r="H5" s="294">
        <f>(IF('Section Load'!I8&gt;0,'Section Load'!I8,0))</f>
        <v>3012.9300000000512</v>
      </c>
      <c r="I5" s="294">
        <f>(IF('Section Load'!J8&gt;0,'Section Load'!J8,0))</f>
        <v>8291.0199999999459</v>
      </c>
      <c r="J5" s="294">
        <f>(IF('Section Load'!K8&gt;0,'Section Load'!K8,0))</f>
        <v>3076.2999999999884</v>
      </c>
      <c r="K5" s="294">
        <f>(IF('Section Load'!L8&gt;0,'Section Load'!L8,0))</f>
        <v>1581.609999999986</v>
      </c>
      <c r="L5" s="294">
        <f>(IF('Section Load'!M8&gt;0,'Section Load'!M8,0))</f>
        <v>765.79000000000815</v>
      </c>
      <c r="M5" s="294">
        <f>(IF('Section Load'!N8&gt;0,'Section Load'!N8,0))</f>
        <v>138</v>
      </c>
      <c r="N5" s="294">
        <f>(IF('Section Load'!O8&gt;0,'Section Load'!O8,0))</f>
        <v>146</v>
      </c>
      <c r="O5" s="294">
        <f>(IF('Section Load'!P8&gt;0,'Section Load'!P8,0))</f>
        <v>13.480000000000018</v>
      </c>
      <c r="P5" s="294">
        <f>(IF('Section Load'!Q8&gt;0,'Section Load'!Q8,0))</f>
        <v>197.25</v>
      </c>
      <c r="Q5" s="294">
        <f>(IF('Section Load'!R8&gt;0,'Section Load'!R8,0))</f>
        <v>75.930000000000291</v>
      </c>
      <c r="R5" s="294">
        <f>(IF('Section Load'!S8&gt;0,'Section Load'!S8,0))</f>
        <v>0</v>
      </c>
      <c r="S5" s="294">
        <f>(IF('Section Load'!T8&gt;0,'Section Load'!T8,0))</f>
        <v>56</v>
      </c>
      <c r="T5" s="294">
        <f>(IF('Section Load'!U8&gt;0,'Section Load'!U8,0))</f>
        <v>248</v>
      </c>
      <c r="U5" s="294">
        <f>(IF('Section Load'!V8&gt;0,'Section Load'!V8,0))</f>
        <v>360</v>
      </c>
      <c r="V5" s="294">
        <f>(IF('Section Load'!W8&gt;0,'Section Load'!W8,0))</f>
        <v>313</v>
      </c>
      <c r="W5" s="294">
        <f>(IF('Section Load'!X8&gt;0,'Section Load'!X8,0))</f>
        <v>31.459999999999127</v>
      </c>
      <c r="X5" s="294">
        <f>(IF('Section Load'!Y8&gt;0,'Section Load'!Y8,0))</f>
        <v>286.15000000000146</v>
      </c>
      <c r="Y5" s="294">
        <f>(IF('Section Load'!Z8&gt;0,'Section Load'!Z8,0))</f>
        <v>258</v>
      </c>
      <c r="Z5" s="294">
        <f>(IF('Section Load'!AA8&gt;0,'Section Load'!AA8,0))</f>
        <v>38.960000000020955</v>
      </c>
      <c r="AA5" s="294">
        <f>(IF('Section Load'!AB8&gt;0,'Section Load'!AB8,0))</f>
        <v>37</v>
      </c>
      <c r="AB5" s="294">
        <f>(IF('Section Load'!AC8&gt;0,'Section Load'!AC8,0))</f>
        <v>0</v>
      </c>
      <c r="AC5" s="294">
        <f>(IF('Section Load'!AD8&gt;0,'Section Load'!AD8,0))</f>
        <v>160.60000000000036</v>
      </c>
      <c r="AD5" s="294">
        <f>(IF('Section Load'!AE8&gt;0,'Section Load'!AE8,0))</f>
        <v>365.20999999999913</v>
      </c>
      <c r="AE5" s="294">
        <f>(IF('Section Load'!AF8&gt;0,'Section Load'!AF8,0))</f>
        <v>284.55999999999767</v>
      </c>
      <c r="AF5" s="294">
        <f>(IF('Section Load'!AG8&gt;0,'Section Load'!AG8,0))</f>
        <v>652.72000000000116</v>
      </c>
      <c r="AG5" s="294">
        <f>(IF('Section Load'!AH8&gt;0,'Section Load'!AH8,0))</f>
        <v>228.81000000000131</v>
      </c>
      <c r="AH5" s="294">
        <f>(IF('Section Load'!AI8&gt;0,'Section Load'!AI8,0))</f>
        <v>434.43000000000029</v>
      </c>
      <c r="AI5" s="294">
        <f>(IF('Section Load'!AJ8&gt;0,'Section Load'!AJ8,0))</f>
        <v>481.02999999999884</v>
      </c>
      <c r="AJ5" s="294">
        <f>(IF('Section Load'!AK8&gt;0,'Section Load'!AK8,0))</f>
        <v>290.27000000000044</v>
      </c>
      <c r="AK5" s="294">
        <f>(IF('Section Load'!AL8&gt;0,'Section Load'!AL8,0))</f>
        <v>313.97999999999956</v>
      </c>
      <c r="AL5" s="294">
        <f>(IF('Section Load'!AM8&gt;0,'Section Load'!AM8,0))</f>
        <v>642</v>
      </c>
      <c r="AM5" s="295">
        <f>(IF('Water Report'!$G$7&gt;0,'Water Report'!$F$7,0))</f>
        <v>116</v>
      </c>
      <c r="AN5" s="295">
        <f>(IF('Water Report'!$G$8&gt;0,'Water Report'!$F$8,0))</f>
        <v>137</v>
      </c>
      <c r="AO5" s="295">
        <f>(IF('Water Report'!$G$9&gt;0,'Water Report'!$H$9,0))</f>
        <v>97</v>
      </c>
      <c r="AP5" s="295">
        <f>(IF('Water Report'!$G$10&gt;0,'Water Report'!$G$10,0))</f>
        <v>13</v>
      </c>
      <c r="AQ5" s="295">
        <f>(IF('Water Report'!$G$11&gt;0,'Water Report'!$G$11,0))</f>
        <v>0</v>
      </c>
      <c r="AR5" s="295">
        <f>(IF('Water Report'!$G$13&gt;0,'Water Report'!$G$13,0))</f>
        <v>56</v>
      </c>
      <c r="AS5" s="295">
        <f>(IF('Water Report'!$G$14&gt;0,'Water Report'!$G$14,0))</f>
        <v>5</v>
      </c>
      <c r="AT5" s="295">
        <f>(IF('Water Report'!$G$15&gt;0,'Water Report'!$G$15,0))</f>
        <v>11</v>
      </c>
      <c r="AU5" s="295">
        <f>(IF('Water Report'!$G$17&gt;0,'Water Report'!$G$17,0))</f>
        <v>0</v>
      </c>
      <c r="AV5" s="295">
        <f>(IF('Water Report'!$G$18&gt;0,'Water Report'!$G$18,0))</f>
        <v>16</v>
      </c>
      <c r="AW5" s="295">
        <f>(IF('Water Report'!$G$19&gt;0,'Water Report'!$G$19,0))</f>
        <v>13</v>
      </c>
      <c r="AX5" s="301">
        <f>(IF('Water Report'!$G$21&gt;0,'Water Report'!$G$21,0))</f>
        <v>65</v>
      </c>
      <c r="AY5" s="301">
        <f>(IF('Water Report'!$G$22&gt;0,'Water Report'!$G$22,0))</f>
        <v>0</v>
      </c>
      <c r="AZ5" s="301">
        <f>(IF('Water Report'!$G$23&gt;0,'Water Report'!$G$23,0))</f>
        <v>7</v>
      </c>
      <c r="BA5" s="301">
        <f>(IF('Water Report'!$G$14&gt;0,'Water Report'!$G$14,0))</f>
        <v>5</v>
      </c>
      <c r="BB5" s="301">
        <f>(IF('Water Report'!$G$15&gt;0,'Water Report'!$G$15,0))</f>
        <v>11</v>
      </c>
      <c r="BC5" s="301">
        <f>(IF('Water Report'!$G$13&gt;0,'Water Report'!$G$13,0))</f>
        <v>56</v>
      </c>
      <c r="BD5" s="301">
        <f>(IF('Water Report'!$G$24&gt;0,'Water Report'!$G$24,0))</f>
        <v>290</v>
      </c>
      <c r="BE5" s="301">
        <f>(IF('Water Report'!$G$25&gt;0,'Water Report'!$G$25,0))</f>
        <v>126</v>
      </c>
      <c r="BF5" s="301">
        <f>(IF('Water Report'!$G$27&gt;0,'Water Report'!$G$27,0))</f>
        <v>128</v>
      </c>
      <c r="BG5" s="296">
        <f>(IF('Section Load'!AN8&gt;0,'Section Load'!AN8,0))</f>
        <v>997.51000000000931</v>
      </c>
      <c r="BH5" s="296">
        <f>(IF('Section Load'!AO8&gt;0,'Section Load'!AO8,0))</f>
        <v>289.05000000004657</v>
      </c>
      <c r="BI5" s="296">
        <f>(IF('Section Load'!AP8&gt;0,'Section Load'!AP8,0))</f>
        <v>0</v>
      </c>
      <c r="BJ5" s="296">
        <f>(IF('Section Load'!AQ8&gt;0,'Section Load'!AQ8,0))</f>
        <v>93.600000000005821</v>
      </c>
      <c r="BK5" s="296">
        <f>(IF('Section Load'!AR8&gt;0,'Section Load'!AR8,0))</f>
        <v>49</v>
      </c>
      <c r="BL5" s="296">
        <f>(IF('Section Load'!AS8&gt;0,'Section Load'!AS8,0))</f>
        <v>0</v>
      </c>
      <c r="BM5" s="296">
        <f>(IF('Section Load'!AT8&gt;0,'Section Load'!AT8,0))</f>
        <v>565.85999999995693</v>
      </c>
    </row>
    <row r="6" spans="1:65">
      <c r="A6" s="287" t="s">
        <v>268</v>
      </c>
      <c r="B6" s="288">
        <f t="shared" si="0"/>
        <v>5</v>
      </c>
      <c r="C6" s="288">
        <v>7</v>
      </c>
      <c r="D6" s="288">
        <v>2022</v>
      </c>
      <c r="E6" s="294">
        <f>(IF('Section Load'!F9&gt;0,'Section Load'!F9,0))</f>
        <v>3710</v>
      </c>
      <c r="F6" s="294">
        <f>(IF('Section Load'!G9&gt;0,'Section Load'!G9,0))</f>
        <v>1649.68</v>
      </c>
      <c r="G6" s="294">
        <f>(IF('Section Load'!H9&gt;0,'Section Load'!H9,0))</f>
        <v>2164.0100000000002</v>
      </c>
      <c r="H6" s="294">
        <f>(IF('Section Load'!I9&gt;0,'Section Load'!I9,0))</f>
        <v>3006</v>
      </c>
      <c r="I6" s="294">
        <f>(IF('Section Load'!J9&gt;0,'Section Load'!J9,0))</f>
        <v>7382</v>
      </c>
      <c r="J6" s="294">
        <f>(IF('Section Load'!K9&gt;0,'Section Load'!K9,0))</f>
        <v>3236</v>
      </c>
      <c r="K6" s="294">
        <f>(IF('Section Load'!L9&gt;0,'Section Load'!L9,0))</f>
        <v>569</v>
      </c>
      <c r="L6" s="294">
        <f>(IF('Section Load'!M9&gt;0,'Section Load'!M9,0))</f>
        <v>830</v>
      </c>
      <c r="M6" s="294">
        <f>(IF('Section Load'!N9&gt;0,'Section Load'!N9,0))</f>
        <v>149</v>
      </c>
      <c r="N6" s="294">
        <f>(IF('Section Load'!O9&gt;0,'Section Load'!O9,0))</f>
        <v>155</v>
      </c>
      <c r="O6" s="294">
        <f>(IF('Section Load'!P9&gt;0,'Section Load'!P9,0))</f>
        <v>14</v>
      </c>
      <c r="P6" s="294">
        <f>(IF('Section Load'!Q9&gt;0,'Section Load'!Q9,0))</f>
        <v>212</v>
      </c>
      <c r="Q6" s="294">
        <f>(IF('Section Load'!R9&gt;0,'Section Load'!R9,0))</f>
        <v>67</v>
      </c>
      <c r="R6" s="294">
        <f>(IF('Section Load'!S9&gt;0,'Section Load'!S9,0))</f>
        <v>0</v>
      </c>
      <c r="S6" s="294">
        <f>(IF('Section Load'!T9&gt;0,'Section Load'!T9,0))</f>
        <v>50</v>
      </c>
      <c r="T6" s="294">
        <f>(IF('Section Load'!U9&gt;0,'Section Load'!U9,0))</f>
        <v>240</v>
      </c>
      <c r="U6" s="294">
        <f>(IF('Section Load'!V9&gt;0,'Section Load'!V9,0))</f>
        <v>348</v>
      </c>
      <c r="V6" s="294">
        <f>(IF('Section Load'!W9&gt;0,'Section Load'!W9,0))</f>
        <v>250</v>
      </c>
      <c r="W6" s="294">
        <f>(IF('Section Load'!X9&gt;0,'Section Load'!X9,0))</f>
        <v>29</v>
      </c>
      <c r="X6" s="294">
        <f>(IF('Section Load'!Y9&gt;0,'Section Load'!Y9,0))</f>
        <v>306</v>
      </c>
      <c r="Y6" s="294">
        <f>(IF('Section Load'!Z9&gt;0,'Section Load'!Z9,0))</f>
        <v>259</v>
      </c>
      <c r="Z6" s="294">
        <f>(IF('Section Load'!AA9&gt;0,'Section Load'!AA9,0))</f>
        <v>86</v>
      </c>
      <c r="AA6" s="294">
        <f>(IF('Section Load'!AB9&gt;0,'Section Load'!AB9,0))</f>
        <v>40</v>
      </c>
      <c r="AB6" s="294">
        <f>(IF('Section Load'!AC9&gt;0,'Section Load'!AC9,0))</f>
        <v>0</v>
      </c>
      <c r="AC6" s="294">
        <f>(IF('Section Load'!AD9&gt;0,'Section Load'!AD9,0))</f>
        <v>149</v>
      </c>
      <c r="AD6" s="294">
        <f>(IF('Section Load'!AE9&gt;0,'Section Load'!AE9,0))</f>
        <v>398</v>
      </c>
      <c r="AE6" s="294">
        <f>(IF('Section Load'!AF9&gt;0,'Section Load'!AF9,0))</f>
        <v>315</v>
      </c>
      <c r="AF6" s="294">
        <f>(IF('Section Load'!AG9&gt;0,'Section Load'!AG9,0))</f>
        <v>640</v>
      </c>
      <c r="AG6" s="294">
        <f>(IF('Section Load'!AH9&gt;0,'Section Load'!AH9,0))</f>
        <v>234</v>
      </c>
      <c r="AH6" s="294">
        <f>(IF('Section Load'!AI9&gt;0,'Section Load'!AI9,0))</f>
        <v>446</v>
      </c>
      <c r="AI6" s="294">
        <f>(IF('Section Load'!AJ9&gt;0,'Section Load'!AJ9,0))</f>
        <v>469</v>
      </c>
      <c r="AJ6" s="294">
        <f>(IF('Section Load'!AK9&gt;0,'Section Load'!AK9,0))</f>
        <v>333</v>
      </c>
      <c r="AK6" s="294">
        <f>(IF('Section Load'!AL9&gt;0,'Section Load'!AL9,0))</f>
        <v>317</v>
      </c>
      <c r="AL6" s="294">
        <f>(IF('Section Load'!AM9&gt;0,'Section Load'!AM9,0))</f>
        <v>747</v>
      </c>
      <c r="AM6" s="295">
        <f>(IF('Water Report'!$H$7&gt;0,'Water Report'!$H$7,0))</f>
        <v>88</v>
      </c>
      <c r="AN6" s="295">
        <f>(IF('Water Report'!$H$8&gt;0,'Water Report'!$H$8,0))</f>
        <v>120</v>
      </c>
      <c r="AO6" s="295">
        <f>(IF('Water Report'!$H$9&gt;0,'Water Report'!$H$9,0))</f>
        <v>97</v>
      </c>
      <c r="AP6" s="295">
        <f>(IF('Water Report'!$H$10&gt;0,'Water Report'!$H$10,0))</f>
        <v>13</v>
      </c>
      <c r="AQ6" s="295">
        <f>(IF('Water Report'!$H$11&gt;0,'Water Report'!$H$11,0))</f>
        <v>0</v>
      </c>
      <c r="AR6" s="295">
        <f>(IF('Water Report'!$H$13&gt;0,'Water Report'!$H$13,0))</f>
        <v>47</v>
      </c>
      <c r="AS6" s="295">
        <f>(IF('Water Report'!$H$14&gt;0,'Water Report'!$H$14,0))</f>
        <v>4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13</v>
      </c>
      <c r="AW6" s="295">
        <f>(IF('Water Report'!$H$19&gt;0,'Water Report'!$H$19,0))</f>
        <v>12</v>
      </c>
      <c r="AX6" s="301">
        <f>(IF('Water Report'!$H$21&gt;0,'Water Report'!$H$21,0))</f>
        <v>87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4</v>
      </c>
      <c r="BB6" s="301">
        <f>(IF('Water Report'!$H$15&gt;0,'Water Report'!$H$15,0))</f>
        <v>6</v>
      </c>
      <c r="BC6" s="301">
        <f>(IF('Water Report'!$H$13&gt;0,'Water Report'!$H$13,0))</f>
        <v>47</v>
      </c>
      <c r="BD6" s="301">
        <f>(IF('Water Report'!$H$24&gt;0,'Water Report'!$H$24,0))</f>
        <v>200</v>
      </c>
      <c r="BE6" s="301">
        <f>(IF('Water Report'!$H$25&gt;0,'Water Report'!$H$25,0))</f>
        <v>120</v>
      </c>
      <c r="BF6" s="301">
        <f>(IF('Water Report'!$H$27&gt;0,'Water Report'!$H$27,0))</f>
        <v>134</v>
      </c>
      <c r="BG6" s="296">
        <f>(IF('Section Load'!AN9&gt;0,'Section Load'!AN9,0))</f>
        <v>1007</v>
      </c>
      <c r="BH6" s="296">
        <f>(IF('Section Load'!AO9&gt;0,'Section Load'!AO9,0))</f>
        <v>311</v>
      </c>
      <c r="BI6" s="296">
        <f>(IF('Section Load'!AP9&gt;0,'Section Load'!AP9,0))</f>
        <v>0</v>
      </c>
      <c r="BJ6" s="296">
        <f>(IF('Section Load'!AQ9&gt;0,'Section Load'!AQ9,0))</f>
        <v>106</v>
      </c>
      <c r="BK6" s="296">
        <f>(IF('Section Load'!AR9&gt;0,'Section Load'!AR9,0))</f>
        <v>46</v>
      </c>
      <c r="BL6" s="296">
        <f>(IF('Section Load'!AS9&gt;0,'Section Load'!AS9,0))</f>
        <v>0.3999999999996362</v>
      </c>
      <c r="BM6" s="296">
        <f>(IF('Section Load'!AT9&gt;0,'Section Load'!AT9,0))</f>
        <v>543.60000000000036</v>
      </c>
    </row>
    <row r="7" spans="1:65">
      <c r="A7" s="287" t="s">
        <v>268</v>
      </c>
      <c r="B7" s="288">
        <f t="shared" si="0"/>
        <v>6</v>
      </c>
      <c r="C7" s="288">
        <v>7</v>
      </c>
      <c r="D7" s="288">
        <v>2022</v>
      </c>
      <c r="E7" s="294">
        <f>(IF('Section Load'!F10&gt;0,'Section Load'!F10,0))</f>
        <v>3719</v>
      </c>
      <c r="F7" s="294">
        <f>(IF('Section Load'!G10&gt;0,'Section Load'!G10,0))</f>
        <v>1559</v>
      </c>
      <c r="G7" s="294">
        <f>(IF('Section Load'!H10&gt;0,'Section Load'!H10,0))</f>
        <v>2204</v>
      </c>
      <c r="H7" s="294">
        <f>(IF('Section Load'!I10&gt;0,'Section Load'!I10,0))</f>
        <v>2882</v>
      </c>
      <c r="I7" s="294">
        <f>(IF('Section Load'!J10&gt;0,'Section Load'!J10,0))</f>
        <v>6812</v>
      </c>
      <c r="J7" s="294">
        <f>(IF('Section Load'!K10&gt;0,'Section Load'!K10,0))</f>
        <v>3070</v>
      </c>
      <c r="K7" s="294">
        <f>(IF('Section Load'!L10&gt;0,'Section Load'!L10,0))</f>
        <v>1197</v>
      </c>
      <c r="L7" s="294">
        <f>(IF('Section Load'!M10&gt;0,'Section Load'!M10,0))</f>
        <v>729</v>
      </c>
      <c r="M7" s="294">
        <f>(IF('Section Load'!N10&gt;0,'Section Load'!N10,0))</f>
        <v>113</v>
      </c>
      <c r="N7" s="294">
        <f>(IF('Section Load'!O10&gt;0,'Section Load'!O10,0))</f>
        <v>179</v>
      </c>
      <c r="O7" s="294">
        <f>(IF('Section Load'!P10&gt;0,'Section Load'!P10,0))</f>
        <v>12</v>
      </c>
      <c r="P7" s="294">
        <f>(IF('Section Load'!Q10&gt;0,'Section Load'!Q10,0))</f>
        <v>195</v>
      </c>
      <c r="Q7" s="294">
        <f>(IF('Section Load'!R10&gt;0,'Section Load'!R10,0))</f>
        <v>68</v>
      </c>
      <c r="R7" s="294">
        <f>(IF('Section Load'!S10&gt;0,'Section Load'!S10,0))</f>
        <v>0</v>
      </c>
      <c r="S7" s="294">
        <f>(IF('Section Load'!T10&gt;0,'Section Load'!T10,0))</f>
        <v>41</v>
      </c>
      <c r="T7" s="294">
        <f>(IF('Section Load'!U10&gt;0,'Section Load'!U10,0))</f>
        <v>256</v>
      </c>
      <c r="U7" s="294">
        <f>(IF('Section Load'!V10&gt;0,'Section Load'!V10,0))</f>
        <v>391</v>
      </c>
      <c r="V7" s="294">
        <f>(IF('Section Load'!W10&gt;0,'Section Load'!W10,0))</f>
        <v>267</v>
      </c>
      <c r="W7" s="294">
        <f>(IF('Section Load'!X10&gt;0,'Section Load'!X10,0))</f>
        <v>35</v>
      </c>
      <c r="X7" s="294">
        <f>(IF('Section Load'!Y10&gt;0,'Section Load'!Y10,0))</f>
        <v>300</v>
      </c>
      <c r="Y7" s="294">
        <f>(IF('Section Load'!Z10&gt;0,'Section Load'!Z10,0))</f>
        <v>251</v>
      </c>
      <c r="Z7" s="294">
        <f>(IF('Section Load'!AA10&gt;0,'Section Load'!AA10,0))</f>
        <v>182</v>
      </c>
      <c r="AA7" s="294">
        <f>(IF('Section Load'!AB10&gt;0,'Section Load'!AB10,0))</f>
        <v>41</v>
      </c>
      <c r="AB7" s="294">
        <f>(IF('Section Load'!AC10&gt;0,'Section Load'!AC10,0))</f>
        <v>0</v>
      </c>
      <c r="AC7" s="294">
        <f>(IF('Section Load'!AD10&gt;0,'Section Load'!AD10,0))</f>
        <v>171</v>
      </c>
      <c r="AD7" s="294">
        <f>(IF('Section Load'!AE10&gt;0,'Section Load'!AE10,0))</f>
        <v>361</v>
      </c>
      <c r="AE7" s="294">
        <f>(IF('Section Load'!AF10&gt;0,'Section Load'!AF10,0))</f>
        <v>228</v>
      </c>
      <c r="AF7" s="294">
        <f>(IF('Section Load'!AG10&gt;0,'Section Load'!AG10,0))</f>
        <v>663</v>
      </c>
      <c r="AG7" s="294">
        <f>(IF('Section Load'!AH10&gt;0,'Section Load'!AH10,0))</f>
        <v>223</v>
      </c>
      <c r="AH7" s="294">
        <f>(IF('Section Load'!AI10&gt;0,'Section Load'!AI10,0))</f>
        <v>425</v>
      </c>
      <c r="AI7" s="294">
        <f>(IF('Section Load'!AJ10&gt;0,'Section Load'!AJ10,0))</f>
        <v>424</v>
      </c>
      <c r="AJ7" s="294">
        <f>(IF('Section Load'!AK10&gt;0,'Section Load'!AK10,0))</f>
        <v>263</v>
      </c>
      <c r="AK7" s="294">
        <f>(IF('Section Load'!AL10&gt;0,'Section Load'!AL10,0))</f>
        <v>313</v>
      </c>
      <c r="AL7" s="294">
        <f>(IF('Section Load'!AM10&gt;0,'Section Load'!AM10,0))</f>
        <v>810</v>
      </c>
      <c r="AM7" s="295">
        <f>(IF('Water Report'!$I$7&gt;0,'Water Report'!$I$7,0))</f>
        <v>106</v>
      </c>
      <c r="AN7" s="295">
        <f>(IF('Water Report'!$I$8&gt;0,'Water Report'!$I$8,0))</f>
        <v>48</v>
      </c>
      <c r="AO7" s="295">
        <f>(IF('Water Report'!$I$9&gt;0,'Water Report'!$I$9,0))</f>
        <v>97</v>
      </c>
      <c r="AP7" s="295">
        <f>(IF('Water Report'!$I$10&gt;0,'Water Report'!$I$10,0))</f>
        <v>21</v>
      </c>
      <c r="AQ7" s="295">
        <f>(IF('Water Report'!$I$11&gt;0,'Water Report'!$I$11,0))</f>
        <v>0</v>
      </c>
      <c r="AR7" s="295">
        <f>(IF('Water Report'!$I$13&gt;0,'Water Report'!$I$13,0))</f>
        <v>37</v>
      </c>
      <c r="AS7" s="295">
        <f>(IF('Water Report'!$I$14&gt;0,'Water Report'!$I$14,0))</f>
        <v>4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12</v>
      </c>
      <c r="AW7" s="295">
        <f>(IF('Water Report'!$I$19&gt;0,'Water Report'!$I$19,0))</f>
        <v>14</v>
      </c>
      <c r="AX7" s="301">
        <f>(IF('Water Report'!$I$21&gt;0,'Water Report'!$I$21,0))</f>
        <v>62</v>
      </c>
      <c r="AY7" s="301">
        <f>(IF('Water Report'!$I$22&gt;0,'Water Report'!$I$22,0))</f>
        <v>0</v>
      </c>
      <c r="AZ7" s="301">
        <f>(IF('Water Report'!$I$23&gt;0,'Water Report'!$I$23,0))</f>
        <v>0</v>
      </c>
      <c r="BA7" s="301">
        <f>(IF('Water Report'!$I$14&gt;0,'Water Report'!$I$14,0))</f>
        <v>4</v>
      </c>
      <c r="BB7" s="301">
        <f>(IF('Water Report'!$I$15&gt;0,'Water Report'!$I$15,0))</f>
        <v>6</v>
      </c>
      <c r="BC7" s="301">
        <f>(IF('Water Report'!$I$13&gt;0,'Water Report'!$I$13,0))</f>
        <v>37</v>
      </c>
      <c r="BD7" s="301">
        <f>(IF('Water Report'!$I$24&gt;0,'Water Report'!$I$24,0))</f>
        <v>250</v>
      </c>
      <c r="BE7" s="301">
        <f>(IF('Water Report'!$I$25&gt;0,'Water Report'!$I$25,0))</f>
        <v>128</v>
      </c>
      <c r="BF7" s="301">
        <f>(IF('Water Report'!$I$27&gt;0,'Water Report'!$I$27,0))</f>
        <v>99</v>
      </c>
      <c r="BG7" s="296">
        <f>(IF('Section Load'!AN10&gt;0,'Section Load'!AN10,0))</f>
        <v>1051</v>
      </c>
      <c r="BH7" s="296">
        <f>(IF('Section Load'!AO10&gt;0,'Section Load'!AO10,0))</f>
        <v>297</v>
      </c>
      <c r="BI7" s="296">
        <f>(IF('Section Load'!AP10&gt;0,'Section Load'!AP10,0))</f>
        <v>0</v>
      </c>
      <c r="BJ7" s="296">
        <f>(IF('Section Load'!AQ10&gt;0,'Section Load'!AQ10,0))</f>
        <v>102</v>
      </c>
      <c r="BK7" s="296">
        <f>(IF('Section Load'!AR10&gt;0,'Section Load'!AR10,0))</f>
        <v>50</v>
      </c>
      <c r="BL7" s="296">
        <f>(IF('Section Load'!AS10&gt;0,'Section Load'!AS10,0))</f>
        <v>0</v>
      </c>
      <c r="BM7" s="296">
        <f>(IF('Section Load'!AT10&gt;0,'Section Load'!AT10,0))</f>
        <v>602</v>
      </c>
    </row>
    <row r="8" spans="1:65">
      <c r="A8" s="287" t="s">
        <v>268</v>
      </c>
      <c r="B8" s="288">
        <f t="shared" si="0"/>
        <v>7</v>
      </c>
      <c r="C8" s="288">
        <v>7</v>
      </c>
      <c r="D8" s="288">
        <v>2022</v>
      </c>
      <c r="E8" s="294">
        <f>(IF('Section Load'!F11&gt;0,'Section Load'!F11,0))</f>
        <v>3680</v>
      </c>
      <c r="F8" s="294">
        <f>(IF('Section Load'!G11&gt;0,'Section Load'!G11,0))</f>
        <v>1541</v>
      </c>
      <c r="G8" s="294">
        <f>(IF('Section Load'!H11&gt;0,'Section Load'!H11,0))</f>
        <v>2264</v>
      </c>
      <c r="H8" s="294">
        <f>(IF('Section Load'!I11&gt;0,'Section Load'!I11,0))</f>
        <v>2980</v>
      </c>
      <c r="I8" s="294">
        <f>(IF('Section Load'!J11&gt;0,'Section Load'!J11,0))</f>
        <v>9955</v>
      </c>
      <c r="J8" s="294">
        <f>(IF('Section Load'!K11&gt;0,'Section Load'!K11,0))</f>
        <v>3226</v>
      </c>
      <c r="K8" s="294">
        <f>(IF('Section Load'!L11&gt;0,'Section Load'!L11,0))</f>
        <v>1734</v>
      </c>
      <c r="L8" s="294">
        <f>(IF('Section Load'!M11&gt;0,'Section Load'!M11,0))</f>
        <v>942</v>
      </c>
      <c r="M8" s="294">
        <f>(IF('Section Load'!N11&gt;0,'Section Load'!N11,0))</f>
        <v>118</v>
      </c>
      <c r="N8" s="294">
        <f>(IF('Section Load'!O11&gt;0,'Section Load'!O11,0))</f>
        <v>153</v>
      </c>
      <c r="O8" s="294">
        <f>(IF('Section Load'!P11&gt;0,'Section Load'!P11,0))</f>
        <v>14</v>
      </c>
      <c r="P8" s="294">
        <f>(IF('Section Load'!Q11&gt;0,'Section Load'!Q11,0))</f>
        <v>194</v>
      </c>
      <c r="Q8" s="294">
        <f>(IF('Section Load'!R11&gt;0,'Section Load'!R11,0))</f>
        <v>71</v>
      </c>
      <c r="R8" s="294">
        <f>(IF('Section Load'!S11&gt;0,'Section Load'!S11,0))</f>
        <v>0</v>
      </c>
      <c r="S8" s="294">
        <f>(IF('Section Load'!T11&gt;0,'Section Load'!T11,0))</f>
        <v>40</v>
      </c>
      <c r="T8" s="294">
        <f>(IF('Section Load'!U11&gt;0,'Section Load'!U11,0))</f>
        <v>249</v>
      </c>
      <c r="U8" s="294">
        <f>(IF('Section Load'!V11&gt;0,'Section Load'!V11,0))</f>
        <v>436</v>
      </c>
      <c r="V8" s="294">
        <f>(IF('Section Load'!W11&gt;0,'Section Load'!W11,0))</f>
        <v>289</v>
      </c>
      <c r="W8" s="294">
        <f>(IF('Section Load'!X11&gt;0,'Section Load'!X11,0))</f>
        <v>28</v>
      </c>
      <c r="X8" s="294">
        <f>(IF('Section Load'!Y11&gt;0,'Section Load'!Y11,0))</f>
        <v>327</v>
      </c>
      <c r="Y8" s="294">
        <f>(IF('Section Load'!Z11&gt;0,'Section Load'!Z11,0))</f>
        <v>274</v>
      </c>
      <c r="Z8" s="294">
        <f>(IF('Section Load'!AA11&gt;0,'Section Load'!AA11,0))</f>
        <v>162</v>
      </c>
      <c r="AA8" s="294">
        <f>(IF('Section Load'!AB11&gt;0,'Section Load'!AB11,0))</f>
        <v>45</v>
      </c>
      <c r="AB8" s="294">
        <f>(IF('Section Load'!AC11&gt;0,'Section Load'!AC11,0))</f>
        <v>0</v>
      </c>
      <c r="AC8" s="294">
        <f>(IF('Section Load'!AD11&gt;0,'Section Load'!AD11,0))</f>
        <v>168</v>
      </c>
      <c r="AD8" s="294">
        <f>(IF('Section Load'!AE11&gt;0,'Section Load'!AE11,0))</f>
        <v>412</v>
      </c>
      <c r="AE8" s="294">
        <f>(IF('Section Load'!AF11&gt;0,'Section Load'!AF11,0))</f>
        <v>289</v>
      </c>
      <c r="AF8" s="294">
        <f>(IF('Section Load'!AG11&gt;0,'Section Load'!AG11,0))</f>
        <v>647</v>
      </c>
      <c r="AG8" s="294">
        <f>(IF('Section Load'!AH11&gt;0,'Section Load'!AH11,0))</f>
        <v>231</v>
      </c>
      <c r="AH8" s="294">
        <f>(IF('Section Load'!AI11&gt;0,'Section Load'!AI11,0))</f>
        <v>407</v>
      </c>
      <c r="AI8" s="294">
        <f>(IF('Section Load'!AJ11&gt;0,'Section Load'!AJ11,0))</f>
        <v>435</v>
      </c>
      <c r="AJ8" s="294">
        <f>(IF('Section Load'!AK11&gt;0,'Section Load'!AK11,0))</f>
        <v>302</v>
      </c>
      <c r="AK8" s="294">
        <f>(IF('Section Load'!AL11&gt;0,'Section Load'!AL11,0))</f>
        <v>315</v>
      </c>
      <c r="AL8" s="294">
        <f>(IF('Section Load'!AM11&gt;0,'Section Load'!AM11,0))</f>
        <v>0</v>
      </c>
      <c r="AM8" s="295">
        <f>(IF('Water Report'!$J$7&gt;0,'Water Report'!$J$7,0))</f>
        <v>119</v>
      </c>
      <c r="AN8" s="295">
        <f>(IF('Water Report'!$J$8&gt;0,'Water Report'!$J$8,0))</f>
        <v>121</v>
      </c>
      <c r="AO8" s="295">
        <f>(IF('Water Report'!$J$9&gt;0,'Water Report'!$J$9,0))</f>
        <v>107</v>
      </c>
      <c r="AP8" s="295">
        <f>(IF('Water Report'!$J$10&gt;0,'Water Report'!$J$10,0))</f>
        <v>23</v>
      </c>
      <c r="AQ8" s="295">
        <f>(IF('Water Report'!$J$11&gt;0,'Water Report'!$J$11,0))</f>
        <v>0</v>
      </c>
      <c r="AR8" s="295">
        <f>(IF('Water Report'!$J$13&gt;0,'Water Report'!$J$13,0))</f>
        <v>42</v>
      </c>
      <c r="AS8" s="295">
        <f>(IF('Water Report'!$J$14&gt;0,'Water Report'!$J$14,0))</f>
        <v>6</v>
      </c>
      <c r="AT8" s="295">
        <f>(IF('Water Report'!$J$15&gt;0,'Water Report'!$J$15,0))</f>
        <v>7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17</v>
      </c>
      <c r="AX8" s="301">
        <f>(IF('Water Report'!$J$21&gt;0,'Water Report'!$J$21,0))</f>
        <v>85</v>
      </c>
      <c r="AY8" s="301">
        <f>(IF('Water Report'!$J$22&gt;0,'Water Report'!$J$22,0))</f>
        <v>0</v>
      </c>
      <c r="AZ8" s="301">
        <f>(IF('Water Report'!$J$23&gt;0,'Water Report'!$J$23,0))</f>
        <v>7</v>
      </c>
      <c r="BA8" s="301">
        <f>(IF('Water Report'!$J$14&gt;0,'Water Report'!$J$14,0))</f>
        <v>6</v>
      </c>
      <c r="BB8" s="301">
        <f>(IF('Water Report'!$J$15&gt;0,'Water Report'!$J$15,0))</f>
        <v>7</v>
      </c>
      <c r="BC8" s="301">
        <f>(IF('Water Report'!$J$13&gt;0,'Water Report'!$J$13,0))</f>
        <v>42</v>
      </c>
      <c r="BD8" s="301">
        <f>(IF('Water Report'!$J$24&gt;0,'Water Report'!$J$24,0))</f>
        <v>251</v>
      </c>
      <c r="BE8" s="301">
        <f>(IF('Water Report'!$J$25&gt;0,'Water Report'!$J$25,0))</f>
        <v>143</v>
      </c>
      <c r="BF8" s="301">
        <f>(IF('Water Report'!$J$27&gt;0,'Water Report'!$J$27,0))</f>
        <v>134</v>
      </c>
      <c r="BG8" s="296">
        <f>(IF('Section Load'!AN11&gt;0,'Section Load'!AN11,0))</f>
        <v>1082</v>
      </c>
      <c r="BH8" s="296">
        <f>(IF('Section Load'!AO11&gt;0,'Section Load'!AO11,0))</f>
        <v>294</v>
      </c>
      <c r="BI8" s="296">
        <f>(IF('Section Load'!AP11&gt;0,'Section Load'!AP11,0))</f>
        <v>0</v>
      </c>
      <c r="BJ8" s="296">
        <f>(IF('Section Load'!AQ11&gt;0,'Section Load'!AQ11,0))</f>
        <v>114</v>
      </c>
      <c r="BK8" s="296">
        <f>(IF('Section Load'!AR11&gt;0,'Section Load'!AR11,0))</f>
        <v>50</v>
      </c>
      <c r="BL8" s="296">
        <f>(IF('Section Load'!AS11&gt;0,'Section Load'!AS11,0))</f>
        <v>0</v>
      </c>
      <c r="BM8" s="296">
        <f>(IF('Section Load'!AT11&gt;0,'Section Load'!AT11,0))</f>
        <v>624</v>
      </c>
    </row>
    <row r="9" spans="1:65">
      <c r="A9" s="287" t="s">
        <v>268</v>
      </c>
      <c r="B9" s="288">
        <f t="shared" si="0"/>
        <v>8</v>
      </c>
      <c r="C9" s="288">
        <v>7</v>
      </c>
      <c r="D9" s="288">
        <v>2022</v>
      </c>
      <c r="E9" s="294">
        <f>(IF('Section Load'!F12&gt;0,'Section Load'!F12,0))</f>
        <v>3618</v>
      </c>
      <c r="F9" s="294">
        <f>(IF('Section Load'!G12&gt;0,'Section Load'!G12,0))</f>
        <v>1574</v>
      </c>
      <c r="G9" s="294">
        <f>(IF('Section Load'!H12&gt;0,'Section Load'!H12,0))</f>
        <v>2340</v>
      </c>
      <c r="H9" s="294">
        <f>(IF('Section Load'!I12&gt;0,'Section Load'!I12,0))</f>
        <v>3003</v>
      </c>
      <c r="I9" s="294">
        <f>(IF('Section Load'!J12&gt;0,'Section Load'!J12,0))</f>
        <v>8461</v>
      </c>
      <c r="J9" s="294">
        <f>(IF('Section Load'!K12&gt;0,'Section Load'!K12,0))</f>
        <v>3114</v>
      </c>
      <c r="K9" s="294">
        <f>(IF('Section Load'!L12&gt;0,'Section Load'!L12,0))</f>
        <v>1560</v>
      </c>
      <c r="L9" s="294">
        <f>(IF('Section Load'!M12&gt;0,'Section Load'!M12,0))</f>
        <v>1093</v>
      </c>
      <c r="M9" s="294">
        <f>(IF('Section Load'!N12&gt;0,'Section Load'!N12,0))</f>
        <v>114</v>
      </c>
      <c r="N9" s="294">
        <f>(IF('Section Load'!O12&gt;0,'Section Load'!O12,0))</f>
        <v>163</v>
      </c>
      <c r="O9" s="294">
        <f>(IF('Section Load'!P12&gt;0,'Section Load'!P12,0))</f>
        <v>15</v>
      </c>
      <c r="P9" s="294">
        <f>(IF('Section Load'!Q12&gt;0,'Section Load'!Q12,0))</f>
        <v>214</v>
      </c>
      <c r="Q9" s="294">
        <f>(IF('Section Load'!R12&gt;0,'Section Load'!R12,0))</f>
        <v>81</v>
      </c>
      <c r="R9" s="294">
        <f>(IF('Section Load'!S12&gt;0,'Section Load'!S12,0))</f>
        <v>0.43999999999959982</v>
      </c>
      <c r="S9" s="294">
        <f>(IF('Section Load'!T12&gt;0,'Section Load'!T12,0))</f>
        <v>40</v>
      </c>
      <c r="T9" s="294">
        <f>(IF('Section Load'!U12&gt;0,'Section Load'!U12,0))</f>
        <v>264</v>
      </c>
      <c r="U9" s="294">
        <f>(IF('Section Load'!V12&gt;0,'Section Load'!V12,0))</f>
        <v>429</v>
      </c>
      <c r="V9" s="294">
        <f>(IF('Section Load'!W12&gt;0,'Section Load'!W12,0))</f>
        <v>297</v>
      </c>
      <c r="W9" s="294">
        <f>(IF('Section Load'!X12&gt;0,'Section Load'!X12,0))</f>
        <v>31</v>
      </c>
      <c r="X9" s="294">
        <f>(IF('Section Load'!Y12&gt;0,'Section Load'!Y12,0))</f>
        <v>267</v>
      </c>
      <c r="Y9" s="294">
        <f>(IF('Section Load'!Z12&gt;0,'Section Load'!Z12,0))</f>
        <v>230</v>
      </c>
      <c r="Z9" s="294">
        <f>(IF('Section Load'!AA12&gt;0,'Section Load'!AA12,0))</f>
        <v>161</v>
      </c>
      <c r="AA9" s="294">
        <f>(IF('Section Load'!AB12&gt;0,'Section Load'!AB12,0))</f>
        <v>40</v>
      </c>
      <c r="AB9" s="294">
        <f>(IF('Section Load'!AC12&gt;0,'Section Load'!AC12,0))</f>
        <v>0</v>
      </c>
      <c r="AC9" s="294">
        <f>(IF('Section Load'!AD12&gt;0,'Section Load'!AD12,0))</f>
        <v>146</v>
      </c>
      <c r="AD9" s="294">
        <f>(IF('Section Load'!AE12&gt;0,'Section Load'!AE12,0))</f>
        <v>380</v>
      </c>
      <c r="AE9" s="294">
        <f>(IF('Section Load'!AF12&gt;0,'Section Load'!AF12,0))</f>
        <v>318</v>
      </c>
      <c r="AF9" s="294">
        <f>(IF('Section Load'!AG12&gt;0,'Section Load'!AG12,0))</f>
        <v>647</v>
      </c>
      <c r="AG9" s="294">
        <f>(IF('Section Load'!AH12&gt;0,'Section Load'!AH12,0))</f>
        <v>245</v>
      </c>
      <c r="AH9" s="294">
        <f>(IF('Section Load'!AI12&gt;0,'Section Load'!AI12,0))</f>
        <v>414</v>
      </c>
      <c r="AI9" s="294">
        <f>(IF('Section Load'!AJ12&gt;0,'Section Load'!AJ12,0))</f>
        <v>444</v>
      </c>
      <c r="AJ9" s="294">
        <f>(IF('Section Load'!AK12&gt;0,'Section Load'!AK12,0))</f>
        <v>311</v>
      </c>
      <c r="AK9" s="294">
        <f>(IF('Section Load'!AL12&gt;0,'Section Load'!AL12,0))</f>
        <v>320</v>
      </c>
      <c r="AL9" s="294">
        <f>(IF('Section Load'!AM12&gt;0,'Section Load'!AM12,0))</f>
        <v>0</v>
      </c>
      <c r="AM9" s="295">
        <f>(IF('Water Report'!$K$7&gt;0,'Water Report'!$K$7,0))</f>
        <v>130</v>
      </c>
      <c r="AN9" s="295">
        <f>(IF('Water Report'!$K$8&gt;0,'Water Report'!$K$8,0))</f>
        <v>75</v>
      </c>
      <c r="AO9" s="295">
        <f>(IF('Water Report'!$K$9&gt;0,'Water Report'!$K$9,0))</f>
        <v>115</v>
      </c>
      <c r="AP9" s="295">
        <f>(IF('Water Report'!$K$10&gt;0,'Water Report'!$K$10,0))</f>
        <v>19</v>
      </c>
      <c r="AQ9" s="295">
        <f>(IF('Water Report'!$K$11&gt;0,'Water Report'!$K$11,0))</f>
        <v>0</v>
      </c>
      <c r="AR9" s="295">
        <f>(IF('Water Report'!$K$13&gt;0,'Water Report'!$K$13,0))</f>
        <v>46</v>
      </c>
      <c r="AS9" s="295">
        <f>(IF('Water Report'!$K$14&gt;0,'Water Report'!$K$14,0))</f>
        <v>6</v>
      </c>
      <c r="AT9" s="295">
        <f>(IF('Water Report'!$K$15&gt;0,'Water Report'!$K$15,0))</f>
        <v>6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12</v>
      </c>
      <c r="AX9" s="301">
        <f>(IF('Water Report'!$K$21&gt;0,'Water Report'!$K$21,0))</f>
        <v>61</v>
      </c>
      <c r="AY9" s="301">
        <f>(IF('Water Report'!$K$22&gt;0,'Water Report'!$K$22,0))</f>
        <v>0</v>
      </c>
      <c r="AZ9" s="301">
        <f>(IF('Water Report'!$K$23&gt;0,'Water Report'!$K$23,0))</f>
        <v>7</v>
      </c>
      <c r="BA9" s="301">
        <f>(IF('Water Report'!$K$14&gt;0,'Water Report'!$K$14,0))</f>
        <v>6</v>
      </c>
      <c r="BB9" s="301">
        <f>(IF('Water Report'!$K$15&gt;0,'Water Report'!$K$15,0))</f>
        <v>6</v>
      </c>
      <c r="BC9" s="301">
        <f>(IF('Water Report'!$K$13&gt;0,'Water Report'!$K$13,0))</f>
        <v>46</v>
      </c>
      <c r="BD9" s="301">
        <f>(IF('Water Report'!$K$24&gt;0,'Water Report'!$K$24,0))</f>
        <v>217</v>
      </c>
      <c r="BE9" s="301">
        <f>(IF('Water Report'!$K$25&gt;0,'Water Report'!$K$25,0))</f>
        <v>146</v>
      </c>
      <c r="BF9" s="301">
        <f>(IF('Water Report'!$K$27&gt;0,'Water Report'!$K$27,0))</f>
        <v>114</v>
      </c>
      <c r="BG9" s="296">
        <f>(IF('Section Load'!AN12&gt;0,'Section Load'!AN12,0))</f>
        <v>1146</v>
      </c>
      <c r="BH9" s="296">
        <f>(IF('Section Load'!AO12&gt;0,'Section Load'!AO12,0))</f>
        <v>331</v>
      </c>
      <c r="BI9" s="296">
        <f>(IF('Section Load'!AP12&gt;0,'Section Load'!AP12,0))</f>
        <v>0</v>
      </c>
      <c r="BJ9" s="296">
        <f>(IF('Section Load'!AQ12&gt;0,'Section Load'!AQ12,0))</f>
        <v>116</v>
      </c>
      <c r="BK9" s="296">
        <f>(IF('Section Load'!AR12&gt;0,'Section Load'!AR12,0))</f>
        <v>5</v>
      </c>
      <c r="BL9" s="296">
        <f>(IF('Section Load'!AS12&gt;0,'Section Load'!AS12,0))</f>
        <v>0</v>
      </c>
      <c r="BM9" s="296">
        <f>(IF('Section Load'!AT12&gt;0,'Section Load'!AT12,0))</f>
        <v>694</v>
      </c>
    </row>
    <row r="10" spans="1:65">
      <c r="A10" s="287" t="s">
        <v>268</v>
      </c>
      <c r="B10" s="288">
        <f t="shared" si="0"/>
        <v>9</v>
      </c>
      <c r="C10" s="288">
        <v>7</v>
      </c>
      <c r="D10" s="288">
        <v>2022</v>
      </c>
      <c r="E10" s="294">
        <f>(IF('Section Load'!F13&gt;0,'Section Load'!F13,0))</f>
        <v>759.79999999998836</v>
      </c>
      <c r="F10" s="294">
        <f>(IF('Section Load'!G13&gt;0,'Section Load'!G13,0))</f>
        <v>1573.75</v>
      </c>
      <c r="G10" s="294">
        <f>(IF('Section Load'!H13&gt;0,'Section Load'!H13,0))</f>
        <v>2332.109999999986</v>
      </c>
      <c r="H10" s="294">
        <f>(IF('Section Load'!I13&gt;0,'Section Load'!I13,0))</f>
        <v>3026.1500000000233</v>
      </c>
      <c r="I10" s="294">
        <f>(IF('Section Load'!J13&gt;0,'Section Load'!J13,0))</f>
        <v>8124.6299999999901</v>
      </c>
      <c r="J10" s="294">
        <f>(IF('Section Load'!K13&gt;0,'Section Load'!K13,0))</f>
        <v>3152.4500000000116</v>
      </c>
      <c r="K10" s="294">
        <f>(IF('Section Load'!L13&gt;0,'Section Load'!L13,0))</f>
        <v>1278.6700000000128</v>
      </c>
      <c r="L10" s="294">
        <f>(IF('Section Load'!M13&gt;0,'Section Load'!M13,0))</f>
        <v>1130.1700000000128</v>
      </c>
      <c r="M10" s="294">
        <f>(IF('Section Load'!N13&gt;0,'Section Load'!N13,0))</f>
        <v>125</v>
      </c>
      <c r="N10" s="294">
        <f>(IF('Section Load'!O13&gt;0,'Section Load'!O13,0))</f>
        <v>155</v>
      </c>
      <c r="O10" s="294">
        <f>(IF('Section Load'!P13&gt;0,'Section Load'!P13,0))</f>
        <v>84</v>
      </c>
      <c r="P10" s="294">
        <f>(IF('Section Load'!Q13&gt;0,'Section Load'!Q13,0))</f>
        <v>211.7899999999936</v>
      </c>
      <c r="Q10" s="294">
        <f>(IF('Section Load'!R13&gt;0,'Section Load'!R13,0))</f>
        <v>77.80000000000291</v>
      </c>
      <c r="R10" s="294">
        <f>(IF('Section Load'!S13&gt;0,'Section Load'!S13,0))</f>
        <v>0</v>
      </c>
      <c r="S10" s="294">
        <f>(IF('Section Load'!T13&gt;0,'Section Load'!T13,0))</f>
        <v>42</v>
      </c>
      <c r="T10" s="294">
        <f>(IF('Section Load'!U13&gt;0,'Section Load'!U13,0))</f>
        <v>254</v>
      </c>
      <c r="U10" s="294">
        <f>(IF('Section Load'!V13&gt;0,'Section Load'!V13,0))</f>
        <v>399</v>
      </c>
      <c r="V10" s="294">
        <f>(IF('Section Load'!W13&gt;0,'Section Load'!W13,0))</f>
        <v>422</v>
      </c>
      <c r="W10" s="294">
        <f>(IF('Section Load'!X13&gt;0,'Section Load'!X13,0))</f>
        <v>27.319999999999709</v>
      </c>
      <c r="X10" s="294">
        <f>(IF('Section Load'!Y13&gt;0,'Section Load'!Y13,0))</f>
        <v>290.16999999999825</v>
      </c>
      <c r="Y10" s="294">
        <f>(IF('Section Load'!Z13&gt;0,'Section Load'!Z13,0))</f>
        <v>291</v>
      </c>
      <c r="Z10" s="294">
        <f>(IF('Section Load'!AA13&gt;0,'Section Load'!AA13,0))</f>
        <v>173.20000000001164</v>
      </c>
      <c r="AA10" s="294">
        <f>(IF('Section Load'!AB13&gt;0,'Section Load'!AB13,0))</f>
        <v>24</v>
      </c>
      <c r="AB10" s="294">
        <f>(IF('Section Load'!AC13&gt;0,'Section Load'!AC13,0))</f>
        <v>0</v>
      </c>
      <c r="AC10" s="294">
        <f>(IF('Section Load'!AD13&gt;0,'Section Load'!AD13,0))</f>
        <v>150.60000000000036</v>
      </c>
      <c r="AD10" s="294">
        <f>(IF('Section Load'!AE13&gt;0,'Section Load'!AE13,0))</f>
        <v>434.23999999999796</v>
      </c>
      <c r="AE10" s="294">
        <f>(IF('Section Load'!AF13&gt;0,'Section Load'!AF13,0))</f>
        <v>303.41000000000349</v>
      </c>
      <c r="AF10" s="294">
        <f>(IF('Section Load'!AG13&gt;0,'Section Load'!AG13,0))</f>
        <v>642.45999999999913</v>
      </c>
      <c r="AG10" s="294">
        <f>(IF('Section Load'!AH13&gt;0,'Section Load'!AH13,0))</f>
        <v>245</v>
      </c>
      <c r="AH10" s="294">
        <f>(IF('Section Load'!AI13&gt;0,'Section Load'!AI13,0))</f>
        <v>444.94000000000233</v>
      </c>
      <c r="AI10" s="294">
        <f>(IF('Section Load'!AJ13&gt;0,'Section Load'!AJ13,0))</f>
        <v>439.20999999999913</v>
      </c>
      <c r="AJ10" s="294">
        <f>(IF('Section Load'!AK13&gt;0,'Section Load'!AK13,0))</f>
        <v>275.38999999999942</v>
      </c>
      <c r="AK10" s="294">
        <f>(IF('Section Load'!AL13&gt;0,'Section Load'!AL13,0))</f>
        <v>324.86000000000058</v>
      </c>
      <c r="AL10" s="294">
        <f>(IF('Section Load'!AM13&gt;0,'Section Load'!AM13,0))</f>
        <v>0</v>
      </c>
      <c r="AM10" s="295">
        <f>(IF('Water Report'!$L$7&gt;0,'Water Report'!$L$7,0))</f>
        <v>121</v>
      </c>
      <c r="AN10" s="295">
        <f>(IF('Water Report'!$L$8&gt;0,'Water Report'!$L$8,0))</f>
        <v>129</v>
      </c>
      <c r="AO10" s="295">
        <f>(IF('Water Report'!$L$9&gt;0,'Water Report'!$L$9,0))</f>
        <v>101</v>
      </c>
      <c r="AP10" s="295">
        <f>(IF('Water Report'!$L$10&gt;0,'Water Report'!$L$10,0))</f>
        <v>27</v>
      </c>
      <c r="AQ10" s="295">
        <f>(IF('Water Report'!$L$11&gt;0,'Water Report'!$L$11,0))</f>
        <v>0</v>
      </c>
      <c r="AR10" s="295">
        <f>(IF('Water Report'!$L$13&gt;0,'Water Report'!$L$13,0))</f>
        <v>40</v>
      </c>
      <c r="AS10" s="295">
        <f>(IF('Water Report'!$L$14&gt;0,'Water Report'!$L$14,0))</f>
        <v>5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13</v>
      </c>
      <c r="AX10" s="301">
        <f>(IF('Water Report'!$L$21&gt;0,'Water Report'!$L$21,0))</f>
        <v>110</v>
      </c>
      <c r="AY10" s="301">
        <f>(IF('Water Report'!$L$22&gt;0,'Water Report'!$L$22,0))</f>
        <v>0</v>
      </c>
      <c r="AZ10" s="301">
        <f>(IF('Water Report'!$L$23&gt;0,'Water Report'!$L$23,0))</f>
        <v>8</v>
      </c>
      <c r="BA10" s="301">
        <f>(IF('Water Report'!$L$14&gt;0,'Water Report'!$L$14,0))</f>
        <v>5</v>
      </c>
      <c r="BB10" s="301">
        <f>(IF('Water Report'!$L$15&gt;0,'Water Report'!$L$15,0))</f>
        <v>6</v>
      </c>
      <c r="BC10" s="301">
        <f>(IF('Water Report'!$L$13&gt;0,'Water Report'!$L$13,0))</f>
        <v>40</v>
      </c>
      <c r="BD10" s="301">
        <f>(IF('Water Report'!$L$24&gt;0,'Water Report'!$L$24,0))</f>
        <v>270</v>
      </c>
      <c r="BE10" s="301">
        <f>(IF('Water Report'!$L$25&gt;0,'Water Report'!$L$25,0))</f>
        <v>139</v>
      </c>
      <c r="BF10" s="301">
        <f>(IF('Water Report'!$L$27&gt;0,'Water Report'!$L$27,0))</f>
        <v>158</v>
      </c>
      <c r="BG10" s="296">
        <f>(IF('Section Load'!AN13&gt;0,'Section Load'!AN13,0))</f>
        <v>1023.5200000000186</v>
      </c>
      <c r="BH10" s="296">
        <f>(IF('Section Load'!AO13&gt;0,'Section Load'!AO13,0))</f>
        <v>328.44999999995343</v>
      </c>
      <c r="BI10" s="296">
        <f>(IF('Section Load'!AP13&gt;0,'Section Load'!AP13,0))</f>
        <v>0</v>
      </c>
      <c r="BJ10" s="296">
        <f>(IF('Section Load'!AQ13&gt;0,'Section Load'!AQ13,0))</f>
        <v>107.5</v>
      </c>
      <c r="BK10" s="296">
        <f>(IF('Section Load'!AR13&gt;0,'Section Load'!AR13,0))</f>
        <v>122</v>
      </c>
      <c r="BL10" s="296">
        <f>(IF('Section Load'!AS13&gt;0,'Section Load'!AS13,0))</f>
        <v>0</v>
      </c>
      <c r="BM10" s="296">
        <f>(IF('Section Load'!AT13&gt;0,'Section Load'!AT13,0))</f>
        <v>465.97000000006483</v>
      </c>
    </row>
    <row r="11" spans="1:65">
      <c r="A11" s="287" t="s">
        <v>268</v>
      </c>
      <c r="B11" s="288">
        <f t="shared" si="0"/>
        <v>10</v>
      </c>
      <c r="C11" s="288">
        <v>7</v>
      </c>
      <c r="D11" s="288">
        <v>2022</v>
      </c>
      <c r="E11" s="294">
        <f>(IF('Section Load'!F14&gt;0,'Section Load'!F14,0))</f>
        <v>3679.1199999999953</v>
      </c>
      <c r="F11" s="294">
        <f>(IF('Section Load'!G14&gt;0,'Section Load'!G14,0))</f>
        <v>1524.5</v>
      </c>
      <c r="G11" s="294">
        <f>(IF('Section Load'!H14&gt;0,'Section Load'!H14,0))</f>
        <v>2285.2800000000279</v>
      </c>
      <c r="H11" s="294">
        <f>(IF('Section Load'!I14&gt;0,'Section Load'!I14,0))</f>
        <v>2907.9599999999627</v>
      </c>
      <c r="I11" s="294">
        <f>(IF('Section Load'!J14&gt;0,'Section Load'!J14,0))</f>
        <v>5749.1899999999732</v>
      </c>
      <c r="J11" s="294">
        <f>(IF('Section Load'!K14&gt;0,'Section Load'!K14,0))</f>
        <v>3210.359999999986</v>
      </c>
      <c r="K11" s="294">
        <f>(IF('Section Load'!L14&gt;0,'Section Load'!L14,0))</f>
        <v>1219.3399999999965</v>
      </c>
      <c r="L11" s="294">
        <f>(IF('Section Load'!M14&gt;0,'Section Load'!M14,0))</f>
        <v>928.53999999997905</v>
      </c>
      <c r="M11" s="294">
        <f>(IF('Section Load'!N14&gt;0,'Section Load'!N14,0))</f>
        <v>135</v>
      </c>
      <c r="N11" s="294">
        <f>(IF('Section Load'!O14&gt;0,'Section Load'!O14,0))</f>
        <v>149</v>
      </c>
      <c r="O11" s="294">
        <f>(IF('Section Load'!P14&gt;0,'Section Load'!P14,0))</f>
        <v>83.399999999994179</v>
      </c>
      <c r="P11" s="294">
        <f>(IF('Section Load'!Q14&gt;0,'Section Load'!Q14,0))</f>
        <v>205.56000000001222</v>
      </c>
      <c r="Q11" s="294">
        <f>(IF('Section Load'!R14&gt;0,'Section Load'!R14,0))</f>
        <v>70.099999999998545</v>
      </c>
      <c r="R11" s="294">
        <f>(IF('Section Load'!S14&gt;0,'Section Load'!S14,0))</f>
        <v>0</v>
      </c>
      <c r="S11" s="294">
        <f>(IF('Section Load'!T14&gt;0,'Section Load'!T14,0))</f>
        <v>39</v>
      </c>
      <c r="T11" s="294">
        <f>(IF('Section Load'!U14&gt;0,'Section Load'!U14,0))</f>
        <v>230</v>
      </c>
      <c r="U11" s="294">
        <f>(IF('Section Load'!V14&gt;0,'Section Load'!V14,0))</f>
        <v>378</v>
      </c>
      <c r="V11" s="294">
        <f>(IF('Section Load'!W14&gt;0,'Section Load'!W14,0))</f>
        <v>302.68000000005122</v>
      </c>
      <c r="W11" s="294">
        <f>(IF('Section Load'!X14&gt;0,'Section Load'!X14,0))</f>
        <v>29.139999999999418</v>
      </c>
      <c r="X11" s="294">
        <f>(IF('Section Load'!Y14&gt;0,'Section Load'!Y14,0))</f>
        <v>293.06000000000495</v>
      </c>
      <c r="Y11" s="294">
        <f>(IF('Section Load'!Z14&gt;0,'Section Load'!Z14,0))</f>
        <v>263</v>
      </c>
      <c r="Z11" s="294">
        <f>(IF('Section Load'!AA14&gt;0,'Section Load'!AA14,0))</f>
        <v>151.03999999997905</v>
      </c>
      <c r="AA11" s="294">
        <f>(IF('Section Load'!AB14&gt;0,'Section Load'!AB14,0))</f>
        <v>14.30000000000291</v>
      </c>
      <c r="AB11" s="294">
        <f>(IF('Section Load'!AC14&gt;0,'Section Load'!AC14,0))</f>
        <v>0</v>
      </c>
      <c r="AC11" s="294">
        <f>(IF('Section Load'!AD14&gt;0,'Section Load'!AD14,0))</f>
        <v>150.69999999999982</v>
      </c>
      <c r="AD11" s="294">
        <f>(IF('Section Load'!AE14&gt;0,'Section Load'!AE14,0))</f>
        <v>479.88000000000466</v>
      </c>
      <c r="AE11" s="294">
        <f>(IF('Section Load'!AF14&gt;0,'Section Load'!AF14,0))</f>
        <v>214.33999999999651</v>
      </c>
      <c r="AF11" s="294">
        <f>(IF('Section Load'!AG14&gt;0,'Section Load'!AG14,0))</f>
        <v>617.20000000000437</v>
      </c>
      <c r="AG11" s="294">
        <f>(IF('Section Load'!AH14&gt;0,'Section Load'!AH14,0))</f>
        <v>236.34999999999854</v>
      </c>
      <c r="AH11" s="294">
        <f>(IF('Section Load'!AI14&gt;0,'Section Load'!AI14,0))</f>
        <v>433.29999999999563</v>
      </c>
      <c r="AI11" s="294">
        <f>(IF('Section Load'!AJ14&gt;0,'Section Load'!AJ14,0))</f>
        <v>423.76000000000204</v>
      </c>
      <c r="AJ11" s="294">
        <f>(IF('Section Load'!AK14&gt;0,'Section Load'!AK14,0))</f>
        <v>252.88999999999942</v>
      </c>
      <c r="AK11" s="294">
        <f>(IF('Section Load'!AL14&gt;0,'Section Load'!AL14,0))</f>
        <v>320.38000000000102</v>
      </c>
      <c r="AL11" s="294">
        <f>(IF('Section Load'!AM14&gt;0,'Section Load'!AM14,0))</f>
        <v>782</v>
      </c>
      <c r="AM11" s="295">
        <f>(IF('Water Report'!$M$7&gt;0,'Water Report'!$M$7,0))</f>
        <v>113</v>
      </c>
      <c r="AN11" s="295">
        <f>(IF('Water Report'!$M$8&gt;0,'Water Report'!$M$8,0))</f>
        <v>105</v>
      </c>
      <c r="AO11" s="295">
        <f>(IF('Water Report'!$M$9&gt;0,'Water Report'!$M$9,0))</f>
        <v>102</v>
      </c>
      <c r="AP11" s="295">
        <f>(IF('Water Report'!$M$10&gt;0,'Water Report'!$M$10,0))</f>
        <v>25</v>
      </c>
      <c r="AQ11" s="295">
        <f>(IF('Water Report'!$M$11&gt;0,'Water Report'!$M$11,0))</f>
        <v>0</v>
      </c>
      <c r="AR11" s="295">
        <f>(IF('Water Report'!$M$13&gt;0,'Water Report'!$M$13,0))</f>
        <v>42</v>
      </c>
      <c r="AS11" s="295">
        <f>(IF('Water Report'!$M$14&gt;0,'Water Report'!$M$14,0))</f>
        <v>6</v>
      </c>
      <c r="AT11" s="295">
        <f>(IF('Water Report'!$M$15&gt;0,'Water Report'!$M$15,0))</f>
        <v>9</v>
      </c>
      <c r="AU11" s="295">
        <f>(IF('Water Report'!$M$17&gt;0,'Water Report'!$M$17,0))</f>
        <v>0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11</v>
      </c>
      <c r="BA11" s="301">
        <f>(IF('Water Report'!$M$14&gt;0,'Water Report'!$M$14,0))</f>
        <v>6</v>
      </c>
      <c r="BB11" s="301">
        <f>(IF('Water Report'!$M$15&gt;0,'Water Report'!$M$15,0))</f>
        <v>9</v>
      </c>
      <c r="BC11" s="301">
        <f>(IF('Water Report'!$M$13&gt;0,'Water Report'!$M$13,0))</f>
        <v>42</v>
      </c>
      <c r="BD11" s="301">
        <f>(IF('Water Report'!$M$24&gt;0,'Water Report'!$M$24,0))</f>
        <v>270</v>
      </c>
      <c r="BE11" s="301">
        <f>(IF('Water Report'!$M$25&gt;0,'Water Report'!$M$25,0))</f>
        <v>142</v>
      </c>
      <c r="BF11" s="301">
        <f>(IF('Water Report'!$M$27&gt;0,'Water Report'!$M$27,0))</f>
        <v>139</v>
      </c>
      <c r="BG11" s="296">
        <f>(IF('Section Load'!AN14&gt;0,'Section Load'!AN14,0))</f>
        <v>992.04000000003725</v>
      </c>
      <c r="BH11" s="296">
        <f>(IF('Section Load'!AO14&gt;0,'Section Load'!AO14,0))</f>
        <v>265.84000000008382</v>
      </c>
      <c r="BI11" s="296">
        <f>(IF('Section Load'!AP14&gt;0,'Section Load'!AP14,0))</f>
        <v>0</v>
      </c>
      <c r="BJ11" s="296">
        <f>(IF('Section Load'!AQ14&gt;0,'Section Load'!AQ14,0))</f>
        <v>98.5</v>
      </c>
      <c r="BK11" s="296">
        <f>(IF('Section Load'!AR14&gt;0,'Section Load'!AR14,0))</f>
        <v>42</v>
      </c>
      <c r="BL11" s="296">
        <f>(IF('Section Load'!AS14&gt;0,'Section Load'!AS14,0))</f>
        <v>0</v>
      </c>
      <c r="BM11" s="296">
        <f>(IF('Section Load'!AT14&gt;0,'Section Load'!AT14,0))</f>
        <v>585.69999999995343</v>
      </c>
    </row>
    <row r="12" spans="1:65">
      <c r="A12" s="287" t="s">
        <v>268</v>
      </c>
      <c r="B12" s="288">
        <f t="shared" si="0"/>
        <v>11</v>
      </c>
      <c r="C12" s="288">
        <v>7</v>
      </c>
      <c r="D12" s="288">
        <v>2022</v>
      </c>
      <c r="E12" s="294">
        <f>(IF('Section Load'!F15&gt;0,'Section Load'!F15,0))</f>
        <v>3790.7200000000303</v>
      </c>
      <c r="F12" s="294">
        <f>(IF('Section Load'!G15&gt;0,'Section Load'!G15,0))</f>
        <v>1487.4600000000139</v>
      </c>
      <c r="G12" s="294">
        <f>(IF('Section Load'!H15&gt;0,'Section Load'!H15,0))</f>
        <v>2304.1599999999744</v>
      </c>
      <c r="H12" s="294">
        <f>(IF('Section Load'!I15&gt;0,'Section Load'!I15,0))</f>
        <v>2848.8000000000466</v>
      </c>
      <c r="I12" s="294">
        <f>(IF('Section Load'!J15&gt;0,'Section Load'!J15,0))</f>
        <v>6949.2699999999604</v>
      </c>
      <c r="J12" s="294">
        <f>(IF('Section Load'!K15&gt;0,'Section Load'!K15,0))</f>
        <v>2943.320000000007</v>
      </c>
      <c r="K12" s="294">
        <f>(IF('Section Load'!L15&gt;0,'Section Load'!L15,0))</f>
        <v>1058</v>
      </c>
      <c r="L12" s="294">
        <f>(IF('Section Load'!M15&gt;0,'Section Load'!M15,0))</f>
        <v>696.83999999999651</v>
      </c>
      <c r="M12" s="294">
        <f>(IF('Section Load'!N15&gt;0,'Section Load'!N15,0))</f>
        <v>109</v>
      </c>
      <c r="N12" s="294">
        <f>(IF('Section Load'!O15&gt;0,'Section Load'!O15,0))</f>
        <v>172</v>
      </c>
      <c r="O12" s="294">
        <f>(IF('Section Load'!P15&gt;0,'Section Load'!P15,0))</f>
        <v>216</v>
      </c>
      <c r="P12" s="294">
        <f>(IF('Section Load'!Q15&gt;0,'Section Load'!Q15,0))</f>
        <v>191.31999999999243</v>
      </c>
      <c r="Q12" s="294">
        <f>(IF('Section Load'!R15&gt;0,'Section Load'!R15,0))</f>
        <v>71.319999999999709</v>
      </c>
      <c r="R12" s="294">
        <f>(IF('Section Load'!S15&gt;0,'Section Load'!S15,0))</f>
        <v>0</v>
      </c>
      <c r="S12" s="294">
        <f>(IF('Section Load'!T15&gt;0,'Section Load'!T15,0))</f>
        <v>38</v>
      </c>
      <c r="T12" s="294">
        <f>(IF('Section Load'!U15&gt;0,'Section Load'!U15,0))</f>
        <v>254</v>
      </c>
      <c r="U12" s="294">
        <f>(IF('Section Load'!V15&gt;0,'Section Load'!V15,0))</f>
        <v>377.23999999999069</v>
      </c>
      <c r="V12" s="294">
        <f>(IF('Section Load'!W15&gt;0,'Section Load'!W15,0))</f>
        <v>258.71999999997206</v>
      </c>
      <c r="W12" s="294">
        <f>(IF('Section Load'!X15&gt;0,'Section Load'!X15,0))</f>
        <v>28.540000000000873</v>
      </c>
      <c r="X12" s="294">
        <f>(IF('Section Load'!Y15&gt;0,'Section Load'!Y15,0))</f>
        <v>278.21999999999389</v>
      </c>
      <c r="Y12" s="294">
        <f>(IF('Section Load'!Z15&gt;0,'Section Load'!Z15,0))</f>
        <v>270</v>
      </c>
      <c r="Z12" s="294">
        <f>(IF('Section Load'!AA15&gt;0,'Section Load'!AA15,0))</f>
        <v>137.9199999999837</v>
      </c>
      <c r="AA12" s="294">
        <f>(IF('Section Load'!AB15&gt;0,'Section Load'!AB15,0))</f>
        <v>38.399999999994179</v>
      </c>
      <c r="AB12" s="294">
        <f>(IF('Section Load'!AC15&gt;0,'Section Load'!AC15,0))</f>
        <v>0</v>
      </c>
      <c r="AC12" s="294">
        <f>(IF('Section Load'!AD15&gt;0,'Section Load'!AD15,0))</f>
        <v>153.59999999999945</v>
      </c>
      <c r="AD12" s="294">
        <f>(IF('Section Load'!AE15&gt;0,'Section Load'!AE15,0))</f>
        <v>386.66999999999825</v>
      </c>
      <c r="AE12" s="294">
        <f>(IF('Section Load'!AF15&gt;0,'Section Load'!AF15,0))</f>
        <v>213.83999999999651</v>
      </c>
      <c r="AF12" s="294">
        <f>(IF('Section Load'!AG15&gt;0,'Section Load'!AG15,0))</f>
        <v>631.73999999999796</v>
      </c>
      <c r="AG12" s="294">
        <f>(IF('Section Load'!AH15&gt;0,'Section Load'!AH15,0))</f>
        <v>225.19000000000233</v>
      </c>
      <c r="AH12" s="294">
        <f>(IF('Section Load'!AI15&gt;0,'Section Load'!AI15,0))</f>
        <v>427.15000000000146</v>
      </c>
      <c r="AI12" s="294">
        <f>(IF('Section Load'!AJ15&gt;0,'Section Load'!AJ15,0))</f>
        <v>463.98999999999796</v>
      </c>
      <c r="AJ12" s="294">
        <f>(IF('Section Load'!AK15&gt;0,'Section Load'!AK15,0))</f>
        <v>286.85000000000218</v>
      </c>
      <c r="AK12" s="294">
        <f>(IF('Section Load'!AL15&gt;0,'Section Load'!AL15,0))</f>
        <v>338.15999999999985</v>
      </c>
      <c r="AL12" s="294">
        <f>(IF('Section Load'!AM15&gt;0,'Section Load'!AM15,0))</f>
        <v>824</v>
      </c>
      <c r="AM12" s="295">
        <f>(IF('Water Report'!$N$7&gt;0,'Water Report'!$N$7,0))</f>
        <v>122</v>
      </c>
      <c r="AN12" s="295">
        <f>(IF('Water Report'!$N$8&gt;0,'Water Report'!$N$8,0))</f>
        <v>94</v>
      </c>
      <c r="AO12" s="295">
        <f>(IF('Water Report'!$N$9&gt;0,'Water Report'!$N$9,0))</f>
        <v>102</v>
      </c>
      <c r="AP12" s="295">
        <f>(IF('Water Report'!$N$10&gt;0,'Water Report'!$N$10,0))</f>
        <v>19</v>
      </c>
      <c r="AQ12" s="295">
        <f>(IF('Water Report'!$N$11&gt;0,'Water Report'!$N$11,0))</f>
        <v>0</v>
      </c>
      <c r="AR12" s="295">
        <f>(IF('Water Report'!$N$13&gt;0,'Water Report'!$N$13,0))</f>
        <v>25</v>
      </c>
      <c r="AS12" s="295">
        <f>(IF('Water Report'!$N$14&gt;0,'Water Report'!$N$14,0))</f>
        <v>3</v>
      </c>
      <c r="AT12" s="295">
        <f>(IF('Water Report'!$N$15&gt;0,'Water Report'!$N$15,0))</f>
        <v>14</v>
      </c>
      <c r="AU12" s="295">
        <f>(IF('Water Report'!$N$17&gt;0,'Water Report'!$N$17,0))</f>
        <v>9</v>
      </c>
      <c r="AV12" s="295">
        <f>(IF('Water Report'!$N$18&gt;0,'Water Report'!$N$18,0))</f>
        <v>16</v>
      </c>
      <c r="AW12" s="295">
        <f>(IF('Water Report'!$N$19&gt;0,'Water Report'!$N$19,0))</f>
        <v>11</v>
      </c>
      <c r="AX12" s="301">
        <f>(IF('Water Report'!$N$21&gt;0,'Water Report'!$N$21,0))</f>
        <v>108</v>
      </c>
      <c r="AY12" s="301">
        <f>(IF('Water Report'!$N$22&gt;0,'Water Report'!$N$22,0))</f>
        <v>0</v>
      </c>
      <c r="AZ12" s="301">
        <f>(IF('Water Report'!$N$23&gt;0,'Water Report'!$N$23,0))</f>
        <v>7</v>
      </c>
      <c r="BA12" s="301">
        <f>(IF('Water Report'!$N$14&gt;0,'Water Report'!$N$14,0))</f>
        <v>3</v>
      </c>
      <c r="BB12" s="301">
        <f>(IF('Water Report'!$N$15&gt;0,'Water Report'!$N$15,0))</f>
        <v>14</v>
      </c>
      <c r="BC12" s="301">
        <f>(IF('Water Report'!$N$13&gt;0,'Water Report'!$N$13,0))</f>
        <v>25</v>
      </c>
      <c r="BD12" s="301">
        <f>(IF('Water Report'!$N$24&gt;0,'Water Report'!$N$24,0))</f>
        <v>221</v>
      </c>
      <c r="BE12" s="301">
        <f>(IF('Water Report'!$N$25&gt;0,'Water Report'!$N$25,0))</f>
        <v>138</v>
      </c>
      <c r="BF12" s="301">
        <f>(IF('Water Report'!$N$27&gt;0,'Water Report'!$N$27,0))</f>
        <v>140</v>
      </c>
      <c r="BG12" s="296">
        <f>(IF('Section Load'!AN15&gt;0,'Section Load'!AN15,0))</f>
        <v>944.76000000000931</v>
      </c>
      <c r="BH12" s="296">
        <f>(IF('Section Load'!AO15&gt;0,'Section Load'!AO15,0))</f>
        <v>270.43999999994412</v>
      </c>
      <c r="BI12" s="296">
        <f>(IF('Section Load'!AP15&gt;0,'Section Load'!AP15,0))</f>
        <v>0</v>
      </c>
      <c r="BJ12" s="296">
        <f>(IF('Section Load'!AQ15&gt;0,'Section Load'!AQ15,0))</f>
        <v>98</v>
      </c>
      <c r="BK12" s="296">
        <f>(IF('Section Load'!AR15&gt;0,'Section Load'!AR15,0))</f>
        <v>35</v>
      </c>
      <c r="BL12" s="296">
        <f>(IF('Section Load'!AS15&gt;0,'Section Load'!AS15,0))</f>
        <v>0</v>
      </c>
      <c r="BM12" s="296">
        <f>(IF('Section Load'!AT15&gt;0,'Section Load'!AT15,0))</f>
        <v>541.32000000006519</v>
      </c>
    </row>
    <row r="13" spans="1:65">
      <c r="A13" s="287" t="s">
        <v>268</v>
      </c>
      <c r="B13" s="288">
        <f t="shared" si="0"/>
        <v>12</v>
      </c>
      <c r="C13" s="288">
        <v>7</v>
      </c>
      <c r="D13" s="288">
        <v>2022</v>
      </c>
      <c r="E13" s="294">
        <f>(IF('Section Load'!F16&gt;0,'Section Load'!F16,0))</f>
        <v>3619.6300000000047</v>
      </c>
      <c r="F13" s="294">
        <f>(IF('Section Load'!G16&gt;0,'Section Load'!G16,0))</f>
        <v>1552.320000000014</v>
      </c>
      <c r="G13" s="294">
        <f>(IF('Section Load'!H16&gt;0,'Section Load'!H16,0))</f>
        <v>2246.320000000007</v>
      </c>
      <c r="H13" s="294">
        <f>(IF('Section Load'!I16&gt;0,'Section Load'!I16,0))</f>
        <v>2839.7999999999302</v>
      </c>
      <c r="I13" s="294">
        <f>(IF('Section Load'!J16&gt;0,'Section Load'!J16,0))</f>
        <v>6974.600000000064</v>
      </c>
      <c r="J13" s="294">
        <f>(IF('Section Load'!K16&gt;0,'Section Load'!K16,0))</f>
        <v>3131.1000000000058</v>
      </c>
      <c r="K13" s="294">
        <f>(IF('Section Load'!L16&gt;0,'Section Load'!L16,0))</f>
        <v>1060.5199999999895</v>
      </c>
      <c r="L13" s="294">
        <f>(IF('Section Load'!M16&gt;0,'Section Load'!M16,0))</f>
        <v>704.22000000000116</v>
      </c>
      <c r="M13" s="294">
        <f>(IF('Section Load'!N16&gt;0,'Section Load'!N16,0))</f>
        <v>114</v>
      </c>
      <c r="N13" s="294">
        <f>(IF('Section Load'!O16&gt;0,'Section Load'!O16,0))</f>
        <v>154</v>
      </c>
      <c r="O13" s="294">
        <f>(IF('Section Load'!P16&gt;0,'Section Load'!P16,0))</f>
        <v>214</v>
      </c>
      <c r="P13" s="294">
        <f>(IF('Section Load'!Q16&gt;0,'Section Load'!Q16,0))</f>
        <v>206.33000000000175</v>
      </c>
      <c r="Q13" s="294">
        <f>(IF('Section Load'!R16&gt;0,'Section Load'!R16,0))</f>
        <v>74.049999999995634</v>
      </c>
      <c r="R13" s="294">
        <f>(IF('Section Load'!S16&gt;0,'Section Load'!S16,0))</f>
        <v>0</v>
      </c>
      <c r="S13" s="294">
        <f>(IF('Section Load'!T16&gt;0,'Section Load'!T16,0))</f>
        <v>37</v>
      </c>
      <c r="T13" s="294">
        <f>(IF('Section Load'!U16&gt;0,'Section Load'!U16,0))</f>
        <v>238</v>
      </c>
      <c r="U13" s="294">
        <f>(IF('Section Load'!V16&gt;0,'Section Load'!V16,0))</f>
        <v>377.92000000004191</v>
      </c>
      <c r="V13" s="294">
        <f>(IF('Section Load'!W16&gt;0,'Section Load'!W16,0))</f>
        <v>284.07999999995809</v>
      </c>
      <c r="W13" s="294">
        <f>(IF('Section Load'!X16&gt;0,'Section Load'!X16,0))</f>
        <v>22.479999999999563</v>
      </c>
      <c r="X13" s="294">
        <f>(IF('Section Load'!Y16&gt;0,'Section Load'!Y16,0))</f>
        <v>273.27000000000407</v>
      </c>
      <c r="Y13" s="294">
        <f>(IF('Section Load'!Z16&gt;0,'Section Load'!Z16,0))</f>
        <v>257</v>
      </c>
      <c r="Z13" s="294">
        <f>(IF('Section Load'!AA16&gt;0,'Section Load'!AA16,0))</f>
        <v>66.680000000051223</v>
      </c>
      <c r="AA13" s="294">
        <f>(IF('Section Load'!AB16&gt;0,'Section Load'!AB16,0))</f>
        <v>39.5</v>
      </c>
      <c r="AB13" s="294">
        <f>(IF('Section Load'!AC16&gt;0,'Section Load'!AC16,0))</f>
        <v>0</v>
      </c>
      <c r="AC13" s="294">
        <f>(IF('Section Load'!AD16&gt;0,'Section Load'!AD16,0))</f>
        <v>164.19999999999982</v>
      </c>
      <c r="AD13" s="294">
        <f>(IF('Section Load'!AE16&gt;0,'Section Load'!AE16,0))</f>
        <v>378.69999999999709</v>
      </c>
      <c r="AE13" s="294">
        <f>(IF('Section Load'!AF16&gt;0,'Section Load'!AF16,0))</f>
        <v>213.12000000000262</v>
      </c>
      <c r="AF13" s="294">
        <f>(IF('Section Load'!AG16&gt;0,'Section Load'!AG16,0))</f>
        <v>628.26000000000204</v>
      </c>
      <c r="AG13" s="294">
        <f>(IF('Section Load'!AH16&gt;0,'Section Load'!AH16,0))</f>
        <v>224.58999999999651</v>
      </c>
      <c r="AH13" s="294">
        <f>(IF('Section Load'!AI16&gt;0,'Section Load'!AI16,0))</f>
        <v>427.90000000000146</v>
      </c>
      <c r="AI13" s="294">
        <f>(IF('Section Load'!AJ16&gt;0,'Section Load'!AJ16,0))</f>
        <v>438.04000000000087</v>
      </c>
      <c r="AJ13" s="294">
        <f>(IF('Section Load'!AK16&gt;0,'Section Load'!AK16,0))</f>
        <v>306.03999999999724</v>
      </c>
      <c r="AK13" s="294">
        <f>(IF('Section Load'!AL16&gt;0,'Section Load'!AL16,0))</f>
        <v>293.5199999999968</v>
      </c>
      <c r="AL13" s="294">
        <f>(IF('Section Load'!AM16&gt;0,'Section Load'!AM16,0))</f>
        <v>785</v>
      </c>
      <c r="AM13" s="295">
        <f>(IF('Water Report'!$O$7&gt;0,'Water Report'!$O$7,0))</f>
        <v>97</v>
      </c>
      <c r="AN13" s="295">
        <f>(IF('Water Report'!$O$8&gt;0,'Water Report'!$O$8,0))</f>
        <v>87</v>
      </c>
      <c r="AO13" s="295">
        <f>(IF('Water Report'!$O$9&gt;0,'Water Report'!$O$9,0))</f>
        <v>104</v>
      </c>
      <c r="AP13" s="295">
        <f>(IF('Water Report'!$O$10&gt;0,'Water Report'!$O$10,0))</f>
        <v>24</v>
      </c>
      <c r="AQ13" s="295">
        <f>(IF('Water Report'!$O$11&gt;0,'Water Report'!$O$11,0))</f>
        <v>0</v>
      </c>
      <c r="AR13" s="295">
        <f>(IF('Water Report'!$O$13&gt;0,'Water Report'!$O$13,0))</f>
        <v>41</v>
      </c>
      <c r="AS13" s="295">
        <f>(IF('Water Report'!$O$14&gt;0,'Water Report'!$O$14,0))</f>
        <v>4</v>
      </c>
      <c r="AT13" s="295">
        <f>(IF('Water Report'!$O$15&gt;0,'Water Report'!$O$15,0))</f>
        <v>8</v>
      </c>
      <c r="AU13" s="295">
        <f>(IF('Water Report'!$O$17&gt;0,'Water Report'!$O$17,0))</f>
        <v>0</v>
      </c>
      <c r="AV13" s="295">
        <f>(IF('Water Report'!$O$18&gt;0,'Water Report'!$O$18,0))</f>
        <v>11</v>
      </c>
      <c r="AW13" s="295">
        <f>(IF('Water Report'!$O$19&gt;0,'Water Report'!$O$19,0))</f>
        <v>12</v>
      </c>
      <c r="AX13" s="301">
        <f>(IF('Water Report'!$O$21&gt;0,'Water Report'!$O$21,0))</f>
        <v>107</v>
      </c>
      <c r="AY13" s="301">
        <f>(IF('Water Report'!$O$22&gt;0,'Water Report'!$O$22,0))</f>
        <v>0</v>
      </c>
      <c r="AZ13" s="301">
        <f>(IF('Water Report'!$O$23&gt;0,'Water Report'!$O$23,0))</f>
        <v>5</v>
      </c>
      <c r="BA13" s="301">
        <f>(IF('Water Report'!$O$14&gt;0,'Water Report'!$O$14,0))</f>
        <v>4</v>
      </c>
      <c r="BB13" s="301">
        <f>(IF('Water Report'!$O$15&gt;0,'Water Report'!$O$15,0))</f>
        <v>8</v>
      </c>
      <c r="BC13" s="301">
        <f>(IF('Water Report'!$O$13&gt;0,'Water Report'!$O$13,0))</f>
        <v>41</v>
      </c>
      <c r="BD13" s="301">
        <f>(IF('Water Report'!$O$24&gt;0,'Water Report'!$O$24,0))</f>
        <v>254</v>
      </c>
      <c r="BE13" s="301">
        <f>(IF('Water Report'!$O$25&gt;0,'Water Report'!$O$25,0))</f>
        <v>140</v>
      </c>
      <c r="BF13" s="301">
        <f>(IF('Water Report'!$O$27&gt;0,'Water Report'!$O$27,0))</f>
        <v>153</v>
      </c>
      <c r="BG13" s="296">
        <f>(IF('Section Load'!AN16&gt;0,'Section Load'!AN16,0))</f>
        <v>1027.1899999999441</v>
      </c>
      <c r="BH13" s="296">
        <f>(IF('Section Load'!AO16&gt;0,'Section Load'!AO16,0))</f>
        <v>339.29000000003725</v>
      </c>
      <c r="BI13" s="296">
        <f>(IF('Section Load'!AP16&gt;0,'Section Load'!AP16,0))</f>
        <v>0</v>
      </c>
      <c r="BJ13" s="296">
        <f>(IF('Section Load'!AQ16&gt;0,'Section Load'!AQ16,0))</f>
        <v>88</v>
      </c>
      <c r="BK13" s="296">
        <f>(IF('Section Load'!AR16&gt;0,'Section Load'!AR16,0))</f>
        <v>41</v>
      </c>
      <c r="BL13" s="296">
        <f>(IF('Section Load'!AS16&gt;0,'Section Load'!AS16,0))</f>
        <v>0.3999999999996362</v>
      </c>
      <c r="BM13" s="296">
        <f>(IF('Section Load'!AT16&gt;0,'Section Load'!AT16,0))</f>
        <v>558.49999999990723</v>
      </c>
    </row>
    <row r="14" spans="1:65">
      <c r="A14" s="287" t="s">
        <v>268</v>
      </c>
      <c r="B14" s="288">
        <f t="shared" si="0"/>
        <v>13</v>
      </c>
      <c r="C14" s="288">
        <v>7</v>
      </c>
      <c r="D14" s="288">
        <v>2022</v>
      </c>
      <c r="E14" s="294">
        <f>(IF('Section Load'!F17&gt;0,'Section Load'!F17,0))</f>
        <v>3392.039999999979</v>
      </c>
      <c r="F14" s="294">
        <f>(IF('Section Load'!G17&gt;0,'Section Load'!G17,0))</f>
        <v>1540.1399999999558</v>
      </c>
      <c r="G14" s="294">
        <f>(IF('Section Load'!H17&gt;0,'Section Load'!H17,0))</f>
        <v>2289.2399999999907</v>
      </c>
      <c r="H14" s="294">
        <f>(IF('Section Load'!I17&gt;0,'Section Load'!I17,0))</f>
        <v>2983.359999999986</v>
      </c>
      <c r="I14" s="294">
        <f>(IF('Section Load'!J17&gt;0,'Section Load'!J17,0))</f>
        <v>7606.6199999999953</v>
      </c>
      <c r="J14" s="294">
        <f>(IF('Section Load'!K17&gt;0,'Section Load'!K17,0))</f>
        <v>2999.539999999979</v>
      </c>
      <c r="K14" s="294">
        <f>(IF('Section Load'!L17&gt;0,'Section Load'!L17,0))</f>
        <v>1455.0799999999872</v>
      </c>
      <c r="L14" s="294">
        <f>(IF('Section Load'!M17&gt;0,'Section Load'!M17,0))</f>
        <v>743.05999999999767</v>
      </c>
      <c r="M14" s="294">
        <f>(IF('Section Load'!N17&gt;0,'Section Load'!N17,0))</f>
        <v>84</v>
      </c>
      <c r="N14" s="294">
        <f>(IF('Section Load'!O17&gt;0,'Section Load'!O17,0))</f>
        <v>162</v>
      </c>
      <c r="O14" s="294">
        <f>(IF('Section Load'!P17&gt;0,'Section Load'!P17,0))</f>
        <v>90</v>
      </c>
      <c r="P14" s="294">
        <f>(IF('Section Load'!Q17&gt;0,'Section Load'!Q17,0))</f>
        <v>205.35000000000582</v>
      </c>
      <c r="Q14" s="294">
        <f>(IF('Section Load'!R17&gt;0,'Section Load'!R17,0))</f>
        <v>72.520000000004075</v>
      </c>
      <c r="R14" s="294">
        <f>(IF('Section Load'!S17&gt;0,'Section Load'!S17,0))</f>
        <v>0</v>
      </c>
      <c r="S14" s="294">
        <f>(IF('Section Load'!T17&gt;0,'Section Load'!T17,0))</f>
        <v>32</v>
      </c>
      <c r="T14" s="294">
        <f>(IF('Section Load'!U17&gt;0,'Section Load'!U17,0))</f>
        <v>285</v>
      </c>
      <c r="U14" s="294">
        <f>(IF('Section Load'!V17&gt;0,'Section Load'!V17,0))</f>
        <v>388.8399999999674</v>
      </c>
      <c r="V14" s="294">
        <f>(IF('Section Load'!W17&gt;0,'Section Load'!W17,0))</f>
        <v>255.52000000001863</v>
      </c>
      <c r="W14" s="294">
        <f>(IF('Section Load'!X17&gt;0,'Section Load'!X17,0))</f>
        <v>25.399999999999636</v>
      </c>
      <c r="X14" s="294">
        <f>(IF('Section Load'!Y17&gt;0,'Section Load'!Y17,0))</f>
        <v>274.91999999999825</v>
      </c>
      <c r="Y14" s="294">
        <f>(IF('Section Load'!Z17&gt;0,'Section Load'!Z17,0))</f>
        <v>313</v>
      </c>
      <c r="Z14" s="294">
        <f>(IF('Section Load'!AA17&gt;0,'Section Load'!AA17,0))</f>
        <v>96.119999999995343</v>
      </c>
      <c r="AA14" s="294">
        <f>(IF('Section Load'!AB17&gt;0,'Section Load'!AB17,0))</f>
        <v>37.80000000000291</v>
      </c>
      <c r="AB14" s="294">
        <f>(IF('Section Load'!AC17&gt;0,'Section Load'!AC17,0))</f>
        <v>4.9999999999272404E-2</v>
      </c>
      <c r="AC14" s="294">
        <f>(IF('Section Load'!AD17&gt;0,'Section Load'!AD17,0))</f>
        <v>165.70000000000073</v>
      </c>
      <c r="AD14" s="294">
        <f>(IF('Section Load'!AE17&gt;0,'Section Load'!AE17,0))</f>
        <v>411.12000000000262</v>
      </c>
      <c r="AE14" s="294">
        <f>(IF('Section Load'!AF17&gt;0,'Section Load'!AF17,0))</f>
        <v>282.41000000000349</v>
      </c>
      <c r="AF14" s="294">
        <f>(IF('Section Load'!AG17&gt;0,'Section Load'!AG17,0))</f>
        <v>641.84999999999854</v>
      </c>
      <c r="AG14" s="294">
        <f>(IF('Section Load'!AH17&gt;0,'Section Load'!AH17,0))</f>
        <v>227.86000000000058</v>
      </c>
      <c r="AH14" s="294">
        <f>(IF('Section Load'!AI17&gt;0,'Section Load'!AI17,0))</f>
        <v>452.04000000000087</v>
      </c>
      <c r="AI14" s="294">
        <f>(IF('Section Load'!AJ17&gt;0,'Section Load'!AJ17,0))</f>
        <v>450</v>
      </c>
      <c r="AJ14" s="294">
        <f>(IF('Section Load'!AK17&gt;0,'Section Load'!AK17,0))</f>
        <v>279.05000000000291</v>
      </c>
      <c r="AK14" s="294">
        <f>(IF('Section Load'!AL17&gt;0,'Section Load'!AL17,0))</f>
        <v>314.12000000000262</v>
      </c>
      <c r="AL14" s="294">
        <f>(IF('Section Load'!AM17&gt;0,'Section Load'!AM17,0))</f>
        <v>686.67999999999302</v>
      </c>
      <c r="AM14" s="295">
        <f>(IF('Water Report'!$P$7&gt;0,'Water Report'!$P$7,0))</f>
        <v>97</v>
      </c>
      <c r="AN14" s="295">
        <f>(IF('Water Report'!$P$8&gt;0,'Water Report'!$P$8,0))</f>
        <v>155</v>
      </c>
      <c r="AO14" s="295">
        <f>(IF('Water Report'!$P$9&gt;0,'Water Report'!$P$9,0))</f>
        <v>99</v>
      </c>
      <c r="AP14" s="295">
        <f>(IF('Water Report'!$P$10&gt;0,'Water Report'!$P$10,0))</f>
        <v>23</v>
      </c>
      <c r="AQ14" s="295">
        <f>(IF('Water Report'!$P$11&gt;0,'Water Report'!$P$11,0))</f>
        <v>0</v>
      </c>
      <c r="AR14" s="295">
        <f>(IF('Water Report'!$P$13&gt;0,'Water Report'!$P$13,0))</f>
        <v>24</v>
      </c>
      <c r="AS14" s="295">
        <f>(IF('Water Report'!$P$14&gt;0,'Water Report'!$P$14,0))</f>
        <v>3</v>
      </c>
      <c r="AT14" s="295">
        <f>(IF('Water Report'!$P$15&gt;0,'Water Report'!$P$15,0))</f>
        <v>9</v>
      </c>
      <c r="AU14" s="295">
        <f>(IF('Water Report'!$P$17&gt;0,'Water Report'!$P$17,0))</f>
        <v>0</v>
      </c>
      <c r="AV14" s="295">
        <f>(IF('Water Report'!$P$18&gt;0,'Water Report'!$P$18,0))</f>
        <v>10</v>
      </c>
      <c r="AW14" s="295">
        <f>(IF('Water Report'!$P$19&gt;0,'Water Report'!$P$19,0))</f>
        <v>10</v>
      </c>
      <c r="AX14" s="301">
        <f>(IF('Water Report'!$P$21&gt;0,'Water Report'!$P$21,0))</f>
        <v>109</v>
      </c>
      <c r="AY14" s="301">
        <f>(IF('Water Report'!$P$22&gt;0,'Water Report'!$P$22,0))</f>
        <v>0</v>
      </c>
      <c r="AZ14" s="301">
        <f>(IF('Water Report'!$P$23&gt;0,'Water Report'!$P$23,0))</f>
        <v>17</v>
      </c>
      <c r="BA14" s="301">
        <f>(IF('Water Report'!$P$14&gt;0,'Water Report'!$P$14,0))</f>
        <v>3</v>
      </c>
      <c r="BB14" s="301">
        <f>(IF('Water Report'!$P$15&gt;0,'Water Report'!$P$15,0))</f>
        <v>9</v>
      </c>
      <c r="BC14" s="301">
        <f>(IF('Water Report'!$P$13&gt;0,'Water Report'!$P$13,0))</f>
        <v>24</v>
      </c>
      <c r="BD14" s="301">
        <f>(IF('Water Report'!$P$24&gt;0,'Water Report'!$P$24,0))</f>
        <v>170</v>
      </c>
      <c r="BE14" s="301">
        <f>(IF('Water Report'!$P$25&gt;0,'Water Report'!$P$25,0))</f>
        <v>134</v>
      </c>
      <c r="BF14" s="301">
        <f>(IF('Water Report'!$P$27&gt;0,'Water Report'!$P$27,0))</f>
        <v>150</v>
      </c>
      <c r="BG14" s="296">
        <f>(IF('Section Load'!AN17&gt;0,'Section Load'!AN17,0))</f>
        <v>1143.7299999999814</v>
      </c>
      <c r="BH14" s="296">
        <f>(IF('Section Load'!AO17&gt;0,'Section Load'!AO17,0))</f>
        <v>375.9100000000326</v>
      </c>
      <c r="BI14" s="296">
        <f>(IF('Section Load'!AP17&gt;0,'Section Load'!AP17,0))</f>
        <v>0</v>
      </c>
      <c r="BJ14" s="296">
        <f>(IF('Section Load'!AQ17&gt;0,'Section Load'!AQ17,0))</f>
        <v>116.94000000000233</v>
      </c>
      <c r="BK14" s="296">
        <f>(IF('Section Load'!AR17&gt;0,'Section Load'!AR17,0))</f>
        <v>57.5</v>
      </c>
      <c r="BL14" s="296">
        <f>(IF('Section Load'!AS17&gt;0,'Section Load'!AS17,0))</f>
        <v>0</v>
      </c>
      <c r="BM14" s="296">
        <f>(IF('Section Load'!AT17&gt;0,'Section Load'!AT17,0))</f>
        <v>593.77999999994609</v>
      </c>
    </row>
    <row r="15" spans="1:65">
      <c r="A15" s="287" t="s">
        <v>268</v>
      </c>
      <c r="B15" s="288">
        <f t="shared" si="0"/>
        <v>14</v>
      </c>
      <c r="C15" s="288">
        <v>7</v>
      </c>
      <c r="D15" s="288">
        <v>2022</v>
      </c>
      <c r="E15" s="294">
        <f>(IF('Section Load'!F18&gt;0,'Section Load'!F18,0))</f>
        <v>0</v>
      </c>
      <c r="F15" s="294">
        <f>(IF('Section Load'!G18&gt;0,'Section Load'!G18,0))</f>
        <v>0</v>
      </c>
      <c r="G15" s="294">
        <f>(IF('Section Load'!H18&gt;0,'Section Load'!H18,0))</f>
        <v>0</v>
      </c>
      <c r="H15" s="294">
        <f>(IF('Section Load'!I18&gt;0,'Section Load'!I18,0))</f>
        <v>0</v>
      </c>
      <c r="I15" s="294">
        <f>(IF('Section Load'!J18&gt;0,'Section Load'!J18,0))</f>
        <v>0</v>
      </c>
      <c r="J15" s="294">
        <f>(IF('Section Load'!K18&gt;0,'Section Load'!K18,0))</f>
        <v>0</v>
      </c>
      <c r="K15" s="294">
        <f>(IF('Section Load'!L18&gt;0,'Section Load'!L18,0))</f>
        <v>0</v>
      </c>
      <c r="L15" s="294">
        <f>(IF('Section Load'!M18&gt;0,'Section Load'!M18,0))</f>
        <v>0</v>
      </c>
      <c r="M15" s="294">
        <f>(IF('Section Load'!N18&gt;0,'Section Load'!N18,0))</f>
        <v>0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0</v>
      </c>
      <c r="Q15" s="294">
        <f>(IF('Section Load'!R18&gt;0,'Section Load'!R18,0))</f>
        <v>0</v>
      </c>
      <c r="R15" s="294">
        <f>(IF('Section Load'!S18&gt;0,'Section Load'!S18,0))</f>
        <v>0</v>
      </c>
      <c r="S15" s="294">
        <f>(IF('Section Load'!T18&gt;0,'Section Load'!T18,0))</f>
        <v>0</v>
      </c>
      <c r="T15" s="294">
        <f>(IF('Section Load'!U18&gt;0,'Section Load'!U18,0))</f>
        <v>0</v>
      </c>
      <c r="U15" s="294">
        <f>(IF('Section Load'!V18&gt;0,'Section Load'!V18,0))</f>
        <v>0</v>
      </c>
      <c r="V15" s="294">
        <f>(IF('Section Load'!W18&gt;0,'Section Load'!W18,0))</f>
        <v>0</v>
      </c>
      <c r="W15" s="294">
        <f>(IF('Section Load'!X18&gt;0,'Section Load'!X18,0))</f>
        <v>0</v>
      </c>
      <c r="X15" s="294">
        <f>(IF('Section Load'!Y18&gt;0,'Section Load'!Y18,0))</f>
        <v>0</v>
      </c>
      <c r="Y15" s="294">
        <f>(IF('Section Load'!Z18&gt;0,'Section Load'!Z18,0))</f>
        <v>0</v>
      </c>
      <c r="Z15" s="294">
        <f>(IF('Section Load'!AA18&gt;0,'Section Load'!AA18,0))</f>
        <v>0</v>
      </c>
      <c r="AA15" s="294">
        <f>(IF('Section Load'!AB18&gt;0,'Section Load'!AB18,0))</f>
        <v>0</v>
      </c>
      <c r="AB15" s="294">
        <f>(IF('Section Load'!AC18&gt;0,'Section Load'!AC18,0))</f>
        <v>0</v>
      </c>
      <c r="AC15" s="294">
        <f>(IF('Section Load'!AD18&gt;0,'Section Load'!AD18,0))</f>
        <v>95119.2</v>
      </c>
      <c r="AD15" s="294">
        <f>(IF('Section Load'!AE18&gt;0,'Section Load'!AE18,0))</f>
        <v>0</v>
      </c>
      <c r="AE15" s="294">
        <f>(IF('Section Load'!AF18&gt;0,'Section Load'!AF18,0))</f>
        <v>0</v>
      </c>
      <c r="AF15" s="294">
        <f>(IF('Section Load'!AG18&gt;0,'Section Load'!AG18,0))</f>
        <v>0</v>
      </c>
      <c r="AG15" s="294">
        <f>(IF('Section Load'!AH18&gt;0,'Section Load'!AH18,0))</f>
        <v>0</v>
      </c>
      <c r="AH15" s="294">
        <f>(IF('Section Load'!AI18&gt;0,'Section Load'!AI18,0))</f>
        <v>0</v>
      </c>
      <c r="AI15" s="294">
        <f>(IF('Section Load'!AJ18&gt;0,'Section Load'!AJ18,0))</f>
        <v>0</v>
      </c>
      <c r="AJ15" s="294">
        <f>(IF('Section Load'!AK18&gt;0,'Section Load'!AK18,0))</f>
        <v>0</v>
      </c>
      <c r="AK15" s="294">
        <f>(IF('Section Load'!AL18&gt;0,'Section Load'!AL18,0))</f>
        <v>0</v>
      </c>
      <c r="AL15" s="294">
        <f>(IF('Section Load'!AM18&gt;0,'Section Load'!AM18,0))</f>
        <v>0</v>
      </c>
      <c r="AM15" s="295">
        <f>(IF('Water Report'!$Q$7&gt;0,'Water Report'!$Q$7,0))</f>
        <v>0</v>
      </c>
      <c r="AN15" s="295">
        <f>(IF('Water Report'!$Q$8&gt;0,'Water Report'!$Q$8,0))</f>
        <v>0</v>
      </c>
      <c r="AO15" s="295">
        <f>(IF('Water Report'!$Q$9&gt;0,'Water Report'!$Q$9,0))</f>
        <v>0</v>
      </c>
      <c r="AP15" s="295">
        <f>(IF('Water Report'!$Q$10&gt;0,'Water Report'!$Q$10,0))</f>
        <v>0</v>
      </c>
      <c r="AQ15" s="295">
        <f>(IF('Water Report'!$Q$11&gt;0,'Water Report'!$Q$11,0))</f>
        <v>1</v>
      </c>
      <c r="AR15" s="295">
        <f>(IF('Water Report'!$Q$13&gt;0,'Water Report'!$Q$13,0))</f>
        <v>0</v>
      </c>
      <c r="AS15" s="295">
        <f>(IF('Water Report'!$Q$14&gt;0,'Water Report'!$Q$14,0))</f>
        <v>0</v>
      </c>
      <c r="AT15" s="295">
        <f>(IF('Water Report'!$Q$15&gt;0,'Water Report'!$Q$15,0))</f>
        <v>0</v>
      </c>
      <c r="AU15" s="295">
        <f>(IF('Water Report'!$Q$17&gt;0,'Water Report'!$Q$17,0))</f>
        <v>0</v>
      </c>
      <c r="AV15" s="295">
        <f>(IF('Water Report'!$Q$18&gt;0,'Water Report'!$Q$18,0))</f>
        <v>0</v>
      </c>
      <c r="AW15" s="295">
        <f>(IF('Water Report'!$Q$19&gt;0,'Water Report'!$Q$19,0))</f>
        <v>0</v>
      </c>
      <c r="AX15" s="301">
        <f>(IF('Water Report'!$Q$21&gt;0,'Water Report'!$Q$21,0))</f>
        <v>155</v>
      </c>
      <c r="AY15" s="301">
        <f>(IF('Water Report'!$Q$22&gt;0,'Water Report'!$Q$22,0))</f>
        <v>0</v>
      </c>
      <c r="AZ15" s="301">
        <f>(IF('Water Report'!$Q$23&gt;0,'Water Report'!$Q$23,0))</f>
        <v>0</v>
      </c>
      <c r="BA15" s="301">
        <f>(IF('Water Report'!$Q$14&gt;0,'Water Report'!$Q$14,0))</f>
        <v>0</v>
      </c>
      <c r="BB15" s="301">
        <f>(IF('Water Report'!$Q$15&gt;0,'Water Report'!$Q$15,0))</f>
        <v>0</v>
      </c>
      <c r="BC15" s="301">
        <f>(IF('Water Report'!$Q$13&gt;0,'Water Report'!$Q$13,0))</f>
        <v>0</v>
      </c>
      <c r="BD15" s="301">
        <f>(IF('Water Report'!$Q$24&gt;0,'Water Report'!$Q$24,0))</f>
        <v>0</v>
      </c>
      <c r="BE15" s="301">
        <f>(IF('Water Report'!$Q$25&gt;0,'Water Report'!$Q$25,0))</f>
        <v>0</v>
      </c>
      <c r="BF15" s="301">
        <f>(IF('Water Report'!$Q$27&gt;0,'Water Report'!$Q$27,0))</f>
        <v>0</v>
      </c>
      <c r="BG15" s="296">
        <f>(IF('Section Load'!AN18&gt;0,'Section Load'!AN18,0))</f>
        <v>1000</v>
      </c>
      <c r="BH15" s="296">
        <f>(IF('Section Load'!AO18&gt;0,'Section Load'!AO18,0))</f>
        <v>0</v>
      </c>
      <c r="BI15" s="296">
        <f>(IF('Section Load'!AP18&gt;0,'Section Load'!AP18,0))</f>
        <v>0</v>
      </c>
      <c r="BJ15" s="296">
        <f>(IF('Section Load'!AQ18&gt;0,'Section Load'!AQ18,0))</f>
        <v>0</v>
      </c>
      <c r="BK15" s="296">
        <f>(IF('Section Load'!AR18&gt;0,'Section Load'!AR18,0))</f>
        <v>0</v>
      </c>
      <c r="BL15" s="296">
        <f>(IF('Section Load'!AS18&gt;0,'Section Load'!AS18,0))</f>
        <v>0</v>
      </c>
      <c r="BM15" s="296">
        <f>(IF('Section Load'!AT18&gt;0,'Section Load'!AT18,0))</f>
        <v>14020.370000000054</v>
      </c>
    </row>
    <row r="16" spans="1:65">
      <c r="A16" s="287" t="s">
        <v>268</v>
      </c>
      <c r="B16" s="288">
        <f t="shared" si="0"/>
        <v>15</v>
      </c>
      <c r="C16" s="288">
        <v>7</v>
      </c>
      <c r="D16" s="288">
        <v>2022</v>
      </c>
      <c r="E16" s="294">
        <f>(IF('Section Load'!F19&gt;0,'Section Load'!F19,0))</f>
        <v>3640</v>
      </c>
      <c r="F16" s="294">
        <f>(IF('Section Load'!G19&gt;0,'Section Load'!G19,0))</f>
        <v>1655</v>
      </c>
      <c r="G16" s="294">
        <f>(IF('Section Load'!H19&gt;0,'Section Load'!H19,0))</f>
        <v>2311</v>
      </c>
      <c r="H16" s="294">
        <f>(IF('Section Load'!I19&gt;0,'Section Load'!I19,0))</f>
        <v>3010</v>
      </c>
      <c r="I16" s="294">
        <f>(IF('Section Load'!J19&gt;0,'Section Load'!J19,0))</f>
        <v>9511</v>
      </c>
      <c r="J16" s="294">
        <f>(IF('Section Load'!K19&gt;0,'Section Load'!K19,0))</f>
        <v>3224</v>
      </c>
      <c r="K16" s="294">
        <f>(IF('Section Load'!L19&gt;0,'Section Load'!L19,0))</f>
        <v>977</v>
      </c>
      <c r="L16" s="294">
        <f>(IF('Section Load'!M19&gt;0,'Section Load'!M19,0))</f>
        <v>699</v>
      </c>
      <c r="M16" s="294">
        <f>(IF('Section Load'!N19&gt;0,'Section Load'!N19,0))</f>
        <v>154</v>
      </c>
      <c r="N16" s="294">
        <f>(IF('Section Load'!O19&gt;0,'Section Load'!O19,0))</f>
        <v>132</v>
      </c>
      <c r="O16" s="294">
        <f>(IF('Section Load'!P19&gt;0,'Section Load'!P19,0))</f>
        <v>16</v>
      </c>
      <c r="P16" s="294">
        <f>(IF('Section Load'!Q19&gt;0,'Section Load'!Q19,0))</f>
        <v>201</v>
      </c>
      <c r="Q16" s="294">
        <f>(IF('Section Load'!R19&gt;0,'Section Load'!R19,0))</f>
        <v>118</v>
      </c>
      <c r="R16" s="294">
        <f>(IF('Section Load'!S19&gt;0,'Section Load'!S19,0))</f>
        <v>0</v>
      </c>
      <c r="S16" s="294">
        <f>(IF('Section Load'!T19&gt;0,'Section Load'!T19,0))</f>
        <v>40</v>
      </c>
      <c r="T16" s="294">
        <f>(IF('Section Load'!U19&gt;0,'Section Load'!U19,0))</f>
        <v>243</v>
      </c>
      <c r="U16" s="294">
        <f>(IF('Section Load'!V19&gt;0,'Section Load'!V19,0))</f>
        <v>371</v>
      </c>
      <c r="V16" s="294">
        <f>(IF('Section Load'!W19&gt;0,'Section Load'!W19,0))</f>
        <v>258</v>
      </c>
      <c r="W16" s="294">
        <f>(IF('Section Load'!X19&gt;0,'Section Load'!X19,0))</f>
        <v>30</v>
      </c>
      <c r="X16" s="294">
        <f>(IF('Section Load'!Y19&gt;0,'Section Load'!Y19,0))</f>
        <v>239</v>
      </c>
      <c r="Y16" s="294">
        <f>(IF('Section Load'!Z19&gt;0,'Section Load'!Z19,0))</f>
        <v>272</v>
      </c>
      <c r="Z16" s="294">
        <f>(IF('Section Load'!AA19&gt;0,'Section Load'!AA19,0))</f>
        <v>7</v>
      </c>
      <c r="AA16" s="294">
        <f>(IF('Section Load'!AB19&gt;0,'Section Load'!AB19,0))</f>
        <v>43</v>
      </c>
      <c r="AB16" s="294">
        <f>(IF('Section Load'!AC19&gt;0,'Section Load'!AC19,0))</f>
        <v>0</v>
      </c>
      <c r="AC16" s="294">
        <f>(IF('Section Load'!AD19&gt;0,'Section Load'!AD19,0))</f>
        <v>151</v>
      </c>
      <c r="AD16" s="294">
        <f>(IF('Section Load'!AE19&gt;0,'Section Load'!AE19,0))</f>
        <v>396</v>
      </c>
      <c r="AE16" s="294">
        <f>(IF('Section Load'!AF19&gt;0,'Section Load'!AF19,0))</f>
        <v>176</v>
      </c>
      <c r="AF16" s="294">
        <f>(IF('Section Load'!AG19&gt;0,'Section Load'!AG19,0))</f>
        <v>645</v>
      </c>
      <c r="AG16" s="294">
        <f>(IF('Section Load'!AH19&gt;0,'Section Load'!AH19,0))</f>
        <v>426</v>
      </c>
      <c r="AH16" s="294">
        <f>(IF('Section Load'!AI19&gt;0,'Section Load'!AI19,0))</f>
        <v>421</v>
      </c>
      <c r="AI16" s="294">
        <f>(IF('Section Load'!AJ19&gt;0,'Section Load'!AJ19,0))</f>
        <v>457</v>
      </c>
      <c r="AJ16" s="294">
        <f>(IF('Section Load'!AK19&gt;0,'Section Load'!AK19,0))</f>
        <v>309</v>
      </c>
      <c r="AK16" s="294">
        <f>(IF('Section Load'!AL19&gt;0,'Section Load'!AL19,0))</f>
        <v>323</v>
      </c>
      <c r="AL16" s="294">
        <f>(IF('Section Load'!AM19&gt;0,'Section Load'!AM19,0))</f>
        <v>725</v>
      </c>
      <c r="AM16" s="295">
        <f>(IF('Water Report'!$R$7&gt;0,'Water Report'!$R$7,0))</f>
        <v>132</v>
      </c>
      <c r="AN16" s="295">
        <f>(IF('Water Report'!$R$8&gt;0,'Water Report'!$R$8,0))</f>
        <v>142</v>
      </c>
      <c r="AO16" s="295">
        <f>(IF('Water Report'!$R$9&gt;0,'Water Report'!$R$9,0))</f>
        <v>107</v>
      </c>
      <c r="AP16" s="295">
        <f>(IF('Water Report'!$R$10&gt;0,'Water Report'!$R$10,0))</f>
        <v>19</v>
      </c>
      <c r="AQ16" s="295">
        <f>(IF('Water Report'!$R$11&gt;0,'Water Report'!$R$11,0))</f>
        <v>0</v>
      </c>
      <c r="AR16" s="295">
        <f>(IF('Water Report'!$R$13&gt;0,'Water Report'!$R$13,0))</f>
        <v>33</v>
      </c>
      <c r="AS16" s="295">
        <f>(IF('Water Report'!$R$14&gt;0,'Water Report'!$R$14,0))</f>
        <v>22</v>
      </c>
      <c r="AT16" s="295">
        <f>(IF('Water Report'!$R$15&gt;0,'Water Report'!$R$15,0))</f>
        <v>5</v>
      </c>
      <c r="AU16" s="295">
        <f>(IF('Water Report'!$R$17&gt;0,'Water Report'!$R$17,0))</f>
        <v>0</v>
      </c>
      <c r="AV16" s="295">
        <f>(IF('Water Report'!$R$18&gt;0,'Water Report'!$R$18,0))</f>
        <v>14</v>
      </c>
      <c r="AW16" s="295">
        <f>(IF('Water Report'!$R$19&gt;0,'Water Report'!$R$19,0))</f>
        <v>14</v>
      </c>
      <c r="AX16" s="301">
        <f>(IF('Water Report'!$R$21&gt;0,'Water Report'!$R$21,0))</f>
        <v>110</v>
      </c>
      <c r="AY16" s="301">
        <f>(IF('Water Report'!$R$22&gt;0,'Water Report'!$R$22,0))</f>
        <v>0</v>
      </c>
      <c r="AZ16" s="301">
        <f>(IF('Water Report'!$R$23&gt;0,'Water Report'!$R$23,0))</f>
        <v>1</v>
      </c>
      <c r="BA16" s="301">
        <f>(IF('Water Report'!$R$14&gt;0,'Water Report'!$R$14,0))</f>
        <v>22</v>
      </c>
      <c r="BB16" s="301">
        <f>(IF('Water Report'!$R$15&gt;0,'Water Report'!$R$15,0))</f>
        <v>5</v>
      </c>
      <c r="BC16" s="301">
        <f>(IF('Water Report'!$R$13&gt;0,'Water Report'!$R$13,0))</f>
        <v>33</v>
      </c>
      <c r="BD16" s="301">
        <f>(IF('Water Report'!$R$24&gt;0,'Water Report'!$R$24,0))</f>
        <v>250</v>
      </c>
      <c r="BE16" s="301">
        <f>(IF('Water Report'!$R$25&gt;0,'Water Report'!$R$25,0))</f>
        <v>153</v>
      </c>
      <c r="BF16" s="301">
        <f>(IF('Water Report'!$R$27&gt;0,'Water Report'!$R$27,0))</f>
        <v>144</v>
      </c>
      <c r="BG16" s="296">
        <f>(IF('Section Load'!AN19&gt;0,'Section Load'!AN19,0))</f>
        <v>1000</v>
      </c>
      <c r="BH16" s="296">
        <f>(IF('Section Load'!AO19&gt;0,'Section Load'!AO19,0))</f>
        <v>312</v>
      </c>
      <c r="BI16" s="296">
        <f>(IF('Section Load'!AP19&gt;0,'Section Load'!AP19,0))</f>
        <v>0</v>
      </c>
      <c r="BJ16" s="296">
        <f>(IF('Section Load'!AQ19&gt;0,'Section Load'!AQ19,0))</f>
        <v>114</v>
      </c>
      <c r="BK16" s="296">
        <f>(IF('Section Load'!AR19&gt;0,'Section Load'!AR19,0))</f>
        <v>52</v>
      </c>
      <c r="BL16" s="296">
        <f>(IF('Section Load'!AS19&gt;0,'Section Load'!AS19,0))</f>
        <v>0</v>
      </c>
      <c r="BM16" s="296">
        <f>(IF('Section Load'!AT19&gt;0,'Section Load'!AT19,0))</f>
        <v>522</v>
      </c>
    </row>
    <row r="17" spans="1:65">
      <c r="A17" s="287" t="s">
        <v>268</v>
      </c>
      <c r="B17" s="288">
        <f t="shared" si="0"/>
        <v>16</v>
      </c>
      <c r="C17" s="288">
        <v>7</v>
      </c>
      <c r="D17" s="288">
        <v>2022</v>
      </c>
      <c r="E17" s="294">
        <f>(IF('Section Load'!F20&gt;0,'Section Load'!F20,0))</f>
        <v>3360</v>
      </c>
      <c r="F17" s="294">
        <f>(IF('Section Load'!G20&gt;0,'Section Load'!G20,0))</f>
        <v>1666</v>
      </c>
      <c r="G17" s="294">
        <f>(IF('Section Load'!H20&gt;0,'Section Load'!H20,0))</f>
        <v>2366</v>
      </c>
      <c r="H17" s="294">
        <f>(IF('Section Load'!I20&gt;0,'Section Load'!I20,0))</f>
        <v>3099</v>
      </c>
      <c r="I17" s="294">
        <f>(IF('Section Load'!J20&gt;0,'Section Load'!J20,0))</f>
        <v>10363</v>
      </c>
      <c r="J17" s="294">
        <f>(IF('Section Load'!K20&gt;0,'Section Load'!K20,0))</f>
        <v>3266</v>
      </c>
      <c r="K17" s="294">
        <f>(IF('Section Load'!L20&gt;0,'Section Load'!L20,0))</f>
        <v>861</v>
      </c>
      <c r="L17" s="294">
        <f>(IF('Section Load'!M20&gt;0,'Section Load'!M20,0))</f>
        <v>634</v>
      </c>
      <c r="M17" s="294">
        <f>(IF('Section Load'!N20&gt;0,'Section Load'!N20,0))</f>
        <v>146</v>
      </c>
      <c r="N17" s="294">
        <f>(IF('Section Load'!O20&gt;0,'Section Load'!O20,0))</f>
        <v>124</v>
      </c>
      <c r="O17" s="294">
        <f>(IF('Section Load'!P20&gt;0,'Section Load'!P20,0))</f>
        <v>17</v>
      </c>
      <c r="P17" s="294">
        <f>(IF('Section Load'!Q20&gt;0,'Section Load'!Q20,0))</f>
        <v>206</v>
      </c>
      <c r="Q17" s="294">
        <f>(IF('Section Load'!R20&gt;0,'Section Load'!R20,0))</f>
        <v>149</v>
      </c>
      <c r="R17" s="294">
        <f>(IF('Section Load'!S20&gt;0,'Section Load'!S20,0))</f>
        <v>0</v>
      </c>
      <c r="S17" s="294">
        <f>(IF('Section Load'!T20&gt;0,'Section Load'!T20,0))</f>
        <v>45</v>
      </c>
      <c r="T17" s="294">
        <f>(IF('Section Load'!U20&gt;0,'Section Load'!U20,0))</f>
        <v>237</v>
      </c>
      <c r="U17" s="294">
        <f>(IF('Section Load'!V20&gt;0,'Section Load'!V20,0))</f>
        <v>366</v>
      </c>
      <c r="V17" s="294">
        <f>(IF('Section Load'!W20&gt;0,'Section Load'!W20,0))</f>
        <v>240</v>
      </c>
      <c r="W17" s="294">
        <f>(IF('Section Load'!X20&gt;0,'Section Load'!X20,0))</f>
        <v>28</v>
      </c>
      <c r="X17" s="294">
        <f>(IF('Section Load'!Y20&gt;0,'Section Load'!Y20,0))</f>
        <v>248</v>
      </c>
      <c r="Y17" s="294">
        <f>(IF('Section Load'!Z20&gt;0,'Section Load'!Z20,0))</f>
        <v>272</v>
      </c>
      <c r="Z17" s="294">
        <f>(IF('Section Load'!AA20&gt;0,'Section Load'!AA20,0))</f>
        <v>6</v>
      </c>
      <c r="AA17" s="294">
        <f>(IF('Section Load'!AB20&gt;0,'Section Load'!AB20,0))</f>
        <v>41</v>
      </c>
      <c r="AB17" s="294">
        <f>(IF('Section Load'!AC20&gt;0,'Section Load'!AC20,0))</f>
        <v>0</v>
      </c>
      <c r="AC17" s="294">
        <f>(IF('Section Load'!AD20&gt;0,'Section Load'!AD20,0))</f>
        <v>197</v>
      </c>
      <c r="AD17" s="294">
        <f>(IF('Section Load'!AE20&gt;0,'Section Load'!AE20,0))</f>
        <v>395</v>
      </c>
      <c r="AE17" s="294">
        <f>(IF('Section Load'!AF20&gt;0,'Section Load'!AF20,0))</f>
        <v>220</v>
      </c>
      <c r="AF17" s="294">
        <f>(IF('Section Load'!AG20&gt;0,'Section Load'!AG20,0))</f>
        <v>667</v>
      </c>
      <c r="AG17" s="294">
        <f>(IF('Section Load'!AH20&gt;0,'Section Load'!AH20,0))</f>
        <v>435</v>
      </c>
      <c r="AH17" s="294">
        <f>(IF('Section Load'!AI20&gt;0,'Section Load'!AI20,0))</f>
        <v>431</v>
      </c>
      <c r="AI17" s="294">
        <f>(IF('Section Load'!AJ20&gt;0,'Section Load'!AJ20,0))</f>
        <v>448</v>
      </c>
      <c r="AJ17" s="294">
        <f>(IF('Section Load'!AK20&gt;0,'Section Load'!AK20,0))</f>
        <v>302</v>
      </c>
      <c r="AK17" s="294">
        <f>(IF('Section Load'!AL20&gt;0,'Section Load'!AL20,0))</f>
        <v>324</v>
      </c>
      <c r="AL17" s="294">
        <f>(IF('Section Load'!AM20&gt;0,'Section Load'!AM20,0))</f>
        <v>622</v>
      </c>
      <c r="AM17" s="295">
        <f>(IF('Water Report'!$S$7&gt;0,'Water Report'!$S$7,0))</f>
        <v>123</v>
      </c>
      <c r="AN17" s="295">
        <f>(IF('Water Report'!$S$8&gt;0,'Water Report'!$S$8,0))</f>
        <v>127</v>
      </c>
      <c r="AO17" s="295">
        <f>(IF('Water Report'!$S$9&gt;0,'Water Report'!$S$9,0))</f>
        <v>123</v>
      </c>
      <c r="AP17" s="295">
        <f>(IF('Water Report'!$S$10&gt;0,'Water Report'!$D$10,0))</f>
        <v>10</v>
      </c>
      <c r="AQ17" s="295">
        <f>(IF('Water Report'!$S$11&gt;0,'Water Report'!$D$11,0))</f>
        <v>0</v>
      </c>
      <c r="AR17" s="295">
        <f>(IF('Water Report'!$S$13&gt;0,'Water Report'!$D$13,0))</f>
        <v>33</v>
      </c>
      <c r="AS17" s="295">
        <f>(IF('Water Report'!$S$14&gt;0,'Water Report'!$D$14,0))</f>
        <v>4</v>
      </c>
      <c r="AT17" s="295">
        <f>(IF('Water Report'!$S$15&gt;0,'Water Report'!$D$15,0))</f>
        <v>10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14</v>
      </c>
      <c r="AY17" s="301">
        <f>(IF('Water Report'!$S$22&gt;0,'Water Report'!$D$22,0))</f>
        <v>0</v>
      </c>
      <c r="AZ17" s="301">
        <f>(IF('Water Report'!$S$23&gt;0,'Water Report'!$D$23,0))</f>
        <v>9</v>
      </c>
      <c r="BA17" s="301">
        <f>(IF('Water Report'!$S$14&gt;0,'Water Report'!$D$14,0))</f>
        <v>4</v>
      </c>
      <c r="BB17" s="301">
        <f>(IF('Water Report'!$S$15&gt;0,'Water Report'!$D$15,0))</f>
        <v>10</v>
      </c>
      <c r="BC17" s="301">
        <f>(IF('Water Report'!$S$13&gt;0,'Water Report'!$D$13,0))</f>
        <v>33</v>
      </c>
      <c r="BD17" s="301">
        <f>(IF('Water Report'!$S$24&gt;0,'Water Report'!$D$24,0))</f>
        <v>198</v>
      </c>
      <c r="BE17" s="301">
        <f>(IF('Water Report'!$S$25&gt;0,'Water Report'!$D$25,0))</f>
        <v>101</v>
      </c>
      <c r="BF17" s="301">
        <f>(IF('Water Report'!$S$27&gt;0,'Water Report'!$D$27,0))</f>
        <v>56</v>
      </c>
      <c r="BG17" s="296">
        <f>(IF('Section Load'!AN20&gt;0,'Section Load'!AN20,0))</f>
        <v>1000</v>
      </c>
      <c r="BH17" s="296">
        <f>(IF('Section Load'!AO20&gt;0,'Section Load'!AO20,0))</f>
        <v>311</v>
      </c>
      <c r="BI17" s="296">
        <f>(IF('Section Load'!AP20&gt;0,'Section Load'!AP20,0))</f>
        <v>0</v>
      </c>
      <c r="BJ17" s="296">
        <f>(IF('Section Load'!AQ20&gt;0,'Section Load'!AQ20,0))</f>
        <v>63</v>
      </c>
      <c r="BK17" s="296">
        <f>(IF('Section Load'!AR20&gt;0,'Section Load'!AR20,0))</f>
        <v>43</v>
      </c>
      <c r="BL17" s="296">
        <f>(IF('Section Load'!AS20&gt;0,'Section Load'!AS20,0))</f>
        <v>0</v>
      </c>
      <c r="BM17" s="296">
        <f>(IF('Section Load'!AT20&gt;0,'Section Load'!AT20,0))</f>
        <v>583</v>
      </c>
    </row>
    <row r="18" spans="1:65">
      <c r="A18" s="287" t="s">
        <v>268</v>
      </c>
      <c r="B18" s="288">
        <f t="shared" si="0"/>
        <v>17</v>
      </c>
      <c r="C18" s="288">
        <v>7</v>
      </c>
      <c r="D18" s="288">
        <v>2022</v>
      </c>
      <c r="E18" s="294">
        <f>(IF('Section Load'!F21&gt;0,'Section Load'!F21,0))</f>
        <v>3494</v>
      </c>
      <c r="F18" s="294">
        <f>(IF('Section Load'!G21&gt;0,'Section Load'!G21,0))</f>
        <v>1704</v>
      </c>
      <c r="G18" s="294">
        <f>(IF('Section Load'!H21&gt;0,'Section Load'!H21,0))</f>
        <v>2355</v>
      </c>
      <c r="H18" s="294">
        <f>(IF('Section Load'!I21&gt;0,'Section Load'!I21,0))</f>
        <v>3142</v>
      </c>
      <c r="I18" s="294">
        <f>(IF('Section Load'!J21&gt;0,'Section Load'!J21,0))</f>
        <v>10550</v>
      </c>
      <c r="J18" s="294">
        <f>(IF('Section Load'!K21&gt;0,'Section Load'!K21,0))</f>
        <v>3226</v>
      </c>
      <c r="K18" s="294">
        <f>(IF('Section Load'!L21&gt;0,'Section Load'!L21,0))</f>
        <v>1457</v>
      </c>
      <c r="L18" s="294">
        <f>(IF('Section Load'!M21&gt;0,'Section Load'!M21,0))</f>
        <v>721</v>
      </c>
      <c r="M18" s="294">
        <f>(IF('Section Load'!N21&gt;0,'Section Load'!N21,0))</f>
        <v>134</v>
      </c>
      <c r="N18" s="294">
        <f>(IF('Section Load'!O21&gt;0,'Section Load'!O21,0))</f>
        <v>210</v>
      </c>
      <c r="O18" s="294">
        <f>(IF('Section Load'!P21&gt;0,'Section Load'!P21,0))</f>
        <v>18</v>
      </c>
      <c r="P18" s="294">
        <f>(IF('Section Load'!Q21&gt;0,'Section Load'!Q21,0))</f>
        <v>217</v>
      </c>
      <c r="Q18" s="294">
        <f>(IF('Section Load'!R21&gt;0,'Section Load'!R21,0))</f>
        <v>138</v>
      </c>
      <c r="R18" s="294">
        <f>(IF('Section Load'!S21&gt;0,'Section Load'!S21,0))</f>
        <v>0</v>
      </c>
      <c r="S18" s="294">
        <f>(IF('Section Load'!T21&gt;0,'Section Load'!T21,0))</f>
        <v>44</v>
      </c>
      <c r="T18" s="294">
        <f>(IF('Section Load'!U21&gt;0,'Section Load'!U21,0))</f>
        <v>244</v>
      </c>
      <c r="U18" s="294">
        <f>(IF('Section Load'!V21&gt;0,'Section Load'!V21,0))</f>
        <v>411</v>
      </c>
      <c r="V18" s="294">
        <f>(IF('Section Load'!W21&gt;0,'Section Load'!W21,0))</f>
        <v>314</v>
      </c>
      <c r="W18" s="294">
        <f>(IF('Section Load'!X21&gt;0,'Section Load'!X21,0))</f>
        <v>32</v>
      </c>
      <c r="X18" s="294">
        <f>(IF('Section Load'!Y21&gt;0,'Section Load'!Y21,0))</f>
        <v>222</v>
      </c>
      <c r="Y18" s="294">
        <f>(IF('Section Load'!Z21&gt;0,'Section Load'!Z21,0))</f>
        <v>262</v>
      </c>
      <c r="Z18" s="294">
        <f>(IF('Section Load'!AA21&gt;0,'Section Load'!AA21,0))</f>
        <v>15</v>
      </c>
      <c r="AA18" s="294">
        <f>(IF('Section Load'!AB21&gt;0,'Section Load'!AB21,0))</f>
        <v>39</v>
      </c>
      <c r="AB18" s="294">
        <f>(IF('Section Load'!AC21&gt;0,'Section Load'!AC21,0))</f>
        <v>4.9999999999272404E-2</v>
      </c>
      <c r="AC18" s="294">
        <f>(IF('Section Load'!AD21&gt;0,'Section Load'!AD21,0))</f>
        <v>184</v>
      </c>
      <c r="AD18" s="294">
        <f>(IF('Section Load'!AE21&gt;0,'Section Load'!AE21,0))</f>
        <v>372</v>
      </c>
      <c r="AE18" s="294">
        <f>(IF('Section Load'!AF21&gt;0,'Section Load'!AF21,0))</f>
        <v>273</v>
      </c>
      <c r="AF18" s="294">
        <f>(IF('Section Load'!AG21&gt;0,'Section Load'!AG21,0))</f>
        <v>669</v>
      </c>
      <c r="AG18" s="294">
        <f>(IF('Section Load'!AH21&gt;0,'Section Load'!AH21,0))</f>
        <v>459</v>
      </c>
      <c r="AH18" s="294">
        <f>(IF('Section Load'!AI21&gt;0,'Section Load'!AI21,0))</f>
        <v>425</v>
      </c>
      <c r="AI18" s="294">
        <f>(IF('Section Load'!AJ21&gt;0,'Section Load'!AJ21,0))</f>
        <v>454</v>
      </c>
      <c r="AJ18" s="294">
        <f>(IF('Section Load'!AK21&gt;0,'Section Load'!AK21,0))</f>
        <v>314</v>
      </c>
      <c r="AK18" s="294">
        <f>(IF('Section Load'!AL21&gt;0,'Section Load'!AL21,0))</f>
        <v>317</v>
      </c>
      <c r="AL18" s="294">
        <f>(IF('Section Load'!AM21&gt;0,'Section Load'!AM21,0))</f>
        <v>609</v>
      </c>
      <c r="AM18" s="295">
        <f>(IF('Water Report'!$T$7&gt;0,'Water Report'!$T$7,0))</f>
        <v>117</v>
      </c>
      <c r="AN18" s="295">
        <f>(IF('Water Report'!$T$8&gt;0,'Water Report'!$T$8,0))</f>
        <v>109</v>
      </c>
      <c r="AO18" s="295">
        <f>(IF('Water Report'!$T$9&gt;0,'Water Report'!$T$9,0))</f>
        <v>119</v>
      </c>
      <c r="AP18" s="295">
        <f>(IF('Water Report'!$T$10&gt;0,'Water Report'!$T$10,0))</f>
        <v>20</v>
      </c>
      <c r="AQ18" s="295">
        <f>(IF('Water Report'!$T$11&gt;0,'Water Report'!$T$11,0))</f>
        <v>0</v>
      </c>
      <c r="AR18" s="295">
        <f>(IF('Water Report'!$T$13&gt;0,'Water Report'!$T$13,0))</f>
        <v>66</v>
      </c>
      <c r="AS18" s="295">
        <f>(IF('Water Report'!$T$14&gt;0,'Water Report'!$T$14,0))</f>
        <v>7</v>
      </c>
      <c r="AT18" s="295">
        <f>(IF('Water Report'!$T$15&gt;0,'Water Report'!$T$15,0))</f>
        <v>6</v>
      </c>
      <c r="AU18" s="295">
        <f>(IF('Water Report'!$T$17&gt;0,'Water Report'!$T$17,0))</f>
        <v>0</v>
      </c>
      <c r="AV18" s="295">
        <f>(IF('Water Report'!$T$18&gt;0,'Water Report'!$T$18,0))</f>
        <v>14</v>
      </c>
      <c r="AW18" s="295">
        <f>(IF('Water Report'!$T$19&gt;0,'Water Report'!$T$19,0))</f>
        <v>12</v>
      </c>
      <c r="AX18" s="301">
        <f>(IF('Water Report'!$T$21&gt;0,'Water Report'!$T$21,0))</f>
        <v>64</v>
      </c>
      <c r="AY18" s="301">
        <f>(IF('Water Report'!$T$22&gt;0,'Water Report'!$T$22,0))</f>
        <v>0</v>
      </c>
      <c r="AZ18" s="301">
        <f>(IF('Water Report'!$T$23&gt;0,'Water Report'!$T$23,0))</f>
        <v>2</v>
      </c>
      <c r="BA18" s="301">
        <f>(IF('Water Report'!$T$14&gt;0,'Water Report'!$T$14,0))</f>
        <v>7</v>
      </c>
      <c r="BB18" s="301">
        <f>(IF('Water Report'!$T$15&gt;0,'Water Report'!$T$15,0))</f>
        <v>6</v>
      </c>
      <c r="BC18" s="301">
        <f>(IF('Water Report'!$T$13&gt;0,'Water Report'!$T$13,0))</f>
        <v>66</v>
      </c>
      <c r="BD18" s="301">
        <f>(IF('Water Report'!$T$24&gt;0,'Water Report'!$T$24,0))</f>
        <v>283</v>
      </c>
      <c r="BE18" s="301">
        <f>(IF('Water Report'!$T$25&gt;0,'Water Report'!$T$25,0))</f>
        <v>152</v>
      </c>
      <c r="BF18" s="301">
        <f>(IF('Water Report'!$T$27&gt;0,'Water Report'!$T$27,0))</f>
        <v>132</v>
      </c>
      <c r="BG18" s="296">
        <f>(IF('Section Load'!AN21&gt;0,'Section Load'!AN21,0))</f>
        <v>1000</v>
      </c>
      <c r="BH18" s="296">
        <f>(IF('Section Load'!AO21&gt;0,'Section Load'!AO21,0))</f>
        <v>293.52000000001863</v>
      </c>
      <c r="BI18" s="296">
        <f>(IF('Section Load'!AP21&gt;0,'Section Load'!AP21,0))</f>
        <v>0</v>
      </c>
      <c r="BJ18" s="296">
        <f>(IF('Section Load'!AQ21&gt;0,'Section Load'!AQ21,0))</f>
        <v>132</v>
      </c>
      <c r="BK18" s="296">
        <f>(IF('Section Load'!AR21&gt;0,'Section Load'!AR21,0))</f>
        <v>38</v>
      </c>
      <c r="BL18" s="296">
        <f>(IF('Section Load'!AS21&gt;0,'Section Load'!AS21,0))</f>
        <v>0</v>
      </c>
      <c r="BM18" s="296">
        <f>(IF('Section Load'!AT21&gt;0,'Section Load'!AT21,0))</f>
        <v>536.47999999998137</v>
      </c>
    </row>
    <row r="19" spans="1:65">
      <c r="A19" s="287" t="s">
        <v>268</v>
      </c>
      <c r="B19" s="288">
        <f t="shared" si="0"/>
        <v>18</v>
      </c>
      <c r="C19" s="288">
        <v>7</v>
      </c>
      <c r="D19" s="288">
        <v>2022</v>
      </c>
      <c r="E19" s="294">
        <f>(IF('Section Load'!F22&gt;0,'Section Load'!F22,0))</f>
        <v>3488</v>
      </c>
      <c r="F19" s="294">
        <f>(IF('Section Load'!G22&gt;0,'Section Load'!G22,0))</f>
        <v>1729</v>
      </c>
      <c r="G19" s="294">
        <f>(IF('Section Load'!H22&gt;0,'Section Load'!H22,0))</f>
        <v>2397</v>
      </c>
      <c r="H19" s="294">
        <f>(IF('Section Load'!I22&gt;0,'Section Load'!I22,0))</f>
        <v>3158</v>
      </c>
      <c r="I19" s="294">
        <f>(IF('Section Load'!J22&gt;0,'Section Load'!J22,0))</f>
        <v>10831</v>
      </c>
      <c r="J19" s="294">
        <f>(IF('Section Load'!K22&gt;0,'Section Load'!K22,0))</f>
        <v>3098</v>
      </c>
      <c r="K19" s="294">
        <f>(IF('Section Load'!L22&gt;0,'Section Load'!L22,0))</f>
        <v>1503</v>
      </c>
      <c r="L19" s="294">
        <f>(IF('Section Load'!M22&gt;0,'Section Load'!M22,0))</f>
        <v>1045</v>
      </c>
      <c r="M19" s="294">
        <f>(IF('Section Load'!N22&gt;0,'Section Load'!N22,0))</f>
        <v>134</v>
      </c>
      <c r="N19" s="294">
        <f>(IF('Section Load'!O22&gt;0,'Section Load'!O22,0))</f>
        <v>149</v>
      </c>
      <c r="O19" s="294">
        <f>(IF('Section Load'!P22&gt;0,'Section Load'!P22,0))</f>
        <v>15</v>
      </c>
      <c r="P19" s="294">
        <f>(IF('Section Load'!Q22&gt;0,'Section Load'!Q22,0))</f>
        <v>214</v>
      </c>
      <c r="Q19" s="294">
        <f>(IF('Section Load'!R22&gt;0,'Section Load'!R22,0))</f>
        <v>145</v>
      </c>
      <c r="R19" s="294">
        <f>(IF('Section Load'!S22&gt;0,'Section Load'!S22,0))</f>
        <v>0</v>
      </c>
      <c r="S19" s="294">
        <f>(IF('Section Load'!T22&gt;0,'Section Load'!T22,0))</f>
        <v>45</v>
      </c>
      <c r="T19" s="294">
        <f>(IF('Section Load'!U22&gt;0,'Section Load'!U22,0))</f>
        <v>231</v>
      </c>
      <c r="U19" s="294">
        <f>(IF('Section Load'!V22&gt;0,'Section Load'!V22,0))</f>
        <v>430</v>
      </c>
      <c r="V19" s="294">
        <f>(IF('Section Load'!W22&gt;0,'Section Load'!W22,0))</f>
        <v>327</v>
      </c>
      <c r="W19" s="294">
        <f>(IF('Section Load'!X22&gt;0,'Section Load'!X22,0))</f>
        <v>27</v>
      </c>
      <c r="X19" s="294">
        <f>(IF('Section Load'!Y22&gt;0,'Section Load'!Y22,0))</f>
        <v>244</v>
      </c>
      <c r="Y19" s="294">
        <f>(IF('Section Load'!Z22&gt;0,'Section Load'!Z22,0))</f>
        <v>287</v>
      </c>
      <c r="Z19" s="294">
        <f>(IF('Section Load'!AA22&gt;0,'Section Load'!AA22,0))</f>
        <v>3</v>
      </c>
      <c r="AA19" s="294">
        <f>(IF('Section Load'!AB22&gt;0,'Section Load'!AB22,0))</f>
        <v>42</v>
      </c>
      <c r="AB19" s="294">
        <f>(IF('Section Load'!AC22&gt;0,'Section Load'!AC22,0))</f>
        <v>0</v>
      </c>
      <c r="AC19" s="294">
        <f>(IF('Section Load'!AD22&gt;0,'Section Load'!AD22,0))</f>
        <v>172</v>
      </c>
      <c r="AD19" s="294">
        <f>(IF('Section Load'!AE22&gt;0,'Section Load'!AE22,0))</f>
        <v>409</v>
      </c>
      <c r="AE19" s="294">
        <f>(IF('Section Load'!AF22&gt;0,'Section Load'!AF22,0))</f>
        <v>280</v>
      </c>
      <c r="AF19" s="294">
        <f>(IF('Section Load'!AG22&gt;0,'Section Load'!AG22,0))</f>
        <v>650</v>
      </c>
      <c r="AG19" s="294">
        <f>(IF('Section Load'!AH22&gt;0,'Section Load'!AH22,0))</f>
        <v>447</v>
      </c>
      <c r="AH19" s="294">
        <f>(IF('Section Load'!AI22&gt;0,'Section Load'!AI22,0))</f>
        <v>435</v>
      </c>
      <c r="AI19" s="294">
        <f>(IF('Section Load'!AJ22&gt;0,'Section Load'!AJ22,0))</f>
        <v>461</v>
      </c>
      <c r="AJ19" s="294">
        <f>(IF('Section Load'!AK22&gt;0,'Section Load'!AK22,0))</f>
        <v>314</v>
      </c>
      <c r="AK19" s="294">
        <f>(IF('Section Load'!AL22&gt;0,'Section Load'!AL22,0))</f>
        <v>314</v>
      </c>
      <c r="AL19" s="294">
        <f>(IF('Section Load'!AM22&gt;0,'Section Load'!AM22,0))</f>
        <v>628</v>
      </c>
      <c r="AM19" s="295">
        <f>(IF('Water Report'!$U$7&gt;0,'Water Report'!$U$7,0))</f>
        <v>118</v>
      </c>
      <c r="AN19" s="295">
        <f>(IF('Water Report'!$U$8&gt;0,'Water Report'!$U$8,0))</f>
        <v>168</v>
      </c>
      <c r="AO19" s="295">
        <f>(IF('Water Report'!$U$9&gt;0,'Water Report'!$U$9,0))</f>
        <v>112</v>
      </c>
      <c r="AP19" s="295">
        <f>(IF('Water Report'!$U$10&gt;0,'Water Report'!$U$10,0))</f>
        <v>24</v>
      </c>
      <c r="AQ19" s="295">
        <f>(IF('Water Report'!$U$11&gt;0,'Water Report'!$U$11,0))</f>
        <v>0</v>
      </c>
      <c r="AR19" s="295">
        <f>(IF('Water Report'!$U$13&gt;0,'Water Report'!$U$13,0))</f>
        <v>59</v>
      </c>
      <c r="AS19" s="295">
        <f>(IF('Water Report'!$U$14&gt;0,'Water Report'!$U$14,0))</f>
        <v>9</v>
      </c>
      <c r="AT19" s="295">
        <f>(IF('Water Report'!$U$15&gt;0,'Water Report'!$U$15,0))</f>
        <v>7</v>
      </c>
      <c r="AU19" s="295">
        <f>(IF('Water Report'!$U$17&gt;0,'Water Report'!$U$17,0))</f>
        <v>0</v>
      </c>
      <c r="AV19" s="295">
        <f>(IF('Water Report'!$U$18&gt;0,'Water Report'!$U$18,0))</f>
        <v>15</v>
      </c>
      <c r="AW19" s="295">
        <f>(IF('Water Report'!$U$19&gt;0,'Water Report'!$U$19,0))</f>
        <v>14</v>
      </c>
      <c r="AX19" s="301">
        <f>(IF('Water Report'!$U$21&gt;0,'Water Report'!$U$21,0))</f>
        <v>108</v>
      </c>
      <c r="AY19" s="301">
        <f>(IF('Water Report'!$U$22&gt;0,'Water Report'!$U$22,0))</f>
        <v>0</v>
      </c>
      <c r="AZ19" s="301">
        <f>(IF('Water Report'!$U$23&gt;0,'Water Report'!$U$23,0))</f>
        <v>3</v>
      </c>
      <c r="BA19" s="301">
        <f>(IF('Water Report'!$U$14&gt;0,'Water Report'!$U$14,0))</f>
        <v>9</v>
      </c>
      <c r="BB19" s="301">
        <f>(IF('Water Report'!$U$15&gt;0,'Water Report'!$U$15,0))</f>
        <v>7</v>
      </c>
      <c r="BC19" s="301">
        <f>(IF('Water Report'!$U$13&gt;0,'Water Report'!$U$13,0))</f>
        <v>59</v>
      </c>
      <c r="BD19" s="301">
        <f>(IF('Water Report'!$U$24&gt;0,'Water Report'!$U$24,0))</f>
        <v>232</v>
      </c>
      <c r="BE19" s="301">
        <f>(IF('Water Report'!$U$25&gt;0,'Water Report'!$U$25,0))</f>
        <v>152</v>
      </c>
      <c r="BF19" s="301">
        <f>(IF('Water Report'!$U$27&gt;0,'Water Report'!$U$27,0))</f>
        <v>170</v>
      </c>
      <c r="BG19" s="296">
        <f>(IF('Section Load'!AN22&gt;0,'Section Load'!AN22,0))</f>
        <v>1000</v>
      </c>
      <c r="BH19" s="296">
        <f>(IF('Section Load'!AO22&gt;0,'Section Load'!AO22,0))</f>
        <v>297.47999999998137</v>
      </c>
      <c r="BI19" s="296">
        <f>(IF('Section Load'!AP22&gt;0,'Section Load'!AP22,0))</f>
        <v>0</v>
      </c>
      <c r="BJ19" s="296">
        <f>(IF('Section Load'!AQ22&gt;0,'Section Load'!AQ22,0))</f>
        <v>111</v>
      </c>
      <c r="BK19" s="296">
        <f>(IF('Section Load'!AR22&gt;0,'Section Load'!AR22,0))</f>
        <v>50</v>
      </c>
      <c r="BL19" s="296">
        <f>(IF('Section Load'!AS22&gt;0,'Section Load'!AS22,0))</f>
        <v>0</v>
      </c>
      <c r="BM19" s="296">
        <f>(IF('Section Load'!AT22&gt;0,'Section Load'!AT22,0))</f>
        <v>541.52000000001863</v>
      </c>
    </row>
    <row r="20" spans="1:65">
      <c r="A20" s="287" t="s">
        <v>268</v>
      </c>
      <c r="B20" s="288">
        <f t="shared" si="0"/>
        <v>19</v>
      </c>
      <c r="C20" s="288">
        <v>7</v>
      </c>
      <c r="D20" s="288">
        <v>2022</v>
      </c>
      <c r="E20" s="294">
        <f>(IF('Section Load'!F23&gt;0,'Section Load'!F23,0))</f>
        <v>3557</v>
      </c>
      <c r="F20" s="294">
        <f>(IF('Section Load'!G23&gt;0,'Section Load'!G23,0))</f>
        <v>1734</v>
      </c>
      <c r="G20" s="294">
        <f>(IF('Section Load'!H23&gt;0,'Section Load'!H23,0))</f>
        <v>2342</v>
      </c>
      <c r="H20" s="294">
        <f>(IF('Section Load'!I23&gt;0,'Section Load'!I23,0))</f>
        <v>3175</v>
      </c>
      <c r="I20" s="294">
        <f>(IF('Section Load'!J23&gt;0,'Section Load'!J23,0))</f>
        <v>10354</v>
      </c>
      <c r="J20" s="294">
        <f>(IF('Section Load'!K23&gt;0,'Section Load'!K23,0))</f>
        <v>3130</v>
      </c>
      <c r="K20" s="294">
        <f>(IF('Section Load'!L23&gt;0,'Section Load'!L23,0))</f>
        <v>958</v>
      </c>
      <c r="L20" s="294">
        <f>(IF('Section Load'!M23&gt;0,'Section Load'!M23,0))</f>
        <v>1321</v>
      </c>
      <c r="M20" s="294">
        <f>(IF('Section Load'!N23&gt;0,'Section Load'!N23,0))</f>
        <v>137</v>
      </c>
      <c r="N20" s="294">
        <f>(IF('Section Load'!O23&gt;0,'Section Load'!O23,0))</f>
        <v>150</v>
      </c>
      <c r="O20" s="294">
        <f>(IF('Section Load'!P23&gt;0,'Section Load'!P23,0))</f>
        <v>14</v>
      </c>
      <c r="P20" s="294">
        <f>(IF('Section Load'!Q23&gt;0,'Section Load'!Q23,0))</f>
        <v>221</v>
      </c>
      <c r="Q20" s="294">
        <f>(IF('Section Load'!R23&gt;0,'Section Load'!R23,0))</f>
        <v>148</v>
      </c>
      <c r="R20" s="294">
        <f>(IF('Section Load'!S23&gt;0,'Section Load'!S23,0))</f>
        <v>0</v>
      </c>
      <c r="S20" s="294">
        <f>(IF('Section Load'!T23&gt;0,'Section Load'!T23,0))</f>
        <v>38</v>
      </c>
      <c r="T20" s="294">
        <f>(IF('Section Load'!U23&gt;0,'Section Load'!U23,0))</f>
        <v>250</v>
      </c>
      <c r="U20" s="294">
        <f>(IF('Section Load'!V23&gt;0,'Section Load'!V23,0))</f>
        <v>381</v>
      </c>
      <c r="V20" s="294">
        <f>(IF('Section Load'!W23&gt;0,'Section Load'!W23,0))</f>
        <v>517</v>
      </c>
      <c r="W20" s="294">
        <f>(IF('Section Load'!X23&gt;0,'Section Load'!X23,0))</f>
        <v>28</v>
      </c>
      <c r="X20" s="294">
        <f>(IF('Section Load'!Y23&gt;0,'Section Load'!Y23,0))</f>
        <v>216</v>
      </c>
      <c r="Y20" s="294">
        <f>(IF('Section Load'!Z23&gt;0,'Section Load'!Z23,0))</f>
        <v>291</v>
      </c>
      <c r="Z20" s="294">
        <f>(IF('Section Load'!AA23&gt;0,'Section Load'!AA23,0))</f>
        <v>10</v>
      </c>
      <c r="AA20" s="294">
        <f>(IF('Section Load'!AB23&gt;0,'Section Load'!AB23,0))</f>
        <v>16</v>
      </c>
      <c r="AB20" s="294">
        <f>(IF('Section Load'!AC23&gt;0,'Section Load'!AC23,0))</f>
        <v>0</v>
      </c>
      <c r="AC20" s="294">
        <f>(IF('Section Load'!AD23&gt;0,'Section Load'!AD23,0))</f>
        <v>164</v>
      </c>
      <c r="AD20" s="294">
        <f>(IF('Section Load'!AE23&gt;0,'Section Load'!AE23,0))</f>
        <v>482</v>
      </c>
      <c r="AE20" s="294">
        <f>(IF('Section Load'!AF23&gt;0,'Section Load'!AF23,0))</f>
        <v>285</v>
      </c>
      <c r="AF20" s="294">
        <f>(IF('Section Load'!AG23&gt;0,'Section Load'!AG23,0))</f>
        <v>643</v>
      </c>
      <c r="AG20" s="294">
        <f>(IF('Section Load'!AH23&gt;0,'Section Load'!AH23,0))</f>
        <v>461</v>
      </c>
      <c r="AH20" s="294">
        <f>(IF('Section Load'!AI23&gt;0,'Section Load'!AI23,0))</f>
        <v>431</v>
      </c>
      <c r="AI20" s="294">
        <f>(IF('Section Load'!AJ23&gt;0,'Section Load'!AJ23,0))</f>
        <v>455</v>
      </c>
      <c r="AJ20" s="294">
        <f>(IF('Section Load'!AK23&gt;0,'Section Load'!AK23,0))</f>
        <v>277</v>
      </c>
      <c r="AK20" s="294">
        <f>(IF('Section Load'!AL23&gt;0,'Section Load'!AL23,0))</f>
        <v>314</v>
      </c>
      <c r="AL20" s="294">
        <f>(IF('Section Load'!AM23&gt;0,'Section Load'!AM23,0))</f>
        <v>623</v>
      </c>
      <c r="AM20" s="295">
        <f>(IF('Water Report'!$V$7&gt;0,'Water Report'!$V$7,0))</f>
        <v>116</v>
      </c>
      <c r="AN20" s="295">
        <f>(IF('Water Report'!$V$8&gt;0,'Water Report'!$V$8,0))</f>
        <v>157</v>
      </c>
      <c r="AO20" s="295">
        <f>(IF('Water Report'!$V$9&gt;0,'Water Report'!$V$9,0))</f>
        <v>110</v>
      </c>
      <c r="AP20" s="295">
        <f>(IF('Water Report'!$V$10&gt;0,'Water Report'!$V$10,0))</f>
        <v>23</v>
      </c>
      <c r="AQ20" s="295">
        <f>(IF('Water Report'!$V$11&gt;0,'Water Report'!$V$11,0))</f>
        <v>0</v>
      </c>
      <c r="AR20" s="295">
        <f>(IF('Water Report'!$V$13&gt;0,'Water Report'!$V$13,0))</f>
        <v>45</v>
      </c>
      <c r="AS20" s="295">
        <f>(IF('Water Report'!$V$14&gt;0,'Water Report'!$V$14,0))</f>
        <v>11</v>
      </c>
      <c r="AT20" s="295">
        <f>(IF('Water Report'!$V$15&gt;0,'Water Report'!$V$15,0))</f>
        <v>8</v>
      </c>
      <c r="AU20" s="295">
        <f>(IF('Water Report'!$V$17&gt;0,'Water Report'!$V$17,0))</f>
        <v>0</v>
      </c>
      <c r="AV20" s="295">
        <f>(IF('Water Report'!$V$18&gt;0,'Water Report'!$V$18,0))</f>
        <v>16</v>
      </c>
      <c r="AW20" s="295">
        <f>(IF('Water Report'!$V$19&gt;0,'Water Report'!$V$19,0))</f>
        <v>11</v>
      </c>
      <c r="AX20" s="301">
        <f>(IF('Water Report'!$V$21&gt;0,'Water Report'!$V$21,0))</f>
        <v>111</v>
      </c>
      <c r="AY20" s="301">
        <f>(IF('Water Report'!$V$22&gt;0,'Water Report'!$V$22,0))</f>
        <v>0</v>
      </c>
      <c r="AZ20" s="301">
        <f>(IF('Water Report'!$V$23&gt;0,'Water Report'!$V$23,0))</f>
        <v>2</v>
      </c>
      <c r="BA20" s="301">
        <f>(IF('Water Report'!$V$14&gt;0,'Water Report'!$V$14,0))</f>
        <v>11</v>
      </c>
      <c r="BB20" s="301">
        <f>(IF('Water Report'!$V$15&gt;0,'Water Report'!$V$15,0))</f>
        <v>8</v>
      </c>
      <c r="BC20" s="301">
        <f>(IF('Water Report'!$V$13&gt;0,'Water Report'!$V$13,0))</f>
        <v>45</v>
      </c>
      <c r="BD20" s="301">
        <f>(IF('Water Report'!$V$24&gt;0,'Water Report'!$V$24,0))</f>
        <v>212</v>
      </c>
      <c r="BE20" s="301">
        <f>(IF('Water Report'!$V$25&gt;0,'Water Report'!$V$25,0))</f>
        <v>152</v>
      </c>
      <c r="BF20" s="301">
        <f>(IF('Water Report'!$V$27&gt;0,'Water Report'!$V$27,0))</f>
        <v>158</v>
      </c>
      <c r="BG20" s="296">
        <f>(IF('Section Load'!AN23&gt;0,'Section Load'!AN23,0))</f>
        <v>1000</v>
      </c>
      <c r="BH20" s="296">
        <f>(IF('Section Load'!AO23&gt;0,'Section Load'!AO23,0))</f>
        <v>300</v>
      </c>
      <c r="BI20" s="296">
        <f>(IF('Section Load'!AP23&gt;0,'Section Load'!AP23,0))</f>
        <v>0</v>
      </c>
      <c r="BJ20" s="296">
        <f>(IF('Section Load'!AQ23&gt;0,'Section Load'!AQ23,0))</f>
        <v>118</v>
      </c>
      <c r="BK20" s="296">
        <f>(IF('Section Load'!AR23&gt;0,'Section Load'!AR23,0))</f>
        <v>63</v>
      </c>
      <c r="BL20" s="296">
        <f>(IF('Section Load'!AS23&gt;0,'Section Load'!AS23,0))</f>
        <v>0</v>
      </c>
      <c r="BM20" s="296">
        <f>(IF('Section Load'!AT23&gt;0,'Section Load'!AT23,0))</f>
        <v>519</v>
      </c>
    </row>
    <row r="21" spans="1:65">
      <c r="A21" s="287" t="s">
        <v>268</v>
      </c>
      <c r="B21" s="288">
        <f t="shared" si="0"/>
        <v>20</v>
      </c>
      <c r="C21" s="288">
        <v>7</v>
      </c>
      <c r="D21" s="288">
        <v>2022</v>
      </c>
      <c r="E21" s="294">
        <f>(IF('Section Load'!F24&gt;0,'Section Load'!F24,0))</f>
        <v>3591</v>
      </c>
      <c r="F21" s="294">
        <f>(IF('Section Load'!G24&gt;0,'Section Load'!G24,0))</f>
        <v>1669</v>
      </c>
      <c r="G21" s="294">
        <f>(IF('Section Load'!H24&gt;0,'Section Load'!H24,0))</f>
        <v>2341</v>
      </c>
      <c r="H21" s="294">
        <f>(IF('Section Load'!I24&gt;0,'Section Load'!I24,0))</f>
        <v>3213</v>
      </c>
      <c r="I21" s="294">
        <f>(IF('Section Load'!J24&gt;0,'Section Load'!J24,0))</f>
        <v>9993</v>
      </c>
      <c r="J21" s="294">
        <f>(IF('Section Load'!K24&gt;0,'Section Load'!K24,0))</f>
        <v>3092</v>
      </c>
      <c r="K21" s="294">
        <f>(IF('Section Load'!L24&gt;0,'Section Load'!L24,0))</f>
        <v>1133</v>
      </c>
      <c r="L21" s="294">
        <f>(IF('Section Load'!M24&gt;0,'Section Load'!M24,0))</f>
        <v>1199</v>
      </c>
      <c r="M21" s="294">
        <f>(IF('Section Load'!N24&gt;0,'Section Load'!N24,0))</f>
        <v>147</v>
      </c>
      <c r="N21" s="294">
        <f>(IF('Section Load'!O24&gt;0,'Section Load'!O24,0))</f>
        <v>152</v>
      </c>
      <c r="O21" s="294">
        <f>(IF('Section Load'!P24&gt;0,'Section Load'!P24,0))</f>
        <v>16</v>
      </c>
      <c r="P21" s="294">
        <f>(IF('Section Load'!Q24&gt;0,'Section Load'!Q24,0))</f>
        <v>203</v>
      </c>
      <c r="Q21" s="294">
        <f>(IF('Section Load'!R24&gt;0,'Section Load'!R24,0))</f>
        <v>114</v>
      </c>
      <c r="R21" s="294">
        <f>(IF('Section Load'!S24&gt;0,'Section Load'!S24,0))</f>
        <v>0</v>
      </c>
      <c r="S21" s="294">
        <f>(IF('Section Load'!T24&gt;0,'Section Load'!T24,0))</f>
        <v>47</v>
      </c>
      <c r="T21" s="294">
        <f>(IF('Section Load'!U24&gt;0,'Section Load'!U24,0))</f>
        <v>239</v>
      </c>
      <c r="U21" s="294">
        <f>(IF('Section Load'!V24&gt;0,'Section Load'!V24,0))</f>
        <v>410</v>
      </c>
      <c r="V21" s="294">
        <f>(IF('Section Load'!W24&gt;0,'Section Load'!W24,0))</f>
        <v>560</v>
      </c>
      <c r="W21" s="294">
        <f>(IF('Section Load'!X24&gt;0,'Section Load'!X24,0))</f>
        <v>29</v>
      </c>
      <c r="X21" s="294">
        <f>(IF('Section Load'!Y24&gt;0,'Section Load'!Y24,0))</f>
        <v>254</v>
      </c>
      <c r="Y21" s="294">
        <f>(IF('Section Load'!Z24&gt;0,'Section Load'!Z24,0))</f>
        <v>294</v>
      </c>
      <c r="Z21" s="294">
        <f>(IF('Section Load'!AA24&gt;0,'Section Load'!AA24,0))</f>
        <v>244</v>
      </c>
      <c r="AA21" s="294">
        <f>(IF('Section Load'!AB24&gt;0,'Section Load'!AB24,0))</f>
        <v>41</v>
      </c>
      <c r="AB21" s="294">
        <f>(IF('Section Load'!AC24&gt;0,'Section Load'!AC24,0))</f>
        <v>0</v>
      </c>
      <c r="AC21" s="294">
        <f>(IF('Section Load'!AD24&gt;0,'Section Load'!AD24,0))</f>
        <v>174</v>
      </c>
      <c r="AD21" s="294">
        <f>(IF('Section Load'!AE24&gt;0,'Section Load'!AE24,0))</f>
        <v>455</v>
      </c>
      <c r="AE21" s="294">
        <f>(IF('Section Load'!AF24&gt;0,'Section Load'!AF24,0))</f>
        <v>292</v>
      </c>
      <c r="AF21" s="294">
        <f>(IF('Section Load'!AG24&gt;0,'Section Load'!AG24,0))</f>
        <v>639</v>
      </c>
      <c r="AG21" s="294">
        <f>(IF('Section Load'!AH24&gt;0,'Section Load'!AH24,0))</f>
        <v>468</v>
      </c>
      <c r="AH21" s="294">
        <f>(IF('Section Load'!AI24&gt;0,'Section Load'!AI24,0))</f>
        <v>428</v>
      </c>
      <c r="AI21" s="294">
        <f>(IF('Section Load'!AJ24&gt;0,'Section Load'!AJ24,0))</f>
        <v>473</v>
      </c>
      <c r="AJ21" s="294">
        <f>(IF('Section Load'!AK24&gt;0,'Section Load'!AK24,0))</f>
        <v>280</v>
      </c>
      <c r="AK21" s="294">
        <f>(IF('Section Load'!AL24&gt;0,'Section Load'!AL24,0))</f>
        <v>313</v>
      </c>
      <c r="AL21" s="294">
        <f>(IF('Section Load'!AM24&gt;0,'Section Load'!AM24,0))</f>
        <v>619</v>
      </c>
      <c r="AM21" s="295">
        <f>(IF('Water Report'!$W$7&gt;0,'Water Report'!$W$7,0))</f>
        <v>125</v>
      </c>
      <c r="AN21" s="295">
        <f>(IF('Water Report'!$W$8&gt;0,'Water Report'!$W$8,0))</f>
        <v>145</v>
      </c>
      <c r="AO21" s="295">
        <f>(IF('Water Report'!$W$9&gt;0,'Water Report'!$W$9,0))</f>
        <v>117</v>
      </c>
      <c r="AP21" s="295">
        <f>(IF('Water Report'!$W$10&gt;0,'Water Report'!$W$10,0))</f>
        <v>23</v>
      </c>
      <c r="AQ21" s="295">
        <f>(IF('Water Report'!$W$11&gt;0,'Water Report'!$W$11,0))</f>
        <v>0</v>
      </c>
      <c r="AR21" s="295">
        <f>(IF('Water Report'!$W$13&gt;0,'Water Report'!$W$13,0))</f>
        <v>36</v>
      </c>
      <c r="AS21" s="295">
        <f>(IF('Water Report'!$W$14&gt;0,'Water Report'!$W$14,0))</f>
        <v>7</v>
      </c>
      <c r="AT21" s="295">
        <f>(IF('Water Report'!$W$15&gt;0,'Water Report'!$W$15,0))</f>
        <v>20</v>
      </c>
      <c r="AU21" s="295">
        <f>(IF('Water Report'!$W$17&gt;0,'Water Report'!$W$17,0))</f>
        <v>0</v>
      </c>
      <c r="AV21" s="295">
        <f>(IF('Water Report'!$W$18&gt;0,'Water Report'!$W$18,0))</f>
        <v>14</v>
      </c>
      <c r="AW21" s="295">
        <f>(IF('Water Report'!$W$19&gt;0,'Water Report'!$W$19,0))</f>
        <v>11</v>
      </c>
      <c r="AX21" s="301">
        <f>(IF('Water Report'!$W$21&gt;0,'Water Report'!$W$21,0))</f>
        <v>110</v>
      </c>
      <c r="AY21" s="301">
        <f>(IF('Water Report'!$W$22&gt;0,'Water Report'!$W$22,0))</f>
        <v>0</v>
      </c>
      <c r="AZ21" s="301">
        <f>(IF('Water Report'!$W$23&gt;0,'Water Report'!$W$23,0))</f>
        <v>2</v>
      </c>
      <c r="BA21" s="301">
        <f>(IF('Water Report'!$W$14&gt;0,'Water Report'!$W$14,0))</f>
        <v>7</v>
      </c>
      <c r="BB21" s="301">
        <f>(IF('Water Report'!$W$15&gt;0,'Water Report'!$W$15,0))</f>
        <v>20</v>
      </c>
      <c r="BC21" s="301">
        <f>(IF('Water Report'!$W$13&gt;0,'Water Report'!$W$13,0))</f>
        <v>36</v>
      </c>
      <c r="BD21" s="301">
        <f>(IF('Water Report'!$W$24&gt;0,'Water Report'!$W$24,0))</f>
        <v>253</v>
      </c>
      <c r="BE21" s="301">
        <f>(IF('Water Report'!$W$25&gt;0,'Water Report'!$W$25,0))</f>
        <v>167</v>
      </c>
      <c r="BF21" s="301">
        <f>(IF('Water Report'!$W$27&gt;0,'Water Report'!$W$27,0))</f>
        <v>148</v>
      </c>
      <c r="BG21" s="296">
        <f>(IF('Section Load'!AN24&gt;0,'Section Load'!AN24,0))</f>
        <v>1000</v>
      </c>
      <c r="BH21" s="296">
        <f>(IF('Section Load'!AO24&gt;0,'Section Load'!AO24,0))</f>
        <v>296</v>
      </c>
      <c r="BI21" s="296">
        <f>(IF('Section Load'!AP24&gt;0,'Section Load'!AP24,0))</f>
        <v>0</v>
      </c>
      <c r="BJ21" s="296">
        <f>(IF('Section Load'!AQ24&gt;0,'Section Load'!AQ24,0))</f>
        <v>103</v>
      </c>
      <c r="BK21" s="296">
        <f>(IF('Section Load'!AR24&gt;0,'Section Load'!AR24,0))</f>
        <v>42</v>
      </c>
      <c r="BL21" s="296">
        <f>(IF('Section Load'!AS24&gt;0,'Section Load'!AS24,0))</f>
        <v>0</v>
      </c>
      <c r="BM21" s="296">
        <f>(IF('Section Load'!AT24&gt;0,'Section Load'!AT24,0))</f>
        <v>559</v>
      </c>
    </row>
    <row r="22" spans="1:65">
      <c r="A22" s="287" t="s">
        <v>268</v>
      </c>
      <c r="B22" s="288">
        <f t="shared" si="0"/>
        <v>21</v>
      </c>
      <c r="C22" s="288">
        <v>7</v>
      </c>
      <c r="D22" s="288">
        <v>2022</v>
      </c>
      <c r="E22" s="294">
        <f>(IF('Section Load'!F25&gt;0,'Section Load'!F25,0))</f>
        <v>3632.070000000007</v>
      </c>
      <c r="F22" s="294">
        <f>(IF('Section Load'!G25&gt;0,'Section Load'!G25,0))</f>
        <v>1661.0499999999884</v>
      </c>
      <c r="G22" s="294">
        <f>(IF('Section Load'!H25&gt;0,'Section Load'!H25,0))</f>
        <v>2383.1500000000233</v>
      </c>
      <c r="H22" s="294">
        <f>(IF('Section Load'!I25&gt;0,'Section Load'!I25,0))</f>
        <v>3123.9099999999744</v>
      </c>
      <c r="I22" s="294">
        <f>(IF('Section Load'!J25&gt;0,'Section Load'!J25,0))</f>
        <v>7747.2600000000384</v>
      </c>
      <c r="J22" s="294">
        <f>(IF('Section Load'!K25&gt;0,'Section Load'!K25,0))</f>
        <v>3040.2299999999959</v>
      </c>
      <c r="K22" s="294">
        <f>(IF('Section Load'!L25&gt;0,'Section Load'!L25,0))</f>
        <v>1132.4100000000035</v>
      </c>
      <c r="L22" s="294">
        <f>(IF('Section Load'!M25&gt;0,'Section Load'!M25,0))</f>
        <v>811.32999999998719</v>
      </c>
      <c r="M22" s="294">
        <f>(IF('Section Load'!N25&gt;0,'Section Load'!N25,0))</f>
        <v>138</v>
      </c>
      <c r="N22" s="294">
        <f>(IF('Section Load'!O25&gt;0,'Section Load'!O25,0))</f>
        <v>170</v>
      </c>
      <c r="O22" s="294">
        <f>(IF('Section Load'!P25&gt;0,'Section Load'!P25,0))</f>
        <v>18.090000000000032</v>
      </c>
      <c r="P22" s="294">
        <f>(IF('Section Load'!Q25&gt;0,'Section Load'!Q25,0))</f>
        <v>221.75</v>
      </c>
      <c r="Q22" s="294">
        <f>(IF('Section Load'!R25&gt;0,'Section Load'!R25,0))</f>
        <v>137.79000000000087</v>
      </c>
      <c r="R22" s="294">
        <f>(IF('Section Load'!S25&gt;0,'Section Load'!S25,0))</f>
        <v>0</v>
      </c>
      <c r="S22" s="294">
        <f>(IF('Section Load'!T25&gt;0,'Section Load'!T25,0))</f>
        <v>45</v>
      </c>
      <c r="T22" s="294">
        <f>(IF('Section Load'!U25&gt;0,'Section Load'!U25,0))</f>
        <v>255</v>
      </c>
      <c r="U22" s="294">
        <f>(IF('Section Load'!V25&gt;0,'Section Load'!V25,0))</f>
        <v>380.43999999994412</v>
      </c>
      <c r="V22" s="294">
        <f>(IF('Section Load'!W25&gt;0,'Section Load'!W25,0))</f>
        <v>292.07999999995809</v>
      </c>
      <c r="W22" s="294">
        <f>(IF('Section Load'!X25&gt;0,'Section Load'!X25,0))</f>
        <v>32.1899999999996</v>
      </c>
      <c r="X22" s="294">
        <f>(IF('Section Load'!Y25&gt;0,'Section Load'!Y25,0))</f>
        <v>240.40000000000146</v>
      </c>
      <c r="Y22" s="294">
        <f>(IF('Section Load'!Z25&gt;0,'Section Load'!Z25,0))</f>
        <v>283</v>
      </c>
      <c r="Z22" s="294">
        <f>(IF('Section Load'!AA25&gt;0,'Section Load'!AA25,0))</f>
        <v>225.23999999999069</v>
      </c>
      <c r="AA22" s="294">
        <f>(IF('Section Load'!AB25&gt;0,'Section Load'!AB25,0))</f>
        <v>40.19999999999709</v>
      </c>
      <c r="AB22" s="294">
        <f>(IF('Section Load'!AC25&gt;0,'Section Load'!AC25,0))</f>
        <v>0</v>
      </c>
      <c r="AC22" s="294">
        <f>(IF('Section Load'!AD25&gt;0,'Section Load'!AD25,0))</f>
        <v>178.10000000000002</v>
      </c>
      <c r="AD22" s="294">
        <f>(IF('Section Load'!AE25&gt;0,'Section Load'!AE25,0))</f>
        <v>419.19000000000233</v>
      </c>
      <c r="AE22" s="294">
        <f>(IF('Section Load'!AF25&gt;0,'Section Load'!AF25,0))</f>
        <v>339.56000000000131</v>
      </c>
      <c r="AF22" s="294">
        <f>(IF('Section Load'!AG25&gt;0,'Section Load'!AG25,0))</f>
        <v>668.65000000000146</v>
      </c>
      <c r="AG22" s="294">
        <f>(IF('Section Load'!AH25&gt;0,'Section Load'!AH25,0))</f>
        <v>392.15000000000146</v>
      </c>
      <c r="AH22" s="294">
        <f>(IF('Section Load'!AI25&gt;0,'Section Load'!AI25,0))</f>
        <v>426.56000000000131</v>
      </c>
      <c r="AI22" s="294">
        <f>(IF('Section Load'!AJ25&gt;0,'Section Load'!AJ25,0))</f>
        <v>461.20999999999913</v>
      </c>
      <c r="AJ22" s="294">
        <f>(IF('Section Load'!AK25&gt;0,'Section Load'!AK25,0))</f>
        <v>236.02000000000044</v>
      </c>
      <c r="AK22" s="294">
        <f>(IF('Section Load'!AL25&gt;0,'Section Load'!AL25,0))</f>
        <v>315.31000000000131</v>
      </c>
      <c r="AL22" s="294">
        <f>(IF('Section Load'!AM25&gt;0,'Section Load'!AM25,0))</f>
        <v>623.91000000000349</v>
      </c>
      <c r="AM22" s="295">
        <f>(IF('Water Report'!$X$7&gt;0,'Water Report'!$X$7,0))</f>
        <v>103</v>
      </c>
      <c r="AN22" s="295">
        <f>(IF('Water Report'!$X$8&gt;0,'Water Report'!$X$8,0))</f>
        <v>115</v>
      </c>
      <c r="AO22" s="295">
        <f>(IF('Water Report'!$X$9&gt;0,'Water Report'!$X$9,0))</f>
        <v>102</v>
      </c>
      <c r="AP22" s="295">
        <f>(IF('Water Report'!$X$10&gt;0,'Water Report'!$X$10,0))</f>
        <v>15</v>
      </c>
      <c r="AQ22" s="295">
        <f>(IF('Water Report'!$X$11&gt;0,'Water Report'!$X$11,0))</f>
        <v>0</v>
      </c>
      <c r="AR22" s="295">
        <f>(IF('Water Report'!$X$13&gt;0,'Water Report'!$X$13,0))</f>
        <v>33</v>
      </c>
      <c r="AS22" s="295">
        <f>(IF('Water Report'!$X$14&gt;0,'Water Report'!$X$14,0))</f>
        <v>3</v>
      </c>
      <c r="AT22" s="295">
        <f>(IF('Water Report'!$X$15&gt;0,'Water Report'!$X$15,0))</f>
        <v>5</v>
      </c>
      <c r="AU22" s="295">
        <f>(IF('Water Report'!$X$17&gt;0,'Water Report'!$X$17,0))</f>
        <v>0</v>
      </c>
      <c r="AV22" s="295">
        <f>(IF('Water Report'!$X$18&gt;0,'Water Report'!$X$18,0))</f>
        <v>17</v>
      </c>
      <c r="AW22" s="295">
        <f>(IF('Water Report'!$X$19&gt;0,'Water Report'!$X$19,0))</f>
        <v>13</v>
      </c>
      <c r="AX22" s="301">
        <f>(IF('Water Report'!$X$21&gt;0,'Water Report'!$X$21,0))</f>
        <v>116</v>
      </c>
      <c r="AY22" s="301">
        <f>(IF('Water Report'!$X$22&gt;0,'Water Report'!$X$22,0))</f>
        <v>0</v>
      </c>
      <c r="AZ22" s="301">
        <f>(IF('Water Report'!$X$23&gt;0,'Water Report'!$X$23,0))</f>
        <v>0</v>
      </c>
      <c r="BA22" s="301">
        <f>(IF('Water Report'!$X$14&gt;0,'Water Report'!$X$14,0))</f>
        <v>3</v>
      </c>
      <c r="BB22" s="301">
        <f>(IF('Water Report'!$X$15&gt;0,'Water Report'!$X$15,0))</f>
        <v>5</v>
      </c>
      <c r="BC22" s="301">
        <f>(IF('Water Report'!$X$13&gt;0,'Water Report'!$X$13,0))</f>
        <v>33</v>
      </c>
      <c r="BD22" s="301">
        <f>(IF('Water Report'!$X$24&gt;0,'Water Report'!$X$24,0))</f>
        <v>263</v>
      </c>
      <c r="BE22" s="301">
        <f>(IF('Water Report'!$X$25&gt;0,'Water Report'!$X$25,0))</f>
        <v>125</v>
      </c>
      <c r="BF22" s="301">
        <f>(IF('Water Report'!$X$27&gt;0,'Water Report'!$X$27,0))</f>
        <v>149</v>
      </c>
      <c r="BG22" s="296">
        <f>(IF('Section Load'!AN25&gt;0,'Section Load'!AN25,0))</f>
        <v>1000</v>
      </c>
      <c r="BH22" s="296">
        <f>(IF('Section Load'!AO25&gt;0,'Section Load'!AO25,0))</f>
        <v>293.61999999999534</v>
      </c>
      <c r="BI22" s="296">
        <f>(IF('Section Load'!AP25&gt;0,'Section Load'!AP25,0))</f>
        <v>0</v>
      </c>
      <c r="BJ22" s="296">
        <f>(IF('Section Load'!AQ25&gt;0,'Section Load'!AQ25,0))</f>
        <v>113.63000000000466</v>
      </c>
      <c r="BK22" s="296">
        <f>(IF('Section Load'!AR25&gt;0,'Section Load'!AR25,0))</f>
        <v>45.400000000001455</v>
      </c>
      <c r="BL22" s="296">
        <f>(IF('Section Load'!AS25&gt;0,'Section Load'!AS25,0))</f>
        <v>0</v>
      </c>
      <c r="BM22" s="296">
        <f>(IF('Section Load'!AT25&gt;0,'Section Load'!AT25,0))</f>
        <v>547.34999999999854</v>
      </c>
    </row>
    <row r="23" spans="1:65">
      <c r="A23" s="287" t="s">
        <v>268</v>
      </c>
      <c r="B23" s="288">
        <f t="shared" si="0"/>
        <v>22</v>
      </c>
      <c r="C23" s="288">
        <v>7</v>
      </c>
      <c r="D23" s="288">
        <v>2022</v>
      </c>
      <c r="E23" s="294">
        <f>(IF('Section Load'!F26&gt;0,'Section Load'!F26,0))</f>
        <v>3530.4400000000023</v>
      </c>
      <c r="F23" s="294">
        <f>(IF('Section Load'!G26&gt;0,'Section Load'!G26,0))</f>
        <v>1658.7399999999907</v>
      </c>
      <c r="G23" s="294">
        <f>(IF('Section Load'!H26&gt;0,'Section Load'!H26,0))</f>
        <v>2286.3999999999651</v>
      </c>
      <c r="H23" s="294">
        <f>(IF('Section Load'!I26&gt;0,'Section Load'!I26,0))</f>
        <v>3040.2400000000489</v>
      </c>
      <c r="I23" s="294">
        <f>(IF('Section Load'!J26&gt;0,'Section Load'!J26,0))</f>
        <v>8692.7099999999773</v>
      </c>
      <c r="J23" s="294">
        <f>(IF('Section Load'!K26&gt;0,'Section Load'!K26,0))</f>
        <v>3050.0600000000268</v>
      </c>
      <c r="K23" s="294">
        <f>(IF('Section Load'!L26&gt;0,'Section Load'!L26,0))</f>
        <v>1142.5</v>
      </c>
      <c r="L23" s="294">
        <f>(IF('Section Load'!M26&gt;0,'Section Load'!M26,0))</f>
        <v>719.92000000001281</v>
      </c>
      <c r="M23" s="294">
        <f>(IF('Section Load'!N26&gt;0,'Section Load'!N26,0))</f>
        <v>129</v>
      </c>
      <c r="N23" s="294">
        <f>(IF('Section Load'!O26&gt;0,'Section Load'!O26,0))</f>
        <v>172</v>
      </c>
      <c r="O23" s="294">
        <f>(IF('Section Load'!P26&gt;0,'Section Load'!P26,0))</f>
        <v>17.069999999999936</v>
      </c>
      <c r="P23" s="294">
        <f>(IF('Section Load'!Q26&gt;0,'Section Load'!Q26,0))</f>
        <v>200.22999999999593</v>
      </c>
      <c r="Q23" s="294">
        <f>(IF('Section Load'!R26&gt;0,'Section Load'!R26,0))</f>
        <v>102.95999999999913</v>
      </c>
      <c r="R23" s="294">
        <f>(IF('Section Load'!S26&gt;0,'Section Load'!S26,0))</f>
        <v>0</v>
      </c>
      <c r="S23" s="294">
        <f>(IF('Section Load'!T26&gt;0,'Section Load'!T26,0))</f>
        <v>46</v>
      </c>
      <c r="T23" s="294">
        <f>(IF('Section Load'!U26&gt;0,'Section Load'!U26,0))</f>
        <v>253</v>
      </c>
      <c r="U23" s="294">
        <f>(IF('Section Load'!V26&gt;0,'Section Load'!V26,0))</f>
        <v>365.44000000006054</v>
      </c>
      <c r="V23" s="294">
        <f>(IF('Section Load'!W26&gt;0,'Section Load'!W26,0))</f>
        <v>315.52000000001863</v>
      </c>
      <c r="W23" s="294">
        <f>(IF('Section Load'!X26&gt;0,'Section Load'!X26,0))</f>
        <v>28.420000000000073</v>
      </c>
      <c r="X23" s="294">
        <f>(IF('Section Load'!Y26&gt;0,'Section Load'!Y26,0))</f>
        <v>275.12999999999738</v>
      </c>
      <c r="Y23" s="294">
        <f>(IF('Section Load'!Z26&gt;0,'Section Load'!Z26,0))</f>
        <v>284</v>
      </c>
      <c r="Z23" s="294">
        <f>(IF('Section Load'!AA26&gt;0,'Section Load'!AA26,0))</f>
        <v>181.76000000000931</v>
      </c>
      <c r="AA23" s="294">
        <f>(IF('Section Load'!AB26&gt;0,'Section Load'!AB26,0))</f>
        <v>43.30000000000291</v>
      </c>
      <c r="AB23" s="294">
        <f>(IF('Section Load'!AC26&gt;0,'Section Load'!AC26,0))</f>
        <v>0.18999999999869033</v>
      </c>
      <c r="AC23" s="294">
        <f>(IF('Section Load'!AD26&gt;0,'Section Load'!AD26,0))</f>
        <v>163.59999999999957</v>
      </c>
      <c r="AD23" s="294">
        <f>(IF('Section Load'!AE26&gt;0,'Section Load'!AE26,0))</f>
        <v>406.79999999999563</v>
      </c>
      <c r="AE23" s="294">
        <f>(IF('Section Load'!AF26&gt;0,'Section Load'!AF26,0))</f>
        <v>278.40999999999985</v>
      </c>
      <c r="AF23" s="294">
        <f>(IF('Section Load'!AG26&gt;0,'Section Load'!AG26,0))</f>
        <v>658.15999999999622</v>
      </c>
      <c r="AG23" s="294">
        <f>(IF('Section Load'!AH26&gt;0,'Section Load'!AH26,0))</f>
        <v>296.62999999999738</v>
      </c>
      <c r="AH23" s="294">
        <f>(IF('Section Load'!AI26&gt;0,'Section Load'!AI26,0))</f>
        <v>433.55999999999767</v>
      </c>
      <c r="AI23" s="294">
        <f>(IF('Section Load'!AJ26&gt;0,'Section Load'!AJ26,0))</f>
        <v>471.59999999999854</v>
      </c>
      <c r="AJ23" s="294">
        <f>(IF('Section Load'!AK26&gt;0,'Section Load'!AK26,0))</f>
        <v>295.31999999999971</v>
      </c>
      <c r="AK23" s="294">
        <f>(IF('Section Load'!AL26&gt;0,'Section Load'!AL26,0))</f>
        <v>312.40999999999985</v>
      </c>
      <c r="AL23" s="294">
        <f>(IF('Section Load'!AM26&gt;0,'Section Load'!AM26,0))</f>
        <v>605.13999999998487</v>
      </c>
      <c r="AM23" s="295">
        <f>(IF('Water Report'!$Y$7&gt;0,'Water Report'!$Y$7,0))</f>
        <v>95</v>
      </c>
      <c r="AN23" s="295">
        <f>(IF('Water Report'!$Y$8&gt;0,'Water Report'!$Y$8,0))</f>
        <v>133</v>
      </c>
      <c r="AO23" s="295">
        <f>(IF('Water Report'!$Y$9&gt;0,'Water Report'!$Y$9,0))</f>
        <v>100</v>
      </c>
      <c r="AP23" s="295">
        <f>(IF('Water Report'!$Y$10&gt;0,'Water Report'!$Y$10,0))</f>
        <v>19</v>
      </c>
      <c r="AQ23" s="295">
        <f>(IF('Water Report'!$Y$11&gt;0,'Water Report'!$Y$11,0))</f>
        <v>0</v>
      </c>
      <c r="AR23" s="295">
        <f>(IF('Water Report'!$Y$13&gt;0,'Water Report'!$Y$13,0))</f>
        <v>51</v>
      </c>
      <c r="AS23" s="295">
        <f>(IF('Water Report'!$Y$14&gt;0,'Water Report'!$Y$14,0))</f>
        <v>5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11</v>
      </c>
      <c r="AX23" s="301">
        <f>(IF('Water Report'!$Y$21&gt;0,'Water Report'!$Y$21,0))</f>
        <v>115</v>
      </c>
      <c r="AY23" s="301">
        <f>(IF('Water Report'!$Y$22&gt;0,'Water Report'!$Y$22,0))</f>
        <v>0</v>
      </c>
      <c r="AZ23" s="301">
        <f>(IF('Water Report'!$Y$23&gt;0,'Water Report'!$Y$23,0))</f>
        <v>3</v>
      </c>
      <c r="BA23" s="301">
        <f>(IF('Water Report'!$Y$14&gt;0,'Water Report'!$Y$14,0))</f>
        <v>5</v>
      </c>
      <c r="BB23" s="301">
        <f>(IF('Water Report'!$Y$15&gt;0,'Water Report'!$Y$15,0))</f>
        <v>6</v>
      </c>
      <c r="BC23" s="301">
        <f>(IF('Water Report'!$Y$13&gt;0,'Water Report'!$Y$13,0))</f>
        <v>51</v>
      </c>
      <c r="BD23" s="301">
        <f>(IF('Water Report'!$Y$24&gt;0,'Water Report'!$Y$24,0))</f>
        <v>243</v>
      </c>
      <c r="BE23" s="301">
        <f>(IF('Water Report'!$Y$25&gt;0,'Water Report'!$Y$25,0))</f>
        <v>130</v>
      </c>
      <c r="BF23" s="301">
        <f>(IF('Water Report'!$Y$27&gt;0,'Water Report'!$Y$27,0))</f>
        <v>169</v>
      </c>
      <c r="BG23" s="296">
        <f>(IF('Section Load'!AN26&gt;0,'Section Load'!AN26,0))</f>
        <v>1000</v>
      </c>
      <c r="BH23" s="296">
        <f>(IF('Section Load'!AO26&gt;0,'Section Load'!AO26,0))</f>
        <v>299.88000000000466</v>
      </c>
      <c r="BI23" s="296">
        <f>(IF('Section Load'!AP26&gt;0,'Section Load'!AP26,0))</f>
        <v>0</v>
      </c>
      <c r="BJ23" s="296">
        <f>(IF('Section Load'!AQ26&gt;0,'Section Load'!AQ26,0))</f>
        <v>97.869999999995343</v>
      </c>
      <c r="BK23" s="296">
        <f>(IF('Section Load'!AR26&gt;0,'Section Load'!AR26,0))</f>
        <v>34.799999999995634</v>
      </c>
      <c r="BL23" s="296">
        <f>(IF('Section Load'!AS26&gt;0,'Section Load'!AS26,0))</f>
        <v>0</v>
      </c>
      <c r="BM23" s="296">
        <f>(IF('Section Load'!AT26&gt;0,'Section Load'!AT26,0))</f>
        <v>567.45000000000437</v>
      </c>
    </row>
    <row r="24" spans="1:65">
      <c r="A24" s="287" t="s">
        <v>268</v>
      </c>
      <c r="B24" s="288">
        <f t="shared" si="0"/>
        <v>23</v>
      </c>
      <c r="C24" s="288">
        <v>7</v>
      </c>
      <c r="D24" s="288">
        <v>2022</v>
      </c>
      <c r="E24" s="294">
        <f>(IF('Section Load'!F27&gt;0,'Section Load'!F27,0))</f>
        <v>3675.1599999999744</v>
      </c>
      <c r="F24" s="294">
        <f>(IF('Section Load'!G27&gt;0,'Section Load'!G27,0))</f>
        <v>1637.1100000000442</v>
      </c>
      <c r="G24" s="294">
        <f>(IF('Section Load'!H27&gt;0,'Section Load'!H27,0))</f>
        <v>2279.8400000000256</v>
      </c>
      <c r="H24" s="294">
        <f>(IF('Section Load'!I27&gt;0,'Section Load'!I27,0))</f>
        <v>3028.1199999999953</v>
      </c>
      <c r="I24" s="294">
        <f>(IF('Section Load'!J27&gt;0,'Section Load'!J27,0))</f>
        <v>7278.6699999999983</v>
      </c>
      <c r="J24" s="294">
        <f>(IF('Section Load'!K27&gt;0,'Section Load'!K27,0))</f>
        <v>3016.6300000000047</v>
      </c>
      <c r="K24" s="294">
        <f>(IF('Section Load'!L27&gt;0,'Section Load'!L27,0))</f>
        <v>1188.2799999999988</v>
      </c>
      <c r="L24" s="294">
        <f>(IF('Section Load'!M27&gt;0,'Section Load'!M27,0))</f>
        <v>775.07999999998719</v>
      </c>
      <c r="M24" s="294">
        <f>(IF('Section Load'!N27&gt;0,'Section Load'!N27,0))</f>
        <v>135</v>
      </c>
      <c r="N24" s="294">
        <f>(IF('Section Load'!O27&gt;0,'Section Load'!O27,0))</f>
        <v>150</v>
      </c>
      <c r="O24" s="294">
        <f>(IF('Section Load'!P27&gt;0,'Section Load'!P27,0))</f>
        <v>16.970000000000027</v>
      </c>
      <c r="P24" s="294">
        <f>(IF('Section Load'!Q27&gt;0,'Section Load'!Q27,0))</f>
        <v>217.30000000000291</v>
      </c>
      <c r="Q24" s="294">
        <f>(IF('Section Load'!R27&gt;0,'Section Load'!R27,0))</f>
        <v>93.400000000001455</v>
      </c>
      <c r="R24" s="294">
        <f>(IF('Section Load'!S27&gt;0,'Section Load'!S27,0))</f>
        <v>0.31000000000040018</v>
      </c>
      <c r="S24" s="294">
        <f>(IF('Section Load'!T27&gt;0,'Section Load'!T27,0))</f>
        <v>72</v>
      </c>
      <c r="T24" s="294">
        <f>(IF('Section Load'!U27&gt;0,'Section Load'!U27,0))</f>
        <v>231</v>
      </c>
      <c r="U24" s="294">
        <f>(IF('Section Load'!V27&gt;0,'Section Load'!V27,0))</f>
        <v>364.11999999999534</v>
      </c>
      <c r="V24" s="294">
        <f>(IF('Section Load'!W27&gt;0,'Section Load'!W27,0))</f>
        <v>307.04000000003725</v>
      </c>
      <c r="W24" s="294">
        <f>(IF('Section Load'!X27&gt;0,'Section Load'!X27,0))</f>
        <v>28.530000000000655</v>
      </c>
      <c r="X24" s="294">
        <f>(IF('Section Load'!Y27&gt;0,'Section Load'!Y27,0))</f>
        <v>295.88999999999942</v>
      </c>
      <c r="Y24" s="294">
        <f>(IF('Section Load'!Z27&gt;0,'Section Load'!Z27,0))</f>
        <v>243</v>
      </c>
      <c r="Z24" s="294">
        <f>(IF('Section Load'!AA27&gt;0,'Section Load'!AA27,0))</f>
        <v>194.52000000001863</v>
      </c>
      <c r="AA24" s="294">
        <f>(IF('Section Load'!AB27&gt;0,'Section Load'!AB27,0))</f>
        <v>46.899999999994179</v>
      </c>
      <c r="AB24" s="294">
        <f>(IF('Section Load'!AC27&gt;0,'Section Load'!AC27,0))</f>
        <v>0</v>
      </c>
      <c r="AC24" s="294">
        <f>(IF('Section Load'!AD27&gt;0,'Section Load'!AD27,0))</f>
        <v>192.20000000000005</v>
      </c>
      <c r="AD24" s="294">
        <f>(IF('Section Load'!AE27&gt;0,'Section Load'!AE27,0))</f>
        <v>398.77000000000407</v>
      </c>
      <c r="AE24" s="294">
        <f>(IF('Section Load'!AF27&gt;0,'Section Load'!AF27,0))</f>
        <v>305.02000000000044</v>
      </c>
      <c r="AF24" s="294">
        <f>(IF('Section Load'!AG27&gt;0,'Section Load'!AG27,0))</f>
        <v>667.38999999999942</v>
      </c>
      <c r="AG24" s="294">
        <f>(IF('Section Load'!AH27&gt;0,'Section Load'!AH27,0))</f>
        <v>272.88000000000102</v>
      </c>
      <c r="AH24" s="294">
        <f>(IF('Section Load'!AI27&gt;0,'Section Load'!AI27,0))</f>
        <v>436.11000000000058</v>
      </c>
      <c r="AI24" s="294">
        <f>(IF('Section Load'!AJ27&gt;0,'Section Load'!AJ27,0))</f>
        <v>465.19000000000233</v>
      </c>
      <c r="AJ24" s="294">
        <f>(IF('Section Load'!AK27&gt;0,'Section Load'!AK27,0))</f>
        <v>275.61999999999898</v>
      </c>
      <c r="AK24" s="294">
        <f>(IF('Section Load'!AL27&gt;0,'Section Load'!AL27,0))</f>
        <v>313.44999999999709</v>
      </c>
      <c r="AL24" s="294">
        <f>(IF('Section Load'!AM27&gt;0,'Section Load'!AM27,0))</f>
        <v>607.44000000000233</v>
      </c>
      <c r="AM24" s="295">
        <f>(IF('Water Report'!$Z$7&gt;0,'Water Report'!$Z$7,0))</f>
        <v>109</v>
      </c>
      <c r="AN24" s="295">
        <f>(IF('Water Report'!$Z$8&gt;0,'Water Report'!$Z$8,0))</f>
        <v>136</v>
      </c>
      <c r="AO24" s="295">
        <f>(IF('Water Report'!$Z$9&gt;0,'Water Report'!$Z$9,0))</f>
        <v>119</v>
      </c>
      <c r="AP24" s="295">
        <f>(IF('Water Report'!$Z$10&gt;0,'Water Report'!$Z$10,0))</f>
        <v>20</v>
      </c>
      <c r="AQ24" s="295">
        <f>(IF('Water Report'!$Z$11&gt;0,'Water Report'!$Z$11,0))</f>
        <v>0</v>
      </c>
      <c r="AR24" s="295">
        <f>(IF('Water Report'!$Z$13&gt;0,'Water Report'!$Z$13,0))</f>
        <v>32</v>
      </c>
      <c r="AS24" s="295">
        <f>(IF('Water Report'!$Z$14&gt;0,'Water Report'!$Z$14,0))</f>
        <v>5</v>
      </c>
      <c r="AT24" s="295">
        <f>(IF('Water Report'!$Z$15&gt;0,'Water Report'!$Z$15,0))</f>
        <v>10</v>
      </c>
      <c r="AU24" s="295">
        <f>(IF('Water Report'!$Z$17&gt;0,'Water Report'!$Z$17,0))</f>
        <v>0</v>
      </c>
      <c r="AV24" s="295">
        <f>(IF('Water Report'!$Z$18&gt;0,'Water Report'!$Z$18,0))</f>
        <v>16</v>
      </c>
      <c r="AW24" s="295">
        <f>(IF('Water Report'!$Z$19&gt;0,'Water Report'!$Z$19,0))</f>
        <v>13</v>
      </c>
      <c r="AX24" s="301">
        <f>(IF('Water Report'!$Z$21&gt;0,'Water Report'!$Z$21,0))</f>
        <v>13</v>
      </c>
      <c r="AY24" s="301">
        <f>(IF('Water Report'!$Z$22&gt;0,'Water Report'!$Z$22,0))</f>
        <v>0</v>
      </c>
      <c r="AZ24" s="301">
        <f>(IF('Water Report'!$Z$23&gt;0,'Water Report'!$Z$23,0))</f>
        <v>5</v>
      </c>
      <c r="BA24" s="301">
        <f>(IF('Water Report'!$Z$14&gt;0,'Water Report'!$Z$14,0))</f>
        <v>5</v>
      </c>
      <c r="BB24" s="301">
        <f>(IF('Water Report'!$Z$15&gt;0,'Water Report'!$Z$15,0))</f>
        <v>10</v>
      </c>
      <c r="BC24" s="301">
        <f>(IF('Water Report'!$Z$13&gt;0,'Water Report'!$Z$13,0))</f>
        <v>32</v>
      </c>
      <c r="BD24" s="301">
        <f>(IF('Water Report'!$Z$24&gt;0,'Water Report'!$Z$24,0))</f>
        <v>182</v>
      </c>
      <c r="BE24" s="301">
        <f>(IF('Water Report'!$Z$25&gt;0,'Water Report'!$Z$25,0))</f>
        <v>154</v>
      </c>
      <c r="BF24" s="301">
        <f>(IF('Water Report'!$Z$27&gt;0,'Water Report'!$Z$27,0))</f>
        <v>50</v>
      </c>
      <c r="BG24" s="296">
        <f>(IF('Section Load'!AN27&gt;0,'Section Load'!AN27,0))</f>
        <v>1000</v>
      </c>
      <c r="BH24" s="296">
        <f>(IF('Section Load'!AO27&gt;0,'Section Load'!AO27,0))</f>
        <v>288.39000000001397</v>
      </c>
      <c r="BI24" s="296">
        <f>(IF('Section Load'!AP27&gt;0,'Section Load'!AP27,0))</f>
        <v>0</v>
      </c>
      <c r="BJ24" s="296">
        <f>(IF('Section Load'!AQ27&gt;0,'Section Load'!AQ27,0))</f>
        <v>96.269999999989523</v>
      </c>
      <c r="BK24" s="296">
        <f>(IF('Section Load'!AR27&gt;0,'Section Load'!AR27,0))</f>
        <v>37.600000000005821</v>
      </c>
      <c r="BL24" s="296">
        <f>(IF('Section Load'!AS27&gt;0,'Section Load'!AS27,0))</f>
        <v>0</v>
      </c>
      <c r="BM24" s="296">
        <f>(IF('Section Load'!AT27&gt;0,'Section Load'!AT27,0))</f>
        <v>577.73999999999069</v>
      </c>
    </row>
    <row r="25" spans="1:65">
      <c r="A25" s="287" t="s">
        <v>268</v>
      </c>
      <c r="B25" s="288">
        <f t="shared" si="0"/>
        <v>24</v>
      </c>
      <c r="C25" s="288">
        <v>7</v>
      </c>
      <c r="D25" s="288">
        <v>2022</v>
      </c>
      <c r="E25" s="294">
        <f>(IF('Section Load'!F28&gt;0,'Section Load'!F28,0))</f>
        <v>3671.1600000000326</v>
      </c>
      <c r="F25" s="294">
        <f>(IF('Section Load'!G28&gt;0,'Section Load'!G28,0))</f>
        <v>1628.0499999999884</v>
      </c>
      <c r="G25" s="294">
        <f>(IF('Section Load'!H28&gt;0,'Section Load'!H28,0))</f>
        <v>2248.5199999999604</v>
      </c>
      <c r="H25" s="294">
        <f>(IF('Section Load'!I28&gt;0,'Section Load'!I28,0))</f>
        <v>2993.4400000000023</v>
      </c>
      <c r="I25" s="294">
        <f>(IF('Section Load'!J28&gt;0,'Section Load'!J28,0))</f>
        <v>8471.2600000000384</v>
      </c>
      <c r="J25" s="294">
        <f>(IF('Section Load'!K28&gt;0,'Section Load'!K28,0))</f>
        <v>3230.1399999999994</v>
      </c>
      <c r="K25" s="294">
        <f>(IF('Section Load'!L28&gt;0,'Section Load'!L28,0))</f>
        <v>1022.7200000000012</v>
      </c>
      <c r="L25" s="294">
        <f>(IF('Section Load'!M28&gt;0,'Section Load'!M28,0))</f>
        <v>820.62000000002445</v>
      </c>
      <c r="M25" s="294">
        <f>(IF('Section Load'!N28&gt;0,'Section Load'!N28,0))</f>
        <v>130</v>
      </c>
      <c r="N25" s="294">
        <f>(IF('Section Load'!O28&gt;0,'Section Load'!O28,0))</f>
        <v>147</v>
      </c>
      <c r="O25" s="294">
        <f>(IF('Section Load'!P28&gt;0,'Section Load'!P28,0))</f>
        <v>15.57000000000005</v>
      </c>
      <c r="P25" s="294">
        <f>(IF('Section Load'!Q28&gt;0,'Section Load'!Q28,0))</f>
        <v>199.11000000000058</v>
      </c>
      <c r="Q25" s="294">
        <f>(IF('Section Load'!R28&gt;0,'Section Load'!R28,0))</f>
        <v>84.489999999997963</v>
      </c>
      <c r="R25" s="294">
        <f>(IF('Section Load'!S28&gt;0,'Section Load'!S28,0))</f>
        <v>0</v>
      </c>
      <c r="S25" s="294">
        <f>(IF('Section Load'!T28&gt;0,'Section Load'!T28,0))</f>
        <v>50</v>
      </c>
      <c r="T25" s="294">
        <f>(IF('Section Load'!U28&gt;0,'Section Load'!U28,0))</f>
        <v>231</v>
      </c>
      <c r="U25" s="294">
        <f>(IF('Section Load'!V28&gt;0,'Section Load'!V28,0))</f>
        <v>370.28000000002794</v>
      </c>
      <c r="V25" s="294">
        <f>(IF('Section Load'!W28&gt;0,'Section Load'!W28,0))</f>
        <v>262.88000000000466</v>
      </c>
      <c r="W25" s="294">
        <f>(IF('Section Load'!X28&gt;0,'Section Load'!X28,0))</f>
        <v>27.589999999999236</v>
      </c>
      <c r="X25" s="294">
        <f>(IF('Section Load'!Y28&gt;0,'Section Load'!Y28,0))</f>
        <v>289.01000000000204</v>
      </c>
      <c r="Y25" s="294">
        <f>(IF('Section Load'!Z28&gt;0,'Section Load'!Z28,0))</f>
        <v>254</v>
      </c>
      <c r="Z25" s="294">
        <f>(IF('Section Load'!AA28&gt;0,'Section Load'!AA28,0))</f>
        <v>34</v>
      </c>
      <c r="AA25" s="294">
        <f>(IF('Section Load'!AB28&gt;0,'Section Load'!AB28,0))</f>
        <v>40.5</v>
      </c>
      <c r="AB25" s="294">
        <f>(IF('Section Load'!AC28&gt;0,'Section Load'!AC28,0))</f>
        <v>0</v>
      </c>
      <c r="AC25" s="294">
        <f>(IF('Section Load'!AD28&gt;0,'Section Load'!AD28,0))</f>
        <v>152.29999999999995</v>
      </c>
      <c r="AD25" s="294">
        <f>(IF('Section Load'!AE28&gt;0,'Section Load'!AE28,0))</f>
        <v>395.34999999999854</v>
      </c>
      <c r="AE25" s="294">
        <f>(IF('Section Load'!AF28&gt;0,'Section Load'!AF28,0))</f>
        <v>297.57999999999811</v>
      </c>
      <c r="AF25" s="294">
        <f>(IF('Section Load'!AG28&gt;0,'Section Load'!AG28,0))</f>
        <v>636.59000000000378</v>
      </c>
      <c r="AG25" s="294">
        <f>(IF('Section Load'!AH28&gt;0,'Section Load'!AH28,0))</f>
        <v>251.40000000000146</v>
      </c>
      <c r="AH25" s="294">
        <f>(IF('Section Load'!AI28&gt;0,'Section Load'!AI28,0))</f>
        <v>454.68999999999869</v>
      </c>
      <c r="AI25" s="294">
        <f>(IF('Section Load'!AJ28&gt;0,'Section Load'!AJ28,0))</f>
        <v>451.52999999999884</v>
      </c>
      <c r="AJ25" s="294">
        <f>(IF('Section Load'!AK28&gt;0,'Section Load'!AK28,0))</f>
        <v>276.31999999999971</v>
      </c>
      <c r="AK25" s="294">
        <f>(IF('Section Load'!AL28&gt;0,'Section Load'!AL28,0))</f>
        <v>314.15000000000146</v>
      </c>
      <c r="AL25" s="294">
        <f>(IF('Section Load'!AM28&gt;0,'Section Load'!AM28,0))</f>
        <v>612.46000000002095</v>
      </c>
      <c r="AM25" s="295">
        <f>(IF('Water Report'!$AA$7&gt;0,'Water Report'!$AA$7,0))</f>
        <v>103</v>
      </c>
      <c r="AN25" s="295">
        <f>(IF('Water Report'!$AA$8&gt;0,'Water Report'!$AA$8,0))</f>
        <v>66</v>
      </c>
      <c r="AO25" s="295">
        <f>(IF('Water Report'!$AA$9&gt;0,'Water Report'!$AA$9,0))</f>
        <v>97</v>
      </c>
      <c r="AP25" s="295">
        <f>(IF('Water Report'!$AA$10&gt;0,'Water Report'!$AA$10,0))</f>
        <v>19</v>
      </c>
      <c r="AQ25" s="295">
        <f>(IF('Water Report'!$AA$11&gt;0,'Water Report'!$AA$11,0))</f>
        <v>0</v>
      </c>
      <c r="AR25" s="295">
        <f>(IF('Water Report'!$AA$13&gt;0,'Water Report'!$AA$13,0))</f>
        <v>38</v>
      </c>
      <c r="AS25" s="295">
        <f>(IF('Water Report'!$AA$14&gt;0,'Water Report'!$AA$14,0))</f>
        <v>4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15</v>
      </c>
      <c r="AW25" s="295">
        <f>(IF('Water Report'!$AA$19&gt;0,'Water Report'!$AA$19,0))</f>
        <v>13</v>
      </c>
      <c r="AX25" s="301">
        <f>(IF('Water Report'!$AA$21&gt;0,'Water Report'!$AA$21,0))</f>
        <v>86</v>
      </c>
      <c r="AY25" s="301">
        <f>(IF('Water Report'!$AA$22&gt;0,'Water Report'!$AA$22,0))</f>
        <v>0</v>
      </c>
      <c r="AZ25" s="301">
        <f>(IF('Water Report'!$AA$23&gt;0,'Water Report'!$AA$23,0))</f>
        <v>7</v>
      </c>
      <c r="BA25" s="301">
        <f>(IF('Water Report'!$AA$14&gt;0,'Water Report'!$AA$14,0))</f>
        <v>4</v>
      </c>
      <c r="BB25" s="301">
        <f>(IF('Water Report'!$AA$15&gt;0,'Water Report'!$AA$15,0))</f>
        <v>8</v>
      </c>
      <c r="BC25" s="301">
        <f>(IF('Water Report'!$AA$13&gt;0,'Water Report'!$AA$13,0))</f>
        <v>38</v>
      </c>
      <c r="BD25" s="301">
        <f>(IF('Water Report'!$AA$24&gt;0,'Water Report'!$AA$24,0))</f>
        <v>233</v>
      </c>
      <c r="BE25" s="301">
        <f>(IF('Water Report'!$AA$25&gt;0,'Water Report'!$AA$25,0))</f>
        <v>128</v>
      </c>
      <c r="BF25" s="301">
        <f>(IF('Water Report'!$AA$27&gt;0,'Water Report'!$AA$27,0))</f>
        <v>131</v>
      </c>
      <c r="BG25" s="296">
        <f>(IF('Section Load'!AN28&gt;0,'Section Load'!AN28,0))</f>
        <v>1000</v>
      </c>
      <c r="BH25" s="296">
        <f>(IF('Section Load'!AO28&gt;0,'Section Load'!AO28,0))</f>
        <v>288.48999999999069</v>
      </c>
      <c r="BI25" s="296">
        <f>(IF('Section Load'!AP28&gt;0,'Section Load'!AP28,0))</f>
        <v>0</v>
      </c>
      <c r="BJ25" s="296">
        <f>(IF('Section Load'!AQ28&gt;0,'Section Load'!AQ28,0))</f>
        <v>81.880000000004657</v>
      </c>
      <c r="BK25" s="296">
        <f>(IF('Section Load'!AR28&gt;0,'Section Load'!AR28,0))</f>
        <v>42.899999999994179</v>
      </c>
      <c r="BL25" s="296">
        <f>(IF('Section Load'!AS28&gt;0,'Section Load'!AS28,0))</f>
        <v>0</v>
      </c>
      <c r="BM25" s="296">
        <f>(IF('Section Load'!AT28&gt;0,'Section Load'!AT28,0))</f>
        <v>586.73000000001048</v>
      </c>
    </row>
    <row r="26" spans="1:65">
      <c r="A26" s="287" t="s">
        <v>268</v>
      </c>
      <c r="B26" s="288">
        <f>B25+1</f>
        <v>25</v>
      </c>
      <c r="C26" s="288">
        <v>7</v>
      </c>
      <c r="D26" s="288">
        <v>2022</v>
      </c>
      <c r="E26" s="294">
        <f>(IF('Section Load'!F29&gt;0,'Section Load'!F29,0))</f>
        <v>3607.7699999999604</v>
      </c>
      <c r="F26" s="294">
        <f>(IF('Section Load'!G29&gt;0,'Section Load'!G29,0))</f>
        <v>1600.5999999999767</v>
      </c>
      <c r="G26" s="294">
        <f>(IF('Section Load'!H29&gt;0,'Section Load'!H29,0))</f>
        <v>2187.640000000014</v>
      </c>
      <c r="H26" s="294">
        <f>(IF('Section Load'!I29&gt;0,'Section Load'!I29,0))</f>
        <v>2960.1599999999744</v>
      </c>
      <c r="I26" s="294">
        <f>(IF('Section Load'!J29&gt;0,'Section Load'!J29,0))</f>
        <v>7947.6399999998976</v>
      </c>
      <c r="J26" s="294">
        <f>(IF('Section Load'!K29&gt;0,'Section Load'!K29,0))</f>
        <v>3334.1100000000006</v>
      </c>
      <c r="K26" s="294">
        <f>(IF('Section Load'!L29&gt;0,'Section Load'!L29,0))</f>
        <v>1015.5599999999977</v>
      </c>
      <c r="L26" s="294">
        <f>(IF('Section Load'!M29&gt;0,'Section Load'!M29,0))</f>
        <v>981.95999999999185</v>
      </c>
      <c r="M26" s="294">
        <f>(IF('Section Load'!N29&gt;0,'Section Load'!N29,0))</f>
        <v>125</v>
      </c>
      <c r="N26" s="294">
        <f>(IF('Section Load'!O29&gt;0,'Section Load'!O29,0))</f>
        <v>148</v>
      </c>
      <c r="O26" s="294">
        <f>(IF('Section Load'!P29&gt;0,'Section Load'!P29,0))</f>
        <v>17.25</v>
      </c>
      <c r="P26" s="294">
        <f>(IF('Section Load'!Q29&gt;0,'Section Load'!Q29,0))</f>
        <v>190</v>
      </c>
      <c r="Q26" s="294">
        <f>(IF('Section Load'!R29&gt;0,'Section Load'!R29,0))</f>
        <v>74.38300000000163</v>
      </c>
      <c r="R26" s="294">
        <f>(IF('Section Load'!S29&gt;0,'Section Load'!S29,0))</f>
        <v>0.75999999999930878</v>
      </c>
      <c r="S26" s="294">
        <f>(IF('Section Load'!T29&gt;0,'Section Load'!T29,0))</f>
        <v>42</v>
      </c>
      <c r="T26" s="294">
        <f>(IF('Section Load'!U29&gt;0,'Section Load'!U29,0))</f>
        <v>229</v>
      </c>
      <c r="U26" s="294">
        <f>(IF('Section Load'!V29&gt;0,'Section Load'!V29,0))</f>
        <v>393.19999999995343</v>
      </c>
      <c r="V26" s="294">
        <f>(IF('Section Load'!W29&gt;0,'Section Load'!W29,0))</f>
        <v>315.52000000001863</v>
      </c>
      <c r="W26" s="294">
        <f>(IF('Section Load'!X29&gt;0,'Section Load'!X29,0))</f>
        <v>26.800000000000182</v>
      </c>
      <c r="X26" s="294">
        <f>(IF('Section Load'!Y29&gt;0,'Section Load'!Y29,0))</f>
        <v>272.66999999999825</v>
      </c>
      <c r="Y26" s="294">
        <f>(IF('Section Load'!Z29&gt;0,'Section Load'!Z29,0))</f>
        <v>274</v>
      </c>
      <c r="Z26" s="294">
        <f>(IF('Section Load'!AA29&gt;0,'Section Load'!AA29,0))</f>
        <v>2.6399999999557622</v>
      </c>
      <c r="AA26" s="294">
        <f>(IF('Section Load'!AB29&gt;0,'Section Load'!AB29,0))</f>
        <v>23.900000000008731</v>
      </c>
      <c r="AB26" s="294">
        <f>(IF('Section Load'!AC29&gt;0,'Section Load'!AC29,0))</f>
        <v>0</v>
      </c>
      <c r="AC26" s="294">
        <f>(IF('Section Load'!AD29&gt;0,'Section Load'!AD29,0))</f>
        <v>178.10000000000014</v>
      </c>
      <c r="AD26" s="294">
        <f>(IF('Section Load'!AE29&gt;0,'Section Load'!AE29,0))</f>
        <v>436.62999999999738</v>
      </c>
      <c r="AE26" s="294">
        <f>(IF('Section Load'!AF29&gt;0,'Section Load'!AF29,0))</f>
        <v>277.22999999999956</v>
      </c>
      <c r="AF26" s="294">
        <f>(IF('Section Load'!AG29&gt;0,'Section Load'!AG29,0))</f>
        <v>654.0199999999968</v>
      </c>
      <c r="AG26" s="294">
        <f>(IF('Section Load'!AH29&gt;0,'Section Load'!AH29,0))</f>
        <v>244.22999999999956</v>
      </c>
      <c r="AH26" s="294">
        <f>(IF('Section Load'!AI29&gt;0,'Section Load'!AI29,0))</f>
        <v>443.14000000000306</v>
      </c>
      <c r="AI26" s="294">
        <f>(IF('Section Load'!AJ29&gt;0,'Section Load'!AJ29,0))</f>
        <v>439.15000000000146</v>
      </c>
      <c r="AJ26" s="294">
        <f>(IF('Section Load'!AK29&gt;0,'Section Load'!AK29,0))</f>
        <v>254.2400000000016</v>
      </c>
      <c r="AK26" s="294">
        <f>(IF('Section Load'!AL29&gt;0,'Section Load'!AL29,0))</f>
        <v>312.5</v>
      </c>
      <c r="AL26" s="294">
        <f>(IF('Section Load'!AM29&gt;0,'Section Load'!AM29,0))</f>
        <v>604.25999999998021</v>
      </c>
      <c r="AM26" s="295">
        <f>(IF('Water Report'!$AB$7&gt;0,'Water Report'!$AB$7,0))</f>
        <v>108</v>
      </c>
      <c r="AN26" s="295">
        <f>(IF('Water Report'!$AB$8&gt;0,'Water Report'!$AB$8,0))</f>
        <v>114</v>
      </c>
      <c r="AO26" s="295">
        <f>(IF('Water Report'!$AB$9&gt;0,'Water Report'!$AB$9,0))</f>
        <v>103</v>
      </c>
      <c r="AP26" s="295">
        <f>(IF('Water Report'!$AB$10&gt;0,'Water Report'!$AB$10,0))</f>
        <v>16</v>
      </c>
      <c r="AQ26" s="295">
        <f>(IF('Water Report'!$AB$11&gt;0,'Water Report'!$AB$11,0))</f>
        <v>0</v>
      </c>
      <c r="AR26" s="295">
        <f>(IF('Water Report'!$AB$13&gt;0,'Water Report'!$AB$13,0))</f>
        <v>37</v>
      </c>
      <c r="AS26" s="295">
        <f>(IF('Water Report'!$AB$14&gt;0,'Water Report'!$AB$14,0))</f>
        <v>3</v>
      </c>
      <c r="AT26" s="295">
        <f>(IF('Water Report'!$AB$15&gt;0,'Water Report'!$AB$15,0))</f>
        <v>7</v>
      </c>
      <c r="AU26" s="295">
        <f>(IF('Water Report'!$AB$17&gt;0,'Water Report'!$AB$17,0))</f>
        <v>0</v>
      </c>
      <c r="AV26" s="295">
        <f>(IF('Water Report'!$AB$18&gt;0,'Water Report'!$AB$18,0))</f>
        <v>16</v>
      </c>
      <c r="AW26" s="295">
        <f>(IF('Water Report'!$AB$19&gt;0,'Water Report'!$AB$19,0))</f>
        <v>11</v>
      </c>
      <c r="AX26" s="301">
        <f>(IF('Water Report'!$AB$21&gt;0,'Water Report'!$AB$21,0))</f>
        <v>104</v>
      </c>
      <c r="AY26" s="301">
        <f>(IF('Water Report'!$AB$22&gt;0,'Water Report'!$AB$22,0))</f>
        <v>0</v>
      </c>
      <c r="AZ26" s="301">
        <f>(IF('Water Report'!$AB$23&gt;0,'Water Report'!$AB$23,0))</f>
        <v>8</v>
      </c>
      <c r="BA26" s="301">
        <f>(IF('Water Report'!$AB$14&gt;0,'Water Report'!$AB$14,0))</f>
        <v>3</v>
      </c>
      <c r="BB26" s="301">
        <f>(IF('Water Report'!$AB$15&gt;0,'Water Report'!$AB$15,0))</f>
        <v>7</v>
      </c>
      <c r="BC26" s="301">
        <f>(IF('Water Report'!$AB$13&gt;0,'Water Report'!$AB$13,0))</f>
        <v>37</v>
      </c>
      <c r="BD26" s="301">
        <f>(IF('Water Report'!$AB$24&gt;0,'Water Report'!$AB$24,0))</f>
        <v>210</v>
      </c>
      <c r="BE26" s="301">
        <f>(IF('Water Report'!$AB$25&gt;0,'Water Report'!$AB$25,0))</f>
        <v>128</v>
      </c>
      <c r="BF26" s="301">
        <f>(IF('Water Report'!$AB$27&gt;0,'Water Report'!$AB$27,0))</f>
        <v>149</v>
      </c>
      <c r="BG26" s="296">
        <f>(IF('Section Load'!AN29&gt;0,'Section Load'!AN29,0))</f>
        <v>1000</v>
      </c>
      <c r="BH26" s="296">
        <f>(IF('Section Load'!AO29&gt;0,'Section Load'!AO29,0))</f>
        <v>282.31999999994878</v>
      </c>
      <c r="BI26" s="296">
        <f>(IF('Section Load'!AP29&gt;0,'Section Load'!AP29,0))</f>
        <v>0</v>
      </c>
      <c r="BJ26" s="296">
        <f>(IF('Section Load'!AQ29&gt;0,'Section Load'!AQ29,0))</f>
        <v>92.350000000005821</v>
      </c>
      <c r="BK26" s="296">
        <f>(IF('Section Load'!AR29&gt;0,'Section Load'!AR29,0))</f>
        <v>40.30000000000291</v>
      </c>
      <c r="BL26" s="296">
        <f>(IF('Section Load'!AS29&gt;0,'Section Load'!AS29,0))</f>
        <v>0</v>
      </c>
      <c r="BM26" s="296">
        <f>(IF('Section Load'!AT29&gt;0,'Section Load'!AT29,0))</f>
        <v>585.03000000004249</v>
      </c>
    </row>
    <row r="27" spans="1:65">
      <c r="A27" s="287" t="s">
        <v>268</v>
      </c>
      <c r="B27" s="288">
        <f t="shared" si="0"/>
        <v>26</v>
      </c>
      <c r="C27" s="288">
        <v>7</v>
      </c>
      <c r="D27" s="288">
        <v>2022</v>
      </c>
      <c r="E27" s="294">
        <f>(IF('Section Load'!F30&gt;0,'Section Load'!F30,0))</f>
        <v>3670.0800000000163</v>
      </c>
      <c r="F27" s="294">
        <f>(IF('Section Load'!G30&gt;0,'Section Load'!G30,0))</f>
        <v>1521.0599999999977</v>
      </c>
      <c r="G27" s="294">
        <f>(IF('Section Load'!H30&gt;0,'Section Load'!H30,0))</f>
        <v>2136.8800000000047</v>
      </c>
      <c r="H27" s="294">
        <f>(IF('Section Load'!I30&gt;0,'Section Load'!I30,0))</f>
        <v>3027.320000000007</v>
      </c>
      <c r="I27" s="294">
        <f>(IF('Section Load'!J30&gt;0,'Section Load'!J30,0))</f>
        <v>8322.7800000000279</v>
      </c>
      <c r="J27" s="294">
        <f>(IF('Section Load'!K30&gt;0,'Section Load'!K30,0))</f>
        <v>3246.9900000000052</v>
      </c>
      <c r="K27" s="294">
        <f>(IF('Section Load'!L30&gt;0,'Section Load'!L30,0))</f>
        <v>982.63999999998487</v>
      </c>
      <c r="L27" s="294">
        <f>(IF('Section Load'!M30&gt;0,'Section Load'!M30,0))</f>
        <v>727.57999999998719</v>
      </c>
      <c r="M27" s="294">
        <f>(IF('Section Load'!N30&gt;0,'Section Load'!N30,0))</f>
        <v>96</v>
      </c>
      <c r="N27" s="294">
        <f>(IF('Section Load'!O30&gt;0,'Section Load'!O30,0))</f>
        <v>142</v>
      </c>
      <c r="O27" s="294">
        <f>(IF('Section Load'!P30&gt;0,'Section Load'!P30,0))</f>
        <v>15.849999999999909</v>
      </c>
      <c r="P27" s="294">
        <f>(IF('Section Load'!Q30&gt;0,'Section Load'!Q30,0))</f>
        <v>190.32000000000698</v>
      </c>
      <c r="Q27" s="294">
        <f>(IF('Section Load'!R30&gt;0,'Section Load'!R30,0))</f>
        <v>73.676999999996042</v>
      </c>
      <c r="R27" s="294">
        <f>(IF('Section Load'!S30&gt;0,'Section Load'!S30,0))</f>
        <v>0.48000000000047294</v>
      </c>
      <c r="S27" s="294">
        <f>(IF('Section Load'!T30&gt;0,'Section Load'!T30,0))</f>
        <v>44</v>
      </c>
      <c r="T27" s="294">
        <f>(IF('Section Load'!U30&gt;0,'Section Load'!U30,0))</f>
        <v>235</v>
      </c>
      <c r="U27" s="294">
        <f>(IF('Section Load'!V30&gt;0,'Section Load'!V30,0))</f>
        <v>372.52000000001863</v>
      </c>
      <c r="V27" s="294">
        <f>(IF('Section Load'!W30&gt;0,'Section Load'!W30,0))</f>
        <v>306</v>
      </c>
      <c r="W27" s="294">
        <f>(IF('Section Load'!X30&gt;0,'Section Load'!X30,0))</f>
        <v>26.670000000000073</v>
      </c>
      <c r="X27" s="294">
        <f>(IF('Section Load'!Y30&gt;0,'Section Load'!Y30,0))</f>
        <v>279.25</v>
      </c>
      <c r="Y27" s="294">
        <f>(IF('Section Load'!Z30&gt;0,'Section Load'!Z30,0))</f>
        <v>290</v>
      </c>
      <c r="Z27" s="294">
        <f>(IF('Section Load'!AA30&gt;0,'Section Load'!AA30,0))</f>
        <v>2.8000000000465661</v>
      </c>
      <c r="AA27" s="294">
        <f>(IF('Section Load'!AB30&gt;0,'Section Load'!AB30,0))</f>
        <v>36.599999999991269</v>
      </c>
      <c r="AB27" s="294">
        <f>(IF('Section Load'!AC30&gt;0,'Section Load'!AC30,0))</f>
        <v>0</v>
      </c>
      <c r="AC27" s="294">
        <f>(IF('Section Load'!AD30&gt;0,'Section Load'!AD30,0))</f>
        <v>195.69999999999982</v>
      </c>
      <c r="AD27" s="294">
        <f>(IF('Section Load'!AE30&gt;0,'Section Load'!AE30,0))</f>
        <v>451.26000000000204</v>
      </c>
      <c r="AE27" s="294">
        <f>(IF('Section Load'!AF30&gt;0,'Section Load'!AF30,0))</f>
        <v>323.20000000000073</v>
      </c>
      <c r="AF27" s="294">
        <f>(IF('Section Load'!AG30&gt;0,'Section Load'!AG30,0))</f>
        <v>644.4800000000032</v>
      </c>
      <c r="AG27" s="294">
        <f>(IF('Section Load'!AH30&gt;0,'Section Load'!AH30,0))</f>
        <v>247.25</v>
      </c>
      <c r="AH27" s="294">
        <f>(IF('Section Load'!AI30&gt;0,'Section Load'!AI30,0))</f>
        <v>441.63999999999942</v>
      </c>
      <c r="AI27" s="294">
        <f>(IF('Section Load'!AJ30&gt;0,'Section Load'!AJ30,0))</f>
        <v>443.55000000000291</v>
      </c>
      <c r="AJ27" s="294">
        <f>(IF('Section Load'!AK30&gt;0,'Section Load'!AK30,0))</f>
        <v>252.86000000000058</v>
      </c>
      <c r="AK27" s="294">
        <f>(IF('Section Load'!AL30&gt;0,'Section Load'!AL30,0))</f>
        <v>314.15000000000146</v>
      </c>
      <c r="AL27" s="294">
        <f>(IF('Section Load'!AM30&gt;0,'Section Load'!AM30,0))</f>
        <v>610.77999999999884</v>
      </c>
      <c r="AM27" s="295">
        <f>(IF('Water Report'!$AC$7&gt;0,'Water Report'!$AC$7,0))</f>
        <v>82</v>
      </c>
      <c r="AN27" s="295">
        <f>(IF('Water Report'!$AC$8&gt;0,'Water Report'!$AC$8,0))</f>
        <v>149</v>
      </c>
      <c r="AO27" s="295">
        <f>(IF('Water Report'!$AC$9&gt;0,'Water Report'!$AC$9,0))</f>
        <v>98</v>
      </c>
      <c r="AP27" s="295">
        <f>(IF('Water Report'!$AC$10&gt;0,'Water Report'!$AC$10,0))</f>
        <v>21</v>
      </c>
      <c r="AQ27" s="295">
        <f>(IF('Water Report'!$AC$11&gt;0,'Water Report'!$AC$11,0))</f>
        <v>0</v>
      </c>
      <c r="AR27" s="295">
        <f>(IF('Water Report'!$AC$13&gt;0,'Water Report'!$AC$13,0))</f>
        <v>55</v>
      </c>
      <c r="AS27" s="295">
        <f>(IF('Water Report'!$AC$14&gt;0,'Water Report'!$AC$14,0))</f>
        <v>6</v>
      </c>
      <c r="AT27" s="295">
        <f>(IF('Water Report'!$AC$15&gt;0,'Water Report'!$AC$15,0))</f>
        <v>5</v>
      </c>
      <c r="AU27" s="295">
        <f>(IF('Water Report'!$AC$17&gt;0,'Water Report'!$AC$17,0))</f>
        <v>0</v>
      </c>
      <c r="AV27" s="295">
        <f>(IF('Water Report'!$AC$18&gt;0,'Water Report'!$AC$18,0))</f>
        <v>13</v>
      </c>
      <c r="AW27" s="295">
        <f>(IF('Water Report'!$AC$19&gt;0,'Water Report'!$AC$19,0))</f>
        <v>11</v>
      </c>
      <c r="AX27" s="301">
        <f>(IF('Water Report'!$AC$21&gt;0,'Water Report'!$AC$21,0))</f>
        <v>77</v>
      </c>
      <c r="AY27" s="301">
        <f>(IF('Water Report'!$AC$22&gt;0,'Water Report'!$AC$22,0))</f>
        <v>0</v>
      </c>
      <c r="AZ27" s="301">
        <f>(IF('Water Report'!$AC$23&gt;0,'Water Report'!$AC$23,0))</f>
        <v>14</v>
      </c>
      <c r="BA27" s="301">
        <f>(IF('Water Report'!$AC$14&gt;0,'Water Report'!$AC$14,0))</f>
        <v>6</v>
      </c>
      <c r="BB27" s="301">
        <f>(IF('Water Report'!$AC$15&gt;0,'Water Report'!$AC$15,0))</f>
        <v>5</v>
      </c>
      <c r="BC27" s="301">
        <f>(IF('Water Report'!$AC$13&gt;0,'Water Report'!$AC$13,0))</f>
        <v>55</v>
      </c>
      <c r="BD27" s="301">
        <f>(IF('Water Report'!$AC$24&gt;0,'Water Report'!$AC$24,0))</f>
        <v>212</v>
      </c>
      <c r="BE27" s="301">
        <f>(IF('Water Report'!$AC$25&gt;0,'Water Report'!$AC$25,0))</f>
        <v>130</v>
      </c>
      <c r="BF27" s="301">
        <f>(IF('Water Report'!$AC$27&gt;0,'Water Report'!$AC$27,0))</f>
        <v>146</v>
      </c>
      <c r="BG27" s="296">
        <f>(IF('Section Load'!AN30&gt;0,'Section Load'!AN30,0))</f>
        <v>1000</v>
      </c>
      <c r="BH27" s="296">
        <f>(IF('Section Load'!AO30&gt;0,'Section Load'!AO30,0))</f>
        <v>289.94000000006054</v>
      </c>
      <c r="BI27" s="296">
        <f>(IF('Section Load'!AP30&gt;0,'Section Load'!AP30,0))</f>
        <v>0</v>
      </c>
      <c r="BJ27" s="296">
        <f>(IF('Section Load'!AQ30&gt;0,'Section Load'!AQ30,0))</f>
        <v>107</v>
      </c>
      <c r="BK27" s="296">
        <f>(IF('Section Load'!AR30&gt;0,'Section Load'!AR30,0))</f>
        <v>37</v>
      </c>
      <c r="BL27" s="296">
        <f>(IF('Section Load'!AS30&gt;0,'Section Load'!AS30,0))</f>
        <v>0</v>
      </c>
      <c r="BM27" s="296">
        <f>(IF('Section Load'!AT30&gt;0,'Section Load'!AT30,0))</f>
        <v>566.05999999993946</v>
      </c>
    </row>
    <row r="28" spans="1:65">
      <c r="A28" s="287" t="s">
        <v>268</v>
      </c>
      <c r="B28" s="288">
        <f t="shared" si="0"/>
        <v>27</v>
      </c>
      <c r="C28" s="288">
        <v>7</v>
      </c>
      <c r="D28" s="288">
        <v>2022</v>
      </c>
      <c r="E28" s="294">
        <f>(IF('Section Load'!F31&gt;0,'Section Load'!F31,0))</f>
        <v>3533.5599999999977</v>
      </c>
      <c r="F28" s="294">
        <f>(IF('Section Load'!G31&gt;0,'Section Load'!G31,0))</f>
        <v>1542.640000000014</v>
      </c>
      <c r="G28" s="294">
        <f>(IF('Section Load'!H31&gt;0,'Section Load'!H31,0))</f>
        <v>2060.9199999999837</v>
      </c>
      <c r="H28" s="294">
        <f>(IF('Section Load'!I31&gt;0,'Section Load'!I31,0))</f>
        <v>2936.4799999999814</v>
      </c>
      <c r="I28" s="294">
        <f>(IF('Section Load'!J31&gt;0,'Section Load'!J31,0))</f>
        <v>7334.7300000000396</v>
      </c>
      <c r="J28" s="294">
        <f>(IF('Section Load'!K31&gt;0,'Section Load'!K31,0))</f>
        <v>3128.2699999999895</v>
      </c>
      <c r="K28" s="294">
        <f>(IF('Section Load'!L31&gt;0,'Section Load'!L31,0))</f>
        <v>977.12000000002445</v>
      </c>
      <c r="L28" s="294">
        <f>(IF('Section Load'!M31&gt;0,'Section Load'!M31,0))</f>
        <v>658.64000000001397</v>
      </c>
      <c r="M28" s="294">
        <f>(IF('Section Load'!N31&gt;0,'Section Load'!N31,0))</f>
        <v>93</v>
      </c>
      <c r="N28" s="294">
        <f>(IF('Section Load'!O31&gt;0,'Section Load'!O31,0))</f>
        <v>138</v>
      </c>
      <c r="O28" s="294">
        <f>(IF('Section Load'!P31&gt;0,'Section Load'!P31,0))</f>
        <v>14.970000000000027</v>
      </c>
      <c r="P28" s="294">
        <f>(IF('Section Load'!Q31&gt;0,'Section Load'!Q31,0))</f>
        <v>188.43999999998778</v>
      </c>
      <c r="Q28" s="294">
        <f>(IF('Section Load'!R31&gt;0,'Section Load'!R31,0))</f>
        <v>72.580000000001746</v>
      </c>
      <c r="R28" s="294">
        <f>(IF('Section Load'!S31&gt;0,'Section Load'!S31,0))</f>
        <v>0</v>
      </c>
      <c r="S28" s="294">
        <f>(IF('Section Load'!T31&gt;0,'Section Load'!T31,0))</f>
        <v>38</v>
      </c>
      <c r="T28" s="294">
        <f>(IF('Section Load'!U31&gt;0,'Section Load'!U31,0))</f>
        <v>234</v>
      </c>
      <c r="U28" s="294">
        <f>(IF('Section Load'!V31&gt;0,'Section Load'!V31,0))</f>
        <v>370</v>
      </c>
      <c r="V28" s="294">
        <f>(IF('Section Load'!W31&gt;0,'Section Load'!W31,0))</f>
        <v>217.52000000001863</v>
      </c>
      <c r="W28" s="294">
        <f>(IF('Section Load'!X31&gt;0,'Section Load'!X31,0))</f>
        <v>27.980000000000473</v>
      </c>
      <c r="X28" s="294">
        <f>(IF('Section Load'!Y31&gt;0,'Section Load'!Y31,0))</f>
        <v>288.4800000000032</v>
      </c>
      <c r="Y28" s="294">
        <f>(IF('Section Load'!Z31&gt;0,'Section Load'!Z31,0))</f>
        <v>256</v>
      </c>
      <c r="Z28" s="294">
        <f>(IF('Section Load'!AA31&gt;0,'Section Load'!AA31,0))</f>
        <v>7.5999999999767169</v>
      </c>
      <c r="AA28" s="294">
        <f>(IF('Section Load'!AB31&gt;0,'Section Load'!AB31,0))</f>
        <v>27.100000000005821</v>
      </c>
      <c r="AB28" s="294">
        <f>(IF('Section Load'!AC31&gt;0,'Section Load'!AC31,0))</f>
        <v>0</v>
      </c>
      <c r="AC28" s="294">
        <f>(IF('Section Load'!AD31&gt;0,'Section Load'!AD31,0))</f>
        <v>175.70000000000073</v>
      </c>
      <c r="AD28" s="294">
        <f>(IF('Section Load'!AE31&gt;0,'Section Load'!AE31,0))</f>
        <v>370.37999999999738</v>
      </c>
      <c r="AE28" s="294">
        <f>(IF('Section Load'!AF31&gt;0,'Section Load'!AF31,0))</f>
        <v>288.40999999999985</v>
      </c>
      <c r="AF28" s="294">
        <f>(IF('Section Load'!AG31&gt;0,'Section Load'!AG31,0))</f>
        <v>654.30999999999767</v>
      </c>
      <c r="AG28" s="294">
        <f>(IF('Section Load'!AH31&gt;0,'Section Load'!AH31,0))</f>
        <v>234.45999999999913</v>
      </c>
      <c r="AH28" s="294">
        <f>(IF('Section Load'!AI31&gt;0,'Section Load'!AI31,0))</f>
        <v>435.77999999999884</v>
      </c>
      <c r="AI28" s="294">
        <f>(IF('Section Load'!AJ31&gt;0,'Section Load'!AJ31,0))</f>
        <v>456.36999999999534</v>
      </c>
      <c r="AJ28" s="294">
        <f>(IF('Section Load'!AK31&gt;0,'Section Load'!AK31,0))</f>
        <v>289.73999999999796</v>
      </c>
      <c r="AK28" s="294">
        <f>(IF('Section Load'!AL31&gt;0,'Section Load'!AL31,0))</f>
        <v>309.72999999999956</v>
      </c>
      <c r="AL28" s="294">
        <f>(IF('Section Load'!AM31&gt;0,'Section Load'!AM31,0))</f>
        <v>602.26000000000931</v>
      </c>
      <c r="AM28" s="295">
        <f>(IF('Water Report'!$AD$7&gt;0,'Water Report'!$AD$7,0))</f>
        <v>87</v>
      </c>
      <c r="AN28" s="295">
        <f>(IF('Water Report'!$AD$8&gt;0,'Water Report'!$AD$8,0))</f>
        <v>131</v>
      </c>
      <c r="AO28" s="295">
        <f>(IF('Water Report'!$AD$9&gt;0,'Water Report'!$AD$9,0))</f>
        <v>77</v>
      </c>
      <c r="AP28" s="295">
        <f>(IF('Water Report'!$AD$10&gt;0,'Water Report'!AD$10,0))</f>
        <v>18</v>
      </c>
      <c r="AQ28" s="295">
        <f>(IF('Water Report'!$AD$11&gt;0,'Water Report'!AE$11,0))</f>
        <v>0</v>
      </c>
      <c r="AR28" s="295">
        <f>(IF('Water Report'!$AD$13&gt;0,'Water Report'!AF$13,0))</f>
        <v>8</v>
      </c>
      <c r="AS28" s="295">
        <f>(IF('Water Report'!$AD$14&gt;0,'Water Report'!AG$14,0))</f>
        <v>5</v>
      </c>
      <c r="AT28" s="295">
        <f>(IF('Water Report'!$AD$15&gt;0,'Water Report'!AH$15,0))</f>
        <v>23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1000</v>
      </c>
      <c r="BH28" s="296">
        <f>(IF('Section Load'!AO31&gt;0,'Section Load'!AO31,0))</f>
        <v>285.04000000003725</v>
      </c>
      <c r="BI28" s="296">
        <f>(IF('Section Load'!AP31&gt;0,'Section Load'!AP31,0))</f>
        <v>0</v>
      </c>
      <c r="BJ28" s="296">
        <f>(IF('Section Load'!AQ31&gt;0,'Section Load'!AQ31,0))</f>
        <v>85</v>
      </c>
      <c r="BK28" s="296">
        <f>(IF('Section Load'!AR31&gt;0,'Section Load'!AR31,0))</f>
        <v>42</v>
      </c>
      <c r="BL28" s="296">
        <f>(IF('Section Load'!AS31&gt;0,'Section Load'!AS31,0))</f>
        <v>0</v>
      </c>
      <c r="BM28" s="296">
        <f>(IF('Section Load'!AT31&gt;0,'Section Load'!AT31,0))</f>
        <v>589.75999999996566</v>
      </c>
    </row>
    <row r="29" spans="1:65">
      <c r="A29" s="287" t="s">
        <v>268</v>
      </c>
      <c r="B29" s="288">
        <f t="shared" si="0"/>
        <v>28</v>
      </c>
      <c r="C29" s="288">
        <v>7</v>
      </c>
      <c r="D29" s="288">
        <v>2022</v>
      </c>
      <c r="E29" s="294">
        <f>(IF('Section Load'!F32&gt;0,'Section Load'!F32,0))</f>
        <v>3748.1599999999744</v>
      </c>
      <c r="F29" s="294">
        <f>(IF('Section Load'!G32&gt;0,'Section Load'!G32,0))</f>
        <v>1587.2199999999721</v>
      </c>
      <c r="G29" s="294">
        <f>(IF('Section Load'!H32&gt;0,'Section Load'!H32,0))</f>
        <v>2172.4400000000023</v>
      </c>
      <c r="H29" s="294">
        <f>(IF('Section Load'!I32&gt;0,'Section Load'!I32,0))</f>
        <v>2949.1199999999953</v>
      </c>
      <c r="I29" s="294">
        <f>(IF('Section Load'!J32&gt;0,'Section Load'!J32,0))</f>
        <v>8796.6900000000023</v>
      </c>
      <c r="J29" s="294">
        <f>(IF('Section Load'!K32&gt;0,'Section Load'!K32,0))</f>
        <v>3156.9099999999744</v>
      </c>
      <c r="K29" s="294">
        <f>(IF('Section Load'!L32&gt;0,'Section Load'!L32,0))</f>
        <v>1071.8799999999756</v>
      </c>
      <c r="L29" s="294">
        <f>(IF('Section Load'!M32&gt;0,'Section Load'!M32,0))</f>
        <v>890.66000000000349</v>
      </c>
      <c r="M29" s="294">
        <f>(IF('Section Load'!N32&gt;0,'Section Load'!N32,0))</f>
        <v>81</v>
      </c>
      <c r="N29" s="294">
        <f>(IF('Section Load'!O32&gt;0,'Section Load'!O32,0))</f>
        <v>126</v>
      </c>
      <c r="O29" s="294">
        <f>(IF('Section Load'!P32&gt;0,'Section Load'!P32,0))</f>
        <v>9.2300000000000182</v>
      </c>
      <c r="P29" s="294">
        <f>(IF('Section Load'!Q32&gt;0,'Section Load'!Q32,0))</f>
        <v>208.02999999999884</v>
      </c>
      <c r="Q29" s="294">
        <f>(IF('Section Load'!R32&gt;0,'Section Load'!R32,0))</f>
        <v>86.760000000002037</v>
      </c>
      <c r="R29" s="294">
        <f>(IF('Section Load'!S32&gt;0,'Section Load'!S32,0))</f>
        <v>0</v>
      </c>
      <c r="S29" s="294">
        <f>(IF('Section Load'!T32&gt;0,'Section Load'!T32,0))</f>
        <v>45</v>
      </c>
      <c r="T29" s="294">
        <f>(IF('Section Load'!U32&gt;0,'Section Load'!U32,0))</f>
        <v>246</v>
      </c>
      <c r="U29" s="294">
        <f>(IF('Section Load'!V32&gt;0,'Section Load'!V32,0))</f>
        <v>512.28000000002794</v>
      </c>
      <c r="V29" s="294">
        <f>(IF('Section Load'!W32&gt;0,'Section Load'!W32,0))</f>
        <v>367.51999999990221</v>
      </c>
      <c r="W29" s="294">
        <f>(IF('Section Load'!X32&gt;0,'Section Load'!X32,0))</f>
        <v>32.25</v>
      </c>
      <c r="X29" s="294">
        <f>(IF('Section Load'!Y32&gt;0,'Section Load'!Y32,0))</f>
        <v>284.02999999999884</v>
      </c>
      <c r="Y29" s="294">
        <f>(IF('Section Load'!Z32&gt;0,'Section Load'!Z32,0))</f>
        <v>280</v>
      </c>
      <c r="Z29" s="294">
        <f>(IF('Section Load'!AA32&gt;0,'Section Load'!AA32,0))</f>
        <v>5.4400000000023283</v>
      </c>
      <c r="AA29" s="294">
        <f>(IF('Section Load'!AB32&gt;0,'Section Load'!AB32,0))</f>
        <v>43.600000000005821</v>
      </c>
      <c r="AB29" s="294">
        <f>(IF('Section Load'!AC32&gt;0,'Section Load'!AC32,0))</f>
        <v>0.26000000000203727</v>
      </c>
      <c r="AC29" s="294">
        <f>(IF('Section Load'!AD32&gt;0,'Section Load'!AD32,0))</f>
        <v>160.99999999999977</v>
      </c>
      <c r="AD29" s="294">
        <f>(IF('Section Load'!AE32&gt;0,'Section Load'!AE32,0))</f>
        <v>396.42000000000553</v>
      </c>
      <c r="AE29" s="294">
        <f>(IF('Section Load'!AF32&gt;0,'Section Load'!AF32,0))</f>
        <v>296.52999999999884</v>
      </c>
      <c r="AF29" s="294">
        <f>(IF('Section Load'!AG32&gt;0,'Section Load'!AG32,0))</f>
        <v>635.38999999999942</v>
      </c>
      <c r="AG29" s="294">
        <f>(IF('Section Load'!AH32&gt;0,'Section Load'!AH32,0))</f>
        <v>248.0099999999984</v>
      </c>
      <c r="AH29" s="294">
        <f>(IF('Section Load'!AI32&gt;0,'Section Load'!AI32,0))</f>
        <v>420.65000000000146</v>
      </c>
      <c r="AI29" s="294">
        <f>(IF('Section Load'!AJ32&gt;0,'Section Load'!AJ32,0))</f>
        <v>422.52999999999884</v>
      </c>
      <c r="AJ29" s="294">
        <f>(IF('Section Load'!AK32&gt;0,'Section Load'!AK32,0))</f>
        <v>284.63000000000102</v>
      </c>
      <c r="AK29" s="294">
        <f>(IF('Section Load'!AL32&gt;0,'Section Load'!AL32,0))</f>
        <v>315.29999999999927</v>
      </c>
      <c r="AL29" s="294">
        <f>(IF('Section Load'!AM32&gt;0,'Section Load'!AM32,0))</f>
        <v>612.45999999999185</v>
      </c>
      <c r="AM29" s="295">
        <f>(IF('Water Report'!$AE$7&gt;0,'Water Report'!$AE$7,0))</f>
        <v>87</v>
      </c>
      <c r="AN29" s="295">
        <f>(IF('Water Report'!$AE$8&gt;0,'Water Report'!$AE$8,0))</f>
        <v>108</v>
      </c>
      <c r="AO29" s="295">
        <f>(IF('Water Report'!$AE$9&gt;0,'Water Report'!$AE$9,0))</f>
        <v>91</v>
      </c>
      <c r="AP29" s="295">
        <f>(IF('Water Report'!$AE$10&gt;0,'Water Report'!$AE$10,0))</f>
        <v>16</v>
      </c>
      <c r="AQ29" s="295">
        <f>(IF('Water Report'!$AE$11&gt;0,'Water Report'!$AE$11,0))</f>
        <v>0</v>
      </c>
      <c r="AR29" s="295">
        <f>(IF('Water Report'!$AE$13&gt;0,'Water Report'!$AE$13,0))</f>
        <v>39</v>
      </c>
      <c r="AS29" s="295">
        <f>(IF('Water Report'!$AE$14&gt;0,'Water Report'!$AE$14,0))</f>
        <v>3</v>
      </c>
      <c r="AT29" s="295">
        <f>(IF('Water Report'!$AE$15&gt;0,'Water Report'!$AE$15,0))</f>
        <v>8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12</v>
      </c>
      <c r="AX29" s="301">
        <f>(IF('Water Report'!$AE$21&gt;0,'Water Report'!$AE$21,0))</f>
        <v>85</v>
      </c>
      <c r="AY29" s="301">
        <f>(IF('Water Report'!$AE$22&gt;0,'Water Report'!$AE$22,0))</f>
        <v>0</v>
      </c>
      <c r="AZ29" s="301">
        <f>(IF('Water Report'!$AE$23&gt;0,'Water Report'!$AE$23,0))</f>
        <v>13</v>
      </c>
      <c r="BA29" s="301">
        <f>(IF('Water Report'!$AE$14&gt;0,'Water Report'!$AE$14,0))</f>
        <v>3</v>
      </c>
      <c r="BB29" s="301">
        <f>(IF('Water Report'!$AE$15&gt;0,'Water Report'!$AE$15,0))</f>
        <v>8</v>
      </c>
      <c r="BC29" s="301">
        <f>(IF('Water Report'!$AE$13&gt;0,'Water Report'!$AE$13,0))</f>
        <v>39</v>
      </c>
      <c r="BD29" s="301">
        <f>(IF('Water Report'!$AE$24&gt;0,'Water Report'!$AE$24,0))</f>
        <v>188</v>
      </c>
      <c r="BE29" s="301">
        <f>(IF('Water Report'!$AE$25&gt;0,'Water Report'!$AE$25,0))</f>
        <v>118</v>
      </c>
      <c r="BF29" s="301">
        <f>(IF('Water Report'!$AE$27&gt;0,'Water Report'!$AE$27,0))</f>
        <v>137</v>
      </c>
      <c r="BG29" s="296">
        <f>(IF('Section Load'!AN32&gt;0,'Section Load'!AN32,0))</f>
        <v>1000</v>
      </c>
      <c r="BH29" s="296">
        <f>(IF('Section Load'!AO32&gt;0,'Section Load'!AO32,0))</f>
        <v>283.76999999990221</v>
      </c>
      <c r="BI29" s="296">
        <f>(IF('Section Load'!AP32&gt;0,'Section Load'!AP32,0))</f>
        <v>0</v>
      </c>
      <c r="BJ29" s="296">
        <f>(IF('Section Load'!AQ32&gt;0,'Section Load'!AQ32,0))</f>
        <v>98.329999999987194</v>
      </c>
      <c r="BK29" s="296">
        <f>(IF('Section Load'!AR32&gt;0,'Section Load'!AR32,0))</f>
        <v>42.80000000000291</v>
      </c>
      <c r="BL29" s="296">
        <f>(IF('Section Load'!AS32&gt;0,'Section Load'!AS32,0))</f>
        <v>0</v>
      </c>
      <c r="BM29" s="296">
        <f>(IF('Section Load'!AT32&gt;0,'Section Load'!AT32,0))</f>
        <v>575.10000000010768</v>
      </c>
    </row>
    <row r="30" spans="1:65">
      <c r="A30" s="287" t="s">
        <v>268</v>
      </c>
      <c r="B30" s="288">
        <f t="shared" si="0"/>
        <v>29</v>
      </c>
      <c r="C30" s="288">
        <v>7</v>
      </c>
      <c r="D30" s="288">
        <v>2022</v>
      </c>
      <c r="E30" s="294">
        <f>(IF('Section Load'!F33&gt;0,'Section Load'!F33,0))</f>
        <v>3493.960000000021</v>
      </c>
      <c r="F30" s="294">
        <f>(IF('Section Load'!G33&gt;0,'Section Load'!G33,0))</f>
        <v>1665.3400000000256</v>
      </c>
      <c r="G30" s="294">
        <f>(IF('Section Load'!H33&gt;0,'Section Load'!H33,0))</f>
        <v>2228.2800000000279</v>
      </c>
      <c r="H30" s="294">
        <f>(IF('Section Load'!I33&gt;0,'Section Load'!I33,0))</f>
        <v>2907.1600000000326</v>
      </c>
      <c r="I30" s="294">
        <f>(IF('Section Load'!J33&gt;0,'Section Load'!J33,0))</f>
        <v>7508.3399999999674</v>
      </c>
      <c r="J30" s="294">
        <f>(IF('Section Load'!K33&gt;0,'Section Load'!K33,0))</f>
        <v>3066.0500000000029</v>
      </c>
      <c r="K30" s="294">
        <f>(IF('Section Load'!L33&gt;0,'Section Load'!L33,0))</f>
        <v>1447</v>
      </c>
      <c r="L30" s="294">
        <f>(IF('Section Load'!M33&gt;0,'Section Load'!M33,0))</f>
        <v>1175.039999999979</v>
      </c>
      <c r="M30" s="294">
        <f>(IF('Section Load'!N33&gt;0,'Section Load'!N33,0))</f>
        <v>175</v>
      </c>
      <c r="N30" s="294">
        <f>(IF('Section Load'!O33&gt;0,'Section Load'!O33,0))</f>
        <v>203</v>
      </c>
      <c r="O30" s="294">
        <f>(IF('Section Load'!P33&gt;0,'Section Load'!P33,0))</f>
        <v>13.029999999999973</v>
      </c>
      <c r="P30" s="294">
        <f>(IF('Section Load'!Q33&gt;0,'Section Load'!Q33,0))</f>
        <v>212.65000000000873</v>
      </c>
      <c r="Q30" s="294">
        <f>(IF('Section Load'!R33&gt;0,'Section Load'!R33,0))</f>
        <v>74.870000000002619</v>
      </c>
      <c r="R30" s="294">
        <f>(IF('Section Load'!S33&gt;0,'Section Load'!S33,0))</f>
        <v>1.0000000000218279E-2</v>
      </c>
      <c r="S30" s="294">
        <f>(IF('Section Load'!T33&gt;0,'Section Load'!T33,0))</f>
        <v>579</v>
      </c>
      <c r="T30" s="294">
        <f>(IF('Section Load'!U33&gt;0,'Section Load'!U33,0))</f>
        <v>239</v>
      </c>
      <c r="U30" s="294">
        <f>(IF('Section Load'!V33&gt;0,'Section Load'!V33,0))</f>
        <v>240.91999999992549</v>
      </c>
      <c r="V30" s="294">
        <f>(IF('Section Load'!W33&gt;0,'Section Load'!W33,0))</f>
        <v>299.68000000005122</v>
      </c>
      <c r="W30" s="294">
        <f>(IF('Section Load'!X33&gt;0,'Section Load'!X33,0))</f>
        <v>21.899999999999636</v>
      </c>
      <c r="X30" s="294">
        <f>(IF('Section Load'!Y33&gt;0,'Section Load'!Y33,0))</f>
        <v>271.19000000000233</v>
      </c>
      <c r="Y30" s="294">
        <f>(IF('Section Load'!Z33&gt;0,'Section Load'!Z33,0))</f>
        <v>285</v>
      </c>
      <c r="Z30" s="294">
        <f>(IF('Section Load'!AA33&gt;0,'Section Load'!AA33,0))</f>
        <v>52</v>
      </c>
      <c r="AA30" s="294">
        <f>(IF('Section Load'!AB33&gt;0,'Section Load'!AB33,0))</f>
        <v>46.19999999999709</v>
      </c>
      <c r="AB30" s="294">
        <f>(IF('Section Load'!AC33&gt;0,'Section Load'!AC33,0))</f>
        <v>0</v>
      </c>
      <c r="AC30" s="294">
        <f>(IF('Section Load'!AD33&gt;0,'Section Load'!AD33,0))</f>
        <v>172.69999999999982</v>
      </c>
      <c r="AD30" s="294">
        <f>(IF('Section Load'!AE33&gt;0,'Section Load'!AE33,0))</f>
        <v>376.5399999999936</v>
      </c>
      <c r="AE30" s="294">
        <f>(IF('Section Load'!AF33&gt;0,'Section Load'!AF33,0))</f>
        <v>255.90999999999985</v>
      </c>
      <c r="AF30" s="294">
        <f>(IF('Section Load'!AG33&gt;0,'Section Load'!AG33,0))</f>
        <v>642.74000000000524</v>
      </c>
      <c r="AG30" s="294">
        <f>(IF('Section Load'!AH33&gt;0,'Section Load'!AH33,0))</f>
        <v>241.07000000000335</v>
      </c>
      <c r="AH30" s="294">
        <f>(IF('Section Load'!AI33&gt;0,'Section Load'!AI33,0))</f>
        <v>431.80999999999767</v>
      </c>
      <c r="AI30" s="294">
        <f>(IF('Section Load'!AJ33&gt;0,'Section Load'!AJ33,0))</f>
        <v>427.38000000000466</v>
      </c>
      <c r="AJ30" s="294">
        <f>(IF('Section Load'!AK33&gt;0,'Section Load'!AK33,0))</f>
        <v>282.63000000000102</v>
      </c>
      <c r="AK30" s="294">
        <f>(IF('Section Load'!AL33&gt;0,'Section Load'!AL33,0))</f>
        <v>309.22999999999956</v>
      </c>
      <c r="AL30" s="294">
        <f>(IF('Section Load'!AM33&gt;0,'Section Load'!AM33,0))</f>
        <v>609.29000000000815</v>
      </c>
      <c r="AM30" s="295">
        <f>(IF('Water Report'!$AF$7&gt;0,'Water Report'!$AF$7,0))</f>
        <v>109</v>
      </c>
      <c r="AN30" s="295">
        <f>(IF('Water Report'!$AF$8&gt;0,'Water Report'!$AF$8,0))</f>
        <v>150</v>
      </c>
      <c r="AO30" s="295">
        <f>(IF('Water Report'!$AF$9&gt;0,'Water Report'!$AF$9,0))</f>
        <v>104</v>
      </c>
      <c r="AP30" s="295">
        <f>(IF('Water Report'!$AF$10&gt;0,'Water Report'!$AF$10,0))</f>
        <v>25</v>
      </c>
      <c r="AQ30" s="295">
        <f>(IF('Water Report'!$AF$11&gt;0,'Water Report'!$AF$11,0))</f>
        <v>0</v>
      </c>
      <c r="AR30" s="295">
        <f>(IF('Water Report'!$AF$13&gt;0,'Water Report'!$AF$13,0))</f>
        <v>8</v>
      </c>
      <c r="AS30" s="295">
        <f>(IF('Water Report'!$AF$14&gt;0,'Water Report'!$AF$14,0))</f>
        <v>7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14</v>
      </c>
      <c r="AW30" s="295">
        <f>(IF('Water Report'!$AF$19&gt;0,'Water Report'!$AF$19,0))</f>
        <v>12</v>
      </c>
      <c r="AX30" s="301">
        <f>(IF('Water Report'!$AF$21&gt;0,'Water Report'!$AF$21,0))</f>
        <v>133</v>
      </c>
      <c r="AY30" s="301">
        <f>(IF('Water Report'!$AF$22&gt;0,'Water Report'!$AF$22,0))</f>
        <v>0</v>
      </c>
      <c r="AZ30" s="301">
        <f>(IF('Water Report'!$AF$23&gt;0,'Water Report'!$AF$23,0))</f>
        <v>5</v>
      </c>
      <c r="BA30" s="301">
        <f>(IF('Water Report'!$AF$14&gt;0,'Water Report'!$AF$14,0))</f>
        <v>7</v>
      </c>
      <c r="BB30" s="301">
        <f>(IF('Water Report'!$AF$15&gt;0,'Water Report'!$AF$15,0))</f>
        <v>6</v>
      </c>
      <c r="BC30" s="301">
        <f>(IF('Water Report'!$AF$13&gt;0,'Water Report'!$AF$13,0))</f>
        <v>8</v>
      </c>
      <c r="BD30" s="301">
        <f>(IF('Water Report'!$AF$24&gt;0,'Water Report'!$AF$24,0))</f>
        <v>206</v>
      </c>
      <c r="BE30" s="301">
        <f>(IF('Water Report'!$AF$25&gt;0,'Water Report'!$AF$25,0))</f>
        <v>142</v>
      </c>
      <c r="BF30" s="301">
        <f>(IF('Water Report'!$AF$27&gt;0,'Water Report'!$AF$27,0))</f>
        <v>146</v>
      </c>
      <c r="BG30" s="296">
        <f>(IF('Section Load'!AN33&gt;0,'Section Load'!AN33,0))</f>
        <v>1000.0000000002328</v>
      </c>
      <c r="BH30" s="296">
        <f>(IF('Section Load'!AO33&gt;0,'Section Load'!AO33,0))</f>
        <v>279.70000000006985</v>
      </c>
      <c r="BI30" s="296">
        <f>(IF('Section Load'!AP33&gt;0,'Section Load'!AP33,0))</f>
        <v>0</v>
      </c>
      <c r="BJ30" s="296">
        <f>(IF('Section Load'!AQ33&gt;0,'Section Load'!AQ33,0))</f>
        <v>96.560000000026776</v>
      </c>
      <c r="BK30" s="296">
        <f>(IF('Section Load'!AR33&gt;0,'Section Load'!AR33,0))</f>
        <v>48.19999999999709</v>
      </c>
      <c r="BL30" s="296">
        <f>(IF('Section Load'!AS33&gt;0,'Section Load'!AS33,0))</f>
        <v>0</v>
      </c>
      <c r="BM30" s="296">
        <f>(IF('Section Load'!AT33&gt;0,'Section Load'!AT33,0))</f>
        <v>575.54000000013912</v>
      </c>
    </row>
    <row r="31" spans="1:65">
      <c r="A31" s="287" t="s">
        <v>268</v>
      </c>
      <c r="B31" s="288">
        <f t="shared" si="0"/>
        <v>30</v>
      </c>
      <c r="C31" s="288">
        <v>7</v>
      </c>
      <c r="D31" s="288">
        <v>2022</v>
      </c>
      <c r="E31" s="294">
        <f>(IF('Section Load'!F34&gt;0,'Section Load'!F34,0))</f>
        <v>3343.4400000000023</v>
      </c>
      <c r="F31" s="294">
        <f>(IF('Section Load'!G34&gt;0,'Section Load'!G34,0))</f>
        <v>1746.8599999999931</v>
      </c>
      <c r="G31" s="294">
        <f>(IF('Section Load'!H34&gt;0,'Section Load'!H34,0))</f>
        <v>2123.2799999999697</v>
      </c>
      <c r="H31" s="294">
        <f>(IF('Section Load'!I34&gt;0,'Section Load'!I34,0))</f>
        <v>2940.640000000014</v>
      </c>
      <c r="I31" s="294">
        <f>(IF('Section Load'!J34&gt;0,'Section Load'!J34,0))</f>
        <v>6656.9300000000512</v>
      </c>
      <c r="J31" s="294">
        <f>(IF('Section Load'!K34&gt;0,'Section Load'!K34,0))</f>
        <v>2955.3100000000122</v>
      </c>
      <c r="K31" s="294">
        <f>(IF('Section Load'!L34&gt;0,'Section Load'!L34,0))</f>
        <v>1039.2900000000081</v>
      </c>
      <c r="L31" s="294">
        <f>(IF('Section Load'!M34&gt;0,'Section Load'!M34,0))</f>
        <v>743.40000000002328</v>
      </c>
      <c r="M31" s="294">
        <f>(IF('Section Load'!N34&gt;0,'Section Load'!N34,0))</f>
        <v>109</v>
      </c>
      <c r="N31" s="294">
        <f>(IF('Section Load'!O34&gt;0,'Section Load'!O34,0))</f>
        <v>188</v>
      </c>
      <c r="O31" s="294">
        <f>(IF('Section Load'!P34&gt;0,'Section Load'!P34,0))</f>
        <v>14.019999999999982</v>
      </c>
      <c r="P31" s="294">
        <f>(IF('Section Load'!Q34&gt;0,'Section Load'!Q34,0))</f>
        <v>214.36999999999534</v>
      </c>
      <c r="Q31" s="294">
        <f>(IF('Section Load'!R34&gt;0,'Section Load'!R34,0))</f>
        <v>74.559999999997672</v>
      </c>
      <c r="R31" s="294">
        <f>(IF('Section Load'!S34&gt;0,'Section Load'!S34,0))</f>
        <v>0</v>
      </c>
      <c r="S31" s="294">
        <f>(IF('Section Load'!T34&gt;0,'Section Load'!T34,0))</f>
        <v>33</v>
      </c>
      <c r="T31" s="294">
        <f>(IF('Section Load'!U34&gt;0,'Section Load'!U34,0))</f>
        <v>237</v>
      </c>
      <c r="U31" s="294">
        <f>(IF('Section Load'!V34&gt;0,'Section Load'!V34,0))</f>
        <v>477.96000000007916</v>
      </c>
      <c r="V31" s="294">
        <f>(IF('Section Load'!W34&gt;0,'Section Load'!W34,0))</f>
        <v>299.52000000001863</v>
      </c>
      <c r="W31" s="294">
        <f>(IF('Section Load'!X34&gt;0,'Section Load'!X34,0))</f>
        <v>31.989999999999782</v>
      </c>
      <c r="X31" s="294">
        <f>(IF('Section Load'!Y34&gt;0,'Section Load'!Y34,0))</f>
        <v>286.05999999999767</v>
      </c>
      <c r="Y31" s="294">
        <f>(IF('Section Load'!Z34&gt;0,'Section Load'!Z34,0))</f>
        <v>271</v>
      </c>
      <c r="Z31" s="294">
        <f>(IF('Section Load'!AA34&gt;0,'Section Load'!AA34,0))</f>
        <v>34</v>
      </c>
      <c r="AA31" s="294">
        <f>(IF('Section Load'!AB34&gt;0,'Section Load'!AB34,0))</f>
        <v>42</v>
      </c>
      <c r="AB31" s="294">
        <f>(IF('Section Load'!AC34&gt;0,'Section Load'!AC34,0))</f>
        <v>0</v>
      </c>
      <c r="AC31" s="294">
        <f>(IF('Section Load'!AD34&gt;0,'Section Load'!AD34,0))</f>
        <v>194.09999999999968</v>
      </c>
      <c r="AD31" s="294">
        <f>(IF('Section Load'!AE34&gt;0,'Section Load'!AE34,0))</f>
        <v>363.2100000000064</v>
      </c>
      <c r="AE31" s="294">
        <f>(IF('Section Load'!AF34&gt;0,'Section Load'!AF34,0))</f>
        <v>254.63000000000466</v>
      </c>
      <c r="AF31" s="294">
        <f>(IF('Section Load'!AG34&gt;0,'Section Load'!AG34,0))</f>
        <v>670.57999999999447</v>
      </c>
      <c r="AG31" s="294">
        <f>(IF('Section Load'!AH34&gt;0,'Section Load'!AH34,0))</f>
        <v>240.5199999999968</v>
      </c>
      <c r="AH31" s="294">
        <f>(IF('Section Load'!AI34&gt;0,'Section Load'!AI34,0))</f>
        <v>412.61999999999898</v>
      </c>
      <c r="AI31" s="294">
        <f>(IF('Section Load'!AJ34&gt;0,'Section Load'!AJ34,0))</f>
        <v>433.38999999999942</v>
      </c>
      <c r="AJ31" s="294">
        <f>(IF('Section Load'!AK34&gt;0,'Section Load'!AK34,0))</f>
        <v>284.5</v>
      </c>
      <c r="AK31" s="294">
        <f>(IF('Section Load'!AL34&gt;0,'Section Load'!AL34,0))</f>
        <v>308.77000000000044</v>
      </c>
      <c r="AL31" s="294">
        <f>(IF('Section Load'!AM34&gt;0,'Section Load'!AM34,0))</f>
        <v>0</v>
      </c>
      <c r="AM31" s="295">
        <f>(IF('Water Report'!$AG$7&gt;0,'Water Report'!$AG$7,0))</f>
        <v>84</v>
      </c>
      <c r="AN31" s="295">
        <f>(IF('Water Report'!$AG$8&gt;0,'Water Report'!$AG$8,0))</f>
        <v>125</v>
      </c>
      <c r="AO31" s="295">
        <f>(IF('Water Report'!$AG$9&gt;0,'Water Report'!$AG$9,0))</f>
        <v>99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1000</v>
      </c>
      <c r="BH31" s="296">
        <f>(IF('Section Load'!AO34&gt;0,'Section Load'!AO34,0))</f>
        <v>286.04999999993015</v>
      </c>
      <c r="BI31" s="296">
        <f>(IF('Section Load'!AP34&gt;0,'Section Load'!AP34,0))</f>
        <v>0</v>
      </c>
      <c r="BJ31" s="296">
        <f>(IF('Section Load'!AQ34&gt;0,'Section Load'!AQ34,0))</f>
        <v>94.409999999974389</v>
      </c>
      <c r="BK31" s="296">
        <f>(IF('Section Load'!AR34&gt;0,'Section Load'!AR34,0))</f>
        <v>58.80000000000291</v>
      </c>
      <c r="BL31" s="296">
        <f>(IF('Section Load'!AS34&gt;0,'Section Load'!AS34,0))</f>
        <v>0.3999999999996362</v>
      </c>
      <c r="BM31" s="296">
        <f>(IF('Section Load'!AT34&gt;0,'Section Load'!AT34,0))</f>
        <v>560.34000000009291</v>
      </c>
    </row>
    <row r="32" spans="1:65">
      <c r="A32" s="287" t="s">
        <v>268</v>
      </c>
      <c r="B32" s="288">
        <f t="shared" si="0"/>
        <v>31</v>
      </c>
      <c r="C32" s="288">
        <v>7</v>
      </c>
      <c r="D32" s="288">
        <v>2022</v>
      </c>
      <c r="E32" s="294">
        <f>(IF('Section Load'!F35&gt;0,'Section Load'!F35,0))</f>
        <v>3730</v>
      </c>
      <c r="F32" s="294">
        <f>(IF('Section Load'!G35&gt;0,'Section Load'!G35,0))</f>
        <v>1790</v>
      </c>
      <c r="G32" s="294">
        <f>(IF('Section Load'!H35&gt;0,'Section Load'!H35,0))</f>
        <v>2284</v>
      </c>
      <c r="H32" s="294">
        <f>(IF('Section Load'!I35&gt;0,'Section Load'!I35,0))</f>
        <v>3217</v>
      </c>
      <c r="I32" s="294">
        <f>(IF('Section Load'!J35&gt;0,'Section Load'!J35,0))</f>
        <v>8088</v>
      </c>
      <c r="J32" s="294">
        <f>(IF('Section Load'!K35&gt;0,'Section Load'!K35,0))</f>
        <v>2524</v>
      </c>
      <c r="K32" s="294">
        <f>(IF('Section Load'!L35&gt;0,'Section Load'!L35,0))</f>
        <v>933</v>
      </c>
      <c r="L32" s="294">
        <f>(IF('Section Load'!M35&gt;0,'Section Load'!M35,0))</f>
        <v>797</v>
      </c>
      <c r="M32" s="294">
        <f>(IF('Section Load'!N35&gt;0,'Section Load'!N35,0))</f>
        <v>112</v>
      </c>
      <c r="N32" s="294">
        <f>(IF('Section Load'!O35&gt;0,'Section Load'!O35,0))</f>
        <v>141</v>
      </c>
      <c r="O32" s="294">
        <f>(IF('Section Load'!P35&gt;0,'Section Load'!P35,0))</f>
        <v>12</v>
      </c>
      <c r="P32" s="294">
        <f>(IF('Section Load'!Q35&gt;0,'Section Load'!Q35,0))</f>
        <v>190</v>
      </c>
      <c r="Q32" s="294">
        <f>(IF('Section Load'!R35&gt;0,'Section Load'!R35,0))</f>
        <v>138</v>
      </c>
      <c r="R32" s="294">
        <f>(IF('Section Load'!S35&gt;0,'Section Load'!S35,0))</f>
        <v>0</v>
      </c>
      <c r="S32" s="294">
        <f>(IF('Section Load'!T35&gt;0,'Section Load'!T35,0))</f>
        <v>36</v>
      </c>
      <c r="T32" s="294">
        <f>(IF('Section Load'!U35&gt;0,'Section Load'!U35,0))</f>
        <v>252</v>
      </c>
      <c r="U32" s="294">
        <f>(IF('Section Load'!V35&gt;0,'Section Load'!V35,0))</f>
        <v>374</v>
      </c>
      <c r="V32" s="294">
        <f>(IF('Section Load'!W35&gt;0,'Section Load'!W35,0))</f>
        <v>293</v>
      </c>
      <c r="W32" s="294">
        <f>(IF('Section Load'!X35&gt;0,'Section Load'!X35,0))</f>
        <v>31</v>
      </c>
      <c r="X32" s="294">
        <f>(IF('Section Load'!Y35&gt;0,'Section Load'!Y35,0))</f>
        <v>256.91999999999825</v>
      </c>
      <c r="Y32" s="294">
        <f>(IF('Section Load'!Z35&gt;0,'Section Load'!Z35,0))</f>
        <v>288</v>
      </c>
      <c r="Z32" s="294">
        <f>(IF('Section Load'!AA35&gt;0,'Section Load'!AA35,0))</f>
        <v>3.2800000000279397</v>
      </c>
      <c r="AA32" s="294">
        <f>(IF('Section Load'!AB35&gt;0,'Section Load'!AB35,0))</f>
        <v>42</v>
      </c>
      <c r="AB32" s="294">
        <f>(IF('Section Load'!AC35&gt;0,'Section Load'!AC35,0))</f>
        <v>11.389999999999418</v>
      </c>
      <c r="AC32" s="294">
        <f>(IF('Section Load'!AD35&gt;0,'Section Load'!AD35,0))</f>
        <v>192</v>
      </c>
      <c r="AD32" s="294">
        <f>(IF('Section Load'!AE35&gt;0,'Section Load'!AE35,0))</f>
        <v>382</v>
      </c>
      <c r="AE32" s="294">
        <f>(IF('Section Load'!AF35&gt;0,'Section Load'!AF35,0))</f>
        <v>240</v>
      </c>
      <c r="AF32" s="294">
        <f>(IF('Section Load'!AG35&gt;0,'Section Load'!AG35,0))</f>
        <v>611</v>
      </c>
      <c r="AG32" s="294">
        <f>(IF('Section Load'!AH35&gt;0,'Section Load'!AH35,0))</f>
        <v>388</v>
      </c>
      <c r="AH32" s="294">
        <f>(IF('Section Load'!AI35&gt;0,'Section Load'!AI35,0))</f>
        <v>405</v>
      </c>
      <c r="AI32" s="294">
        <f>(IF('Section Load'!AJ35&gt;0,'Section Load'!AJ35,0))</f>
        <v>443</v>
      </c>
      <c r="AJ32" s="294">
        <f>(IF('Section Load'!AK35&gt;0,'Section Load'!AK35,0))</f>
        <v>269</v>
      </c>
      <c r="AK32" s="294">
        <f>(IF('Section Load'!AL35&gt;0,'Section Load'!AL35,0))</f>
        <v>331</v>
      </c>
      <c r="AL32" s="294">
        <f>(IF('Section Load'!AM35&gt;0,'Section Load'!AM35,0))</f>
        <v>849</v>
      </c>
      <c r="AM32" s="295">
        <f>(IF('Water Report'!$AH$7&gt;0,'Water Report'!$AH$7,0))</f>
        <v>150</v>
      </c>
      <c r="AN32" s="295">
        <f>(IF('Water Report'!$AH$8&gt;0,'Water Report'!$AH$8,0))</f>
        <v>117</v>
      </c>
      <c r="AO32" s="295">
        <f>(IF('Water Report'!$AH$9&gt;0,'Water Report'!$AH$9,0))</f>
        <v>105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1000</v>
      </c>
      <c r="BH32" s="296">
        <f>(IF('Section Load'!AO35&gt;0,'Section Load'!AO35,0))</f>
        <v>324</v>
      </c>
      <c r="BI32" s="296">
        <f>(IF('Section Load'!AP35&gt;0,'Section Load'!AP35,0))</f>
        <v>0</v>
      </c>
      <c r="BJ32" s="296">
        <f>(IF('Section Load'!AQ35&gt;0,'Section Load'!AQ35,0))</f>
        <v>99</v>
      </c>
      <c r="BK32" s="296">
        <f>(IF('Section Load'!AR35&gt;0,'Section Load'!AR35,0))</f>
        <v>47</v>
      </c>
      <c r="BL32" s="296">
        <f>(IF('Section Load'!AS35&gt;0,'Section Load'!AS35,0))</f>
        <v>0</v>
      </c>
      <c r="BM32" s="296">
        <f>(IF('Section Load'!AT35&gt;0,'Section Load'!AT35,0))</f>
        <v>530.39999999999964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W5" sqref="W5:X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3"/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  <c r="AA1" s="763"/>
      <c r="AB1" s="763"/>
      <c r="AC1" s="763"/>
      <c r="AD1" s="763"/>
      <c r="AE1" s="763"/>
      <c r="AF1" s="763"/>
      <c r="AG1" s="763"/>
      <c r="AH1" s="763"/>
      <c r="AI1" s="763"/>
      <c r="AJ1" s="763"/>
      <c r="AK1" s="763"/>
      <c r="AL1" s="763"/>
      <c r="AM1" s="763"/>
      <c r="AN1" s="763"/>
      <c r="AO1" s="763"/>
      <c r="AP1" s="763"/>
      <c r="AQ1" s="763"/>
      <c r="AR1" s="763"/>
      <c r="AS1" s="763"/>
      <c r="AT1" s="763"/>
      <c r="AU1" s="763"/>
      <c r="AV1" s="763"/>
      <c r="AW1" s="763"/>
      <c r="AX1" s="763"/>
      <c r="AY1" s="763"/>
      <c r="AZ1" s="763"/>
      <c r="BA1" s="763"/>
      <c r="BB1" s="763"/>
      <c r="BC1" s="763"/>
      <c r="BD1" s="763"/>
      <c r="BE1" s="763"/>
      <c r="BF1" s="763"/>
      <c r="BG1" s="763"/>
      <c r="BH1" s="763"/>
      <c r="BI1" s="763"/>
      <c r="BJ1" s="763"/>
      <c r="BK1" s="763"/>
      <c r="BL1" s="763"/>
      <c r="BM1" s="763"/>
      <c r="BN1" s="763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4" t="s">
        <v>5</v>
      </c>
      <c r="I2" s="764"/>
      <c r="J2" s="764"/>
      <c r="K2" s="44"/>
      <c r="L2" s="765" t="s">
        <v>6</v>
      </c>
      <c r="M2" s="765"/>
      <c r="N2" s="765"/>
      <c r="O2" s="766" t="s">
        <v>7</v>
      </c>
      <c r="P2" s="766"/>
      <c r="Q2" s="766"/>
      <c r="R2" s="44" t="s">
        <v>8</v>
      </c>
      <c r="S2" s="767" t="s">
        <v>9</v>
      </c>
      <c r="T2" s="767"/>
      <c r="U2" s="767"/>
      <c r="V2" s="768" t="s">
        <v>10</v>
      </c>
      <c r="W2" s="769"/>
      <c r="X2" s="770"/>
      <c r="Y2" s="263"/>
      <c r="Z2" s="771" t="s">
        <v>11</v>
      </c>
      <c r="AA2" s="771"/>
      <c r="AB2" s="771"/>
      <c r="AC2" s="771"/>
      <c r="AD2" s="264"/>
      <c r="AE2" s="264" t="s">
        <v>12</v>
      </c>
      <c r="AF2" s="264" t="s">
        <v>13</v>
      </c>
      <c r="AG2" s="771" t="s">
        <v>14</v>
      </c>
      <c r="AH2" s="771"/>
      <c r="AI2" s="771"/>
      <c r="AJ2" s="264" t="s">
        <v>15</v>
      </c>
      <c r="AK2" s="771" t="s">
        <v>16</v>
      </c>
      <c r="AL2" s="771"/>
      <c r="AM2" s="771"/>
      <c r="AN2" s="264" t="s">
        <v>17</v>
      </c>
      <c r="AO2" s="5" t="s">
        <v>18</v>
      </c>
      <c r="AP2" s="772" t="s">
        <v>19</v>
      </c>
      <c r="AQ2" s="773"/>
      <c r="AR2" s="773"/>
      <c r="AS2" s="773"/>
      <c r="AT2" s="773"/>
      <c r="AU2" s="773"/>
      <c r="AV2" s="773"/>
      <c r="AW2" s="773"/>
      <c r="AX2" s="773"/>
      <c r="AY2" s="774"/>
      <c r="AZ2" s="772" t="s">
        <v>20</v>
      </c>
      <c r="BA2" s="773"/>
      <c r="BB2" s="773"/>
      <c r="BC2" s="773"/>
      <c r="BD2" s="773"/>
      <c r="BE2" s="773"/>
      <c r="BF2" s="773"/>
      <c r="BG2" s="773"/>
      <c r="BH2" s="773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29</v>
      </c>
      <c r="E4" s="50">
        <f>'1'!D4</f>
        <v>0.78</v>
      </c>
      <c r="F4" s="50">
        <f>'1'!D2</f>
        <v>0.88</v>
      </c>
      <c r="G4" s="19">
        <f>'1'!G7</f>
        <v>25024.170000000042</v>
      </c>
      <c r="H4" s="19">
        <f>'1'!G8</f>
        <v>25381.790000000037</v>
      </c>
      <c r="I4" s="19">
        <v>9</v>
      </c>
      <c r="J4" s="49">
        <f>H4*I4</f>
        <v>228436.11000000034</v>
      </c>
      <c r="K4" s="45">
        <f>H4/202</f>
        <v>125.65242574257444</v>
      </c>
      <c r="L4" s="19">
        <f>'1'!G15</f>
        <v>962.59000000008382</v>
      </c>
      <c r="M4" s="19">
        <v>56.2</v>
      </c>
      <c r="N4" s="45">
        <f>L4*M4</f>
        <v>54097.558000004712</v>
      </c>
      <c r="O4" s="19">
        <f>'1'!G20</f>
        <v>198</v>
      </c>
      <c r="P4" s="19">
        <v>108</v>
      </c>
      <c r="Q4" s="46">
        <f t="shared" ref="Q4:Q33" si="0">O4*P4</f>
        <v>21384</v>
      </c>
      <c r="R4" s="47">
        <f t="shared" ref="R4:R34" si="1">O4/(F4*202/100)</f>
        <v>111.38613861386139</v>
      </c>
      <c r="S4" s="19">
        <f>'1'!G24</f>
        <v>0</v>
      </c>
      <c r="T4" s="19">
        <v>69</v>
      </c>
      <c r="U4" s="48">
        <f>S4*T4</f>
        <v>0</v>
      </c>
      <c r="V4" s="22">
        <f>'1'!G65</f>
        <v>77</v>
      </c>
      <c r="W4" s="22">
        <f>'1'!G66</f>
        <v>10</v>
      </c>
      <c r="X4" s="22">
        <f>'1'!G67</f>
        <v>0</v>
      </c>
      <c r="Y4" s="22">
        <f>V4+W4+X4</f>
        <v>87</v>
      </c>
      <c r="Z4" s="19">
        <f>'1'!G84</f>
        <v>0</v>
      </c>
      <c r="AA4" s="19">
        <f>'1'!G85</f>
        <v>3.569999999999709</v>
      </c>
      <c r="AB4" s="19">
        <f>'1'!G86</f>
        <v>22.289999999993597</v>
      </c>
      <c r="AC4" s="19">
        <f>'1'!G87</f>
        <v>12.349999999998545</v>
      </c>
      <c r="AD4" s="19">
        <f>Z4+AA4+AB4+AC4</f>
        <v>38.209999999991851</v>
      </c>
      <c r="AE4" s="23">
        <f t="shared" ref="AE4:AE33" si="2">AU4+AV4+BE4+BF4</f>
        <v>5528.6499999999651</v>
      </c>
      <c r="AF4" s="23">
        <f>AE4/AD4</f>
        <v>144.69118031931808</v>
      </c>
      <c r="AG4" s="19">
        <f>'1'!G88</f>
        <v>5.9999999997671694E-2</v>
      </c>
      <c r="AH4" s="19">
        <f>'1'!G89</f>
        <v>8.4200000000018917</v>
      </c>
      <c r="AI4" s="19">
        <f>'1'!G90</f>
        <v>7.9100000000034925</v>
      </c>
      <c r="AJ4" s="19">
        <f>AG4+AH4+AI4</f>
        <v>16.390000000003056</v>
      </c>
      <c r="AK4" s="19">
        <f>'1'!G91</f>
        <v>0</v>
      </c>
      <c r="AL4" s="19">
        <f>'1'!G92</f>
        <v>11.420000000000073</v>
      </c>
      <c r="AM4" s="19"/>
      <c r="AN4" s="19">
        <f>AK4+AL4</f>
        <v>11.420000000000073</v>
      </c>
      <c r="AO4" s="52">
        <f>'1'!G74</f>
        <v>328.31000000005588</v>
      </c>
      <c r="AP4" s="55">
        <f>'1'!G35</f>
        <v>0</v>
      </c>
      <c r="AQ4" s="19">
        <f>'1'!G37</f>
        <v>1693.4400000000023</v>
      </c>
      <c r="AR4" s="19">
        <f>'1'!G38</f>
        <v>2196.7600000000093</v>
      </c>
      <c r="AS4" s="19">
        <f>'1'!G39</f>
        <v>2995.1199999999371</v>
      </c>
      <c r="AT4" s="19">
        <f>'1'!G40</f>
        <v>546.88999999999942</v>
      </c>
      <c r="AU4" s="19">
        <f>'1'!G41</f>
        <v>1.0000000009313226E-2</v>
      </c>
      <c r="AV4" s="19">
        <f>'1'!G42</f>
        <v>777.67999999993481</v>
      </c>
      <c r="AW4" s="19">
        <f>'1'!G43</f>
        <v>0</v>
      </c>
      <c r="AX4" s="19">
        <f>'1'!G44</f>
        <v>0</v>
      </c>
      <c r="AY4" s="56">
        <f>'1'!G36</f>
        <v>855.11999999999534</v>
      </c>
      <c r="AZ4" s="55">
        <f>'1'!G49</f>
        <v>3496.5599999999977</v>
      </c>
      <c r="BA4" s="19">
        <f>'1'!G51</f>
        <v>0.31999999999999318</v>
      </c>
      <c r="BB4" s="19">
        <f>'1'!G52</f>
        <v>-0.24000000000000021</v>
      </c>
      <c r="BC4" s="19">
        <f>'1'!G53</f>
        <v>0</v>
      </c>
      <c r="BD4" s="19">
        <f>'1'!G54</f>
        <v>354.85000000000582</v>
      </c>
      <c r="BE4" s="19">
        <f>'1'!G55</f>
        <v>3144.2200000000303</v>
      </c>
      <c r="BF4" s="19">
        <f>'1'!G56</f>
        <v>1606.7399999999907</v>
      </c>
      <c r="BG4" s="19">
        <f>'1'!G57</f>
        <v>2932.179999999993</v>
      </c>
      <c r="BH4" s="56">
        <f>'1'!G50</f>
        <v>1003.3500000000058</v>
      </c>
      <c r="BI4" s="60">
        <f>SUM(AU4,AV4,BE4,BF4)</f>
        <v>5528.6499999999651</v>
      </c>
      <c r="BJ4" s="60">
        <f>'1'!G133</f>
        <v>739</v>
      </c>
      <c r="BK4" s="23">
        <f>SUM(AP4,AU4,AV4,AW4,AZ4,BE4,BF4,BG4)/H4%</f>
        <v>47.110113195326008</v>
      </c>
      <c r="BL4" s="23">
        <f>SUM(AS4,BC4)/H4%</f>
        <v>11.800270981675968</v>
      </c>
      <c r="BM4" s="24">
        <f>(AR4+BB4)/H4</f>
        <v>8.6539207833647921E-2</v>
      </c>
      <c r="BN4" s="25">
        <f>J4+N4+Q4+U4</f>
        <v>303917.66800000507</v>
      </c>
      <c r="BO4" s="38">
        <f>SUM(AU4,AV4,AW4,BE4,BF4,BG4,BJ4)</f>
        <v>9199.8299999999581</v>
      </c>
      <c r="BP4">
        <f>BO4/(AD4*280)</f>
        <v>0.85989363293097543</v>
      </c>
      <c r="BQ4" s="38">
        <f>SUM(AU4,AV4,BE4,BF4)/(AD4*400)</f>
        <v>0.36172795079829523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27073.159999999916</v>
      </c>
      <c r="H5" s="19">
        <f>'2'!G8</f>
        <v>27519.279999999912</v>
      </c>
      <c r="I5" s="19">
        <v>9</v>
      </c>
      <c r="J5" s="49">
        <f t="shared" ref="J5:J34" si="3">H5*I5</f>
        <v>247673.5199999992</v>
      </c>
      <c r="K5" s="45">
        <f t="shared" ref="K5:K33" si="4">H5/202</f>
        <v>136.23405940594014</v>
      </c>
      <c r="L5" s="19">
        <f>'2'!G15</f>
        <v>989.68999999994412</v>
      </c>
      <c r="M5" s="19">
        <v>56.2</v>
      </c>
      <c r="N5" s="45">
        <f t="shared" ref="N5:N33" si="5">L5*M5</f>
        <v>55620.577999996865</v>
      </c>
      <c r="O5" s="19">
        <f>'2'!G20</f>
        <v>167</v>
      </c>
      <c r="P5" s="19">
        <v>108</v>
      </c>
      <c r="Q5" s="46">
        <f t="shared" si="0"/>
        <v>18036</v>
      </c>
      <c r="R5" s="47">
        <f t="shared" si="1"/>
        <v>84.360476864012938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451564</v>
      </c>
      <c r="W5" s="22">
        <f>'2'!G66</f>
        <v>18</v>
      </c>
      <c r="X5" s="22">
        <f>'2'!G67</f>
        <v>0</v>
      </c>
      <c r="Y5" s="22">
        <f t="shared" ref="Y5:Y33" si="7">V5+W5+X5</f>
        <v>451582</v>
      </c>
      <c r="Z5" s="19">
        <f>'2'!G84</f>
        <v>0.26000000000203727</v>
      </c>
      <c r="AA5" s="19">
        <f>'2'!G85</f>
        <v>17.609999999999673</v>
      </c>
      <c r="AB5" s="19">
        <f>'2'!G86</f>
        <v>14.790000000000873</v>
      </c>
      <c r="AC5" s="19">
        <f>'2'!G87</f>
        <v>9.6299999999973807</v>
      </c>
      <c r="AD5" s="19">
        <f t="shared" ref="AD5:AD33" si="8">Z5+AA5+AB5+AC5</f>
        <v>42.289999999999964</v>
      </c>
      <c r="AE5" s="23">
        <f t="shared" si="2"/>
        <v>7548.4200000000274</v>
      </c>
      <c r="AF5" s="23">
        <f t="shared" ref="AF5:AF33" si="9">AE5/AD5</f>
        <v>178.49184204303697</v>
      </c>
      <c r="AG5" s="19">
        <f>'2'!G88</f>
        <v>0</v>
      </c>
      <c r="AH5" s="19">
        <f>'2'!G89</f>
        <v>9.6199999999989814</v>
      </c>
      <c r="AI5" s="19">
        <f>'2'!G90</f>
        <v>7.2100000000064028</v>
      </c>
      <c r="AJ5" s="19">
        <f t="shared" ref="AJ5:AJ33" si="10">AG5+AH5+AI5</f>
        <v>16.830000000005384</v>
      </c>
      <c r="AK5" s="19">
        <f>'2'!G91</f>
        <v>0</v>
      </c>
      <c r="AL5" s="19">
        <f>'2'!G92</f>
        <v>9.6499999999996362</v>
      </c>
      <c r="AM5" s="19"/>
      <c r="AN5" s="19">
        <f t="shared" ref="AN5:AN33" si="11">AK5+AL5</f>
        <v>9.6499999999996362</v>
      </c>
      <c r="AO5" s="52">
        <f>'2'!G74</f>
        <v>277.96999999997206</v>
      </c>
      <c r="AP5" s="55">
        <f>'2'!G35</f>
        <v>0</v>
      </c>
      <c r="AQ5" s="19">
        <f>'2'!G37</f>
        <v>1662.1199999999953</v>
      </c>
      <c r="AR5" s="19">
        <f>'2'!G38</f>
        <v>2286.1600000000326</v>
      </c>
      <c r="AS5" s="19">
        <f>'2'!G39</f>
        <v>2959.1199999999953</v>
      </c>
      <c r="AT5" s="19">
        <f>'2'!G40</f>
        <v>531.30999999999767</v>
      </c>
      <c r="AU5" s="19">
        <f>'2'!G41</f>
        <v>0</v>
      </c>
      <c r="AV5" s="19">
        <f>'2'!G42</f>
        <v>3863.2000000000698</v>
      </c>
      <c r="AW5" s="19">
        <f>'2'!G43</f>
        <v>0</v>
      </c>
      <c r="AX5" s="19">
        <f>'2'!G44</f>
        <v>0</v>
      </c>
      <c r="AY5" s="56">
        <f>'2'!G36</f>
        <v>1059.859999999986</v>
      </c>
      <c r="AZ5" s="55">
        <f>'2'!G49</f>
        <v>3433.1599999999744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350.75</v>
      </c>
      <c r="BE5" s="19">
        <f>'2'!G55</f>
        <v>2425.8199999999488</v>
      </c>
      <c r="BF5" s="19">
        <f>'2'!G56</f>
        <v>1259.4000000000087</v>
      </c>
      <c r="BG5" s="19">
        <f>'2'!G57</f>
        <v>2976.8299999999872</v>
      </c>
      <c r="BH5" s="56">
        <f>'2'!G50</f>
        <v>1101.3800000000047</v>
      </c>
      <c r="BI5" s="60">
        <f t="shared" ref="BI5:BI32" si="12">SUM(AU5,AV5,BE5,BF5)</f>
        <v>7548.4200000000274</v>
      </c>
      <c r="BJ5" s="60">
        <f>'2'!G133</f>
        <v>608</v>
      </c>
      <c r="BK5" s="23">
        <f t="shared" ref="BK5:BK33" si="13">SUM(AP5,AU5,AV5,AW5,AZ5,BE5,BF5,BG5)/H5%</f>
        <v>50.722293606518896</v>
      </c>
      <c r="BL5" s="23">
        <f t="shared" ref="BL5:BL33" si="14">SUM(AS5,BC5)/H5%</f>
        <v>10.752897604879214</v>
      </c>
      <c r="BM5" s="24">
        <f t="shared" ref="BM5:BM33" si="15">(AR5+BB5)/H5</f>
        <v>8.3074847888463643E-2</v>
      </c>
      <c r="BN5" s="25">
        <f t="shared" ref="BN5:BN33" si="16">J5+N5+Q5+U5</f>
        <v>321330.09799999604</v>
      </c>
      <c r="BO5" s="38">
        <f t="shared" ref="BO5:BO35" si="17">SUM(AU5,AV5,AW5,BE5,BF5,BG5,BJ5)</f>
        <v>11133.250000000015</v>
      </c>
      <c r="BP5">
        <f t="shared" ref="BP5:BP35" si="18">BO5/(AD5*280)</f>
        <v>0.94021298517042395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0.98</v>
      </c>
      <c r="G6" s="19">
        <f>'3'!G7</f>
        <v>28755.520000000019</v>
      </c>
      <c r="H6" s="19">
        <f>'3'!G8</f>
        <v>29256.720000000088</v>
      </c>
      <c r="I6" s="19">
        <v>9</v>
      </c>
      <c r="J6" s="49">
        <f t="shared" si="3"/>
        <v>263310.4800000008</v>
      </c>
      <c r="K6" s="45">
        <f t="shared" si="4"/>
        <v>144.8352475247529</v>
      </c>
      <c r="L6" s="19">
        <f>'3'!G15</f>
        <v>1015.8000000000466</v>
      </c>
      <c r="M6" s="19">
        <v>56.2</v>
      </c>
      <c r="N6" s="45">
        <f t="shared" si="5"/>
        <v>57087.960000002618</v>
      </c>
      <c r="O6" s="19">
        <f>'3'!G20</f>
        <v>222</v>
      </c>
      <c r="P6" s="19">
        <v>108</v>
      </c>
      <c r="Q6" s="46">
        <f t="shared" si="0"/>
        <v>23976</v>
      </c>
      <c r="R6" s="47">
        <f t="shared" si="1"/>
        <v>112.14386744796928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93</v>
      </c>
      <c r="W6" s="22">
        <f>'3'!G66</f>
        <v>16</v>
      </c>
      <c r="X6" s="22">
        <f>'3'!G67</f>
        <v>0</v>
      </c>
      <c r="Y6" s="22">
        <f>V6+W6+X6</f>
        <v>109</v>
      </c>
      <c r="Z6" s="19">
        <f>'3'!G84</f>
        <v>0</v>
      </c>
      <c r="AA6" s="19">
        <f>'3'!G85</f>
        <v>20.039999999999964</v>
      </c>
      <c r="AB6" s="19">
        <f>'3'!G86</f>
        <v>24.040000000000873</v>
      </c>
      <c r="AC6" s="19">
        <f>'3'!G87</f>
        <v>0</v>
      </c>
      <c r="AD6" s="19">
        <f t="shared" si="8"/>
        <v>44.080000000000837</v>
      </c>
      <c r="AE6" s="23">
        <f t="shared" si="2"/>
        <v>8860.9000000000233</v>
      </c>
      <c r="AF6" s="23">
        <f t="shared" si="9"/>
        <v>201.01860254083155</v>
      </c>
      <c r="AG6" s="19">
        <f>'3'!G88</f>
        <v>0</v>
      </c>
      <c r="AH6" s="19">
        <f>'3'!G89</f>
        <v>9.2999999999992724</v>
      </c>
      <c r="AI6" s="19">
        <f>'3'!G90</f>
        <v>0</v>
      </c>
      <c r="AJ6" s="19">
        <f t="shared" si="10"/>
        <v>9.2999999999992724</v>
      </c>
      <c r="AK6" s="19">
        <f>'3'!G91</f>
        <v>6.7899999999999636</v>
      </c>
      <c r="AL6" s="19">
        <f>'3'!G92</f>
        <v>4</v>
      </c>
      <c r="AM6" s="19"/>
      <c r="AN6" s="19">
        <f t="shared" si="11"/>
        <v>10.789999999999964</v>
      </c>
      <c r="AO6" s="52">
        <f>'3'!G74</f>
        <v>304.46999999997206</v>
      </c>
      <c r="AP6" s="55">
        <f>'3'!G35</f>
        <v>0</v>
      </c>
      <c r="AQ6" s="19">
        <f>'3'!G37</f>
        <v>1570</v>
      </c>
      <c r="AR6" s="19">
        <f>'3'!G38</f>
        <v>2274.1199999999953</v>
      </c>
      <c r="AS6" s="19">
        <f>'3'!G39</f>
        <v>3008.2399999999907</v>
      </c>
      <c r="AT6" s="19">
        <f>'3'!G40</f>
        <v>590.09000000001106</v>
      </c>
      <c r="AU6" s="19">
        <f>'3'!G41</f>
        <v>0</v>
      </c>
      <c r="AV6" s="19">
        <f>'3'!G42</f>
        <v>4979.359999999986</v>
      </c>
      <c r="AW6" s="19">
        <f>'3'!G43</f>
        <v>0</v>
      </c>
      <c r="AX6" s="19">
        <f>'3'!G44</f>
        <v>0</v>
      </c>
      <c r="AY6" s="56">
        <f>'3'!G36</f>
        <v>1142</v>
      </c>
      <c r="AZ6" s="55">
        <f>'3'!G49</f>
        <v>3612.7600000000093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350.2899999999936</v>
      </c>
      <c r="BE6" s="19">
        <f>'3'!G55</f>
        <v>3881.5400000000373</v>
      </c>
      <c r="BF6" s="19">
        <f>'3'!G56</f>
        <v>0</v>
      </c>
      <c r="BG6" s="19">
        <f>'3'!G57</f>
        <v>3250.9900000000198</v>
      </c>
      <c r="BH6" s="56">
        <f>'3'!G50</f>
        <v>1045.2600000000093</v>
      </c>
      <c r="BI6" s="60">
        <f t="shared" si="12"/>
        <v>8860.9000000000233</v>
      </c>
      <c r="BJ6" s="60">
        <f>'3'!G133</f>
        <v>657</v>
      </c>
      <c r="BK6" s="23">
        <f t="shared" si="13"/>
        <v>53.747139118807596</v>
      </c>
      <c r="BL6" s="23">
        <f t="shared" si="14"/>
        <v>10.282218922695305</v>
      </c>
      <c r="BM6" s="24">
        <f t="shared" si="15"/>
        <v>7.7729834376512083E-2</v>
      </c>
      <c r="BN6" s="25">
        <f t="shared" si="16"/>
        <v>344374.44000000344</v>
      </c>
      <c r="BO6" s="38">
        <f t="shared" si="17"/>
        <v>12768.890000000043</v>
      </c>
      <c r="BP6">
        <f t="shared" si="18"/>
        <v>1.0345548677728644</v>
      </c>
    </row>
    <row r="7" spans="1:69">
      <c r="A7" s="16">
        <v>4</v>
      </c>
      <c r="B7" s="27">
        <v>4</v>
      </c>
      <c r="C7" s="27"/>
      <c r="D7" s="19">
        <f>'4'!D3</f>
        <v>27</v>
      </c>
      <c r="E7" s="50">
        <f>'4'!D4</f>
        <v>0.93</v>
      </c>
      <c r="F7" s="50">
        <f>'4'!D2</f>
        <v>0.53</v>
      </c>
      <c r="G7" s="19">
        <f>'4'!G7</f>
        <v>27058.650000000023</v>
      </c>
      <c r="H7" s="19">
        <f>'4'!G8</f>
        <v>27545.209999999963</v>
      </c>
      <c r="I7" s="19">
        <v>9</v>
      </c>
      <c r="J7" s="49">
        <f t="shared" si="3"/>
        <v>247906.88999999966</v>
      </c>
      <c r="K7" s="45">
        <f t="shared" si="4"/>
        <v>136.36242574257406</v>
      </c>
      <c r="L7" s="19">
        <f>'4'!G15</f>
        <v>997.51000000000931</v>
      </c>
      <c r="M7" s="19">
        <v>56.2</v>
      </c>
      <c r="N7" s="45">
        <f t="shared" si="5"/>
        <v>56060.062000000529</v>
      </c>
      <c r="O7" s="19">
        <f>'4'!G20</f>
        <v>290</v>
      </c>
      <c r="P7" s="19">
        <v>108</v>
      </c>
      <c r="Q7" s="46">
        <f t="shared" si="0"/>
        <v>31320</v>
      </c>
      <c r="R7" s="47">
        <f t="shared" si="1"/>
        <v>270.87614421819541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97</v>
      </c>
      <c r="W7" s="22">
        <f>'4'!G66</f>
        <v>13</v>
      </c>
      <c r="X7" s="22">
        <f>'4'!G67</f>
        <v>0</v>
      </c>
      <c r="Y7" s="22">
        <f t="shared" si="7"/>
        <v>110</v>
      </c>
      <c r="Z7" s="19">
        <f>'4'!G84</f>
        <v>0</v>
      </c>
      <c r="AA7" s="19">
        <f>'4'!G85</f>
        <v>23.770000000000437</v>
      </c>
      <c r="AB7" s="19">
        <f>'4'!G86</f>
        <v>4.5800000000017462</v>
      </c>
      <c r="AC7" s="19">
        <f>'4'!G87</f>
        <v>11.970000000001164</v>
      </c>
      <c r="AD7" s="19">
        <f t="shared" si="8"/>
        <v>40.320000000003347</v>
      </c>
      <c r="AE7" s="23">
        <f t="shared" si="2"/>
        <v>8291.0199999999459</v>
      </c>
      <c r="AF7" s="23">
        <f t="shared" si="9"/>
        <v>205.63045634918794</v>
      </c>
      <c r="AG7" s="19">
        <f>'4'!G88</f>
        <v>-9.9999999983992893E-3</v>
      </c>
      <c r="AH7" s="19">
        <f>'4'!G89</f>
        <v>9.0900000000001455</v>
      </c>
      <c r="AI7" s="19">
        <f>'4'!G90</f>
        <v>10</v>
      </c>
      <c r="AJ7" s="19">
        <f t="shared" si="10"/>
        <v>19.080000000001746</v>
      </c>
      <c r="AK7" s="19">
        <f>'4'!G91</f>
        <v>11.190000000000509</v>
      </c>
      <c r="AL7" s="19">
        <f>'4'!G92</f>
        <v>0</v>
      </c>
      <c r="AM7" s="19"/>
      <c r="AN7" s="19">
        <f t="shared" si="11"/>
        <v>11.190000000000509</v>
      </c>
      <c r="AO7" s="52">
        <f>'4'!G74</f>
        <v>289.05000000004657</v>
      </c>
      <c r="AP7" s="55">
        <f>'4'!G35</f>
        <v>-4.9999999988358468E-2</v>
      </c>
      <c r="AQ7" s="19">
        <f>'4'!G37</f>
        <v>1599.4500000000116</v>
      </c>
      <c r="AR7" s="19">
        <f>'4'!G38</f>
        <v>2193.609999999986</v>
      </c>
      <c r="AS7" s="19">
        <f>'4'!G39</f>
        <v>3012.9300000000512</v>
      </c>
      <c r="AT7" s="19">
        <f>'4'!G40</f>
        <v>608.61999999999534</v>
      </c>
      <c r="AU7" s="19">
        <f>'4'!G41</f>
        <v>-0.41000000000349246</v>
      </c>
      <c r="AV7" s="19">
        <f>'4'!G42</f>
        <v>5835.2099999999627</v>
      </c>
      <c r="AW7" s="19">
        <f>'4'!G43</f>
        <v>0</v>
      </c>
      <c r="AX7" s="19">
        <f>'4'!G44</f>
        <v>0</v>
      </c>
      <c r="AY7" s="56">
        <f>'4'!G36</f>
        <v>765.79000000000815</v>
      </c>
      <c r="AZ7" s="55">
        <f>'4'!G49</f>
        <v>3635.7700000000186</v>
      </c>
      <c r="BA7" s="19">
        <f>'4'!G51</f>
        <v>0</v>
      </c>
      <c r="BB7" s="19">
        <f>'4'!G52</f>
        <v>-9.9999999999997868E-3</v>
      </c>
      <c r="BC7" s="19">
        <f>'4'!G53</f>
        <v>0</v>
      </c>
      <c r="BD7" s="19">
        <f>'4'!G54</f>
        <v>352.61000000000058</v>
      </c>
      <c r="BE7" s="19">
        <f>'4'!G55</f>
        <v>859.48999999999069</v>
      </c>
      <c r="BF7" s="19">
        <f>'4'!G56</f>
        <v>1596.7299999999959</v>
      </c>
      <c r="BG7" s="19">
        <f>'4'!G57</f>
        <v>3076.2999999999884</v>
      </c>
      <c r="BH7" s="56">
        <f>'4'!G50</f>
        <v>1581.609999999986</v>
      </c>
      <c r="BI7" s="60">
        <f t="shared" si="12"/>
        <v>8291.0199999999459</v>
      </c>
      <c r="BJ7" s="60">
        <f>'3'!G133</f>
        <v>657</v>
      </c>
      <c r="BK7" s="23">
        <f t="shared" si="13"/>
        <v>54.466965399791775</v>
      </c>
      <c r="BL7" s="23">
        <f t="shared" si="14"/>
        <v>10.938126810432941</v>
      </c>
      <c r="BM7" s="24">
        <f t="shared" si="15"/>
        <v>7.9636350566940267E-2</v>
      </c>
      <c r="BN7" s="25">
        <f t="shared" si="16"/>
        <v>335286.95200000016</v>
      </c>
      <c r="BO7" s="38">
        <f t="shared" si="17"/>
        <v>12024.319999999934</v>
      </c>
      <c r="BP7">
        <f t="shared" si="18"/>
        <v>1.0650793650792709</v>
      </c>
    </row>
    <row r="8" spans="1:69">
      <c r="A8" s="16">
        <v>5</v>
      </c>
      <c r="B8" s="27">
        <v>5</v>
      </c>
      <c r="C8" s="27"/>
      <c r="D8" s="19">
        <f>'5'!D3</f>
        <v>27</v>
      </c>
      <c r="E8" s="50">
        <f>'5'!D4</f>
        <v>0.93</v>
      </c>
      <c r="F8" s="50">
        <f>'5'!D2</f>
        <v>0.63</v>
      </c>
      <c r="G8" s="19">
        <f>'5'!G7</f>
        <v>26259</v>
      </c>
      <c r="H8" s="19">
        <f>'5'!G8</f>
        <v>26694</v>
      </c>
      <c r="I8" s="19">
        <v>9</v>
      </c>
      <c r="J8" s="49">
        <f t="shared" si="3"/>
        <v>240246</v>
      </c>
      <c r="K8" s="45">
        <f t="shared" si="4"/>
        <v>132.14851485148515</v>
      </c>
      <c r="L8" s="19">
        <f>'5'!G15</f>
        <v>1007</v>
      </c>
      <c r="M8" s="19">
        <v>56.2</v>
      </c>
      <c r="N8" s="45">
        <f t="shared" si="5"/>
        <v>56593.4</v>
      </c>
      <c r="O8" s="19">
        <f>'5'!G20</f>
        <v>200</v>
      </c>
      <c r="P8" s="19">
        <v>108</v>
      </c>
      <c r="Q8" s="46">
        <f t="shared" si="0"/>
        <v>21600</v>
      </c>
      <c r="R8" s="47">
        <f t="shared" si="1"/>
        <v>157.15857300015716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97</v>
      </c>
      <c r="W8" s="22">
        <f>'5'!G66</f>
        <v>13</v>
      </c>
      <c r="X8" s="22">
        <f>'5'!G67</f>
        <v>0</v>
      </c>
      <c r="Y8" s="22">
        <f t="shared" si="7"/>
        <v>110</v>
      </c>
      <c r="Z8" s="19">
        <f>'5'!G84</f>
        <v>0</v>
      </c>
      <c r="AA8" s="19">
        <f>'5'!G85</f>
        <v>24</v>
      </c>
      <c r="AB8" s="19">
        <f>'5'!G86</f>
        <v>0</v>
      </c>
      <c r="AC8" s="19">
        <f>'5'!G87</f>
        <v>15</v>
      </c>
      <c r="AD8" s="19">
        <f t="shared" si="8"/>
        <v>39</v>
      </c>
      <c r="AE8" s="23">
        <f t="shared" si="2"/>
        <v>7382</v>
      </c>
      <c r="AF8" s="23">
        <f t="shared" si="9"/>
        <v>189.28205128205127</v>
      </c>
      <c r="AG8" s="19">
        <f>'5'!G88</f>
        <v>0</v>
      </c>
      <c r="AH8" s="19">
        <f>'5'!G89</f>
        <v>9.6700000000018917</v>
      </c>
      <c r="AI8" s="19">
        <f>'5'!G90</f>
        <v>10</v>
      </c>
      <c r="AJ8" s="19">
        <f t="shared" si="10"/>
        <v>19.670000000001892</v>
      </c>
      <c r="AK8" s="19">
        <f>'5'!G91</f>
        <v>11.75</v>
      </c>
      <c r="AL8" s="19">
        <f>'5'!G92</f>
        <v>0</v>
      </c>
      <c r="AM8" s="19"/>
      <c r="AN8" s="19">
        <f t="shared" si="11"/>
        <v>11.75</v>
      </c>
      <c r="AO8" s="52">
        <f>'5'!G74</f>
        <v>311</v>
      </c>
      <c r="AP8" s="55">
        <f>'5'!G35</f>
        <v>0</v>
      </c>
      <c r="AQ8" s="19">
        <f>'5'!G37</f>
        <v>1650</v>
      </c>
      <c r="AR8" s="19">
        <f>'5'!G38</f>
        <v>2164</v>
      </c>
      <c r="AS8" s="19">
        <f>'5'!G39</f>
        <v>3006</v>
      </c>
      <c r="AT8" s="19">
        <f>'5'!G40</f>
        <v>623</v>
      </c>
      <c r="AU8" s="19">
        <f>'5'!G41</f>
        <v>0</v>
      </c>
      <c r="AV8" s="19">
        <f>'5'!G42</f>
        <v>5455</v>
      </c>
      <c r="AW8" s="19">
        <f>'5'!G43</f>
        <v>0</v>
      </c>
      <c r="AX8" s="19">
        <f>'5'!G44</f>
        <v>0</v>
      </c>
      <c r="AY8" s="56">
        <f>'5'!G36</f>
        <v>830</v>
      </c>
      <c r="AZ8" s="55">
        <f>'5'!G49</f>
        <v>3710</v>
      </c>
      <c r="BA8" s="19">
        <f>'5'!G51</f>
        <v>-0.31999999999999318</v>
      </c>
      <c r="BB8" s="19">
        <f>'5'!G52</f>
        <v>9.9999999999997868E-3</v>
      </c>
      <c r="BC8" s="19">
        <f>'5'!G53</f>
        <v>0</v>
      </c>
      <c r="BD8" s="19">
        <f>'5'!G54</f>
        <v>358</v>
      </c>
      <c r="BE8" s="19">
        <f>'5'!G55</f>
        <v>0</v>
      </c>
      <c r="BF8" s="19">
        <f>'5'!G56</f>
        <v>1927</v>
      </c>
      <c r="BG8" s="19">
        <f>'5'!G57</f>
        <v>3236</v>
      </c>
      <c r="BH8" s="56">
        <f>'5'!G50</f>
        <v>569</v>
      </c>
      <c r="BI8" s="60">
        <f t="shared" si="12"/>
        <v>7382</v>
      </c>
      <c r="BJ8" s="60">
        <f>'5'!G133</f>
        <v>747</v>
      </c>
      <c r="BK8" s="23">
        <f t="shared" si="13"/>
        <v>53.674983142279167</v>
      </c>
      <c r="BL8" s="23">
        <f t="shared" si="14"/>
        <v>11.260957518543494</v>
      </c>
      <c r="BM8" s="24">
        <f t="shared" si="15"/>
        <v>8.1067281036937153E-2</v>
      </c>
      <c r="BN8" s="25">
        <f t="shared" si="16"/>
        <v>318439.40000000002</v>
      </c>
      <c r="BO8" s="38">
        <f t="shared" si="17"/>
        <v>11365</v>
      </c>
      <c r="BP8">
        <f t="shared" si="18"/>
        <v>1.0407509157509158</v>
      </c>
    </row>
    <row r="9" spans="1:69">
      <c r="A9" s="16">
        <v>6</v>
      </c>
      <c r="B9" s="17">
        <v>6</v>
      </c>
      <c r="C9" s="26"/>
      <c r="D9" s="19">
        <f>'6'!D3</f>
        <v>28</v>
      </c>
      <c r="E9" s="50">
        <f>'6'!D4</f>
        <v>0.9</v>
      </c>
      <c r="F9" s="50">
        <f>'6'!D2</f>
        <v>0.6</v>
      </c>
      <c r="G9" s="19">
        <f>'6'!G7</f>
        <v>24902</v>
      </c>
      <c r="H9" s="19">
        <f>'6'!G8</f>
        <v>25238</v>
      </c>
      <c r="I9" s="19">
        <v>9</v>
      </c>
      <c r="J9" s="49">
        <f t="shared" si="3"/>
        <v>227142</v>
      </c>
      <c r="K9" s="45">
        <f t="shared" si="4"/>
        <v>124.94059405940594</v>
      </c>
      <c r="L9" s="19">
        <f>'6'!G15</f>
        <v>1051</v>
      </c>
      <c r="M9" s="19">
        <v>56.2</v>
      </c>
      <c r="N9" s="45">
        <f t="shared" si="5"/>
        <v>59066.200000000004</v>
      </c>
      <c r="O9" s="19">
        <f>'6'!G20</f>
        <v>250</v>
      </c>
      <c r="P9" s="19">
        <v>108</v>
      </c>
      <c r="Q9" s="46">
        <f t="shared" si="0"/>
        <v>27000</v>
      </c>
      <c r="R9" s="47">
        <f t="shared" si="1"/>
        <v>206.27062706270627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97</v>
      </c>
      <c r="W9" s="22">
        <f>'6'!G66</f>
        <v>21</v>
      </c>
      <c r="X9" s="22">
        <f>'6'!G67</f>
        <v>0</v>
      </c>
      <c r="Y9" s="22">
        <f t="shared" si="7"/>
        <v>118</v>
      </c>
      <c r="Z9" s="19">
        <f>'6'!G84</f>
        <v>0</v>
      </c>
      <c r="AA9" s="19">
        <f>'6'!G85</f>
        <v>24</v>
      </c>
      <c r="AB9" s="19">
        <f>'6'!G86</f>
        <v>0</v>
      </c>
      <c r="AC9" s="19">
        <f>'6'!G87</f>
        <v>14</v>
      </c>
      <c r="AD9" s="19">
        <f t="shared" si="8"/>
        <v>38</v>
      </c>
      <c r="AE9" s="23">
        <f t="shared" si="2"/>
        <v>6812</v>
      </c>
      <c r="AF9" s="23">
        <f t="shared" si="9"/>
        <v>179.26315789473685</v>
      </c>
      <c r="AG9" s="19">
        <f>'6'!G88</f>
        <v>1.75</v>
      </c>
      <c r="AH9" s="19">
        <f>'6'!G89</f>
        <v>7.2000000000007276</v>
      </c>
      <c r="AI9" s="19">
        <f>'6'!G90</f>
        <v>10</v>
      </c>
      <c r="AJ9" s="19">
        <f t="shared" si="10"/>
        <v>18.950000000000728</v>
      </c>
      <c r="AK9" s="19">
        <f>'6'!G91</f>
        <v>11.119999999999891</v>
      </c>
      <c r="AL9" s="19">
        <f>'6'!G92</f>
        <v>0</v>
      </c>
      <c r="AM9" s="19"/>
      <c r="AN9" s="19">
        <f t="shared" si="11"/>
        <v>11.119999999999891</v>
      </c>
      <c r="AO9" s="52">
        <f>'6'!G74</f>
        <v>297</v>
      </c>
      <c r="AP9" s="55">
        <f>'6'!G35</f>
        <v>0</v>
      </c>
      <c r="AQ9" s="19">
        <f>'6'!G37</f>
        <v>1559</v>
      </c>
      <c r="AR9" s="19">
        <f>'6'!G38</f>
        <v>2204</v>
      </c>
      <c r="AS9" s="19">
        <f>'6'!G39</f>
        <v>2882</v>
      </c>
      <c r="AT9" s="19">
        <f>'6'!G40</f>
        <v>651</v>
      </c>
      <c r="AU9" s="19">
        <f>'6'!G41</f>
        <v>0</v>
      </c>
      <c r="AV9" s="19">
        <f>'6'!G42</f>
        <v>5648</v>
      </c>
      <c r="AW9" s="19">
        <f>'6'!G43</f>
        <v>0</v>
      </c>
      <c r="AX9" s="19">
        <f>'6'!G44</f>
        <v>0</v>
      </c>
      <c r="AY9" s="56">
        <f>'6'!G36</f>
        <v>729</v>
      </c>
      <c r="AZ9" s="55">
        <f>'6'!G49</f>
        <v>3719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353</v>
      </c>
      <c r="BE9" s="19">
        <f>'6'!G55</f>
        <v>0</v>
      </c>
      <c r="BF9" s="19">
        <f>'6'!G56</f>
        <v>1164</v>
      </c>
      <c r="BG9" s="19">
        <f>'6'!G57</f>
        <v>3070</v>
      </c>
      <c r="BH9" s="56">
        <f>'6'!G50</f>
        <v>1197</v>
      </c>
      <c r="BI9" s="60">
        <f t="shared" si="12"/>
        <v>6812</v>
      </c>
      <c r="BJ9" s="60">
        <f>'6'!G133</f>
        <v>810</v>
      </c>
      <c r="BK9" s="23">
        <f t="shared" si="13"/>
        <v>53.890958079087092</v>
      </c>
      <c r="BL9" s="23">
        <f t="shared" si="14"/>
        <v>11.419288374673112</v>
      </c>
      <c r="BM9" s="24">
        <f t="shared" si="15"/>
        <v>8.7328631428797848E-2</v>
      </c>
      <c r="BN9" s="25">
        <f t="shared" si="16"/>
        <v>313208.2</v>
      </c>
      <c r="BO9" s="38">
        <f t="shared" si="17"/>
        <v>10692</v>
      </c>
      <c r="BP9">
        <f t="shared" si="18"/>
        <v>1.0048872180451127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0.6</v>
      </c>
      <c r="G10" s="19">
        <f>'7'!G7</f>
        <v>28426</v>
      </c>
      <c r="H10" s="19">
        <f>'7'!G8</f>
        <v>28846</v>
      </c>
      <c r="I10" s="19">
        <v>9</v>
      </c>
      <c r="J10" s="49">
        <f t="shared" si="3"/>
        <v>259614</v>
      </c>
      <c r="K10" s="45">
        <f t="shared" si="4"/>
        <v>142.80198019801981</v>
      </c>
      <c r="L10" s="19">
        <f>'7'!G15</f>
        <v>1082</v>
      </c>
      <c r="M10" s="19">
        <v>56.2</v>
      </c>
      <c r="N10" s="45">
        <f t="shared" si="5"/>
        <v>60808.4</v>
      </c>
      <c r="O10" s="19">
        <f>'7'!G20</f>
        <v>251</v>
      </c>
      <c r="P10" s="19">
        <v>108</v>
      </c>
      <c r="Q10" s="46">
        <f t="shared" si="0"/>
        <v>27108</v>
      </c>
      <c r="R10" s="47">
        <f t="shared" si="1"/>
        <v>207.0957095709571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107</v>
      </c>
      <c r="W10" s="22">
        <f>'7'!G66</f>
        <v>23</v>
      </c>
      <c r="X10" s="22">
        <f>'7'!G67</f>
        <v>0</v>
      </c>
      <c r="Y10" s="22">
        <f t="shared" si="7"/>
        <v>130</v>
      </c>
      <c r="Z10" s="19">
        <f>'7'!G84</f>
        <v>16.739999999997963</v>
      </c>
      <c r="AA10" s="19">
        <f>'7'!G85</f>
        <v>24</v>
      </c>
      <c r="AB10" s="19">
        <f>'7'!G86</f>
        <v>0</v>
      </c>
      <c r="AC10" s="19">
        <f>'7'!G87</f>
        <v>0</v>
      </c>
      <c r="AD10" s="19">
        <f t="shared" si="8"/>
        <v>40.739999999997963</v>
      </c>
      <c r="AE10" s="23">
        <f t="shared" si="2"/>
        <v>9955</v>
      </c>
      <c r="AF10" s="23">
        <f t="shared" si="9"/>
        <v>244.35444280806328</v>
      </c>
      <c r="AG10" s="19">
        <f>'7'!G88</f>
        <v>6</v>
      </c>
      <c r="AH10" s="19">
        <f>'7'!G89</f>
        <v>9.2799999999988358</v>
      </c>
      <c r="AI10" s="19">
        <f>'7'!G90</f>
        <v>4.75</v>
      </c>
      <c r="AJ10" s="19">
        <f t="shared" si="10"/>
        <v>20.029999999998836</v>
      </c>
      <c r="AK10" s="19">
        <f>'7'!G91</f>
        <v>8.1400000000003274</v>
      </c>
      <c r="AL10" s="19">
        <f>'7'!G92</f>
        <v>2.5900000000001455</v>
      </c>
      <c r="AM10" s="19"/>
      <c r="AN10" s="19">
        <f t="shared" si="11"/>
        <v>10.730000000000473</v>
      </c>
      <c r="AO10" s="52">
        <f>'7'!G74</f>
        <v>294</v>
      </c>
      <c r="AP10" s="55">
        <f>'7'!G35</f>
        <v>0</v>
      </c>
      <c r="AQ10" s="19">
        <f>'7'!G37</f>
        <v>1541</v>
      </c>
      <c r="AR10" s="19">
        <f>'7'!G38</f>
        <v>2264</v>
      </c>
      <c r="AS10" s="19">
        <f>'7'!G39</f>
        <v>2980</v>
      </c>
      <c r="AT10" s="19">
        <f>'7'!G40</f>
        <v>503</v>
      </c>
      <c r="AU10" s="19">
        <f>'7'!G41</f>
        <v>4076</v>
      </c>
      <c r="AV10" s="19">
        <f>'7'!G42</f>
        <v>5879</v>
      </c>
      <c r="AW10" s="19">
        <f>'7'!G43</f>
        <v>0</v>
      </c>
      <c r="AX10" s="19">
        <f>'7'!G44</f>
        <v>0</v>
      </c>
      <c r="AY10" s="56">
        <f>'7'!G36</f>
        <v>942</v>
      </c>
      <c r="AZ10" s="55">
        <f>'7'!G49</f>
        <v>3680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358</v>
      </c>
      <c r="BE10" s="19">
        <f>'7'!G55</f>
        <v>0</v>
      </c>
      <c r="BF10" s="19">
        <f>'7'!G56</f>
        <v>0</v>
      </c>
      <c r="BG10" s="19">
        <f>'7'!G57</f>
        <v>3226</v>
      </c>
      <c r="BH10" s="56">
        <f>'7'!G50</f>
        <v>1734</v>
      </c>
      <c r="BI10" s="60">
        <f t="shared" si="12"/>
        <v>9955</v>
      </c>
      <c r="BJ10" s="60">
        <f>'7'!G133</f>
        <v>0</v>
      </c>
      <c r="BK10" s="23">
        <f t="shared" si="13"/>
        <v>58.451778409484852</v>
      </c>
      <c r="BL10" s="23">
        <f t="shared" si="14"/>
        <v>10.330721763849407</v>
      </c>
      <c r="BM10" s="24">
        <f t="shared" si="15"/>
        <v>7.8485751924010264E-2</v>
      </c>
      <c r="BN10" s="25">
        <f t="shared" si="16"/>
        <v>347530.4</v>
      </c>
      <c r="BO10" s="38">
        <f t="shared" si="17"/>
        <v>13181</v>
      </c>
      <c r="BP10">
        <f t="shared" si="18"/>
        <v>1.1554982817869994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0.98</v>
      </c>
      <c r="G11" s="19">
        <f>'8'!G7</f>
        <v>28055</v>
      </c>
      <c r="H11" s="19">
        <f>'8'!G8</f>
        <v>28583</v>
      </c>
      <c r="I11" s="19">
        <v>9</v>
      </c>
      <c r="J11" s="49">
        <f t="shared" si="3"/>
        <v>257247</v>
      </c>
      <c r="K11" s="45">
        <f t="shared" si="4"/>
        <v>141.5</v>
      </c>
      <c r="L11" s="19">
        <f>'8'!G15</f>
        <v>1146</v>
      </c>
      <c r="M11" s="19">
        <v>56.2</v>
      </c>
      <c r="N11" s="45">
        <f t="shared" si="5"/>
        <v>64405.200000000004</v>
      </c>
      <c r="O11" s="19">
        <f>'8'!G20</f>
        <v>217</v>
      </c>
      <c r="P11" s="19">
        <v>108</v>
      </c>
      <c r="Q11" s="46">
        <f t="shared" si="0"/>
        <v>23436</v>
      </c>
      <c r="R11" s="47">
        <f t="shared" si="1"/>
        <v>109.61810466760961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115</v>
      </c>
      <c r="W11" s="22">
        <f>'8'!G66</f>
        <v>19</v>
      </c>
      <c r="X11" s="22">
        <f>'8'!G67</f>
        <v>0</v>
      </c>
      <c r="Y11" s="22">
        <f t="shared" si="7"/>
        <v>134</v>
      </c>
      <c r="Z11" s="19">
        <f>'8'!G84</f>
        <v>24</v>
      </c>
      <c r="AA11" s="19">
        <f>'8'!G85</f>
        <v>0</v>
      </c>
      <c r="AB11" s="19">
        <f>'8'!G86</f>
        <v>17</v>
      </c>
      <c r="AC11" s="19">
        <f>'8'!G87</f>
        <v>0</v>
      </c>
      <c r="AD11" s="19">
        <f t="shared" si="8"/>
        <v>41</v>
      </c>
      <c r="AE11" s="23">
        <f t="shared" si="2"/>
        <v>8461</v>
      </c>
      <c r="AF11" s="23">
        <f t="shared" si="9"/>
        <v>206.36585365853659</v>
      </c>
      <c r="AG11" s="19">
        <f>'8'!G88</f>
        <v>0</v>
      </c>
      <c r="AH11" s="19">
        <f>'8'!G89</f>
        <v>9.569999999999709</v>
      </c>
      <c r="AI11" s="19">
        <f>'8'!G90</f>
        <v>11.990000000005239</v>
      </c>
      <c r="AJ11" s="19">
        <f t="shared" si="10"/>
        <v>21.560000000004948</v>
      </c>
      <c r="AK11" s="19">
        <f>'8'!G91</f>
        <v>-0.43000000000029104</v>
      </c>
      <c r="AL11" s="19">
        <f>'8'!G92</f>
        <v>11</v>
      </c>
      <c r="AM11" s="19"/>
      <c r="AN11" s="19">
        <f t="shared" si="11"/>
        <v>10.569999999999709</v>
      </c>
      <c r="AO11" s="52">
        <f>'8'!G74</f>
        <v>331</v>
      </c>
      <c r="AP11" s="55">
        <f>'8'!G35</f>
        <v>0</v>
      </c>
      <c r="AQ11" s="19">
        <f>'8'!G37</f>
        <v>1574</v>
      </c>
      <c r="AR11" s="19">
        <f>'8'!G38</f>
        <v>2340</v>
      </c>
      <c r="AS11" s="19">
        <f>'8'!G39</f>
        <v>3003</v>
      </c>
      <c r="AT11" s="19">
        <f>'8'!G40</f>
        <v>701</v>
      </c>
      <c r="AU11" s="19">
        <f>'8'!G41</f>
        <v>5800</v>
      </c>
      <c r="AV11" s="19">
        <f>'8'!G42</f>
        <v>128</v>
      </c>
      <c r="AW11" s="19">
        <f>'8'!G43</f>
        <v>0</v>
      </c>
      <c r="AX11" s="23">
        <f>'8'!G44</f>
        <v>0</v>
      </c>
      <c r="AY11" s="56">
        <f>'8'!G36</f>
        <v>1093</v>
      </c>
      <c r="AZ11" s="55">
        <f>'8'!G49</f>
        <v>3618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352</v>
      </c>
      <c r="BE11" s="19">
        <f>'8'!G55</f>
        <v>2533</v>
      </c>
      <c r="BF11" s="19">
        <f>'8'!G56</f>
        <v>0</v>
      </c>
      <c r="BG11" s="19">
        <f>'8'!G57</f>
        <v>3114</v>
      </c>
      <c r="BH11" s="56">
        <f>'8'!G50</f>
        <v>1560</v>
      </c>
      <c r="BI11" s="60">
        <f t="shared" si="12"/>
        <v>8461</v>
      </c>
      <c r="BJ11" s="60">
        <f>'8'!G133</f>
        <v>0</v>
      </c>
      <c r="BK11" s="23">
        <f t="shared" si="13"/>
        <v>53.153972641080365</v>
      </c>
      <c r="BL11" s="23">
        <f t="shared" si="14"/>
        <v>10.506244970786831</v>
      </c>
      <c r="BM11" s="24">
        <f t="shared" si="15"/>
        <v>8.1866843928209074E-2</v>
      </c>
      <c r="BN11" s="25">
        <f t="shared" si="16"/>
        <v>345088.2</v>
      </c>
      <c r="BO11" s="38">
        <f t="shared" si="17"/>
        <v>11575</v>
      </c>
      <c r="BP11">
        <f t="shared" si="18"/>
        <v>1.0082752613240418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27587.030000000028</v>
      </c>
      <c r="H12" s="19">
        <f>'9'!G8</f>
        <v>28131.550000000047</v>
      </c>
      <c r="I12" s="19">
        <v>9</v>
      </c>
      <c r="J12" s="49">
        <f t="shared" si="3"/>
        <v>253183.95000000042</v>
      </c>
      <c r="K12" s="45">
        <f t="shared" si="4"/>
        <v>139.26509900990123</v>
      </c>
      <c r="L12" s="19">
        <f>'9'!G15</f>
        <v>1023.5200000000186</v>
      </c>
      <c r="M12" s="19">
        <v>56.2</v>
      </c>
      <c r="N12" s="45">
        <f t="shared" si="5"/>
        <v>57521.824000001048</v>
      </c>
      <c r="O12" s="19">
        <f>'9'!G20</f>
        <v>270</v>
      </c>
      <c r="P12" s="19">
        <v>108</v>
      </c>
      <c r="Q12" s="46">
        <f t="shared" si="0"/>
        <v>29160</v>
      </c>
      <c r="R12" s="47">
        <f t="shared" si="1"/>
        <v>205.63594821020561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101</v>
      </c>
      <c r="W12" s="22">
        <f>'9'!G66</f>
        <v>27</v>
      </c>
      <c r="X12" s="22">
        <f>'9'!G67</f>
        <v>0</v>
      </c>
      <c r="Y12" s="22">
        <f t="shared" si="7"/>
        <v>128</v>
      </c>
      <c r="Z12" s="19">
        <f>'9'!G84</f>
        <v>23.410000000003492</v>
      </c>
      <c r="AA12" s="19">
        <f>'9'!G85</f>
        <v>0.47000000000025466</v>
      </c>
      <c r="AB12" s="19">
        <f>'9'!G86</f>
        <v>16.400000000001455</v>
      </c>
      <c r="AC12" s="19">
        <f>'9'!G87</f>
        <v>0</v>
      </c>
      <c r="AD12" s="19">
        <f t="shared" si="8"/>
        <v>40.280000000005202</v>
      </c>
      <c r="AE12" s="23">
        <f t="shared" si="2"/>
        <v>8124.6299999999901</v>
      </c>
      <c r="AF12" s="23">
        <f t="shared" si="9"/>
        <v>201.70382323731232</v>
      </c>
      <c r="AG12" s="19">
        <f>'9'!G88</f>
        <v>8.8800000000010186</v>
      </c>
      <c r="AH12" s="19">
        <f>'9'!G89</f>
        <v>1.3400000000001455</v>
      </c>
      <c r="AI12" s="19">
        <f>'9'!G90</f>
        <v>10.379999999990105</v>
      </c>
      <c r="AJ12" s="19">
        <f t="shared" si="10"/>
        <v>20.599999999991269</v>
      </c>
      <c r="AK12" s="19">
        <f>'9'!G91</f>
        <v>0</v>
      </c>
      <c r="AL12" s="19">
        <f>'9'!G92</f>
        <v>11.489999999999782</v>
      </c>
      <c r="AM12" s="19"/>
      <c r="AN12" s="19">
        <f t="shared" si="11"/>
        <v>11.489999999999782</v>
      </c>
      <c r="AO12" s="52">
        <f>'9'!G74</f>
        <v>328.44999999995343</v>
      </c>
      <c r="AP12" s="55">
        <f>'9'!G35</f>
        <v>4.9999999988358468E-2</v>
      </c>
      <c r="AQ12" s="19">
        <f>'9'!G37</f>
        <v>1573.75</v>
      </c>
      <c r="AR12" s="19">
        <f>'9'!G38</f>
        <v>2332.109999999986</v>
      </c>
      <c r="AS12" s="19">
        <f>'9'!G39</f>
        <v>3026.1500000000233</v>
      </c>
      <c r="AT12" s="19">
        <f>'9'!G40</f>
        <v>728.42999999999302</v>
      </c>
      <c r="AU12" s="19">
        <f>'9'!G41</f>
        <v>5644.7699999999895</v>
      </c>
      <c r="AV12" s="19">
        <f>'9'!G42</f>
        <v>0</v>
      </c>
      <c r="AW12" s="19">
        <f>'9'!G43</f>
        <v>0</v>
      </c>
      <c r="AX12" s="23">
        <f>'9'!G44</f>
        <v>0</v>
      </c>
      <c r="AY12" s="56">
        <f>'9'!G36</f>
        <v>1130.1700000000128</v>
      </c>
      <c r="AZ12" s="55">
        <f>'9'!G49</f>
        <v>759.75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357.35000000000582</v>
      </c>
      <c r="BE12" s="19">
        <f>'9'!G55</f>
        <v>2479.6300000000047</v>
      </c>
      <c r="BF12" s="19">
        <f>'9'!G56</f>
        <v>0.22999999999592546</v>
      </c>
      <c r="BG12" s="19">
        <f>'9'!G57</f>
        <v>3152.4500000000116</v>
      </c>
      <c r="BH12" s="56">
        <f>'9'!G50</f>
        <v>1278.6700000000128</v>
      </c>
      <c r="BI12" s="60">
        <f t="shared" si="12"/>
        <v>8124.6299999999901</v>
      </c>
      <c r="BJ12" s="60">
        <f>'8'!G133</f>
        <v>0</v>
      </c>
      <c r="BK12" s="23">
        <f t="shared" si="13"/>
        <v>42.787830745195237</v>
      </c>
      <c r="BL12" s="23">
        <f t="shared" si="14"/>
        <v>10.757139226242488</v>
      </c>
      <c r="BM12" s="24">
        <f t="shared" si="15"/>
        <v>8.290016014048221E-2</v>
      </c>
      <c r="BN12" s="25">
        <f t="shared" si="16"/>
        <v>339865.77400000149</v>
      </c>
      <c r="BO12" s="38">
        <f t="shared" si="17"/>
        <v>11277.080000000002</v>
      </c>
      <c r="BP12">
        <f t="shared" si="18"/>
        <v>0.99988296212215788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26532.079999999958</v>
      </c>
      <c r="H13" s="19">
        <f>'10'!G8</f>
        <v>27095.039999999921</v>
      </c>
      <c r="I13" s="19">
        <v>9</v>
      </c>
      <c r="J13" s="49">
        <f t="shared" si="3"/>
        <v>243855.35999999929</v>
      </c>
      <c r="K13" s="45">
        <f t="shared" si="4"/>
        <v>134.13386138613822</v>
      </c>
      <c r="L13" s="19">
        <f>'10'!G15</f>
        <v>992.04000000003725</v>
      </c>
      <c r="M13" s="19">
        <v>56.2</v>
      </c>
      <c r="N13" s="45">
        <f t="shared" si="5"/>
        <v>55752.648000002097</v>
      </c>
      <c r="O13" s="19">
        <f>'10'!G20</f>
        <v>270</v>
      </c>
      <c r="P13" s="19">
        <v>108</v>
      </c>
      <c r="Q13" s="46">
        <f t="shared" si="0"/>
        <v>29160</v>
      </c>
      <c r="R13" s="47">
        <f t="shared" si="1"/>
        <v>146.8828201501469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102</v>
      </c>
      <c r="W13" s="22">
        <f>'10'!G66</f>
        <v>25</v>
      </c>
      <c r="X13" s="22">
        <f>'10'!G67</f>
        <v>0</v>
      </c>
      <c r="Y13" s="22">
        <f t="shared" si="7"/>
        <v>127</v>
      </c>
      <c r="Z13" s="19">
        <f>'10'!G84</f>
        <v>0.63999999999941792</v>
      </c>
      <c r="AA13" s="19">
        <f>'10'!G85</f>
        <v>0</v>
      </c>
      <c r="AB13" s="19">
        <f>'10'!G86</f>
        <v>24.44999999999709</v>
      </c>
      <c r="AC13" s="19">
        <f>'10'!G87</f>
        <v>12.010000000002037</v>
      </c>
      <c r="AD13" s="19">
        <f t="shared" si="8"/>
        <v>37.099999999998545</v>
      </c>
      <c r="AE13" s="23">
        <f t="shared" si="2"/>
        <v>5749.1899999999732</v>
      </c>
      <c r="AF13" s="23">
        <f t="shared" si="9"/>
        <v>154.96469002695954</v>
      </c>
      <c r="AG13" s="19">
        <f>'10'!G88</f>
        <v>0</v>
      </c>
      <c r="AH13" s="19">
        <f>'10'!G89</f>
        <v>9.6899999999986903</v>
      </c>
      <c r="AI13" s="19">
        <f>'10'!G90</f>
        <v>10.900000000008731</v>
      </c>
      <c r="AJ13" s="19">
        <f t="shared" si="10"/>
        <v>20.590000000007421</v>
      </c>
      <c r="AK13" s="19">
        <f>'10'!G91</f>
        <v>0.56999999999970896</v>
      </c>
      <c r="AL13" s="19">
        <f>'10'!G92</f>
        <v>9.2600000000002183</v>
      </c>
      <c r="AM13" s="19"/>
      <c r="AN13" s="19">
        <f t="shared" si="11"/>
        <v>9.8299999999999272</v>
      </c>
      <c r="AO13" s="52">
        <f>'10'!G74</f>
        <v>265.84000000008382</v>
      </c>
      <c r="AP13" s="55">
        <f>'10'!G35</f>
        <v>0</v>
      </c>
      <c r="AQ13" s="19">
        <f>'10'!G37</f>
        <v>1524.5</v>
      </c>
      <c r="AR13" s="19">
        <f>'10'!G38</f>
        <v>2285.2800000000279</v>
      </c>
      <c r="AS13" s="19">
        <f>'10'!G39</f>
        <v>2907.9599999999627</v>
      </c>
      <c r="AT13" s="19">
        <f>'10'!G40</f>
        <v>729.08300000001327</v>
      </c>
      <c r="AU13" s="19">
        <f>'10'!G41</f>
        <v>0</v>
      </c>
      <c r="AV13" s="19">
        <f>'10'!G42</f>
        <v>0</v>
      </c>
      <c r="AW13" s="19">
        <f>'10'!G43</f>
        <v>0</v>
      </c>
      <c r="AX13" s="23">
        <f>'10'!G44</f>
        <v>0</v>
      </c>
      <c r="AY13" s="56">
        <f>'10'!G36</f>
        <v>928.53999999997905</v>
      </c>
      <c r="AZ13" s="55">
        <f>'10'!G49</f>
        <v>3679.1199999999953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347.00999999999476</v>
      </c>
      <c r="BE13" s="19">
        <f>'10'!G55</f>
        <v>3666.2799999999697</v>
      </c>
      <c r="BF13" s="19">
        <f>'10'!G56</f>
        <v>2082.9100000000035</v>
      </c>
      <c r="BG13" s="19">
        <f>'10'!G57</f>
        <v>3210.359999999986</v>
      </c>
      <c r="BH13" s="56">
        <f>'10'!G50</f>
        <v>1219.3399999999965</v>
      </c>
      <c r="BI13" s="60">
        <f t="shared" si="12"/>
        <v>5749.1899999999732</v>
      </c>
      <c r="BJ13" s="60">
        <f>'8'!G133</f>
        <v>0</v>
      </c>
      <c r="BK13" s="23">
        <f t="shared" si="13"/>
        <v>46.64569603883217</v>
      </c>
      <c r="BL13" s="23">
        <f t="shared" si="14"/>
        <v>10.73244401927427</v>
      </c>
      <c r="BM13" s="24">
        <f t="shared" si="15"/>
        <v>8.4343112244899238E-2</v>
      </c>
      <c r="BN13" s="25">
        <f t="shared" si="16"/>
        <v>328768.00800000137</v>
      </c>
      <c r="BO13" s="38">
        <f t="shared" si="17"/>
        <v>8959.5499999999593</v>
      </c>
      <c r="BP13">
        <f t="shared" si="18"/>
        <v>0.86249037350792368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25907.760000000009</v>
      </c>
      <c r="H14" s="19">
        <f>'11'!G8</f>
        <v>26361.599999999977</v>
      </c>
      <c r="I14" s="19">
        <v>9</v>
      </c>
      <c r="J14" s="49">
        <f t="shared" si="3"/>
        <v>237254.39999999979</v>
      </c>
      <c r="K14" s="45">
        <f t="shared" si="4"/>
        <v>130.50297029702958</v>
      </c>
      <c r="L14" s="19">
        <f>'11'!G15</f>
        <v>944.76000000000931</v>
      </c>
      <c r="M14" s="19">
        <v>56.2</v>
      </c>
      <c r="N14" s="45">
        <f t="shared" si="5"/>
        <v>53095.512000000526</v>
      </c>
      <c r="O14" s="19">
        <f>'11'!G20</f>
        <v>221</v>
      </c>
      <c r="P14" s="19">
        <v>108</v>
      </c>
      <c r="Q14" s="46">
        <f t="shared" si="0"/>
        <v>23868</v>
      </c>
      <c r="R14" s="47">
        <f t="shared" si="1"/>
        <v>151.95269526952697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102</v>
      </c>
      <c r="W14" s="22">
        <f>'11'!G66</f>
        <v>19</v>
      </c>
      <c r="X14" s="22">
        <f>'11'!G67</f>
        <v>0</v>
      </c>
      <c r="Y14" s="22">
        <f t="shared" si="7"/>
        <v>121</v>
      </c>
      <c r="Z14" s="19">
        <f>'11'!G84</f>
        <v>0</v>
      </c>
      <c r="AA14" s="19">
        <f>'11'!G85</f>
        <v>14.75</v>
      </c>
      <c r="AB14" s="19">
        <f>'11'!G86</f>
        <v>24.470000000001164</v>
      </c>
      <c r="AC14" s="19">
        <f>'11'!G87</f>
        <v>0</v>
      </c>
      <c r="AD14" s="19">
        <f t="shared" si="8"/>
        <v>39.220000000001164</v>
      </c>
      <c r="AE14" s="23">
        <f t="shared" si="2"/>
        <v>6949.2699999999604</v>
      </c>
      <c r="AF14" s="23">
        <f t="shared" si="9"/>
        <v>177.18689444160515</v>
      </c>
      <c r="AG14" s="19">
        <f>'11'!G88</f>
        <v>0</v>
      </c>
      <c r="AH14" s="19">
        <f>'11'!G89</f>
        <v>9.430000000000291</v>
      </c>
      <c r="AI14" s="19">
        <f>'11'!G90</f>
        <v>10.220000000001164</v>
      </c>
      <c r="AJ14" s="19">
        <f t="shared" si="10"/>
        <v>19.650000000001455</v>
      </c>
      <c r="AK14" s="19">
        <f>'11'!G91</f>
        <v>6.5799999999999272</v>
      </c>
      <c r="AL14" s="19">
        <f>'11'!G92</f>
        <v>3.1199999999998909</v>
      </c>
      <c r="AM14" s="19"/>
      <c r="AN14" s="19">
        <f t="shared" si="11"/>
        <v>9.6999999999998181</v>
      </c>
      <c r="AO14" s="52">
        <f>'11'!G74</f>
        <v>270.43999999994412</v>
      </c>
      <c r="AP14" s="55">
        <f>'11'!G35</f>
        <v>0</v>
      </c>
      <c r="AQ14" s="19">
        <f>'11'!G37</f>
        <v>1487.140000000014</v>
      </c>
      <c r="AR14" s="19">
        <f>'11'!G38</f>
        <v>2304.1599999999744</v>
      </c>
      <c r="AS14" s="19">
        <f>'11'!G39</f>
        <v>2848.8000000000466</v>
      </c>
      <c r="AT14" s="19">
        <f>'11'!G40</f>
        <v>717.99699999998847</v>
      </c>
      <c r="AU14" s="19">
        <f>'11'!G41</f>
        <v>0</v>
      </c>
      <c r="AV14" s="19">
        <f>'11'!G42</f>
        <v>3243.8299999999581</v>
      </c>
      <c r="AW14" s="19">
        <f>'11'!G43</f>
        <v>0</v>
      </c>
      <c r="AX14" s="23">
        <f>'11'!G44</f>
        <v>0</v>
      </c>
      <c r="AY14" s="56">
        <f>'11'!G36</f>
        <v>696.83999999999651</v>
      </c>
      <c r="AZ14" s="55">
        <f>'11'!G49</f>
        <v>3790.7200000000303</v>
      </c>
      <c r="BA14" s="19">
        <f>'11'!G51</f>
        <v>0.31999999999999318</v>
      </c>
      <c r="BB14" s="19">
        <f>'11'!G52</f>
        <v>0</v>
      </c>
      <c r="BC14" s="19">
        <f>'11'!G53</f>
        <v>0</v>
      </c>
      <c r="BD14" s="19">
        <f>'11'!G54</f>
        <v>353.16000000000349</v>
      </c>
      <c r="BE14" s="19">
        <f>'11'!G55</f>
        <v>3705.4400000000023</v>
      </c>
      <c r="BF14" s="19">
        <f>'11'!G56</f>
        <v>0</v>
      </c>
      <c r="BG14" s="19">
        <f>'11'!G57</f>
        <v>2943.320000000007</v>
      </c>
      <c r="BH14" s="56">
        <f>'11'!G50</f>
        <v>1058</v>
      </c>
      <c r="BI14" s="60">
        <f t="shared" si="12"/>
        <v>6949.2699999999604</v>
      </c>
      <c r="BJ14" s="60">
        <f>'11'!G133</f>
        <v>824</v>
      </c>
      <c r="BK14" s="23">
        <f t="shared" si="13"/>
        <v>51.906219652828398</v>
      </c>
      <c r="BL14" s="23">
        <f t="shared" si="14"/>
        <v>10.806627822287149</v>
      </c>
      <c r="BM14" s="24">
        <f t="shared" si="15"/>
        <v>8.7405923767903931E-2</v>
      </c>
      <c r="BN14" s="25">
        <f t="shared" si="16"/>
        <v>314217.9120000003</v>
      </c>
      <c r="BO14" s="38">
        <f t="shared" si="17"/>
        <v>10716.589999999967</v>
      </c>
      <c r="BP14">
        <f t="shared" si="18"/>
        <v>0.97586781525457578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25940.719999999972</v>
      </c>
      <c r="H15" s="19">
        <f>'12'!G8</f>
        <v>26347.440000000061</v>
      </c>
      <c r="I15" s="19">
        <v>9</v>
      </c>
      <c r="J15" s="49">
        <f t="shared" si="3"/>
        <v>237126.96000000054</v>
      </c>
      <c r="K15" s="45">
        <f t="shared" si="4"/>
        <v>130.43287128712902</v>
      </c>
      <c r="L15" s="19">
        <f>'12'!G15</f>
        <v>1027.1899999999441</v>
      </c>
      <c r="M15" s="19">
        <v>56.2</v>
      </c>
      <c r="N15" s="41">
        <f t="shared" si="5"/>
        <v>57728.077999996865</v>
      </c>
      <c r="O15" s="19">
        <f>'12'!G20</f>
        <v>254</v>
      </c>
      <c r="P15" s="19">
        <v>108</v>
      </c>
      <c r="Q15" s="46">
        <f t="shared" si="0"/>
        <v>27432</v>
      </c>
      <c r="R15" s="47">
        <f t="shared" si="1"/>
        <v>209.57095709570959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104</v>
      </c>
      <c r="W15" s="22">
        <f>'12'!G66</f>
        <v>24</v>
      </c>
      <c r="X15" s="22">
        <f>'12'!G67</f>
        <v>0</v>
      </c>
      <c r="Y15" s="22">
        <f t="shared" si="7"/>
        <v>128</v>
      </c>
      <c r="Z15" s="19">
        <f>'12'!G84</f>
        <v>15.360000000000582</v>
      </c>
      <c r="AA15" s="19">
        <f>'12'!G85</f>
        <v>0</v>
      </c>
      <c r="AB15" s="19">
        <f>'12'!G86</f>
        <v>24.099999999998545</v>
      </c>
      <c r="AC15" s="19">
        <f>'12'!G87</f>
        <v>0</v>
      </c>
      <c r="AD15" s="19">
        <f t="shared" si="8"/>
        <v>39.459999999999127</v>
      </c>
      <c r="AE15" s="23">
        <f t="shared" si="2"/>
        <v>6974.600000000064</v>
      </c>
      <c r="AF15" s="23">
        <f t="shared" si="9"/>
        <v>176.75114039534259</v>
      </c>
      <c r="AG15" s="19">
        <f>'12'!G88</f>
        <v>-4.9999999999272404E-2</v>
      </c>
      <c r="AH15" s="19">
        <f>'12'!G89</f>
        <v>8.8100000000013097</v>
      </c>
      <c r="AI15" s="19">
        <f>'12'!G90</f>
        <v>10.989999999990687</v>
      </c>
      <c r="AJ15" s="19">
        <f t="shared" si="10"/>
        <v>19.749999999992724</v>
      </c>
      <c r="AK15" s="19">
        <f>'12'!G91</f>
        <v>12.470000000000255</v>
      </c>
      <c r="AL15" s="19">
        <f>'12'!G92</f>
        <v>0</v>
      </c>
      <c r="AM15" s="19"/>
      <c r="AN15" s="19">
        <f t="shared" si="11"/>
        <v>12.470000000000255</v>
      </c>
      <c r="AO15" s="52">
        <f>'12'!G74</f>
        <v>339.29000000003725</v>
      </c>
      <c r="AP15" s="55">
        <f>'12'!G35</f>
        <v>-4.9999999988358468E-2</v>
      </c>
      <c r="AQ15" s="19">
        <f>'12'!G37</f>
        <v>1552.640000000014</v>
      </c>
      <c r="AR15" s="19">
        <f>'12'!G38</f>
        <v>2246.320000000007</v>
      </c>
      <c r="AS15" s="19">
        <f>'12'!G39</f>
        <v>2839.7999999999302</v>
      </c>
      <c r="AT15" s="19">
        <f>'12'!G40</f>
        <v>721.86000000000058</v>
      </c>
      <c r="AU15" s="19">
        <f>'12'!G41</f>
        <v>3320.6200000000244</v>
      </c>
      <c r="AV15" s="19">
        <f>'12'!G42</f>
        <v>0</v>
      </c>
      <c r="AW15" s="19">
        <f>'12'!G43</f>
        <v>0</v>
      </c>
      <c r="AX15" s="23">
        <f>'12'!G44</f>
        <v>0</v>
      </c>
      <c r="AY15" s="56">
        <f>'12'!G36</f>
        <v>704.22000000000116</v>
      </c>
      <c r="AZ15" s="55">
        <f>'12'!G49</f>
        <v>3619.679999999993</v>
      </c>
      <c r="BA15" s="19">
        <f>'12'!G51</f>
        <v>-0.31999999999999318</v>
      </c>
      <c r="BB15" s="19">
        <f>'12'!G52</f>
        <v>0</v>
      </c>
      <c r="BC15" s="19">
        <f>'12'!G53</f>
        <v>0</v>
      </c>
      <c r="BD15" s="19">
        <f>'12'!G54</f>
        <v>349.95999999999185</v>
      </c>
      <c r="BE15" s="19">
        <f>'12'!G55</f>
        <v>3653.9800000000396</v>
      </c>
      <c r="BF15" s="19">
        <f>'12'!G56</f>
        <v>0</v>
      </c>
      <c r="BG15" s="19">
        <f>'12'!G57</f>
        <v>3131.1000000000058</v>
      </c>
      <c r="BH15" s="56">
        <f>'12'!G50</f>
        <v>1060.5199999999895</v>
      </c>
      <c r="BI15" s="60">
        <f t="shared" si="12"/>
        <v>6974.600000000064</v>
      </c>
      <c r="BJ15" s="60">
        <f>'12'!G133</f>
        <v>785</v>
      </c>
      <c r="BK15" s="23">
        <f t="shared" si="13"/>
        <v>52.093599985425691</v>
      </c>
      <c r="BL15" s="23">
        <f t="shared" si="14"/>
        <v>10.778276750985762</v>
      </c>
      <c r="BM15" s="24">
        <f t="shared" si="15"/>
        <v>8.5257618956528669E-2</v>
      </c>
      <c r="BN15" s="25">
        <f t="shared" si="16"/>
        <v>322287.03799999738</v>
      </c>
      <c r="BO15" s="38">
        <f t="shared" si="17"/>
        <v>10890.70000000007</v>
      </c>
      <c r="BP15">
        <f t="shared" si="18"/>
        <v>0.9856907537470414</v>
      </c>
    </row>
    <row r="16" spans="1:69">
      <c r="A16" s="16">
        <v>13</v>
      </c>
      <c r="B16" s="26">
        <v>13</v>
      </c>
      <c r="C16" s="26"/>
      <c r="D16" s="19">
        <f>'13'!D3</f>
        <v>30</v>
      </c>
      <c r="E16" s="50">
        <f>'13'!D4</f>
        <v>0.77</v>
      </c>
      <c r="F16" s="50">
        <f>'13'!D2</f>
        <v>0.66</v>
      </c>
      <c r="G16" s="19">
        <f>'13'!G7</f>
        <v>27046.880000000005</v>
      </c>
      <c r="H16" s="19">
        <f>'13'!G8</f>
        <v>27466.020000000019</v>
      </c>
      <c r="I16" s="19">
        <v>9</v>
      </c>
      <c r="J16" s="49">
        <f t="shared" si="3"/>
        <v>247194.18000000017</v>
      </c>
      <c r="K16" s="45">
        <f t="shared" si="4"/>
        <v>135.97039603960405</v>
      </c>
      <c r="L16" s="19">
        <f>'13'!G15</f>
        <v>1143.7299999999814</v>
      </c>
      <c r="M16" s="19">
        <v>56.2</v>
      </c>
      <c r="N16" s="41">
        <f t="shared" si="5"/>
        <v>64277.625999998956</v>
      </c>
      <c r="O16" s="19">
        <f>'13'!G20</f>
        <v>170</v>
      </c>
      <c r="P16" s="19">
        <v>108</v>
      </c>
      <c r="Q16" s="46">
        <f t="shared" si="0"/>
        <v>18360</v>
      </c>
      <c r="R16" s="47">
        <f t="shared" si="1"/>
        <v>127.51275127512751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99</v>
      </c>
      <c r="W16" s="22">
        <f>'13'!G66</f>
        <v>23</v>
      </c>
      <c r="X16" s="22">
        <f>'13'!G67</f>
        <v>0</v>
      </c>
      <c r="Y16" s="22">
        <f t="shared" si="7"/>
        <v>122</v>
      </c>
      <c r="Z16" s="19">
        <f>'13'!G84</f>
        <v>0</v>
      </c>
      <c r="AA16" s="19">
        <f>'13'!G85</f>
        <v>15.329999999999927</v>
      </c>
      <c r="AB16" s="19">
        <f>'13'!G86</f>
        <v>24.020000000004075</v>
      </c>
      <c r="AC16" s="19">
        <f>'13'!G87</f>
        <v>0</v>
      </c>
      <c r="AD16" s="19">
        <f t="shared" si="8"/>
        <v>39.350000000004002</v>
      </c>
      <c r="AE16" s="23">
        <f t="shared" si="2"/>
        <v>7606.6199999999953</v>
      </c>
      <c r="AF16" s="23">
        <f t="shared" si="9"/>
        <v>193.30673443454185</v>
      </c>
      <c r="AG16" s="19">
        <f>'13'!G88</f>
        <v>4.9999999999272404E-2</v>
      </c>
      <c r="AH16" s="19">
        <f>'13'!G89</f>
        <v>9.5799999999981083</v>
      </c>
      <c r="AI16" s="19">
        <f>'13'!G90</f>
        <v>10.410000000003492</v>
      </c>
      <c r="AJ16" s="19">
        <f t="shared" si="10"/>
        <v>20.040000000000873</v>
      </c>
      <c r="AK16" s="19">
        <f>'13'!G91</f>
        <v>13.420000000000073</v>
      </c>
      <c r="AL16" s="19">
        <f>'13'!G92</f>
        <v>0</v>
      </c>
      <c r="AM16" s="19"/>
      <c r="AN16" s="19">
        <f t="shared" si="11"/>
        <v>13.420000000000073</v>
      </c>
      <c r="AO16" s="52">
        <f>'13'!G74</f>
        <v>375.9100000000326</v>
      </c>
      <c r="AP16" s="55">
        <f>'13'!G35</f>
        <v>0</v>
      </c>
      <c r="AQ16" s="19">
        <f>'13'!G37</f>
        <v>1540.1399999999558</v>
      </c>
      <c r="AR16" s="19">
        <f>'13'!G38</f>
        <v>2289.2399999999907</v>
      </c>
      <c r="AS16" s="19">
        <f>'13'!G39</f>
        <v>2983.359999999986</v>
      </c>
      <c r="AT16" s="19">
        <f>'13'!G40</f>
        <v>754.05999999999767</v>
      </c>
      <c r="AU16" s="19">
        <f>'13'!G41</f>
        <v>0</v>
      </c>
      <c r="AV16" s="19">
        <f>'13'!G42</f>
        <v>3672.1600000000326</v>
      </c>
      <c r="AW16" s="19">
        <f>'13'!G43</f>
        <v>0</v>
      </c>
      <c r="AX16" s="23">
        <f>'13'!G44</f>
        <v>0</v>
      </c>
      <c r="AY16" s="56">
        <f>'13'!G36</f>
        <v>743.05999999999767</v>
      </c>
      <c r="AZ16" s="55">
        <f>'13'!G49</f>
        <v>3392.039999999979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353.59000000001106</v>
      </c>
      <c r="BE16" s="19">
        <f>'13'!G55</f>
        <v>3934.4599999999627</v>
      </c>
      <c r="BF16" s="19">
        <f>'13'!G56</f>
        <v>0</v>
      </c>
      <c r="BG16" s="19">
        <f>'13'!G57</f>
        <v>2999.539999999979</v>
      </c>
      <c r="BH16" s="56">
        <f>'13'!G50</f>
        <v>1455.0799999999872</v>
      </c>
      <c r="BI16" s="60">
        <f t="shared" si="12"/>
        <v>7606.6199999999953</v>
      </c>
      <c r="BJ16" s="60">
        <f>'13'!G133</f>
        <v>686.67999999999302</v>
      </c>
      <c r="BK16" s="23">
        <f t="shared" si="13"/>
        <v>50.965520304725416</v>
      </c>
      <c r="BL16" s="23">
        <f t="shared" si="14"/>
        <v>10.862003304446672</v>
      </c>
      <c r="BM16" s="24">
        <f t="shared" si="15"/>
        <v>8.3348078826127311E-2</v>
      </c>
      <c r="BN16" s="25">
        <f t="shared" si="16"/>
        <v>329831.80599999911</v>
      </c>
      <c r="BO16" s="38">
        <f t="shared" si="17"/>
        <v>11292.839999999967</v>
      </c>
      <c r="BP16">
        <f t="shared" si="18"/>
        <v>1.0249446360499928</v>
      </c>
    </row>
    <row r="17" spans="1:68">
      <c r="A17" s="16">
        <v>14</v>
      </c>
      <c r="B17" s="17">
        <v>14</v>
      </c>
      <c r="C17" s="27"/>
      <c r="D17" s="19">
        <f>'14'!D3</f>
        <v>30</v>
      </c>
      <c r="E17" s="50">
        <f>'14'!D4</f>
        <v>0.77</v>
      </c>
      <c r="F17" s="50">
        <f>'14'!D2</f>
        <v>0.56999999999999995</v>
      </c>
      <c r="G17" s="19">
        <f>'14'!G7</f>
        <v>27500</v>
      </c>
      <c r="H17" s="19">
        <f>'14'!G8</f>
        <v>27000</v>
      </c>
      <c r="I17" s="19">
        <v>9</v>
      </c>
      <c r="J17" s="49">
        <f t="shared" si="3"/>
        <v>243000</v>
      </c>
      <c r="K17" s="45">
        <f t="shared" si="4"/>
        <v>133.66336633663366</v>
      </c>
      <c r="L17" s="19">
        <f>'14'!G15</f>
        <v>1000</v>
      </c>
      <c r="M17" s="19">
        <v>56.2</v>
      </c>
      <c r="N17" s="41">
        <f t="shared" si="5"/>
        <v>56200</v>
      </c>
      <c r="O17" s="19">
        <f>'14'!G20</f>
        <v>-388</v>
      </c>
      <c r="P17" s="19">
        <v>108</v>
      </c>
      <c r="Q17" s="46">
        <f t="shared" si="0"/>
        <v>-41904</v>
      </c>
      <c r="R17" s="47">
        <f t="shared" si="1"/>
        <v>-336.98106652770548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-2967</v>
      </c>
      <c r="W17" s="22">
        <f>'14'!G66</f>
        <v>-564</v>
      </c>
      <c r="X17" s="22">
        <f>'14'!G67</f>
        <v>1</v>
      </c>
      <c r="Y17" s="22">
        <f>V17+W17+X17</f>
        <v>-3530</v>
      </c>
      <c r="Z17" s="19">
        <f>'14'!G84</f>
        <v>-261.41000000000349</v>
      </c>
      <c r="AA17" s="19">
        <f>'14'!G85</f>
        <v>-432.55000000000018</v>
      </c>
      <c r="AB17" s="19">
        <f>'14'!G86</f>
        <v>-390.44000000000233</v>
      </c>
      <c r="AC17" s="19">
        <f>'14'!G87</f>
        <v>-94.010000000002037</v>
      </c>
      <c r="AD17" s="19">
        <f t="shared" si="8"/>
        <v>-1178.410000000008</v>
      </c>
      <c r="AE17" s="23">
        <f t="shared" si="2"/>
        <v>-238602.31</v>
      </c>
      <c r="AF17" s="23">
        <f t="shared" si="9"/>
        <v>202.47817822319766</v>
      </c>
      <c r="AG17" s="19">
        <f>'14'!G88</f>
        <v>-16.930000000000291</v>
      </c>
      <c r="AH17" s="19">
        <f>'14'!G89</f>
        <v>-265.61999999999898</v>
      </c>
      <c r="AI17" s="19">
        <f>'14'!G90</f>
        <v>-249.91999999999825</v>
      </c>
      <c r="AJ17" s="19">
        <f t="shared" si="10"/>
        <v>-532.46999999999753</v>
      </c>
      <c r="AK17" s="19">
        <f>'14'!G91</f>
        <v>-98.039999999999964</v>
      </c>
      <c r="AL17" s="19">
        <f>'14'!G92</f>
        <v>-208.75</v>
      </c>
      <c r="AM17" s="19"/>
      <c r="AN17" s="19">
        <f t="shared" si="11"/>
        <v>-306.78999999999996</v>
      </c>
      <c r="AO17" s="52">
        <f>'14'!G44</f>
        <v>0</v>
      </c>
      <c r="AP17" s="55">
        <f>'14'!G35</f>
        <v>0</v>
      </c>
      <c r="AQ17" s="19">
        <f>'14'!G37</f>
        <v>-46933.169999999984</v>
      </c>
      <c r="AR17" s="19">
        <f>'14'!G38</f>
        <v>-65599.109999999986</v>
      </c>
      <c r="AS17" s="19">
        <f>'14'!G39</f>
        <v>-87156.069999999949</v>
      </c>
      <c r="AT17" s="19">
        <f>'14'!G40</f>
        <v>-14987.429999999993</v>
      </c>
      <c r="AU17" s="19">
        <f>'14'!G41</f>
        <v>-63591.390000000014</v>
      </c>
      <c r="AV17" s="19">
        <f>'14'!G42</f>
        <v>-102637.98999999999</v>
      </c>
      <c r="AW17" s="19">
        <f>'14'!G43</f>
        <v>0</v>
      </c>
      <c r="AX17" s="23">
        <f>'14'!G44</f>
        <v>0</v>
      </c>
      <c r="AY17" s="56">
        <f>'14'!G36</f>
        <v>-25542.829999999987</v>
      </c>
      <c r="AZ17" s="55">
        <f>'14'!G49</f>
        <v>-104182.31</v>
      </c>
      <c r="BA17" s="19">
        <f>'14'!G51</f>
        <v>0.31999999999999318</v>
      </c>
      <c r="BB17" s="19">
        <f>'14'!G52</f>
        <v>0.24000000000000021</v>
      </c>
      <c r="BC17" s="19">
        <f>'14'!G53</f>
        <v>0</v>
      </c>
      <c r="BD17" s="19">
        <f>'14'!G54</f>
        <v>-10585.070000000007</v>
      </c>
      <c r="BE17" s="19">
        <f>'14'!G55</f>
        <v>-60078.789999999979</v>
      </c>
      <c r="BF17" s="19">
        <f>'14'!G56</f>
        <v>-12294.14</v>
      </c>
      <c r="BG17" s="19">
        <f>'14'!G57</f>
        <v>-90579.76999999999</v>
      </c>
      <c r="BH17" s="56">
        <f>'14'!G50</f>
        <v>-33771.609999999986</v>
      </c>
      <c r="BI17" s="60">
        <f t="shared" si="12"/>
        <v>-238602.31</v>
      </c>
      <c r="BJ17" s="60">
        <f>'14'!G133</f>
        <v>-9912.25</v>
      </c>
      <c r="BK17" s="23">
        <f t="shared" si="13"/>
        <v>-1605.0532962962964</v>
      </c>
      <c r="BL17" s="23">
        <f t="shared" si="14"/>
        <v>-322.80025925925906</v>
      </c>
      <c r="BM17" s="24">
        <f t="shared" si="15"/>
        <v>-2.429587777777777</v>
      </c>
      <c r="BN17" s="25">
        <f t="shared" si="16"/>
        <v>257296</v>
      </c>
      <c r="BO17" s="38">
        <f t="shared" si="17"/>
        <v>-339094.32999999996</v>
      </c>
      <c r="BP17">
        <f t="shared" si="18"/>
        <v>1.0276993394246656</v>
      </c>
    </row>
    <row r="18" spans="1:68">
      <c r="A18" s="16">
        <v>15</v>
      </c>
      <c r="B18" s="26">
        <v>15</v>
      </c>
      <c r="C18" s="18"/>
      <c r="D18" s="19">
        <f>'15'!D3</f>
        <v>30</v>
      </c>
      <c r="E18" s="50">
        <f>'15'!D4</f>
        <v>0.77</v>
      </c>
      <c r="F18" s="50">
        <f>'15'!D2</f>
        <v>0.6</v>
      </c>
      <c r="G18" s="19">
        <f>'15'!G7</f>
        <v>27500</v>
      </c>
      <c r="H18" s="19">
        <f>'15'!G8</f>
        <v>26999.999999999884</v>
      </c>
      <c r="I18" s="19">
        <v>9</v>
      </c>
      <c r="J18" s="49">
        <f t="shared" si="3"/>
        <v>242999.99999999895</v>
      </c>
      <c r="K18" s="45">
        <f t="shared" si="4"/>
        <v>133.66336633663309</v>
      </c>
      <c r="L18" s="19">
        <f>'15'!G15</f>
        <v>1000</v>
      </c>
      <c r="M18" s="19">
        <v>56.2</v>
      </c>
      <c r="N18" s="41">
        <f t="shared" si="5"/>
        <v>56200</v>
      </c>
      <c r="O18" s="19">
        <f>'15'!G20</f>
        <v>250</v>
      </c>
      <c r="P18" s="19">
        <v>108</v>
      </c>
      <c r="Q18" s="46">
        <f t="shared" si="0"/>
        <v>27000</v>
      </c>
      <c r="R18" s="47">
        <f t="shared" si="1"/>
        <v>206.27062706270627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107</v>
      </c>
      <c r="W18" s="22">
        <f>'15'!G66</f>
        <v>19</v>
      </c>
      <c r="X18" s="22">
        <f>'15'!G67</f>
        <v>0</v>
      </c>
      <c r="Y18" s="22">
        <f t="shared" si="7"/>
        <v>126</v>
      </c>
      <c r="Z18" s="19">
        <f>'15'!G84</f>
        <v>19</v>
      </c>
      <c r="AA18" s="19">
        <f>'15'!G85</f>
        <v>18</v>
      </c>
      <c r="AB18" s="19">
        <f>'15'!G86</f>
        <v>0</v>
      </c>
      <c r="AC18" s="19">
        <f>'15'!G87</f>
        <v>6</v>
      </c>
      <c r="AD18" s="19">
        <f t="shared" si="8"/>
        <v>43</v>
      </c>
      <c r="AE18" s="23">
        <f t="shared" si="2"/>
        <v>9511</v>
      </c>
      <c r="AF18" s="23">
        <f t="shared" si="9"/>
        <v>221.18604651162789</v>
      </c>
      <c r="AG18" s="19">
        <f>'15'!G88</f>
        <v>0</v>
      </c>
      <c r="AH18" s="19">
        <f>'15'!G89</f>
        <v>9.2000000000007276</v>
      </c>
      <c r="AI18" s="19">
        <f>'15'!G90</f>
        <v>12.029999999998836</v>
      </c>
      <c r="AJ18" s="19">
        <f t="shared" si="10"/>
        <v>21.229999999999563</v>
      </c>
      <c r="AK18" s="19">
        <f>'15'!G91</f>
        <v>0</v>
      </c>
      <c r="AL18" s="19">
        <f>'15'!G92</f>
        <v>10.880000000000109</v>
      </c>
      <c r="AM18" s="19"/>
      <c r="AN18" s="19">
        <f t="shared" si="11"/>
        <v>10.880000000000109</v>
      </c>
      <c r="AO18" s="52">
        <f>'15'!G74</f>
        <v>312</v>
      </c>
      <c r="AP18" s="55">
        <f>'15'!G35</f>
        <v>0</v>
      </c>
      <c r="AQ18" s="19">
        <f>'15'!G37</f>
        <v>1655</v>
      </c>
      <c r="AR18" s="19">
        <f>'15'!G38</f>
        <v>2311</v>
      </c>
      <c r="AS18" s="19">
        <f>'15'!G39</f>
        <v>3010</v>
      </c>
      <c r="AT18" s="19">
        <f>'15'!G40</f>
        <v>388</v>
      </c>
      <c r="AU18" s="19">
        <f>'15'!G41</f>
        <v>4462</v>
      </c>
      <c r="AV18" s="19">
        <f>'15'!G42</f>
        <v>4288</v>
      </c>
      <c r="AW18" s="19">
        <f>'15'!G43</f>
        <v>0</v>
      </c>
      <c r="AX18" s="23">
        <f>'15'!G44</f>
        <v>0</v>
      </c>
      <c r="AY18" s="56">
        <f>'15'!G36</f>
        <v>699</v>
      </c>
      <c r="AZ18" s="55">
        <f>'15'!G49</f>
        <v>3640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466</v>
      </c>
      <c r="BE18" s="19">
        <f>'15'!G55</f>
        <v>0</v>
      </c>
      <c r="BF18" s="19">
        <f>'15'!G56</f>
        <v>761</v>
      </c>
      <c r="BG18" s="19">
        <f>'15'!G57</f>
        <v>3224</v>
      </c>
      <c r="BH18" s="56">
        <f>'15'!G50</f>
        <v>977</v>
      </c>
      <c r="BI18" s="60">
        <f t="shared" si="12"/>
        <v>9511</v>
      </c>
      <c r="BJ18" s="60">
        <f>'15'!G133</f>
        <v>725</v>
      </c>
      <c r="BK18" s="23">
        <f t="shared" si="13"/>
        <v>60.648148148148401</v>
      </c>
      <c r="BL18" s="23">
        <f t="shared" si="14"/>
        <v>11.148148148148195</v>
      </c>
      <c r="BM18" s="24">
        <f t="shared" si="15"/>
        <v>8.5592592592592956E-2</v>
      </c>
      <c r="BN18" s="25">
        <f t="shared" si="16"/>
        <v>326199.99999999895</v>
      </c>
      <c r="BO18" s="38">
        <f t="shared" si="17"/>
        <v>13460</v>
      </c>
      <c r="BP18">
        <f t="shared" si="18"/>
        <v>1.1179401993355482</v>
      </c>
    </row>
    <row r="19" spans="1:68">
      <c r="A19" s="16">
        <v>16</v>
      </c>
      <c r="B19" s="26">
        <v>16</v>
      </c>
      <c r="C19" s="26"/>
      <c r="D19" s="19">
        <f>'16'!D3</f>
        <v>30</v>
      </c>
      <c r="E19" s="50">
        <f>'16'!D4</f>
        <v>0.77</v>
      </c>
      <c r="F19" s="50">
        <f>'16'!D2</f>
        <v>0.6</v>
      </c>
      <c r="G19" s="19">
        <f>'16'!G7</f>
        <v>27500</v>
      </c>
      <c r="H19" s="19">
        <f>'16'!G8</f>
        <v>27000</v>
      </c>
      <c r="I19" s="19">
        <v>9</v>
      </c>
      <c r="J19" s="49">
        <f t="shared" si="3"/>
        <v>243000</v>
      </c>
      <c r="K19" s="45">
        <f t="shared" si="4"/>
        <v>133.66336633663366</v>
      </c>
      <c r="L19" s="19">
        <f>'16'!G15</f>
        <v>1000</v>
      </c>
      <c r="M19" s="19">
        <v>56.2</v>
      </c>
      <c r="N19" s="41">
        <f t="shared" si="5"/>
        <v>56200</v>
      </c>
      <c r="O19" s="19">
        <f>'16'!G20</f>
        <v>230</v>
      </c>
      <c r="P19" s="19">
        <v>108</v>
      </c>
      <c r="Q19" s="46">
        <f t="shared" si="0"/>
        <v>24840</v>
      </c>
      <c r="R19" s="47">
        <f t="shared" si="1"/>
        <v>189.76897689768978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123</v>
      </c>
      <c r="W19" s="22">
        <f>'16'!G66</f>
        <v>22</v>
      </c>
      <c r="X19" s="22">
        <f>'16'!G67</f>
        <v>0</v>
      </c>
      <c r="Y19" s="22">
        <f t="shared" si="7"/>
        <v>145</v>
      </c>
      <c r="Z19" s="19">
        <f>'16'!G84</f>
        <v>24</v>
      </c>
      <c r="AA19" s="19">
        <f>'16'!G85</f>
        <v>19</v>
      </c>
      <c r="AB19" s="19">
        <f>'16'!G86</f>
        <v>0</v>
      </c>
      <c r="AC19" s="19">
        <f>'16'!G87</f>
        <v>0</v>
      </c>
      <c r="AD19" s="19">
        <f t="shared" si="8"/>
        <v>43</v>
      </c>
      <c r="AE19" s="23">
        <f t="shared" si="2"/>
        <v>10363</v>
      </c>
      <c r="AF19" s="23">
        <f t="shared" si="9"/>
        <v>241</v>
      </c>
      <c r="AG19" s="19">
        <f>'16'!G88</f>
        <v>0</v>
      </c>
      <c r="AH19" s="19">
        <f>'16'!G89</f>
        <v>10.889999999999418</v>
      </c>
      <c r="AI19" s="19">
        <f>'16'!G90</f>
        <v>11.160000000003492</v>
      </c>
      <c r="AJ19" s="19">
        <f t="shared" si="10"/>
        <v>22.05000000000291</v>
      </c>
      <c r="AK19" s="19">
        <f>'16'!G91</f>
        <v>0</v>
      </c>
      <c r="AL19" s="19">
        <f>'16'!G92</f>
        <v>10.609999999999673</v>
      </c>
      <c r="AM19" s="19"/>
      <c r="AN19" s="19">
        <f t="shared" si="11"/>
        <v>10.609999999999673</v>
      </c>
      <c r="AO19" s="52">
        <f>'16'!G74</f>
        <v>311</v>
      </c>
      <c r="AP19" s="55">
        <f>'16'!G35</f>
        <v>0</v>
      </c>
      <c r="AQ19" s="19">
        <f>'16'!G37</f>
        <v>1666</v>
      </c>
      <c r="AR19" s="19">
        <f>'16'!G38</f>
        <v>2366</v>
      </c>
      <c r="AS19" s="19">
        <f>'16'!G39</f>
        <v>3099</v>
      </c>
      <c r="AT19" s="19">
        <f>'16'!G40</f>
        <v>230</v>
      </c>
      <c r="AU19" s="19">
        <f>'16'!G41</f>
        <v>5818</v>
      </c>
      <c r="AV19" s="19">
        <f>'16'!G42</f>
        <v>4545</v>
      </c>
      <c r="AW19" s="19">
        <f>'16'!G43</f>
        <v>0</v>
      </c>
      <c r="AX19" s="23">
        <f>'16'!G44</f>
        <v>0</v>
      </c>
      <c r="AY19" s="56">
        <f>'16'!G36</f>
        <v>634</v>
      </c>
      <c r="AZ19" s="55">
        <f>'16'!G49</f>
        <v>3360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468</v>
      </c>
      <c r="BE19" s="19">
        <f>'16'!G55</f>
        <v>0</v>
      </c>
      <c r="BF19" s="19">
        <f>'16'!G56</f>
        <v>0</v>
      </c>
      <c r="BG19" s="19">
        <f>'16'!G57</f>
        <v>3266</v>
      </c>
      <c r="BH19" s="56">
        <f>'16'!G50</f>
        <v>861</v>
      </c>
      <c r="BI19" s="60">
        <f t="shared" si="12"/>
        <v>10363</v>
      </c>
      <c r="BJ19" s="60">
        <f>'16'!G133</f>
        <v>622</v>
      </c>
      <c r="BK19" s="23">
        <f t="shared" si="13"/>
        <v>62.922222222222224</v>
      </c>
      <c r="BL19" s="23">
        <f t="shared" si="14"/>
        <v>11.477777777777778</v>
      </c>
      <c r="BM19" s="24">
        <f t="shared" si="15"/>
        <v>8.7629629629629627E-2</v>
      </c>
      <c r="BN19" s="25">
        <f t="shared" si="16"/>
        <v>324040</v>
      </c>
      <c r="BO19" s="38">
        <f t="shared" si="17"/>
        <v>14251</v>
      </c>
      <c r="BP19">
        <f t="shared" si="18"/>
        <v>1.1836378737541529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27500</v>
      </c>
      <c r="H20" s="19">
        <f>'17'!G8</f>
        <v>27000</v>
      </c>
      <c r="I20" s="19">
        <v>9</v>
      </c>
      <c r="J20" s="49">
        <f t="shared" si="3"/>
        <v>243000</v>
      </c>
      <c r="K20" s="45">
        <f t="shared" si="4"/>
        <v>133.66336633663366</v>
      </c>
      <c r="L20" s="19">
        <f>'17'!G15</f>
        <v>1000</v>
      </c>
      <c r="M20" s="19">
        <v>56.2</v>
      </c>
      <c r="N20" s="41">
        <f t="shared" si="5"/>
        <v>56200</v>
      </c>
      <c r="O20" s="19">
        <f>'17'!G20</f>
        <v>283</v>
      </c>
      <c r="P20" s="19">
        <v>108</v>
      </c>
      <c r="Q20" s="46">
        <f t="shared" si="0"/>
        <v>30564</v>
      </c>
      <c r="R20" s="47">
        <f t="shared" si="1"/>
        <v>153.95495593515398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119</v>
      </c>
      <c r="W20" s="22">
        <f>'17'!G66</f>
        <v>20</v>
      </c>
      <c r="X20" s="22">
        <f>'17'!G67</f>
        <v>0</v>
      </c>
      <c r="Y20" s="22">
        <f t="shared" si="7"/>
        <v>139</v>
      </c>
      <c r="Z20" s="19">
        <f>'17'!G84</f>
        <v>24.440000000002328</v>
      </c>
      <c r="AA20" s="19">
        <f>'17'!G85</f>
        <v>18.390000000000327</v>
      </c>
      <c r="AB20" s="19">
        <f>'17'!G86</f>
        <v>0</v>
      </c>
      <c r="AC20" s="19">
        <f>'17'!G87</f>
        <v>0</v>
      </c>
      <c r="AD20" s="19">
        <f t="shared" si="8"/>
        <v>42.830000000002656</v>
      </c>
      <c r="AE20" s="23">
        <f t="shared" si="2"/>
        <v>10550</v>
      </c>
      <c r="AF20" s="23">
        <f t="shared" si="9"/>
        <v>246.32267102496721</v>
      </c>
      <c r="AG20" s="19">
        <f>'17'!G88</f>
        <v>4.9999999999272404E-2</v>
      </c>
      <c r="AH20" s="19">
        <f>'17'!G89</f>
        <v>10.110000000000582</v>
      </c>
      <c r="AI20" s="19">
        <f>'17'!G90</f>
        <v>9.8399999999965075</v>
      </c>
      <c r="AJ20" s="19">
        <f t="shared" si="10"/>
        <v>19.999999999996362</v>
      </c>
      <c r="AK20" s="19">
        <f>'17'!G91</f>
        <v>0</v>
      </c>
      <c r="AL20" s="19">
        <f>'17'!G92</f>
        <v>10.390000000000327</v>
      </c>
      <c r="AM20" s="19"/>
      <c r="AN20" s="19">
        <f t="shared" si="11"/>
        <v>10.390000000000327</v>
      </c>
      <c r="AO20" s="52">
        <f>'17'!G74</f>
        <v>293.52000000001863</v>
      </c>
      <c r="AP20" s="55">
        <f>'17'!G35</f>
        <v>0</v>
      </c>
      <c r="AQ20" s="19">
        <f>'17'!G37</f>
        <v>1704</v>
      </c>
      <c r="AR20" s="19">
        <f>'17'!G38</f>
        <v>2355</v>
      </c>
      <c r="AS20" s="19">
        <f>'17'!G39</f>
        <v>3142</v>
      </c>
      <c r="AT20" s="19">
        <f>'17'!G40</f>
        <v>461</v>
      </c>
      <c r="AU20" s="19">
        <f>'17'!G41</f>
        <v>6066</v>
      </c>
      <c r="AV20" s="19">
        <f>'17'!G42</f>
        <v>4484</v>
      </c>
      <c r="AW20" s="19">
        <f>'17'!G43</f>
        <v>0</v>
      </c>
      <c r="AX20" s="23">
        <f>'17'!G44</f>
        <v>0</v>
      </c>
      <c r="AY20" s="56">
        <f>'17'!G36</f>
        <v>721</v>
      </c>
      <c r="AZ20" s="55">
        <f>'17'!G49</f>
        <v>3494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437</v>
      </c>
      <c r="BE20" s="19">
        <f>'17'!G55</f>
        <v>0</v>
      </c>
      <c r="BF20" s="19">
        <f>'17'!G56</f>
        <v>0</v>
      </c>
      <c r="BG20" s="19">
        <f>'17'!G57</f>
        <v>3226</v>
      </c>
      <c r="BH20" s="56">
        <f>'17'!G50</f>
        <v>1457</v>
      </c>
      <c r="BI20" s="60">
        <f t="shared" si="12"/>
        <v>10550</v>
      </c>
      <c r="BJ20" s="60">
        <f>'17'!G133</f>
        <v>609</v>
      </c>
      <c r="BK20" s="23">
        <f t="shared" si="13"/>
        <v>63.962962962962962</v>
      </c>
      <c r="BL20" s="23">
        <f t="shared" si="14"/>
        <v>11.637037037037038</v>
      </c>
      <c r="BM20" s="24">
        <f t="shared" si="15"/>
        <v>8.7222222222222229E-2</v>
      </c>
      <c r="BN20" s="25">
        <f t="shared" si="16"/>
        <v>329764</v>
      </c>
      <c r="BO20" s="38">
        <f t="shared" si="17"/>
        <v>14385</v>
      </c>
      <c r="BP20">
        <f t="shared" si="18"/>
        <v>1.1995096894699233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27500</v>
      </c>
      <c r="H21" s="19">
        <f>'18 '!G8</f>
        <v>27000</v>
      </c>
      <c r="I21" s="19">
        <v>9</v>
      </c>
      <c r="J21" s="49">
        <f t="shared" si="3"/>
        <v>243000</v>
      </c>
      <c r="K21" s="45">
        <f t="shared" si="4"/>
        <v>133.66336633663366</v>
      </c>
      <c r="L21" s="19">
        <f>'18 '!G15</f>
        <v>1000</v>
      </c>
      <c r="M21" s="19">
        <v>56.2</v>
      </c>
      <c r="N21" s="41">
        <f t="shared" si="5"/>
        <v>56200</v>
      </c>
      <c r="O21" s="19">
        <f>'18 '!G20</f>
        <v>232</v>
      </c>
      <c r="P21" s="19">
        <v>108</v>
      </c>
      <c r="Q21" s="46">
        <f t="shared" si="0"/>
        <v>25056</v>
      </c>
      <c r="R21" s="47">
        <f t="shared" si="1"/>
        <v>117.19539300868863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112</v>
      </c>
      <c r="W21" s="22">
        <f>'18 '!G66</f>
        <v>24</v>
      </c>
      <c r="X21" s="22">
        <f>'18 '!G67</f>
        <v>0</v>
      </c>
      <c r="Y21" s="22">
        <f t="shared" si="7"/>
        <v>136</v>
      </c>
      <c r="Z21" s="19">
        <f>'18 '!G84</f>
        <v>24.139999999999418</v>
      </c>
      <c r="AA21" s="19">
        <f>'18 '!G85</f>
        <v>18.759999999999309</v>
      </c>
      <c r="AB21" s="19">
        <f>'18 '!G86</f>
        <v>0</v>
      </c>
      <c r="AC21" s="19">
        <f>'18 '!G87</f>
        <v>0</v>
      </c>
      <c r="AD21" s="19">
        <f t="shared" si="8"/>
        <v>42.899999999998727</v>
      </c>
      <c r="AE21" s="23">
        <f t="shared" si="2"/>
        <v>10831</v>
      </c>
      <c r="AF21" s="23">
        <f t="shared" si="9"/>
        <v>252.47086247086997</v>
      </c>
      <c r="AG21" s="19">
        <f>'18 '!G88</f>
        <v>0</v>
      </c>
      <c r="AH21" s="19">
        <f>'18 '!G89</f>
        <v>10</v>
      </c>
      <c r="AI21" s="19">
        <f>'18 '!G90</f>
        <v>12</v>
      </c>
      <c r="AJ21" s="19">
        <f t="shared" si="10"/>
        <v>22</v>
      </c>
      <c r="AK21" s="19">
        <f>'18 '!G91</f>
        <v>0</v>
      </c>
      <c r="AL21" s="19">
        <f>'18 '!G92</f>
        <v>10</v>
      </c>
      <c r="AM21" s="19"/>
      <c r="AN21" s="19">
        <f t="shared" si="11"/>
        <v>10</v>
      </c>
      <c r="AO21" s="52">
        <f>'18 '!G74</f>
        <v>297.47999999998137</v>
      </c>
      <c r="AP21" s="55">
        <f>'18 '!G35</f>
        <v>1</v>
      </c>
      <c r="AQ21" s="19">
        <f>'18 '!G37</f>
        <v>1729</v>
      </c>
      <c r="AR21" s="19">
        <f>'18 '!G38</f>
        <v>2397</v>
      </c>
      <c r="AS21" s="19">
        <f>'18 '!G39</f>
        <v>3158</v>
      </c>
      <c r="AT21" s="19">
        <f>'18 '!G40</f>
        <v>829</v>
      </c>
      <c r="AU21" s="19">
        <f>'18 '!G41</f>
        <v>6250</v>
      </c>
      <c r="AV21" s="19">
        <f>'18 '!G42</f>
        <v>4581</v>
      </c>
      <c r="AW21" s="19">
        <f>'18 '!G43</f>
        <v>0</v>
      </c>
      <c r="AX21" s="23">
        <f>'18 '!G44</f>
        <v>0</v>
      </c>
      <c r="AY21" s="56">
        <f>'18 '!G36</f>
        <v>1045</v>
      </c>
      <c r="AZ21" s="55">
        <f>'18 '!G49</f>
        <v>3487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367</v>
      </c>
      <c r="BE21" s="19">
        <f>'18 '!G55</f>
        <v>0</v>
      </c>
      <c r="BF21" s="19">
        <f>'18 '!G56</f>
        <v>0</v>
      </c>
      <c r="BG21" s="19">
        <f>'18 '!G57</f>
        <v>3098</v>
      </c>
      <c r="BH21" s="56">
        <f>'18 '!G50</f>
        <v>1503</v>
      </c>
      <c r="BI21" s="60">
        <f t="shared" si="12"/>
        <v>10831</v>
      </c>
      <c r="BJ21" s="60">
        <f>'18 '!G133</f>
        <v>628</v>
      </c>
      <c r="BK21" s="23">
        <f t="shared" si="13"/>
        <v>64.507407407407413</v>
      </c>
      <c r="BL21" s="23">
        <f t="shared" si="14"/>
        <v>11.696296296296296</v>
      </c>
      <c r="BM21" s="24">
        <f t="shared" si="15"/>
        <v>8.8777777777777775E-2</v>
      </c>
      <c r="BN21" s="25">
        <f t="shared" si="16"/>
        <v>324256</v>
      </c>
      <c r="BO21" s="38">
        <f t="shared" si="17"/>
        <v>14557</v>
      </c>
      <c r="BP21">
        <f t="shared" si="18"/>
        <v>1.2118714618714979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27500</v>
      </c>
      <c r="H22" s="19">
        <f>'19'!G8</f>
        <v>27000</v>
      </c>
      <c r="I22" s="19">
        <v>9</v>
      </c>
      <c r="J22" s="49">
        <f t="shared" si="3"/>
        <v>243000</v>
      </c>
      <c r="K22" s="45">
        <f t="shared" si="4"/>
        <v>133.66336633663366</v>
      </c>
      <c r="L22" s="19">
        <f>'19'!G15</f>
        <v>1000</v>
      </c>
      <c r="M22" s="19">
        <v>56.2</v>
      </c>
      <c r="N22" s="41">
        <f t="shared" si="5"/>
        <v>56200</v>
      </c>
      <c r="O22" s="19">
        <f>'19'!G20</f>
        <v>212</v>
      </c>
      <c r="P22" s="19">
        <v>108</v>
      </c>
      <c r="Q22" s="46">
        <f t="shared" si="0"/>
        <v>22896</v>
      </c>
      <c r="R22" s="47">
        <f t="shared" si="1"/>
        <v>111.64946281862228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110</v>
      </c>
      <c r="W22" s="22">
        <f>'19'!G66</f>
        <v>23</v>
      </c>
      <c r="X22" s="22">
        <f>'19'!G67</f>
        <v>0</v>
      </c>
      <c r="Y22" s="22">
        <f t="shared" si="7"/>
        <v>133</v>
      </c>
      <c r="Z22" s="19">
        <f>'19'!G84</f>
        <v>23.94999999999709</v>
      </c>
      <c r="AA22" s="19">
        <f>'19'!G85</f>
        <v>17.390000000000327</v>
      </c>
      <c r="AB22" s="19">
        <f>'19'!G86</f>
        <v>0</v>
      </c>
      <c r="AC22" s="19">
        <f>'19'!G87</f>
        <v>0</v>
      </c>
      <c r="AD22" s="19">
        <f t="shared" si="8"/>
        <v>41.339999999997417</v>
      </c>
      <c r="AE22" s="23">
        <f t="shared" si="2"/>
        <v>10354</v>
      </c>
      <c r="AF22" s="23">
        <f t="shared" si="9"/>
        <v>250.45960328980763</v>
      </c>
      <c r="AG22" s="19">
        <f>'19'!G88</f>
        <v>0</v>
      </c>
      <c r="AH22" s="19">
        <f>'19'!G89</f>
        <v>9.4700000000011642</v>
      </c>
      <c r="AI22" s="19">
        <f>'19'!G90</f>
        <v>9</v>
      </c>
      <c r="AJ22" s="19">
        <f t="shared" si="10"/>
        <v>18.470000000001164</v>
      </c>
      <c r="AK22" s="19">
        <f>'19'!G91</f>
        <v>0</v>
      </c>
      <c r="AL22" s="19">
        <f>'19'!G92</f>
        <v>10</v>
      </c>
      <c r="AM22" s="19"/>
      <c r="AN22" s="19">
        <f t="shared" si="11"/>
        <v>10</v>
      </c>
      <c r="AO22" s="52">
        <f>'19'!G74</f>
        <v>300</v>
      </c>
      <c r="AP22" s="55">
        <f>'19'!G35</f>
        <v>0</v>
      </c>
      <c r="AQ22" s="19">
        <f>'19'!G37</f>
        <v>1734</v>
      </c>
      <c r="AR22" s="19">
        <f>'19'!G38</f>
        <v>2342</v>
      </c>
      <c r="AS22" s="19">
        <f>'19'!G39</f>
        <v>3175</v>
      </c>
      <c r="AT22" s="19">
        <f>'19'!G40</f>
        <v>327</v>
      </c>
      <c r="AU22" s="19">
        <f>'19'!G41</f>
        <v>6017</v>
      </c>
      <c r="AV22" s="19">
        <f>'19'!G42</f>
        <v>4337</v>
      </c>
      <c r="AW22" s="19">
        <f>'19'!G43</f>
        <v>0</v>
      </c>
      <c r="AX22" s="23">
        <f>'19'!G44</f>
        <v>0</v>
      </c>
      <c r="AY22" s="56">
        <f>'19'!G36</f>
        <v>1321</v>
      </c>
      <c r="AZ22" s="55">
        <f>'19'!G49</f>
        <v>3557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367</v>
      </c>
      <c r="BE22" s="19">
        <f>'19'!G55</f>
        <v>0</v>
      </c>
      <c r="BF22" s="19">
        <f>'19'!G56</f>
        <v>0</v>
      </c>
      <c r="BG22" s="19">
        <f>'19'!G57</f>
        <v>3130</v>
      </c>
      <c r="BH22" s="56">
        <f>'19'!G50</f>
        <v>958</v>
      </c>
      <c r="BI22" s="60">
        <f t="shared" si="12"/>
        <v>10354</v>
      </c>
      <c r="BJ22" s="60">
        <f>'19'!G133</f>
        <v>623</v>
      </c>
      <c r="BK22" s="23">
        <f t="shared" si="13"/>
        <v>63.114814814814814</v>
      </c>
      <c r="BL22" s="23">
        <f t="shared" si="14"/>
        <v>11.75925925925926</v>
      </c>
      <c r="BM22" s="24">
        <f t="shared" si="15"/>
        <v>8.6740740740740743E-2</v>
      </c>
      <c r="BN22" s="25">
        <f t="shared" si="16"/>
        <v>322096</v>
      </c>
      <c r="BO22" s="38">
        <f t="shared" si="17"/>
        <v>14107</v>
      </c>
      <c r="BP22">
        <f t="shared" si="18"/>
        <v>1.2187262423112242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0.94</v>
      </c>
      <c r="G23" s="19">
        <f>'20'!G7</f>
        <v>27500</v>
      </c>
      <c r="H23" s="19">
        <f>'20'!G8</f>
        <v>27000</v>
      </c>
      <c r="I23" s="19">
        <v>9</v>
      </c>
      <c r="J23" s="49">
        <f t="shared" si="3"/>
        <v>243000</v>
      </c>
      <c r="K23" s="45">
        <f t="shared" si="4"/>
        <v>133.66336633663366</v>
      </c>
      <c r="L23" s="19">
        <f>'20'!G15</f>
        <v>1000</v>
      </c>
      <c r="M23" s="19">
        <v>56.2</v>
      </c>
      <c r="N23" s="41">
        <f t="shared" si="5"/>
        <v>56200</v>
      </c>
      <c r="O23" s="19">
        <f>'20'!G20</f>
        <v>253</v>
      </c>
      <c r="P23" s="19">
        <v>108</v>
      </c>
      <c r="Q23" s="46">
        <f t="shared" si="0"/>
        <v>27324</v>
      </c>
      <c r="R23" s="47">
        <f t="shared" si="1"/>
        <v>133.24204760901623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117</v>
      </c>
      <c r="W23" s="22">
        <f>'20'!G66</f>
        <v>23</v>
      </c>
      <c r="X23" s="22">
        <f>'20'!G67</f>
        <v>0</v>
      </c>
      <c r="Y23" s="22">
        <f t="shared" si="7"/>
        <v>140</v>
      </c>
      <c r="Z23" s="19">
        <f>'20'!G84</f>
        <v>17.470000000001164</v>
      </c>
      <c r="AA23" s="19">
        <f>'20'!G85</f>
        <v>24.010000000000218</v>
      </c>
      <c r="AB23" s="19">
        <f>'20'!G86</f>
        <v>0</v>
      </c>
      <c r="AC23" s="19">
        <f>'20'!G87</f>
        <v>0</v>
      </c>
      <c r="AD23" s="19">
        <f t="shared" si="8"/>
        <v>41.480000000001382</v>
      </c>
      <c r="AE23" s="23">
        <f t="shared" si="2"/>
        <v>9993</v>
      </c>
      <c r="AF23" s="23">
        <f t="shared" si="9"/>
        <v>240.91128254579718</v>
      </c>
      <c r="AG23" s="19">
        <f>'20'!G88</f>
        <v>0</v>
      </c>
      <c r="AH23" s="19">
        <f>'20'!G89</f>
        <v>10.529999999998836</v>
      </c>
      <c r="AI23" s="19">
        <f>'20'!G90</f>
        <v>10</v>
      </c>
      <c r="AJ23" s="19">
        <f t="shared" si="10"/>
        <v>20.529999999998836</v>
      </c>
      <c r="AK23" s="19">
        <f>'20'!G91</f>
        <v>0</v>
      </c>
      <c r="AL23" s="19">
        <f>'20'!G92</f>
        <v>11</v>
      </c>
      <c r="AM23" s="19"/>
      <c r="AN23" s="19">
        <f t="shared" si="11"/>
        <v>11</v>
      </c>
      <c r="AO23" s="52">
        <f>'20'!G74</f>
        <v>296</v>
      </c>
      <c r="AP23" s="55">
        <f>'20'!G35</f>
        <v>0</v>
      </c>
      <c r="AQ23" s="19">
        <f>'20'!G37</f>
        <v>1669</v>
      </c>
      <c r="AR23" s="19">
        <f>'20'!G38</f>
        <v>2341</v>
      </c>
      <c r="AS23" s="19">
        <f>'20'!G39</f>
        <v>3213</v>
      </c>
      <c r="AT23" s="19">
        <f>'20'!G40</f>
        <v>650</v>
      </c>
      <c r="AU23" s="19">
        <f>'20'!G41</f>
        <v>4189</v>
      </c>
      <c r="AV23" s="19">
        <f>'20'!G42</f>
        <v>5804</v>
      </c>
      <c r="AW23" s="19">
        <f>'20'!G43</f>
        <v>0</v>
      </c>
      <c r="AX23" s="23">
        <f>'20'!G44</f>
        <v>0</v>
      </c>
      <c r="AY23" s="56">
        <f>'20'!G36</f>
        <v>1199</v>
      </c>
      <c r="AZ23" s="55">
        <f>'20'!G49</f>
        <v>3591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366</v>
      </c>
      <c r="BE23" s="19">
        <f>'20'!G55</f>
        <v>0</v>
      </c>
      <c r="BF23" s="19">
        <f>'20'!G56</f>
        <v>0</v>
      </c>
      <c r="BG23" s="19">
        <f>'20'!G57</f>
        <v>3092</v>
      </c>
      <c r="BH23" s="56">
        <f>'20'!G50</f>
        <v>1133</v>
      </c>
      <c r="BI23" s="60">
        <f t="shared" si="12"/>
        <v>9993</v>
      </c>
      <c r="BJ23" s="60">
        <f>'20'!G133</f>
        <v>619</v>
      </c>
      <c r="BK23" s="23">
        <f t="shared" si="13"/>
        <v>61.762962962962966</v>
      </c>
      <c r="BL23" s="23">
        <f t="shared" si="14"/>
        <v>11.9</v>
      </c>
      <c r="BM23" s="24">
        <f t="shared" si="15"/>
        <v>8.67037037037037E-2</v>
      </c>
      <c r="BN23" s="25">
        <f t="shared" si="16"/>
        <v>326524</v>
      </c>
      <c r="BO23" s="38">
        <f t="shared" si="17"/>
        <v>13704</v>
      </c>
      <c r="BP23">
        <f t="shared" si="18"/>
        <v>1.179914588786295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27500</v>
      </c>
      <c r="H24" s="19">
        <f>'21'!G8</f>
        <v>27000</v>
      </c>
      <c r="I24" s="19">
        <v>9</v>
      </c>
      <c r="J24" s="49">
        <f t="shared" si="3"/>
        <v>243000</v>
      </c>
      <c r="K24" s="45">
        <f t="shared" si="4"/>
        <v>133.66336633663366</v>
      </c>
      <c r="L24" s="19">
        <f>'21'!G15</f>
        <v>1000</v>
      </c>
      <c r="M24" s="19">
        <v>56.2</v>
      </c>
      <c r="N24" s="41">
        <f t="shared" si="5"/>
        <v>56200</v>
      </c>
      <c r="O24" s="19">
        <f>'21'!G20</f>
        <v>263</v>
      </c>
      <c r="P24" s="19">
        <v>108</v>
      </c>
      <c r="Q24" s="46">
        <f t="shared" si="0"/>
        <v>28404</v>
      </c>
      <c r="R24" s="47">
        <f t="shared" si="1"/>
        <v>183.37749267884536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15</v>
      </c>
      <c r="X24" s="22">
        <f>'21'!G67</f>
        <v>0</v>
      </c>
      <c r="Y24" s="22">
        <f t="shared" si="7"/>
        <v>117</v>
      </c>
      <c r="Z24" s="19">
        <f>'21'!G84</f>
        <v>24.239999999997963</v>
      </c>
      <c r="AA24" s="19">
        <f>'21'!G85</f>
        <v>1.0000000000218279E-2</v>
      </c>
      <c r="AB24" s="19">
        <f>'21'!G86</f>
        <v>2.1500000000014552</v>
      </c>
      <c r="AC24" s="19">
        <f>'21'!G87</f>
        <v>12.440000000002328</v>
      </c>
      <c r="AD24" s="19">
        <f t="shared" si="8"/>
        <v>38.840000000001965</v>
      </c>
      <c r="AE24" s="23">
        <f t="shared" si="2"/>
        <v>7747.2600000000384</v>
      </c>
      <c r="AF24" s="23">
        <f t="shared" si="9"/>
        <v>199.46601441811654</v>
      </c>
      <c r="AG24" s="19">
        <f>'21'!G88</f>
        <v>-4.9999999999272404E-2</v>
      </c>
      <c r="AH24" s="19">
        <f>'21'!G89</f>
        <v>9.9500000000007276</v>
      </c>
      <c r="AI24" s="19">
        <f>'21'!G90</f>
        <v>10.520000000004075</v>
      </c>
      <c r="AJ24" s="19">
        <f t="shared" si="10"/>
        <v>20.42000000000553</v>
      </c>
      <c r="AK24" s="19">
        <f>'21'!G91</f>
        <v>0</v>
      </c>
      <c r="AL24" s="19">
        <f>'21'!G92</f>
        <v>9.6400000000003274</v>
      </c>
      <c r="AM24" s="19"/>
      <c r="AN24" s="19">
        <f t="shared" si="11"/>
        <v>9.6400000000003274</v>
      </c>
      <c r="AO24" s="52">
        <f>'21'!G74</f>
        <v>293.61999999999534</v>
      </c>
      <c r="AP24" s="55">
        <f>'21'!G35</f>
        <v>0</v>
      </c>
      <c r="AQ24" s="19">
        <f>'21'!G37</f>
        <v>1661.0499999999884</v>
      </c>
      <c r="AR24" s="19">
        <f>'21'!G38</f>
        <v>2383.1500000000233</v>
      </c>
      <c r="AS24" s="19">
        <f>'21'!G39</f>
        <v>3123.9099999999744</v>
      </c>
      <c r="AT24" s="19">
        <f>'21'!G40</f>
        <v>387.58999999999651</v>
      </c>
      <c r="AU24" s="19">
        <f>'21'!G41</f>
        <v>5860.9700000000012</v>
      </c>
      <c r="AV24" s="19">
        <f>'21'!G42</f>
        <v>25.03000000002794</v>
      </c>
      <c r="AW24" s="19">
        <f>'21'!G43</f>
        <v>0</v>
      </c>
      <c r="AX24" s="23">
        <f>'21'!G44</f>
        <v>0</v>
      </c>
      <c r="AY24" s="56">
        <f>'21'!G36</f>
        <v>811.32999999998719</v>
      </c>
      <c r="AZ24" s="55">
        <f>'21'!G49</f>
        <v>3632.070000000007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358.42999999999302</v>
      </c>
      <c r="BE24" s="19">
        <f>'21'!G55</f>
        <v>-0.48999999999068677</v>
      </c>
      <c r="BF24" s="19">
        <f>'21'!G56</f>
        <v>1861.75</v>
      </c>
      <c r="BG24" s="19">
        <f>'21'!G57</f>
        <v>3040.2299999999959</v>
      </c>
      <c r="BH24" s="56">
        <f>'21'!G50</f>
        <v>1132.4100000000035</v>
      </c>
      <c r="BI24" s="60">
        <f t="shared" si="12"/>
        <v>7747.2600000000384</v>
      </c>
      <c r="BJ24" s="60">
        <f>'21'!G133</f>
        <v>623.91000000000349</v>
      </c>
      <c r="BK24" s="23">
        <f t="shared" si="13"/>
        <v>53.405777777777928</v>
      </c>
      <c r="BL24" s="23">
        <f t="shared" si="14"/>
        <v>11.570037037036942</v>
      </c>
      <c r="BM24" s="24">
        <f t="shared" si="15"/>
        <v>8.826481481481567E-2</v>
      </c>
      <c r="BN24" s="25">
        <f t="shared" si="16"/>
        <v>327604</v>
      </c>
      <c r="BO24" s="38">
        <f t="shared" si="17"/>
        <v>11411.400000000038</v>
      </c>
      <c r="BP24">
        <f t="shared" si="18"/>
        <v>1.0493048403707022</v>
      </c>
    </row>
    <row r="25" spans="1:68">
      <c r="A25" s="16">
        <v>22</v>
      </c>
      <c r="B25" s="27">
        <v>22</v>
      </c>
      <c r="C25" s="28"/>
      <c r="D25" s="19">
        <f>'22'!D3</f>
        <v>29</v>
      </c>
      <c r="E25" s="50">
        <f>'22'!D4</f>
        <v>0.79</v>
      </c>
      <c r="F25" s="50">
        <f>'22'!D2</f>
        <v>0.98</v>
      </c>
      <c r="G25" s="19">
        <f>'22'!G7</f>
        <v>27500</v>
      </c>
      <c r="H25" s="19">
        <f>'22'!G8</f>
        <v>27000</v>
      </c>
      <c r="I25" s="19">
        <v>9</v>
      </c>
      <c r="J25" s="49">
        <f t="shared" si="3"/>
        <v>243000</v>
      </c>
      <c r="K25" s="45">
        <f t="shared" si="4"/>
        <v>133.66336633663366</v>
      </c>
      <c r="L25" s="19">
        <f>'22'!G15</f>
        <v>1000</v>
      </c>
      <c r="M25" s="19">
        <v>56.2</v>
      </c>
      <c r="N25" s="41">
        <f t="shared" si="5"/>
        <v>56200</v>
      </c>
      <c r="O25" s="19">
        <f>'22'!G20</f>
        <v>243</v>
      </c>
      <c r="P25" s="19">
        <v>108</v>
      </c>
      <c r="Q25" s="46">
        <f t="shared" si="0"/>
        <v>26244</v>
      </c>
      <c r="R25" s="47">
        <f t="shared" si="1"/>
        <v>122.75207112547989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100</v>
      </c>
      <c r="W25" s="22">
        <f>'22'!G66</f>
        <v>19</v>
      </c>
      <c r="X25" s="22">
        <f>'22'!G67</f>
        <v>0</v>
      </c>
      <c r="Y25" s="22">
        <f t="shared" si="7"/>
        <v>119</v>
      </c>
      <c r="Z25" s="19">
        <f>'22'!G84</f>
        <v>23.990000000005239</v>
      </c>
      <c r="AA25" s="19">
        <f>'22'!G85</f>
        <v>-0.41000000000076398</v>
      </c>
      <c r="AB25" s="19">
        <f>'22'!G86</f>
        <v>16.989999999997963</v>
      </c>
      <c r="AC25" s="19">
        <f>'22'!G87</f>
        <v>0.59999999999854481</v>
      </c>
      <c r="AD25" s="19">
        <f t="shared" si="8"/>
        <v>41.170000000000982</v>
      </c>
      <c r="AE25" s="23">
        <f t="shared" si="2"/>
        <v>8692.7099999999773</v>
      </c>
      <c r="AF25" s="23">
        <f t="shared" si="9"/>
        <v>211.14185086227278</v>
      </c>
      <c r="AG25" s="19">
        <f>'22'!G88</f>
        <v>0.18999999999869033</v>
      </c>
      <c r="AH25" s="19">
        <f>'22'!G89</f>
        <v>8.9799999999995634</v>
      </c>
      <c r="AI25" s="19">
        <f>'22'!G90</f>
        <v>9.6499999999941792</v>
      </c>
      <c r="AJ25" s="19">
        <f t="shared" si="10"/>
        <v>18.819999999992433</v>
      </c>
      <c r="AK25" s="19">
        <f>'22'!G91</f>
        <v>0</v>
      </c>
      <c r="AL25" s="19">
        <f>'22'!G92</f>
        <v>10.319999999999709</v>
      </c>
      <c r="AM25" s="19"/>
      <c r="AN25" s="19">
        <f t="shared" si="11"/>
        <v>10.319999999999709</v>
      </c>
      <c r="AO25" s="52">
        <f>'22'!G74</f>
        <v>299.88000000000466</v>
      </c>
      <c r="AP25" s="55">
        <f>'22'!G35</f>
        <v>0</v>
      </c>
      <c r="AQ25" s="19">
        <f>'22'!G37</f>
        <v>1658.7399999999907</v>
      </c>
      <c r="AR25" s="19">
        <f>'22'!G38</f>
        <v>2286.3999999999651</v>
      </c>
      <c r="AS25" s="19">
        <f>'22'!G39</f>
        <v>3040.2400000000489</v>
      </c>
      <c r="AT25" s="19">
        <f>'22'!G40</f>
        <v>327.41999999999825</v>
      </c>
      <c r="AU25" s="19">
        <f>'22'!G41</f>
        <v>5996.2699999999895</v>
      </c>
      <c r="AV25" s="19">
        <f>'22'!G42</f>
        <v>0</v>
      </c>
      <c r="AW25" s="19">
        <f>'22'!G43</f>
        <v>3.0000000027939677E-2</v>
      </c>
      <c r="AX25" s="23">
        <f>'22'!G44</f>
        <v>0</v>
      </c>
      <c r="AY25" s="56">
        <f>'22'!G36</f>
        <v>719.92000000001281</v>
      </c>
      <c r="AZ25" s="55">
        <f>'22'!G49</f>
        <v>3530.4400000000023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352.22000000000116</v>
      </c>
      <c r="BE25" s="19">
        <f>'22'!G55</f>
        <v>2663.2399999999907</v>
      </c>
      <c r="BF25" s="19">
        <f>'22'!G56</f>
        <v>33.19999999999709</v>
      </c>
      <c r="BG25" s="19">
        <f>'22'!G57</f>
        <v>3050.0299999999988</v>
      </c>
      <c r="BH25" s="56">
        <f>'22'!G50</f>
        <v>1142.5</v>
      </c>
      <c r="BI25" s="60">
        <f t="shared" si="12"/>
        <v>8692.7099999999773</v>
      </c>
      <c r="BJ25" s="60">
        <f>'22'!G133</f>
        <v>605.13999999998487</v>
      </c>
      <c r="BK25" s="23">
        <f t="shared" si="13"/>
        <v>56.567444444444469</v>
      </c>
      <c r="BL25" s="23">
        <f t="shared" si="14"/>
        <v>11.26014814814833</v>
      </c>
      <c r="BM25" s="24">
        <f t="shared" si="15"/>
        <v>8.4681481481480192E-2</v>
      </c>
      <c r="BN25" s="25">
        <f t="shared" si="16"/>
        <v>325444</v>
      </c>
      <c r="BO25" s="38">
        <f t="shared" si="17"/>
        <v>12347.909999999989</v>
      </c>
      <c r="BP25">
        <f t="shared" si="18"/>
        <v>1.0711605191019549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0.99</v>
      </c>
      <c r="G26" s="19">
        <f>'23'!G7</f>
        <v>27500</v>
      </c>
      <c r="H26" s="19">
        <f>'23'!G8</f>
        <v>27000</v>
      </c>
      <c r="I26" s="19">
        <v>9</v>
      </c>
      <c r="J26" s="49">
        <f t="shared" si="3"/>
        <v>243000</v>
      </c>
      <c r="K26" s="45">
        <f t="shared" si="4"/>
        <v>133.66336633663366</v>
      </c>
      <c r="L26" s="19">
        <f>'23'!G15</f>
        <v>1000</v>
      </c>
      <c r="M26" s="19">
        <v>56.2</v>
      </c>
      <c r="N26" s="41">
        <f t="shared" si="5"/>
        <v>56200</v>
      </c>
      <c r="O26" s="19">
        <f>'23'!G20</f>
        <v>182</v>
      </c>
      <c r="P26" s="19">
        <v>108</v>
      </c>
      <c r="Q26" s="46">
        <f t="shared" si="0"/>
        <v>19656</v>
      </c>
      <c r="R26" s="47">
        <f t="shared" si="1"/>
        <v>91.009100910091021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119</v>
      </c>
      <c r="W26" s="22">
        <f>'23'!G66</f>
        <v>20</v>
      </c>
      <c r="X26" s="22">
        <f>'23'!G67</f>
        <v>0</v>
      </c>
      <c r="Y26" s="22">
        <f t="shared" si="7"/>
        <v>139</v>
      </c>
      <c r="Z26" s="19">
        <f>'23'!G84</f>
        <v>-0.23000000000320142</v>
      </c>
      <c r="AA26" s="19">
        <f>'23'!G85</f>
        <v>14.100000000000364</v>
      </c>
      <c r="AB26" s="19">
        <f>'23'!G86</f>
        <v>24.069999999999709</v>
      </c>
      <c r="AC26" s="19">
        <f>'23'!G87</f>
        <v>-4.0000000000873115E-2</v>
      </c>
      <c r="AD26" s="19">
        <f t="shared" si="8"/>
        <v>37.899999999995998</v>
      </c>
      <c r="AE26" s="23">
        <f t="shared" si="2"/>
        <v>7278.6699999999983</v>
      </c>
      <c r="AF26" s="23">
        <f t="shared" si="9"/>
        <v>192.04934036941336</v>
      </c>
      <c r="AG26" s="19">
        <f>'23'!G88</f>
        <v>0</v>
      </c>
      <c r="AH26" s="19">
        <f>'23'!G89</f>
        <v>9.6500000000014552</v>
      </c>
      <c r="AI26" s="19">
        <f>'23'!G90</f>
        <v>10.380000000004657</v>
      </c>
      <c r="AJ26" s="19">
        <f t="shared" si="10"/>
        <v>20.030000000006112</v>
      </c>
      <c r="AK26" s="19">
        <f>'23'!G91</f>
        <v>0</v>
      </c>
      <c r="AL26" s="19">
        <f>'23'!G92</f>
        <v>10.039999999999964</v>
      </c>
      <c r="AM26" s="19"/>
      <c r="AN26" s="19">
        <f t="shared" si="11"/>
        <v>10.039999999999964</v>
      </c>
      <c r="AO26" s="52">
        <f>'23'!G74</f>
        <v>288.39000000001397</v>
      </c>
      <c r="AP26" s="55">
        <f>'23'!G35</f>
        <v>0</v>
      </c>
      <c r="AQ26" s="19">
        <f>'23'!G37</f>
        <v>1637.1100000000442</v>
      </c>
      <c r="AR26" s="19">
        <f>'23'!G38</f>
        <v>2279.8400000000256</v>
      </c>
      <c r="AS26" s="19">
        <f>'23'!G39</f>
        <v>3028.1199999999953</v>
      </c>
      <c r="AT26" s="19">
        <f>'23'!G40</f>
        <v>319.02999999999884</v>
      </c>
      <c r="AU26" s="19">
        <f>'23'!G41</f>
        <v>91.170000000012806</v>
      </c>
      <c r="AV26" s="19">
        <f>'23'!G42</f>
        <v>3240.7199999999721</v>
      </c>
      <c r="AW26" s="19">
        <f>'23'!G43</f>
        <v>0</v>
      </c>
      <c r="AX26" s="23">
        <f>'23'!G44</f>
        <v>0</v>
      </c>
      <c r="AY26" s="56">
        <f>'23'!G36</f>
        <v>775.07999999998719</v>
      </c>
      <c r="AZ26" s="55">
        <f>'23'!G49</f>
        <v>3675.1599999999744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350.22000000000116</v>
      </c>
      <c r="BE26" s="19">
        <f>'23'!G55</f>
        <v>3945.6000000000058</v>
      </c>
      <c r="BF26" s="19">
        <f>'23'!G56</f>
        <v>1.180000000007567</v>
      </c>
      <c r="BG26" s="19">
        <f>'23'!G57</f>
        <v>3016.6300000000047</v>
      </c>
      <c r="BH26" s="56">
        <f>'23'!G50</f>
        <v>1188.2799999999988</v>
      </c>
      <c r="BI26" s="60">
        <f t="shared" si="12"/>
        <v>7278.6699999999983</v>
      </c>
      <c r="BJ26" s="60">
        <f>'23'!G133</f>
        <v>607.44000000000233</v>
      </c>
      <c r="BK26" s="23">
        <f t="shared" si="13"/>
        <v>51.742444444444359</v>
      </c>
      <c r="BL26" s="23">
        <f t="shared" si="14"/>
        <v>11.215259259259241</v>
      </c>
      <c r="BM26" s="24">
        <f t="shared" si="15"/>
        <v>8.4438518518519468E-2</v>
      </c>
      <c r="BN26" s="25">
        <f t="shared" si="16"/>
        <v>318856</v>
      </c>
      <c r="BO26" s="38">
        <f t="shared" si="17"/>
        <v>10902.740000000005</v>
      </c>
      <c r="BP26">
        <f t="shared" si="18"/>
        <v>1.0273972860913265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1</v>
      </c>
      <c r="G27" s="19">
        <f>'24'!G7</f>
        <v>27500</v>
      </c>
      <c r="H27" s="19">
        <f>'24'!G8</f>
        <v>27000</v>
      </c>
      <c r="I27" s="19">
        <v>9</v>
      </c>
      <c r="J27" s="49">
        <f t="shared" si="3"/>
        <v>243000</v>
      </c>
      <c r="K27" s="45">
        <f t="shared" si="4"/>
        <v>133.66336633663366</v>
      </c>
      <c r="L27" s="19">
        <f>'24'!G15</f>
        <v>1000</v>
      </c>
      <c r="M27" s="19">
        <v>56.2</v>
      </c>
      <c r="N27" s="41">
        <f t="shared" si="5"/>
        <v>56200</v>
      </c>
      <c r="O27" s="19">
        <f>'24'!G20</f>
        <v>233</v>
      </c>
      <c r="P27" s="19">
        <v>108</v>
      </c>
      <c r="Q27" s="46">
        <f t="shared" si="0"/>
        <v>25164</v>
      </c>
      <c r="R27" s="47">
        <f t="shared" si="1"/>
        <v>115.34653465346534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97</v>
      </c>
      <c r="W27" s="22">
        <f>'24'!G66</f>
        <v>19</v>
      </c>
      <c r="X27" s="22">
        <f>'24'!G67</f>
        <v>0</v>
      </c>
      <c r="Y27" s="22">
        <f t="shared" si="7"/>
        <v>116</v>
      </c>
      <c r="Z27" s="19">
        <f>'24'!G84</f>
        <v>0</v>
      </c>
      <c r="AA27" s="19">
        <f>'24'!G85</f>
        <v>24.069999999999709</v>
      </c>
      <c r="AB27" s="19">
        <f>'24'!G86</f>
        <v>17.110000000000582</v>
      </c>
      <c r="AC27" s="19">
        <f>'24'!G87</f>
        <v>5.0000000002910383E-2</v>
      </c>
      <c r="AD27" s="19">
        <f t="shared" si="8"/>
        <v>41.230000000003201</v>
      </c>
      <c r="AE27" s="23">
        <f t="shared" si="2"/>
        <v>8471.2600000000384</v>
      </c>
      <c r="AF27" s="23">
        <f t="shared" si="9"/>
        <v>205.46349745329567</v>
      </c>
      <c r="AG27" s="19">
        <f>'24'!G88</f>
        <v>0</v>
      </c>
      <c r="AH27" s="19">
        <f>'24'!G89</f>
        <v>9.7599999999983993</v>
      </c>
      <c r="AI27" s="19">
        <f>'24'!G90</f>
        <v>10.599999999991269</v>
      </c>
      <c r="AJ27" s="19">
        <f t="shared" si="10"/>
        <v>20.359999999989668</v>
      </c>
      <c r="AK27" s="19">
        <f>'24'!G91</f>
        <v>0</v>
      </c>
      <c r="AL27" s="19">
        <f>'24'!G92</f>
        <v>10.050000000000182</v>
      </c>
      <c r="AM27" s="19"/>
      <c r="AN27" s="19">
        <f t="shared" si="11"/>
        <v>10.050000000000182</v>
      </c>
      <c r="AO27" s="52">
        <f>'24'!G74</f>
        <v>288.48999999999069</v>
      </c>
      <c r="AP27" s="55">
        <f>'24'!G35</f>
        <v>0</v>
      </c>
      <c r="AQ27" s="19">
        <f>'24'!G37</f>
        <v>1628.0499999999884</v>
      </c>
      <c r="AR27" s="19">
        <f>'24'!G38</f>
        <v>2248.5199999999604</v>
      </c>
      <c r="AS27" s="19">
        <f>'24'!G39</f>
        <v>2993.4400000000023</v>
      </c>
      <c r="AT27" s="19">
        <f>'24'!G40</f>
        <v>298.78000000001339</v>
      </c>
      <c r="AU27" s="19">
        <f>'24'!G41</f>
        <v>0</v>
      </c>
      <c r="AV27" s="19">
        <f>'24'!G42</f>
        <v>5814.8000000000466</v>
      </c>
      <c r="AW27" s="19">
        <f>'24'!G43</f>
        <v>0</v>
      </c>
      <c r="AX27" s="23">
        <f>'24'!G44</f>
        <v>0</v>
      </c>
      <c r="AY27" s="56">
        <f>'24'!G36</f>
        <v>820.62000000002445</v>
      </c>
      <c r="AZ27" s="55">
        <f>'24'!G49</f>
        <v>3671.1600000000326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355.61000000000058</v>
      </c>
      <c r="BE27" s="19">
        <f>'24'!G55</f>
        <v>2656.4599999999919</v>
      </c>
      <c r="BF27" s="19">
        <f>'24'!G56</f>
        <v>0</v>
      </c>
      <c r="BG27" s="19">
        <f>'24'!G57</f>
        <v>3230.1399999999994</v>
      </c>
      <c r="BH27" s="56">
        <f>'24'!G50</f>
        <v>1022.7200000000012</v>
      </c>
      <c r="BI27" s="60">
        <f t="shared" si="12"/>
        <v>8471.2600000000384</v>
      </c>
      <c r="BJ27" s="60">
        <f>'24'!G133</f>
        <v>612.46000000002095</v>
      </c>
      <c r="BK27" s="23">
        <f t="shared" si="13"/>
        <v>56.935407407407666</v>
      </c>
      <c r="BL27" s="23">
        <f t="shared" si="14"/>
        <v>11.086814814814824</v>
      </c>
      <c r="BM27" s="24">
        <f t="shared" si="15"/>
        <v>8.3278518518517058E-2</v>
      </c>
      <c r="BN27" s="25">
        <f t="shared" si="16"/>
        <v>324364</v>
      </c>
      <c r="BO27" s="38">
        <f t="shared" si="17"/>
        <v>12313.860000000059</v>
      </c>
      <c r="BP27">
        <f t="shared" si="18"/>
        <v>1.0666522296523944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27500</v>
      </c>
      <c r="H28" s="19">
        <f>'25'!G8</f>
        <v>27000</v>
      </c>
      <c r="I28" s="19">
        <v>9</v>
      </c>
      <c r="J28" s="49">
        <f t="shared" si="3"/>
        <v>243000</v>
      </c>
      <c r="K28" s="45">
        <f t="shared" si="4"/>
        <v>133.66336633663366</v>
      </c>
      <c r="L28" s="19">
        <f>'25'!G15</f>
        <v>1000</v>
      </c>
      <c r="M28" s="19">
        <v>56.2</v>
      </c>
      <c r="N28" s="41">
        <f t="shared" si="5"/>
        <v>56200</v>
      </c>
      <c r="O28" s="19">
        <f>'25'!G20</f>
        <v>210</v>
      </c>
      <c r="P28" s="19">
        <v>108</v>
      </c>
      <c r="Q28" s="46">
        <f t="shared" si="0"/>
        <v>22680</v>
      </c>
      <c r="R28" s="47">
        <f t="shared" si="1"/>
        <v>106.08203677510608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103</v>
      </c>
      <c r="W28" s="22">
        <f>'25'!G66</f>
        <v>16</v>
      </c>
      <c r="X28" s="22">
        <f>'25'!G67</f>
        <v>-1</v>
      </c>
      <c r="Y28" s="22">
        <f t="shared" si="7"/>
        <v>118</v>
      </c>
      <c r="Z28" s="19">
        <f>'25'!G84</f>
        <v>0</v>
      </c>
      <c r="AA28" s="19">
        <f>'25'!G85</f>
        <v>16.680000000000291</v>
      </c>
      <c r="AB28" s="19">
        <f>'25'!G86</f>
        <v>23.680000000000291</v>
      </c>
      <c r="AC28" s="19">
        <f>'25'!G87</f>
        <v>0</v>
      </c>
      <c r="AD28" s="19">
        <f t="shared" si="8"/>
        <v>40.360000000000582</v>
      </c>
      <c r="AE28" s="23">
        <f t="shared" si="2"/>
        <v>3765.1199999999953</v>
      </c>
      <c r="AF28" s="23">
        <f t="shared" si="9"/>
        <v>93.288404360751755</v>
      </c>
      <c r="AG28" s="19">
        <f>'25'!G88</f>
        <v>0</v>
      </c>
      <c r="AH28" s="19">
        <f>'25'!G89</f>
        <v>10.06000000000131</v>
      </c>
      <c r="AI28" s="19">
        <f>'25'!G90</f>
        <v>10.760000000009313</v>
      </c>
      <c r="AJ28" s="19">
        <f t="shared" si="10"/>
        <v>20.820000000010623</v>
      </c>
      <c r="AK28" s="19">
        <f>'25'!G91</f>
        <v>0</v>
      </c>
      <c r="AL28" s="19">
        <f>'25'!G92</f>
        <v>10.949999999999818</v>
      </c>
      <c r="AM28" s="19"/>
      <c r="AN28" s="19">
        <f t="shared" si="11"/>
        <v>10.949999999999818</v>
      </c>
      <c r="AO28" s="52">
        <f>'25'!G74</f>
        <v>282.31999999994878</v>
      </c>
      <c r="AP28" s="55">
        <f>'25'!G35</f>
        <v>-0.95000000001164153</v>
      </c>
      <c r="AQ28" s="19">
        <f>'25'!G37</f>
        <v>1600.5999999999767</v>
      </c>
      <c r="AR28" s="19">
        <f>'25'!G38</f>
        <v>2187.640000000014</v>
      </c>
      <c r="AS28" s="19">
        <f>'25'!G39</f>
        <v>2960.1599999999744</v>
      </c>
      <c r="AT28" s="19">
        <f>'25'!G40</f>
        <v>293.8799999999901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981.95999999999185</v>
      </c>
      <c r="AZ28" s="55">
        <f>'25'!G49</f>
        <v>3608.7199999999721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355.61000000000058</v>
      </c>
      <c r="BE28" s="19">
        <f>'25'!G55</f>
        <v>3765.1199999999953</v>
      </c>
      <c r="BF28" s="19">
        <f>'25'!G56</f>
        <v>0</v>
      </c>
      <c r="BG28" s="19">
        <f>'25'!G57</f>
        <v>3334.1100000000006</v>
      </c>
      <c r="BH28" s="56">
        <f>'25'!G50</f>
        <v>1015.5599999999977</v>
      </c>
      <c r="BI28" s="60">
        <f t="shared" si="12"/>
        <v>3765.1199999999953</v>
      </c>
      <c r="BJ28" s="60">
        <f>'25'!G133</f>
        <v>604.25999999998021</v>
      </c>
      <c r="BK28" s="23">
        <f t="shared" si="13"/>
        <v>39.655555555555395</v>
      </c>
      <c r="BL28" s="23">
        <f t="shared" si="14"/>
        <v>10.963555555555461</v>
      </c>
      <c r="BM28" s="24">
        <f t="shared" si="15"/>
        <v>8.1023703703704222E-2</v>
      </c>
      <c r="BN28" s="25">
        <f t="shared" si="16"/>
        <v>321880</v>
      </c>
      <c r="BO28" s="38">
        <f t="shared" si="17"/>
        <v>7703.4899999999761</v>
      </c>
      <c r="BP28">
        <f t="shared" si="18"/>
        <v>0.68167651847655608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1</v>
      </c>
      <c r="G29" s="19">
        <f>'26'!G7</f>
        <v>27500</v>
      </c>
      <c r="H29" s="19">
        <f>'26'!G8</f>
        <v>27000</v>
      </c>
      <c r="I29" s="19">
        <v>9</v>
      </c>
      <c r="J29" s="49">
        <f t="shared" si="3"/>
        <v>243000</v>
      </c>
      <c r="K29" s="45">
        <f t="shared" si="4"/>
        <v>133.66336633663366</v>
      </c>
      <c r="L29" s="19">
        <f>'26'!G15</f>
        <v>1000</v>
      </c>
      <c r="M29" s="19">
        <v>56.2</v>
      </c>
      <c r="N29" s="41">
        <f t="shared" si="5"/>
        <v>56200</v>
      </c>
      <c r="O29" s="19">
        <f>'26'!G20</f>
        <v>212</v>
      </c>
      <c r="P29" s="19">
        <v>108</v>
      </c>
      <c r="Q29" s="46">
        <f t="shared" si="0"/>
        <v>22896</v>
      </c>
      <c r="R29" s="47">
        <f t="shared" si="1"/>
        <v>104.95049504950495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21</v>
      </c>
      <c r="X29" s="22">
        <f>'26'!G67</f>
        <v>0</v>
      </c>
      <c r="Y29" s="22">
        <f t="shared" si="7"/>
        <v>119</v>
      </c>
      <c r="Z29" s="19">
        <f>'26'!G84</f>
        <v>0</v>
      </c>
      <c r="AA29" s="19">
        <f>'26'!G85</f>
        <v>24.300000000000182</v>
      </c>
      <c r="AB29" s="19">
        <f>'26'!G86</f>
        <v>19.400000000001455</v>
      </c>
      <c r="AC29" s="19">
        <f>'26'!G87</f>
        <v>0</v>
      </c>
      <c r="AD29" s="19">
        <f t="shared" si="8"/>
        <v>43.700000000001637</v>
      </c>
      <c r="AE29" s="23">
        <f t="shared" si="2"/>
        <v>8322.7800000000279</v>
      </c>
      <c r="AF29" s="23">
        <f t="shared" si="9"/>
        <v>190.45263157894087</v>
      </c>
      <c r="AG29" s="19">
        <f>'26'!G88</f>
        <v>0</v>
      </c>
      <c r="AH29" s="19">
        <f>'26'!G89</f>
        <v>9.9799999999995634</v>
      </c>
      <c r="AI29" s="19">
        <f>'26'!G90</f>
        <v>2.8799999999901047</v>
      </c>
      <c r="AJ29" s="19">
        <f t="shared" si="10"/>
        <v>12.859999999989668</v>
      </c>
      <c r="AK29" s="19">
        <f>'26'!G91</f>
        <v>0</v>
      </c>
      <c r="AL29" s="19">
        <f>'26'!G92</f>
        <v>8.7600000000002183</v>
      </c>
      <c r="AM29" s="19"/>
      <c r="AN29" s="19">
        <f t="shared" si="11"/>
        <v>8.7600000000002183</v>
      </c>
      <c r="AO29" s="52">
        <f>'26'!G74</f>
        <v>289.94000000006054</v>
      </c>
      <c r="AP29" s="55">
        <f>'26'!G35</f>
        <v>0</v>
      </c>
      <c r="AQ29" s="19">
        <f>'26'!G37</f>
        <v>1521.0599999999977</v>
      </c>
      <c r="AR29" s="19">
        <f>'26'!G38</f>
        <v>2136.8800000000047</v>
      </c>
      <c r="AS29" s="19">
        <f>'26'!G39</f>
        <v>3027.320000000007</v>
      </c>
      <c r="AT29" s="19">
        <f>'26'!G40</f>
        <v>306.80000000000291</v>
      </c>
      <c r="AU29" s="19">
        <f>'26'!G41</f>
        <v>0</v>
      </c>
      <c r="AV29" s="19">
        <f>'26'!G42</f>
        <v>5534</v>
      </c>
      <c r="AW29" s="19">
        <f>'26'!G43</f>
        <v>0</v>
      </c>
      <c r="AX29" s="23">
        <f>'26'!G44</f>
        <v>0</v>
      </c>
      <c r="AY29" s="56">
        <f>'26'!G36</f>
        <v>727.57999999998719</v>
      </c>
      <c r="AZ29" s="55">
        <f>'26'!G49</f>
        <v>3670.0800000000163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353.41000000000349</v>
      </c>
      <c r="BE29" s="19">
        <f>'26'!G55</f>
        <v>2788.7800000000279</v>
      </c>
      <c r="BF29" s="19">
        <f>'26'!G56</f>
        <v>0</v>
      </c>
      <c r="BG29" s="19">
        <f>'26'!G57</f>
        <v>3246.9900000000052</v>
      </c>
      <c r="BH29" s="56">
        <f>'26'!G50</f>
        <v>982.63999999998487</v>
      </c>
      <c r="BI29" s="60">
        <f t="shared" si="12"/>
        <v>8322.7800000000279</v>
      </c>
      <c r="BJ29" s="60">
        <f>'26'!G133</f>
        <v>610.77999999999884</v>
      </c>
      <c r="BK29" s="23">
        <f t="shared" si="13"/>
        <v>56.44388888888907</v>
      </c>
      <c r="BL29" s="23">
        <f t="shared" si="14"/>
        <v>11.212296296296323</v>
      </c>
      <c r="BM29" s="24">
        <f t="shared" si="15"/>
        <v>7.9143703703703883E-2</v>
      </c>
      <c r="BN29" s="25">
        <f t="shared" si="16"/>
        <v>322096</v>
      </c>
      <c r="BO29" s="38">
        <f t="shared" si="17"/>
        <v>12180.550000000032</v>
      </c>
      <c r="BP29">
        <f t="shared" si="18"/>
        <v>0.99546829029091011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27500</v>
      </c>
      <c r="H30" s="19">
        <f>'27'!G8</f>
        <v>27000</v>
      </c>
      <c r="I30" s="19">
        <v>9</v>
      </c>
      <c r="J30" s="49">
        <f t="shared" si="3"/>
        <v>243000</v>
      </c>
      <c r="K30" s="45">
        <f t="shared" si="4"/>
        <v>133.66336633663366</v>
      </c>
      <c r="L30" s="19">
        <f>'27'!G15</f>
        <v>1000</v>
      </c>
      <c r="M30" s="19">
        <v>56.2</v>
      </c>
      <c r="N30" s="41">
        <f t="shared" si="5"/>
        <v>56200</v>
      </c>
      <c r="O30" s="19">
        <f>'27'!G20</f>
        <v>208</v>
      </c>
      <c r="P30" s="19">
        <v>108</v>
      </c>
      <c r="Q30" s="46">
        <f t="shared" si="0"/>
        <v>22464</v>
      </c>
      <c r="R30" s="47">
        <f t="shared" si="1"/>
        <v>135.48723293381968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77</v>
      </c>
      <c r="W30" s="22">
        <f>'27'!G66</f>
        <v>18</v>
      </c>
      <c r="X30" s="22">
        <f>'27'!G67</f>
        <v>0</v>
      </c>
      <c r="Y30" s="22">
        <f t="shared" si="7"/>
        <v>95</v>
      </c>
      <c r="Z30" s="19">
        <f>'27'!G84</f>
        <v>0</v>
      </c>
      <c r="AA30" s="19">
        <f>'27'!G85</f>
        <v>14.979999999999563</v>
      </c>
      <c r="AB30" s="19">
        <f>'27'!G86</f>
        <v>23.599999999998545</v>
      </c>
      <c r="AC30" s="19">
        <f>'27'!G87</f>
        <v>0</v>
      </c>
      <c r="AD30" s="19">
        <f t="shared" si="8"/>
        <v>38.579999999998108</v>
      </c>
      <c r="AE30" s="23">
        <f t="shared" si="2"/>
        <v>7334.7300000000396</v>
      </c>
      <c r="AF30" s="23">
        <f t="shared" si="9"/>
        <v>190.1174183514878</v>
      </c>
      <c r="AG30" s="19">
        <f>'27'!G88</f>
        <v>0</v>
      </c>
      <c r="AH30" s="19">
        <f>'27'!G89</f>
        <v>9.1699999999982538</v>
      </c>
      <c r="AI30" s="19">
        <f>'27'!G90</f>
        <v>10.889999999999418</v>
      </c>
      <c r="AJ30" s="19">
        <f t="shared" si="10"/>
        <v>20.059999999997672</v>
      </c>
      <c r="AK30" s="19">
        <f>'27'!G91</f>
        <v>0</v>
      </c>
      <c r="AL30" s="19">
        <f>'27'!G92</f>
        <v>9.7399999999997817</v>
      </c>
      <c r="AM30" s="19"/>
      <c r="AN30" s="19">
        <f t="shared" si="11"/>
        <v>9.7399999999997817</v>
      </c>
      <c r="AO30" s="52">
        <f>'27'!G74</f>
        <v>285.04000000003725</v>
      </c>
      <c r="AP30" s="55">
        <f>'27'!G35</f>
        <v>0</v>
      </c>
      <c r="AQ30" s="19">
        <f>'27'!G37</f>
        <v>1542.640000000014</v>
      </c>
      <c r="AR30" s="19">
        <f>'27'!G38</f>
        <v>2060.9199999999837</v>
      </c>
      <c r="AS30" s="19">
        <f>'27'!G39</f>
        <v>2936.4799999999814</v>
      </c>
      <c r="AT30" s="19">
        <f>'27'!G40</f>
        <v>349.61000000000058</v>
      </c>
      <c r="AU30" s="19">
        <f>'27'!G41</f>
        <v>0</v>
      </c>
      <c r="AV30" s="19">
        <f>'27'!G42</f>
        <v>3519.4400000000605</v>
      </c>
      <c r="AW30" s="19">
        <f>'27'!G43</f>
        <v>0</v>
      </c>
      <c r="AX30" s="23">
        <f>'27'!G44</f>
        <v>0</v>
      </c>
      <c r="AY30" s="56">
        <f>'27'!G36</f>
        <v>658.64000000001397</v>
      </c>
      <c r="AZ30" s="55">
        <f>'27'!G49</f>
        <v>3533.5599999999977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348.8799999999901</v>
      </c>
      <c r="BE30" s="19">
        <f>'27'!G55</f>
        <v>3815.289999999979</v>
      </c>
      <c r="BF30" s="19">
        <f>'27'!G56</f>
        <v>0</v>
      </c>
      <c r="BG30" s="19">
        <f>'27'!G57</f>
        <v>3128.2699999999895</v>
      </c>
      <c r="BH30" s="56">
        <f>'27'!G50</f>
        <v>977.12000000002445</v>
      </c>
      <c r="BI30" s="60">
        <f t="shared" si="12"/>
        <v>7334.7300000000396</v>
      </c>
      <c r="BJ30" s="60">
        <f>'27'!G133</f>
        <v>602.26000000000931</v>
      </c>
      <c r="BK30" s="23">
        <f t="shared" si="13"/>
        <v>51.839111111111208</v>
      </c>
      <c r="BL30" s="23">
        <f t="shared" si="14"/>
        <v>10.875851851851783</v>
      </c>
      <c r="BM30" s="24">
        <f t="shared" si="15"/>
        <v>7.6330370370369771E-2</v>
      </c>
      <c r="BN30" s="25">
        <f t="shared" si="16"/>
        <v>321664</v>
      </c>
      <c r="BO30" s="38">
        <f t="shared" si="17"/>
        <v>11065.260000000038</v>
      </c>
      <c r="BP30">
        <f t="shared" si="18"/>
        <v>1.0243334814486207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27500</v>
      </c>
      <c r="H31" s="19">
        <f>'28'!G8</f>
        <v>27000</v>
      </c>
      <c r="I31" s="19">
        <v>9</v>
      </c>
      <c r="J31" s="49">
        <f t="shared" si="3"/>
        <v>243000</v>
      </c>
      <c r="K31" s="45">
        <f t="shared" si="4"/>
        <v>133.66336633663366</v>
      </c>
      <c r="L31" s="19">
        <f>'28'!G15</f>
        <v>1000</v>
      </c>
      <c r="M31" s="19">
        <v>56.2</v>
      </c>
      <c r="N31" s="41">
        <f t="shared" si="5"/>
        <v>56200</v>
      </c>
      <c r="O31" s="19">
        <f>'28'!G20</f>
        <v>188</v>
      </c>
      <c r="P31" s="19">
        <v>108</v>
      </c>
      <c r="Q31" s="46">
        <f t="shared" si="0"/>
        <v>20304</v>
      </c>
      <c r="R31" s="47">
        <f t="shared" si="1"/>
        <v>116.33663366336631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91</v>
      </c>
      <c r="W31" s="22">
        <f>'28'!G66</f>
        <v>16</v>
      </c>
      <c r="X31" s="22">
        <f>'28'!G67</f>
        <v>0</v>
      </c>
      <c r="Y31" s="22">
        <f t="shared" si="7"/>
        <v>107</v>
      </c>
      <c r="Z31" s="19">
        <f>'28'!G84</f>
        <v>0</v>
      </c>
      <c r="AA31" s="19">
        <f>'28'!G85</f>
        <v>24.25</v>
      </c>
      <c r="AB31" s="19">
        <f>'28'!G86</f>
        <v>19.559999999997672</v>
      </c>
      <c r="AC31" s="19">
        <f>'28'!G87</f>
        <v>0</v>
      </c>
      <c r="AD31" s="19">
        <f t="shared" si="8"/>
        <v>43.809999999997672</v>
      </c>
      <c r="AE31" s="23">
        <f t="shared" si="2"/>
        <v>8796.6900000000023</v>
      </c>
      <c r="AF31" s="23">
        <f t="shared" si="9"/>
        <v>200.79182834970257</v>
      </c>
      <c r="AG31" s="19">
        <f>'28'!G88</f>
        <v>0.26000000000203727</v>
      </c>
      <c r="AH31" s="19">
        <f>'28'!G89</f>
        <v>9.25</v>
      </c>
      <c r="AI31" s="19">
        <f>'28'!G90</f>
        <v>10.630000000004657</v>
      </c>
      <c r="AJ31" s="19">
        <f t="shared" si="10"/>
        <v>20.140000000006694</v>
      </c>
      <c r="AK31" s="19">
        <f>'28'!G91</f>
        <v>10.039999999999964</v>
      </c>
      <c r="AL31" s="19">
        <f>'28'!G92</f>
        <v>0.28999999999996362</v>
      </c>
      <c r="AM31" s="19"/>
      <c r="AN31" s="19">
        <f t="shared" si="11"/>
        <v>10.329999999999927</v>
      </c>
      <c r="AO31" s="52">
        <f>'28'!G74</f>
        <v>283.76999999990221</v>
      </c>
      <c r="AP31" s="55">
        <f>'28'!G35</f>
        <v>0</v>
      </c>
      <c r="AQ31" s="19">
        <f>'28'!G37</f>
        <v>1587.2199999999721</v>
      </c>
      <c r="AR31" s="19">
        <f>'28'!G38</f>
        <v>2172.4400000000023</v>
      </c>
      <c r="AS31" s="19">
        <f>'28'!G39</f>
        <v>2949.1199999999953</v>
      </c>
      <c r="AT31" s="19">
        <f>'28'!G40</f>
        <v>394.86999999999534</v>
      </c>
      <c r="AU31" s="19">
        <f>'28'!G41</f>
        <v>0</v>
      </c>
      <c r="AV31" s="19">
        <f>'28'!G42</f>
        <v>5879.5200000000186</v>
      </c>
      <c r="AW31" s="86">
        <f>'28'!G43</f>
        <v>-3.0000000027939677E-2</v>
      </c>
      <c r="AX31" s="23">
        <f>'28'!G44</f>
        <v>0</v>
      </c>
      <c r="AY31" s="56">
        <f>'28'!G36</f>
        <v>890.66000000000349</v>
      </c>
      <c r="AZ31" s="55">
        <f>'28'!G49</f>
        <v>3748.1599999999744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354.19999999999709</v>
      </c>
      <c r="BE31" s="19">
        <f>'28'!G55</f>
        <v>2917.1699999999837</v>
      </c>
      <c r="BF31" s="19">
        <f>'28'!G56</f>
        <v>0</v>
      </c>
      <c r="BG31" s="19">
        <f>'28'!G57</f>
        <v>3156.9400000000023</v>
      </c>
      <c r="BH31" s="56">
        <f>'28'!G50</f>
        <v>1071.8799999999756</v>
      </c>
      <c r="BI31" s="60">
        <f t="shared" si="12"/>
        <v>8796.6900000000023</v>
      </c>
      <c r="BJ31" s="60">
        <f>'28'!G133</f>
        <v>612.45999999999185</v>
      </c>
      <c r="BK31" s="23">
        <f>SUM(AP31,AU31,AV31,AW31,AZ31,BE31,BF31,BG31)/H31%</f>
        <v>58.154666666666486</v>
      </c>
      <c r="BL31" s="23">
        <f t="shared" si="14"/>
        <v>10.922666666666649</v>
      </c>
      <c r="BM31" s="24">
        <f t="shared" si="15"/>
        <v>8.0460740740740833E-2</v>
      </c>
      <c r="BN31" s="25">
        <f t="shared" si="16"/>
        <v>319504</v>
      </c>
      <c r="BO31" s="38">
        <f t="shared" si="17"/>
        <v>12566.059999999969</v>
      </c>
      <c r="BP31">
        <f t="shared" si="18"/>
        <v>1.0243959304790684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27500</v>
      </c>
      <c r="H32" s="19">
        <f>'29'!G8</f>
        <v>27000</v>
      </c>
      <c r="I32" s="19">
        <v>9</v>
      </c>
      <c r="J32" s="49">
        <f t="shared" si="3"/>
        <v>243000</v>
      </c>
      <c r="K32" s="45">
        <f t="shared" si="4"/>
        <v>133.66336633663366</v>
      </c>
      <c r="L32" s="19">
        <f>'29'!G15</f>
        <v>1000.0000000002328</v>
      </c>
      <c r="M32" s="19">
        <v>56.2</v>
      </c>
      <c r="N32" s="41">
        <f t="shared" si="5"/>
        <v>56200.000000013089</v>
      </c>
      <c r="O32" s="19">
        <f>'29'!G20</f>
        <v>206</v>
      </c>
      <c r="P32" s="19">
        <v>108</v>
      </c>
      <c r="Q32" s="46">
        <f t="shared" si="0"/>
        <v>22248</v>
      </c>
      <c r="R32" s="47">
        <f t="shared" si="1"/>
        <v>101.98019801980197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104</v>
      </c>
      <c r="W32" s="22">
        <f>'29'!G66</f>
        <v>25</v>
      </c>
      <c r="X32" s="22">
        <f>'29'!G67</f>
        <v>0</v>
      </c>
      <c r="Y32" s="22">
        <f t="shared" si="7"/>
        <v>129</v>
      </c>
      <c r="Z32" s="19">
        <f>'29'!G84</f>
        <v>0</v>
      </c>
      <c r="AA32" s="19">
        <f>'29'!G85</f>
        <v>15.600000000000364</v>
      </c>
      <c r="AB32" s="19">
        <f>'29'!G86</f>
        <v>24.029999999998836</v>
      </c>
      <c r="AC32" s="19">
        <f>'29'!G87</f>
        <v>0</v>
      </c>
      <c r="AD32" s="19">
        <f t="shared" si="8"/>
        <v>39.6299999999992</v>
      </c>
      <c r="AE32" s="23">
        <f t="shared" si="2"/>
        <v>7508.3399999999674</v>
      </c>
      <c r="AF32" s="23">
        <f t="shared" si="9"/>
        <v>189.46101438304615</v>
      </c>
      <c r="AG32" s="19">
        <f>'29'!G88</f>
        <v>-0.2000000000007276</v>
      </c>
      <c r="AH32" s="19">
        <f>'29'!G89</f>
        <v>8.9000000000014552</v>
      </c>
      <c r="AI32" s="19">
        <f>'29'!G90</f>
        <v>10.309999999997672</v>
      </c>
      <c r="AJ32" s="19">
        <f t="shared" si="10"/>
        <v>19.009999999998399</v>
      </c>
      <c r="AK32" s="19">
        <f>'29'!G91</f>
        <v>6.3999999999996362</v>
      </c>
      <c r="AL32" s="19">
        <f>'29'!G92</f>
        <v>3.6700000000000728</v>
      </c>
      <c r="AM32" s="19"/>
      <c r="AN32" s="19">
        <f t="shared" si="11"/>
        <v>10.069999999999709</v>
      </c>
      <c r="AO32" s="52">
        <f>'29'!G74</f>
        <v>279.70000000006985</v>
      </c>
      <c r="AP32" s="55">
        <f>'29'!G35</f>
        <v>0</v>
      </c>
      <c r="AQ32" s="19">
        <f>'29'!G37</f>
        <v>1665.3400000000256</v>
      </c>
      <c r="AR32" s="19">
        <f>'29'!G38</f>
        <v>2228.2800000000279</v>
      </c>
      <c r="AS32" s="19">
        <f>'29'!G39</f>
        <v>2907.1600000000326</v>
      </c>
      <c r="AT32" s="19">
        <f>'29'!G40</f>
        <v>463.41999999999825</v>
      </c>
      <c r="AU32" s="19">
        <f>'29'!G41</f>
        <v>0</v>
      </c>
      <c r="AV32" s="19">
        <f>'29'!G42</f>
        <v>3624.7199999999721</v>
      </c>
      <c r="AW32" s="19">
        <f>'29'!G43</f>
        <v>0</v>
      </c>
      <c r="AX32" s="23">
        <f>'29'!G44</f>
        <v>0</v>
      </c>
      <c r="AY32" s="56">
        <f>'29'!G36</f>
        <v>1175.039999999979</v>
      </c>
      <c r="AZ32" s="55">
        <f>'29'!G49</f>
        <v>3493.960000000021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352.44000000000233</v>
      </c>
      <c r="BE32" s="19">
        <f>'29'!G55</f>
        <v>3883.6199999999953</v>
      </c>
      <c r="BF32" s="19">
        <f>'29'!G56</f>
        <v>0</v>
      </c>
      <c r="BG32" s="19">
        <f>'29'!G57</f>
        <v>3066.0500000000029</v>
      </c>
      <c r="BH32" s="56">
        <f>'29'!G50</f>
        <v>1447</v>
      </c>
      <c r="BI32" s="60">
        <f t="shared" si="12"/>
        <v>7508.3399999999674</v>
      </c>
      <c r="BJ32" s="60">
        <f>'29'!G133</f>
        <v>609.29000000000815</v>
      </c>
      <c r="BK32" s="23">
        <f t="shared" si="13"/>
        <v>52.104999999999968</v>
      </c>
      <c r="BL32" s="23">
        <f t="shared" si="14"/>
        <v>10.767259259259379</v>
      </c>
      <c r="BM32" s="24">
        <f t="shared" si="15"/>
        <v>8.2528888888889929E-2</v>
      </c>
      <c r="BN32" s="25">
        <f t="shared" si="16"/>
        <v>321448.0000000131</v>
      </c>
      <c r="BO32" s="38">
        <f t="shared" si="17"/>
        <v>11183.679999999978</v>
      </c>
      <c r="BP32">
        <f t="shared" si="18"/>
        <v>1.0078656140730511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27500</v>
      </c>
      <c r="H33" s="19">
        <f>'30'!G8</f>
        <v>27000</v>
      </c>
      <c r="I33" s="19">
        <v>9</v>
      </c>
      <c r="J33" s="49">
        <f t="shared" si="3"/>
        <v>243000</v>
      </c>
      <c r="K33" s="45">
        <f t="shared" si="4"/>
        <v>133.66336633663366</v>
      </c>
      <c r="L33" s="19">
        <f>'30'!G15</f>
        <v>1000</v>
      </c>
      <c r="M33" s="19">
        <v>56.2</v>
      </c>
      <c r="N33" s="41">
        <f t="shared" si="5"/>
        <v>56200</v>
      </c>
      <c r="O33" s="19">
        <f>'30'!G20</f>
        <v>228</v>
      </c>
      <c r="P33" s="19">
        <v>108</v>
      </c>
      <c r="Q33" s="46">
        <f t="shared" si="0"/>
        <v>24624</v>
      </c>
      <c r="R33" s="47">
        <f t="shared" si="1"/>
        <v>154.61820154618201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99</v>
      </c>
      <c r="W33" s="22">
        <f>'30'!G66</f>
        <v>13</v>
      </c>
      <c r="X33" s="22">
        <f>'30'!G67</f>
        <v>0</v>
      </c>
      <c r="Y33" s="22">
        <f t="shared" si="7"/>
        <v>112</v>
      </c>
      <c r="Z33" s="19">
        <f>'30'!G84</f>
        <v>0</v>
      </c>
      <c r="AA33" s="19">
        <f>'30'!G85</f>
        <v>15.880000000000109</v>
      </c>
      <c r="AB33" s="19">
        <f>'30'!G86</f>
        <v>23.710000000006403</v>
      </c>
      <c r="AC33" s="19">
        <f>'30'!G87</f>
        <v>0</v>
      </c>
      <c r="AD33" s="19">
        <f t="shared" si="8"/>
        <v>39.590000000006512</v>
      </c>
      <c r="AE33" s="23">
        <f t="shared" si="2"/>
        <v>6656.9300000000512</v>
      </c>
      <c r="AF33" s="23">
        <f t="shared" si="9"/>
        <v>168.14675423084</v>
      </c>
      <c r="AG33" s="19">
        <f>'30'!G88</f>
        <v>0</v>
      </c>
      <c r="AH33" s="19">
        <f>'30'!G89</f>
        <v>8.7199999999975262</v>
      </c>
      <c r="AI33" s="19">
        <f>'30'!G90</f>
        <v>9.7799999999988358</v>
      </c>
      <c r="AJ33" s="19">
        <f t="shared" si="10"/>
        <v>18.499999999996362</v>
      </c>
      <c r="AK33" s="19">
        <f>'30'!G91</f>
        <v>0</v>
      </c>
      <c r="AL33" s="19">
        <f>'30'!G92</f>
        <v>9.8800000000001091</v>
      </c>
      <c r="AM33" s="19"/>
      <c r="AN33" s="19">
        <f t="shared" si="11"/>
        <v>9.8800000000001091</v>
      </c>
      <c r="AO33" s="52">
        <f>'30'!G74</f>
        <v>286.04999999993015</v>
      </c>
      <c r="AP33" s="55">
        <f>'30'!G35</f>
        <v>0</v>
      </c>
      <c r="AQ33" s="19">
        <f>'30'!G37</f>
        <v>1747.179999999993</v>
      </c>
      <c r="AR33" s="19">
        <f>'30'!G38</f>
        <v>2123.2799999999697</v>
      </c>
      <c r="AS33" s="19">
        <f>'30'!G39</f>
        <v>2940.640000000014</v>
      </c>
      <c r="AT33" s="19">
        <f>'30'!G40</f>
        <v>554.69000000000233</v>
      </c>
      <c r="AU33" s="19">
        <f>'30'!G41</f>
        <v>-1.0000000009313226E-2</v>
      </c>
      <c r="AV33" s="19">
        <f>'30'!G42</f>
        <v>3296.8000000000466</v>
      </c>
      <c r="AW33" s="19">
        <f>'30'!G43</f>
        <v>0</v>
      </c>
      <c r="AX33" s="23">
        <f>'30'!G44</f>
        <v>0</v>
      </c>
      <c r="AY33" s="56">
        <f>'30'!G36</f>
        <v>743.40000000002328</v>
      </c>
      <c r="AZ33" s="55">
        <f>'30'!G49</f>
        <v>3343.4400000000023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350.77000000000407</v>
      </c>
      <c r="BE33" s="19">
        <f>'30'!G55</f>
        <v>3360.140000000014</v>
      </c>
      <c r="BF33" s="19">
        <f>'30'!G56</f>
        <v>0</v>
      </c>
      <c r="BG33" s="19">
        <f>'30'!G57</f>
        <v>2955.3100000000122</v>
      </c>
      <c r="BH33" s="56">
        <f>'30'!G50</f>
        <v>1039.2900000000081</v>
      </c>
      <c r="BI33" s="60">
        <f t="shared" ref="BI33" si="19">SUM(AU33,AV33,BE33,BF33)</f>
        <v>6656.9300000000512</v>
      </c>
      <c r="BJ33" s="60">
        <f>'30'!G133</f>
        <v>0</v>
      </c>
      <c r="BK33" s="23">
        <f t="shared" si="13"/>
        <v>47.984000000000243</v>
      </c>
      <c r="BL33" s="23">
        <f t="shared" si="14"/>
        <v>10.891259259259311</v>
      </c>
      <c r="BM33" s="24">
        <f t="shared" si="15"/>
        <v>7.8639999999998877E-2</v>
      </c>
      <c r="BN33" s="25">
        <f t="shared" si="16"/>
        <v>323824</v>
      </c>
      <c r="BO33" s="38">
        <f t="shared" si="17"/>
        <v>9612.2400000000634</v>
      </c>
      <c r="BP33">
        <f t="shared" si="18"/>
        <v>0.86712373254415642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27500</v>
      </c>
      <c r="H34" s="19">
        <f>'31'!G8</f>
        <v>27000</v>
      </c>
      <c r="I34" s="19">
        <v>9</v>
      </c>
      <c r="J34" s="49">
        <f t="shared" si="3"/>
        <v>243000</v>
      </c>
      <c r="K34" s="45">
        <f t="shared" ref="K34" si="20">H34/202</f>
        <v>133.66336633663366</v>
      </c>
      <c r="L34" s="19">
        <f>'31'!G15</f>
        <v>1000</v>
      </c>
      <c r="M34" s="19">
        <v>56.2</v>
      </c>
      <c r="N34" s="41">
        <f t="shared" ref="N34" si="21">L34*M34</f>
        <v>56200</v>
      </c>
      <c r="O34" s="19">
        <f>'31'!G20</f>
        <v>350</v>
      </c>
      <c r="P34" s="19">
        <v>108</v>
      </c>
      <c r="Q34" s="46">
        <f t="shared" ref="Q34" si="22">O34*P34</f>
        <v>37800</v>
      </c>
      <c r="R34" s="47">
        <f t="shared" si="1"/>
        <v>5.5892686042797832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105</v>
      </c>
      <c r="W34" s="22">
        <f>'31'!G66</f>
        <v>22</v>
      </c>
      <c r="X34" s="22">
        <f>'31'!G67</f>
        <v>69</v>
      </c>
      <c r="Y34" s="22">
        <f t="shared" ref="Y34" si="24">V34+W34+X34</f>
        <v>196</v>
      </c>
      <c r="Z34" s="19">
        <f>'31'!G84</f>
        <v>0</v>
      </c>
      <c r="AA34" s="19">
        <f>'31'!G85</f>
        <v>24</v>
      </c>
      <c r="AB34" s="19">
        <f>'31'!G86</f>
        <v>18</v>
      </c>
      <c r="AC34" s="19">
        <f>'31'!G87</f>
        <v>0</v>
      </c>
      <c r="AD34" s="19">
        <f t="shared" ref="AD34" si="25">Z34+AA34+AB34+AC34</f>
        <v>42</v>
      </c>
      <c r="AE34" s="23">
        <f t="shared" ref="AE34" si="26">AU34+AV34+BE34+BF34</f>
        <v>8088</v>
      </c>
      <c r="AF34" s="23">
        <f t="shared" ref="AF34" si="27">AE34/AD34</f>
        <v>192.57142857142858</v>
      </c>
      <c r="AG34" s="19">
        <f>'31'!G88</f>
        <v>9.5200000000004366</v>
      </c>
      <c r="AH34" s="19">
        <f>'31'!G89</f>
        <v>11.389999999999418</v>
      </c>
      <c r="AI34" s="19">
        <f>'31'!G90</f>
        <v>0</v>
      </c>
      <c r="AJ34" s="19">
        <f t="shared" ref="AJ34" si="28">AG34+AH34+AI34</f>
        <v>20.909999999999854</v>
      </c>
      <c r="AK34" s="19">
        <f>'31'!G91</f>
        <v>0</v>
      </c>
      <c r="AL34" s="19">
        <f>'31'!G92</f>
        <v>11.149999999999636</v>
      </c>
      <c r="AM34" s="19"/>
      <c r="AN34" s="19">
        <f t="shared" ref="AN34" si="29">AK34+AL34</f>
        <v>11.149999999999636</v>
      </c>
      <c r="AO34" s="52">
        <f>'31'!G74</f>
        <v>324</v>
      </c>
      <c r="AP34" s="55">
        <f>'31'!G35</f>
        <v>0</v>
      </c>
      <c r="AQ34" s="19">
        <f>'31'!G37</f>
        <v>1790</v>
      </c>
      <c r="AR34" s="19">
        <f>'31'!G38</f>
        <v>2284</v>
      </c>
      <c r="AS34" s="19">
        <f>'31'!G39</f>
        <v>3217</v>
      </c>
      <c r="AT34" s="19">
        <f>'31'!G40</f>
        <v>280</v>
      </c>
      <c r="AU34" s="19">
        <f>'31'!G41</f>
        <v>0</v>
      </c>
      <c r="AV34" s="19">
        <f>'31'!G42</f>
        <v>5157</v>
      </c>
      <c r="AW34" s="19">
        <f>'31'!G43</f>
        <v>0</v>
      </c>
      <c r="AX34" s="23">
        <f>'31'!G44</f>
        <v>0</v>
      </c>
      <c r="AY34" s="56">
        <f>'31'!G36</f>
        <v>797</v>
      </c>
      <c r="AZ34" s="55">
        <f>'31'!G49</f>
        <v>3730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484.40000000000146</v>
      </c>
      <c r="BE34" s="19">
        <f>'31'!G55</f>
        <v>2931</v>
      </c>
      <c r="BF34" s="19">
        <f>'31'!G56</f>
        <v>0</v>
      </c>
      <c r="BG34" s="19">
        <f>'31'!G57</f>
        <v>2524</v>
      </c>
      <c r="BH34" s="56">
        <f>'31'!G50</f>
        <v>933</v>
      </c>
      <c r="BI34" s="60">
        <f t="shared" ref="BI34" si="30">SUM(AU34,AV34,BE34,BF34)</f>
        <v>8088</v>
      </c>
      <c r="BJ34" s="60">
        <f>'31'!G133</f>
        <v>849</v>
      </c>
      <c r="BK34" s="23">
        <f t="shared" ref="BK34" si="31">SUM(AP34,AU34,AV34,AW34,AZ34,BE34,BF34,BG34)/H34%</f>
        <v>53.11851851851852</v>
      </c>
      <c r="BL34" s="23">
        <f t="shared" ref="BL34" si="32">SUM(AS34,BC34)/H34%</f>
        <v>11.914814814814815</v>
      </c>
      <c r="BM34" s="24">
        <f t="shared" ref="BM34" si="33">(AR34+BB34)/H34</f>
        <v>8.4592592592592594E-2</v>
      </c>
      <c r="BN34" s="25">
        <f t="shared" ref="BN34" si="34">J34+N34+Q34+U34</f>
        <v>337000</v>
      </c>
      <c r="BO34" s="38">
        <f t="shared" ref="BO34" si="35">SUM(AU34,AV34,AW34,BE34,BF34,BG34,BJ34)</f>
        <v>11461</v>
      </c>
      <c r="BP34">
        <f t="shared" ref="BP34" si="36">BO34/(AD34*280)</f>
        <v>0.97457482993197275</v>
      </c>
    </row>
    <row r="35" spans="1:68">
      <c r="A35" s="16" t="s">
        <v>196</v>
      </c>
      <c r="B35" s="30"/>
      <c r="C35" s="31"/>
      <c r="D35" s="32">
        <f>AVERAGE(D4:D34)</f>
        <v>28.677419354838708</v>
      </c>
      <c r="E35" s="33"/>
      <c r="F35" s="73">
        <f>AVERAGE(F4:F34)</f>
        <v>1.7809677419354839</v>
      </c>
      <c r="G35" s="34">
        <f>SUM(G4:G34)</f>
        <v>843567.97</v>
      </c>
      <c r="H35" s="34">
        <f t="shared" ref="H35:BN35" si="37">SUM(H4:H34)</f>
        <v>840465.64999999991</v>
      </c>
      <c r="I35" s="19">
        <v>9</v>
      </c>
      <c r="J35" s="34">
        <f t="shared" si="37"/>
        <v>7564190.8499999996</v>
      </c>
      <c r="K35" s="34">
        <f t="shared" si="37"/>
        <v>4160.7210396039609</v>
      </c>
      <c r="L35" s="34">
        <f t="shared" si="37"/>
        <v>31382.830000000307</v>
      </c>
      <c r="M35" s="34">
        <f t="shared" si="37"/>
        <v>1742.200000000001</v>
      </c>
      <c r="N35" s="34">
        <f t="shared" si="37"/>
        <v>1763715.0460000173</v>
      </c>
      <c r="O35" s="34">
        <f t="shared" si="37"/>
        <v>6575</v>
      </c>
      <c r="P35" s="34">
        <f t="shared" si="37"/>
        <v>3348</v>
      </c>
      <c r="Q35" s="34">
        <f t="shared" si="37"/>
        <v>710100</v>
      </c>
      <c r="R35" s="34">
        <f t="shared" si="37"/>
        <v>3913.0944762102999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451571</v>
      </c>
      <c r="W35" s="34">
        <f t="shared" si="37"/>
        <v>22</v>
      </c>
      <c r="X35" s="34">
        <f t="shared" si="37"/>
        <v>69</v>
      </c>
      <c r="Y35" s="34">
        <f t="shared" si="37"/>
        <v>451662</v>
      </c>
      <c r="Z35" s="34">
        <f t="shared" si="37"/>
        <v>0</v>
      </c>
      <c r="AA35" s="34">
        <f t="shared" si="37"/>
        <v>24</v>
      </c>
      <c r="AB35" s="34">
        <f t="shared" si="37"/>
        <v>18</v>
      </c>
      <c r="AC35" s="34">
        <f t="shared" si="37"/>
        <v>0</v>
      </c>
      <c r="AD35" s="34">
        <f t="shared" si="37"/>
        <v>42</v>
      </c>
      <c r="AE35" s="34">
        <f t="shared" si="37"/>
        <v>3905.4800000000687</v>
      </c>
      <c r="AF35" s="34">
        <f t="shared" si="37"/>
        <v>6140.7896964270876</v>
      </c>
      <c r="AG35" s="34">
        <f t="shared" si="37"/>
        <v>9.5200000000004366</v>
      </c>
      <c r="AH35" s="34">
        <f t="shared" si="37"/>
        <v>11.389999999999418</v>
      </c>
      <c r="AI35" s="34">
        <f t="shared" si="37"/>
        <v>25.270000000004075</v>
      </c>
      <c r="AJ35" s="34">
        <f t="shared" si="37"/>
        <v>46.180000000003929</v>
      </c>
      <c r="AK35" s="34">
        <f t="shared" si="37"/>
        <v>0</v>
      </c>
      <c r="AL35" s="34">
        <f t="shared" si="37"/>
        <v>11.149999999999636</v>
      </c>
      <c r="AM35" s="34">
        <f t="shared" si="37"/>
        <v>0</v>
      </c>
      <c r="AN35" s="34">
        <f t="shared" si="37"/>
        <v>11.149999999999636</v>
      </c>
      <c r="AO35" s="34">
        <f t="shared" si="37"/>
        <v>9023.9300000000512</v>
      </c>
      <c r="AP35" s="34">
        <f t="shared" si="37"/>
        <v>0</v>
      </c>
      <c r="AQ35" s="34">
        <f t="shared" si="37"/>
        <v>1790</v>
      </c>
      <c r="AR35" s="34">
        <f t="shared" si="37"/>
        <v>2284</v>
      </c>
      <c r="AS35" s="34">
        <f t="shared" si="37"/>
        <v>3217</v>
      </c>
      <c r="AT35" s="34">
        <f t="shared" si="37"/>
        <v>280</v>
      </c>
      <c r="AU35" s="34">
        <f t="shared" si="37"/>
        <v>0</v>
      </c>
      <c r="AV35" s="34">
        <f t="shared" si="37"/>
        <v>974.48000000009779</v>
      </c>
      <c r="AW35" s="34">
        <f t="shared" si="37"/>
        <v>0</v>
      </c>
      <c r="AX35" s="34">
        <f t="shared" si="37"/>
        <v>0</v>
      </c>
      <c r="AY35" s="34">
        <f t="shared" si="37"/>
        <v>797</v>
      </c>
      <c r="AZ35" s="34">
        <f t="shared" si="37"/>
        <v>730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492.68999999999505</v>
      </c>
      <c r="BE35" s="34">
        <f t="shared" si="37"/>
        <v>2931</v>
      </c>
      <c r="BF35" s="34">
        <f t="shared" si="37"/>
        <v>0</v>
      </c>
      <c r="BG35" s="34">
        <f t="shared" si="37"/>
        <v>2524</v>
      </c>
      <c r="BH35" s="34">
        <f t="shared" si="37"/>
        <v>933</v>
      </c>
      <c r="BI35" s="34">
        <f t="shared" si="37"/>
        <v>3905.4800000000687</v>
      </c>
      <c r="BJ35" s="34">
        <f t="shared" si="37"/>
        <v>6764.429999999993</v>
      </c>
      <c r="BK35" s="34">
        <f t="shared" si="37"/>
        <v>19.434107356420384</v>
      </c>
      <c r="BL35" s="34">
        <f t="shared" si="37"/>
        <v>10.72544029299522</v>
      </c>
      <c r="BM35" s="34">
        <f t="shared" si="37"/>
        <v>7.5445865141682375E-2</v>
      </c>
      <c r="BN35" s="34">
        <f t="shared" si="37"/>
        <v>10038005.896000018</v>
      </c>
      <c r="BO35" s="38">
        <f t="shared" si="17"/>
        <v>13193.910000000091</v>
      </c>
      <c r="BP35">
        <f t="shared" si="18"/>
        <v>1.1219311224489874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0</v>
      </c>
      <c r="F36" s="35">
        <f t="shared" si="38"/>
        <v>3.0000000000000027E-2</v>
      </c>
      <c r="G36" s="35"/>
      <c r="H36" s="35">
        <f t="shared" ref="H36:AN36" si="39">H18-H17</f>
        <v>-1.1641532182693481E-10</v>
      </c>
      <c r="I36" s="35">
        <f t="shared" si="39"/>
        <v>0</v>
      </c>
      <c r="J36" s="42">
        <f t="shared" si="39"/>
        <v>-1.0477378964424133E-9</v>
      </c>
      <c r="K36" s="42">
        <f t="shared" si="39"/>
        <v>-5.6843418860808015E-13</v>
      </c>
      <c r="L36" s="35">
        <f t="shared" si="39"/>
        <v>0</v>
      </c>
      <c r="M36" s="35">
        <f t="shared" si="39"/>
        <v>0</v>
      </c>
      <c r="N36" s="42">
        <f t="shared" si="39"/>
        <v>0</v>
      </c>
      <c r="O36" s="35">
        <f t="shared" si="39"/>
        <v>638</v>
      </c>
      <c r="P36" s="35">
        <f t="shared" si="39"/>
        <v>0</v>
      </c>
      <c r="Q36" s="42">
        <f t="shared" si="39"/>
        <v>68904</v>
      </c>
      <c r="R36" s="42">
        <f t="shared" si="39"/>
        <v>543.25169359041172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3074</v>
      </c>
      <c r="W36" s="35">
        <f t="shared" si="39"/>
        <v>583</v>
      </c>
      <c r="X36" s="35">
        <f t="shared" si="39"/>
        <v>-1</v>
      </c>
      <c r="Y36" s="35">
        <f t="shared" si="39"/>
        <v>3656</v>
      </c>
      <c r="Z36" s="35">
        <f t="shared" si="39"/>
        <v>280.41000000000349</v>
      </c>
      <c r="AA36" s="35">
        <f t="shared" si="39"/>
        <v>450.55000000000018</v>
      </c>
      <c r="AB36" s="35">
        <f t="shared" si="39"/>
        <v>390.44000000000233</v>
      </c>
      <c r="AC36" s="35">
        <f t="shared" si="39"/>
        <v>100.01000000000204</v>
      </c>
      <c r="AD36" s="35">
        <f t="shared" si="39"/>
        <v>1221.410000000008</v>
      </c>
      <c r="AE36" s="35">
        <f t="shared" si="39"/>
        <v>248113.31</v>
      </c>
      <c r="AF36" s="35">
        <f t="shared" si="39"/>
        <v>18.707868288430234</v>
      </c>
      <c r="AG36" s="35">
        <f t="shared" si="39"/>
        <v>16.930000000000291</v>
      </c>
      <c r="AH36" s="35">
        <f t="shared" si="39"/>
        <v>274.81999999999971</v>
      </c>
      <c r="AI36" s="35">
        <f t="shared" si="39"/>
        <v>261.94999999999709</v>
      </c>
      <c r="AJ36" s="35">
        <f t="shared" si="39"/>
        <v>553.69999999999709</v>
      </c>
      <c r="AK36" s="35">
        <f t="shared" si="39"/>
        <v>98.039999999999964</v>
      </c>
      <c r="AL36" s="35">
        <f t="shared" si="39"/>
        <v>219.63000000000011</v>
      </c>
      <c r="AM36" s="35">
        <f t="shared" si="39"/>
        <v>0</v>
      </c>
      <c r="AN36" s="35">
        <f t="shared" si="39"/>
        <v>317.67000000000007</v>
      </c>
      <c r="AO36" s="35"/>
      <c r="AP36" s="35">
        <f t="shared" ref="AP36:AW36" si="40">AP18-AP17</f>
        <v>0</v>
      </c>
      <c r="AQ36" s="35">
        <f t="shared" si="40"/>
        <v>48588.169999999984</v>
      </c>
      <c r="AR36" s="35">
        <f t="shared" si="40"/>
        <v>67910.109999999986</v>
      </c>
      <c r="AS36" s="35">
        <f t="shared" si="40"/>
        <v>90166.069999999949</v>
      </c>
      <c r="AT36" s="35">
        <f t="shared" si="40"/>
        <v>15375.429999999993</v>
      </c>
      <c r="AU36" s="35">
        <f t="shared" si="40"/>
        <v>68053.390000000014</v>
      </c>
      <c r="AV36" s="35">
        <f t="shared" si="40"/>
        <v>106925.98999999999</v>
      </c>
      <c r="AW36" s="35">
        <f t="shared" si="40"/>
        <v>0</v>
      </c>
      <c r="AX36" s="35"/>
      <c r="AY36" s="35"/>
      <c r="AZ36" s="35">
        <f t="shared" ref="AZ36:BG36" si="41">AZ18-AZ17</f>
        <v>107822.31</v>
      </c>
      <c r="BA36" s="35">
        <f t="shared" si="41"/>
        <v>-0.31999999999999318</v>
      </c>
      <c r="BB36" s="35">
        <f t="shared" si="41"/>
        <v>-0.24000000000000021</v>
      </c>
      <c r="BC36" s="35">
        <f t="shared" si="41"/>
        <v>0</v>
      </c>
      <c r="BD36" s="35">
        <f t="shared" si="41"/>
        <v>11051.070000000007</v>
      </c>
      <c r="BE36" s="35">
        <f t="shared" si="41"/>
        <v>60078.789999999979</v>
      </c>
      <c r="BF36" s="35">
        <f t="shared" si="41"/>
        <v>13055.14</v>
      </c>
      <c r="BG36" s="35">
        <f t="shared" si="41"/>
        <v>93803.76999999999</v>
      </c>
      <c r="BH36" s="35"/>
      <c r="BI36" s="35"/>
      <c r="BJ36" s="35"/>
      <c r="BK36" s="35">
        <f>BK18-BK17</f>
        <v>1665.7014444444449</v>
      </c>
      <c r="BL36" s="35">
        <f>BL18-BL17</f>
        <v>333.94840740740727</v>
      </c>
      <c r="BM36" s="35"/>
      <c r="BN36" s="35">
        <f>BN18-BN17</f>
        <v>68903.999999998952</v>
      </c>
      <c r="BO36" s="35">
        <f>BO18-BO17</f>
        <v>352554.32999999996</v>
      </c>
    </row>
    <row r="37" spans="1:68">
      <c r="F37" s="38">
        <f>AVERAGE(F4:F35)</f>
        <v>1.7809677419354839</v>
      </c>
      <c r="G37" s="38"/>
      <c r="H37" s="38">
        <f>AVERAGE(H4:H35)</f>
        <v>52529.103124999994</v>
      </c>
    </row>
    <row r="38" spans="1:68">
      <c r="B38" s="36" t="s">
        <v>66</v>
      </c>
      <c r="F38" s="72">
        <f>AVERAGE(F4:F35)</f>
        <v>1.7809677419354839</v>
      </c>
      <c r="G38" s="72"/>
    </row>
    <row r="41" spans="1:68">
      <c r="BI41">
        <f>(BI31+BJ31)/400</f>
        <v>23.522874999999985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I15" sqref="I1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54.950495049504951</v>
      </c>
      <c r="C2" s="381">
        <v>111</v>
      </c>
      <c r="D2" s="381">
        <v>4</v>
      </c>
      <c r="E2" s="381">
        <f>(C2+D2)/202%</f>
        <v>56.930693069306933</v>
      </c>
      <c r="F2" s="382">
        <v>328</v>
      </c>
      <c r="G2" s="382">
        <f>C2+D2</f>
        <v>115</v>
      </c>
      <c r="H2" s="383">
        <f>C2/202%</f>
        <v>54.950495049504951</v>
      </c>
      <c r="I2" s="384"/>
      <c r="J2" s="383">
        <f>'Section Load'!C5/G2</f>
        <v>220.71121739130467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64.356435643564353</v>
      </c>
      <c r="C3" s="381">
        <v>130</v>
      </c>
      <c r="D3" s="381">
        <v>5</v>
      </c>
      <c r="E3" s="381">
        <f t="shared" ref="E3:E32" si="1">(C3+D3)/202%</f>
        <v>66.831683168316829</v>
      </c>
      <c r="F3" s="382">
        <v>306</v>
      </c>
      <c r="G3" s="382">
        <f t="shared" ref="G3:G31" si="2">C3+D3</f>
        <v>135</v>
      </c>
      <c r="H3" s="383">
        <f t="shared" ref="H3:H32" si="3">C3/202%</f>
        <v>64.356435643564353</v>
      </c>
      <c r="I3" s="384"/>
      <c r="J3" s="383">
        <f>'Section Load'!C6/G3</f>
        <v>203.84651851851785</v>
      </c>
    </row>
    <row r="4" spans="1:17">
      <c r="A4" s="248">
        <v>3</v>
      </c>
      <c r="B4" s="381">
        <f t="shared" si="0"/>
        <v>53.960396039603957</v>
      </c>
      <c r="C4" s="381">
        <v>109</v>
      </c>
      <c r="D4" s="381">
        <v>2</v>
      </c>
      <c r="E4" s="381">
        <f t="shared" si="1"/>
        <v>54.950495049504951</v>
      </c>
      <c r="F4" s="382">
        <v>248</v>
      </c>
      <c r="G4" s="382">
        <f t="shared" si="2"/>
        <v>111</v>
      </c>
      <c r="H4" s="383">
        <f t="shared" si="3"/>
        <v>53.960396039603957</v>
      </c>
      <c r="I4" s="384"/>
      <c r="J4" s="383">
        <f>'Section Load'!C7/G4</f>
        <v>263.57405405405484</v>
      </c>
      <c r="Q4" s="403">
        <f>C2/202</f>
        <v>0.54950495049504955</v>
      </c>
    </row>
    <row r="5" spans="1:17">
      <c r="A5" s="248">
        <v>4</v>
      </c>
      <c r="B5" s="381">
        <f t="shared" si="0"/>
        <v>53.465346534653463</v>
      </c>
      <c r="C5" s="381">
        <v>108</v>
      </c>
      <c r="D5" s="381">
        <v>2</v>
      </c>
      <c r="E5" s="381">
        <f t="shared" si="1"/>
        <v>54.455445544554458</v>
      </c>
      <c r="F5" s="382">
        <v>296</v>
      </c>
      <c r="G5" s="382">
        <f t="shared" si="2"/>
        <v>110</v>
      </c>
      <c r="H5" s="383">
        <f t="shared" si="3"/>
        <v>53.465346534653463</v>
      </c>
      <c r="I5" s="384"/>
      <c r="J5" s="383">
        <f>'Section Load'!C8/G5</f>
        <v>250.41099999999966</v>
      </c>
    </row>
    <row r="6" spans="1:17">
      <c r="A6" s="248">
        <v>5</v>
      </c>
      <c r="B6" s="381">
        <f t="shared" si="0"/>
        <v>68.316831683168317</v>
      </c>
      <c r="C6" s="381">
        <v>138</v>
      </c>
      <c r="D6" s="381">
        <v>5</v>
      </c>
      <c r="E6" s="381">
        <f t="shared" si="1"/>
        <v>70.792079207920793</v>
      </c>
      <c r="F6" s="382">
        <v>606</v>
      </c>
      <c r="G6" s="382">
        <f t="shared" si="2"/>
        <v>143</v>
      </c>
      <c r="H6" s="383">
        <f t="shared" si="3"/>
        <v>68.316831683168317</v>
      </c>
      <c r="I6" s="384"/>
      <c r="J6" s="383">
        <f>'Section Load'!C9/G6</f>
        <v>186.67132867132867</v>
      </c>
    </row>
    <row r="7" spans="1:17">
      <c r="A7" s="248">
        <v>6</v>
      </c>
      <c r="B7" s="381">
        <f t="shared" si="0"/>
        <v>65.346534653465341</v>
      </c>
      <c r="C7" s="381">
        <v>132</v>
      </c>
      <c r="D7" s="381">
        <v>4</v>
      </c>
      <c r="E7" s="381">
        <f t="shared" si="1"/>
        <v>67.32673267326733</v>
      </c>
      <c r="F7" s="382">
        <v>331</v>
      </c>
      <c r="G7" s="382">
        <f t="shared" si="2"/>
        <v>136</v>
      </c>
      <c r="H7" s="383">
        <f t="shared" si="3"/>
        <v>65.346534653465341</v>
      </c>
      <c r="I7" s="384"/>
      <c r="J7" s="383">
        <f>'Section Load'!C10/G7</f>
        <v>185.5735294117647</v>
      </c>
    </row>
    <row r="8" spans="1:17">
      <c r="A8" s="248">
        <v>7</v>
      </c>
      <c r="B8" s="381">
        <f t="shared" si="0"/>
        <v>63.861386138613859</v>
      </c>
      <c r="C8" s="381">
        <v>129</v>
      </c>
      <c r="D8" s="381">
        <v>4</v>
      </c>
      <c r="E8" s="381">
        <f t="shared" si="1"/>
        <v>65.841584158415841</v>
      </c>
      <c r="F8" s="382">
        <v>399</v>
      </c>
      <c r="G8" s="382">
        <f t="shared" si="2"/>
        <v>133</v>
      </c>
      <c r="H8" s="383">
        <f t="shared" si="3"/>
        <v>63.861386138613859</v>
      </c>
      <c r="I8" s="384"/>
      <c r="J8" s="383">
        <f>'Section Load'!C11/G8</f>
        <v>216.88721804511277</v>
      </c>
      <c r="K8" s="535"/>
    </row>
    <row r="9" spans="1:17">
      <c r="A9" s="248">
        <v>8</v>
      </c>
      <c r="B9" s="381">
        <f t="shared" si="0"/>
        <v>61.881188118811878</v>
      </c>
      <c r="C9" s="381">
        <v>125</v>
      </c>
      <c r="D9" s="381">
        <v>7</v>
      </c>
      <c r="E9" s="381">
        <f t="shared" si="1"/>
        <v>65.346534653465341</v>
      </c>
      <c r="F9" s="382">
        <v>429</v>
      </c>
      <c r="G9" s="382">
        <f t="shared" si="2"/>
        <v>132</v>
      </c>
      <c r="H9" s="383">
        <f t="shared" si="3"/>
        <v>61.881188118811878</v>
      </c>
      <c r="I9" s="384"/>
      <c r="J9" s="383">
        <f>'Section Load'!C12/G9</f>
        <v>216.53787878787878</v>
      </c>
    </row>
    <row r="10" spans="1:17">
      <c r="A10" s="248">
        <v>9</v>
      </c>
      <c r="B10" s="381">
        <f t="shared" si="0"/>
        <v>64.851485148514854</v>
      </c>
      <c r="C10" s="381">
        <v>131</v>
      </c>
      <c r="D10" s="381">
        <v>7</v>
      </c>
      <c r="E10" s="381">
        <f t="shared" si="1"/>
        <v>68.316831683168317</v>
      </c>
      <c r="F10" s="382">
        <v>649</v>
      </c>
      <c r="G10" s="382">
        <f t="shared" si="2"/>
        <v>138</v>
      </c>
      <c r="H10" s="383">
        <f t="shared" si="3"/>
        <v>64.851485148514854</v>
      </c>
      <c r="I10" s="384"/>
      <c r="J10" s="383">
        <f>'Section Load'!C13/G10</f>
        <v>203.85181159420324</v>
      </c>
      <c r="K10" s="755" t="s">
        <v>370</v>
      </c>
      <c r="L10" s="755"/>
    </row>
    <row r="11" spans="1:17">
      <c r="A11" s="248">
        <v>10</v>
      </c>
      <c r="B11" s="381">
        <f t="shared" si="0"/>
        <v>50</v>
      </c>
      <c r="C11" s="381">
        <v>101</v>
      </c>
      <c r="D11" s="381">
        <v>4</v>
      </c>
      <c r="E11" s="381">
        <f t="shared" si="1"/>
        <v>51.980198019801982</v>
      </c>
      <c r="F11" s="382">
        <v>316</v>
      </c>
      <c r="G11" s="382">
        <f t="shared" si="2"/>
        <v>105</v>
      </c>
      <c r="H11" s="383">
        <f t="shared" si="3"/>
        <v>50</v>
      </c>
      <c r="I11" s="384"/>
      <c r="J11" s="383">
        <f>'Section Load'!C14/G11</f>
        <v>258.04799999999926</v>
      </c>
      <c r="K11" s="755"/>
      <c r="L11" s="755"/>
    </row>
    <row r="12" spans="1:17">
      <c r="A12" s="248">
        <v>11</v>
      </c>
      <c r="B12" s="381">
        <f t="shared" si="0"/>
        <v>62.871287128712872</v>
      </c>
      <c r="C12" s="381">
        <v>127</v>
      </c>
      <c r="D12" s="381">
        <v>3</v>
      </c>
      <c r="E12" s="381">
        <f t="shared" si="1"/>
        <v>64.356435643564353</v>
      </c>
      <c r="F12" s="382">
        <v>279</v>
      </c>
      <c r="G12" s="382">
        <f t="shared" si="2"/>
        <v>130</v>
      </c>
      <c r="H12" s="383">
        <f t="shared" si="3"/>
        <v>62.871287128712872</v>
      </c>
      <c r="I12" s="384"/>
      <c r="J12" s="383">
        <f>'Section Load'!C15/G12</f>
        <v>202.78153846153828</v>
      </c>
      <c r="K12" s="755"/>
      <c r="L12" s="755"/>
    </row>
    <row r="13" spans="1:17">
      <c r="A13" s="248">
        <v>12</v>
      </c>
      <c r="B13" s="381">
        <f t="shared" si="0"/>
        <v>67.32673267326733</v>
      </c>
      <c r="C13" s="381">
        <v>136</v>
      </c>
      <c r="D13" s="381">
        <v>3</v>
      </c>
      <c r="E13" s="381">
        <f t="shared" si="1"/>
        <v>68.811881188118818</v>
      </c>
      <c r="F13" s="381">
        <v>716</v>
      </c>
      <c r="G13" s="382">
        <f t="shared" si="2"/>
        <v>139</v>
      </c>
      <c r="H13" s="383">
        <f t="shared" si="3"/>
        <v>67.32673267326733</v>
      </c>
      <c r="I13" s="384"/>
      <c r="J13" s="383">
        <f>'Section Load'!C16/G13</f>
        <v>189.54992805755438</v>
      </c>
    </row>
    <row r="14" spans="1:17">
      <c r="A14" s="248">
        <v>13</v>
      </c>
      <c r="B14" s="381">
        <f t="shared" si="0"/>
        <v>67.821782178217816</v>
      </c>
      <c r="C14" s="381">
        <v>137</v>
      </c>
      <c r="D14" s="381">
        <v>2</v>
      </c>
      <c r="E14" s="381">
        <f t="shared" si="1"/>
        <v>68.811881188118818</v>
      </c>
      <c r="F14" s="381">
        <v>323</v>
      </c>
      <c r="G14" s="382">
        <f t="shared" si="2"/>
        <v>139</v>
      </c>
      <c r="H14" s="383">
        <f t="shared" si="3"/>
        <v>67.821782178217816</v>
      </c>
      <c r="I14" s="384"/>
      <c r="J14" s="383">
        <f>'Section Load'!C17/G14</f>
        <v>197.59726618705051</v>
      </c>
    </row>
    <row r="15" spans="1:17">
      <c r="A15" s="248">
        <v>14</v>
      </c>
      <c r="B15" s="381">
        <f t="shared" si="0"/>
        <v>0</v>
      </c>
      <c r="C15" s="381"/>
      <c r="D15" s="381"/>
      <c r="E15" s="381">
        <f t="shared" si="1"/>
        <v>0</v>
      </c>
      <c r="F15" s="381"/>
      <c r="G15" s="382">
        <f t="shared" si="2"/>
        <v>0</v>
      </c>
      <c r="H15" s="383">
        <f t="shared" si="3"/>
        <v>0</v>
      </c>
      <c r="I15" s="384"/>
      <c r="J15" s="383" t="e">
        <f>'Section Load'!C18/G15</f>
        <v>#DIV/0!</v>
      </c>
    </row>
    <row r="16" spans="1:17">
      <c r="A16" s="248">
        <v>15</v>
      </c>
      <c r="B16" s="381">
        <f t="shared" si="0"/>
        <v>0</v>
      </c>
      <c r="C16" s="381"/>
      <c r="D16" s="381"/>
      <c r="E16" s="381">
        <f t="shared" si="1"/>
        <v>0</v>
      </c>
      <c r="F16" s="381"/>
      <c r="G16" s="382">
        <f t="shared" si="2"/>
        <v>0</v>
      </c>
      <c r="H16" s="383">
        <f t="shared" si="3"/>
        <v>0</v>
      </c>
      <c r="I16" s="384"/>
      <c r="J16" s="383" t="e">
        <f>'Section Load'!C19/G16</f>
        <v>#DIV/0!</v>
      </c>
    </row>
    <row r="17" spans="1:10">
      <c r="A17" s="248">
        <v>16</v>
      </c>
      <c r="B17" s="381">
        <f t="shared" si="0"/>
        <v>0</v>
      </c>
      <c r="C17" s="381"/>
      <c r="D17" s="381"/>
      <c r="E17" s="381">
        <f t="shared" si="1"/>
        <v>0</v>
      </c>
      <c r="F17" s="381"/>
      <c r="G17" s="382">
        <f t="shared" si="2"/>
        <v>0</v>
      </c>
      <c r="H17" s="383">
        <f t="shared" si="3"/>
        <v>0</v>
      </c>
      <c r="I17" s="384"/>
      <c r="J17" s="383" t="e">
        <f>'Section Load'!C20/G17</f>
        <v>#DIV/0!</v>
      </c>
    </row>
    <row r="18" spans="1:10">
      <c r="A18" s="248">
        <v>17</v>
      </c>
      <c r="B18" s="381">
        <f t="shared" si="0"/>
        <v>0</v>
      </c>
      <c r="C18" s="381"/>
      <c r="D18" s="381"/>
      <c r="E18" s="381">
        <f t="shared" si="1"/>
        <v>0</v>
      </c>
      <c r="F18" s="381"/>
      <c r="G18" s="382">
        <f t="shared" si="2"/>
        <v>0</v>
      </c>
      <c r="H18" s="383">
        <f t="shared" si="3"/>
        <v>0</v>
      </c>
      <c r="I18" s="384"/>
      <c r="J18" s="383" t="e">
        <f>'Section Load'!C21/G18</f>
        <v>#DIV/0!</v>
      </c>
    </row>
    <row r="19" spans="1:10">
      <c r="A19" s="248">
        <v>18</v>
      </c>
      <c r="B19" s="381">
        <f t="shared" si="0"/>
        <v>0</v>
      </c>
      <c r="C19" s="385"/>
      <c r="D19" s="385"/>
      <c r="E19" s="381">
        <f t="shared" si="1"/>
        <v>0</v>
      </c>
      <c r="F19" s="385"/>
      <c r="G19" s="382">
        <f t="shared" si="2"/>
        <v>0</v>
      </c>
      <c r="H19" s="383">
        <f t="shared" si="3"/>
        <v>0</v>
      </c>
      <c r="I19" s="384"/>
      <c r="J19" s="383" t="e">
        <f>'Section Load'!C22/G19</f>
        <v>#DIV/0!</v>
      </c>
    </row>
    <row r="20" spans="1:10">
      <c r="A20" s="248">
        <v>19</v>
      </c>
      <c r="B20" s="381">
        <f t="shared" si="0"/>
        <v>0</v>
      </c>
      <c r="C20" s="381"/>
      <c r="D20" s="381"/>
      <c r="E20" s="381">
        <f t="shared" si="1"/>
        <v>0</v>
      </c>
      <c r="F20" s="381"/>
      <c r="G20" s="382">
        <f t="shared" si="2"/>
        <v>0</v>
      </c>
      <c r="H20" s="383">
        <f t="shared" si="3"/>
        <v>0</v>
      </c>
      <c r="I20" s="384"/>
      <c r="J20" s="383" t="e">
        <f>'Section Load'!C23/G20</f>
        <v>#DIV/0!</v>
      </c>
    </row>
    <row r="21" spans="1:10">
      <c r="A21" s="248">
        <v>20</v>
      </c>
      <c r="B21" s="381">
        <f t="shared" si="0"/>
        <v>0</v>
      </c>
      <c r="C21" s="381"/>
      <c r="D21" s="381"/>
      <c r="E21" s="381">
        <f t="shared" si="1"/>
        <v>0</v>
      </c>
      <c r="F21" s="381"/>
      <c r="G21" s="382">
        <f t="shared" si="2"/>
        <v>0</v>
      </c>
      <c r="H21" s="383">
        <f t="shared" si="3"/>
        <v>0</v>
      </c>
      <c r="I21" s="384"/>
      <c r="J21" s="383" t="e">
        <f>'Section Load'!C24/G21</f>
        <v>#DIV/0!</v>
      </c>
    </row>
    <row r="22" spans="1:10">
      <c r="A22" s="248">
        <v>21</v>
      </c>
      <c r="B22" s="381">
        <f t="shared" si="0"/>
        <v>0</v>
      </c>
      <c r="C22" s="381"/>
      <c r="D22" s="381"/>
      <c r="E22" s="381">
        <f t="shared" si="1"/>
        <v>0</v>
      </c>
      <c r="F22" s="381"/>
      <c r="G22" s="382">
        <f t="shared" si="2"/>
        <v>0</v>
      </c>
      <c r="H22" s="383">
        <f t="shared" si="3"/>
        <v>0</v>
      </c>
      <c r="I22" s="384"/>
      <c r="J22" s="383" t="e">
        <f>'Section Load'!C25/G22</f>
        <v>#DIV/0!</v>
      </c>
    </row>
    <row r="23" spans="1:10">
      <c r="A23" s="248">
        <v>22</v>
      </c>
      <c r="B23" s="381">
        <v>83</v>
      </c>
      <c r="C23" s="381"/>
      <c r="D23" s="381"/>
      <c r="E23" s="381">
        <f t="shared" si="1"/>
        <v>0</v>
      </c>
      <c r="F23" s="381"/>
      <c r="G23" s="382">
        <f t="shared" si="2"/>
        <v>0</v>
      </c>
      <c r="H23" s="383">
        <f t="shared" si="3"/>
        <v>0</v>
      </c>
      <c r="I23" s="384"/>
      <c r="J23" s="383" t="e">
        <f>'Section Load'!C26/G23</f>
        <v>#DIV/0!</v>
      </c>
    </row>
    <row r="24" spans="1:10">
      <c r="A24" s="248">
        <v>23</v>
      </c>
      <c r="B24" s="381">
        <v>98</v>
      </c>
      <c r="C24" s="381"/>
      <c r="D24" s="381"/>
      <c r="E24" s="381">
        <f t="shared" si="1"/>
        <v>0</v>
      </c>
      <c r="F24" s="381"/>
      <c r="G24" s="382">
        <f t="shared" si="2"/>
        <v>0</v>
      </c>
      <c r="H24" s="383">
        <f t="shared" si="3"/>
        <v>0</v>
      </c>
      <c r="I24" s="384"/>
      <c r="J24" s="383" t="e">
        <f>'Section Load'!C27/G24</f>
        <v>#DIV/0!</v>
      </c>
    </row>
    <row r="25" spans="1:10">
      <c r="A25" s="248">
        <v>24</v>
      </c>
      <c r="B25" s="381">
        <f t="shared" si="0"/>
        <v>0</v>
      </c>
      <c r="C25" s="381"/>
      <c r="D25" s="381"/>
      <c r="E25" s="381">
        <f t="shared" si="1"/>
        <v>0</v>
      </c>
      <c r="F25" s="381"/>
      <c r="G25" s="382">
        <f t="shared" si="2"/>
        <v>0</v>
      </c>
      <c r="H25" s="383">
        <f t="shared" si="3"/>
        <v>0</v>
      </c>
      <c r="I25" s="384"/>
      <c r="J25" s="383" t="e">
        <f>'Section Load'!C28/G25</f>
        <v>#DIV/0!</v>
      </c>
    </row>
    <row r="26" spans="1:10">
      <c r="A26" s="248">
        <v>25</v>
      </c>
      <c r="B26" s="381">
        <f t="shared" si="0"/>
        <v>0</v>
      </c>
      <c r="C26" s="381"/>
      <c r="D26" s="381"/>
      <c r="E26" s="381">
        <f t="shared" si="1"/>
        <v>0</v>
      </c>
      <c r="F26" s="381"/>
      <c r="G26" s="382">
        <f t="shared" si="2"/>
        <v>0</v>
      </c>
      <c r="H26" s="383">
        <f t="shared" si="3"/>
        <v>0</v>
      </c>
      <c r="I26" s="384"/>
      <c r="J26" s="383" t="e">
        <f>'Section Load'!C29/G26</f>
        <v>#DIV/0!</v>
      </c>
    </row>
    <row r="27" spans="1:10">
      <c r="A27" s="248">
        <v>26</v>
      </c>
      <c r="B27" s="381">
        <f t="shared" si="0"/>
        <v>0</v>
      </c>
      <c r="C27" s="381"/>
      <c r="D27" s="381"/>
      <c r="E27" s="381">
        <f t="shared" si="1"/>
        <v>0</v>
      </c>
      <c r="F27" s="381"/>
      <c r="G27" s="382">
        <f t="shared" si="2"/>
        <v>0</v>
      </c>
      <c r="H27" s="383">
        <f t="shared" si="3"/>
        <v>0</v>
      </c>
      <c r="I27" s="384"/>
      <c r="J27" s="383" t="e">
        <f>'Section Load'!C30/G27</f>
        <v>#DIV/0!</v>
      </c>
    </row>
    <row r="28" spans="1:10">
      <c r="A28" s="248">
        <v>27</v>
      </c>
      <c r="B28" s="381">
        <f t="shared" si="0"/>
        <v>0</v>
      </c>
      <c r="C28" s="381"/>
      <c r="D28" s="381"/>
      <c r="E28" s="381">
        <f t="shared" si="1"/>
        <v>0</v>
      </c>
      <c r="F28" s="381"/>
      <c r="G28" s="382">
        <f t="shared" si="2"/>
        <v>0</v>
      </c>
      <c r="H28" s="383">
        <f t="shared" si="3"/>
        <v>0</v>
      </c>
      <c r="I28" s="384"/>
      <c r="J28" s="383" t="e">
        <f>'Section Load'!C31/G28</f>
        <v>#DIV/0!</v>
      </c>
    </row>
    <row r="29" spans="1:10">
      <c r="A29" s="248">
        <v>28</v>
      </c>
      <c r="B29" s="381">
        <f t="shared" si="0"/>
        <v>0</v>
      </c>
      <c r="C29" s="381"/>
      <c r="D29" s="381"/>
      <c r="E29" s="381">
        <f t="shared" si="1"/>
        <v>0</v>
      </c>
      <c r="F29" s="381"/>
      <c r="G29" s="382">
        <f t="shared" si="2"/>
        <v>0</v>
      </c>
      <c r="H29" s="383">
        <f t="shared" si="3"/>
        <v>0</v>
      </c>
      <c r="I29" s="384"/>
      <c r="J29" s="383" t="e">
        <f>'Section Load'!C32/G29</f>
        <v>#DIV/0!</v>
      </c>
    </row>
    <row r="30" spans="1:10">
      <c r="A30" s="248">
        <v>29</v>
      </c>
      <c r="B30" s="381">
        <f>C30/202%</f>
        <v>0</v>
      </c>
      <c r="C30" s="381"/>
      <c r="D30" s="381"/>
      <c r="E30" s="381">
        <f t="shared" si="1"/>
        <v>0</v>
      </c>
      <c r="F30" s="381"/>
      <c r="G30" s="382">
        <f t="shared" si="2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>
      <c r="A31" s="248">
        <v>30</v>
      </c>
      <c r="B31" s="381">
        <f t="shared" si="0"/>
        <v>0</v>
      </c>
      <c r="C31" s="381"/>
      <c r="D31" s="381"/>
      <c r="E31" s="381">
        <f t="shared" si="1"/>
        <v>0</v>
      </c>
      <c r="F31" s="381"/>
      <c r="G31" s="386">
        <f t="shared" si="2"/>
        <v>0</v>
      </c>
      <c r="H31" s="383">
        <f t="shared" si="3"/>
        <v>0</v>
      </c>
      <c r="I31" s="384"/>
      <c r="J31" s="383" t="e">
        <f>'Section Load'!C34/G31</f>
        <v>#DIV/0!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32.666996699669966</v>
      </c>
      <c r="C33" s="275">
        <v>154</v>
      </c>
      <c r="D33" s="275">
        <f t="shared" ref="D33:H33" si="4">AVERAGE(D2:D31)</f>
        <v>4</v>
      </c>
      <c r="E33" s="275">
        <f t="shared" si="4"/>
        <v>27.491749174917494</v>
      </c>
      <c r="F33" s="275">
        <f t="shared" si="4"/>
        <v>402</v>
      </c>
      <c r="G33" s="275">
        <f t="shared" si="4"/>
        <v>55.533333333333331</v>
      </c>
      <c r="H33" s="275">
        <f t="shared" si="4"/>
        <v>26.633663366336634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M5" sqref="M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54.950495049504951</v>
      </c>
      <c r="E4" s="91">
        <f>Occupancy!B3</f>
        <v>64.356435643564353</v>
      </c>
      <c r="F4" s="91">
        <f>Occupancy!C3</f>
        <v>130</v>
      </c>
      <c r="G4" s="91">
        <f>Occupancy!D3</f>
        <v>5</v>
      </c>
      <c r="H4" s="91">
        <f>Occupancy!E3</f>
        <v>66.831683168316829</v>
      </c>
      <c r="I4" s="91">
        <f>Occupancy!F3</f>
        <v>306</v>
      </c>
      <c r="J4" s="91">
        <f>Occupancy!G3</f>
        <v>135</v>
      </c>
      <c r="K4" s="91">
        <f>Occupancy!H3</f>
        <v>64.356435643564353</v>
      </c>
      <c r="L4" s="91">
        <f>Occupancy!I3</f>
        <v>0</v>
      </c>
      <c r="M4" s="91">
        <f>Occupancy!J3</f>
        <v>203.84651851851785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140</v>
      </c>
      <c r="E5" s="91">
        <f>'2'!G18</f>
        <v>120</v>
      </c>
      <c r="F5" s="91">
        <f>'3'!G18</f>
        <v>180</v>
      </c>
      <c r="G5" s="91">
        <f>'4'!G18</f>
        <v>240</v>
      </c>
      <c r="H5" s="91">
        <f>'5'!G18</f>
        <v>150</v>
      </c>
      <c r="I5" s="91">
        <f>'6'!G18</f>
        <v>200</v>
      </c>
      <c r="J5" s="91">
        <f>'7'!G18</f>
        <v>210</v>
      </c>
      <c r="K5" s="91">
        <f>'8'!G18</f>
        <v>170</v>
      </c>
      <c r="L5" s="91">
        <f>'9'!G18</f>
        <v>220</v>
      </c>
      <c r="M5" s="91">
        <f>'10'!G18</f>
        <v>220</v>
      </c>
      <c r="N5" s="91">
        <f>'11'!G18</f>
        <v>170</v>
      </c>
      <c r="O5" s="91">
        <f>'12'!G18</f>
        <v>200</v>
      </c>
      <c r="P5" s="91">
        <f>'13'!G18</f>
        <v>120</v>
      </c>
      <c r="Q5" s="91">
        <f>'14'!G18</f>
        <v>240</v>
      </c>
      <c r="R5" s="91">
        <f>'15'!G18</f>
        <v>200</v>
      </c>
      <c r="S5" s="91">
        <f>'16'!G18</f>
        <v>180</v>
      </c>
      <c r="T5" s="91">
        <f>'17'!G18</f>
        <v>230</v>
      </c>
      <c r="U5" s="91">
        <f>'18 '!G18</f>
        <v>180</v>
      </c>
      <c r="V5" s="91">
        <f>'19'!G18</f>
        <v>160</v>
      </c>
      <c r="W5" s="91">
        <f>'20'!G18</f>
        <v>200</v>
      </c>
      <c r="X5" s="91">
        <f>'21'!G18</f>
        <v>210</v>
      </c>
      <c r="Y5" s="91">
        <f>'22'!G18</f>
        <v>190</v>
      </c>
      <c r="Z5" s="91">
        <f>'23'!G18</f>
        <v>130</v>
      </c>
      <c r="AA5" s="91">
        <f>'24'!G18</f>
        <v>180</v>
      </c>
      <c r="AB5" s="91">
        <f>'25'!G18</f>
        <v>210</v>
      </c>
      <c r="AC5" s="91">
        <f>'26'!G18</f>
        <v>160</v>
      </c>
      <c r="AD5" s="91">
        <f>'27'!G18</f>
        <v>160</v>
      </c>
      <c r="AE5" s="91">
        <f>'28'!G18</f>
        <v>140</v>
      </c>
      <c r="AF5" s="91">
        <f>'29'!G18</f>
        <v>160</v>
      </c>
      <c r="AG5" s="91">
        <f>'30'!G18</f>
        <v>180</v>
      </c>
      <c r="AH5" s="91">
        <f>'31'!G18</f>
        <v>300</v>
      </c>
      <c r="AI5" s="90"/>
    </row>
    <row r="6" spans="2:35">
      <c r="B6" s="93"/>
      <c r="C6" s="90" t="s">
        <v>69</v>
      </c>
      <c r="D6" s="91">
        <f>'1'!G19</f>
        <v>58</v>
      </c>
      <c r="E6" s="91">
        <f>'2'!G19</f>
        <v>47</v>
      </c>
      <c r="F6" s="91">
        <f>'3'!G19</f>
        <v>42</v>
      </c>
      <c r="G6" s="91">
        <f>'4'!G19</f>
        <v>50</v>
      </c>
      <c r="H6" s="91">
        <f>'5'!G19</f>
        <v>50</v>
      </c>
      <c r="I6" s="91">
        <f>'6'!G19</f>
        <v>50</v>
      </c>
      <c r="J6" s="91">
        <f>'7'!G19</f>
        <v>41</v>
      </c>
      <c r="K6" s="91">
        <f>'8'!G19</f>
        <v>47</v>
      </c>
      <c r="L6" s="91">
        <f>'9'!G19</f>
        <v>50</v>
      </c>
      <c r="M6" s="91">
        <f>'10'!G19</f>
        <v>50</v>
      </c>
      <c r="N6" s="91">
        <f>'11'!G19</f>
        <v>51</v>
      </c>
      <c r="O6" s="91">
        <f>'12'!G19</f>
        <v>54</v>
      </c>
      <c r="P6" s="91">
        <f>'13'!G19</f>
        <v>50</v>
      </c>
      <c r="Q6" s="91">
        <f>'14'!G19</f>
        <v>-628</v>
      </c>
      <c r="R6" s="91">
        <f>'15'!G19</f>
        <v>50</v>
      </c>
      <c r="S6" s="91">
        <f>'16'!G19</f>
        <v>50</v>
      </c>
      <c r="T6" s="91">
        <f>'17'!G19</f>
        <v>53</v>
      </c>
      <c r="U6" s="91">
        <f>'18 '!G19</f>
        <v>52</v>
      </c>
      <c r="V6" s="91">
        <f>'19'!G19</f>
        <v>52</v>
      </c>
      <c r="W6" s="91">
        <f>'20'!G19</f>
        <v>53</v>
      </c>
      <c r="X6" s="91">
        <f>'21'!G19</f>
        <v>53</v>
      </c>
      <c r="Y6" s="91">
        <f>'22'!G19</f>
        <v>53</v>
      </c>
      <c r="Z6" s="91">
        <f>'23'!G19</f>
        <v>52</v>
      </c>
      <c r="AA6" s="91">
        <f>'24'!G19</f>
        <v>53</v>
      </c>
      <c r="AB6" s="91">
        <f>'25'!G19</f>
        <v>0</v>
      </c>
      <c r="AC6" s="91">
        <f>'26'!G19</f>
        <v>52</v>
      </c>
      <c r="AD6" s="91">
        <f>'27'!G19</f>
        <v>48</v>
      </c>
      <c r="AE6" s="91">
        <f>'28'!G19</f>
        <v>48</v>
      </c>
      <c r="AF6" s="91">
        <f>'29'!G19</f>
        <v>46</v>
      </c>
      <c r="AG6" s="91">
        <f>'30'!G19</f>
        <v>48</v>
      </c>
      <c r="AH6" s="91">
        <f>'31'!G19</f>
        <v>50</v>
      </c>
      <c r="AI6" s="90"/>
    </row>
    <row r="7" spans="2:35">
      <c r="B7" s="93"/>
      <c r="C7" s="90" t="s">
        <v>70</v>
      </c>
      <c r="D7" s="91">
        <f>'1'!G62</f>
        <v>57</v>
      </c>
      <c r="E7" s="91">
        <f>'2'!G62</f>
        <v>94</v>
      </c>
      <c r="F7" s="91">
        <f>'3'!G62</f>
        <v>116</v>
      </c>
      <c r="G7" s="91">
        <f>'4'!G62</f>
        <v>84</v>
      </c>
      <c r="H7" s="91">
        <f>'5'!G62</f>
        <v>88</v>
      </c>
      <c r="I7" s="91">
        <f>'6'!G62</f>
        <v>106</v>
      </c>
      <c r="J7" s="91">
        <f>'7'!G62</f>
        <v>119</v>
      </c>
      <c r="K7" s="91">
        <f>'8'!G62</f>
        <v>130</v>
      </c>
      <c r="L7" s="91">
        <f>'9'!G62</f>
        <v>121</v>
      </c>
      <c r="M7" s="91">
        <f>'10'!G62</f>
        <v>113</v>
      </c>
      <c r="N7" s="91">
        <f>'11'!G62</f>
        <v>122</v>
      </c>
      <c r="O7" s="91">
        <f>'12'!G62</f>
        <v>97</v>
      </c>
      <c r="P7" s="91">
        <f>'13'!G62</f>
        <v>97</v>
      </c>
      <c r="Q7" s="91">
        <f>'14'!G62</f>
        <v>-3042</v>
      </c>
      <c r="R7" s="91">
        <f>'15'!G62</f>
        <v>132</v>
      </c>
      <c r="S7" s="91">
        <f>'16'!G62</f>
        <v>123</v>
      </c>
      <c r="T7" s="91">
        <f>'17'!G62</f>
        <v>117</v>
      </c>
      <c r="U7" s="91">
        <f>'18 '!G62</f>
        <v>118</v>
      </c>
      <c r="V7" s="91">
        <f>'19'!G62</f>
        <v>116</v>
      </c>
      <c r="W7" s="91">
        <f>'20'!G62</f>
        <v>125</v>
      </c>
      <c r="X7" s="91">
        <f>'21'!G62</f>
        <v>103</v>
      </c>
      <c r="Y7" s="91">
        <f>'22'!G62</f>
        <v>95</v>
      </c>
      <c r="Z7" s="91">
        <f>'23'!G62</f>
        <v>109</v>
      </c>
      <c r="AA7" s="91">
        <f>'24'!G62</f>
        <v>103</v>
      </c>
      <c r="AB7" s="91">
        <f>'25'!G62</f>
        <v>108</v>
      </c>
      <c r="AC7" s="91">
        <f>'26'!G62</f>
        <v>82</v>
      </c>
      <c r="AD7" s="91">
        <f>'27'!G62</f>
        <v>87</v>
      </c>
      <c r="AE7" s="91">
        <f>'28'!G62</f>
        <v>87</v>
      </c>
      <c r="AF7" s="91">
        <f>'29'!G62</f>
        <v>109</v>
      </c>
      <c r="AG7" s="91">
        <f>'30'!G62</f>
        <v>84</v>
      </c>
      <c r="AH7" s="91">
        <f>'31'!G62</f>
        <v>150</v>
      </c>
      <c r="AI7" s="90"/>
    </row>
    <row r="8" spans="2:35">
      <c r="B8" s="93"/>
      <c r="C8" s="90" t="s">
        <v>299</v>
      </c>
      <c r="D8" s="91">
        <f>'1'!G63</f>
        <v>95</v>
      </c>
      <c r="E8" s="91">
        <f>'2'!G63</f>
        <v>129</v>
      </c>
      <c r="F8" s="91">
        <f>'3'!G63</f>
        <v>137</v>
      </c>
      <c r="G8" s="91">
        <f>'4'!G63</f>
        <v>146</v>
      </c>
      <c r="H8" s="91">
        <f>'5'!G63</f>
        <v>120</v>
      </c>
      <c r="I8" s="91">
        <f>'6'!G63</f>
        <v>48</v>
      </c>
      <c r="J8" s="91">
        <f>'7'!G63</f>
        <v>121</v>
      </c>
      <c r="K8" s="91">
        <f>'8'!G63</f>
        <v>75</v>
      </c>
      <c r="L8" s="91">
        <f>'9'!G63</f>
        <v>129</v>
      </c>
      <c r="M8" s="91">
        <f>'10'!G63</f>
        <v>105</v>
      </c>
      <c r="N8" s="91">
        <f>'11'!G63</f>
        <v>94</v>
      </c>
      <c r="O8" s="91">
        <f>'12'!G63</f>
        <v>87</v>
      </c>
      <c r="P8" s="91">
        <f>'13'!G63</f>
        <v>155</v>
      </c>
      <c r="Q8" s="91">
        <f>'14'!G63</f>
        <v>-3516</v>
      </c>
      <c r="R8" s="91">
        <f>'15'!G63</f>
        <v>142</v>
      </c>
      <c r="S8" s="91">
        <f>'16'!G63</f>
        <v>127</v>
      </c>
      <c r="T8" s="91">
        <f>'17'!G63</f>
        <v>109</v>
      </c>
      <c r="U8" s="91">
        <f>'18 '!G63</f>
        <v>168</v>
      </c>
      <c r="V8" s="91">
        <f>'19'!G63</f>
        <v>157</v>
      </c>
      <c r="W8" s="91">
        <f>'20'!G63</f>
        <v>145</v>
      </c>
      <c r="X8" s="91">
        <f>'21'!G63</f>
        <v>115</v>
      </c>
      <c r="Y8" s="91">
        <f>'22'!G63</f>
        <v>133</v>
      </c>
      <c r="Z8" s="91">
        <f>'23'!G63</f>
        <v>136</v>
      </c>
      <c r="AA8" s="91">
        <f>'24'!G63</f>
        <v>66</v>
      </c>
      <c r="AB8" s="91">
        <f>'25'!G63</f>
        <v>114</v>
      </c>
      <c r="AC8" s="91">
        <f>'26'!G63</f>
        <v>149</v>
      </c>
      <c r="AD8" s="91">
        <f>'27'!G63</f>
        <v>131</v>
      </c>
      <c r="AE8" s="91">
        <f>'28'!G63</f>
        <v>108</v>
      </c>
      <c r="AF8" s="91">
        <f>'29'!G63</f>
        <v>150</v>
      </c>
      <c r="AG8" s="91">
        <f>'30'!G63</f>
        <v>125</v>
      </c>
      <c r="AH8" s="91">
        <f>'31'!G63</f>
        <v>117</v>
      </c>
      <c r="AI8" s="90"/>
    </row>
    <row r="9" spans="2:35">
      <c r="B9" s="775" t="s">
        <v>71</v>
      </c>
      <c r="C9" s="90" t="s">
        <v>31</v>
      </c>
      <c r="D9" s="91">
        <f>'1'!G65</f>
        <v>77</v>
      </c>
      <c r="E9" s="91">
        <f>'2'!G65</f>
        <v>98</v>
      </c>
      <c r="F9" s="91">
        <f>'3'!G65</f>
        <v>93</v>
      </c>
      <c r="G9" s="91">
        <f>'4'!G65</f>
        <v>97</v>
      </c>
      <c r="H9" s="91">
        <f>'5'!G65</f>
        <v>97</v>
      </c>
      <c r="I9" s="91">
        <f>'6'!G65</f>
        <v>97</v>
      </c>
      <c r="J9" s="91">
        <f>'7'!G65</f>
        <v>107</v>
      </c>
      <c r="K9" s="91">
        <f>'8'!G65</f>
        <v>115</v>
      </c>
      <c r="L9" s="91">
        <f>'9'!G65</f>
        <v>101</v>
      </c>
      <c r="M9" s="91">
        <f>'10'!G65</f>
        <v>102</v>
      </c>
      <c r="N9" s="91">
        <f>'11'!G65</f>
        <v>102</v>
      </c>
      <c r="O9" s="91">
        <f>'12'!G65</f>
        <v>104</v>
      </c>
      <c r="P9" s="91">
        <f>'13'!G65</f>
        <v>99</v>
      </c>
      <c r="Q9" s="91">
        <f>'14'!G65</f>
        <v>-2967</v>
      </c>
      <c r="R9" s="91">
        <f>'15'!G65</f>
        <v>107</v>
      </c>
      <c r="S9" s="91">
        <f>'16'!G65</f>
        <v>123</v>
      </c>
      <c r="T9" s="91">
        <f>'17'!G65</f>
        <v>119</v>
      </c>
      <c r="U9" s="91">
        <f>'18 '!G65</f>
        <v>112</v>
      </c>
      <c r="V9" s="91">
        <f>'19'!G65</f>
        <v>110</v>
      </c>
      <c r="W9" s="91">
        <f>'20'!G65</f>
        <v>117</v>
      </c>
      <c r="X9" s="91">
        <f>'21'!G65</f>
        <v>102</v>
      </c>
      <c r="Y9" s="91">
        <f>'22'!G65</f>
        <v>100</v>
      </c>
      <c r="Z9" s="91">
        <f>'23'!G65</f>
        <v>119</v>
      </c>
      <c r="AA9" s="91">
        <f>'24'!G65</f>
        <v>97</v>
      </c>
      <c r="AB9" s="91">
        <f>'25'!G65</f>
        <v>103</v>
      </c>
      <c r="AC9" s="91">
        <f>'26'!G65</f>
        <v>98</v>
      </c>
      <c r="AD9" s="91">
        <f>'27'!G65</f>
        <v>77</v>
      </c>
      <c r="AE9" s="91">
        <f>'28'!G65</f>
        <v>91</v>
      </c>
      <c r="AF9" s="91">
        <f>'29'!G65</f>
        <v>104</v>
      </c>
      <c r="AG9" s="91">
        <f>'30'!G65</f>
        <v>99</v>
      </c>
      <c r="AH9" s="91">
        <f>'31'!G65</f>
        <v>105</v>
      </c>
      <c r="AI9" s="90"/>
    </row>
    <row r="10" spans="2:35">
      <c r="B10" s="775"/>
      <c r="C10" s="90" t="s">
        <v>32</v>
      </c>
      <c r="D10" s="91">
        <f>'1'!G66</f>
        <v>10</v>
      </c>
      <c r="E10" s="91">
        <f>'2'!G66</f>
        <v>18</v>
      </c>
      <c r="F10" s="91">
        <f>'3'!G66</f>
        <v>16</v>
      </c>
      <c r="G10" s="91">
        <f>'4'!G66</f>
        <v>13</v>
      </c>
      <c r="H10" s="91">
        <f>'5'!G66</f>
        <v>13</v>
      </c>
      <c r="I10" s="91">
        <f>'6'!G66</f>
        <v>21</v>
      </c>
      <c r="J10" s="91">
        <f>'7'!G66</f>
        <v>23</v>
      </c>
      <c r="K10" s="91">
        <f>'8'!G66</f>
        <v>19</v>
      </c>
      <c r="L10" s="91">
        <f>'9'!G66</f>
        <v>27</v>
      </c>
      <c r="M10" s="91">
        <f>'10'!G66</f>
        <v>25</v>
      </c>
      <c r="N10" s="91">
        <f>'11'!G66</f>
        <v>19</v>
      </c>
      <c r="O10" s="91">
        <f>'12'!G66</f>
        <v>24</v>
      </c>
      <c r="P10" s="91">
        <f>'13'!G66</f>
        <v>23</v>
      </c>
      <c r="Q10" s="91">
        <f>'14'!G66</f>
        <v>-564</v>
      </c>
      <c r="R10" s="91">
        <f>'15'!G66</f>
        <v>19</v>
      </c>
      <c r="S10" s="91">
        <f>'16'!G66</f>
        <v>22</v>
      </c>
      <c r="T10" s="91">
        <f>'17'!G66</f>
        <v>20</v>
      </c>
      <c r="U10" s="91">
        <f>'18 '!G66</f>
        <v>24</v>
      </c>
      <c r="V10" s="91">
        <f>'19'!G66</f>
        <v>23</v>
      </c>
      <c r="W10" s="91">
        <f>'20'!G66</f>
        <v>23</v>
      </c>
      <c r="X10" s="91">
        <f>'21'!G66</f>
        <v>15</v>
      </c>
      <c r="Y10" s="91">
        <f>'22'!G66</f>
        <v>19</v>
      </c>
      <c r="Z10" s="91">
        <f>'23'!G66</f>
        <v>20</v>
      </c>
      <c r="AA10" s="91">
        <f>'24'!G66</f>
        <v>19</v>
      </c>
      <c r="AB10" s="91">
        <f>'25'!G66</f>
        <v>16</v>
      </c>
      <c r="AC10" s="91">
        <f>'26'!G66</f>
        <v>21</v>
      </c>
      <c r="AD10" s="91">
        <f>'27'!G66</f>
        <v>18</v>
      </c>
      <c r="AE10" s="91">
        <f>'28'!G66</f>
        <v>16</v>
      </c>
      <c r="AF10" s="91">
        <f>'29'!G66</f>
        <v>25</v>
      </c>
      <c r="AG10" s="91">
        <f>'30'!G66</f>
        <v>13</v>
      </c>
      <c r="AH10" s="91">
        <f>'31'!G66</f>
        <v>22</v>
      </c>
      <c r="AI10" s="90"/>
    </row>
    <row r="11" spans="2:35">
      <c r="B11" s="775"/>
      <c r="C11" s="90" t="s">
        <v>33</v>
      </c>
      <c r="D11" s="91">
        <f>'1'!G67</f>
        <v>0</v>
      </c>
      <c r="E11" s="91">
        <f>'2'!G67</f>
        <v>0</v>
      </c>
      <c r="F11" s="91">
        <f>'3'!G67</f>
        <v>0</v>
      </c>
      <c r="G11" s="91">
        <f>'4'!G67</f>
        <v>0</v>
      </c>
      <c r="H11" s="91">
        <f>'5'!G67</f>
        <v>0</v>
      </c>
      <c r="I11" s="91">
        <f>'6'!G67</f>
        <v>0</v>
      </c>
      <c r="J11" s="91">
        <f>'7'!G67</f>
        <v>0</v>
      </c>
      <c r="K11" s="91">
        <f>'8'!G67</f>
        <v>0</v>
      </c>
      <c r="L11" s="91">
        <f>'9'!G67</f>
        <v>0</v>
      </c>
      <c r="M11" s="91">
        <f>'10'!G67</f>
        <v>0</v>
      </c>
      <c r="N11" s="91">
        <f>'11'!G67</f>
        <v>0</v>
      </c>
      <c r="O11" s="91">
        <f>'12'!G67</f>
        <v>0</v>
      </c>
      <c r="P11" s="91">
        <f>'13'!G67</f>
        <v>0</v>
      </c>
      <c r="Q11" s="91">
        <f>'14'!G67</f>
        <v>1</v>
      </c>
      <c r="R11" s="91">
        <f>'15'!G67</f>
        <v>0</v>
      </c>
      <c r="S11" s="91">
        <f>'16'!G67</f>
        <v>0</v>
      </c>
      <c r="T11" s="91">
        <f>'17'!G67</f>
        <v>0</v>
      </c>
      <c r="U11" s="91">
        <f>'18 '!G67</f>
        <v>0</v>
      </c>
      <c r="V11" s="91">
        <f>'19'!G67</f>
        <v>0</v>
      </c>
      <c r="W11" s="91">
        <f>'20'!G67</f>
        <v>0</v>
      </c>
      <c r="X11" s="91">
        <f>'21'!G67</f>
        <v>0</v>
      </c>
      <c r="Y11" s="91">
        <f>'22'!G67</f>
        <v>0</v>
      </c>
      <c r="Z11" s="91">
        <f>'23'!G67</f>
        <v>0</v>
      </c>
      <c r="AA11" s="91">
        <f>'24'!G67</f>
        <v>0</v>
      </c>
      <c r="AB11" s="91">
        <f>'25'!G67</f>
        <v>-1</v>
      </c>
      <c r="AC11" s="91">
        <f>'26'!G67</f>
        <v>0</v>
      </c>
      <c r="AD11" s="91">
        <f>'27'!G67</f>
        <v>0</v>
      </c>
      <c r="AE11" s="91">
        <f>'28'!G67</f>
        <v>0</v>
      </c>
      <c r="AF11" s="91">
        <f>'29'!G67</f>
        <v>0</v>
      </c>
      <c r="AG11" s="91">
        <f>'30'!G67</f>
        <v>0</v>
      </c>
      <c r="AH11" s="91">
        <f>'31'!G67</f>
        <v>69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5" t="s">
        <v>72</v>
      </c>
      <c r="C13" s="90" t="s">
        <v>31</v>
      </c>
      <c r="D13" s="91">
        <f>'1'!G68</f>
        <v>33</v>
      </c>
      <c r="E13" s="91">
        <f>'2'!G68</f>
        <v>55</v>
      </c>
      <c r="F13" s="91">
        <f>'3'!G68</f>
        <v>42</v>
      </c>
      <c r="G13" s="91">
        <f>'4'!G68</f>
        <v>56</v>
      </c>
      <c r="H13" s="91">
        <f>'5'!G68</f>
        <v>47</v>
      </c>
      <c r="I13" s="91">
        <f>'6'!G68</f>
        <v>37</v>
      </c>
      <c r="J13" s="91">
        <f>'7'!G68</f>
        <v>42</v>
      </c>
      <c r="K13" s="91">
        <f>'8'!G68</f>
        <v>46</v>
      </c>
      <c r="L13" s="91">
        <f>'9'!G68</f>
        <v>40</v>
      </c>
      <c r="M13" s="91">
        <f>'10'!G68</f>
        <v>42</v>
      </c>
      <c r="N13" s="91">
        <f>'11'!G68</f>
        <v>25</v>
      </c>
      <c r="O13" s="91">
        <f>'12'!G68</f>
        <v>41</v>
      </c>
      <c r="P13" s="91">
        <f>'13'!G68</f>
        <v>24</v>
      </c>
      <c r="Q13" s="91">
        <f>'14'!G68</f>
        <v>-1156</v>
      </c>
      <c r="R13" s="91">
        <f>'15'!G68</f>
        <v>33</v>
      </c>
      <c r="S13" s="91">
        <f>'16'!G68</f>
        <v>24</v>
      </c>
      <c r="T13" s="91">
        <f>'17'!G68</f>
        <v>66</v>
      </c>
      <c r="U13" s="91">
        <f>'18 '!G68</f>
        <v>59</v>
      </c>
      <c r="V13" s="91">
        <f>'19'!G68</f>
        <v>45</v>
      </c>
      <c r="W13" s="91">
        <f>'20'!G68</f>
        <v>36</v>
      </c>
      <c r="X13" s="91">
        <f>'21'!G68</f>
        <v>33</v>
      </c>
      <c r="Y13" s="91">
        <f>'22'!G68</f>
        <v>51</v>
      </c>
      <c r="Z13" s="91">
        <f>'23'!G68</f>
        <v>32</v>
      </c>
      <c r="AA13" s="420">
        <f>'24'!G68</f>
        <v>38</v>
      </c>
      <c r="AB13" s="91">
        <f>'25'!G68</f>
        <v>37</v>
      </c>
      <c r="AC13" s="91">
        <f>'26'!G68</f>
        <v>55</v>
      </c>
      <c r="AD13" s="91">
        <f>'27'!G68</f>
        <v>40</v>
      </c>
      <c r="AE13" s="91">
        <f>'28'!G68</f>
        <v>39</v>
      </c>
      <c r="AF13" s="91">
        <f>'29'!G68</f>
        <v>8</v>
      </c>
      <c r="AG13" s="91">
        <f>'30'!G68</f>
        <v>30</v>
      </c>
      <c r="AH13" s="91">
        <f>'31'!G68</f>
        <v>29</v>
      </c>
      <c r="AI13" s="90"/>
    </row>
    <row r="14" spans="2:35">
      <c r="B14" s="775"/>
      <c r="C14" s="90" t="s">
        <v>32</v>
      </c>
      <c r="D14" s="91">
        <f>'1'!G69</f>
        <v>4</v>
      </c>
      <c r="E14" s="91">
        <f>'2'!G69</f>
        <v>6</v>
      </c>
      <c r="F14" s="91">
        <f>'3'!G69</f>
        <v>4</v>
      </c>
      <c r="G14" s="91">
        <f>'4'!G69</f>
        <v>5</v>
      </c>
      <c r="H14" s="91">
        <f>'5'!G69</f>
        <v>4</v>
      </c>
      <c r="I14" s="91">
        <f>'6'!G69</f>
        <v>4</v>
      </c>
      <c r="J14" s="91">
        <f>'7'!G69</f>
        <v>6</v>
      </c>
      <c r="K14" s="91">
        <f>'8'!G69</f>
        <v>6</v>
      </c>
      <c r="L14" s="91">
        <f>'9'!G69</f>
        <v>5</v>
      </c>
      <c r="M14" s="91">
        <f>'10'!G69</f>
        <v>6</v>
      </c>
      <c r="N14" s="91">
        <f>'11'!G69</f>
        <v>3</v>
      </c>
      <c r="O14" s="91">
        <f>'12'!G69</f>
        <v>4</v>
      </c>
      <c r="P14" s="91">
        <f>'13'!G69</f>
        <v>3</v>
      </c>
      <c r="Q14" s="91">
        <f>'14'!G69</f>
        <v>-168</v>
      </c>
      <c r="R14" s="91">
        <f>'15'!G69</f>
        <v>22</v>
      </c>
      <c r="S14" s="91">
        <f>'16'!G69</f>
        <v>6</v>
      </c>
      <c r="T14" s="91">
        <f>'17'!G69</f>
        <v>7</v>
      </c>
      <c r="U14" s="91">
        <f>'18 '!G69</f>
        <v>9</v>
      </c>
      <c r="V14" s="91">
        <f>'19'!G69</f>
        <v>11</v>
      </c>
      <c r="W14" s="91">
        <f>'20'!G69</f>
        <v>7</v>
      </c>
      <c r="X14" s="91">
        <f>'21'!G69</f>
        <v>3</v>
      </c>
      <c r="Y14" s="91">
        <f>'22'!G69</f>
        <v>5</v>
      </c>
      <c r="Z14" s="91">
        <f>'23'!G69</f>
        <v>5</v>
      </c>
      <c r="AA14" s="91">
        <f>'24'!G69</f>
        <v>4</v>
      </c>
      <c r="AB14" s="91">
        <f>'25'!G69</f>
        <v>3</v>
      </c>
      <c r="AC14" s="91">
        <f>'26'!G69</f>
        <v>6</v>
      </c>
      <c r="AD14" s="91">
        <f>'27'!G69</f>
        <v>5</v>
      </c>
      <c r="AE14" s="91">
        <f>'28'!G69</f>
        <v>3</v>
      </c>
      <c r="AF14" s="91">
        <f>'29'!G69</f>
        <v>7</v>
      </c>
      <c r="AG14" s="91">
        <f>'30'!G69</f>
        <v>5</v>
      </c>
      <c r="AH14" s="91">
        <f>'31'!G69</f>
        <v>9</v>
      </c>
      <c r="AI14" s="90"/>
    </row>
    <row r="15" spans="2:35">
      <c r="B15" s="775"/>
      <c r="C15" s="90" t="s">
        <v>33</v>
      </c>
      <c r="D15" s="91">
        <f>'1'!G70</f>
        <v>10</v>
      </c>
      <c r="E15" s="91">
        <f>'2'!G70</f>
        <v>4</v>
      </c>
      <c r="F15" s="91">
        <f>'3'!G70</f>
        <v>9</v>
      </c>
      <c r="G15" s="91">
        <f>'4'!G70</f>
        <v>11</v>
      </c>
      <c r="H15" s="91">
        <f>'5'!G70</f>
        <v>6</v>
      </c>
      <c r="I15" s="91">
        <f>'6'!G70</f>
        <v>6</v>
      </c>
      <c r="J15" s="91">
        <f>'7'!G70</f>
        <v>7</v>
      </c>
      <c r="K15" s="91">
        <f>'8'!G70</f>
        <v>6</v>
      </c>
      <c r="L15" s="91">
        <f>'9'!G70</f>
        <v>6</v>
      </c>
      <c r="M15" s="91">
        <f>'10'!G70</f>
        <v>9</v>
      </c>
      <c r="N15" s="91">
        <f>'11'!G70</f>
        <v>14</v>
      </c>
      <c r="O15" s="91">
        <f>'12'!G70</f>
        <v>8</v>
      </c>
      <c r="P15" s="91">
        <f>'13'!G70</f>
        <v>9</v>
      </c>
      <c r="Q15" s="91">
        <f>'14'!G70</f>
        <v>-228</v>
      </c>
      <c r="R15" s="91">
        <f>'15'!G70</f>
        <v>5</v>
      </c>
      <c r="S15" s="91">
        <f>'16'!G70</f>
        <v>6</v>
      </c>
      <c r="T15" s="91">
        <f>'17'!G70</f>
        <v>6</v>
      </c>
      <c r="U15" s="91">
        <f>'18 '!G70</f>
        <v>7</v>
      </c>
      <c r="V15" s="91">
        <f>'19'!G70</f>
        <v>8</v>
      </c>
      <c r="W15" s="91">
        <f>'20'!G70</f>
        <v>20</v>
      </c>
      <c r="X15" s="91">
        <f>'21'!G70</f>
        <v>5</v>
      </c>
      <c r="Y15" s="91">
        <f>'22'!G70</f>
        <v>6</v>
      </c>
      <c r="Z15" s="91">
        <f>'23'!G70</f>
        <v>10</v>
      </c>
      <c r="AA15" s="91">
        <f>'24'!G70</f>
        <v>8</v>
      </c>
      <c r="AB15" s="91">
        <f>'25'!G70</f>
        <v>7</v>
      </c>
      <c r="AC15" s="91">
        <f>'26'!G70</f>
        <v>5</v>
      </c>
      <c r="AD15" s="91">
        <f>'27'!G70</f>
        <v>10</v>
      </c>
      <c r="AE15" s="91">
        <f>'28'!G70</f>
        <v>8</v>
      </c>
      <c r="AF15" s="91">
        <f>'29'!G70</f>
        <v>6</v>
      </c>
      <c r="AG15" s="91">
        <f>'30'!G70</f>
        <v>6</v>
      </c>
      <c r="AH15" s="91">
        <f>'31'!G70</f>
        <v>23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5" t="s">
        <v>73</v>
      </c>
      <c r="C17" s="90" t="s">
        <v>74</v>
      </c>
      <c r="D17" s="90">
        <f>'1'!G173</f>
        <v>0</v>
      </c>
      <c r="E17" s="91">
        <f>'2'!G173</f>
        <v>38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9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16</v>
      </c>
      <c r="AI17" s="90"/>
    </row>
    <row r="18" spans="2:35">
      <c r="B18" s="775"/>
      <c r="C18" s="90" t="s">
        <v>75</v>
      </c>
      <c r="D18" s="90">
        <f>'1'!G174</f>
        <v>11</v>
      </c>
      <c r="E18" s="91">
        <f>'2'!G174</f>
        <v>14</v>
      </c>
      <c r="F18" s="91">
        <f>'3'!G174</f>
        <v>15</v>
      </c>
      <c r="G18" s="91">
        <f>'4'!G174</f>
        <v>16</v>
      </c>
      <c r="H18" s="91">
        <f>'5'!G174</f>
        <v>13</v>
      </c>
      <c r="I18" s="91">
        <f>'6'!G174</f>
        <v>12</v>
      </c>
      <c r="J18" s="91">
        <f>'7'!G174</f>
        <v>14</v>
      </c>
      <c r="K18" s="91">
        <f>'8'!G174</f>
        <v>14</v>
      </c>
      <c r="L18" s="91">
        <f>'9'!G174</f>
        <v>14</v>
      </c>
      <c r="M18" s="91">
        <f>'10'!G174</f>
        <v>14</v>
      </c>
      <c r="N18" s="91">
        <f>'11'!G174</f>
        <v>16</v>
      </c>
      <c r="O18" s="91">
        <f>'12'!G174</f>
        <v>11</v>
      </c>
      <c r="P18" s="91">
        <f>'13'!G174</f>
        <v>10</v>
      </c>
      <c r="Q18" s="91">
        <f>'14'!G174</f>
        <v>-415</v>
      </c>
      <c r="R18" s="91">
        <f>'15'!G174</f>
        <v>14</v>
      </c>
      <c r="S18" s="91">
        <f>'16'!G174</f>
        <v>17</v>
      </c>
      <c r="T18" s="91">
        <f>'17'!G174</f>
        <v>14</v>
      </c>
      <c r="U18" s="91">
        <f>'18 '!G174</f>
        <v>15</v>
      </c>
      <c r="V18" s="91">
        <f>'19'!G174</f>
        <v>16</v>
      </c>
      <c r="W18" s="91">
        <f>'20'!G174</f>
        <v>14</v>
      </c>
      <c r="X18" s="91">
        <f>'21'!G174</f>
        <v>17</v>
      </c>
      <c r="Y18" s="91">
        <f>'22'!G174</f>
        <v>16</v>
      </c>
      <c r="Z18" s="91">
        <f>'23'!G174</f>
        <v>16</v>
      </c>
      <c r="AA18" s="91">
        <f>'24'!G174</f>
        <v>15</v>
      </c>
      <c r="AB18" s="91">
        <f>'25'!G174</f>
        <v>16</v>
      </c>
      <c r="AC18" s="91">
        <f>'26'!G174</f>
        <v>13</v>
      </c>
      <c r="AD18" s="91">
        <f>'27'!G174</f>
        <v>14</v>
      </c>
      <c r="AE18" s="91">
        <f>'28'!G174</f>
        <v>16</v>
      </c>
      <c r="AF18" s="91">
        <f>'29'!G174</f>
        <v>14</v>
      </c>
      <c r="AG18" s="91">
        <f>'30'!G174</f>
        <v>14</v>
      </c>
      <c r="AH18" s="91">
        <f>'31'!G174</f>
        <v>14</v>
      </c>
      <c r="AI18" s="90"/>
    </row>
    <row r="19" spans="2:35">
      <c r="B19" s="775"/>
      <c r="C19" s="90" t="s">
        <v>76</v>
      </c>
      <c r="D19" s="90">
        <f>'1'!G175</f>
        <v>10</v>
      </c>
      <c r="E19" s="91">
        <f>'2'!G175</f>
        <v>12</v>
      </c>
      <c r="F19" s="91">
        <f>'3'!G175</f>
        <v>12</v>
      </c>
      <c r="G19" s="91">
        <f>'4'!G175</f>
        <v>13</v>
      </c>
      <c r="H19" s="91">
        <f>'5'!G175</f>
        <v>12</v>
      </c>
      <c r="I19" s="91">
        <f>'6'!G175</f>
        <v>14</v>
      </c>
      <c r="J19" s="91">
        <f>'7'!G175</f>
        <v>17</v>
      </c>
      <c r="K19" s="91">
        <f>'8'!G175</f>
        <v>12</v>
      </c>
      <c r="L19" s="91">
        <f>'9'!G175</f>
        <v>13</v>
      </c>
      <c r="M19" s="91">
        <f>'10'!G175</f>
        <v>12</v>
      </c>
      <c r="N19" s="91">
        <f>'11'!G175</f>
        <v>11</v>
      </c>
      <c r="O19" s="91">
        <f>'12'!G175</f>
        <v>12</v>
      </c>
      <c r="P19" s="91">
        <f>'13'!G175</f>
        <v>10</v>
      </c>
      <c r="Q19" s="91">
        <f>'14'!G175</f>
        <v>-356</v>
      </c>
      <c r="R19" s="91">
        <f>'15'!G175</f>
        <v>14</v>
      </c>
      <c r="S19" s="91">
        <f>'16'!G175</f>
        <v>15</v>
      </c>
      <c r="T19" s="91">
        <f>'17'!G175</f>
        <v>12</v>
      </c>
      <c r="U19" s="91">
        <f>'18 '!G175</f>
        <v>14</v>
      </c>
      <c r="V19" s="91">
        <f>'19'!G175</f>
        <v>11</v>
      </c>
      <c r="W19" s="91">
        <f>'20'!G175</f>
        <v>11</v>
      </c>
      <c r="X19" s="91">
        <f>'21'!G175</f>
        <v>13</v>
      </c>
      <c r="Y19" s="91">
        <f>'22'!G175</f>
        <v>11</v>
      </c>
      <c r="Z19" s="91">
        <f>'23'!G175</f>
        <v>13</v>
      </c>
      <c r="AA19" s="91">
        <f>'24'!G175</f>
        <v>13</v>
      </c>
      <c r="AB19" s="91">
        <f>'25'!G175</f>
        <v>11</v>
      </c>
      <c r="AC19" s="91">
        <f>'26'!G175</f>
        <v>11</v>
      </c>
      <c r="AD19" s="91">
        <f>'27'!G175</f>
        <v>11</v>
      </c>
      <c r="AE19" s="91">
        <f>'28'!G175</f>
        <v>12</v>
      </c>
      <c r="AF19" s="91">
        <f>'29'!G175</f>
        <v>12</v>
      </c>
      <c r="AG19" s="91">
        <f>'30'!G175</f>
        <v>12</v>
      </c>
      <c r="AH19" s="91">
        <f>'31'!G175</f>
        <v>17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5" t="s">
        <v>77</v>
      </c>
      <c r="C21" s="90" t="s">
        <v>78</v>
      </c>
      <c r="D21" s="90">
        <f>'1'!G178</f>
        <v>14</v>
      </c>
      <c r="E21" s="91">
        <f>'2'!G178</f>
        <v>84</v>
      </c>
      <c r="F21" s="91">
        <f>'3'!G178</f>
        <v>134</v>
      </c>
      <c r="G21" s="91">
        <f>'4'!G178</f>
        <v>65</v>
      </c>
      <c r="H21" s="91">
        <f>'5'!G178</f>
        <v>87</v>
      </c>
      <c r="I21" s="91">
        <f>'6'!G178</f>
        <v>62</v>
      </c>
      <c r="J21" s="91">
        <f>'7'!G178</f>
        <v>85</v>
      </c>
      <c r="K21" s="91">
        <f>'8'!G178</f>
        <v>61</v>
      </c>
      <c r="L21" s="91">
        <f>'9'!G178</f>
        <v>110</v>
      </c>
      <c r="M21" s="91">
        <f>'10'!G178</f>
        <v>86</v>
      </c>
      <c r="N21" s="91">
        <f>'11'!G178</f>
        <v>108</v>
      </c>
      <c r="O21" s="91">
        <f>'12'!G178</f>
        <v>107</v>
      </c>
      <c r="P21" s="91">
        <f>'13'!G178</f>
        <v>109</v>
      </c>
      <c r="Q21" s="91">
        <f>'14'!G178</f>
        <v>155</v>
      </c>
      <c r="R21" s="91">
        <f>'15'!G178</f>
        <v>110</v>
      </c>
      <c r="S21" s="91">
        <f>'16'!G178</f>
        <v>87</v>
      </c>
      <c r="T21" s="91">
        <f>'17'!G178</f>
        <v>64</v>
      </c>
      <c r="U21" s="91">
        <f>'18 '!G178</f>
        <v>108</v>
      </c>
      <c r="V21" s="91">
        <f>'19'!G178</f>
        <v>111</v>
      </c>
      <c r="W21" s="91">
        <f>'20'!G178</f>
        <v>110</v>
      </c>
      <c r="X21" s="91">
        <f>'21'!G178</f>
        <v>116</v>
      </c>
      <c r="Y21" s="91">
        <f>'22'!G178</f>
        <v>115</v>
      </c>
      <c r="Z21" s="91">
        <f>'23'!G178</f>
        <v>13</v>
      </c>
      <c r="AA21" s="91">
        <f>'24'!G178</f>
        <v>86</v>
      </c>
      <c r="AB21" s="91">
        <f>'25'!G178</f>
        <v>104</v>
      </c>
      <c r="AC21" s="91">
        <f>'26'!G178</f>
        <v>77</v>
      </c>
      <c r="AD21" s="91">
        <f>'27'!G178</f>
        <v>67</v>
      </c>
      <c r="AE21" s="91">
        <f>'28'!G178</f>
        <v>85</v>
      </c>
      <c r="AF21" s="91">
        <f>'29'!G178</f>
        <v>133</v>
      </c>
      <c r="AG21" s="91">
        <f>'30'!G178</f>
        <v>112</v>
      </c>
      <c r="AH21" s="91">
        <f>'31'!G178</f>
        <v>105</v>
      </c>
      <c r="AI21" s="90"/>
    </row>
    <row r="22" spans="2:35">
      <c r="B22" s="775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9</v>
      </c>
      <c r="AI22" s="90"/>
    </row>
    <row r="23" spans="2:35">
      <c r="B23" s="775"/>
      <c r="C23" s="90" t="s">
        <v>80</v>
      </c>
      <c r="D23" s="90">
        <f>'1'!G180</f>
        <v>9</v>
      </c>
      <c r="E23" s="91">
        <f>'2'!G180</f>
        <v>11</v>
      </c>
      <c r="F23" s="91">
        <f>'3'!G180</f>
        <v>11</v>
      </c>
      <c r="G23" s="91">
        <f>'4'!G180</f>
        <v>7</v>
      </c>
      <c r="H23" s="91">
        <f>'5'!G180</f>
        <v>0</v>
      </c>
      <c r="I23" s="91">
        <f>'6'!G180</f>
        <v>0</v>
      </c>
      <c r="J23" s="91">
        <f>'7'!G180</f>
        <v>7</v>
      </c>
      <c r="K23" s="91">
        <f>'8'!G180</f>
        <v>7</v>
      </c>
      <c r="L23" s="91">
        <f>'9'!G180</f>
        <v>8</v>
      </c>
      <c r="M23" s="91">
        <f>'10'!G180</f>
        <v>11</v>
      </c>
      <c r="N23" s="91">
        <f>'11'!G180</f>
        <v>7</v>
      </c>
      <c r="O23" s="91">
        <f>'12'!G180</f>
        <v>5</v>
      </c>
      <c r="P23" s="91">
        <f>'13'!G180</f>
        <v>17</v>
      </c>
      <c r="Q23" s="91">
        <f>'14'!G180</f>
        <v>-175</v>
      </c>
      <c r="R23" s="91">
        <f>'15'!G180</f>
        <v>1</v>
      </c>
      <c r="S23" s="91">
        <f>'16'!G180</f>
        <v>1</v>
      </c>
      <c r="T23" s="91">
        <f>'17'!G180</f>
        <v>2</v>
      </c>
      <c r="U23" s="91">
        <f>'18 '!G180</f>
        <v>3</v>
      </c>
      <c r="V23" s="91">
        <f>'19'!G180</f>
        <v>2</v>
      </c>
      <c r="W23" s="91">
        <f>'20'!G180</f>
        <v>2</v>
      </c>
      <c r="X23" s="91">
        <f>'21'!G180</f>
        <v>0</v>
      </c>
      <c r="Y23" s="91">
        <f>'22'!G180</f>
        <v>3</v>
      </c>
      <c r="Z23" s="91">
        <f>'23'!G180</f>
        <v>5</v>
      </c>
      <c r="AA23" s="91">
        <f>'24'!G180</f>
        <v>7</v>
      </c>
      <c r="AB23" s="91">
        <f>'25'!G180</f>
        <v>8</v>
      </c>
      <c r="AC23" s="91">
        <f>'26'!G180</f>
        <v>14</v>
      </c>
      <c r="AD23" s="91">
        <f>'27'!G180</f>
        <v>5</v>
      </c>
      <c r="AE23" s="91">
        <f>'28'!G180</f>
        <v>13</v>
      </c>
      <c r="AF23" s="91">
        <f>'29'!G180</f>
        <v>5</v>
      </c>
      <c r="AG23" s="91">
        <f>'30'!G180</f>
        <v>4</v>
      </c>
      <c r="AH23" s="91">
        <f>'31'!G180</f>
        <v>7</v>
      </c>
      <c r="AI23" s="90"/>
    </row>
    <row r="24" spans="2:35" ht="30">
      <c r="B24" s="93" t="s">
        <v>301</v>
      </c>
      <c r="C24" s="90"/>
      <c r="D24" s="91">
        <f>SUM(D5:D6)</f>
        <v>198</v>
      </c>
      <c r="E24" s="91">
        <f t="shared" ref="E24:AH24" si="0">SUM(E5:E6)</f>
        <v>167</v>
      </c>
      <c r="F24" s="91">
        <f t="shared" si="0"/>
        <v>222</v>
      </c>
      <c r="G24" s="91">
        <f t="shared" si="0"/>
        <v>290</v>
      </c>
      <c r="H24" s="91">
        <f t="shared" si="0"/>
        <v>200</v>
      </c>
      <c r="I24" s="91">
        <f t="shared" si="0"/>
        <v>250</v>
      </c>
      <c r="J24" s="91">
        <f t="shared" si="0"/>
        <v>251</v>
      </c>
      <c r="K24" s="91">
        <f t="shared" si="0"/>
        <v>217</v>
      </c>
      <c r="L24" s="91">
        <f t="shared" si="0"/>
        <v>270</v>
      </c>
      <c r="M24" s="91">
        <f t="shared" si="0"/>
        <v>270</v>
      </c>
      <c r="N24" s="91">
        <f t="shared" si="0"/>
        <v>221</v>
      </c>
      <c r="O24" s="91">
        <f t="shared" si="0"/>
        <v>254</v>
      </c>
      <c r="P24" s="91">
        <f t="shared" si="0"/>
        <v>170</v>
      </c>
      <c r="Q24" s="91">
        <f t="shared" si="0"/>
        <v>-388</v>
      </c>
      <c r="R24" s="91">
        <f t="shared" si="0"/>
        <v>250</v>
      </c>
      <c r="S24" s="91">
        <f t="shared" si="0"/>
        <v>230</v>
      </c>
      <c r="T24" s="91">
        <f t="shared" si="0"/>
        <v>283</v>
      </c>
      <c r="U24" s="91">
        <f t="shared" si="0"/>
        <v>232</v>
      </c>
      <c r="V24" s="91">
        <f t="shared" si="0"/>
        <v>212</v>
      </c>
      <c r="W24" s="91">
        <f t="shared" si="0"/>
        <v>253</v>
      </c>
      <c r="X24" s="91">
        <f t="shared" si="0"/>
        <v>263</v>
      </c>
      <c r="Y24" s="91">
        <f t="shared" si="0"/>
        <v>243</v>
      </c>
      <c r="Z24" s="91">
        <f t="shared" si="0"/>
        <v>182</v>
      </c>
      <c r="AA24" s="91">
        <f>SUM(AA5:AA6)</f>
        <v>233</v>
      </c>
      <c r="AB24" s="91">
        <f t="shared" si="0"/>
        <v>210</v>
      </c>
      <c r="AC24" s="91">
        <f t="shared" si="0"/>
        <v>212</v>
      </c>
      <c r="AD24" s="91">
        <f t="shared" si="0"/>
        <v>208</v>
      </c>
      <c r="AE24" s="91">
        <f t="shared" si="0"/>
        <v>188</v>
      </c>
      <c r="AF24" s="91">
        <f t="shared" si="0"/>
        <v>206</v>
      </c>
      <c r="AG24" s="91">
        <f t="shared" si="0"/>
        <v>228</v>
      </c>
      <c r="AH24" s="91">
        <f t="shared" si="0"/>
        <v>350</v>
      </c>
      <c r="AI24" s="90"/>
    </row>
    <row r="25" spans="2:35" ht="30">
      <c r="B25" s="93" t="s">
        <v>81</v>
      </c>
      <c r="C25" s="90"/>
      <c r="D25" s="91">
        <f>SUM(D9:D11,D14:D15,)</f>
        <v>101</v>
      </c>
      <c r="E25" s="91">
        <f t="shared" ref="E25:AI25" si="1">SUM(E9:E11,E14:E15,)</f>
        <v>126</v>
      </c>
      <c r="F25" s="91">
        <f t="shared" si="1"/>
        <v>122</v>
      </c>
      <c r="G25" s="91">
        <f t="shared" si="1"/>
        <v>126</v>
      </c>
      <c r="H25" s="91">
        <f t="shared" si="1"/>
        <v>120</v>
      </c>
      <c r="I25" s="91">
        <f t="shared" si="1"/>
        <v>128</v>
      </c>
      <c r="J25" s="91">
        <f t="shared" si="1"/>
        <v>143</v>
      </c>
      <c r="K25" s="91">
        <f>SUM(K9:K11,K14:K15,)</f>
        <v>146</v>
      </c>
      <c r="L25" s="91">
        <f t="shared" si="1"/>
        <v>139</v>
      </c>
      <c r="M25" s="91">
        <f t="shared" si="1"/>
        <v>142</v>
      </c>
      <c r="N25" s="91">
        <f t="shared" si="1"/>
        <v>138</v>
      </c>
      <c r="O25" s="91">
        <f t="shared" si="1"/>
        <v>140</v>
      </c>
      <c r="P25" s="91">
        <f t="shared" si="1"/>
        <v>134</v>
      </c>
      <c r="Q25" s="91">
        <f t="shared" si="1"/>
        <v>-3926</v>
      </c>
      <c r="R25" s="91">
        <f t="shared" si="1"/>
        <v>153</v>
      </c>
      <c r="S25" s="91">
        <f t="shared" si="1"/>
        <v>157</v>
      </c>
      <c r="T25" s="91">
        <f>SUM(T9:T11,T14:T15,)</f>
        <v>152</v>
      </c>
      <c r="U25" s="91">
        <f t="shared" si="1"/>
        <v>152</v>
      </c>
      <c r="V25" s="91">
        <f t="shared" si="1"/>
        <v>152</v>
      </c>
      <c r="W25" s="91">
        <f t="shared" si="1"/>
        <v>167</v>
      </c>
      <c r="X25" s="91">
        <f t="shared" si="1"/>
        <v>125</v>
      </c>
      <c r="Y25" s="91">
        <f t="shared" si="1"/>
        <v>130</v>
      </c>
      <c r="Z25" s="91">
        <f t="shared" si="1"/>
        <v>154</v>
      </c>
      <c r="AA25" s="91">
        <f t="shared" si="1"/>
        <v>128</v>
      </c>
      <c r="AB25" s="91">
        <f t="shared" si="1"/>
        <v>128</v>
      </c>
      <c r="AC25" s="91">
        <f t="shared" si="1"/>
        <v>130</v>
      </c>
      <c r="AD25" s="91">
        <f t="shared" si="1"/>
        <v>110</v>
      </c>
      <c r="AE25" s="91">
        <f t="shared" si="1"/>
        <v>118</v>
      </c>
      <c r="AF25" s="91">
        <f t="shared" si="1"/>
        <v>142</v>
      </c>
      <c r="AG25" s="91">
        <f t="shared" si="1"/>
        <v>123</v>
      </c>
      <c r="AH25" s="91">
        <f t="shared" si="1"/>
        <v>228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56</v>
      </c>
      <c r="E27" s="91">
        <f t="shared" ref="E27:AH27" si="2">SUM(E13,E21,E23)</f>
        <v>150</v>
      </c>
      <c r="F27" s="91">
        <f>SUM(F13,F21,F23)</f>
        <v>187</v>
      </c>
      <c r="G27" s="91">
        <f t="shared" si="2"/>
        <v>128</v>
      </c>
      <c r="H27" s="91">
        <f t="shared" si="2"/>
        <v>134</v>
      </c>
      <c r="I27" s="91">
        <f t="shared" si="2"/>
        <v>99</v>
      </c>
      <c r="J27" s="91">
        <f t="shared" si="2"/>
        <v>134</v>
      </c>
      <c r="K27" s="91">
        <f t="shared" si="2"/>
        <v>114</v>
      </c>
      <c r="L27" s="91">
        <f t="shared" si="2"/>
        <v>158</v>
      </c>
      <c r="M27" s="91">
        <f t="shared" si="2"/>
        <v>139</v>
      </c>
      <c r="N27" s="91">
        <f t="shared" si="2"/>
        <v>140</v>
      </c>
      <c r="O27" s="91">
        <f t="shared" si="2"/>
        <v>153</v>
      </c>
      <c r="P27" s="91">
        <f t="shared" si="2"/>
        <v>150</v>
      </c>
      <c r="Q27" s="91">
        <f t="shared" si="2"/>
        <v>-1176</v>
      </c>
      <c r="R27" s="91">
        <f t="shared" si="2"/>
        <v>144</v>
      </c>
      <c r="S27" s="91">
        <f t="shared" si="2"/>
        <v>112</v>
      </c>
      <c r="T27" s="91">
        <f t="shared" si="2"/>
        <v>132</v>
      </c>
      <c r="U27" s="91">
        <f t="shared" si="2"/>
        <v>170</v>
      </c>
      <c r="V27" s="91">
        <f t="shared" si="2"/>
        <v>158</v>
      </c>
      <c r="W27" s="91">
        <f t="shared" si="2"/>
        <v>148</v>
      </c>
      <c r="X27" s="91">
        <f t="shared" si="2"/>
        <v>149</v>
      </c>
      <c r="Y27" s="91">
        <f t="shared" si="2"/>
        <v>169</v>
      </c>
      <c r="Z27" s="91">
        <f t="shared" si="2"/>
        <v>50</v>
      </c>
      <c r="AA27" s="91">
        <f t="shared" si="2"/>
        <v>131</v>
      </c>
      <c r="AB27" s="91">
        <f t="shared" si="2"/>
        <v>149</v>
      </c>
      <c r="AC27" s="91">
        <f t="shared" si="2"/>
        <v>146</v>
      </c>
      <c r="AD27" s="91">
        <f t="shared" si="2"/>
        <v>112</v>
      </c>
      <c r="AE27" s="91">
        <f t="shared" si="2"/>
        <v>137</v>
      </c>
      <c r="AF27" s="91">
        <f t="shared" si="2"/>
        <v>146</v>
      </c>
      <c r="AG27" s="91">
        <f t="shared" si="2"/>
        <v>146</v>
      </c>
      <c r="AH27" s="91">
        <f t="shared" si="2"/>
        <v>141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77</v>
      </c>
      <c r="E29" s="249">
        <f t="shared" ref="E29:AH29" si="4">E9</f>
        <v>98</v>
      </c>
      <c r="F29" s="249">
        <f t="shared" si="4"/>
        <v>93</v>
      </c>
      <c r="G29" s="249">
        <f t="shared" si="4"/>
        <v>97</v>
      </c>
      <c r="H29" s="249">
        <f t="shared" si="4"/>
        <v>97</v>
      </c>
      <c r="I29" s="249">
        <f t="shared" si="4"/>
        <v>97</v>
      </c>
      <c r="J29" s="249">
        <f t="shared" si="4"/>
        <v>107</v>
      </c>
      <c r="K29" s="249">
        <f t="shared" si="4"/>
        <v>115</v>
      </c>
      <c r="L29" s="249">
        <f t="shared" si="4"/>
        <v>101</v>
      </c>
      <c r="M29" s="249">
        <f t="shared" si="4"/>
        <v>102</v>
      </c>
      <c r="N29" s="249">
        <f t="shared" si="4"/>
        <v>102</v>
      </c>
      <c r="O29" s="249">
        <f t="shared" si="4"/>
        <v>104</v>
      </c>
      <c r="P29" s="249">
        <f t="shared" si="4"/>
        <v>99</v>
      </c>
      <c r="Q29" s="249">
        <f t="shared" si="4"/>
        <v>-2967</v>
      </c>
      <c r="R29" s="249">
        <f t="shared" si="4"/>
        <v>107</v>
      </c>
      <c r="S29" s="249">
        <f t="shared" si="4"/>
        <v>123</v>
      </c>
      <c r="T29" s="249">
        <f t="shared" si="4"/>
        <v>119</v>
      </c>
      <c r="U29" s="249">
        <f t="shared" si="4"/>
        <v>112</v>
      </c>
      <c r="V29" s="249">
        <f t="shared" si="4"/>
        <v>110</v>
      </c>
      <c r="W29" s="249">
        <f t="shared" si="4"/>
        <v>117</v>
      </c>
      <c r="X29" s="249">
        <f t="shared" si="4"/>
        <v>102</v>
      </c>
      <c r="Y29" s="249">
        <f t="shared" si="4"/>
        <v>100</v>
      </c>
      <c r="Z29" s="249">
        <f t="shared" si="4"/>
        <v>119</v>
      </c>
      <c r="AA29" s="249">
        <f t="shared" si="4"/>
        <v>97</v>
      </c>
      <c r="AB29" s="249">
        <f t="shared" si="4"/>
        <v>103</v>
      </c>
      <c r="AC29" s="249">
        <f t="shared" si="4"/>
        <v>98</v>
      </c>
      <c r="AD29" s="249">
        <f t="shared" si="4"/>
        <v>77</v>
      </c>
      <c r="AE29" s="249">
        <f t="shared" si="4"/>
        <v>91</v>
      </c>
      <c r="AF29" s="249">
        <f t="shared" si="4"/>
        <v>104</v>
      </c>
      <c r="AG29" s="249">
        <f t="shared" si="4"/>
        <v>99</v>
      </c>
      <c r="AH29" s="249">
        <f t="shared" si="4"/>
        <v>105</v>
      </c>
      <c r="AI29" s="248"/>
    </row>
    <row r="30" spans="2:35">
      <c r="B30" s="247" t="s">
        <v>84</v>
      </c>
      <c r="C30" s="248"/>
      <c r="D30" s="249">
        <f>SUM(D10:D11,D14:D15)</f>
        <v>24</v>
      </c>
      <c r="E30" s="249">
        <f t="shared" ref="E30:AH30" si="5">SUM(E10:E11,E14:E15)</f>
        <v>28</v>
      </c>
      <c r="F30" s="249">
        <f t="shared" si="5"/>
        <v>29</v>
      </c>
      <c r="G30" s="249">
        <f t="shared" si="5"/>
        <v>29</v>
      </c>
      <c r="H30" s="249">
        <f t="shared" si="5"/>
        <v>23</v>
      </c>
      <c r="I30" s="249">
        <f t="shared" si="5"/>
        <v>31</v>
      </c>
      <c r="J30" s="249">
        <f t="shared" si="5"/>
        <v>36</v>
      </c>
      <c r="K30" s="249">
        <f t="shared" si="5"/>
        <v>31</v>
      </c>
      <c r="L30" s="249">
        <f t="shared" si="5"/>
        <v>38</v>
      </c>
      <c r="M30" s="249">
        <f t="shared" si="5"/>
        <v>40</v>
      </c>
      <c r="N30" s="249">
        <f t="shared" si="5"/>
        <v>36</v>
      </c>
      <c r="O30" s="249">
        <f t="shared" si="5"/>
        <v>36</v>
      </c>
      <c r="P30" s="249">
        <f t="shared" si="5"/>
        <v>35</v>
      </c>
      <c r="Q30" s="249">
        <f t="shared" si="5"/>
        <v>-959</v>
      </c>
      <c r="R30" s="249">
        <f t="shared" si="5"/>
        <v>46</v>
      </c>
      <c r="S30" s="249">
        <f t="shared" si="5"/>
        <v>34</v>
      </c>
      <c r="T30" s="249">
        <f t="shared" si="5"/>
        <v>33</v>
      </c>
      <c r="U30" s="249">
        <f t="shared" si="5"/>
        <v>40</v>
      </c>
      <c r="V30" s="249">
        <f t="shared" si="5"/>
        <v>42</v>
      </c>
      <c r="W30" s="249">
        <f t="shared" si="5"/>
        <v>50</v>
      </c>
      <c r="X30" s="249">
        <f t="shared" si="5"/>
        <v>23</v>
      </c>
      <c r="Y30" s="249">
        <f t="shared" si="5"/>
        <v>30</v>
      </c>
      <c r="Z30" s="249">
        <f t="shared" si="5"/>
        <v>35</v>
      </c>
      <c r="AA30" s="249">
        <f t="shared" si="5"/>
        <v>31</v>
      </c>
      <c r="AB30" s="249">
        <f t="shared" si="5"/>
        <v>25</v>
      </c>
      <c r="AC30" s="249">
        <f t="shared" si="5"/>
        <v>32</v>
      </c>
      <c r="AD30" s="249">
        <f t="shared" si="5"/>
        <v>33</v>
      </c>
      <c r="AE30" s="249">
        <f t="shared" si="5"/>
        <v>27</v>
      </c>
      <c r="AF30" s="249">
        <f t="shared" si="5"/>
        <v>38</v>
      </c>
      <c r="AG30" s="249">
        <f t="shared" si="5"/>
        <v>24</v>
      </c>
      <c r="AH30" s="249">
        <f t="shared" si="5"/>
        <v>123</v>
      </c>
      <c r="AI30" s="248"/>
    </row>
    <row r="31" spans="2:35">
      <c r="B31" s="247" t="s">
        <v>85</v>
      </c>
      <c r="C31" s="248"/>
      <c r="D31" s="248">
        <f>D30/SUM(D29:D30)%</f>
        <v>23.762376237623762</v>
      </c>
      <c r="E31" s="248">
        <f t="shared" ref="E31:AH31" si="6">E30/SUM(E29:E30)%</f>
        <v>22.222222222222221</v>
      </c>
      <c r="F31" s="248">
        <f t="shared" si="6"/>
        <v>23.770491803278688</v>
      </c>
      <c r="G31" s="248">
        <f t="shared" si="6"/>
        <v>23.015873015873016</v>
      </c>
      <c r="H31" s="248">
        <f t="shared" si="6"/>
        <v>19.166666666666668</v>
      </c>
      <c r="I31" s="248">
        <f t="shared" si="6"/>
        <v>24.21875</v>
      </c>
      <c r="J31" s="248">
        <f t="shared" si="6"/>
        <v>25.174825174825177</v>
      </c>
      <c r="K31" s="248">
        <f t="shared" si="6"/>
        <v>21.232876712328768</v>
      </c>
      <c r="L31" s="248">
        <f t="shared" si="6"/>
        <v>27.338129496402878</v>
      </c>
      <c r="M31" s="248">
        <f t="shared" si="6"/>
        <v>28.169014084507044</v>
      </c>
      <c r="N31" s="248">
        <f t="shared" si="6"/>
        <v>26.086956521739133</v>
      </c>
      <c r="O31" s="248">
        <f t="shared" si="6"/>
        <v>25.714285714285715</v>
      </c>
      <c r="P31" s="248">
        <f t="shared" si="6"/>
        <v>26.119402985074625</v>
      </c>
      <c r="Q31" s="248">
        <f t="shared" si="6"/>
        <v>24.426897605705555</v>
      </c>
      <c r="R31" s="248">
        <f t="shared" si="6"/>
        <v>30.065359477124183</v>
      </c>
      <c r="S31" s="248">
        <f t="shared" si="6"/>
        <v>21.656050955414013</v>
      </c>
      <c r="T31" s="248">
        <f t="shared" si="6"/>
        <v>21.710526315789473</v>
      </c>
      <c r="U31" s="248">
        <f t="shared" si="6"/>
        <v>26.315789473684209</v>
      </c>
      <c r="V31" s="248">
        <f t="shared" si="6"/>
        <v>27.631578947368421</v>
      </c>
      <c r="W31" s="248">
        <f t="shared" si="6"/>
        <v>29.940119760479043</v>
      </c>
      <c r="X31" s="248">
        <f t="shared" si="6"/>
        <v>18.399999999999999</v>
      </c>
      <c r="Y31" s="248">
        <f t="shared" si="6"/>
        <v>23.076923076923077</v>
      </c>
      <c r="Z31" s="248">
        <f t="shared" si="6"/>
        <v>22.727272727272727</v>
      </c>
      <c r="AA31" s="248">
        <f t="shared" si="6"/>
        <v>24.21875</v>
      </c>
      <c r="AB31" s="248">
        <f t="shared" si="6"/>
        <v>19.53125</v>
      </c>
      <c r="AC31" s="248">
        <f t="shared" si="6"/>
        <v>24.615384615384613</v>
      </c>
      <c r="AD31" s="248">
        <f t="shared" si="6"/>
        <v>29.999999999999996</v>
      </c>
      <c r="AE31" s="248">
        <f t="shared" si="6"/>
        <v>22.881355932203391</v>
      </c>
      <c r="AF31" s="248">
        <f t="shared" si="6"/>
        <v>26.760563380281692</v>
      </c>
      <c r="AG31" s="248">
        <f t="shared" si="6"/>
        <v>19.512195121951219</v>
      </c>
      <c r="AH31" s="248">
        <f t="shared" si="6"/>
        <v>53.947368421052637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17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9" t="s">
        <v>308</v>
      </c>
      <c r="G2" s="780"/>
      <c r="H2" s="780"/>
      <c r="I2" s="780"/>
      <c r="J2" s="780"/>
      <c r="K2" s="780"/>
      <c r="L2" s="780"/>
      <c r="M2" s="781"/>
      <c r="N2" s="778" t="s">
        <v>86</v>
      </c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7"/>
      <c r="AO2" s="777"/>
      <c r="AP2" s="777"/>
      <c r="AQ2" s="777"/>
      <c r="AR2" s="777"/>
      <c r="AS2" s="777"/>
      <c r="AT2" s="777"/>
      <c r="AU2" s="503"/>
      <c r="AV2" s="776" t="s">
        <v>87</v>
      </c>
      <c r="AW2" s="776"/>
      <c r="AX2" s="776"/>
      <c r="AY2" s="776"/>
      <c r="BB2" s="318" t="s">
        <v>334</v>
      </c>
      <c r="BC2" s="318" t="s">
        <v>335</v>
      </c>
    </row>
    <row r="3" spans="1:55">
      <c r="F3" s="505"/>
      <c r="G3" s="506"/>
      <c r="H3" s="506"/>
      <c r="I3" s="506"/>
      <c r="J3" s="506"/>
      <c r="K3" s="506"/>
      <c r="L3" s="506"/>
      <c r="M3" s="507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4"/>
      <c r="AN3" s="782" t="s">
        <v>138</v>
      </c>
      <c r="AO3" s="782"/>
      <c r="AP3" s="782"/>
      <c r="AQ3" s="782"/>
      <c r="AR3" s="782"/>
      <c r="AS3" s="782"/>
      <c r="AT3" s="782"/>
      <c r="AU3" s="783" t="s">
        <v>283</v>
      </c>
      <c r="AV3" s="783"/>
      <c r="AW3" s="783"/>
      <c r="AX3" s="783"/>
      <c r="AY3" s="783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8" t="s">
        <v>284</v>
      </c>
      <c r="G4" s="509" t="s">
        <v>285</v>
      </c>
      <c r="H4" s="509" t="s">
        <v>286</v>
      </c>
      <c r="I4" s="509" t="s">
        <v>287</v>
      </c>
      <c r="J4" s="509" t="s">
        <v>282</v>
      </c>
      <c r="K4" s="509" t="s">
        <v>51</v>
      </c>
      <c r="L4" s="510" t="s">
        <v>60</v>
      </c>
      <c r="M4" s="510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1">
        <f>'1'!G7</f>
        <v>25024.170000000042</v>
      </c>
      <c r="C5" s="511">
        <f>'1'!G8</f>
        <v>25381.790000000037</v>
      </c>
      <c r="D5" s="511">
        <f>'1'!G15</f>
        <v>962.59000000008382</v>
      </c>
      <c r="E5" s="511">
        <f>'1'!G20</f>
        <v>198</v>
      </c>
      <c r="F5" s="511">
        <f>SUM('1'!G35,'1'!G49)</f>
        <v>3496.5599999999977</v>
      </c>
      <c r="G5" s="511">
        <f>SUM('1'!H37,'1'!H51)</f>
        <v>1693.7600000000023</v>
      </c>
      <c r="H5" s="511">
        <f>SUM('1'!G38,'1'!G52)</f>
        <v>2196.5200000000095</v>
      </c>
      <c r="I5" s="511">
        <f>SUM('1'!G39,'1'!G53)</f>
        <v>2995.1199999999371</v>
      </c>
      <c r="J5" s="511">
        <f>SUM('1'!G41,'1'!G42,'1'!G55,'1'!G56)</f>
        <v>5528.6499999999651</v>
      </c>
      <c r="K5" s="511">
        <f>SUM('1'!G43,'1'!G57)</f>
        <v>2932.179999999993</v>
      </c>
      <c r="L5" s="254">
        <f>'1'!G50</f>
        <v>1003.3500000000058</v>
      </c>
      <c r="M5" s="254">
        <f>'1'!G36</f>
        <v>855.11999999999534</v>
      </c>
      <c r="N5" s="254">
        <f>'1'!G138</f>
        <v>127</v>
      </c>
      <c r="O5" s="254">
        <f>'1'!G139</f>
        <v>179</v>
      </c>
      <c r="P5" s="254">
        <f>'1'!G140</f>
        <v>14.210000000000036</v>
      </c>
      <c r="Q5" s="254">
        <f>'1'!G141</f>
        <v>205.57000000000698</v>
      </c>
      <c r="R5" s="254">
        <f>'1'!G142</f>
        <v>72.180000000000291</v>
      </c>
      <c r="S5" s="254">
        <f>'1'!$G$145</f>
        <v>0</v>
      </c>
      <c r="T5" s="254">
        <f>'1'!$G$146</f>
        <v>41</v>
      </c>
      <c r="U5" s="254">
        <f>'1'!$G$144</f>
        <v>251</v>
      </c>
      <c r="V5" s="254">
        <f>'1'!$G$147</f>
        <v>375.35999999998603</v>
      </c>
      <c r="W5" s="254">
        <f>'1'!$G$148</f>
        <v>307.76000000000931</v>
      </c>
      <c r="X5" s="254">
        <f>'1'!$G$143</f>
        <v>26.510000000000218</v>
      </c>
      <c r="Y5" s="254">
        <f>'1'!$G$58</f>
        <v>272.13999999999942</v>
      </c>
      <c r="Z5" s="254">
        <f>'1'!$G$151</f>
        <v>255</v>
      </c>
      <c r="AA5" s="254">
        <f>'1'!G161</f>
        <v>39.200000000011642</v>
      </c>
      <c r="AB5" s="254">
        <f>'1'!G162</f>
        <v>43.099999999991269</v>
      </c>
      <c r="AC5" s="254"/>
      <c r="AD5" s="254">
        <f>'1'!G163+'1'!G164</f>
        <v>160.20000000000027</v>
      </c>
      <c r="AE5" s="254">
        <f>'1'!$G$116</f>
        <v>390.72999999999593</v>
      </c>
      <c r="AF5" s="254">
        <f>'1'!$G$117</f>
        <v>227.82999999999447</v>
      </c>
      <c r="AG5" s="254">
        <f>'1'!$G$118</f>
        <v>647.60000000000582</v>
      </c>
      <c r="AH5" s="254">
        <f>'1'!$G$119</f>
        <v>228.31000000000131</v>
      </c>
      <c r="AI5" s="254">
        <f>'1'!$G$120</f>
        <v>444.47000000000116</v>
      </c>
      <c r="AJ5" s="254">
        <f>'1'!$G$121</f>
        <v>467.13999999999942</v>
      </c>
      <c r="AK5" s="254">
        <f>'1'!$G$122</f>
        <v>300.38999999999942</v>
      </c>
      <c r="AL5" s="254">
        <f>'1'!$G$123</f>
        <v>319.08000000000175</v>
      </c>
      <c r="AM5" s="254">
        <f>'1'!$G$133</f>
        <v>739</v>
      </c>
      <c r="AN5" s="254">
        <f>'1'!$G$15</f>
        <v>962.59000000008382</v>
      </c>
      <c r="AO5" s="254">
        <f>'1'!$G$74</f>
        <v>328.31000000005588</v>
      </c>
      <c r="AP5" s="254">
        <f>'1'!$G$75</f>
        <v>0</v>
      </c>
      <c r="AQ5" s="254">
        <f>'1'!$G$76</f>
        <v>114.27000000001863</v>
      </c>
      <c r="AR5" s="254">
        <f>'1'!$G$77</f>
        <v>45.19999999999709</v>
      </c>
      <c r="AS5" s="254">
        <f>'1'!$G$78</f>
        <v>0</v>
      </c>
      <c r="AT5" s="254">
        <f>AN5-SUM(AO5:AS5)</f>
        <v>474.81000000001222</v>
      </c>
      <c r="AU5" s="254">
        <f>SUM('1'!G91:G92)</f>
        <v>11.420000000000073</v>
      </c>
      <c r="AV5" s="254">
        <f>'1'!$G$88</f>
        <v>5.9999999997671694E-2</v>
      </c>
      <c r="AW5" s="254">
        <f>'1'!$G$89</f>
        <v>8.4200000000018917</v>
      </c>
      <c r="AX5" s="254">
        <f>'1'!$G$90</f>
        <v>7.9100000000034925</v>
      </c>
      <c r="AY5" s="252">
        <f>SUM(AV5:AX5)</f>
        <v>16.390000000003056</v>
      </c>
      <c r="AZ5" s="311">
        <f>AO5/AU5</f>
        <v>28.748686514890874</v>
      </c>
      <c r="BA5" s="311">
        <f>AT5/AY5</f>
        <v>28.969493593650011</v>
      </c>
      <c r="BB5" s="351">
        <f>C5-SUM(F5:K5,Y5)</f>
        <v>6266.8600000001315</v>
      </c>
      <c r="BC5" s="351">
        <f>BB5/B5%</f>
        <v>25.043228206969985</v>
      </c>
    </row>
    <row r="6" spans="1:55">
      <c r="A6" s="359">
        <v>2</v>
      </c>
      <c r="B6" s="511">
        <f>'2'!G7</f>
        <v>27073.159999999916</v>
      </c>
      <c r="C6" s="511">
        <f>'2'!G8</f>
        <v>27519.279999999912</v>
      </c>
      <c r="D6" s="511">
        <f>'2'!G15</f>
        <v>989.68999999994412</v>
      </c>
      <c r="E6" s="511">
        <f>'2'!G20</f>
        <v>167</v>
      </c>
      <c r="F6" s="511">
        <f>SUM('2'!G35,'2'!G49)</f>
        <v>3433.1599999999744</v>
      </c>
      <c r="G6" s="511">
        <f>SUM('2'!G37,'2'!G51)</f>
        <v>1662.1199999999953</v>
      </c>
      <c r="H6" s="511">
        <f>SUM('2'!G38,'2'!G52)</f>
        <v>2286.1600000000326</v>
      </c>
      <c r="I6" s="511">
        <f>SUM('2'!G39,'2'!G53)</f>
        <v>2959.1199999999953</v>
      </c>
      <c r="J6" s="511">
        <f>SUM('2'!G41,'2'!G42,'2'!G55,'2'!G56)</f>
        <v>7548.4200000000274</v>
      </c>
      <c r="K6" s="511">
        <f>SUM('2'!G43,'2'!G57)</f>
        <v>2976.8299999999872</v>
      </c>
      <c r="L6" s="254">
        <f>'2'!G50</f>
        <v>1101.3800000000047</v>
      </c>
      <c r="M6" s="254">
        <f>'2'!G36</f>
        <v>1059.859999999986</v>
      </c>
      <c r="N6" s="254">
        <f>'2'!G138</f>
        <v>143</v>
      </c>
      <c r="O6" s="254">
        <f>'2'!$G$139</f>
        <v>152</v>
      </c>
      <c r="P6" s="254">
        <f>'2'!$G$140</f>
        <v>14.319999999999936</v>
      </c>
      <c r="Q6" s="254">
        <f>'2'!$G$141</f>
        <v>212.3799999999901</v>
      </c>
      <c r="R6" s="254">
        <f>'2'!$G$142</f>
        <v>72.519999999996799</v>
      </c>
      <c r="S6" s="254">
        <f>'2'!$G$145</f>
        <v>0</v>
      </c>
      <c r="T6" s="254">
        <f>'2'!$G$146</f>
        <v>41</v>
      </c>
      <c r="U6" s="254">
        <f>'2'!$G$144</f>
        <v>250</v>
      </c>
      <c r="V6" s="254">
        <f>'2'!$G$147</f>
        <v>356.47999999998137</v>
      </c>
      <c r="W6" s="251">
        <f>'2'!$G$148</f>
        <v>352.95999999996275</v>
      </c>
      <c r="X6" s="251">
        <f>'2'!$G$143</f>
        <v>32.430000000000291</v>
      </c>
      <c r="Y6" s="251">
        <f>'2'!$G$58</f>
        <v>315.05999999999767</v>
      </c>
      <c r="Z6" s="251">
        <f>'2'!$G$151</f>
        <v>271</v>
      </c>
      <c r="AA6" s="251">
        <f>'2'!G161</f>
        <v>34.799999999988358</v>
      </c>
      <c r="AB6" s="254">
        <f>'2'!G162</f>
        <v>37.30000000000291</v>
      </c>
      <c r="AC6" s="254"/>
      <c r="AD6" s="254">
        <f>'2'!G163+'2'!G164</f>
        <v>141.30000000000064</v>
      </c>
      <c r="AE6" s="254">
        <f>'2'!$G$116</f>
        <v>387.47000000000116</v>
      </c>
      <c r="AF6" s="254">
        <f>'2'!$G$117</f>
        <v>265.56000000000495</v>
      </c>
      <c r="AG6" s="254">
        <f>'2'!$G$118</f>
        <v>617.17999999999302</v>
      </c>
      <c r="AH6" s="254">
        <f>'2'!$G$119</f>
        <v>234.72000000000116</v>
      </c>
      <c r="AI6" s="254">
        <f>'2'!$G$120</f>
        <v>434.27999999999884</v>
      </c>
      <c r="AJ6" s="254">
        <f>'2'!$G$121</f>
        <v>451.26000000000204</v>
      </c>
      <c r="AK6" s="254">
        <f>'2'!$G$122</f>
        <v>280.7599999999984</v>
      </c>
      <c r="AL6" s="254">
        <f>'2'!$G$123</f>
        <v>312.15999999999985</v>
      </c>
      <c r="AM6" s="254">
        <f>'2'!$G$133</f>
        <v>608</v>
      </c>
      <c r="AN6" s="254">
        <f>'2'!$G$15</f>
        <v>989.68999999994412</v>
      </c>
      <c r="AO6" s="254">
        <f>'2'!$G$74</f>
        <v>277.96999999997206</v>
      </c>
      <c r="AP6" s="254">
        <f>'2'!$G$75</f>
        <v>0</v>
      </c>
      <c r="AQ6" s="254">
        <f>'2'!$G$76</f>
        <v>103.60999999998603</v>
      </c>
      <c r="AR6" s="254">
        <f>'2'!$G$77</f>
        <v>43.19999999999709</v>
      </c>
      <c r="AS6" s="254">
        <f>'2'!$G$78</f>
        <v>0</v>
      </c>
      <c r="AT6" s="254">
        <f t="shared" ref="AT6:AT34" si="0">AN6-SUM(AO6:AS6)</f>
        <v>564.90999999998894</v>
      </c>
      <c r="AU6" s="254">
        <f>SUM('2'!G91:G92)</f>
        <v>9.6499999999996362</v>
      </c>
      <c r="AV6" s="254">
        <f>'2'!$G$88</f>
        <v>0</v>
      </c>
      <c r="AW6" s="254">
        <f>'2'!$G$89</f>
        <v>9.6199999999989814</v>
      </c>
      <c r="AX6" s="254">
        <f>'2'!$G$90</f>
        <v>7.2100000000064028</v>
      </c>
      <c r="AY6" s="252">
        <f t="shared" ref="AY6:AY34" si="1">SUM(AV6:AX6)</f>
        <v>16.830000000005384</v>
      </c>
      <c r="AZ6" s="311">
        <f t="shared" ref="AZ6:AZ8" si="2">AO6/AU6</f>
        <v>28.805181347148451</v>
      </c>
      <c r="BA6" s="311">
        <f t="shared" ref="BA6:BA35" si="3">AT6/AY6</f>
        <v>33.56565656564517</v>
      </c>
      <c r="BB6" s="351">
        <f t="shared" ref="BB6:BB35" si="4">C6-SUM(F6:K6,Y6)</f>
        <v>6338.4099999999016</v>
      </c>
      <c r="BC6" s="351">
        <f t="shared" ref="BC6:BC35" si="5">BB6/B6%</f>
        <v>23.41215432553836</v>
      </c>
    </row>
    <row r="7" spans="1:55" s="313" customFormat="1">
      <c r="A7" s="359">
        <v>3</v>
      </c>
      <c r="B7" s="511">
        <f>'3'!G7</f>
        <v>28755.520000000019</v>
      </c>
      <c r="C7" s="511">
        <f>'3'!G8</f>
        <v>29256.720000000088</v>
      </c>
      <c r="D7" s="511">
        <f>'3'!G15</f>
        <v>1015.8000000000466</v>
      </c>
      <c r="E7" s="511">
        <f>'3'!G20</f>
        <v>222</v>
      </c>
      <c r="F7" s="511">
        <f>SUM('3'!G35,'3'!G49)</f>
        <v>3612.7600000000093</v>
      </c>
      <c r="G7" s="511">
        <f>SUM('3'!G37,'3'!G51)</f>
        <v>1570</v>
      </c>
      <c r="H7" s="511">
        <f>SUM('3'!G38,'3'!G52)</f>
        <v>2274.1199999999953</v>
      </c>
      <c r="I7" s="511">
        <f>SUM('3'!G39,'3'!G53)</f>
        <v>3008.2399999999907</v>
      </c>
      <c r="J7" s="511">
        <f>SUM('3'!G41,'3'!G42,'3'!G55,'3'!G56)</f>
        <v>8860.9000000000233</v>
      </c>
      <c r="K7" s="511">
        <f>SUM('3'!G43,'3'!G57)</f>
        <v>3250.9900000000198</v>
      </c>
      <c r="L7" s="251">
        <f>'3'!G50</f>
        <v>1045.2600000000093</v>
      </c>
      <c r="M7" s="251">
        <f>'3'!G36</f>
        <v>1142</v>
      </c>
      <c r="N7" s="251">
        <f>'3'!G138</f>
        <v>153</v>
      </c>
      <c r="O7" s="251">
        <f>'3'!$G$139</f>
        <v>153</v>
      </c>
      <c r="P7" s="251">
        <f>'3'!$G$140</f>
        <v>12.940000000000055</v>
      </c>
      <c r="Q7" s="251">
        <f>'3'!$G$141</f>
        <v>213.60000000000582</v>
      </c>
      <c r="R7" s="251">
        <f>'3'!$G$142</f>
        <v>77.900000000001455</v>
      </c>
      <c r="S7" s="251">
        <f>'3'!$G$145</f>
        <v>0</v>
      </c>
      <c r="T7" s="251">
        <f>'3'!$G$146</f>
        <v>63</v>
      </c>
      <c r="U7" s="251">
        <f>'3'!$G$144</f>
        <v>251</v>
      </c>
      <c r="V7" s="251">
        <f>'3'!$G$147</f>
        <v>392</v>
      </c>
      <c r="W7" s="251">
        <f>'3'!$G$148</f>
        <v>349</v>
      </c>
      <c r="X7" s="251">
        <f>'3'!$G$143</f>
        <v>28.280000000000655</v>
      </c>
      <c r="Y7" s="251">
        <f>'3'!$G$58</f>
        <v>297.54000000000087</v>
      </c>
      <c r="Z7" s="251">
        <f>'3'!$G$151</f>
        <v>271</v>
      </c>
      <c r="AA7" s="254">
        <f>'3'!G161</f>
        <v>40.039999999979045</v>
      </c>
      <c r="AB7" s="254">
        <f>'3'!G162</f>
        <v>23.30000000000291</v>
      </c>
      <c r="AC7" s="254"/>
      <c r="AD7" s="254">
        <f>'3'!G163+'3'!G164</f>
        <v>189.39999999999918</v>
      </c>
      <c r="AE7" s="251">
        <f>'3'!$G$116</f>
        <v>460.04000000000087</v>
      </c>
      <c r="AF7" s="251">
        <f>'3'!$G$117</f>
        <v>284.56999999999971</v>
      </c>
      <c r="AG7" s="251">
        <f>'3'!$G$118</f>
        <v>644.19000000000233</v>
      </c>
      <c r="AH7" s="251">
        <f>'3'!$G$119</f>
        <v>236.55999999999767</v>
      </c>
      <c r="AI7" s="251">
        <f>'3'!$G$120</f>
        <v>432.26000000000204</v>
      </c>
      <c r="AJ7" s="251">
        <f>'3'!$G$121</f>
        <v>457.66999999999825</v>
      </c>
      <c r="AK7" s="251">
        <f>'3'!$G$122</f>
        <v>301.70000000000073</v>
      </c>
      <c r="AL7" s="251">
        <f>'3'!$G$123</f>
        <v>312.77999999999884</v>
      </c>
      <c r="AM7" s="251">
        <f>'3'!$G$133</f>
        <v>657</v>
      </c>
      <c r="AN7" s="251">
        <f>'3'!$G$15</f>
        <v>1015.8000000000466</v>
      </c>
      <c r="AO7" s="251">
        <f>'3'!$G$74</f>
        <v>304.46999999997206</v>
      </c>
      <c r="AP7" s="251">
        <f>'3'!$G$75</f>
        <v>0</v>
      </c>
      <c r="AQ7" s="251">
        <f>'3'!$G$76</f>
        <v>110.22000000000116</v>
      </c>
      <c r="AR7" s="251">
        <f>'3'!$G$77</f>
        <v>43.80000000000291</v>
      </c>
      <c r="AS7" s="251">
        <f>'3'!$G$78</f>
        <v>-0.3999999999996362</v>
      </c>
      <c r="AT7" s="251">
        <f t="shared" si="0"/>
        <v>557.71000000007007</v>
      </c>
      <c r="AU7" s="254">
        <f>SUM('3'!G91:G92)</f>
        <v>10.789999999999964</v>
      </c>
      <c r="AV7" s="251">
        <f>'3'!$G$88</f>
        <v>0</v>
      </c>
      <c r="AW7" s="251">
        <f>'3'!$G$89</f>
        <v>9.2999999999992724</v>
      </c>
      <c r="AX7" s="251">
        <f>'3'!$G$90</f>
        <v>0</v>
      </c>
      <c r="AY7" s="255">
        <f t="shared" si="1"/>
        <v>9.2999999999992724</v>
      </c>
      <c r="AZ7" s="311">
        <f t="shared" si="2"/>
        <v>28.217794253936336</v>
      </c>
      <c r="BA7" s="311">
        <f t="shared" si="3"/>
        <v>59.968817204313304</v>
      </c>
      <c r="BB7" s="351">
        <f t="shared" si="4"/>
        <v>6382.1700000000492</v>
      </c>
      <c r="BC7" s="351">
        <f t="shared" si="5"/>
        <v>22.194590812477205</v>
      </c>
    </row>
    <row r="8" spans="1:55">
      <c r="A8" s="359">
        <v>4</v>
      </c>
      <c r="B8" s="511">
        <f>'4'!G7</f>
        <v>27058.650000000023</v>
      </c>
      <c r="C8" s="511">
        <f>'4'!G8</f>
        <v>27545.209999999963</v>
      </c>
      <c r="D8" s="511">
        <f>'4'!G15</f>
        <v>997.51000000000931</v>
      </c>
      <c r="E8" s="511">
        <f>'4'!G20</f>
        <v>290</v>
      </c>
      <c r="F8" s="511">
        <f>SUM('4'!G35,'4'!G49)</f>
        <v>3635.7200000000303</v>
      </c>
      <c r="G8" s="511">
        <f>SUM('4'!G37,'4'!G51)</f>
        <v>1599.4500000000116</v>
      </c>
      <c r="H8" s="511">
        <f>SUM('4'!G38,'4'!G52)</f>
        <v>2193.5999999999858</v>
      </c>
      <c r="I8" s="511">
        <f>SUM('4'!G39,'4'!G53)</f>
        <v>3012.9300000000512</v>
      </c>
      <c r="J8" s="511">
        <f>SUM('4'!G41,'4'!G42,'4'!G55,'4'!G56)</f>
        <v>8291.0199999999459</v>
      </c>
      <c r="K8" s="511">
        <f>SUM('4'!G43,'4'!G57)</f>
        <v>3076.2999999999884</v>
      </c>
      <c r="L8" s="254">
        <f>'4'!G50</f>
        <v>1581.609999999986</v>
      </c>
      <c r="M8" s="254">
        <f>'4'!G36</f>
        <v>765.79000000000815</v>
      </c>
      <c r="N8" s="254">
        <f>'4'!G138</f>
        <v>138</v>
      </c>
      <c r="O8" s="254">
        <f>'4'!$G$139</f>
        <v>146</v>
      </c>
      <c r="P8" s="254">
        <f>'4'!$G$140</f>
        <v>13.480000000000018</v>
      </c>
      <c r="Q8" s="254">
        <f>'4'!$G$141</f>
        <v>197.25</v>
      </c>
      <c r="R8" s="254">
        <f>'4'!$G$142</f>
        <v>75.930000000000291</v>
      </c>
      <c r="S8" s="254">
        <f>'4'!$G$145</f>
        <v>0</v>
      </c>
      <c r="T8" s="254">
        <f>'4'!$G$146</f>
        <v>56</v>
      </c>
      <c r="U8" s="254">
        <f>'4'!$G$144</f>
        <v>248</v>
      </c>
      <c r="V8" s="251">
        <f>'4'!$G$147</f>
        <v>360</v>
      </c>
      <c r="W8" s="251">
        <f>'4'!$G$148</f>
        <v>313</v>
      </c>
      <c r="X8" s="254">
        <f>'4'!$G$143</f>
        <v>31.459999999999127</v>
      </c>
      <c r="Y8" s="254">
        <f>'4'!$G$58</f>
        <v>286.15000000000146</v>
      </c>
      <c r="Z8" s="254">
        <f>'4'!$G$151</f>
        <v>258</v>
      </c>
      <c r="AA8" s="254">
        <f>'4'!G161</f>
        <v>38.960000000020955</v>
      </c>
      <c r="AB8" s="254">
        <f>'4'!G162</f>
        <v>37</v>
      </c>
      <c r="AC8" s="254"/>
      <c r="AD8" s="254">
        <f>'4'!G163+'4'!G164</f>
        <v>160.60000000000036</v>
      </c>
      <c r="AE8" s="254">
        <f>'4'!$G$116</f>
        <v>365.20999999999913</v>
      </c>
      <c r="AF8" s="254">
        <f>'4'!$G$117</f>
        <v>284.55999999999767</v>
      </c>
      <c r="AG8" s="254">
        <f>'4'!$G$118</f>
        <v>652.72000000000116</v>
      </c>
      <c r="AH8" s="254">
        <f>'4'!$G$119</f>
        <v>228.81000000000131</v>
      </c>
      <c r="AI8" s="254">
        <f>'4'!$G$120</f>
        <v>434.43000000000029</v>
      </c>
      <c r="AJ8" s="254">
        <f>'4'!$G$121</f>
        <v>481.02999999999884</v>
      </c>
      <c r="AK8" s="254">
        <f>'4'!$G$122</f>
        <v>290.27000000000044</v>
      </c>
      <c r="AL8" s="254">
        <f>'4'!$G$123</f>
        <v>313.97999999999956</v>
      </c>
      <c r="AM8" s="254">
        <f>'4'!$G$133</f>
        <v>642</v>
      </c>
      <c r="AN8" s="254">
        <f>'4'!$G$15</f>
        <v>997.51000000000931</v>
      </c>
      <c r="AO8" s="254">
        <f>'4'!$G$74</f>
        <v>289.05000000004657</v>
      </c>
      <c r="AP8" s="254">
        <f>'4'!$G$75</f>
        <v>0</v>
      </c>
      <c r="AQ8" s="254">
        <f>'4'!$G$76</f>
        <v>93.600000000005821</v>
      </c>
      <c r="AR8" s="254">
        <f>'4'!$G$77</f>
        <v>49</v>
      </c>
      <c r="AS8" s="254">
        <f>'4'!$G$78</f>
        <v>0</v>
      </c>
      <c r="AT8" s="254">
        <f t="shared" si="0"/>
        <v>565.85999999995693</v>
      </c>
      <c r="AU8" s="254">
        <f>SUM('4'!G91:G92)</f>
        <v>11.190000000000509</v>
      </c>
      <c r="AV8" s="254">
        <f>'4'!$G$88</f>
        <v>-9.9999999983992893E-3</v>
      </c>
      <c r="AW8" s="254">
        <f>'4'!$G$89</f>
        <v>9.0900000000001455</v>
      </c>
      <c r="AX8" s="254">
        <f>'4'!$G$90</f>
        <v>10</v>
      </c>
      <c r="AY8" s="252">
        <f t="shared" si="1"/>
        <v>19.080000000001746</v>
      </c>
      <c r="AZ8" s="311">
        <f t="shared" si="2"/>
        <v>25.831099195713442</v>
      </c>
      <c r="BA8" s="311">
        <f t="shared" si="3"/>
        <v>29.657232704397543</v>
      </c>
      <c r="BB8" s="351">
        <f t="shared" si="4"/>
        <v>5450.0399999999499</v>
      </c>
      <c r="BC8" s="351">
        <f t="shared" si="5"/>
        <v>20.141581342749713</v>
      </c>
    </row>
    <row r="9" spans="1:55">
      <c r="A9" s="359">
        <v>5</v>
      </c>
      <c r="B9" s="511">
        <f>'5'!G7</f>
        <v>26259</v>
      </c>
      <c r="C9" s="511">
        <f>'5'!G8</f>
        <v>26694</v>
      </c>
      <c r="D9" s="511">
        <f>'5'!G15</f>
        <v>1007</v>
      </c>
      <c r="E9" s="511">
        <f>'5'!G20</f>
        <v>200</v>
      </c>
      <c r="F9" s="511">
        <f>SUM('5'!G35,'5'!G49)</f>
        <v>3710</v>
      </c>
      <c r="G9" s="511">
        <f>SUM('5'!G37,'5'!G51)</f>
        <v>1649.68</v>
      </c>
      <c r="H9" s="511">
        <f>SUM('5'!G38,'5'!G52)</f>
        <v>2164.0100000000002</v>
      </c>
      <c r="I9" s="511">
        <f>SUM('5'!G39,'5'!G53)</f>
        <v>3006</v>
      </c>
      <c r="J9" s="511">
        <f>SUM('5'!G41,'5'!G42,'5'!G55,'5'!G56)</f>
        <v>7382</v>
      </c>
      <c r="K9" s="511">
        <f>SUM('5'!G43,'5'!G57)</f>
        <v>3236</v>
      </c>
      <c r="L9" s="254">
        <f>'5'!G50</f>
        <v>569</v>
      </c>
      <c r="M9" s="254">
        <f>'5'!G36</f>
        <v>830</v>
      </c>
      <c r="N9" s="254">
        <f>'5'!G138</f>
        <v>149</v>
      </c>
      <c r="O9" s="254">
        <f>'5'!$G$139</f>
        <v>155</v>
      </c>
      <c r="P9" s="254">
        <f>'5'!$G$140</f>
        <v>14</v>
      </c>
      <c r="Q9" s="258">
        <f>'5'!$G$141</f>
        <v>212</v>
      </c>
      <c r="R9" s="254">
        <f>'5'!$G$142</f>
        <v>67</v>
      </c>
      <c r="S9" s="251">
        <f>'5'!$G$145</f>
        <v>0</v>
      </c>
      <c r="T9" s="254">
        <f>'5'!$G$146</f>
        <v>50</v>
      </c>
      <c r="U9" s="254">
        <f>'5'!$G$144</f>
        <v>240</v>
      </c>
      <c r="V9" s="256">
        <f>'5'!$G$147</f>
        <v>348</v>
      </c>
      <c r="W9" s="254">
        <f>'5'!$G$148</f>
        <v>250</v>
      </c>
      <c r="X9" s="254">
        <f>'5'!$G$143</f>
        <v>29</v>
      </c>
      <c r="Y9" s="254">
        <f>'5'!$G$58</f>
        <v>306</v>
      </c>
      <c r="Z9" s="254">
        <f>'5'!$G$151</f>
        <v>259</v>
      </c>
      <c r="AA9" s="254">
        <f>'5'!G161</f>
        <v>86</v>
      </c>
      <c r="AB9" s="254">
        <f>'5'!G162</f>
        <v>40</v>
      </c>
      <c r="AC9" s="254"/>
      <c r="AD9" s="254">
        <f>'5'!G163+'5'!G164</f>
        <v>149</v>
      </c>
      <c r="AE9" s="254">
        <f>'5'!$G$116</f>
        <v>398</v>
      </c>
      <c r="AF9" s="254">
        <f>'5'!$G$117</f>
        <v>315</v>
      </c>
      <c r="AG9" s="254">
        <f>'5'!$G$118</f>
        <v>640</v>
      </c>
      <c r="AH9" s="254">
        <f>'5'!$G$119</f>
        <v>234</v>
      </c>
      <c r="AI9" s="254">
        <f>'5'!$G$120</f>
        <v>446</v>
      </c>
      <c r="AJ9" s="254">
        <f>'5'!$G$121</f>
        <v>469</v>
      </c>
      <c r="AK9" s="254">
        <f>'5'!$G$122</f>
        <v>333</v>
      </c>
      <c r="AL9" s="254">
        <f>'5'!$G$123</f>
        <v>317</v>
      </c>
      <c r="AM9" s="254">
        <f>'5'!$G$133</f>
        <v>747</v>
      </c>
      <c r="AN9" s="254">
        <f>'5'!$G$15</f>
        <v>1007</v>
      </c>
      <c r="AO9" s="256">
        <f>'5'!$G$74</f>
        <v>311</v>
      </c>
      <c r="AP9" s="256">
        <f>'5'!$G$75</f>
        <v>0</v>
      </c>
      <c r="AQ9" s="256">
        <f>'5'!$G$76</f>
        <v>106</v>
      </c>
      <c r="AR9" s="256">
        <f>'5'!$G$77</f>
        <v>46</v>
      </c>
      <c r="AS9" s="256">
        <f>'5'!$G$78</f>
        <v>0.3999999999996362</v>
      </c>
      <c r="AT9" s="256">
        <f t="shared" si="0"/>
        <v>543.60000000000036</v>
      </c>
      <c r="AU9" s="254">
        <f>SUM('5'!G91:G92)</f>
        <v>11.75</v>
      </c>
      <c r="AV9" s="254">
        <f>'5'!$G$88</f>
        <v>0</v>
      </c>
      <c r="AW9" s="254">
        <f>'5'!$G$89</f>
        <v>9.6700000000018917</v>
      </c>
      <c r="AX9" s="254">
        <f>'5'!$G$90</f>
        <v>10</v>
      </c>
      <c r="AY9" s="252">
        <f t="shared" si="1"/>
        <v>19.670000000001892</v>
      </c>
      <c r="AZ9" s="311">
        <f>AO9/AU9</f>
        <v>26.468085106382979</v>
      </c>
      <c r="BA9" s="311">
        <f t="shared" si="3"/>
        <v>27.635993899336455</v>
      </c>
      <c r="BB9" s="351">
        <f t="shared" si="4"/>
        <v>5240.3099999999977</v>
      </c>
      <c r="BC9" s="351">
        <f t="shared" si="5"/>
        <v>19.956243573631891</v>
      </c>
    </row>
    <row r="10" spans="1:55">
      <c r="A10" s="359">
        <v>6</v>
      </c>
      <c r="B10" s="511">
        <f>'6'!G7</f>
        <v>24902</v>
      </c>
      <c r="C10" s="511">
        <f>'6'!G8</f>
        <v>25238</v>
      </c>
      <c r="D10" s="511">
        <f>'6'!G15</f>
        <v>1051</v>
      </c>
      <c r="E10" s="511">
        <f>'6'!G20</f>
        <v>250</v>
      </c>
      <c r="F10" s="511">
        <f>SUM('6'!G35,'6'!G49)</f>
        <v>3719</v>
      </c>
      <c r="G10" s="511">
        <f>SUM('6'!G37,'6'!G51)</f>
        <v>1559</v>
      </c>
      <c r="H10" s="511">
        <f>SUM('6'!G38,'6'!G52)</f>
        <v>2204</v>
      </c>
      <c r="I10" s="511">
        <f>SUM('6'!G39,'6'!G53)</f>
        <v>2882</v>
      </c>
      <c r="J10" s="511">
        <f>SUM('6'!G41,'6'!G42,'6'!G55,'6'!G56)</f>
        <v>6812</v>
      </c>
      <c r="K10" s="511">
        <f>SUM('6'!G43,'6'!G57)</f>
        <v>3070</v>
      </c>
      <c r="L10" s="254">
        <f>'6'!G50</f>
        <v>1197</v>
      </c>
      <c r="M10" s="254">
        <f>'6'!G36</f>
        <v>729</v>
      </c>
      <c r="N10" s="254">
        <f>'6'!G138</f>
        <v>113</v>
      </c>
      <c r="O10" s="254">
        <f>'6'!$G$139</f>
        <v>179</v>
      </c>
      <c r="P10" s="254">
        <f>'6'!$G$140</f>
        <v>12</v>
      </c>
      <c r="Q10" s="254">
        <f>'6'!$G$141</f>
        <v>195</v>
      </c>
      <c r="R10" s="254">
        <f>'6'!$G$142</f>
        <v>68</v>
      </c>
      <c r="S10" s="254">
        <f>'6'!$G$145</f>
        <v>0</v>
      </c>
      <c r="T10" s="251">
        <f>'6'!$G$146</f>
        <v>41</v>
      </c>
      <c r="U10" s="251">
        <f>'6'!$G$144</f>
        <v>256</v>
      </c>
      <c r="V10" s="251">
        <f>'6'!$G$147</f>
        <v>391</v>
      </c>
      <c r="W10" s="251">
        <f>'6'!$G$148</f>
        <v>267</v>
      </c>
      <c r="X10" s="251">
        <f>'6'!$G$143</f>
        <v>35</v>
      </c>
      <c r="Y10" s="251">
        <f>'6'!$G$58</f>
        <v>300</v>
      </c>
      <c r="Z10" s="251">
        <f>'6'!$G$151</f>
        <v>251</v>
      </c>
      <c r="AA10" s="251">
        <f>'6'!G161</f>
        <v>182</v>
      </c>
      <c r="AB10" s="251">
        <f>'6'!G162</f>
        <v>41</v>
      </c>
      <c r="AC10" s="251"/>
      <c r="AD10" s="251">
        <f>'6'!G163+'6'!G164</f>
        <v>171</v>
      </c>
      <c r="AE10" s="254">
        <f>'6'!$G$116</f>
        <v>361</v>
      </c>
      <c r="AF10" s="254">
        <f>'6'!$G$117</f>
        <v>228</v>
      </c>
      <c r="AG10" s="254">
        <f>'6'!$G$118</f>
        <v>663</v>
      </c>
      <c r="AH10" s="254">
        <f>'6'!$G$119</f>
        <v>223</v>
      </c>
      <c r="AI10" s="254">
        <f>'6'!$G$120</f>
        <v>425</v>
      </c>
      <c r="AJ10" s="254">
        <f>'6'!$G$121</f>
        <v>424</v>
      </c>
      <c r="AK10" s="254">
        <f>'6'!$G$122</f>
        <v>263</v>
      </c>
      <c r="AL10" s="254">
        <f>'6'!$G$123</f>
        <v>313</v>
      </c>
      <c r="AM10" s="254">
        <f>'6'!$G$133</f>
        <v>810</v>
      </c>
      <c r="AN10" s="254">
        <f>'6'!$G$15</f>
        <v>1051</v>
      </c>
      <c r="AO10" s="256">
        <f>'6'!$G$74</f>
        <v>297</v>
      </c>
      <c r="AP10" s="256">
        <f>'6'!$G$75</f>
        <v>0</v>
      </c>
      <c r="AQ10" s="256">
        <f>'6'!$G$76</f>
        <v>102</v>
      </c>
      <c r="AR10" s="256">
        <f>'6'!$G$77</f>
        <v>50</v>
      </c>
      <c r="AS10" s="256">
        <f>'6'!$G$78</f>
        <v>0</v>
      </c>
      <c r="AT10" s="256">
        <f t="shared" si="0"/>
        <v>602</v>
      </c>
      <c r="AU10" s="254">
        <f>SUM('6'!G91:G92)</f>
        <v>11.119999999999891</v>
      </c>
      <c r="AV10" s="254">
        <f>'6'!$G$88</f>
        <v>1.75</v>
      </c>
      <c r="AW10" s="254">
        <f>'6'!$G$89</f>
        <v>7.2000000000007276</v>
      </c>
      <c r="AX10" s="254">
        <f>'6'!$G$90</f>
        <v>10</v>
      </c>
      <c r="AY10" s="252">
        <f t="shared" si="1"/>
        <v>18.950000000000728</v>
      </c>
      <c r="AZ10" s="311">
        <f t="shared" ref="AZ10:AZ28" si="6">AO10/AU10</f>
        <v>26.708633093525442</v>
      </c>
      <c r="BA10" s="311">
        <f t="shared" si="3"/>
        <v>31.767810026384005</v>
      </c>
      <c r="BB10" s="351">
        <f t="shared" si="4"/>
        <v>4692</v>
      </c>
      <c r="BC10" s="351">
        <f t="shared" si="5"/>
        <v>18.84186009155891</v>
      </c>
    </row>
    <row r="11" spans="1:55">
      <c r="A11" s="359">
        <v>7</v>
      </c>
      <c r="B11" s="511">
        <f>'7'!G7</f>
        <v>28426</v>
      </c>
      <c r="C11" s="511">
        <f>'7'!G8</f>
        <v>28846</v>
      </c>
      <c r="D11" s="511">
        <f>'7'!G15</f>
        <v>1082</v>
      </c>
      <c r="E11" s="511">
        <f>'7'!G20</f>
        <v>251</v>
      </c>
      <c r="F11" s="511">
        <f>SUM('7'!G35,'7'!G49)</f>
        <v>3680</v>
      </c>
      <c r="G11" s="511">
        <f>SUM('7'!G37,'7'!G51)</f>
        <v>1541</v>
      </c>
      <c r="H11" s="511">
        <f>SUM('7'!G38,'7'!G52)</f>
        <v>2264</v>
      </c>
      <c r="I11" s="511">
        <f>SUM('7'!G39,'7'!G53)</f>
        <v>2980</v>
      </c>
      <c r="J11" s="511">
        <f>SUM('7'!G41,'7'!G42,'7'!G55,'7'!G56)</f>
        <v>9955</v>
      </c>
      <c r="K11" s="511">
        <f>SUM('7'!G43,'7'!G57)</f>
        <v>3226</v>
      </c>
      <c r="L11" s="254">
        <f>'7'!G50</f>
        <v>1734</v>
      </c>
      <c r="M11" s="254">
        <f>'7'!G36</f>
        <v>942</v>
      </c>
      <c r="N11" s="254">
        <f>'7'!G138</f>
        <v>118</v>
      </c>
      <c r="O11" s="254">
        <f>'7'!$G$139</f>
        <v>153</v>
      </c>
      <c r="P11" s="254">
        <f>'7'!$G$140</f>
        <v>14</v>
      </c>
      <c r="Q11" s="254">
        <f>'7'!$G$141</f>
        <v>194</v>
      </c>
      <c r="R11" s="254">
        <f>'7'!$G$142</f>
        <v>71</v>
      </c>
      <c r="S11" s="254">
        <f>'7'!$G$145</f>
        <v>0</v>
      </c>
      <c r="T11" s="251">
        <f>'7'!$G$146</f>
        <v>40</v>
      </c>
      <c r="U11" s="251">
        <f>'7'!$G$144</f>
        <v>249</v>
      </c>
      <c r="V11" s="251">
        <f>'7'!$G$147</f>
        <v>436</v>
      </c>
      <c r="W11" s="251">
        <f>'7'!$G$148</f>
        <v>289</v>
      </c>
      <c r="X11" s="251">
        <f>'7'!$G$143</f>
        <v>28</v>
      </c>
      <c r="Y11" s="251">
        <f>'7'!$G$58</f>
        <v>327</v>
      </c>
      <c r="Z11" s="256">
        <f>'7'!$G$151</f>
        <v>274</v>
      </c>
      <c r="AA11" s="256">
        <f>'7'!G161</f>
        <v>162</v>
      </c>
      <c r="AB11" s="251">
        <f>'7'!G162</f>
        <v>45</v>
      </c>
      <c r="AC11" s="251"/>
      <c r="AD11" s="251">
        <f>'7'!G163+'7'!G164</f>
        <v>168</v>
      </c>
      <c r="AE11" s="254">
        <f>'7'!$G$116</f>
        <v>412</v>
      </c>
      <c r="AF11" s="254">
        <f>'7'!$G$117</f>
        <v>289</v>
      </c>
      <c r="AG11" s="254">
        <f>'7'!$G$118</f>
        <v>647</v>
      </c>
      <c r="AH11" s="254">
        <f>'7'!$G$119</f>
        <v>231</v>
      </c>
      <c r="AI11" s="254">
        <f>'7'!$G$120</f>
        <v>407</v>
      </c>
      <c r="AJ11" s="254">
        <f>'7'!$G$121</f>
        <v>435</v>
      </c>
      <c r="AK11" s="256">
        <f>'7'!$G$122</f>
        <v>302</v>
      </c>
      <c r="AL11" s="254">
        <f>'7'!$G$123</f>
        <v>315</v>
      </c>
      <c r="AM11" s="254">
        <f>'7'!$G$133</f>
        <v>0</v>
      </c>
      <c r="AN11" s="254">
        <f>'7'!$G$15</f>
        <v>1082</v>
      </c>
      <c r="AO11" s="256">
        <f>'7'!$G$74</f>
        <v>294</v>
      </c>
      <c r="AP11" s="256">
        <f>'7'!$G$75</f>
        <v>0</v>
      </c>
      <c r="AQ11" s="256">
        <f>'7'!$G$76</f>
        <v>114</v>
      </c>
      <c r="AR11" s="256">
        <f>'7'!$G$77</f>
        <v>50</v>
      </c>
      <c r="AS11" s="256">
        <f>'7'!$G$78</f>
        <v>0</v>
      </c>
      <c r="AT11" s="256">
        <f t="shared" si="0"/>
        <v>624</v>
      </c>
      <c r="AU11" s="254">
        <f>SUM('7'!G91:G92)</f>
        <v>10.730000000000473</v>
      </c>
      <c r="AV11" s="254">
        <f>'7'!$G$88</f>
        <v>6</v>
      </c>
      <c r="AW11" s="254">
        <f>'7'!$G$89</f>
        <v>9.2799999999988358</v>
      </c>
      <c r="AX11" s="254">
        <f>'7'!$G$90</f>
        <v>4.75</v>
      </c>
      <c r="AY11" s="252">
        <f t="shared" si="1"/>
        <v>20.029999999998836</v>
      </c>
      <c r="AZ11" s="311">
        <f>AO11/AU11</f>
        <v>27.39981360670895</v>
      </c>
      <c r="BA11" s="311">
        <f t="shared" si="3"/>
        <v>31.153270094859526</v>
      </c>
      <c r="BB11" s="351">
        <f t="shared" si="4"/>
        <v>4873</v>
      </c>
      <c r="BC11" s="351">
        <f t="shared" si="5"/>
        <v>17.142756631253079</v>
      </c>
    </row>
    <row r="12" spans="1:55">
      <c r="A12" s="359">
        <v>8</v>
      </c>
      <c r="B12" s="511">
        <f>'8'!G7</f>
        <v>28055</v>
      </c>
      <c r="C12" s="511">
        <f>'8'!G8</f>
        <v>28583</v>
      </c>
      <c r="D12" s="511">
        <f>'8'!G15</f>
        <v>1146</v>
      </c>
      <c r="E12" s="511">
        <f>'8'!G20</f>
        <v>217</v>
      </c>
      <c r="F12" s="511">
        <f>SUM('8'!G35,'8'!G49)</f>
        <v>3618</v>
      </c>
      <c r="G12" s="511">
        <f>SUM('8'!G37,'8'!G51)</f>
        <v>1574</v>
      </c>
      <c r="H12" s="511">
        <f>SUM('8'!G38,'8'!G52)</f>
        <v>2340</v>
      </c>
      <c r="I12" s="511">
        <f>SUM('8'!G39,'8'!G53)</f>
        <v>3003</v>
      </c>
      <c r="J12" s="511">
        <f>SUM('8'!G41,'8'!G42,'8'!G55,'8'!G56)</f>
        <v>8461</v>
      </c>
      <c r="K12" s="511">
        <f>SUM('8'!G43,'8'!G57)</f>
        <v>3114</v>
      </c>
      <c r="L12" s="254">
        <f>'8'!G50</f>
        <v>1560</v>
      </c>
      <c r="M12" s="254">
        <f>'8'!G36</f>
        <v>1093</v>
      </c>
      <c r="N12" s="254">
        <f>'8'!G138</f>
        <v>114</v>
      </c>
      <c r="O12" s="254">
        <f>'8'!$G$139</f>
        <v>163</v>
      </c>
      <c r="P12" s="254">
        <f>'8'!$G$140</f>
        <v>15</v>
      </c>
      <c r="Q12" s="254">
        <f>'8'!$G$141</f>
        <v>214</v>
      </c>
      <c r="R12" s="254">
        <f>'8'!$G$142</f>
        <v>81</v>
      </c>
      <c r="S12" s="254">
        <f>'8'!$G$145</f>
        <v>0.43999999999959982</v>
      </c>
      <c r="T12" s="251">
        <f>'8'!$G$146</f>
        <v>40</v>
      </c>
      <c r="U12" s="251">
        <f>'8'!$G$144</f>
        <v>264</v>
      </c>
      <c r="V12" s="251">
        <f>'8'!$G$147</f>
        <v>429</v>
      </c>
      <c r="W12" s="251">
        <f>'8'!$G$148</f>
        <v>297</v>
      </c>
      <c r="X12" s="251">
        <f>'8'!$G$143</f>
        <v>31</v>
      </c>
      <c r="Y12" s="251">
        <f>'8'!$G$58</f>
        <v>267</v>
      </c>
      <c r="Z12" s="251">
        <f>'8'!$G$151</f>
        <v>230</v>
      </c>
      <c r="AA12" s="251">
        <f>'8'!G161</f>
        <v>161</v>
      </c>
      <c r="AB12" s="251">
        <f>'8'!G162</f>
        <v>40</v>
      </c>
      <c r="AC12" s="251"/>
      <c r="AD12" s="251">
        <f>'8'!G163+'8'!G164</f>
        <v>146</v>
      </c>
      <c r="AE12" s="254">
        <f>'8'!$G$116</f>
        <v>380</v>
      </c>
      <c r="AF12" s="254">
        <f>'8'!$G$117</f>
        <v>318</v>
      </c>
      <c r="AG12" s="254">
        <f>'8'!$G$118</f>
        <v>647</v>
      </c>
      <c r="AH12" s="254">
        <f>'8'!$G$119</f>
        <v>245</v>
      </c>
      <c r="AI12" s="254">
        <f>'8'!$G$120</f>
        <v>414</v>
      </c>
      <c r="AJ12" s="254">
        <f>'8'!$G$121</f>
        <v>444</v>
      </c>
      <c r="AK12" s="254">
        <f>'8'!$G$122</f>
        <v>311</v>
      </c>
      <c r="AL12" s="254">
        <f>'8'!$G$123</f>
        <v>320</v>
      </c>
      <c r="AM12" s="254">
        <f>'8'!$G$133</f>
        <v>0</v>
      </c>
      <c r="AN12" s="254">
        <f>'8'!$G$15</f>
        <v>1146</v>
      </c>
      <c r="AO12" s="256">
        <f>'8'!$G$74</f>
        <v>331</v>
      </c>
      <c r="AP12" s="256">
        <f>'8'!$G$75</f>
        <v>0</v>
      </c>
      <c r="AQ12" s="256">
        <f>'8'!$G$76</f>
        <v>116</v>
      </c>
      <c r="AR12" s="256">
        <f>'8'!$G$77</f>
        <v>5</v>
      </c>
      <c r="AS12" s="256">
        <f>'8'!$G$78</f>
        <v>0</v>
      </c>
      <c r="AT12" s="256">
        <f t="shared" si="0"/>
        <v>694</v>
      </c>
      <c r="AU12" s="254">
        <f>SUM('8'!G91:G92)</f>
        <v>10.569999999999709</v>
      </c>
      <c r="AV12" s="254">
        <f>'8'!$G$88</f>
        <v>0</v>
      </c>
      <c r="AW12" s="254">
        <f>'8'!$G$89</f>
        <v>9.569999999999709</v>
      </c>
      <c r="AX12" s="254">
        <f>'8'!$G$90</f>
        <v>11.990000000005239</v>
      </c>
      <c r="AY12" s="252">
        <f t="shared" si="1"/>
        <v>21.560000000004948</v>
      </c>
      <c r="AZ12" s="311">
        <f t="shared" si="6"/>
        <v>31.31504257332158</v>
      </c>
      <c r="BA12" s="311">
        <f t="shared" si="3"/>
        <v>32.189239332089087</v>
      </c>
      <c r="BB12" s="351">
        <f t="shared" si="4"/>
        <v>6206</v>
      </c>
      <c r="BC12" s="351">
        <f t="shared" si="5"/>
        <v>22.120834075922296</v>
      </c>
    </row>
    <row r="13" spans="1:55">
      <c r="A13" s="359">
        <v>9</v>
      </c>
      <c r="B13" s="511">
        <f>'9'!G7</f>
        <v>27587.030000000028</v>
      </c>
      <c r="C13" s="511">
        <f>'9'!G8</f>
        <v>28131.550000000047</v>
      </c>
      <c r="D13" s="511">
        <f>'9'!G15</f>
        <v>1023.5200000000186</v>
      </c>
      <c r="E13" s="511">
        <f>'9'!G20</f>
        <v>270</v>
      </c>
      <c r="F13" s="511">
        <f>SUM('9'!G35,'9'!G49)</f>
        <v>759.79999999998836</v>
      </c>
      <c r="G13" s="511">
        <f>SUM('9'!G37,'9'!G51)</f>
        <v>1573.75</v>
      </c>
      <c r="H13" s="511">
        <f>SUM('9'!G38,'9'!G52)</f>
        <v>2332.109999999986</v>
      </c>
      <c r="I13" s="511">
        <f>SUM('9'!G39,'9'!G53)</f>
        <v>3026.1500000000233</v>
      </c>
      <c r="J13" s="511">
        <f>SUM('9'!G41,'9'!G42,'9'!G55,'9'!G56)</f>
        <v>8124.6299999999901</v>
      </c>
      <c r="K13" s="511">
        <f>SUM('9'!G43,'9'!G57)</f>
        <v>3152.4500000000116</v>
      </c>
      <c r="L13" s="254">
        <f>'9'!G50</f>
        <v>1278.6700000000128</v>
      </c>
      <c r="M13" s="254">
        <f>'9'!G36</f>
        <v>1130.1700000000128</v>
      </c>
      <c r="N13" s="254">
        <f>'9'!G138</f>
        <v>125</v>
      </c>
      <c r="O13" s="254">
        <f>'9'!$G$139</f>
        <v>155</v>
      </c>
      <c r="P13" s="254">
        <f>'9'!$G$140</f>
        <v>84</v>
      </c>
      <c r="Q13" s="254">
        <f>'9'!$G$141</f>
        <v>211.7899999999936</v>
      </c>
      <c r="R13" s="254">
        <f>'9'!$G$142</f>
        <v>77.80000000000291</v>
      </c>
      <c r="S13" s="254">
        <f>'9'!$G$145</f>
        <v>0</v>
      </c>
      <c r="T13" s="251">
        <f>'9'!$G$146</f>
        <v>42</v>
      </c>
      <c r="U13" s="251">
        <f>'9'!$G$144</f>
        <v>254</v>
      </c>
      <c r="V13" s="251">
        <f>'9'!$G$147</f>
        <v>399</v>
      </c>
      <c r="W13" s="251">
        <f>'9'!$G$148</f>
        <v>422</v>
      </c>
      <c r="X13" s="251">
        <f>'9'!$G$143</f>
        <v>27.319999999999709</v>
      </c>
      <c r="Y13" s="251">
        <f>'9'!$G$58</f>
        <v>290.16999999999825</v>
      </c>
      <c r="Z13" s="251">
        <f>'9'!$G$151</f>
        <v>291</v>
      </c>
      <c r="AA13" s="251">
        <f>'9'!G161</f>
        <v>173.20000000001164</v>
      </c>
      <c r="AB13" s="251">
        <f>'9'!G162</f>
        <v>24</v>
      </c>
      <c r="AC13" s="251"/>
      <c r="AD13" s="251">
        <f>'9'!G163+'9'!G164</f>
        <v>150.60000000000036</v>
      </c>
      <c r="AE13" s="254">
        <f>'9'!$G$116</f>
        <v>434.23999999999796</v>
      </c>
      <c r="AF13" s="254">
        <f>'9'!$G$117</f>
        <v>303.41000000000349</v>
      </c>
      <c r="AG13" s="254">
        <f>'9'!$G$118</f>
        <v>642.45999999999913</v>
      </c>
      <c r="AH13" s="254">
        <f>'9'!$G$119</f>
        <v>245</v>
      </c>
      <c r="AI13" s="254">
        <f>'9'!$G$120</f>
        <v>444.94000000000233</v>
      </c>
      <c r="AJ13" s="254">
        <f>'9'!$G$121</f>
        <v>439.20999999999913</v>
      </c>
      <c r="AK13" s="254">
        <f>'9'!$G$122</f>
        <v>275.38999999999942</v>
      </c>
      <c r="AL13" s="254">
        <f>'9'!$G$123</f>
        <v>324.86000000000058</v>
      </c>
      <c r="AM13" s="254">
        <f>'9'!$G$133</f>
        <v>0</v>
      </c>
      <c r="AN13" s="254">
        <f>'9'!$G$15</f>
        <v>1023.5200000000186</v>
      </c>
      <c r="AO13" s="256">
        <f>'9'!$G$74</f>
        <v>328.44999999995343</v>
      </c>
      <c r="AP13" s="256">
        <f>'9'!$G$75</f>
        <v>0</v>
      </c>
      <c r="AQ13" s="256">
        <f>'9'!$G$76</f>
        <v>107.5</v>
      </c>
      <c r="AR13" s="256">
        <f>'9'!$G$77</f>
        <v>122</v>
      </c>
      <c r="AS13" s="256">
        <f>'9'!$G$78</f>
        <v>-0.3999999999996362</v>
      </c>
      <c r="AT13" s="256">
        <f t="shared" si="0"/>
        <v>465.97000000006483</v>
      </c>
      <c r="AU13" s="254">
        <f>SUM('9'!G91:G92)</f>
        <v>11.489999999999782</v>
      </c>
      <c r="AV13" s="254">
        <f>'9'!$G$88</f>
        <v>8.8800000000010186</v>
      </c>
      <c r="AW13" s="254">
        <f>'9'!$G$89</f>
        <v>1.3400000000001455</v>
      </c>
      <c r="AX13" s="254">
        <f>'9'!$G$90</f>
        <v>10.379999999990105</v>
      </c>
      <c r="AY13" s="252">
        <f t="shared" si="1"/>
        <v>20.599999999991269</v>
      </c>
      <c r="AZ13" s="311">
        <f t="shared" si="6"/>
        <v>28.585726718882476</v>
      </c>
      <c r="BA13" s="311">
        <f t="shared" si="3"/>
        <v>22.619902912634092</v>
      </c>
      <c r="BB13" s="351">
        <f t="shared" si="4"/>
        <v>8872.4900000000489</v>
      </c>
      <c r="BC13" s="351">
        <f t="shared" si="5"/>
        <v>32.161816621796696</v>
      </c>
    </row>
    <row r="14" spans="1:55">
      <c r="A14" s="359">
        <v>10</v>
      </c>
      <c r="B14" s="511">
        <f>'10'!G7</f>
        <v>26532.079999999958</v>
      </c>
      <c r="C14" s="511">
        <f>'10'!G8</f>
        <v>27095.039999999921</v>
      </c>
      <c r="D14" s="511">
        <f>'10'!G15</f>
        <v>992.04000000003725</v>
      </c>
      <c r="E14" s="511">
        <f>'10'!G20</f>
        <v>270</v>
      </c>
      <c r="F14" s="511">
        <f>SUM('10'!G35,'10'!G49)</f>
        <v>3679.1199999999953</v>
      </c>
      <c r="G14" s="511">
        <f>SUM('10'!G37,'10'!G51)</f>
        <v>1524.5</v>
      </c>
      <c r="H14" s="511">
        <f>SUM('10'!G38,'10'!G52)</f>
        <v>2285.2800000000279</v>
      </c>
      <c r="I14" s="511">
        <f>SUM('10'!G39,'10'!G53)</f>
        <v>2907.9599999999627</v>
      </c>
      <c r="J14" s="511">
        <f>SUM('10'!G41,'10'!G42,'10'!G55,'10'!G56)</f>
        <v>5749.1899999999732</v>
      </c>
      <c r="K14" s="511">
        <f>SUM('10'!G43,'10'!G57)</f>
        <v>3210.359999999986</v>
      </c>
      <c r="L14" s="254">
        <f>'10'!G50</f>
        <v>1219.3399999999965</v>
      </c>
      <c r="M14" s="254">
        <f>'10'!G36</f>
        <v>928.53999999997905</v>
      </c>
      <c r="N14" s="254">
        <f>'10'!G138</f>
        <v>135</v>
      </c>
      <c r="O14" s="254">
        <f>'10'!$G$139</f>
        <v>149</v>
      </c>
      <c r="P14" s="254">
        <f>'10'!$G$140</f>
        <v>83.399999999994179</v>
      </c>
      <c r="Q14" s="254">
        <f>'10'!$G$141</f>
        <v>205.56000000001222</v>
      </c>
      <c r="R14" s="254">
        <f>'10'!$G$142</f>
        <v>70.099999999998545</v>
      </c>
      <c r="S14" s="254">
        <f>'10'!$G$145</f>
        <v>0</v>
      </c>
      <c r="T14" s="251">
        <f>'10'!$G$146</f>
        <v>39</v>
      </c>
      <c r="U14" s="251">
        <f>'10'!$G$144</f>
        <v>230</v>
      </c>
      <c r="V14" s="257">
        <f>'10'!$G$147</f>
        <v>378</v>
      </c>
      <c r="W14" s="257">
        <f>'10'!$G$148</f>
        <v>302.68000000005122</v>
      </c>
      <c r="X14" s="251">
        <f>'10'!$G$143</f>
        <v>29.139999999999418</v>
      </c>
      <c r="Y14" s="251">
        <f>'10'!$G$58</f>
        <v>293.06000000000495</v>
      </c>
      <c r="Z14" s="251">
        <f>'10'!$G$151</f>
        <v>263</v>
      </c>
      <c r="AA14" s="251">
        <f>'10'!G161</f>
        <v>151.03999999997905</v>
      </c>
      <c r="AB14" s="251">
        <f>'10'!G162</f>
        <v>14.30000000000291</v>
      </c>
      <c r="AC14" s="251"/>
      <c r="AD14" s="251">
        <f>'10'!G163+'10'!G164</f>
        <v>150.69999999999982</v>
      </c>
      <c r="AE14" s="254">
        <f>'10'!$G$116</f>
        <v>479.88000000000466</v>
      </c>
      <c r="AF14" s="254">
        <f>'10'!$G$117</f>
        <v>214.33999999999651</v>
      </c>
      <c r="AG14" s="254">
        <f>'10'!$G$118</f>
        <v>617.20000000000437</v>
      </c>
      <c r="AH14" s="254">
        <f>'10'!$G$119</f>
        <v>236.34999999999854</v>
      </c>
      <c r="AI14" s="254">
        <f>'10'!$G$120</f>
        <v>433.29999999999563</v>
      </c>
      <c r="AJ14" s="254">
        <f>'10'!$G$121</f>
        <v>423.76000000000204</v>
      </c>
      <c r="AK14" s="254">
        <f>'10'!$G$122</f>
        <v>252.88999999999942</v>
      </c>
      <c r="AL14" s="254">
        <f>'10'!$G$123</f>
        <v>320.38000000000102</v>
      </c>
      <c r="AM14" s="254">
        <f>'10'!$G$133</f>
        <v>782</v>
      </c>
      <c r="AN14" s="254">
        <f>'10'!$G$15</f>
        <v>992.04000000003725</v>
      </c>
      <c r="AO14" s="256">
        <f>'10'!$G$74</f>
        <v>265.84000000008382</v>
      </c>
      <c r="AP14" s="256">
        <f>'10'!$G$75</f>
        <v>0</v>
      </c>
      <c r="AQ14" s="256">
        <f>'10'!$G$76</f>
        <v>98.5</v>
      </c>
      <c r="AR14" s="256">
        <f>'10'!$G$77</f>
        <v>42</v>
      </c>
      <c r="AS14" s="256">
        <f>'10'!$G$78</f>
        <v>0</v>
      </c>
      <c r="AT14" s="256">
        <f t="shared" si="0"/>
        <v>585.69999999995343</v>
      </c>
      <c r="AU14" s="254">
        <f>SUM('10'!G91:G92)</f>
        <v>9.8299999999999272</v>
      </c>
      <c r="AV14" s="254">
        <f>'10'!$G$88</f>
        <v>0</v>
      </c>
      <c r="AW14" s="254">
        <f>'10'!$G$89</f>
        <v>9.6899999999986903</v>
      </c>
      <c r="AX14" s="254">
        <f>'10'!$G$90</f>
        <v>10.900000000008731</v>
      </c>
      <c r="AY14" s="252">
        <f t="shared" si="1"/>
        <v>20.590000000007421</v>
      </c>
      <c r="AZ14" s="311">
        <f t="shared" si="6"/>
        <v>27.043743641921239</v>
      </c>
      <c r="BA14" s="311">
        <f t="shared" si="3"/>
        <v>28.445847498773304</v>
      </c>
      <c r="BB14" s="351">
        <f t="shared" si="4"/>
        <v>7445.5699999999706</v>
      </c>
      <c r="BC14" s="351">
        <f t="shared" si="5"/>
        <v>28.062519033562324</v>
      </c>
    </row>
    <row r="15" spans="1:55">
      <c r="A15" s="359">
        <v>11</v>
      </c>
      <c r="B15" s="511">
        <f>'11'!G7</f>
        <v>25907.760000000009</v>
      </c>
      <c r="C15" s="511">
        <f>'11'!G8</f>
        <v>26361.599999999977</v>
      </c>
      <c r="D15" s="511">
        <f>'11'!G15</f>
        <v>944.76000000000931</v>
      </c>
      <c r="E15" s="511">
        <f>'11'!G20</f>
        <v>221</v>
      </c>
      <c r="F15" s="511">
        <f>SUM('11'!G35,'11'!G49)</f>
        <v>3790.7200000000303</v>
      </c>
      <c r="G15" s="511">
        <f>SUM('11'!G37,'11'!G51)</f>
        <v>1487.4600000000139</v>
      </c>
      <c r="H15" s="511">
        <f>SUM('11'!G38,'11'!G52)</f>
        <v>2304.1599999999744</v>
      </c>
      <c r="I15" s="511">
        <f>SUM('11'!G39,'11'!G53)</f>
        <v>2848.8000000000466</v>
      </c>
      <c r="J15" s="511">
        <f>SUM('11'!G41,'11'!G42,'11'!G55,'11'!G56)</f>
        <v>6949.2699999999604</v>
      </c>
      <c r="K15" s="511">
        <f>SUM('11'!G43,'11'!G57)</f>
        <v>2943.320000000007</v>
      </c>
      <c r="L15" s="254">
        <f>'11'!G50</f>
        <v>1058</v>
      </c>
      <c r="M15" s="254">
        <f>'11'!G36</f>
        <v>696.83999999999651</v>
      </c>
      <c r="N15" s="254">
        <f>'11'!G138</f>
        <v>109</v>
      </c>
      <c r="O15" s="254">
        <f>'11'!$G$139</f>
        <v>172</v>
      </c>
      <c r="P15" s="254">
        <f>'11'!$G$140</f>
        <v>216</v>
      </c>
      <c r="Q15" s="254">
        <f>'11'!$G$141</f>
        <v>191.31999999999243</v>
      </c>
      <c r="R15" s="254">
        <f>'11'!$G$142</f>
        <v>71.319999999999709</v>
      </c>
      <c r="S15" s="254">
        <f>'11'!$G$145</f>
        <v>0</v>
      </c>
      <c r="T15" s="251">
        <f>'11'!$G$146</f>
        <v>38</v>
      </c>
      <c r="U15" s="251">
        <f>'11'!$G$144</f>
        <v>254</v>
      </c>
      <c r="V15" s="251">
        <f>'11'!$G$147</f>
        <v>377.23999999999069</v>
      </c>
      <c r="W15" s="251">
        <f>'11'!$G$148</f>
        <v>258.71999999997206</v>
      </c>
      <c r="X15" s="251">
        <f>'11'!$G$143</f>
        <v>28.540000000000873</v>
      </c>
      <c r="Y15" s="251">
        <f>'11'!$G$58</f>
        <v>278.21999999999389</v>
      </c>
      <c r="Z15" s="251">
        <f>'11'!$G$151</f>
        <v>270</v>
      </c>
      <c r="AA15" s="251">
        <f>'11'!G161</f>
        <v>137.9199999999837</v>
      </c>
      <c r="AB15" s="251">
        <f>'11'!G162</f>
        <v>38.399999999994179</v>
      </c>
      <c r="AC15" s="251">
        <f>'11'!G88</f>
        <v>0</v>
      </c>
      <c r="AD15" s="251">
        <f>'11'!G163+'11'!G164</f>
        <v>153.59999999999945</v>
      </c>
      <c r="AE15" s="254">
        <f>'11'!$G$116</f>
        <v>386.66999999999825</v>
      </c>
      <c r="AF15" s="254">
        <f>'11'!$G$117</f>
        <v>213.83999999999651</v>
      </c>
      <c r="AG15" s="254">
        <f>'11'!$G$118</f>
        <v>631.73999999999796</v>
      </c>
      <c r="AH15" s="254">
        <f>'11'!$G$119</f>
        <v>225.19000000000233</v>
      </c>
      <c r="AI15" s="254">
        <f>'11'!$G$120</f>
        <v>427.15000000000146</v>
      </c>
      <c r="AJ15" s="254">
        <f>'11'!$G$121</f>
        <v>463.98999999999796</v>
      </c>
      <c r="AK15" s="254">
        <f>'11'!$G$122</f>
        <v>286.85000000000218</v>
      </c>
      <c r="AL15" s="254">
        <f>'11'!$G$123</f>
        <v>338.15999999999985</v>
      </c>
      <c r="AM15" s="254">
        <f>'11'!$G$133</f>
        <v>824</v>
      </c>
      <c r="AN15" s="254">
        <f>'11'!$G$15</f>
        <v>944.76000000000931</v>
      </c>
      <c r="AO15" s="256">
        <f>'11'!$G$74</f>
        <v>270.43999999994412</v>
      </c>
      <c r="AP15" s="256">
        <f>'11'!$G$75</f>
        <v>0</v>
      </c>
      <c r="AQ15" s="256">
        <f>'11'!$G$76</f>
        <v>98</v>
      </c>
      <c r="AR15" s="256">
        <f>'11'!$G$77</f>
        <v>35</v>
      </c>
      <c r="AS15" s="256">
        <f>'11'!$G$78</f>
        <v>0</v>
      </c>
      <c r="AT15" s="256">
        <f t="shared" si="0"/>
        <v>541.32000000006519</v>
      </c>
      <c r="AU15" s="254">
        <f>SUM('11'!G91:G92)</f>
        <v>9.6999999999998181</v>
      </c>
      <c r="AV15" s="254">
        <f>'11'!$G$88</f>
        <v>0</v>
      </c>
      <c r="AW15" s="254">
        <f>'11'!$G$89</f>
        <v>9.430000000000291</v>
      </c>
      <c r="AX15" s="254">
        <f>'11'!$G$90</f>
        <v>10.220000000001164</v>
      </c>
      <c r="AY15" s="252">
        <f t="shared" si="1"/>
        <v>19.650000000001455</v>
      </c>
      <c r="AZ15" s="311">
        <f t="shared" si="6"/>
        <v>27.880412371128784</v>
      </c>
      <c r="BA15" s="311">
        <f t="shared" si="3"/>
        <v>27.548091603054711</v>
      </c>
      <c r="BB15" s="351">
        <f t="shared" si="4"/>
        <v>5759.6499999999505</v>
      </c>
      <c r="BC15" s="351">
        <f t="shared" si="5"/>
        <v>22.23137006055309</v>
      </c>
    </row>
    <row r="16" spans="1:55">
      <c r="A16" s="359">
        <v>12</v>
      </c>
      <c r="B16" s="511">
        <f>'12'!G7</f>
        <v>25940.719999999972</v>
      </c>
      <c r="C16" s="511">
        <f>'12'!G8</f>
        <v>26347.440000000061</v>
      </c>
      <c r="D16" s="511">
        <f>'12'!G15</f>
        <v>1027.1899999999441</v>
      </c>
      <c r="E16" s="511">
        <f>'12'!G20</f>
        <v>254</v>
      </c>
      <c r="F16" s="511">
        <f>SUM('12'!G35,'12'!G49)</f>
        <v>3619.6300000000047</v>
      </c>
      <c r="G16" s="511">
        <f>SUM('12'!G37,'12'!G51)</f>
        <v>1552.320000000014</v>
      </c>
      <c r="H16" s="511">
        <f>SUM('12'!G38,'12'!G52)</f>
        <v>2246.320000000007</v>
      </c>
      <c r="I16" s="511">
        <f>SUM('12'!G39,'12'!G53)</f>
        <v>2839.7999999999302</v>
      </c>
      <c r="J16" s="511">
        <f>SUM('12'!G41,'12'!G42,'12'!G55,'12'!G56)</f>
        <v>6974.600000000064</v>
      </c>
      <c r="K16" s="511">
        <f>SUM('12'!G43,'12'!G57)</f>
        <v>3131.1000000000058</v>
      </c>
      <c r="L16" s="254">
        <f>'12'!G50</f>
        <v>1060.5199999999895</v>
      </c>
      <c r="M16" s="254">
        <f>'12'!G36</f>
        <v>704.22000000000116</v>
      </c>
      <c r="N16" s="254">
        <f>'12'!G138</f>
        <v>114</v>
      </c>
      <c r="O16" s="254">
        <f>'12'!$G$139</f>
        <v>154</v>
      </c>
      <c r="P16" s="254">
        <f>'12'!$G$140</f>
        <v>214</v>
      </c>
      <c r="Q16" s="254">
        <f>'12'!$G$141</f>
        <v>206.33000000000175</v>
      </c>
      <c r="R16" s="254">
        <f>'12'!$G$142</f>
        <v>74.049999999995634</v>
      </c>
      <c r="S16" s="254">
        <f>'12'!$G$145</f>
        <v>0</v>
      </c>
      <c r="T16" s="251">
        <f>'12'!$G$146</f>
        <v>37</v>
      </c>
      <c r="U16" s="251">
        <f>'12'!$G$144</f>
        <v>238</v>
      </c>
      <c r="V16" s="251">
        <f>'12'!$G$147</f>
        <v>377.92000000004191</v>
      </c>
      <c r="W16" s="251">
        <f>'12'!$G$148</f>
        <v>284.07999999995809</v>
      </c>
      <c r="X16" s="251">
        <f>'12'!$G$143</f>
        <v>22.479999999999563</v>
      </c>
      <c r="Y16" s="251">
        <f>'12'!$G$58</f>
        <v>273.27000000000407</v>
      </c>
      <c r="Z16" s="251">
        <f>'12'!$G$151</f>
        <v>257</v>
      </c>
      <c r="AA16" s="251">
        <f>'12'!G161</f>
        <v>66.680000000051223</v>
      </c>
      <c r="AB16" s="251">
        <f>'12'!G162</f>
        <v>39.5</v>
      </c>
      <c r="AC16" s="251">
        <f>'12'!G88</f>
        <v>-4.9999999999272404E-2</v>
      </c>
      <c r="AD16" s="251">
        <f>'12'!G163+'12'!G164</f>
        <v>164.19999999999982</v>
      </c>
      <c r="AE16" s="254">
        <f>'12'!$G$116</f>
        <v>378.69999999999709</v>
      </c>
      <c r="AF16" s="254">
        <f>'12'!$G$117</f>
        <v>213.12000000000262</v>
      </c>
      <c r="AG16" s="254">
        <f>'12'!$G$118</f>
        <v>628.26000000000204</v>
      </c>
      <c r="AH16" s="254">
        <f>'12'!$G$119</f>
        <v>224.58999999999651</v>
      </c>
      <c r="AI16" s="254">
        <f>'12'!$G$120</f>
        <v>427.90000000000146</v>
      </c>
      <c r="AJ16" s="254">
        <f>'12'!$G$121</f>
        <v>438.04000000000087</v>
      </c>
      <c r="AK16" s="254">
        <f>'12'!$G$122</f>
        <v>306.03999999999724</v>
      </c>
      <c r="AL16" s="254">
        <f>'12'!$G$123</f>
        <v>293.5199999999968</v>
      </c>
      <c r="AM16" s="254">
        <f>'12'!$G$133</f>
        <v>785</v>
      </c>
      <c r="AN16" s="254">
        <f>'12'!$G$15</f>
        <v>1027.1899999999441</v>
      </c>
      <c r="AO16" s="256">
        <f>'12'!$G$74</f>
        <v>339.29000000003725</v>
      </c>
      <c r="AP16" s="256">
        <f>'12'!$G$75</f>
        <v>0</v>
      </c>
      <c r="AQ16" s="256">
        <f>'12'!$G$76</f>
        <v>88</v>
      </c>
      <c r="AR16" s="256">
        <f>'12'!$G$77</f>
        <v>41</v>
      </c>
      <c r="AS16" s="256">
        <f>'12'!$G$78</f>
        <v>0.3999999999996362</v>
      </c>
      <c r="AT16" s="256">
        <f t="shared" si="0"/>
        <v>558.49999999990723</v>
      </c>
      <c r="AU16" s="254">
        <f>SUM('12'!G91:G92)</f>
        <v>12.470000000000255</v>
      </c>
      <c r="AV16" s="254">
        <f>'12'!$G$88</f>
        <v>-4.9999999999272404E-2</v>
      </c>
      <c r="AW16" s="254">
        <f>'12'!$G$89</f>
        <v>8.8100000000013097</v>
      </c>
      <c r="AX16" s="254">
        <f>'12'!$G$90</f>
        <v>10.989999999990687</v>
      </c>
      <c r="AY16" s="252">
        <f t="shared" si="1"/>
        <v>19.749999999992724</v>
      </c>
      <c r="AZ16" s="311">
        <f t="shared" si="6"/>
        <v>27.208500400964741</v>
      </c>
      <c r="BA16" s="311">
        <f t="shared" si="3"/>
        <v>28.278481012663949</v>
      </c>
      <c r="BB16" s="351">
        <f t="shared" si="4"/>
        <v>5710.4000000000306</v>
      </c>
      <c r="BC16" s="351">
        <f t="shared" si="5"/>
        <v>22.013267172229749</v>
      </c>
    </row>
    <row r="17" spans="1:55">
      <c r="A17" s="359">
        <v>13</v>
      </c>
      <c r="B17" s="511">
        <f>'13'!G7</f>
        <v>27046.880000000005</v>
      </c>
      <c r="C17" s="511">
        <f>'13'!G8</f>
        <v>27466.020000000019</v>
      </c>
      <c r="D17" s="511">
        <f>'13'!G15</f>
        <v>1143.7299999999814</v>
      </c>
      <c r="E17" s="511">
        <f>'13'!G20</f>
        <v>170</v>
      </c>
      <c r="F17" s="511">
        <f>SUM('13'!G35,'13'!G49)</f>
        <v>3392.039999999979</v>
      </c>
      <c r="G17" s="511">
        <f>SUM('13'!G37,'13'!G51)</f>
        <v>1540.1399999999558</v>
      </c>
      <c r="H17" s="511">
        <f>SUM('13'!G38,'13'!G52)</f>
        <v>2289.2399999999907</v>
      </c>
      <c r="I17" s="511">
        <f>SUM('13'!G39,'13'!G53)</f>
        <v>2983.359999999986</v>
      </c>
      <c r="J17" s="511">
        <f>SUM('13'!G41,'13'!G42,'13'!G55,'13'!G56)</f>
        <v>7606.6199999999953</v>
      </c>
      <c r="K17" s="511">
        <f>SUM('13'!G43,'13'!G57)</f>
        <v>2999.539999999979</v>
      </c>
      <c r="L17" s="254">
        <f>'13'!G50</f>
        <v>1455.0799999999872</v>
      </c>
      <c r="M17" s="254">
        <f>'13'!G36</f>
        <v>743.05999999999767</v>
      </c>
      <c r="N17" s="254">
        <f>'13'!G138</f>
        <v>84</v>
      </c>
      <c r="O17" s="254">
        <f>'13'!$G$139</f>
        <v>162</v>
      </c>
      <c r="P17" s="254">
        <f>'13'!$G$140</f>
        <v>90</v>
      </c>
      <c r="Q17" s="254">
        <f>'13'!$G$141</f>
        <v>205.35000000000582</v>
      </c>
      <c r="R17" s="254">
        <f>'13'!$G$142</f>
        <v>72.520000000004075</v>
      </c>
      <c r="S17" s="254">
        <f>'13'!$G$145</f>
        <v>-2</v>
      </c>
      <c r="T17" s="251">
        <f>'13'!$G$146</f>
        <v>32</v>
      </c>
      <c r="U17" s="251">
        <f>'13'!$G$144</f>
        <v>285</v>
      </c>
      <c r="V17" s="251">
        <f>'13'!$G$147</f>
        <v>388.8399999999674</v>
      </c>
      <c r="W17" s="251">
        <f>'13'!$G$148</f>
        <v>255.52000000001863</v>
      </c>
      <c r="X17" s="251">
        <f>'13'!$G$143</f>
        <v>25.399999999999636</v>
      </c>
      <c r="Y17" s="251">
        <f>'13'!$G$58</f>
        <v>274.91999999999825</v>
      </c>
      <c r="Z17" s="251">
        <f>'13'!$G$151</f>
        <v>313</v>
      </c>
      <c r="AA17" s="251">
        <f>'13'!G161</f>
        <v>96.119999999995343</v>
      </c>
      <c r="AB17" s="251">
        <f>'13'!G162</f>
        <v>37.80000000000291</v>
      </c>
      <c r="AC17" s="251">
        <f>'13'!G88</f>
        <v>4.9999999999272404E-2</v>
      </c>
      <c r="AD17" s="251">
        <f>'13'!G163+'13'!G164</f>
        <v>165.70000000000073</v>
      </c>
      <c r="AE17" s="254">
        <f>'13'!$G$116</f>
        <v>411.12000000000262</v>
      </c>
      <c r="AF17" s="254">
        <f>'13'!$G$117</f>
        <v>282.41000000000349</v>
      </c>
      <c r="AG17" s="254">
        <f>'13'!$G$118</f>
        <v>641.84999999999854</v>
      </c>
      <c r="AH17" s="254">
        <f>'13'!$G$119</f>
        <v>227.86000000000058</v>
      </c>
      <c r="AI17" s="254">
        <f>'13'!$G$120</f>
        <v>452.04000000000087</v>
      </c>
      <c r="AJ17" s="254">
        <f>'13'!$G$121</f>
        <v>450</v>
      </c>
      <c r="AK17" s="254">
        <f>'13'!$G$122</f>
        <v>279.05000000000291</v>
      </c>
      <c r="AL17" s="254">
        <f>'13'!$G$123</f>
        <v>314.12000000000262</v>
      </c>
      <c r="AM17" s="254">
        <f>'13'!$G$133</f>
        <v>686.67999999999302</v>
      </c>
      <c r="AN17" s="254">
        <f>'13'!$G$15</f>
        <v>1143.7299999999814</v>
      </c>
      <c r="AO17" s="256">
        <f>'13'!$G$74</f>
        <v>375.9100000000326</v>
      </c>
      <c r="AP17" s="256">
        <f>'13'!$G$75</f>
        <v>0</v>
      </c>
      <c r="AQ17" s="256">
        <f>'13'!$G$76</f>
        <v>116.94000000000233</v>
      </c>
      <c r="AR17" s="256">
        <f>'13'!$G$77</f>
        <v>57.5</v>
      </c>
      <c r="AS17" s="256">
        <f>'13'!$G$78</f>
        <v>-0.3999999999996362</v>
      </c>
      <c r="AT17" s="256">
        <f t="shared" si="0"/>
        <v>593.77999999994609</v>
      </c>
      <c r="AU17" s="254">
        <f>SUM('13'!G91:G92)</f>
        <v>13.420000000000073</v>
      </c>
      <c r="AV17" s="254">
        <f>'13'!$G$88</f>
        <v>4.9999999999272404E-2</v>
      </c>
      <c r="AW17" s="254">
        <f>'13'!$G$89</f>
        <v>9.5799999999981083</v>
      </c>
      <c r="AX17" s="254">
        <f>'13'!$G$90</f>
        <v>10.410000000003492</v>
      </c>
      <c r="AY17" s="252">
        <f t="shared" si="1"/>
        <v>20.040000000000873</v>
      </c>
      <c r="AZ17" s="311">
        <f t="shared" si="6"/>
        <v>28.011177347245198</v>
      </c>
      <c r="BA17" s="311">
        <f t="shared" si="3"/>
        <v>29.629740518958094</v>
      </c>
      <c r="BB17" s="351">
        <f t="shared" si="4"/>
        <v>6380.1600000001345</v>
      </c>
      <c r="BC17" s="351">
        <f t="shared" si="5"/>
        <v>23.589264270038296</v>
      </c>
    </row>
    <row r="18" spans="1:55">
      <c r="A18" s="359">
        <v>14</v>
      </c>
      <c r="B18" s="511">
        <f>'14'!G7</f>
        <v>27500</v>
      </c>
      <c r="C18" s="511">
        <f>'14'!G8</f>
        <v>27000</v>
      </c>
      <c r="D18" s="511">
        <f>'14'!G15</f>
        <v>1000</v>
      </c>
      <c r="E18" s="511">
        <f>'14'!G20</f>
        <v>-388</v>
      </c>
      <c r="F18" s="511">
        <f>SUM('14'!G35,'14'!G49)</f>
        <v>-104182.31</v>
      </c>
      <c r="G18" s="511">
        <f>SUM('14'!G37,'14'!G51)</f>
        <v>-46932.849999999984</v>
      </c>
      <c r="H18" s="511">
        <f>SUM('14'!G38,'14'!G52)</f>
        <v>-65598.869999999981</v>
      </c>
      <c r="I18" s="511">
        <f>SUM('14'!G39,'14'!G53)</f>
        <v>-87156.069999999949</v>
      </c>
      <c r="J18" s="511">
        <f>SUM('14'!G41,'14'!G42,'14'!G55,'14'!G56)</f>
        <v>-238602.31</v>
      </c>
      <c r="K18" s="511">
        <f>SUM('14'!G43,'14'!G57)</f>
        <v>-90579.76999999999</v>
      </c>
      <c r="L18" s="254">
        <f>'14'!G50</f>
        <v>-33771.609999999986</v>
      </c>
      <c r="M18" s="254">
        <f>'14'!G36</f>
        <v>-25542.829999999987</v>
      </c>
      <c r="N18" s="254">
        <f>'14'!G138</f>
        <v>-3717</v>
      </c>
      <c r="O18" s="254">
        <f>'14'!$G$139</f>
        <v>-4573</v>
      </c>
      <c r="P18" s="254">
        <f>'14'!$G$140</f>
        <v>-88996</v>
      </c>
      <c r="Q18" s="254">
        <f>'14'!$G$141</f>
        <v>-5968.3500000000058</v>
      </c>
      <c r="R18" s="254">
        <f>'14'!$G$142</f>
        <v>-2638.7900000000009</v>
      </c>
      <c r="S18" s="254">
        <f>'14'!$G$145</f>
        <v>0</v>
      </c>
      <c r="T18" s="251">
        <f>'14'!$G$146</f>
        <v>-1295</v>
      </c>
      <c r="U18" s="251">
        <f>'14'!$G$144</f>
        <v>-7104</v>
      </c>
      <c r="V18" s="251">
        <f>'14'!$G$147</f>
        <v>-11225</v>
      </c>
      <c r="W18" s="251">
        <f>'14'!$G$148</f>
        <v>-9148</v>
      </c>
      <c r="X18" s="251">
        <f>'14'!$G$143</f>
        <v>-832.8799999999992</v>
      </c>
      <c r="Y18" s="251">
        <f>'14'!$G$58</f>
        <v>-7985.6399999999994</v>
      </c>
      <c r="Z18" s="251">
        <f>'14'!$G$151</f>
        <v>-7861</v>
      </c>
      <c r="AA18" s="251">
        <f>'14'!G161</f>
        <v>-2393.960000000021</v>
      </c>
      <c r="AB18" s="251">
        <f>'14'!G162</f>
        <v>-1073</v>
      </c>
      <c r="AC18" s="251">
        <f>'14'!G88</f>
        <v>-16.930000000000291</v>
      </c>
      <c r="AD18" s="251">
        <f>'14'!G163+'14'!G164</f>
        <v>95119.2</v>
      </c>
      <c r="AE18" s="254">
        <f>'14'!$G$116</f>
        <v>-11768.61</v>
      </c>
      <c r="AF18" s="254">
        <f>'14'!$G$117</f>
        <v>-7882.1200000000026</v>
      </c>
      <c r="AG18" s="254">
        <f>'14'!$G$118</f>
        <v>-18765.510000000002</v>
      </c>
      <c r="AH18" s="254">
        <f>'14'!$G$119</f>
        <v>-8384.989999999998</v>
      </c>
      <c r="AI18" s="254">
        <f>'14'!$G$120</f>
        <v>-12530.330000000002</v>
      </c>
      <c r="AJ18" s="254">
        <f>'14'!$G$121</f>
        <v>-13064</v>
      </c>
      <c r="AK18" s="254">
        <f>'14'!$G$122</f>
        <v>-8310.2200000000012</v>
      </c>
      <c r="AL18" s="254">
        <f>'14'!$G$123</f>
        <v>-9144.0400000000009</v>
      </c>
      <c r="AM18" s="254">
        <f>'14'!$G$133</f>
        <v>-9912.25</v>
      </c>
      <c r="AN18" s="254">
        <f>'14'!$G$15</f>
        <v>1000</v>
      </c>
      <c r="AO18" s="256">
        <f>'14'!$G$74</f>
        <v>-8699.9300000000512</v>
      </c>
      <c r="AP18" s="256">
        <f>'14'!$G$75</f>
        <v>0</v>
      </c>
      <c r="AQ18" s="256">
        <f>'14'!$G$76</f>
        <v>-2972.9400000000023</v>
      </c>
      <c r="AR18" s="256">
        <f>'14'!$G$77</f>
        <v>-1347.5</v>
      </c>
      <c r="AS18" s="256">
        <f>'14'!$G$78</f>
        <v>0</v>
      </c>
      <c r="AT18" s="256">
        <f t="shared" si="0"/>
        <v>14020.370000000054</v>
      </c>
      <c r="AU18" s="254">
        <f>SUM('14'!G91:G92)</f>
        <v>-306.78999999999996</v>
      </c>
      <c r="AV18" s="254">
        <f>'14'!$G$88</f>
        <v>-16.930000000000291</v>
      </c>
      <c r="AW18" s="254">
        <f>'14'!$G$89</f>
        <v>-265.61999999999898</v>
      </c>
      <c r="AX18" s="254">
        <f>'14'!$G$90</f>
        <v>-249.91999999999825</v>
      </c>
      <c r="AY18" s="252">
        <f t="shared" si="1"/>
        <v>-532.46999999999753</v>
      </c>
      <c r="AZ18" s="311">
        <f t="shared" si="6"/>
        <v>28.357932135988957</v>
      </c>
      <c r="BA18" s="311">
        <f t="shared" si="3"/>
        <v>-26.330816759629872</v>
      </c>
      <c r="BB18" s="351">
        <f t="shared" si="4"/>
        <v>668037.81999999995</v>
      </c>
      <c r="BC18" s="351">
        <f t="shared" si="5"/>
        <v>2429.2284363636363</v>
      </c>
    </row>
    <row r="19" spans="1:55">
      <c r="A19" s="359">
        <v>15</v>
      </c>
      <c r="B19" s="511">
        <f>'15'!G7</f>
        <v>27500</v>
      </c>
      <c r="C19" s="511">
        <f>'15'!G8</f>
        <v>26999.999999999884</v>
      </c>
      <c r="D19" s="511">
        <f>'15'!G15</f>
        <v>1000</v>
      </c>
      <c r="E19" s="511">
        <f>'15'!G20</f>
        <v>250</v>
      </c>
      <c r="F19" s="511">
        <f>SUM('15'!G35,'15'!G49)</f>
        <v>3640</v>
      </c>
      <c r="G19" s="511">
        <f>SUM('15'!G37,'15'!G51)</f>
        <v>1655</v>
      </c>
      <c r="H19" s="511">
        <f>SUM('15'!G38,'15'!G52)</f>
        <v>2311</v>
      </c>
      <c r="I19" s="511">
        <f>SUM('15'!G39,'15'!G53)</f>
        <v>3010</v>
      </c>
      <c r="J19" s="511">
        <f>SUM('15'!G41,'15'!G42,'15'!G55,'15'!G56)</f>
        <v>9511</v>
      </c>
      <c r="K19" s="511">
        <f>SUM('15'!G43,'15'!G57)</f>
        <v>3224</v>
      </c>
      <c r="L19" s="254">
        <f>'15'!G50</f>
        <v>977</v>
      </c>
      <c r="M19" s="254">
        <f>'15'!G36</f>
        <v>699</v>
      </c>
      <c r="N19" s="254">
        <f>'15'!G138</f>
        <v>154</v>
      </c>
      <c r="O19" s="254">
        <f>'15'!$G$139</f>
        <v>132</v>
      </c>
      <c r="P19" s="254">
        <f>'15'!$G$140</f>
        <v>16</v>
      </c>
      <c r="Q19" s="254">
        <f>'15'!$G$141</f>
        <v>201</v>
      </c>
      <c r="R19" s="254">
        <f>'15'!$G$142</f>
        <v>118</v>
      </c>
      <c r="S19" s="254">
        <f>'15'!$G$145</f>
        <v>0</v>
      </c>
      <c r="T19" s="251">
        <f>'15'!$G$146</f>
        <v>40</v>
      </c>
      <c r="U19" s="251">
        <f>'15'!$G$144</f>
        <v>243</v>
      </c>
      <c r="V19" s="251">
        <f>'15'!$G$147</f>
        <v>371</v>
      </c>
      <c r="W19" s="251">
        <f>'15'!$G$148</f>
        <v>258</v>
      </c>
      <c r="X19" s="251">
        <f>'15'!$G$143</f>
        <v>30</v>
      </c>
      <c r="Y19" s="251">
        <f>'15'!$G$58</f>
        <v>239</v>
      </c>
      <c r="Z19" s="251">
        <f>'15'!$G$151</f>
        <v>272</v>
      </c>
      <c r="AA19" s="251">
        <f>'15'!G161</f>
        <v>7</v>
      </c>
      <c r="AB19" s="251">
        <f>'15'!G162</f>
        <v>43</v>
      </c>
      <c r="AC19" s="251">
        <f>'15'!G88</f>
        <v>0</v>
      </c>
      <c r="AD19" s="251">
        <f>'15'!G163+'15'!G164</f>
        <v>151</v>
      </c>
      <c r="AE19" s="254">
        <f>'15'!$G$116</f>
        <v>396</v>
      </c>
      <c r="AF19" s="254">
        <f>'15'!$G$117</f>
        <v>176</v>
      </c>
      <c r="AG19" s="254">
        <f>'15'!$G$118</f>
        <v>645</v>
      </c>
      <c r="AH19" s="254">
        <f>'15'!$G$119</f>
        <v>426</v>
      </c>
      <c r="AI19" s="254">
        <f>'15'!$G$120</f>
        <v>421</v>
      </c>
      <c r="AJ19" s="254">
        <f>'15'!$G$121</f>
        <v>457</v>
      </c>
      <c r="AK19" s="254">
        <f>'15'!$G$122</f>
        <v>309</v>
      </c>
      <c r="AL19" s="254">
        <f>'15'!$G$123</f>
        <v>323</v>
      </c>
      <c r="AM19" s="254">
        <f>'15'!$G$133</f>
        <v>725</v>
      </c>
      <c r="AN19" s="254">
        <f>'15'!$G$15</f>
        <v>1000</v>
      </c>
      <c r="AO19" s="256">
        <f>'15'!$G$74</f>
        <v>312</v>
      </c>
      <c r="AP19" s="256">
        <f>'15'!$G$75</f>
        <v>0</v>
      </c>
      <c r="AQ19" s="256">
        <f>'15'!$G$76</f>
        <v>114</v>
      </c>
      <c r="AR19" s="256">
        <f>'15'!$G$77</f>
        <v>52</v>
      </c>
      <c r="AS19" s="256">
        <f>'15'!$G$78</f>
        <v>0</v>
      </c>
      <c r="AT19" s="256">
        <f t="shared" si="0"/>
        <v>522</v>
      </c>
      <c r="AU19" s="254">
        <f>SUM('15'!G91:G92)</f>
        <v>10.880000000000109</v>
      </c>
      <c r="AV19" s="254">
        <f>'15'!$G$88</f>
        <v>0</v>
      </c>
      <c r="AW19" s="254">
        <f>'15'!$G$89</f>
        <v>9.2000000000007276</v>
      </c>
      <c r="AX19" s="254">
        <f>'15'!$G$90</f>
        <v>12.029999999998836</v>
      </c>
      <c r="AY19" s="252">
        <f t="shared" si="1"/>
        <v>21.229999999999563</v>
      </c>
      <c r="AZ19" s="311">
        <f t="shared" si="6"/>
        <v>28.676470588235006</v>
      </c>
      <c r="BA19" s="311">
        <f t="shared" si="3"/>
        <v>24.587847385775351</v>
      </c>
      <c r="BB19" s="351">
        <f t="shared" si="4"/>
        <v>3409.9999999998836</v>
      </c>
      <c r="BC19" s="351">
        <f t="shared" si="5"/>
        <v>12.399999999999576</v>
      </c>
    </row>
    <row r="20" spans="1:55">
      <c r="A20" s="359">
        <v>16</v>
      </c>
      <c r="B20" s="511">
        <f>'16'!G7</f>
        <v>27500</v>
      </c>
      <c r="C20" s="511">
        <f>'16'!G8</f>
        <v>27000</v>
      </c>
      <c r="D20" s="511">
        <f>'16'!G15</f>
        <v>1000</v>
      </c>
      <c r="E20" s="511">
        <f>'16'!G20</f>
        <v>230</v>
      </c>
      <c r="F20" s="511">
        <f>SUM('16'!G35,'16'!G49)</f>
        <v>3360</v>
      </c>
      <c r="G20" s="511">
        <f>SUM('16'!G37,'16'!G51)</f>
        <v>1666</v>
      </c>
      <c r="H20" s="511">
        <f>SUM('16'!G38,'16'!G52)</f>
        <v>2366</v>
      </c>
      <c r="I20" s="511">
        <f>SUM('16'!G39,'16'!G53)</f>
        <v>3099</v>
      </c>
      <c r="J20" s="511">
        <f>SUM('16'!G41,'16'!G42,'16'!G55,'16'!G56)</f>
        <v>10363</v>
      </c>
      <c r="K20" s="511">
        <f>SUM('16'!G43,'16'!G57)</f>
        <v>3266</v>
      </c>
      <c r="L20" s="254">
        <f>'16'!G50</f>
        <v>861</v>
      </c>
      <c r="M20" s="254">
        <f>'16'!G36</f>
        <v>634</v>
      </c>
      <c r="N20" s="254">
        <f>'16'!G138</f>
        <v>146</v>
      </c>
      <c r="O20" s="254">
        <f>'16'!$G$139</f>
        <v>124</v>
      </c>
      <c r="P20" s="254">
        <f>'16'!$G$140</f>
        <v>17</v>
      </c>
      <c r="Q20" s="254">
        <f>'16'!$G$141</f>
        <v>206</v>
      </c>
      <c r="R20" s="254">
        <f>'16'!$G$142</f>
        <v>149</v>
      </c>
      <c r="S20" s="254">
        <f>'16'!$G$145</f>
        <v>0</v>
      </c>
      <c r="T20" s="251">
        <f>'16'!$G$146</f>
        <v>45</v>
      </c>
      <c r="U20" s="251">
        <f>'16'!$G$144</f>
        <v>237</v>
      </c>
      <c r="V20" s="251">
        <f>'16'!$G$147</f>
        <v>366</v>
      </c>
      <c r="W20" s="251">
        <f>'16'!$G$148</f>
        <v>240</v>
      </c>
      <c r="X20" s="251">
        <f>'16'!$G$143</f>
        <v>28</v>
      </c>
      <c r="Y20" s="251">
        <f>'16'!$G$58</f>
        <v>248</v>
      </c>
      <c r="Z20" s="251">
        <f>'16'!$G$151</f>
        <v>272</v>
      </c>
      <c r="AA20" s="251">
        <f>'16'!G161</f>
        <v>6</v>
      </c>
      <c r="AB20" s="251">
        <f>'16'!G162</f>
        <v>41</v>
      </c>
      <c r="AC20" s="251">
        <f>'16'!G88</f>
        <v>0</v>
      </c>
      <c r="AD20" s="251">
        <f>'16'!G163+'16'!G164</f>
        <v>197</v>
      </c>
      <c r="AE20" s="254">
        <f>'16'!$G$116</f>
        <v>395</v>
      </c>
      <c r="AF20" s="254">
        <f>'16'!$G$117</f>
        <v>220</v>
      </c>
      <c r="AG20" s="254">
        <f>'16'!$G$118</f>
        <v>667</v>
      </c>
      <c r="AH20" s="254">
        <f>'16'!$G$119</f>
        <v>435</v>
      </c>
      <c r="AI20" s="254">
        <f>'16'!$G$120</f>
        <v>431</v>
      </c>
      <c r="AJ20" s="254">
        <f>'16'!$G$121</f>
        <v>448</v>
      </c>
      <c r="AK20" s="254">
        <f>'16'!$G$122</f>
        <v>302</v>
      </c>
      <c r="AL20" s="254">
        <f>'16'!$G$123</f>
        <v>324</v>
      </c>
      <c r="AM20" s="254">
        <f>'16'!$G$133</f>
        <v>622</v>
      </c>
      <c r="AN20" s="254">
        <f>'16'!$G$15</f>
        <v>1000</v>
      </c>
      <c r="AO20" s="256">
        <f>'16'!$G$74</f>
        <v>311</v>
      </c>
      <c r="AP20" s="256">
        <f>'16'!$G$75</f>
        <v>0</v>
      </c>
      <c r="AQ20" s="256">
        <f>'16'!$G$76</f>
        <v>63</v>
      </c>
      <c r="AR20" s="256">
        <f>'16'!$G$77</f>
        <v>43</v>
      </c>
      <c r="AS20" s="256">
        <f>'16'!$G$78</f>
        <v>0</v>
      </c>
      <c r="AT20" s="256">
        <f t="shared" si="0"/>
        <v>583</v>
      </c>
      <c r="AU20" s="254">
        <f>SUM('16'!G91:G92)</f>
        <v>10.609999999999673</v>
      </c>
      <c r="AV20" s="254">
        <f>'16'!$G$88</f>
        <v>0</v>
      </c>
      <c r="AW20" s="254">
        <f>'16'!$G$89</f>
        <v>10.889999999999418</v>
      </c>
      <c r="AX20" s="254">
        <f>'16'!$G$90</f>
        <v>11.160000000003492</v>
      </c>
      <c r="AY20" s="252">
        <f t="shared" si="1"/>
        <v>22.05000000000291</v>
      </c>
      <c r="AZ20" s="311">
        <f t="shared" si="6"/>
        <v>29.311969839774704</v>
      </c>
      <c r="BA20" s="311">
        <f t="shared" si="3"/>
        <v>26.439909297048665</v>
      </c>
      <c r="BB20" s="351">
        <f t="shared" si="4"/>
        <v>2632</v>
      </c>
      <c r="BC20" s="351">
        <f t="shared" si="5"/>
        <v>9.5709090909090904</v>
      </c>
    </row>
    <row r="21" spans="1:55">
      <c r="A21" s="359">
        <v>17</v>
      </c>
      <c r="B21" s="511">
        <f>'17'!G7</f>
        <v>27500</v>
      </c>
      <c r="C21" s="511">
        <f>'17'!G8</f>
        <v>27000</v>
      </c>
      <c r="D21" s="511">
        <f>'17'!G15</f>
        <v>1000</v>
      </c>
      <c r="E21" s="511">
        <f>'17'!G20</f>
        <v>283</v>
      </c>
      <c r="F21" s="511">
        <f>SUM('17'!G35,'17'!G49)</f>
        <v>3494</v>
      </c>
      <c r="G21" s="511">
        <f>SUM('17'!G37,'17'!G51)</f>
        <v>1704</v>
      </c>
      <c r="H21" s="511">
        <f>SUM('17'!G38,'17'!G52)</f>
        <v>2355</v>
      </c>
      <c r="I21" s="511">
        <f>SUM('17'!G39,'17'!G53)</f>
        <v>3142</v>
      </c>
      <c r="J21" s="511">
        <f>SUM('17'!G41,'17'!G42,'17'!G55,'17'!G56)</f>
        <v>10550</v>
      </c>
      <c r="K21" s="511">
        <f>SUM('17'!G43,'17'!G57)</f>
        <v>3226</v>
      </c>
      <c r="L21" s="254">
        <f>'17'!G50</f>
        <v>1457</v>
      </c>
      <c r="M21" s="254">
        <f>'17'!G36</f>
        <v>721</v>
      </c>
      <c r="N21" s="254">
        <f>'18 '!G138</f>
        <v>134</v>
      </c>
      <c r="O21" s="254">
        <f>'17'!$G$139</f>
        <v>210</v>
      </c>
      <c r="P21" s="254">
        <f>'17'!$G$140</f>
        <v>18</v>
      </c>
      <c r="Q21" s="254">
        <f>'17'!$G$141</f>
        <v>217</v>
      </c>
      <c r="R21" s="254">
        <f>'17'!$G$142</f>
        <v>138</v>
      </c>
      <c r="S21" s="254">
        <f>'17'!$G$145</f>
        <v>0</v>
      </c>
      <c r="T21" s="251">
        <f>'17'!$G$146</f>
        <v>44</v>
      </c>
      <c r="U21" s="251">
        <f>'17'!$G$144</f>
        <v>244</v>
      </c>
      <c r="V21" s="251">
        <f>'17'!$G$147</f>
        <v>411</v>
      </c>
      <c r="W21" s="251">
        <f>'17'!$G$148</f>
        <v>314</v>
      </c>
      <c r="X21" s="251">
        <f>'17'!$G$143</f>
        <v>32</v>
      </c>
      <c r="Y21" s="251">
        <f>'17'!$G$58</f>
        <v>222</v>
      </c>
      <c r="Z21" s="251">
        <f>'17'!$G$151</f>
        <v>262</v>
      </c>
      <c r="AA21" s="251">
        <f>'17'!G161</f>
        <v>15</v>
      </c>
      <c r="AB21" s="251">
        <f>'17'!G162</f>
        <v>39</v>
      </c>
      <c r="AC21" s="251">
        <f>'17'!G88</f>
        <v>4.9999999999272404E-2</v>
      </c>
      <c r="AD21" s="251">
        <f>'17'!G163+'17'!G164</f>
        <v>184</v>
      </c>
      <c r="AE21" s="254">
        <f>'17'!$G$116</f>
        <v>372</v>
      </c>
      <c r="AF21" s="254">
        <f>'17'!$G$117</f>
        <v>273</v>
      </c>
      <c r="AG21" s="254">
        <f>'17'!$G$118</f>
        <v>669</v>
      </c>
      <c r="AH21" s="254">
        <f>'17'!$G$119</f>
        <v>459</v>
      </c>
      <c r="AI21" s="254">
        <f>'17'!$G$120</f>
        <v>425</v>
      </c>
      <c r="AJ21" s="254">
        <f>'17'!$G$121</f>
        <v>454</v>
      </c>
      <c r="AK21" s="254">
        <f>'17'!$G$122</f>
        <v>314</v>
      </c>
      <c r="AL21" s="254">
        <f>'17'!$G$123</f>
        <v>317</v>
      </c>
      <c r="AM21" s="254">
        <f>'17'!$G$133</f>
        <v>609</v>
      </c>
      <c r="AN21" s="254">
        <f>'17'!$G$15</f>
        <v>1000</v>
      </c>
      <c r="AO21" s="256">
        <f>'17'!$G$74</f>
        <v>293.52000000001863</v>
      </c>
      <c r="AP21" s="256">
        <f>'17'!$G$75</f>
        <v>0</v>
      </c>
      <c r="AQ21" s="256">
        <f>'17'!$G$76</f>
        <v>132</v>
      </c>
      <c r="AR21" s="256">
        <f>'17'!$G$77</f>
        <v>38</v>
      </c>
      <c r="AS21" s="256">
        <f>'17'!$G$78</f>
        <v>0</v>
      </c>
      <c r="AT21" s="256">
        <f t="shared" si="0"/>
        <v>536.47999999998137</v>
      </c>
      <c r="AU21" s="254">
        <f>SUM('17'!G91:G92)</f>
        <v>10.390000000000327</v>
      </c>
      <c r="AV21" s="254">
        <f>'17'!$G$88</f>
        <v>4.9999999999272404E-2</v>
      </c>
      <c r="AW21" s="254">
        <f>'17'!$G$89</f>
        <v>10.110000000000582</v>
      </c>
      <c r="AX21" s="254">
        <f>'17'!$G$90</f>
        <v>9.8399999999965075</v>
      </c>
      <c r="AY21" s="252">
        <f t="shared" si="1"/>
        <v>19.999999999996362</v>
      </c>
      <c r="AZ21" s="311">
        <f t="shared" si="6"/>
        <v>28.250240615977802</v>
      </c>
      <c r="BA21" s="311">
        <f t="shared" si="3"/>
        <v>26.824000000003949</v>
      </c>
      <c r="BB21" s="351">
        <f t="shared" si="4"/>
        <v>2307</v>
      </c>
      <c r="BC21" s="351">
        <f t="shared" si="5"/>
        <v>8.3890909090909087</v>
      </c>
    </row>
    <row r="22" spans="1:55">
      <c r="A22" s="359">
        <v>18</v>
      </c>
      <c r="B22" s="511">
        <f>'18 '!G7</f>
        <v>27500</v>
      </c>
      <c r="C22" s="511">
        <f>'18 '!G8</f>
        <v>27000</v>
      </c>
      <c r="D22" s="511">
        <f>'18 '!G15</f>
        <v>1000</v>
      </c>
      <c r="E22" s="511">
        <f>'18 '!G20</f>
        <v>232</v>
      </c>
      <c r="F22" s="511">
        <f>SUM('18 '!G35,'18 '!G49)</f>
        <v>3488</v>
      </c>
      <c r="G22" s="511">
        <f>SUM('18 '!G37,'18 '!G51)</f>
        <v>1729</v>
      </c>
      <c r="H22" s="511">
        <f>SUM('18 '!G38,'18 '!G52)</f>
        <v>2397</v>
      </c>
      <c r="I22" s="511">
        <f>SUM('18 '!G39,'18 '!G53)</f>
        <v>3158</v>
      </c>
      <c r="J22" s="511">
        <f>SUM('18 '!G41,'18 '!G42,'18 '!G55,'18 '!G56)</f>
        <v>10831</v>
      </c>
      <c r="K22" s="511">
        <f>SUM('18 '!G43,'18 '!G57)</f>
        <v>3098</v>
      </c>
      <c r="L22" s="254">
        <f>'18 '!G50</f>
        <v>1503</v>
      </c>
      <c r="M22" s="254">
        <f>'18 '!G36</f>
        <v>1045</v>
      </c>
      <c r="N22" s="254">
        <f>'18 '!G138</f>
        <v>134</v>
      </c>
      <c r="O22" s="254">
        <f>'18 '!$G$139</f>
        <v>149</v>
      </c>
      <c r="P22" s="254">
        <f>'18 '!$G$140</f>
        <v>15</v>
      </c>
      <c r="Q22" s="254">
        <f>'18 '!$G$141</f>
        <v>214</v>
      </c>
      <c r="R22" s="254">
        <f>'18 '!$G$142</f>
        <v>145</v>
      </c>
      <c r="S22" s="254">
        <f>'18 '!$G$145</f>
        <v>0</v>
      </c>
      <c r="T22" s="251">
        <f>'18 '!$G$146</f>
        <v>45</v>
      </c>
      <c r="U22" s="251">
        <f>'18 '!$G$144</f>
        <v>231</v>
      </c>
      <c r="V22" s="256">
        <f>'18 '!$G$147</f>
        <v>430</v>
      </c>
      <c r="W22" s="256">
        <f>'18 '!$G$148</f>
        <v>327</v>
      </c>
      <c r="X22" s="256">
        <f>'18 '!$G$143</f>
        <v>27</v>
      </c>
      <c r="Y22" s="256">
        <f>'18 '!$G$58</f>
        <v>244</v>
      </c>
      <c r="Z22" s="256">
        <f>'18 '!$G$151</f>
        <v>287</v>
      </c>
      <c r="AA22" s="256">
        <f>'18 '!G161</f>
        <v>3</v>
      </c>
      <c r="AB22" s="251">
        <f>'18 '!G162</f>
        <v>42</v>
      </c>
      <c r="AC22" s="251">
        <f>'18 '!G88</f>
        <v>0</v>
      </c>
      <c r="AD22" s="251">
        <f>'18 '!G163+'18 '!G164</f>
        <v>172</v>
      </c>
      <c r="AE22" s="254">
        <f>'18 '!$G$116</f>
        <v>409</v>
      </c>
      <c r="AF22" s="254">
        <f>'18 '!$G$117</f>
        <v>280</v>
      </c>
      <c r="AG22" s="254">
        <f>'18 '!$G$118</f>
        <v>650</v>
      </c>
      <c r="AH22" s="254">
        <f>'18 '!$G$119</f>
        <v>447</v>
      </c>
      <c r="AI22" s="254">
        <f>'18 '!$G$120</f>
        <v>435</v>
      </c>
      <c r="AJ22" s="254">
        <f>'18 '!$G$121</f>
        <v>461</v>
      </c>
      <c r="AK22" s="254">
        <f>'18 '!$G$122</f>
        <v>314</v>
      </c>
      <c r="AL22" s="254">
        <f>'18 '!$G$123</f>
        <v>314</v>
      </c>
      <c r="AM22" s="254">
        <f>'18 '!$G$133</f>
        <v>628</v>
      </c>
      <c r="AN22" s="254">
        <f>'18 '!$G$15</f>
        <v>1000</v>
      </c>
      <c r="AO22" s="256">
        <f>'18 '!$G$74</f>
        <v>297.47999999998137</v>
      </c>
      <c r="AP22" s="256">
        <f>'18 '!$G$75</f>
        <v>0</v>
      </c>
      <c r="AQ22" s="256">
        <f>'18 '!$G$76</f>
        <v>111</v>
      </c>
      <c r="AR22" s="256">
        <f>'18 '!$G$77</f>
        <v>50</v>
      </c>
      <c r="AS22" s="256">
        <f>'18 '!$G$78</f>
        <v>0</v>
      </c>
      <c r="AT22" s="256">
        <f t="shared" si="0"/>
        <v>541.52000000001863</v>
      </c>
      <c r="AU22" s="254">
        <f>SUM('18 '!G91:G92)</f>
        <v>10</v>
      </c>
      <c r="AV22" s="254">
        <f>'18 '!$G$88</f>
        <v>0</v>
      </c>
      <c r="AW22" s="254">
        <f>'18 '!$G$89</f>
        <v>10</v>
      </c>
      <c r="AX22" s="254">
        <f>'18 '!$G$90</f>
        <v>12</v>
      </c>
      <c r="AY22" s="252">
        <f t="shared" si="1"/>
        <v>22</v>
      </c>
      <c r="AZ22" s="311">
        <f t="shared" si="6"/>
        <v>29.747999999998136</v>
      </c>
      <c r="BA22" s="311">
        <f t="shared" si="3"/>
        <v>24.614545454546302</v>
      </c>
      <c r="BB22" s="351">
        <f t="shared" si="4"/>
        <v>2055</v>
      </c>
      <c r="BC22" s="351">
        <f t="shared" si="5"/>
        <v>7.4727272727272727</v>
      </c>
    </row>
    <row r="23" spans="1:55" s="313" customFormat="1">
      <c r="A23" s="359">
        <v>19</v>
      </c>
      <c r="B23" s="511">
        <f>'19'!G7</f>
        <v>27500</v>
      </c>
      <c r="C23" s="511">
        <f>'19'!G8</f>
        <v>27000</v>
      </c>
      <c r="D23" s="511">
        <f>'19'!G15</f>
        <v>1000</v>
      </c>
      <c r="E23" s="511">
        <f>'19'!G20</f>
        <v>212</v>
      </c>
      <c r="F23" s="511">
        <f>SUM('19'!G35,'19'!G49)</f>
        <v>3557</v>
      </c>
      <c r="G23" s="511">
        <f>SUM('19'!G37,'19'!G51)</f>
        <v>1734</v>
      </c>
      <c r="H23" s="511">
        <f>SUM('19'!G38,'19'!G52)</f>
        <v>2342</v>
      </c>
      <c r="I23" s="511">
        <f>SUM('19'!G39,'19'!G53)</f>
        <v>3175</v>
      </c>
      <c r="J23" s="511">
        <f>SUM('19'!G41,'19'!G42,'19'!G55,'19'!G56)</f>
        <v>10354</v>
      </c>
      <c r="K23" s="511">
        <f>SUM('19'!G43,'19'!G57)</f>
        <v>3130</v>
      </c>
      <c r="L23" s="251">
        <f>'19'!G50</f>
        <v>958</v>
      </c>
      <c r="M23" s="251">
        <f>'19'!G36</f>
        <v>1321</v>
      </c>
      <c r="N23" s="251">
        <f>'19'!G138</f>
        <v>137</v>
      </c>
      <c r="O23" s="251">
        <f>'19'!$G$139</f>
        <v>150</v>
      </c>
      <c r="P23" s="251">
        <f>'19'!$G$140</f>
        <v>14</v>
      </c>
      <c r="Q23" s="251">
        <f>'19'!$G$141</f>
        <v>221</v>
      </c>
      <c r="R23" s="254">
        <f>'19'!G142</f>
        <v>148</v>
      </c>
      <c r="S23" s="251">
        <f>'19'!$G$145</f>
        <v>0</v>
      </c>
      <c r="T23" s="251">
        <f>'19'!$G$146</f>
        <v>38</v>
      </c>
      <c r="U23" s="251">
        <f>'19'!$G$144</f>
        <v>250</v>
      </c>
      <c r="V23" s="251">
        <f>'19'!$G$147</f>
        <v>381</v>
      </c>
      <c r="W23" s="251">
        <f>'19'!$G$148</f>
        <v>517</v>
      </c>
      <c r="X23" s="251">
        <f>'19'!$G$143</f>
        <v>28</v>
      </c>
      <c r="Y23" s="251">
        <f>'19'!$G$58</f>
        <v>216</v>
      </c>
      <c r="Z23" s="251">
        <f>'19'!$G$151</f>
        <v>291</v>
      </c>
      <c r="AA23" s="251">
        <f>'19'!G161</f>
        <v>10</v>
      </c>
      <c r="AB23" s="251">
        <f>'19'!G162</f>
        <v>16</v>
      </c>
      <c r="AC23" s="251">
        <f>'19'!G88</f>
        <v>0</v>
      </c>
      <c r="AD23" s="251">
        <f>'19'!G163+'19'!G164</f>
        <v>164</v>
      </c>
      <c r="AE23" s="251">
        <f>'19'!$G$116</f>
        <v>482</v>
      </c>
      <c r="AF23" s="251">
        <f>'19'!$G$117</f>
        <v>285</v>
      </c>
      <c r="AG23" s="251">
        <f>'19'!$G$118</f>
        <v>643</v>
      </c>
      <c r="AH23" s="251">
        <f>'19'!$G$119</f>
        <v>461</v>
      </c>
      <c r="AI23" s="251">
        <f>'19'!$G$120</f>
        <v>431</v>
      </c>
      <c r="AJ23" s="251">
        <f>'19'!$G$121</f>
        <v>455</v>
      </c>
      <c r="AK23" s="251">
        <f>'19'!$G$122</f>
        <v>277</v>
      </c>
      <c r="AL23" s="251">
        <f>'19'!$G$123</f>
        <v>314</v>
      </c>
      <c r="AM23" s="251">
        <f>'19'!$G$133</f>
        <v>623</v>
      </c>
      <c r="AN23" s="251">
        <f>'19'!$G$15</f>
        <v>1000</v>
      </c>
      <c r="AO23" s="256">
        <f>'19'!$G$74</f>
        <v>300</v>
      </c>
      <c r="AP23" s="256">
        <f>'19'!$G$75</f>
        <v>0</v>
      </c>
      <c r="AQ23" s="256">
        <f>'19'!$G$76</f>
        <v>118</v>
      </c>
      <c r="AR23" s="256">
        <f>'19'!$G$77</f>
        <v>63</v>
      </c>
      <c r="AS23" s="256">
        <f>'19'!$G$78</f>
        <v>0</v>
      </c>
      <c r="AT23" s="256">
        <f t="shared" si="0"/>
        <v>519</v>
      </c>
      <c r="AU23" s="251">
        <f>SUM('19'!G91:G92)</f>
        <v>10</v>
      </c>
      <c r="AV23" s="251">
        <f>'19'!$G$88</f>
        <v>0</v>
      </c>
      <c r="AW23" s="251">
        <f>'19'!$G$89</f>
        <v>9.4700000000011642</v>
      </c>
      <c r="AX23" s="251">
        <f>'19'!$G$90</f>
        <v>9</v>
      </c>
      <c r="AY23" s="255">
        <f t="shared" si="1"/>
        <v>18.470000000001164</v>
      </c>
      <c r="AZ23" s="311">
        <f t="shared" si="6"/>
        <v>30</v>
      </c>
      <c r="BA23" s="311">
        <f t="shared" si="3"/>
        <v>28.099621007036671</v>
      </c>
      <c r="BB23" s="351">
        <f t="shared" si="4"/>
        <v>2492</v>
      </c>
      <c r="BC23" s="351">
        <f t="shared" si="5"/>
        <v>9.0618181818181824</v>
      </c>
    </row>
    <row r="24" spans="1:55">
      <c r="A24" s="359">
        <v>20</v>
      </c>
      <c r="B24" s="511">
        <f>'20'!G7</f>
        <v>27500</v>
      </c>
      <c r="C24" s="511">
        <f>'20'!G8</f>
        <v>27000</v>
      </c>
      <c r="D24" s="511">
        <f>'20'!G15</f>
        <v>1000</v>
      </c>
      <c r="E24" s="511">
        <f>'20'!G20</f>
        <v>253</v>
      </c>
      <c r="F24" s="511">
        <f>SUM('20'!G35,'20'!G49)</f>
        <v>3591</v>
      </c>
      <c r="G24" s="511">
        <f>SUM('20'!G37,'20'!G51)</f>
        <v>1669</v>
      </c>
      <c r="H24" s="511">
        <f>SUM('20'!G38,'20'!G52)</f>
        <v>2341</v>
      </c>
      <c r="I24" s="511">
        <f>SUM('20'!G39,'20'!G53)</f>
        <v>3213</v>
      </c>
      <c r="J24" s="511">
        <f>SUM('20'!G41,'20'!G42,'20'!G55,'20'!G56)</f>
        <v>9993</v>
      </c>
      <c r="K24" s="511">
        <f>SUM('20'!G43,'20'!G57)</f>
        <v>3092</v>
      </c>
      <c r="L24" s="254">
        <f>'20'!G50</f>
        <v>1133</v>
      </c>
      <c r="M24" s="254">
        <f>'20'!G36</f>
        <v>1199</v>
      </c>
      <c r="N24" s="254">
        <f>'20'!G138</f>
        <v>147</v>
      </c>
      <c r="O24" s="254">
        <f>'20'!$G$139</f>
        <v>152</v>
      </c>
      <c r="P24" s="254">
        <f>'20'!$G$140</f>
        <v>16</v>
      </c>
      <c r="Q24" s="254">
        <f>'20'!$G$141</f>
        <v>203</v>
      </c>
      <c r="R24" s="254">
        <f>'20'!$G$142</f>
        <v>114</v>
      </c>
      <c r="S24" s="254">
        <f>'20'!$G$145</f>
        <v>0</v>
      </c>
      <c r="T24" s="251">
        <f>'20'!$G$146</f>
        <v>47</v>
      </c>
      <c r="U24" s="251">
        <f>'20'!$G$144</f>
        <v>239</v>
      </c>
      <c r="V24" s="251">
        <f>'20'!$G$147</f>
        <v>410</v>
      </c>
      <c r="W24" s="251">
        <f>'20'!$G$148</f>
        <v>560</v>
      </c>
      <c r="X24" s="251">
        <f>'20'!$G$143</f>
        <v>29</v>
      </c>
      <c r="Y24" s="251">
        <f>'20'!$G$58</f>
        <v>254</v>
      </c>
      <c r="Z24" s="251">
        <f>'20'!$G$151</f>
        <v>294</v>
      </c>
      <c r="AA24" s="251">
        <f>'20'!G161</f>
        <v>244</v>
      </c>
      <c r="AB24" s="251">
        <f>'20'!G162</f>
        <v>41</v>
      </c>
      <c r="AC24" s="251">
        <f>'20'!G88</f>
        <v>0</v>
      </c>
      <c r="AD24" s="251">
        <f>'20'!G163+'20'!G164</f>
        <v>174</v>
      </c>
      <c r="AE24" s="254">
        <f>'20'!$G$116</f>
        <v>455</v>
      </c>
      <c r="AF24" s="254">
        <f>'20'!$G$117</f>
        <v>292</v>
      </c>
      <c r="AG24" s="254">
        <f>'20'!$G$118</f>
        <v>639</v>
      </c>
      <c r="AH24" s="254">
        <f>'20'!$G$119</f>
        <v>468</v>
      </c>
      <c r="AI24" s="254">
        <f>'20'!$G$120</f>
        <v>428</v>
      </c>
      <c r="AJ24" s="254">
        <f>'20'!$G$121</f>
        <v>473</v>
      </c>
      <c r="AK24" s="254">
        <f>'20'!$G$122</f>
        <v>280</v>
      </c>
      <c r="AL24" s="254">
        <f>'20'!$G$123</f>
        <v>313</v>
      </c>
      <c r="AM24" s="254">
        <f>'20'!$G$133</f>
        <v>619</v>
      </c>
      <c r="AN24" s="254">
        <f>'20'!$G$15</f>
        <v>1000</v>
      </c>
      <c r="AO24" s="256">
        <f>'20'!$G$74</f>
        <v>296</v>
      </c>
      <c r="AP24" s="256">
        <f>'20'!$G$75</f>
        <v>0</v>
      </c>
      <c r="AQ24" s="256">
        <f>'20'!$G$76</f>
        <v>103</v>
      </c>
      <c r="AR24" s="256">
        <f>'20'!$G$77</f>
        <v>42</v>
      </c>
      <c r="AS24" s="256">
        <f>'20'!$G$78</f>
        <v>0</v>
      </c>
      <c r="AT24" s="256">
        <f t="shared" si="0"/>
        <v>559</v>
      </c>
      <c r="AU24" s="254">
        <f>SUM('20'!G91:G92)</f>
        <v>11</v>
      </c>
      <c r="AV24" s="254">
        <f>'20'!$G$88</f>
        <v>0</v>
      </c>
      <c r="AW24" s="254">
        <f>'20'!$G$89</f>
        <v>10.529999999998836</v>
      </c>
      <c r="AX24" s="254">
        <f>'20'!$G$90</f>
        <v>10</v>
      </c>
      <c r="AY24" s="252">
        <f t="shared" si="1"/>
        <v>20.529999999998836</v>
      </c>
      <c r="AZ24" s="311">
        <f t="shared" si="6"/>
        <v>26.90909090909091</v>
      </c>
      <c r="BA24" s="311">
        <f t="shared" si="3"/>
        <v>27.22844617632887</v>
      </c>
      <c r="BB24" s="351">
        <f t="shared" si="4"/>
        <v>2847</v>
      </c>
      <c r="BC24" s="351">
        <f t="shared" si="5"/>
        <v>10.352727272727273</v>
      </c>
    </row>
    <row r="25" spans="1:55">
      <c r="A25" s="359">
        <v>21</v>
      </c>
      <c r="B25" s="511">
        <f>'21'!G7</f>
        <v>27500</v>
      </c>
      <c r="C25" s="511">
        <f>'21'!G8</f>
        <v>27000</v>
      </c>
      <c r="D25" s="511">
        <f>'21'!G15</f>
        <v>1000</v>
      </c>
      <c r="E25" s="511">
        <f>'21'!G20</f>
        <v>263</v>
      </c>
      <c r="F25" s="511">
        <f>SUM('21'!G35,'21'!G49)</f>
        <v>3632.070000000007</v>
      </c>
      <c r="G25" s="511">
        <f>SUM('21'!G37,'21'!G51)</f>
        <v>1661.0499999999884</v>
      </c>
      <c r="H25" s="511">
        <f>SUM('21'!G38,'21'!G52)</f>
        <v>2383.1500000000233</v>
      </c>
      <c r="I25" s="511">
        <f>SUM('21'!G39,'21'!G53)</f>
        <v>3123.9099999999744</v>
      </c>
      <c r="J25" s="511">
        <f>SUM('21'!G41,'21'!G42,'21'!G55,'21'!G56)</f>
        <v>7747.2600000000384</v>
      </c>
      <c r="K25" s="511">
        <f>SUM('21'!G43,'21'!G57)</f>
        <v>3040.2299999999959</v>
      </c>
      <c r="L25" s="254">
        <f>'21'!G50</f>
        <v>1132.4100000000035</v>
      </c>
      <c r="M25" s="254">
        <f>'21'!G36</f>
        <v>811.32999999998719</v>
      </c>
      <c r="N25" s="254">
        <f>'21'!G138</f>
        <v>138</v>
      </c>
      <c r="O25" s="254">
        <f>'21'!$G$139</f>
        <v>170</v>
      </c>
      <c r="P25" s="254">
        <f>'21'!$G$140</f>
        <v>18.090000000000032</v>
      </c>
      <c r="Q25" s="254">
        <f>'21'!$G$141</f>
        <v>221.75</v>
      </c>
      <c r="R25" s="254">
        <f>'21'!$G$142</f>
        <v>137.79000000000087</v>
      </c>
      <c r="S25" s="254">
        <f>'21'!$G$145</f>
        <v>0</v>
      </c>
      <c r="T25" s="251">
        <f>'21'!$G$146</f>
        <v>45</v>
      </c>
      <c r="U25" s="251">
        <f>'21'!$G$144</f>
        <v>255</v>
      </c>
      <c r="V25" s="251">
        <f>'21'!$G$147</f>
        <v>380.43999999994412</v>
      </c>
      <c r="W25" s="251">
        <f>'21'!$G$148</f>
        <v>292.07999999995809</v>
      </c>
      <c r="X25" s="251">
        <f>'21'!$G$143</f>
        <v>32.1899999999996</v>
      </c>
      <c r="Y25" s="251">
        <f>'21'!$G$58</f>
        <v>240.40000000000146</v>
      </c>
      <c r="Z25" s="251">
        <f>'21'!$G$151</f>
        <v>283</v>
      </c>
      <c r="AA25" s="251">
        <f>'21'!G161</f>
        <v>225.23999999999069</v>
      </c>
      <c r="AB25" s="251">
        <f>'21'!G162</f>
        <v>40.19999999999709</v>
      </c>
      <c r="AC25" s="251">
        <f>'21'!G88</f>
        <v>-4.9999999999272404E-2</v>
      </c>
      <c r="AD25" s="251">
        <f>'21'!G163+'21'!G164</f>
        <v>178.10000000000002</v>
      </c>
      <c r="AE25" s="254">
        <f>'21'!$G$116</f>
        <v>419.19000000000233</v>
      </c>
      <c r="AF25" s="254">
        <f>'21'!$G$117</f>
        <v>339.56000000000131</v>
      </c>
      <c r="AG25" s="254">
        <f>'21'!$G$118</f>
        <v>668.65000000000146</v>
      </c>
      <c r="AH25" s="254">
        <f>'21'!$G$119</f>
        <v>392.15000000000146</v>
      </c>
      <c r="AI25" s="254">
        <f>'21'!$G$120</f>
        <v>426.56000000000131</v>
      </c>
      <c r="AJ25" s="254">
        <f>'21'!$G$121</f>
        <v>461.20999999999913</v>
      </c>
      <c r="AK25" s="254">
        <f>'21'!$G$122</f>
        <v>236.02000000000044</v>
      </c>
      <c r="AL25" s="254">
        <f>'21'!$G$123</f>
        <v>315.31000000000131</v>
      </c>
      <c r="AM25" s="254">
        <f>'21'!$G$133</f>
        <v>623.91000000000349</v>
      </c>
      <c r="AN25" s="254">
        <f>'21'!$G$15</f>
        <v>1000</v>
      </c>
      <c r="AO25" s="256">
        <f>'21'!$G$74</f>
        <v>293.61999999999534</v>
      </c>
      <c r="AP25" s="256">
        <f>'21'!$G$75</f>
        <v>0</v>
      </c>
      <c r="AQ25" s="256">
        <f>'21'!$G$76</f>
        <v>113.63000000000466</v>
      </c>
      <c r="AR25" s="256">
        <f>'21'!$G$77</f>
        <v>45.400000000001455</v>
      </c>
      <c r="AS25" s="256">
        <f>'21'!$G$78</f>
        <v>0</v>
      </c>
      <c r="AT25" s="256">
        <f t="shared" si="0"/>
        <v>547.34999999999854</v>
      </c>
      <c r="AU25" s="254">
        <f>SUM('21'!G91:G92)</f>
        <v>9.6400000000003274</v>
      </c>
      <c r="AV25" s="254">
        <f>'21'!$G$88</f>
        <v>-4.9999999999272404E-2</v>
      </c>
      <c r="AW25" s="254">
        <f>'21'!$G$89</f>
        <v>9.9500000000007276</v>
      </c>
      <c r="AX25" s="254">
        <f>'21'!$G$90</f>
        <v>10.520000000004075</v>
      </c>
      <c r="AY25" s="252">
        <f t="shared" si="1"/>
        <v>20.42000000000553</v>
      </c>
      <c r="AZ25" s="311">
        <f t="shared" si="6"/>
        <v>30.458506224064873</v>
      </c>
      <c r="BA25" s="311">
        <f t="shared" si="3"/>
        <v>26.80460333006123</v>
      </c>
      <c r="BB25" s="351">
        <f t="shared" si="4"/>
        <v>5171.9299999999712</v>
      </c>
      <c r="BC25" s="351">
        <f t="shared" si="5"/>
        <v>18.807018181818076</v>
      </c>
    </row>
    <row r="26" spans="1:55">
      <c r="A26" s="359">
        <v>22</v>
      </c>
      <c r="B26" s="511">
        <f>'22'!G7</f>
        <v>27500</v>
      </c>
      <c r="C26" s="511">
        <f>'22'!G8</f>
        <v>27000</v>
      </c>
      <c r="D26" s="511">
        <f>'22'!G15</f>
        <v>1000</v>
      </c>
      <c r="E26" s="511">
        <f>'22'!G20</f>
        <v>243</v>
      </c>
      <c r="F26" s="511">
        <f>SUM('22'!G35,'22'!G49)</f>
        <v>3530.4400000000023</v>
      </c>
      <c r="G26" s="511">
        <f>SUM('22'!G37,'22'!G51)</f>
        <v>1658.7399999999907</v>
      </c>
      <c r="H26" s="511">
        <f>SUM('22'!G38,'22'!G52)</f>
        <v>2286.3999999999651</v>
      </c>
      <c r="I26" s="511">
        <f>SUM('22'!G39,'22'!G53)</f>
        <v>3040.2400000000489</v>
      </c>
      <c r="J26" s="511">
        <f>SUM('22'!G41,'22'!G42,'22'!G55,'22'!G56)</f>
        <v>8692.7099999999773</v>
      </c>
      <c r="K26" s="511">
        <f>SUM('22'!G43,'22'!G57)</f>
        <v>3050.0600000000268</v>
      </c>
      <c r="L26" s="254">
        <f>'22'!G50</f>
        <v>1142.5</v>
      </c>
      <c r="M26" s="254">
        <f>'22'!G36</f>
        <v>719.92000000001281</v>
      </c>
      <c r="N26" s="254">
        <f>'22'!G138</f>
        <v>129</v>
      </c>
      <c r="O26" s="254">
        <f>'22'!$G$139</f>
        <v>172</v>
      </c>
      <c r="P26" s="254">
        <f>'22'!$G$140</f>
        <v>17.069999999999936</v>
      </c>
      <c r="Q26" s="254">
        <f>'22'!$G$141</f>
        <v>200.22999999999593</v>
      </c>
      <c r="R26" s="254">
        <f>'22'!$G$142</f>
        <v>102.95999999999913</v>
      </c>
      <c r="S26" s="254">
        <f>'22'!$G$145</f>
        <v>0</v>
      </c>
      <c r="T26" s="251">
        <f>'22'!$G$146</f>
        <v>46</v>
      </c>
      <c r="U26" s="251">
        <f>'22'!$G$144</f>
        <v>253</v>
      </c>
      <c r="V26" s="251">
        <f>'22'!$G$147</f>
        <v>365.44000000006054</v>
      </c>
      <c r="W26" s="251">
        <f>'22'!$G$148</f>
        <v>315.52000000001863</v>
      </c>
      <c r="X26" s="251">
        <f>'22'!$G$143</f>
        <v>28.420000000000073</v>
      </c>
      <c r="Y26" s="251">
        <f>'22'!$G$58</f>
        <v>275.12999999999738</v>
      </c>
      <c r="Z26" s="251">
        <f>'22'!$G$151</f>
        <v>284</v>
      </c>
      <c r="AA26" s="251">
        <f>'22'!G161</f>
        <v>181.76000000000931</v>
      </c>
      <c r="AB26" s="251">
        <f>'22'!G162</f>
        <v>43.30000000000291</v>
      </c>
      <c r="AC26" s="251">
        <f>'22'!G88</f>
        <v>0.18999999999869033</v>
      </c>
      <c r="AD26" s="251">
        <f>'22'!G163+'22'!G164</f>
        <v>163.59999999999957</v>
      </c>
      <c r="AE26" s="254">
        <f>'22'!$G$116</f>
        <v>406.79999999999563</v>
      </c>
      <c r="AF26" s="254">
        <f>'22'!$G$117</f>
        <v>278.40999999999985</v>
      </c>
      <c r="AG26" s="254">
        <f>'22'!$G$118</f>
        <v>658.15999999999622</v>
      </c>
      <c r="AH26" s="254">
        <f>'22'!$G$119</f>
        <v>296.62999999999738</v>
      </c>
      <c r="AI26" s="254">
        <f>'22'!$G$120</f>
        <v>433.55999999999767</v>
      </c>
      <c r="AJ26" s="254">
        <f>'22'!$G$121</f>
        <v>471.59999999999854</v>
      </c>
      <c r="AK26" s="254">
        <f>'22'!$G$122</f>
        <v>295.31999999999971</v>
      </c>
      <c r="AL26" s="254">
        <f>'22'!$G$123</f>
        <v>312.40999999999985</v>
      </c>
      <c r="AM26" s="254">
        <f>'22'!$G$133</f>
        <v>605.13999999998487</v>
      </c>
      <c r="AN26" s="254">
        <f>'22'!$G$15</f>
        <v>1000</v>
      </c>
      <c r="AO26" s="256">
        <f>'22'!$G$74</f>
        <v>299.88000000000466</v>
      </c>
      <c r="AP26" s="256">
        <f>'22'!$G$75</f>
        <v>0</v>
      </c>
      <c r="AQ26" s="256">
        <f>'22'!$G$76</f>
        <v>97.869999999995343</v>
      </c>
      <c r="AR26" s="256">
        <f>'22'!$G$77</f>
        <v>34.799999999995634</v>
      </c>
      <c r="AS26" s="256">
        <f>'22'!$G$78</f>
        <v>0</v>
      </c>
      <c r="AT26" s="256">
        <f t="shared" si="0"/>
        <v>567.45000000000437</v>
      </c>
      <c r="AU26" s="254">
        <f>SUM('22'!G91:G92)</f>
        <v>10.319999999999709</v>
      </c>
      <c r="AV26" s="254">
        <f>'22'!$G$88</f>
        <v>0.18999999999869033</v>
      </c>
      <c r="AW26" s="254">
        <f>'22'!$G$89</f>
        <v>8.9799999999995634</v>
      </c>
      <c r="AX26" s="254">
        <f>'22'!$G$90</f>
        <v>9.6499999999941792</v>
      </c>
      <c r="AY26" s="252">
        <f t="shared" si="1"/>
        <v>18.819999999992433</v>
      </c>
      <c r="AZ26" s="311">
        <f t="shared" si="6"/>
        <v>29.05813953488499</v>
      </c>
      <c r="BA26" s="311">
        <f t="shared" si="3"/>
        <v>30.151434644008106</v>
      </c>
      <c r="BB26" s="351">
        <f t="shared" si="4"/>
        <v>4466.2799999999916</v>
      </c>
      <c r="BC26" s="351">
        <f t="shared" si="5"/>
        <v>16.241018181818152</v>
      </c>
    </row>
    <row r="27" spans="1:55">
      <c r="A27" s="359">
        <v>23</v>
      </c>
      <c r="B27" s="511">
        <f>'23'!G7</f>
        <v>27500</v>
      </c>
      <c r="C27" s="511">
        <f>'23'!G8</f>
        <v>27000</v>
      </c>
      <c r="D27" s="511">
        <f>'23'!G15</f>
        <v>1000</v>
      </c>
      <c r="E27" s="511">
        <f>'23'!G20</f>
        <v>182</v>
      </c>
      <c r="F27" s="511">
        <f>SUM('23'!G35,'23'!G49)</f>
        <v>3675.1599999999744</v>
      </c>
      <c r="G27" s="511">
        <f>SUM('23'!G37,'23'!G51)</f>
        <v>1637.1100000000442</v>
      </c>
      <c r="H27" s="511">
        <f>SUM('23'!G38,'23'!G52)</f>
        <v>2279.8400000000256</v>
      </c>
      <c r="I27" s="511">
        <f>SUM('23'!G39,'23'!G53)</f>
        <v>3028.1199999999953</v>
      </c>
      <c r="J27" s="511">
        <f>SUM('23'!G41,'23'!G42,'23'!G55,'23'!G56)</f>
        <v>7278.6699999999983</v>
      </c>
      <c r="K27" s="511">
        <f>SUM('23'!G43,'23'!G57)</f>
        <v>3016.6300000000047</v>
      </c>
      <c r="L27" s="254">
        <f>'23'!G50</f>
        <v>1188.2799999999988</v>
      </c>
      <c r="M27" s="254">
        <f>'23'!G36</f>
        <v>775.07999999998719</v>
      </c>
      <c r="N27" s="254">
        <f>'23'!G138</f>
        <v>135</v>
      </c>
      <c r="O27" s="254">
        <f>'23'!G139</f>
        <v>150</v>
      </c>
      <c r="P27" s="254">
        <f>'23'!$G$140</f>
        <v>16.970000000000027</v>
      </c>
      <c r="Q27" s="254">
        <f>'23'!$G$141</f>
        <v>217.30000000000291</v>
      </c>
      <c r="R27" s="254">
        <f>'23'!$G$142</f>
        <v>93.400000000001455</v>
      </c>
      <c r="S27" s="254">
        <f>'23'!$G$145</f>
        <v>0.31000000000040018</v>
      </c>
      <c r="T27" s="251">
        <f>'23'!$G$146</f>
        <v>72</v>
      </c>
      <c r="U27" s="251">
        <f>'23'!$G$144</f>
        <v>231</v>
      </c>
      <c r="V27" s="251">
        <f>'23'!$G$147</f>
        <v>364.11999999999534</v>
      </c>
      <c r="W27" s="251">
        <f>'23'!$G$148</f>
        <v>307.04000000003725</v>
      </c>
      <c r="X27" s="251">
        <f>'23'!$G$143</f>
        <v>28.530000000000655</v>
      </c>
      <c r="Y27" s="251">
        <f>'23'!$G$58</f>
        <v>295.88999999999942</v>
      </c>
      <c r="Z27" s="251">
        <f>'23'!$G$151</f>
        <v>243</v>
      </c>
      <c r="AA27" s="251">
        <f>'23'!$G$161</f>
        <v>194.52000000001863</v>
      </c>
      <c r="AB27" s="251">
        <f>'23'!G162</f>
        <v>46.899999999994179</v>
      </c>
      <c r="AC27" s="251">
        <f>'23'!G88</f>
        <v>0</v>
      </c>
      <c r="AD27" s="251">
        <f>'23'!G163+'23'!G164</f>
        <v>192.20000000000005</v>
      </c>
      <c r="AE27" s="254">
        <f>'23'!$G$116</f>
        <v>398.77000000000407</v>
      </c>
      <c r="AF27" s="254">
        <f>'23'!$G$117</f>
        <v>305.02000000000044</v>
      </c>
      <c r="AG27" s="254">
        <f>'23'!$G$118</f>
        <v>667.38999999999942</v>
      </c>
      <c r="AH27" s="254">
        <f>'23'!$G$119</f>
        <v>272.88000000000102</v>
      </c>
      <c r="AI27" s="254">
        <f>'23'!$G$120</f>
        <v>436.11000000000058</v>
      </c>
      <c r="AJ27" s="254">
        <f>'23'!$G$121</f>
        <v>465.19000000000233</v>
      </c>
      <c r="AK27" s="254">
        <f>'23'!$G$122</f>
        <v>275.61999999999898</v>
      </c>
      <c r="AL27" s="254">
        <f>'23'!$G$123</f>
        <v>313.44999999999709</v>
      </c>
      <c r="AM27" s="254">
        <f>'23'!$G$133</f>
        <v>607.44000000000233</v>
      </c>
      <c r="AN27" s="254">
        <f>'23'!$G$15</f>
        <v>1000</v>
      </c>
      <c r="AO27" s="256">
        <f>'23'!$G$74</f>
        <v>288.39000000001397</v>
      </c>
      <c r="AP27" s="256">
        <f>'23'!$G$75</f>
        <v>0</v>
      </c>
      <c r="AQ27" s="256">
        <f>'23'!$G$76</f>
        <v>96.269999999989523</v>
      </c>
      <c r="AR27" s="256">
        <f>'23'!$G$77</f>
        <v>37.600000000005821</v>
      </c>
      <c r="AS27" s="256">
        <f>'23'!$G$78</f>
        <v>0</v>
      </c>
      <c r="AT27" s="256">
        <f t="shared" si="0"/>
        <v>577.73999999999069</v>
      </c>
      <c r="AU27" s="254">
        <f>SUM('23'!G91:G92)</f>
        <v>10.039999999999964</v>
      </c>
      <c r="AV27" s="254">
        <f>'23'!$G$88</f>
        <v>0</v>
      </c>
      <c r="AW27" s="254">
        <f>'23'!$G$89</f>
        <v>9.6500000000014552</v>
      </c>
      <c r="AX27" s="254">
        <f>'23'!$G$90</f>
        <v>10.380000000004657</v>
      </c>
      <c r="AY27" s="252">
        <f t="shared" si="1"/>
        <v>20.030000000006112</v>
      </c>
      <c r="AZ27" s="311">
        <f t="shared" si="6"/>
        <v>28.724103585658867</v>
      </c>
      <c r="BA27" s="311">
        <f t="shared" si="3"/>
        <v>28.843734398393131</v>
      </c>
      <c r="BB27" s="351">
        <f t="shared" si="4"/>
        <v>5788.5799999999581</v>
      </c>
      <c r="BC27" s="351">
        <f t="shared" si="5"/>
        <v>21.049381818181665</v>
      </c>
    </row>
    <row r="28" spans="1:55" s="315" customFormat="1">
      <c r="A28" s="359">
        <v>24</v>
      </c>
      <c r="B28" s="511">
        <f>'24'!G7</f>
        <v>27500</v>
      </c>
      <c r="C28" s="511">
        <f>'24'!G8</f>
        <v>27000</v>
      </c>
      <c r="D28" s="511">
        <f>'24'!G15</f>
        <v>1000</v>
      </c>
      <c r="E28" s="511">
        <f>'24'!G20</f>
        <v>233</v>
      </c>
      <c r="F28" s="511">
        <f>SUM('24'!G35,'24'!G49)</f>
        <v>3671.1600000000326</v>
      </c>
      <c r="G28" s="511">
        <f>SUM('24'!G37,'24'!G51)</f>
        <v>1628.0499999999884</v>
      </c>
      <c r="H28" s="511">
        <f>SUM('24'!G38,'24'!G52)</f>
        <v>2248.5199999999604</v>
      </c>
      <c r="I28" s="511">
        <f>SUM('24'!G39,'24'!G53)</f>
        <v>2993.4400000000023</v>
      </c>
      <c r="J28" s="511">
        <f>SUM('24'!G41,'24'!G42,'24'!G55,'24'!G56)</f>
        <v>8471.2600000000384</v>
      </c>
      <c r="K28" s="511">
        <f>SUM('24'!G43,'24'!G57)</f>
        <v>3230.1399999999994</v>
      </c>
      <c r="L28" s="254">
        <f>'24'!G50</f>
        <v>1022.7200000000012</v>
      </c>
      <c r="M28" s="251">
        <f>'24'!G36</f>
        <v>820.62000000002445</v>
      </c>
      <c r="N28" s="251">
        <f>'24'!G138</f>
        <v>130</v>
      </c>
      <c r="O28" s="251">
        <f>'24'!G139</f>
        <v>147</v>
      </c>
      <c r="P28" s="251">
        <f>'24'!$G$140</f>
        <v>15.57000000000005</v>
      </c>
      <c r="Q28" s="251">
        <f>'24'!$G$141</f>
        <v>199.11000000000058</v>
      </c>
      <c r="R28" s="251">
        <f>'24'!$G$142</f>
        <v>84.489999999997963</v>
      </c>
      <c r="S28" s="251">
        <f>'24'!$G$145</f>
        <v>0</v>
      </c>
      <c r="T28" s="251">
        <f>'24'!$G$146</f>
        <v>50</v>
      </c>
      <c r="U28" s="251">
        <f>'24'!$G$144</f>
        <v>231</v>
      </c>
      <c r="V28" s="251">
        <f>'24'!$G$147</f>
        <v>370.28000000002794</v>
      </c>
      <c r="W28" s="251">
        <f>'24'!$G$148</f>
        <v>262.88000000000466</v>
      </c>
      <c r="X28" s="251">
        <f>'24'!$G$143</f>
        <v>27.589999999999236</v>
      </c>
      <c r="Y28" s="251">
        <f>'24'!$G$58</f>
        <v>289.01000000000204</v>
      </c>
      <c r="Z28" s="251">
        <f>'24'!$G$151</f>
        <v>254</v>
      </c>
      <c r="AA28" s="251">
        <f>'24'!G161</f>
        <v>34</v>
      </c>
      <c r="AB28" s="251">
        <f>'24'!G162</f>
        <v>40.5</v>
      </c>
      <c r="AC28" s="251">
        <f>'24'!G88</f>
        <v>0</v>
      </c>
      <c r="AD28" s="251">
        <f>'24'!G163+'24'!G164</f>
        <v>152.29999999999995</v>
      </c>
      <c r="AE28" s="251">
        <f>'24'!$G$116</f>
        <v>395.34999999999854</v>
      </c>
      <c r="AF28" s="251">
        <f>'24'!$G$117</f>
        <v>297.57999999999811</v>
      </c>
      <c r="AG28" s="251">
        <f>'24'!$G$118</f>
        <v>636.59000000000378</v>
      </c>
      <c r="AH28" s="251">
        <f>'24'!$G$119</f>
        <v>251.40000000000146</v>
      </c>
      <c r="AI28" s="251">
        <f>'24'!$G$120</f>
        <v>454.68999999999869</v>
      </c>
      <c r="AJ28" s="251">
        <f>'24'!$G$121</f>
        <v>451.52999999999884</v>
      </c>
      <c r="AK28" s="251">
        <f>'24'!$G$122</f>
        <v>276.31999999999971</v>
      </c>
      <c r="AL28" s="251">
        <f>'24'!$G$123</f>
        <v>314.15000000000146</v>
      </c>
      <c r="AM28" s="251">
        <f>'24'!$G$133</f>
        <v>612.46000000002095</v>
      </c>
      <c r="AN28" s="251">
        <f>'24'!$G$15</f>
        <v>1000</v>
      </c>
      <c r="AO28" s="256">
        <f>'24'!$G$74</f>
        <v>288.48999999999069</v>
      </c>
      <c r="AP28" s="256">
        <f>'24'!$G$75</f>
        <v>0</v>
      </c>
      <c r="AQ28" s="256">
        <f>'24'!$G$76</f>
        <v>81.880000000004657</v>
      </c>
      <c r="AR28" s="256">
        <f>'24'!$G$77</f>
        <v>42.899999999994179</v>
      </c>
      <c r="AS28" s="256">
        <f>'24'!$G$78</f>
        <v>0</v>
      </c>
      <c r="AT28" s="256">
        <f>AN28-SUM(AO28:AS28)</f>
        <v>586.73000000001048</v>
      </c>
      <c r="AU28" s="251">
        <f>SUM('24'!G91:G92)</f>
        <v>10.050000000000182</v>
      </c>
      <c r="AV28" s="251">
        <f>'24'!$G$88</f>
        <v>0</v>
      </c>
      <c r="AW28" s="251">
        <f>'24'!$G$89</f>
        <v>9.7599999999983993</v>
      </c>
      <c r="AX28" s="251">
        <f>'24'!$G$90</f>
        <v>10.599999999991269</v>
      </c>
      <c r="AY28" s="255">
        <f t="shared" si="1"/>
        <v>20.359999999989668</v>
      </c>
      <c r="AZ28" s="311">
        <f t="shared" si="6"/>
        <v>28.705472636814473</v>
      </c>
      <c r="BA28" s="311">
        <f t="shared" si="3"/>
        <v>28.817779960722408</v>
      </c>
      <c r="BB28" s="351">
        <f t="shared" si="4"/>
        <v>4468.4199999999764</v>
      </c>
      <c r="BC28" s="351">
        <f t="shared" si="5"/>
        <v>16.248799999999914</v>
      </c>
    </row>
    <row r="29" spans="1:55">
      <c r="A29" s="359">
        <v>25</v>
      </c>
      <c r="B29" s="511">
        <f>'25'!G7</f>
        <v>27500</v>
      </c>
      <c r="C29" s="511">
        <f>'25'!G8</f>
        <v>27000</v>
      </c>
      <c r="D29" s="511">
        <f>'25'!G15</f>
        <v>1000</v>
      </c>
      <c r="E29" s="511">
        <f>'25'!G20</f>
        <v>210</v>
      </c>
      <c r="F29" s="511">
        <f>SUM('25'!G35,'25'!G49)</f>
        <v>3607.7699999999604</v>
      </c>
      <c r="G29" s="511">
        <f>SUM('25'!G37,'25'!G51)</f>
        <v>1600.5999999999767</v>
      </c>
      <c r="H29" s="511">
        <f>SUM('25'!G38,'25'!G52)</f>
        <v>2187.640000000014</v>
      </c>
      <c r="I29" s="511">
        <f>SUM('25'!G39,'25'!G53)</f>
        <v>2960.1599999999744</v>
      </c>
      <c r="J29" s="511">
        <f>SUM('25'!G41,'25'!G42,'25'!G55,'25'!G56)</f>
        <v>7947.6399999998976</v>
      </c>
      <c r="K29" s="511">
        <f>SUM('25'!G43,'25'!G57)</f>
        <v>3334.1100000000006</v>
      </c>
      <c r="L29" s="254">
        <f>'25'!G50</f>
        <v>1015.5599999999977</v>
      </c>
      <c r="M29" s="254">
        <f>'25'!G36</f>
        <v>981.95999999999185</v>
      </c>
      <c r="N29" s="254">
        <f>'25'!G138</f>
        <v>125</v>
      </c>
      <c r="O29" s="254">
        <f>'25'!$G$139</f>
        <v>148</v>
      </c>
      <c r="P29" s="254">
        <f>'25'!$G$140</f>
        <v>17.25</v>
      </c>
      <c r="Q29" s="254">
        <f>'25'!$G$141</f>
        <v>190</v>
      </c>
      <c r="R29" s="254">
        <f>'25'!$G$142</f>
        <v>74.38300000000163</v>
      </c>
      <c r="S29" s="254">
        <f>'25'!$G$145</f>
        <v>0.75999999999930878</v>
      </c>
      <c r="T29" s="251">
        <f>'25'!$G$146</f>
        <v>42</v>
      </c>
      <c r="U29" s="251">
        <f>'25'!$G$144</f>
        <v>229</v>
      </c>
      <c r="V29" s="251">
        <f>'25'!$G$147</f>
        <v>393.19999999995343</v>
      </c>
      <c r="W29" s="251">
        <f>'25'!$G$148</f>
        <v>315.52000000001863</v>
      </c>
      <c r="X29" s="251">
        <f>'25'!$G$143</f>
        <v>26.800000000000182</v>
      </c>
      <c r="Y29" s="251">
        <f>'25'!$G$58</f>
        <v>272.66999999999825</v>
      </c>
      <c r="Z29" s="251">
        <f>'25'!$G$151</f>
        <v>274</v>
      </c>
      <c r="AA29" s="251">
        <f>'25'!G161</f>
        <v>2.6399999999557622</v>
      </c>
      <c r="AB29" s="251">
        <f>'25'!G162</f>
        <v>23.900000000008731</v>
      </c>
      <c r="AC29" s="251">
        <f>'25'!G88</f>
        <v>0</v>
      </c>
      <c r="AD29" s="251">
        <f>'25'!G163+'25'!G164</f>
        <v>178.10000000000014</v>
      </c>
      <c r="AE29" s="254">
        <f>'25'!$G$116</f>
        <v>436.62999999999738</v>
      </c>
      <c r="AF29" s="254">
        <f>'25'!$G$117</f>
        <v>277.22999999999956</v>
      </c>
      <c r="AG29" s="254">
        <f>'25'!$G$118</f>
        <v>654.0199999999968</v>
      </c>
      <c r="AH29" s="254">
        <f>'25'!$G$119</f>
        <v>244.22999999999956</v>
      </c>
      <c r="AI29" s="254">
        <f>'25'!$G$120</f>
        <v>443.14000000000306</v>
      </c>
      <c r="AJ29" s="254">
        <f>'25'!$G$121</f>
        <v>439.15000000000146</v>
      </c>
      <c r="AK29" s="254">
        <f>'25'!$G$122</f>
        <v>254.2400000000016</v>
      </c>
      <c r="AL29" s="254">
        <f>'25'!$G$123</f>
        <v>312.5</v>
      </c>
      <c r="AM29" s="254">
        <f>'25'!$G$133</f>
        <v>604.25999999998021</v>
      </c>
      <c r="AN29" s="254">
        <f>'25'!$G$15</f>
        <v>1000</v>
      </c>
      <c r="AO29" s="256">
        <f>'25'!$G$74</f>
        <v>282.31999999994878</v>
      </c>
      <c r="AP29" s="256">
        <f>'25'!$G$75</f>
        <v>0</v>
      </c>
      <c r="AQ29" s="256">
        <f>'25'!$G$76</f>
        <v>92.350000000005821</v>
      </c>
      <c r="AR29" s="256">
        <f>'25'!$G$77</f>
        <v>40.30000000000291</v>
      </c>
      <c r="AS29" s="256">
        <f>'25'!$G$78</f>
        <v>0</v>
      </c>
      <c r="AT29" s="256">
        <f t="shared" si="0"/>
        <v>585.03000000004249</v>
      </c>
      <c r="AU29" s="254">
        <f>SUM('25'!G91:G92)</f>
        <v>10.949999999999818</v>
      </c>
      <c r="AV29" s="254">
        <f>'25'!$G$88</f>
        <v>0</v>
      </c>
      <c r="AW29" s="254">
        <f>'25'!$G$89</f>
        <v>10.06000000000131</v>
      </c>
      <c r="AX29" s="254">
        <f>'25'!$G$90</f>
        <v>10.760000000009313</v>
      </c>
      <c r="AY29" s="252">
        <f t="shared" si="1"/>
        <v>20.820000000010623</v>
      </c>
      <c r="BA29" s="311">
        <f t="shared" si="3"/>
        <v>28.099423631111623</v>
      </c>
      <c r="BB29" s="351">
        <f t="shared" si="4"/>
        <v>5089.4100000001781</v>
      </c>
      <c r="BC29" s="351">
        <f t="shared" si="5"/>
        <v>18.506945454546102</v>
      </c>
    </row>
    <row r="30" spans="1:55">
      <c r="A30" s="359">
        <v>26</v>
      </c>
      <c r="B30" s="511">
        <f>'26'!G7</f>
        <v>27500</v>
      </c>
      <c r="C30" s="511">
        <f>'26'!G8</f>
        <v>27000</v>
      </c>
      <c r="D30" s="511">
        <f>'26'!G15</f>
        <v>1000</v>
      </c>
      <c r="E30" s="511">
        <f>'26'!G20</f>
        <v>212</v>
      </c>
      <c r="F30" s="511">
        <f>SUM('26'!G35,'26'!G49)</f>
        <v>3670.0800000000163</v>
      </c>
      <c r="G30" s="511">
        <f>SUM('26'!G37,'26'!G51)</f>
        <v>1521.0599999999977</v>
      </c>
      <c r="H30" s="511">
        <f>SUM('26'!G38,'26'!G52)</f>
        <v>2136.8800000000047</v>
      </c>
      <c r="I30" s="511">
        <f>SUM('26'!G39,'26'!G53)</f>
        <v>3027.320000000007</v>
      </c>
      <c r="J30" s="511">
        <f>SUM('26'!G41,'26'!G42,'26'!G55,'26'!G56)</f>
        <v>8322.7800000000279</v>
      </c>
      <c r="K30" s="511">
        <f>SUM('26'!G43,'26'!G57)</f>
        <v>3246.9900000000052</v>
      </c>
      <c r="L30" s="254">
        <f>'26'!G50</f>
        <v>982.63999999998487</v>
      </c>
      <c r="M30" s="254">
        <f>'26'!G36</f>
        <v>727.57999999998719</v>
      </c>
      <c r="N30" s="254">
        <f>'26'!G138</f>
        <v>96</v>
      </c>
      <c r="O30" s="254">
        <f>'26'!$G$139</f>
        <v>142</v>
      </c>
      <c r="P30" s="254">
        <f>'26'!$G$140</f>
        <v>15.849999999999909</v>
      </c>
      <c r="Q30" s="254">
        <f>'26'!$G$141</f>
        <v>190.32000000000698</v>
      </c>
      <c r="R30" s="254">
        <f>'26'!$G$142</f>
        <v>73.676999999996042</v>
      </c>
      <c r="S30" s="254">
        <f>'26'!$G$145</f>
        <v>0.48000000000047294</v>
      </c>
      <c r="T30" s="251">
        <f>'26'!$G$146</f>
        <v>44</v>
      </c>
      <c r="U30" s="251">
        <f>'26'!$G$144</f>
        <v>235</v>
      </c>
      <c r="V30" s="251">
        <f>'26'!$G$147</f>
        <v>372.52000000001863</v>
      </c>
      <c r="W30" s="251">
        <f>'26'!$G$148</f>
        <v>306</v>
      </c>
      <c r="X30" s="251">
        <f>'26'!$G$143</f>
        <v>26.670000000000073</v>
      </c>
      <c r="Y30" s="251">
        <f>'26'!$G$58</f>
        <v>279.25</v>
      </c>
      <c r="Z30" s="251">
        <f>'26'!$G$151</f>
        <v>290</v>
      </c>
      <c r="AA30" s="251">
        <f>'26'!G161</f>
        <v>2.8000000000465661</v>
      </c>
      <c r="AB30" s="251">
        <f>'26'!G162</f>
        <v>36.599999999991269</v>
      </c>
      <c r="AC30" s="251">
        <f>'26'!G88</f>
        <v>0</v>
      </c>
      <c r="AD30" s="251">
        <f>'26'!G163+'26'!G164</f>
        <v>195.69999999999982</v>
      </c>
      <c r="AE30" s="254">
        <f>'26'!$G$116</f>
        <v>451.26000000000204</v>
      </c>
      <c r="AF30" s="254">
        <f>'26'!$G$117</f>
        <v>323.20000000000073</v>
      </c>
      <c r="AG30" s="254">
        <f>'26'!$G$118</f>
        <v>644.4800000000032</v>
      </c>
      <c r="AH30" s="254">
        <f>'26'!$G$119</f>
        <v>247.25</v>
      </c>
      <c r="AI30" s="254">
        <f>'26'!$G$120</f>
        <v>441.63999999999942</v>
      </c>
      <c r="AJ30" s="254">
        <f>'26'!$G$121</f>
        <v>443.55000000000291</v>
      </c>
      <c r="AK30" s="254">
        <f>'26'!$G$122</f>
        <v>252.86000000000058</v>
      </c>
      <c r="AL30" s="254">
        <f>'26'!$G$123</f>
        <v>314.15000000000146</v>
      </c>
      <c r="AM30" s="254">
        <f>'26'!$G$133</f>
        <v>610.77999999999884</v>
      </c>
      <c r="AN30" s="254">
        <f>'26'!$G$15</f>
        <v>1000</v>
      </c>
      <c r="AO30" s="256">
        <f>'26'!$G$74</f>
        <v>289.94000000006054</v>
      </c>
      <c r="AP30" s="256">
        <f>'26'!$G$75</f>
        <v>0</v>
      </c>
      <c r="AQ30" s="256">
        <f>'26'!$G$76</f>
        <v>107</v>
      </c>
      <c r="AR30" s="256">
        <f>'26'!$G$77</f>
        <v>37</v>
      </c>
      <c r="AS30" s="256">
        <f>'26'!$G$78</f>
        <v>0</v>
      </c>
      <c r="AT30" s="256">
        <f t="shared" si="0"/>
        <v>566.05999999993946</v>
      </c>
      <c r="AU30" s="254">
        <f>SUM('26'!G91:G92)</f>
        <v>8.7600000000002183</v>
      </c>
      <c r="AV30" s="254">
        <f>'26'!$G$88</f>
        <v>0</v>
      </c>
      <c r="AW30" s="254">
        <f>'26'!$G$89</f>
        <v>9.9799999999995634</v>
      </c>
      <c r="AX30" s="254">
        <f>'26'!$G$90</f>
        <v>2.8799999999901047</v>
      </c>
      <c r="AY30" s="252">
        <f t="shared" si="1"/>
        <v>12.859999999989668</v>
      </c>
      <c r="BA30" s="311">
        <f t="shared" si="3"/>
        <v>44.017107309517435</v>
      </c>
      <c r="BB30" s="351">
        <f t="shared" si="4"/>
        <v>4795.6399999999412</v>
      </c>
      <c r="BC30" s="351">
        <f t="shared" si="5"/>
        <v>17.438690909090695</v>
      </c>
    </row>
    <row r="31" spans="1:55">
      <c r="A31" s="359">
        <v>27</v>
      </c>
      <c r="B31" s="511">
        <f>'27'!G7</f>
        <v>27500</v>
      </c>
      <c r="C31" s="511">
        <f>'27'!G8</f>
        <v>27000</v>
      </c>
      <c r="D31" s="511">
        <f>'27'!G15</f>
        <v>1000</v>
      </c>
      <c r="E31" s="511">
        <f>'27'!G20</f>
        <v>208</v>
      </c>
      <c r="F31" s="511">
        <f>SUM('27'!G35,'27'!G49)</f>
        <v>3533.5599999999977</v>
      </c>
      <c r="G31" s="511">
        <f>SUM('27'!G37,'27'!G51)</f>
        <v>1542.640000000014</v>
      </c>
      <c r="H31" s="511">
        <f>SUM('27'!G38,'27'!G52)</f>
        <v>2060.9199999999837</v>
      </c>
      <c r="I31" s="511">
        <f>SUM('27'!G39,'27'!G53)</f>
        <v>2936.4799999999814</v>
      </c>
      <c r="J31" s="511">
        <f>SUM('27'!G41,'27'!G42,'27'!G55,'27'!G56)</f>
        <v>7334.7300000000396</v>
      </c>
      <c r="K31" s="511">
        <f>SUM('27'!G43,'27'!G57)</f>
        <v>3128.2699999999895</v>
      </c>
      <c r="L31" s="254">
        <f>'27'!G50</f>
        <v>977.12000000002445</v>
      </c>
      <c r="M31" s="254">
        <f>'27'!G36</f>
        <v>658.64000000001397</v>
      </c>
      <c r="N31" s="254">
        <f>'27'!G138</f>
        <v>93</v>
      </c>
      <c r="O31" s="254">
        <f>'27'!$G$139</f>
        <v>138</v>
      </c>
      <c r="P31" s="254">
        <f>'27'!$G$140</f>
        <v>14.970000000000027</v>
      </c>
      <c r="Q31" s="254">
        <f>'27'!$G$141</f>
        <v>188.43999999998778</v>
      </c>
      <c r="R31" s="254">
        <f>'27'!$G$142</f>
        <v>72.580000000001746</v>
      </c>
      <c r="S31" s="254">
        <f>'27'!$G$145</f>
        <v>0</v>
      </c>
      <c r="T31" s="251">
        <f>'27'!$G$146</f>
        <v>38</v>
      </c>
      <c r="U31" s="251">
        <f>'27'!$G$144</f>
        <v>234</v>
      </c>
      <c r="V31" s="251">
        <f>'27'!$G$147</f>
        <v>370</v>
      </c>
      <c r="W31" s="251">
        <f>'27'!$G$148</f>
        <v>217.52000000001863</v>
      </c>
      <c r="X31" s="251">
        <f>'27'!$G$143</f>
        <v>27.980000000000473</v>
      </c>
      <c r="Y31" s="251">
        <f>'27'!$G$58</f>
        <v>288.4800000000032</v>
      </c>
      <c r="Z31" s="251">
        <f>'27'!$G$151</f>
        <v>256</v>
      </c>
      <c r="AA31" s="251">
        <f>'27'!G161</f>
        <v>7.5999999999767169</v>
      </c>
      <c r="AB31" s="251">
        <f>'27'!G162</f>
        <v>27.100000000005821</v>
      </c>
      <c r="AC31" s="251">
        <f>'27'!G88</f>
        <v>0</v>
      </c>
      <c r="AD31" s="251">
        <f>'27'!G163+'27'!G164</f>
        <v>175.70000000000073</v>
      </c>
      <c r="AE31" s="254">
        <f>'27'!$G$116</f>
        <v>370.37999999999738</v>
      </c>
      <c r="AF31" s="254">
        <f>'27'!$G$117</f>
        <v>288.40999999999985</v>
      </c>
      <c r="AG31" s="254">
        <f>'27'!$G$118</f>
        <v>654.30999999999767</v>
      </c>
      <c r="AH31" s="254">
        <f>'27'!$G$119</f>
        <v>234.45999999999913</v>
      </c>
      <c r="AI31" s="254">
        <f>'27'!$G$120</f>
        <v>435.77999999999884</v>
      </c>
      <c r="AJ31" s="254">
        <f>'27'!$G$121</f>
        <v>456.36999999999534</v>
      </c>
      <c r="AK31" s="254">
        <f>'27'!$G$122</f>
        <v>289.73999999999796</v>
      </c>
      <c r="AL31" s="254">
        <f>'27'!$G$123</f>
        <v>309.72999999999956</v>
      </c>
      <c r="AM31" s="254">
        <f>'27'!$G$133</f>
        <v>602.26000000000931</v>
      </c>
      <c r="AN31" s="254">
        <f>'27'!$G$15</f>
        <v>1000</v>
      </c>
      <c r="AO31" s="254">
        <f>'27'!$G$74</f>
        <v>285.04000000003725</v>
      </c>
      <c r="AP31" s="254">
        <f>'27'!$G$75</f>
        <v>-0.80000000000291038</v>
      </c>
      <c r="AQ31" s="254">
        <f>'27'!$G$76</f>
        <v>85</v>
      </c>
      <c r="AR31" s="254">
        <f>'27'!$G$77</f>
        <v>42</v>
      </c>
      <c r="AS31" s="254">
        <f>'27'!$G$78</f>
        <v>-1</v>
      </c>
      <c r="AT31" s="254">
        <f t="shared" si="0"/>
        <v>589.75999999996566</v>
      </c>
      <c r="AU31" s="254">
        <f>SUM('27'!G91:G92)</f>
        <v>9.7399999999997817</v>
      </c>
      <c r="AV31" s="254">
        <f>'27'!$G$88</f>
        <v>0</v>
      </c>
      <c r="AW31" s="254">
        <f>'27'!$G$89</f>
        <v>9.1699999999982538</v>
      </c>
      <c r="AX31" s="254">
        <f>'27'!$G$90</f>
        <v>10.889999999999418</v>
      </c>
      <c r="AY31" s="252">
        <f t="shared" si="1"/>
        <v>20.059999999997672</v>
      </c>
      <c r="BA31" s="311">
        <f t="shared" si="3"/>
        <v>29.399800598207083</v>
      </c>
      <c r="BB31" s="351">
        <f t="shared" si="4"/>
        <v>6174.919999999991</v>
      </c>
      <c r="BC31" s="351">
        <f t="shared" si="5"/>
        <v>22.454254545454514</v>
      </c>
    </row>
    <row r="32" spans="1:55">
      <c r="A32" s="359">
        <v>28</v>
      </c>
      <c r="B32" s="511">
        <f>'28'!G7</f>
        <v>27500</v>
      </c>
      <c r="C32" s="511">
        <f>'28'!G8</f>
        <v>27000</v>
      </c>
      <c r="D32" s="511">
        <f>'28'!G15</f>
        <v>1000</v>
      </c>
      <c r="E32" s="511">
        <f>'28'!G20</f>
        <v>188</v>
      </c>
      <c r="F32" s="511">
        <f>SUM('28'!G35,'28'!G49)</f>
        <v>3748.1599999999744</v>
      </c>
      <c r="G32" s="511">
        <f>SUM('28'!G37,'28'!G51)</f>
        <v>1587.2199999999721</v>
      </c>
      <c r="H32" s="511">
        <f>SUM('28'!G38,'28'!G52)</f>
        <v>2172.4400000000023</v>
      </c>
      <c r="I32" s="511">
        <f>SUM('28'!G39,'28'!G53)</f>
        <v>2949.1199999999953</v>
      </c>
      <c r="J32" s="511">
        <f>SUM('28'!G41,'28'!G42,'28'!G55,'28'!G56)</f>
        <v>8796.6900000000023</v>
      </c>
      <c r="K32" s="511">
        <f>SUM('28'!G43,'28'!G57)</f>
        <v>3156.9099999999744</v>
      </c>
      <c r="L32" s="254">
        <f>'28'!G50</f>
        <v>1071.8799999999756</v>
      </c>
      <c r="M32" s="254">
        <f>'28'!G36</f>
        <v>890.66000000000349</v>
      </c>
      <c r="N32" s="254">
        <f>'28'!G138</f>
        <v>81</v>
      </c>
      <c r="O32" s="254">
        <f>'28'!$G$139</f>
        <v>126</v>
      </c>
      <c r="P32" s="254">
        <f>'28'!$G$140</f>
        <v>9.2300000000000182</v>
      </c>
      <c r="Q32" s="254">
        <f>'28'!$G$141</f>
        <v>208.02999999999884</v>
      </c>
      <c r="R32" s="254">
        <f>'28'!$G$142</f>
        <v>86.760000000002037</v>
      </c>
      <c r="S32" s="254">
        <f>'28'!$G$145</f>
        <v>0</v>
      </c>
      <c r="T32" s="251">
        <f>'28'!$G$146</f>
        <v>45</v>
      </c>
      <c r="U32" s="251">
        <f>'28'!$G$144</f>
        <v>246</v>
      </c>
      <c r="V32" s="251">
        <f>'28'!$G$147</f>
        <v>512.28000000002794</v>
      </c>
      <c r="W32" s="251">
        <f>'28'!$G$148</f>
        <v>367.51999999990221</v>
      </c>
      <c r="X32" s="251">
        <f>'28'!$G$143</f>
        <v>32.25</v>
      </c>
      <c r="Y32" s="251">
        <f>'28'!$G$58</f>
        <v>284.02999999999884</v>
      </c>
      <c r="Z32" s="251">
        <f>'28'!$G$151</f>
        <v>280</v>
      </c>
      <c r="AA32" s="251">
        <f>'28'!G161</f>
        <v>5.4400000000023283</v>
      </c>
      <c r="AB32" s="251">
        <f>'28'!G162</f>
        <v>43.600000000005821</v>
      </c>
      <c r="AC32" s="251">
        <f>'28'!G88</f>
        <v>0.26000000000203727</v>
      </c>
      <c r="AD32" s="251">
        <f>'28'!G163+'28'!G164</f>
        <v>160.99999999999977</v>
      </c>
      <c r="AE32" s="254">
        <f>'28'!$G$116</f>
        <v>396.42000000000553</v>
      </c>
      <c r="AF32" s="254">
        <f>'28'!$G$117</f>
        <v>296.52999999999884</v>
      </c>
      <c r="AG32" s="254">
        <f>'28'!$G$118</f>
        <v>635.38999999999942</v>
      </c>
      <c r="AH32" s="254">
        <f>'28'!$G$119</f>
        <v>248.0099999999984</v>
      </c>
      <c r="AI32" s="254">
        <f>'28'!$G$120</f>
        <v>420.65000000000146</v>
      </c>
      <c r="AJ32" s="254">
        <f>'28'!$G$121</f>
        <v>422.52999999999884</v>
      </c>
      <c r="AK32" s="254">
        <f>'28'!$G$122</f>
        <v>284.63000000000102</v>
      </c>
      <c r="AL32" s="254">
        <f>'28'!$G$123</f>
        <v>315.29999999999927</v>
      </c>
      <c r="AM32" s="254">
        <f>'28'!$G$133</f>
        <v>612.45999999999185</v>
      </c>
      <c r="AN32" s="254">
        <f>'28'!$G$15</f>
        <v>1000</v>
      </c>
      <c r="AO32" s="254">
        <f>'28'!$G$74</f>
        <v>283.76999999990221</v>
      </c>
      <c r="AP32" s="254">
        <f>'28'!$G$75</f>
        <v>0</v>
      </c>
      <c r="AQ32" s="254">
        <f>'28'!$G$76</f>
        <v>98.329999999987194</v>
      </c>
      <c r="AR32" s="254">
        <f>'28'!$G$77</f>
        <v>42.80000000000291</v>
      </c>
      <c r="AS32" s="254">
        <f>'28'!$G$78</f>
        <v>0</v>
      </c>
      <c r="AT32" s="254">
        <f t="shared" si="0"/>
        <v>575.10000000010768</v>
      </c>
      <c r="AU32" s="254">
        <f>SUM('28'!G91:G92)</f>
        <v>10.329999999999927</v>
      </c>
      <c r="AV32" s="254">
        <f>'28'!$G$88</f>
        <v>0.26000000000203727</v>
      </c>
      <c r="AW32" s="254">
        <f>'28'!$G$89</f>
        <v>9.25</v>
      </c>
      <c r="AX32" s="254">
        <f>'28'!$G$90</f>
        <v>10.630000000004657</v>
      </c>
      <c r="AY32" s="252">
        <f t="shared" si="1"/>
        <v>20.140000000006694</v>
      </c>
      <c r="BA32" s="311">
        <f t="shared" si="3"/>
        <v>28.555114200591685</v>
      </c>
      <c r="BB32" s="351">
        <f t="shared" si="4"/>
        <v>4305.4300000000803</v>
      </c>
      <c r="BC32" s="351">
        <f t="shared" si="5"/>
        <v>15.656109090909384</v>
      </c>
    </row>
    <row r="33" spans="1:55">
      <c r="A33" s="359">
        <v>29</v>
      </c>
      <c r="B33" s="511">
        <f>'29'!G7</f>
        <v>27500</v>
      </c>
      <c r="C33" s="511">
        <f>'29'!G8</f>
        <v>27000</v>
      </c>
      <c r="D33" s="511">
        <f>'29'!G15</f>
        <v>1000.0000000002328</v>
      </c>
      <c r="E33" s="511">
        <f>'29'!G20</f>
        <v>206</v>
      </c>
      <c r="F33" s="511">
        <f>SUM('29'!G35,'29'!G49)</f>
        <v>3493.960000000021</v>
      </c>
      <c r="G33" s="511">
        <f>SUM('29'!G37,'29'!G51)</f>
        <v>1665.3400000000256</v>
      </c>
      <c r="H33" s="511">
        <f>SUM('29'!G38,'29'!G52)</f>
        <v>2228.2800000000279</v>
      </c>
      <c r="I33" s="511">
        <f>SUM('29'!G39,'29'!G53)</f>
        <v>2907.1600000000326</v>
      </c>
      <c r="J33" s="511">
        <f>SUM('29'!G41,'29'!G42,'29'!G55,'29'!G56)</f>
        <v>7508.3399999999674</v>
      </c>
      <c r="K33" s="511">
        <f>SUM('29'!G43,'29'!G57)</f>
        <v>3066.0500000000029</v>
      </c>
      <c r="L33" s="254">
        <f>'29'!G50</f>
        <v>1447</v>
      </c>
      <c r="M33" s="254">
        <f>'29'!G36</f>
        <v>1175.039999999979</v>
      </c>
      <c r="N33" s="254">
        <f>'29'!G138</f>
        <v>175</v>
      </c>
      <c r="O33" s="254">
        <f>'29'!$G$139</f>
        <v>203</v>
      </c>
      <c r="P33" s="254">
        <f>'29'!$G$140</f>
        <v>13.029999999999973</v>
      </c>
      <c r="Q33" s="254">
        <f>'29'!$G$141</f>
        <v>212.65000000000873</v>
      </c>
      <c r="R33" s="254">
        <f>'29'!$G$142</f>
        <v>74.870000000002619</v>
      </c>
      <c r="S33" s="254">
        <f>'29'!$G$145</f>
        <v>1.0000000000218279E-2</v>
      </c>
      <c r="T33" s="254">
        <f>'29'!$G$146</f>
        <v>579</v>
      </c>
      <c r="U33" s="254">
        <f>'29'!$G$144</f>
        <v>239</v>
      </c>
      <c r="V33" s="254">
        <f>'29'!$G$147</f>
        <v>240.91999999992549</v>
      </c>
      <c r="W33" s="254">
        <f>'29'!$G$148</f>
        <v>299.68000000005122</v>
      </c>
      <c r="X33" s="254">
        <f>'29'!$G$143</f>
        <v>21.899999999999636</v>
      </c>
      <c r="Y33" s="254">
        <f>'29'!$G$58</f>
        <v>271.19000000000233</v>
      </c>
      <c r="Z33" s="254">
        <f>'29'!$G$151</f>
        <v>285</v>
      </c>
      <c r="AA33" s="254">
        <f>'29'!G161</f>
        <v>52</v>
      </c>
      <c r="AB33" s="254">
        <f>'29'!G162</f>
        <v>46.19999999999709</v>
      </c>
      <c r="AC33" s="254">
        <f>'29'!G88</f>
        <v>-0.2000000000007276</v>
      </c>
      <c r="AD33" s="254">
        <f>'29'!G163+'29'!G164</f>
        <v>172.69999999999982</v>
      </c>
      <c r="AE33" s="254">
        <f>'29'!$G$116</f>
        <v>376.5399999999936</v>
      </c>
      <c r="AF33" s="254">
        <f>'29'!$G$117</f>
        <v>255.90999999999985</v>
      </c>
      <c r="AG33" s="254">
        <f>'29'!$G$118</f>
        <v>642.74000000000524</v>
      </c>
      <c r="AH33" s="254">
        <f>'29'!$G$119</f>
        <v>241.07000000000335</v>
      </c>
      <c r="AI33" s="254">
        <f>'29'!$G$120</f>
        <v>431.80999999999767</v>
      </c>
      <c r="AJ33" s="254">
        <f>'29'!$G$121</f>
        <v>427.38000000000466</v>
      </c>
      <c r="AK33" s="254">
        <f>'29'!$G$122</f>
        <v>282.63000000000102</v>
      </c>
      <c r="AL33" s="254">
        <f>'29'!$G$123</f>
        <v>309.22999999999956</v>
      </c>
      <c r="AM33" s="254">
        <f>'29'!$G$133</f>
        <v>609.29000000000815</v>
      </c>
      <c r="AN33" s="254">
        <f>'29'!$G$15</f>
        <v>1000.0000000002328</v>
      </c>
      <c r="AO33" s="254">
        <f>'29'!$G$74</f>
        <v>279.70000000006985</v>
      </c>
      <c r="AP33" s="254">
        <f>'29'!$G$75</f>
        <v>0</v>
      </c>
      <c r="AQ33" s="254">
        <f>'29'!$G$76</f>
        <v>96.560000000026776</v>
      </c>
      <c r="AR33" s="254">
        <f>'29'!$G$77</f>
        <v>48.19999999999709</v>
      </c>
      <c r="AS33" s="254">
        <f>'29'!$G$78</f>
        <v>0</v>
      </c>
      <c r="AT33" s="254">
        <f t="shared" si="0"/>
        <v>575.54000000013912</v>
      </c>
      <c r="AU33" s="254">
        <f>SUM('29'!G91:G92)</f>
        <v>10.069999999999709</v>
      </c>
      <c r="AV33" s="254">
        <f>'29'!$G$88</f>
        <v>-0.2000000000007276</v>
      </c>
      <c r="AW33" s="254">
        <f>'29'!$G$89</f>
        <v>8.9000000000014552</v>
      </c>
      <c r="AX33" s="254">
        <f>'29'!$G$90</f>
        <v>10.309999999997672</v>
      </c>
      <c r="AY33" s="252">
        <f t="shared" si="1"/>
        <v>19.009999999998399</v>
      </c>
      <c r="BA33" s="311">
        <f t="shared" si="3"/>
        <v>30.275644397695295</v>
      </c>
      <c r="BB33" s="351">
        <f t="shared" si="4"/>
        <v>5859.6799999999203</v>
      </c>
      <c r="BC33" s="351">
        <f t="shared" si="5"/>
        <v>21.307927272726982</v>
      </c>
    </row>
    <row r="34" spans="1:55" s="313" customFormat="1">
      <c r="A34" s="359">
        <v>30</v>
      </c>
      <c r="B34" s="511">
        <f>'30'!G7</f>
        <v>27500</v>
      </c>
      <c r="C34" s="511">
        <f>'30'!G8</f>
        <v>27000</v>
      </c>
      <c r="D34" s="511">
        <f>'30'!G15</f>
        <v>1000</v>
      </c>
      <c r="E34" s="511">
        <f>'30'!G20</f>
        <v>228</v>
      </c>
      <c r="F34" s="511">
        <f>SUM('30'!G35,'30'!G49)</f>
        <v>3343.4400000000023</v>
      </c>
      <c r="G34" s="511">
        <f>SUM('30'!G37,'30'!G51)</f>
        <v>1746.8599999999931</v>
      </c>
      <c r="H34" s="511">
        <f>SUM('30'!G38,'30'!G52)</f>
        <v>2123.2799999999697</v>
      </c>
      <c r="I34" s="511">
        <f>SUM('30'!G39,'30'!G53)</f>
        <v>2940.640000000014</v>
      </c>
      <c r="J34" s="511">
        <f>SUM('30'!G41,'30'!G42,'30'!G55,'30'!G56)</f>
        <v>6656.9300000000512</v>
      </c>
      <c r="K34" s="511">
        <f>SUM('30'!G43,'30'!G57)</f>
        <v>2955.3100000000122</v>
      </c>
      <c r="L34" s="251">
        <f>'30'!G50</f>
        <v>1039.2900000000081</v>
      </c>
      <c r="M34" s="251">
        <f>'30'!G36</f>
        <v>743.40000000002328</v>
      </c>
      <c r="N34" s="251">
        <f>'30'!G138</f>
        <v>109</v>
      </c>
      <c r="O34" s="251">
        <f>'30'!$G$139</f>
        <v>188</v>
      </c>
      <c r="P34" s="251">
        <f>'30'!$G$140</f>
        <v>14.019999999999982</v>
      </c>
      <c r="Q34" s="251">
        <f>'30'!$G$141</f>
        <v>214.36999999999534</v>
      </c>
      <c r="R34" s="251">
        <f>'30'!$G$142</f>
        <v>74.559999999997672</v>
      </c>
      <c r="S34" s="251">
        <f>'30'!$G$145</f>
        <v>0</v>
      </c>
      <c r="T34" s="251">
        <f>'30'!$G$146</f>
        <v>33</v>
      </c>
      <c r="U34" s="251">
        <f>'30'!$G$144</f>
        <v>237</v>
      </c>
      <c r="V34" s="251">
        <f>'30'!$G$147</f>
        <v>477.96000000007916</v>
      </c>
      <c r="W34" s="251">
        <f>'30'!$G$148</f>
        <v>299.52000000001863</v>
      </c>
      <c r="X34" s="251">
        <f>'30'!$G$143</f>
        <v>31.989999999999782</v>
      </c>
      <c r="Y34" s="251">
        <f>'30'!$G$58</f>
        <v>286.05999999999767</v>
      </c>
      <c r="Z34" s="251">
        <f>'30'!$G$151</f>
        <v>271</v>
      </c>
      <c r="AA34" s="251">
        <f>'30'!G161</f>
        <v>34</v>
      </c>
      <c r="AB34" s="251">
        <f>'30'!G162</f>
        <v>42</v>
      </c>
      <c r="AC34" s="251">
        <f>'30'!G88</f>
        <v>0</v>
      </c>
      <c r="AD34" s="251">
        <f>'30'!G163+'30'!G164</f>
        <v>194.09999999999968</v>
      </c>
      <c r="AE34" s="251">
        <f>'30'!$G$116</f>
        <v>363.2100000000064</v>
      </c>
      <c r="AF34" s="251">
        <f>'30'!$G$117</f>
        <v>254.63000000000466</v>
      </c>
      <c r="AG34" s="251">
        <f>'30'!$G$118</f>
        <v>670.57999999999447</v>
      </c>
      <c r="AH34" s="251">
        <f>'30'!$G$119</f>
        <v>240.5199999999968</v>
      </c>
      <c r="AI34" s="251">
        <f>'30'!$G$120</f>
        <v>412.61999999999898</v>
      </c>
      <c r="AJ34" s="251">
        <f>'30'!$G$121</f>
        <v>433.38999999999942</v>
      </c>
      <c r="AK34" s="251">
        <f>'30'!$G$122</f>
        <v>284.5</v>
      </c>
      <c r="AL34" s="251">
        <f>'30'!$G$123</f>
        <v>308.77000000000044</v>
      </c>
      <c r="AM34" s="251">
        <f>'30'!$G$133</f>
        <v>0</v>
      </c>
      <c r="AN34" s="251">
        <f>'30'!$G$15</f>
        <v>1000</v>
      </c>
      <c r="AO34" s="251">
        <f>'30'!$G$74</f>
        <v>286.04999999993015</v>
      </c>
      <c r="AP34" s="251">
        <f>'30'!$G$75</f>
        <v>0</v>
      </c>
      <c r="AQ34" s="251">
        <f>'30'!$G$76</f>
        <v>94.409999999974389</v>
      </c>
      <c r="AR34" s="251">
        <f>'30'!$G$77</f>
        <v>58.80000000000291</v>
      </c>
      <c r="AS34" s="251">
        <f>'30'!$G$78</f>
        <v>0.3999999999996362</v>
      </c>
      <c r="AT34" s="251">
        <f t="shared" si="0"/>
        <v>560.34000000009291</v>
      </c>
      <c r="AU34" s="251">
        <f>SUM('30'!G91:G92)</f>
        <v>9.8800000000001091</v>
      </c>
      <c r="AV34" s="251">
        <f>'30'!$G$88</f>
        <v>0</v>
      </c>
      <c r="AW34" s="251">
        <f>'30'!$G$89</f>
        <v>8.7199999999975262</v>
      </c>
      <c r="AX34" s="251">
        <f>'30'!$G$90</f>
        <v>9.7799999999988358</v>
      </c>
      <c r="AY34" s="255">
        <f t="shared" si="1"/>
        <v>18.499999999996362</v>
      </c>
      <c r="BA34" s="311">
        <f t="shared" si="3"/>
        <v>30.288648648659628</v>
      </c>
      <c r="BB34" s="351">
        <f t="shared" si="4"/>
        <v>6947.4799999999595</v>
      </c>
      <c r="BC34" s="351">
        <f t="shared" si="5"/>
        <v>25.263563636363489</v>
      </c>
    </row>
    <row r="35" spans="1:55">
      <c r="A35" s="359">
        <v>31</v>
      </c>
      <c r="B35" s="511">
        <f>'31'!G7</f>
        <v>27500</v>
      </c>
      <c r="C35" s="511">
        <f>'31'!G8</f>
        <v>27000</v>
      </c>
      <c r="D35" s="511">
        <f>'31'!G15</f>
        <v>1000</v>
      </c>
      <c r="E35" s="511">
        <f>'31'!G20</f>
        <v>350</v>
      </c>
      <c r="F35" s="511">
        <f>SUM('31'!G35,'31'!G49)</f>
        <v>3730</v>
      </c>
      <c r="G35" s="511">
        <f>SUM('31'!G37,'31'!G51)</f>
        <v>1790</v>
      </c>
      <c r="H35" s="511">
        <f>SUM('31'!G38,'31'!G52)</f>
        <v>2284</v>
      </c>
      <c r="I35" s="511">
        <f>SUM('31'!G39,'31'!G53)</f>
        <v>3217</v>
      </c>
      <c r="J35" s="511">
        <f>SUM('31'!G41,'31'!G42,'31'!G55,'31'!G56)</f>
        <v>8088</v>
      </c>
      <c r="K35" s="511">
        <f>SUM('31'!G43,'31'!G57)</f>
        <v>2524</v>
      </c>
      <c r="L35" s="251">
        <f>'31'!G50</f>
        <v>933</v>
      </c>
      <c r="M35" s="251">
        <f>'31'!G36</f>
        <v>797</v>
      </c>
      <c r="N35" s="251">
        <f>'31'!G138</f>
        <v>112</v>
      </c>
      <c r="O35" s="251">
        <f>'31'!$G$139</f>
        <v>141</v>
      </c>
      <c r="P35" s="251">
        <f>'31'!$G$140</f>
        <v>12</v>
      </c>
      <c r="Q35" s="251">
        <f>'31'!$G$141</f>
        <v>190</v>
      </c>
      <c r="R35" s="251">
        <f>'31'!$G$142</f>
        <v>138</v>
      </c>
      <c r="S35" s="251">
        <f>'31'!$G$145</f>
        <v>0</v>
      </c>
      <c r="T35" s="251">
        <f>'31'!$G$146</f>
        <v>36</v>
      </c>
      <c r="U35" s="251">
        <f>'31'!$G$144</f>
        <v>252</v>
      </c>
      <c r="V35" s="251">
        <f>'31'!$G$147</f>
        <v>374</v>
      </c>
      <c r="W35" s="251">
        <f>'31'!$G$148</f>
        <v>293</v>
      </c>
      <c r="X35" s="251">
        <f>'31'!$G$143</f>
        <v>31</v>
      </c>
      <c r="Y35" s="251">
        <f>'31'!$G$58</f>
        <v>256.91999999999825</v>
      </c>
      <c r="Z35" s="251">
        <f>'31'!$G$151</f>
        <v>288</v>
      </c>
      <c r="AA35" s="251">
        <f>'31'!G161</f>
        <v>3.2800000000279397</v>
      </c>
      <c r="AB35" s="251">
        <f>'31'!G162</f>
        <v>42</v>
      </c>
      <c r="AC35" s="251">
        <f>'31'!G89</f>
        <v>11.389999999999418</v>
      </c>
      <c r="AD35" s="251">
        <f>'31'!G163+'31'!G164</f>
        <v>192</v>
      </c>
      <c r="AE35" s="251">
        <f>'31'!$G$116</f>
        <v>382</v>
      </c>
      <c r="AF35" s="251">
        <f>'31'!$G$117</f>
        <v>240</v>
      </c>
      <c r="AG35" s="251">
        <f>'31'!$G$118</f>
        <v>611</v>
      </c>
      <c r="AH35" s="251">
        <f>'31'!$G$119</f>
        <v>388</v>
      </c>
      <c r="AI35" s="251">
        <f>'31'!$G$120</f>
        <v>405</v>
      </c>
      <c r="AJ35" s="251">
        <f>'31'!$G$121</f>
        <v>443</v>
      </c>
      <c r="AK35" s="251">
        <f>'31'!$G$122</f>
        <v>269</v>
      </c>
      <c r="AL35" s="251">
        <f>'31'!$G$123</f>
        <v>331</v>
      </c>
      <c r="AM35" s="251">
        <f>'31'!$G$133</f>
        <v>849</v>
      </c>
      <c r="AN35" s="251">
        <f>'31'!$G$15</f>
        <v>1000</v>
      </c>
      <c r="AO35" s="251">
        <f>'31'!$G$74</f>
        <v>324</v>
      </c>
      <c r="AP35" s="251">
        <f>'31'!$G$75</f>
        <v>0</v>
      </c>
      <c r="AQ35" s="251">
        <f>'31'!$G$76</f>
        <v>99</v>
      </c>
      <c r="AR35" s="251">
        <f>'31'!$G$77</f>
        <v>47</v>
      </c>
      <c r="AS35" s="251">
        <f>'31'!$G$78</f>
        <v>-0.3999999999996362</v>
      </c>
      <c r="AT35" s="251">
        <f t="shared" ref="AT35" si="7">AN35-SUM(AO35:AS35)</f>
        <v>530.39999999999964</v>
      </c>
      <c r="AU35" s="251">
        <f>SUM('31'!G92:G142)</f>
        <v>37391.999563636367</v>
      </c>
      <c r="AV35" s="251">
        <f>'31'!$G$88</f>
        <v>9.5200000000004366</v>
      </c>
      <c r="AW35" s="251">
        <f>'31'!$G$89</f>
        <v>11.389999999999418</v>
      </c>
      <c r="AX35" s="251">
        <f>'30'!$G$90</f>
        <v>9.7799999999988358</v>
      </c>
      <c r="AY35" s="255">
        <f t="shared" ref="AY35" si="8">SUM(AV35:AX35)</f>
        <v>30.68999999999869</v>
      </c>
      <c r="BA35" s="311">
        <f t="shared" si="3"/>
        <v>17.282502443793494</v>
      </c>
      <c r="BB35" s="351">
        <f t="shared" si="4"/>
        <v>5110.0800000000017</v>
      </c>
      <c r="BC35" s="351">
        <f t="shared" si="5"/>
        <v>18.582109090909096</v>
      </c>
    </row>
    <row r="36" spans="1:55" s="316" customFormat="1">
      <c r="A36" s="304" t="s">
        <v>357</v>
      </c>
      <c r="B36" s="305">
        <f>AVERAGE(B5:B35)</f>
        <v>27211.87</v>
      </c>
      <c r="C36" s="305">
        <f t="shared" ref="C36:BC36" si="9">AVERAGE(C5:C35)</f>
        <v>27111.79516129032</v>
      </c>
      <c r="D36" s="305">
        <f t="shared" si="9"/>
        <v>1012.3493548387196</v>
      </c>
      <c r="E36" s="305">
        <f t="shared" si="9"/>
        <v>212.09677419354838</v>
      </c>
      <c r="F36" s="305">
        <f t="shared" si="9"/>
        <v>23.548387096774192</v>
      </c>
      <c r="G36" s="305">
        <f t="shared" si="9"/>
        <v>57.741935483870961</v>
      </c>
      <c r="H36" s="305">
        <f t="shared" si="9"/>
        <v>73.677419354838946</v>
      </c>
      <c r="I36" s="305">
        <f t="shared" si="9"/>
        <v>103.7741935483871</v>
      </c>
      <c r="J36" s="305">
        <f t="shared" si="9"/>
        <v>260.90322580645068</v>
      </c>
      <c r="K36" s="305">
        <f t="shared" si="9"/>
        <v>81.41935483870968</v>
      </c>
      <c r="L36" s="305">
        <f t="shared" si="9"/>
        <v>30.096774193548388</v>
      </c>
      <c r="M36" s="305">
        <f t="shared" si="9"/>
        <v>25.70967741935484</v>
      </c>
      <c r="N36" s="305">
        <f t="shared" si="9"/>
        <v>2.5806451612903225</v>
      </c>
      <c r="O36" s="305">
        <f t="shared" si="9"/>
        <v>4.5483870967741939</v>
      </c>
      <c r="P36" s="305">
        <f t="shared" si="9"/>
        <v>-2836.7290322580643</v>
      </c>
      <c r="Q36" s="305">
        <f t="shared" si="9"/>
        <v>6.129032258064516</v>
      </c>
      <c r="R36" s="305">
        <f t="shared" si="9"/>
        <v>4.4516129032258061</v>
      </c>
      <c r="S36" s="305">
        <f t="shared" si="9"/>
        <v>0</v>
      </c>
      <c r="T36" s="305">
        <f t="shared" si="9"/>
        <v>17.870967741935484</v>
      </c>
      <c r="U36" s="305">
        <f t="shared" si="9"/>
        <v>8.129032258064516</v>
      </c>
      <c r="V36" s="305">
        <f t="shared" si="9"/>
        <v>12.064516129032258</v>
      </c>
      <c r="W36" s="305">
        <f t="shared" si="9"/>
        <v>9.4516129032258061</v>
      </c>
      <c r="X36" s="305">
        <f t="shared" si="9"/>
        <v>1</v>
      </c>
      <c r="Y36" s="305">
        <f t="shared" si="9"/>
        <v>8.2877419354838153</v>
      </c>
      <c r="Z36" s="305">
        <f t="shared" si="9"/>
        <v>9.2903225806451619</v>
      </c>
      <c r="AA36" s="305">
        <f t="shared" si="9"/>
        <v>0.1058064516138045</v>
      </c>
      <c r="AB36" s="305">
        <f t="shared" si="9"/>
        <v>1.3548387096774193</v>
      </c>
      <c r="AC36" s="305">
        <f t="shared" si="9"/>
        <v>-0.25190476190480349</v>
      </c>
      <c r="AD36" s="305">
        <f t="shared" si="9"/>
        <v>3231.83870967742</v>
      </c>
      <c r="AE36" s="305">
        <f t="shared" si="9"/>
        <v>12.32258064516129</v>
      </c>
      <c r="AF36" s="305">
        <f t="shared" si="9"/>
        <v>7.741935483870968</v>
      </c>
      <c r="AG36" s="305">
        <f t="shared" si="9"/>
        <v>19.70967741935484</v>
      </c>
      <c r="AH36" s="305">
        <f t="shared" si="9"/>
        <v>12.516129032258064</v>
      </c>
      <c r="AI36" s="305">
        <f t="shared" si="9"/>
        <v>13.064516129032258</v>
      </c>
      <c r="AJ36" s="305">
        <f t="shared" si="9"/>
        <v>14.290322580645162</v>
      </c>
      <c r="AK36" s="305">
        <f t="shared" si="9"/>
        <v>8.67741935483871</v>
      </c>
      <c r="AL36" s="305">
        <f t="shared" si="9"/>
        <v>10.67741935483871</v>
      </c>
      <c r="AM36" s="305">
        <f t="shared" si="9"/>
        <v>242.94935483870944</v>
      </c>
      <c r="AN36" s="305">
        <f t="shared" si="9"/>
        <v>1012.3493548387196</v>
      </c>
      <c r="AO36" s="305">
        <f t="shared" si="9"/>
        <v>10.451612903225806</v>
      </c>
      <c r="AP36" s="305">
        <f t="shared" si="9"/>
        <v>-2.5806451612997109E-2</v>
      </c>
      <c r="AQ36" s="305">
        <f t="shared" si="9"/>
        <v>3.193548387096774</v>
      </c>
      <c r="AR36" s="305">
        <f t="shared" si="9"/>
        <v>1.5161290322580645</v>
      </c>
      <c r="AS36" s="305">
        <f t="shared" si="9"/>
        <v>-4.5161290322568909E-2</v>
      </c>
      <c r="AT36" s="305">
        <f t="shared" si="9"/>
        <v>997.25903225807463</v>
      </c>
      <c r="AU36" s="305">
        <f t="shared" si="9"/>
        <v>1206.1935343108505</v>
      </c>
      <c r="AV36" s="305">
        <f t="shared" si="9"/>
        <v>0.30709677419356246</v>
      </c>
      <c r="AW36" s="305">
        <f t="shared" si="9"/>
        <v>0.36741935483869093</v>
      </c>
      <c r="AX36" s="305">
        <f t="shared" si="9"/>
        <v>1.1306451612904165</v>
      </c>
      <c r="AY36" s="305">
        <f t="shared" si="9"/>
        <v>1.8051612903226699</v>
      </c>
      <c r="AZ36" s="305">
        <f t="shared" si="9"/>
        <v>28.350992593427467</v>
      </c>
      <c r="BA36" s="305">
        <f t="shared" si="9"/>
        <v>27.917062035181626</v>
      </c>
      <c r="BB36" s="305">
        <f t="shared" si="9"/>
        <v>26502.442903225801</v>
      </c>
      <c r="BC36" s="305">
        <f t="shared" si="9"/>
        <v>96.611064951322845</v>
      </c>
    </row>
    <row r="37" spans="1:55">
      <c r="A37" s="261" t="s">
        <v>196</v>
      </c>
      <c r="B37" s="305">
        <f>SUM(B5:B35)</f>
        <v>843567.97</v>
      </c>
      <c r="C37" s="305">
        <f t="shared" ref="C37:BC37" si="10">SUM(C5:C35)</f>
        <v>840465.64999999991</v>
      </c>
      <c r="D37" s="305">
        <f t="shared" si="10"/>
        <v>31382.830000000307</v>
      </c>
      <c r="E37" s="305">
        <f t="shared" si="10"/>
        <v>6575</v>
      </c>
      <c r="F37" s="305">
        <f>SUM(F5:F35)</f>
        <v>730</v>
      </c>
      <c r="G37" s="305">
        <f t="shared" si="10"/>
        <v>1789.9999999999998</v>
      </c>
      <c r="H37" s="305">
        <f t="shared" si="10"/>
        <v>2284.0000000000073</v>
      </c>
      <c r="I37" s="305">
        <f t="shared" si="10"/>
        <v>3217</v>
      </c>
      <c r="J37" s="305">
        <f t="shared" si="10"/>
        <v>8087.9999999999709</v>
      </c>
      <c r="K37" s="305">
        <f t="shared" si="10"/>
        <v>2524</v>
      </c>
      <c r="L37" s="305">
        <f t="shared" si="10"/>
        <v>933</v>
      </c>
      <c r="M37" s="305">
        <f t="shared" si="10"/>
        <v>797</v>
      </c>
      <c r="N37" s="305">
        <f t="shared" si="10"/>
        <v>80</v>
      </c>
      <c r="O37" s="305">
        <f t="shared" si="10"/>
        <v>141</v>
      </c>
      <c r="P37" s="305">
        <f t="shared" si="10"/>
        <v>-87938.599999999991</v>
      </c>
      <c r="Q37" s="305">
        <f t="shared" si="10"/>
        <v>190</v>
      </c>
      <c r="R37" s="305">
        <f t="shared" si="10"/>
        <v>138</v>
      </c>
      <c r="S37" s="305">
        <f t="shared" si="10"/>
        <v>0</v>
      </c>
      <c r="T37" s="305">
        <f t="shared" si="10"/>
        <v>554</v>
      </c>
      <c r="U37" s="305">
        <f t="shared" si="10"/>
        <v>252</v>
      </c>
      <c r="V37" s="305">
        <f t="shared" si="10"/>
        <v>374</v>
      </c>
      <c r="W37" s="305">
        <f t="shared" si="10"/>
        <v>293</v>
      </c>
      <c r="X37" s="305">
        <f t="shared" si="10"/>
        <v>31</v>
      </c>
      <c r="Y37" s="305">
        <f t="shared" si="10"/>
        <v>256.91999999999825</v>
      </c>
      <c r="Z37" s="305">
        <f t="shared" si="10"/>
        <v>288</v>
      </c>
      <c r="AA37" s="305">
        <f t="shared" si="10"/>
        <v>3.2800000000279397</v>
      </c>
      <c r="AB37" s="305">
        <f t="shared" si="10"/>
        <v>42</v>
      </c>
      <c r="AC37" s="305">
        <f t="shared" si="10"/>
        <v>-5.2900000000008731</v>
      </c>
      <c r="AD37" s="305">
        <f t="shared" si="10"/>
        <v>100187.00000000001</v>
      </c>
      <c r="AE37" s="305">
        <f t="shared" si="10"/>
        <v>382</v>
      </c>
      <c r="AF37" s="305">
        <f t="shared" si="10"/>
        <v>240</v>
      </c>
      <c r="AG37" s="305">
        <f t="shared" si="10"/>
        <v>611</v>
      </c>
      <c r="AH37" s="305">
        <f t="shared" si="10"/>
        <v>388</v>
      </c>
      <c r="AI37" s="305">
        <f t="shared" si="10"/>
        <v>405</v>
      </c>
      <c r="AJ37" s="305">
        <f t="shared" si="10"/>
        <v>443</v>
      </c>
      <c r="AK37" s="305">
        <f t="shared" si="10"/>
        <v>269</v>
      </c>
      <c r="AL37" s="305">
        <f t="shared" si="10"/>
        <v>331</v>
      </c>
      <c r="AM37" s="305">
        <f t="shared" si="10"/>
        <v>7531.429999999993</v>
      </c>
      <c r="AN37" s="305">
        <f t="shared" si="10"/>
        <v>31382.830000000307</v>
      </c>
      <c r="AO37" s="305">
        <f t="shared" si="10"/>
        <v>324</v>
      </c>
      <c r="AP37" s="305">
        <f t="shared" si="10"/>
        <v>-0.80000000000291038</v>
      </c>
      <c r="AQ37" s="305">
        <f t="shared" si="10"/>
        <v>99</v>
      </c>
      <c r="AR37" s="305">
        <f t="shared" si="10"/>
        <v>47</v>
      </c>
      <c r="AS37" s="305">
        <f t="shared" si="10"/>
        <v>-1.3999999999996362</v>
      </c>
      <c r="AT37" s="305">
        <f t="shared" si="10"/>
        <v>30915.030000000312</v>
      </c>
      <c r="AU37" s="305">
        <f t="shared" si="10"/>
        <v>37391.999563636367</v>
      </c>
      <c r="AV37" s="305">
        <f t="shared" si="10"/>
        <v>9.5200000000004366</v>
      </c>
      <c r="AW37" s="305">
        <f t="shared" si="10"/>
        <v>11.389999999999418</v>
      </c>
      <c r="AX37" s="305">
        <f t="shared" si="10"/>
        <v>35.05000000000291</v>
      </c>
      <c r="AY37" s="305">
        <f t="shared" si="10"/>
        <v>55.960000000002765</v>
      </c>
      <c r="AZ37" s="305">
        <f t="shared" si="10"/>
        <v>680.42382224225923</v>
      </c>
      <c r="BA37" s="305">
        <f t="shared" si="10"/>
        <v>865.42892309063041</v>
      </c>
      <c r="BB37" s="305">
        <f t="shared" si="10"/>
        <v>821575.72999999986</v>
      </c>
      <c r="BC37" s="305">
        <f t="shared" si="10"/>
        <v>2994.9430134910081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2">
        <f t="shared" ref="F39:K39" si="11">F19-F18</f>
        <v>107822.31</v>
      </c>
      <c r="G39" s="512">
        <f t="shared" si="11"/>
        <v>48587.849999999984</v>
      </c>
      <c r="H39" s="512">
        <f t="shared" si="11"/>
        <v>67909.869999999981</v>
      </c>
      <c r="I39" s="512">
        <f t="shared" si="11"/>
        <v>90166.069999999949</v>
      </c>
      <c r="J39" s="512">
        <f t="shared" si="11"/>
        <v>248113.31</v>
      </c>
      <c r="K39" s="512">
        <f t="shared" si="11"/>
        <v>93803.76999999999</v>
      </c>
      <c r="L39" s="512"/>
      <c r="M39" s="512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61" zoomScale="60" zoomScaleNormal="61" zoomScalePageLayoutView="70" workbookViewId="0">
      <selection activeCell="F87" sqref="F87"/>
    </sheetView>
  </sheetViews>
  <sheetFormatPr defaultColWidth="22.33203125" defaultRowHeight="21.95" customHeight="1"/>
  <cols>
    <col min="1" max="1" width="50.21875" style="560" customWidth="1"/>
    <col min="2" max="2" width="22.6640625" style="544" customWidth="1"/>
    <col min="3" max="3" width="14.44140625" style="544" customWidth="1"/>
    <col min="4" max="4" width="13.6640625" style="544" customWidth="1"/>
    <col min="5" max="5" width="30" style="414" customWidth="1"/>
    <col min="6" max="6" width="19.44140625" style="594" customWidth="1"/>
    <col min="7" max="7" width="28.88671875" style="595" customWidth="1"/>
    <col min="8" max="8" width="24.6640625" style="596" customWidth="1"/>
    <col min="9" max="9" width="23.5546875" style="594" customWidth="1"/>
    <col min="10" max="10" width="24" style="596" customWidth="1"/>
    <col min="11" max="11" width="43.21875" style="544" hidden="1" customWidth="1"/>
    <col min="12" max="13" width="0" style="544" hidden="1" customWidth="1"/>
    <col min="14" max="14" width="25.109375" style="544" customWidth="1"/>
    <col min="15" max="16" width="22.33203125" style="544"/>
    <col min="17" max="17" width="44.77734375" style="544" customWidth="1"/>
    <col min="18" max="16384" width="22.33203125" style="544"/>
  </cols>
  <sheetData>
    <row r="1" spans="1:15" ht="26.25">
      <c r="A1" s="802" t="s">
        <v>115</v>
      </c>
      <c r="B1" s="803"/>
      <c r="C1" s="803"/>
      <c r="D1" s="803"/>
      <c r="E1" s="803"/>
      <c r="F1" s="803"/>
      <c r="G1" s="803"/>
      <c r="H1" s="803"/>
      <c r="I1" s="803"/>
      <c r="J1" s="804"/>
    </row>
    <row r="2" spans="1:15" ht="26.25">
      <c r="A2" s="545" t="s">
        <v>354</v>
      </c>
      <c r="B2" s="744">
        <v>44743</v>
      </c>
      <c r="C2" s="745" t="s">
        <v>67</v>
      </c>
      <c r="D2" s="746">
        <v>0.88</v>
      </c>
      <c r="E2" s="100"/>
      <c r="F2" s="745"/>
      <c r="G2" s="747" t="s">
        <v>116</v>
      </c>
      <c r="H2" s="745" t="s">
        <v>5</v>
      </c>
      <c r="I2" s="745" t="s">
        <v>7</v>
      </c>
      <c r="J2" s="748" t="s">
        <v>117</v>
      </c>
    </row>
    <row r="3" spans="1:15" ht="26.25">
      <c r="A3" s="546"/>
      <c r="B3" s="749"/>
      <c r="C3" s="745" t="s">
        <v>118</v>
      </c>
      <c r="D3" s="750">
        <v>29</v>
      </c>
      <c r="E3" s="811" t="s">
        <v>119</v>
      </c>
      <c r="F3" s="812"/>
      <c r="G3" s="747"/>
      <c r="H3" s="751"/>
      <c r="I3" s="751"/>
      <c r="J3" s="748"/>
      <c r="K3" s="547"/>
      <c r="L3" s="548"/>
    </row>
    <row r="4" spans="1:15" ht="26.25">
      <c r="A4" s="549"/>
      <c r="B4" s="752"/>
      <c r="C4" s="745" t="s">
        <v>120</v>
      </c>
      <c r="D4" s="746">
        <v>0.78</v>
      </c>
      <c r="E4" s="103"/>
      <c r="F4" s="753"/>
      <c r="G4" s="747"/>
      <c r="H4" s="753"/>
      <c r="I4" s="754"/>
      <c r="J4" s="748"/>
      <c r="K4" s="550"/>
      <c r="L4" s="548"/>
    </row>
    <row r="5" spans="1:15" s="560" customFormat="1" ht="26.25">
      <c r="A5" s="551" t="s">
        <v>121</v>
      </c>
      <c r="B5" s="552"/>
      <c r="C5" s="552"/>
      <c r="D5" s="552" t="s">
        <v>122</v>
      </c>
      <c r="E5" s="106" t="s">
        <v>110</v>
      </c>
      <c r="F5" s="553" t="s">
        <v>110</v>
      </c>
      <c r="G5" s="554" t="s">
        <v>124</v>
      </c>
      <c r="H5" s="555" t="s">
        <v>125</v>
      </c>
      <c r="I5" s="556" t="s">
        <v>126</v>
      </c>
      <c r="J5" s="557" t="s">
        <v>127</v>
      </c>
      <c r="K5" s="558"/>
      <c r="L5" s="559"/>
    </row>
    <row r="6" spans="1:15" s="560" customFormat="1" ht="26.25">
      <c r="A6" s="805" t="s">
        <v>128</v>
      </c>
      <c r="B6" s="806"/>
      <c r="C6" s="807"/>
      <c r="D6" s="561"/>
      <c r="E6" s="110"/>
      <c r="F6" s="562"/>
      <c r="G6" s="563"/>
      <c r="H6" s="562"/>
      <c r="I6" s="562"/>
      <c r="J6" s="564"/>
      <c r="K6" s="565"/>
      <c r="L6" s="559"/>
    </row>
    <row r="7" spans="1:15" ht="27" thickBot="1">
      <c r="A7" s="566" t="s">
        <v>129</v>
      </c>
      <c r="B7" s="618"/>
      <c r="C7" s="618"/>
      <c r="D7" s="567" t="s">
        <v>130</v>
      </c>
      <c r="E7" s="95">
        <v>522964.5</v>
      </c>
      <c r="F7" s="556">
        <v>547988.67000000004</v>
      </c>
      <c r="G7" s="619">
        <f>F7-E7</f>
        <v>25024.170000000042</v>
      </c>
      <c r="H7" s="556">
        <f>G7</f>
        <v>25024.170000000042</v>
      </c>
      <c r="I7" s="620">
        <v>12000</v>
      </c>
      <c r="J7" s="621">
        <f>H7/DAY(B2)</f>
        <v>25024.170000000042</v>
      </c>
      <c r="K7" s="568">
        <v>1375467</v>
      </c>
      <c r="L7" s="548"/>
      <c r="N7" s="569"/>
      <c r="O7" s="570"/>
    </row>
    <row r="8" spans="1:15" ht="27" thickBot="1">
      <c r="A8" s="571" t="s">
        <v>131</v>
      </c>
      <c r="B8" s="622"/>
      <c r="C8" s="623"/>
      <c r="D8" s="572" t="s">
        <v>24</v>
      </c>
      <c r="E8" s="114">
        <v>661789</v>
      </c>
      <c r="F8" s="556">
        <v>687170.79</v>
      </c>
      <c r="G8" s="619">
        <f>F8-E8</f>
        <v>25381.790000000037</v>
      </c>
      <c r="H8" s="556">
        <f>G8</f>
        <v>25381.790000000037</v>
      </c>
      <c r="I8" s="624">
        <v>12000</v>
      </c>
      <c r="J8" s="621">
        <f>H8/DAY(B2)</f>
        <v>25381.790000000037</v>
      </c>
      <c r="K8" s="568">
        <v>1715917</v>
      </c>
      <c r="L8" s="573">
        <v>1728480</v>
      </c>
      <c r="M8" s="569">
        <f>L8-K8</f>
        <v>12563</v>
      </c>
      <c r="N8" s="569"/>
      <c r="O8" s="570"/>
    </row>
    <row r="9" spans="1:15" ht="26.25">
      <c r="A9" s="574" t="s">
        <v>132</v>
      </c>
      <c r="B9" s="625"/>
      <c r="C9" s="625"/>
      <c r="D9" s="567" t="s">
        <v>130</v>
      </c>
      <c r="E9" s="469">
        <v>2917649.1</v>
      </c>
      <c r="F9" s="626">
        <v>2927627.3</v>
      </c>
      <c r="G9" s="627">
        <f>F9-E9</f>
        <v>9978.1999999997206</v>
      </c>
      <c r="H9" s="556">
        <f t="shared" ref="H9:H13" si="0">G9</f>
        <v>9978.1999999997206</v>
      </c>
      <c r="I9" s="620">
        <f>I8-J8</f>
        <v>-13381.790000000037</v>
      </c>
      <c r="J9" s="621">
        <f>H9/DAY(B2)</f>
        <v>9978.1999999997206</v>
      </c>
      <c r="K9" s="575">
        <f>K8-100</f>
        <v>1715817</v>
      </c>
      <c r="L9" s="548"/>
      <c r="N9" s="569"/>
      <c r="O9" s="570"/>
    </row>
    <row r="10" spans="1:15" ht="26.25">
      <c r="A10" s="566" t="s">
        <v>133</v>
      </c>
      <c r="B10" s="618"/>
      <c r="C10" s="618"/>
      <c r="D10" s="567" t="s">
        <v>130</v>
      </c>
      <c r="E10" s="353">
        <v>1235686.6299999999</v>
      </c>
      <c r="F10" s="626">
        <v>1250088.5</v>
      </c>
      <c r="G10" s="627">
        <f t="shared" ref="G10:G11" si="1">F10-E10</f>
        <v>14401.870000000112</v>
      </c>
      <c r="H10" s="556">
        <f t="shared" si="0"/>
        <v>14401.870000000112</v>
      </c>
      <c r="I10" s="556"/>
      <c r="J10" s="621">
        <f>H10/DAY(B2)</f>
        <v>14401.870000000112</v>
      </c>
      <c r="K10" s="575"/>
      <c r="L10" s="548"/>
      <c r="N10" s="569"/>
      <c r="O10" s="570"/>
    </row>
    <row r="11" spans="1:15" ht="26.25">
      <c r="A11" s="566" t="s">
        <v>134</v>
      </c>
      <c r="B11" s="618"/>
      <c r="C11" s="618"/>
      <c r="D11" s="567" t="s">
        <v>130</v>
      </c>
      <c r="E11" s="95">
        <v>37560</v>
      </c>
      <c r="F11" s="556">
        <v>37560</v>
      </c>
      <c r="G11" s="627">
        <f t="shared" si="1"/>
        <v>0</v>
      </c>
      <c r="H11" s="556">
        <f t="shared" si="0"/>
        <v>0</v>
      </c>
      <c r="I11" s="556"/>
      <c r="J11" s="621">
        <f>H11/DAY(B2)</f>
        <v>0</v>
      </c>
      <c r="K11" s="575"/>
      <c r="L11" s="548"/>
      <c r="N11" s="569"/>
      <c r="O11" s="570">
        <f>142-18</f>
        <v>124</v>
      </c>
    </row>
    <row r="12" spans="1:15" ht="26.25">
      <c r="A12" s="566" t="s">
        <v>135</v>
      </c>
      <c r="B12" s="618"/>
      <c r="C12" s="618"/>
      <c r="D12" s="567" t="s">
        <v>130</v>
      </c>
      <c r="E12" s="117">
        <v>40380</v>
      </c>
      <c r="F12" s="626">
        <v>40380</v>
      </c>
      <c r="G12" s="627">
        <f>F12-E12</f>
        <v>0</v>
      </c>
      <c r="H12" s="556">
        <f t="shared" si="0"/>
        <v>0</v>
      </c>
      <c r="I12" s="556"/>
      <c r="J12" s="621">
        <f>H12/DAY(B2)</f>
        <v>0</v>
      </c>
      <c r="K12" s="575"/>
      <c r="L12" s="548"/>
      <c r="N12" s="569"/>
      <c r="O12" s="570"/>
    </row>
    <row r="13" spans="1:15" ht="26.25">
      <c r="A13" s="576" t="s">
        <v>136</v>
      </c>
      <c r="B13" s="628"/>
      <c r="C13" s="628"/>
      <c r="D13" s="567"/>
      <c r="E13" s="95"/>
      <c r="F13" s="556"/>
      <c r="G13" s="627">
        <v>26109</v>
      </c>
      <c r="H13" s="556">
        <f t="shared" si="0"/>
        <v>26109</v>
      </c>
      <c r="I13" s="620">
        <f>G7-G13</f>
        <v>-1084.8299999999581</v>
      </c>
      <c r="J13" s="621">
        <f>H13/DAY(B2)</f>
        <v>26109</v>
      </c>
      <c r="K13" s="575"/>
      <c r="L13" s="548"/>
      <c r="N13" s="569"/>
      <c r="O13" s="570"/>
    </row>
    <row r="14" spans="1:15" ht="26.25">
      <c r="A14" s="808" t="s">
        <v>137</v>
      </c>
      <c r="B14" s="809"/>
      <c r="C14" s="810"/>
      <c r="D14" s="562"/>
      <c r="E14" s="111"/>
      <c r="F14" s="629"/>
      <c r="G14" s="630"/>
      <c r="H14" s="629"/>
      <c r="I14" s="629"/>
      <c r="J14" s="631"/>
      <c r="K14" s="577"/>
      <c r="L14" s="548"/>
      <c r="N14" s="569"/>
      <c r="O14" s="570"/>
    </row>
    <row r="15" spans="1:15" ht="26.25">
      <c r="A15" s="578" t="s">
        <v>138</v>
      </c>
      <c r="B15" s="632"/>
      <c r="C15" s="632"/>
      <c r="D15" s="567" t="s">
        <v>139</v>
      </c>
      <c r="E15" s="469">
        <v>2068078.41</v>
      </c>
      <c r="F15" s="633">
        <v>2069041</v>
      </c>
      <c r="G15" s="634">
        <f>(F15-E15)</f>
        <v>962.59000000008382</v>
      </c>
      <c r="H15" s="620">
        <f>G15</f>
        <v>962.59000000008382</v>
      </c>
      <c r="I15" s="620">
        <v>800</v>
      </c>
      <c r="J15" s="621">
        <f>H15/DAY(B2)</f>
        <v>962.59000000008382</v>
      </c>
      <c r="K15" s="575"/>
      <c r="L15" s="548"/>
      <c r="N15" s="569"/>
      <c r="O15" s="570"/>
    </row>
    <row r="16" spans="1:15" ht="26.25">
      <c r="A16" s="579"/>
      <c r="B16" s="635"/>
      <c r="C16" s="635"/>
      <c r="D16" s="636"/>
      <c r="E16" s="123"/>
      <c r="F16" s="637"/>
      <c r="G16" s="627"/>
      <c r="H16" s="620"/>
      <c r="I16" s="620">
        <f>I15-J15</f>
        <v>-162.59000000008382</v>
      </c>
      <c r="J16" s="638"/>
      <c r="K16" s="575"/>
      <c r="L16" s="548"/>
      <c r="N16" s="569"/>
      <c r="O16" s="570"/>
    </row>
    <row r="17" spans="1:15" ht="26.25">
      <c r="A17" s="808" t="s">
        <v>140</v>
      </c>
      <c r="B17" s="809"/>
      <c r="C17" s="810"/>
      <c r="D17" s="562"/>
      <c r="E17" s="111"/>
      <c r="F17" s="629"/>
      <c r="G17" s="630"/>
      <c r="H17" s="629"/>
      <c r="I17" s="629"/>
      <c r="J17" s="631"/>
      <c r="K17" s="575"/>
      <c r="L17" s="548"/>
      <c r="N17" s="569"/>
      <c r="O17" s="570"/>
    </row>
    <row r="18" spans="1:15" ht="26.25">
      <c r="A18" s="799" t="s">
        <v>141</v>
      </c>
      <c r="B18" s="800"/>
      <c r="C18" s="801"/>
      <c r="D18" s="567" t="s">
        <v>142</v>
      </c>
      <c r="E18" s="122">
        <v>18</v>
      </c>
      <c r="F18" s="639">
        <v>14</v>
      </c>
      <c r="G18" s="602">
        <f>F18*10</f>
        <v>140</v>
      </c>
      <c r="H18" s="556">
        <f>G18</f>
        <v>140</v>
      </c>
      <c r="I18" s="620">
        <v>65</v>
      </c>
      <c r="J18" s="621">
        <f>H18/DAY(B2)</f>
        <v>140</v>
      </c>
      <c r="K18" s="575"/>
      <c r="L18" s="548"/>
      <c r="N18" s="569"/>
      <c r="O18" s="570"/>
    </row>
    <row r="19" spans="1:15" ht="26.25">
      <c r="A19" s="799" t="s">
        <v>69</v>
      </c>
      <c r="B19" s="800"/>
      <c r="C19" s="801"/>
      <c r="D19" s="567" t="s">
        <v>142</v>
      </c>
      <c r="E19" s="122">
        <v>160829</v>
      </c>
      <c r="F19" s="639">
        <v>160887</v>
      </c>
      <c r="G19" s="627">
        <f t="shared" ref="G19" si="2">F19-E19</f>
        <v>58</v>
      </c>
      <c r="H19" s="556">
        <f t="shared" ref="H19" si="3">G19</f>
        <v>58</v>
      </c>
      <c r="I19" s="626"/>
      <c r="J19" s="621">
        <f>H19/DAY(B2)</f>
        <v>58</v>
      </c>
      <c r="K19" s="575"/>
      <c r="L19" s="548"/>
      <c r="N19" s="569"/>
      <c r="O19" s="570"/>
    </row>
    <row r="20" spans="1:15" ht="26.25">
      <c r="A20" s="576" t="s">
        <v>143</v>
      </c>
      <c r="B20" s="628"/>
      <c r="C20" s="628"/>
      <c r="D20" s="640"/>
      <c r="E20" s="126"/>
      <c r="F20" s="641"/>
      <c r="G20" s="642">
        <f>G18+G19</f>
        <v>198</v>
      </c>
      <c r="H20" s="556">
        <f>G20</f>
        <v>198</v>
      </c>
      <c r="I20" s="643">
        <f>I18-J20</f>
        <v>-133</v>
      </c>
      <c r="J20" s="621">
        <f>H20/DAY(B2)</f>
        <v>198</v>
      </c>
      <c r="K20" s="575"/>
      <c r="L20" s="548"/>
      <c r="N20" s="569"/>
      <c r="O20" s="570"/>
    </row>
    <row r="21" spans="1:15" ht="26.25">
      <c r="A21" s="808" t="s">
        <v>144</v>
      </c>
      <c r="B21" s="809"/>
      <c r="C21" s="810"/>
      <c r="D21" s="562"/>
      <c r="E21" s="111"/>
      <c r="F21" s="629"/>
      <c r="G21" s="630"/>
      <c r="H21" s="629"/>
      <c r="I21" s="629"/>
      <c r="J21" s="631"/>
      <c r="K21" s="575"/>
      <c r="L21" s="548"/>
      <c r="N21" s="569"/>
      <c r="O21" s="570"/>
    </row>
    <row r="22" spans="1:15" ht="26.25">
      <c r="A22" s="578" t="s">
        <v>145</v>
      </c>
      <c r="B22" s="632"/>
      <c r="C22" s="632"/>
      <c r="D22" s="567" t="s">
        <v>146</v>
      </c>
      <c r="E22" s="122">
        <v>2970</v>
      </c>
      <c r="F22" s="639">
        <v>2970</v>
      </c>
      <c r="G22" s="602">
        <f>(F22-E22)</f>
        <v>0</v>
      </c>
      <c r="H22" s="556">
        <f>G22</f>
        <v>0</v>
      </c>
      <c r="I22" s="556"/>
      <c r="J22" s="621">
        <f>H22/DAY(B2)</f>
        <v>0</v>
      </c>
      <c r="K22" s="575"/>
      <c r="L22" s="548"/>
      <c r="N22" s="569"/>
      <c r="O22" s="570"/>
    </row>
    <row r="23" spans="1:15" ht="26.25">
      <c r="A23" s="578" t="s">
        <v>147</v>
      </c>
      <c r="B23" s="632"/>
      <c r="C23" s="632"/>
      <c r="D23" s="567" t="s">
        <v>146</v>
      </c>
      <c r="E23" s="122">
        <v>2000</v>
      </c>
      <c r="F23" s="639">
        <v>2000</v>
      </c>
      <c r="G23" s="602">
        <f t="shared" ref="G23" si="4">(F23-E23)</f>
        <v>0</v>
      </c>
      <c r="H23" s="556">
        <f t="shared" ref="H23:H24" si="5">G23</f>
        <v>0</v>
      </c>
      <c r="I23" s="556"/>
      <c r="J23" s="621">
        <f>H23/DAY(B2)</f>
        <v>0</v>
      </c>
      <c r="K23" s="575"/>
      <c r="L23" s="548"/>
      <c r="N23" s="569"/>
      <c r="O23" s="570"/>
    </row>
    <row r="24" spans="1:15" ht="26.25">
      <c r="A24" s="580" t="s">
        <v>148</v>
      </c>
      <c r="B24" s="644"/>
      <c r="C24" s="644"/>
      <c r="D24" s="552" t="s">
        <v>146</v>
      </c>
      <c r="E24" s="128">
        <v>4970</v>
      </c>
      <c r="F24" s="645">
        <v>4970</v>
      </c>
      <c r="G24" s="602">
        <f>SUM(G22:G23)</f>
        <v>0</v>
      </c>
      <c r="H24" s="556">
        <f t="shared" si="5"/>
        <v>0</v>
      </c>
      <c r="I24" s="556"/>
      <c r="J24" s="621">
        <f>H24/DAY(B2)</f>
        <v>0</v>
      </c>
      <c r="K24" s="575"/>
      <c r="L24" s="548"/>
      <c r="N24" s="569"/>
      <c r="O24" s="570"/>
    </row>
    <row r="25" spans="1:15" ht="26.25">
      <c r="A25" s="805" t="s">
        <v>149</v>
      </c>
      <c r="B25" s="806"/>
      <c r="C25" s="807"/>
      <c r="D25" s="561"/>
      <c r="E25" s="110"/>
      <c r="F25" s="629"/>
      <c r="G25" s="630"/>
      <c r="H25" s="629"/>
      <c r="I25" s="646"/>
      <c r="J25" s="631"/>
      <c r="K25" s="575"/>
      <c r="L25" s="548"/>
      <c r="N25" s="569"/>
      <c r="O25" s="570"/>
    </row>
    <row r="26" spans="1:15" ht="26.25">
      <c r="A26" s="581" t="s">
        <v>150</v>
      </c>
      <c r="B26" s="647"/>
      <c r="C26" s="648"/>
      <c r="D26" s="649" t="s">
        <v>151</v>
      </c>
      <c r="E26" s="132"/>
      <c r="F26" s="650"/>
      <c r="G26" s="651"/>
      <c r="H26" s="556"/>
      <c r="I26" s="652"/>
      <c r="J26" s="621"/>
      <c r="K26" s="577"/>
      <c r="L26" s="548"/>
      <c r="N26" s="569"/>
      <c r="O26" s="570"/>
    </row>
    <row r="27" spans="1:15" ht="26.25">
      <c r="A27" s="581" t="s">
        <v>5</v>
      </c>
      <c r="B27" s="647"/>
      <c r="C27" s="648"/>
      <c r="D27" s="653" t="s">
        <v>24</v>
      </c>
      <c r="E27" s="136">
        <f>G8</f>
        <v>25381.790000000037</v>
      </c>
      <c r="F27" s="136">
        <v>9</v>
      </c>
      <c r="G27" s="654">
        <f>E27*F27</f>
        <v>228436.11000000034</v>
      </c>
      <c r="H27" s="556">
        <f t="shared" ref="H27:H32" si="6">G27</f>
        <v>228436.11000000034</v>
      </c>
      <c r="I27" s="655"/>
      <c r="J27" s="621">
        <f>H27/DAY(B2)</f>
        <v>228436.11000000034</v>
      </c>
      <c r="K27" s="575"/>
      <c r="L27" s="548"/>
      <c r="N27" s="569"/>
      <c r="O27" s="570"/>
    </row>
    <row r="28" spans="1:15" ht="26.25">
      <c r="A28" s="581" t="s">
        <v>152</v>
      </c>
      <c r="B28" s="647"/>
      <c r="C28" s="648"/>
      <c r="D28" s="653" t="s">
        <v>153</v>
      </c>
      <c r="E28" s="136">
        <f>G15</f>
        <v>962.59000000008382</v>
      </c>
      <c r="F28" s="136">
        <v>70</v>
      </c>
      <c r="G28" s="654">
        <f>E28*F28</f>
        <v>67381.300000005867</v>
      </c>
      <c r="H28" s="556">
        <f t="shared" si="6"/>
        <v>67381.300000005867</v>
      </c>
      <c r="I28" s="652"/>
      <c r="J28" s="621">
        <f>H28/DAY(B2)</f>
        <v>67381.300000005867</v>
      </c>
      <c r="K28" s="575"/>
      <c r="L28" s="548"/>
      <c r="N28" s="569"/>
      <c r="O28" s="570"/>
    </row>
    <row r="29" spans="1:15" ht="26.25">
      <c r="A29" s="581" t="s">
        <v>154</v>
      </c>
      <c r="B29" s="647"/>
      <c r="C29" s="648"/>
      <c r="D29" s="653" t="s">
        <v>155</v>
      </c>
      <c r="E29" s="136">
        <f>G24</f>
        <v>0</v>
      </c>
      <c r="F29" s="136">
        <v>69</v>
      </c>
      <c r="G29" s="654">
        <f>E29*F29</f>
        <v>0</v>
      </c>
      <c r="H29" s="556">
        <f t="shared" si="6"/>
        <v>0</v>
      </c>
      <c r="I29" s="652"/>
      <c r="J29" s="621">
        <f>H29/DAY(B2)</f>
        <v>0</v>
      </c>
      <c r="K29" s="575"/>
      <c r="L29" s="548"/>
      <c r="N29" s="569"/>
      <c r="O29" s="570"/>
    </row>
    <row r="30" spans="1:15" ht="26.25">
      <c r="A30" s="581" t="s">
        <v>156</v>
      </c>
      <c r="B30" s="647"/>
      <c r="C30" s="648"/>
      <c r="D30" s="653" t="s">
        <v>157</v>
      </c>
      <c r="E30" s="136">
        <f>G19</f>
        <v>58</v>
      </c>
      <c r="F30" s="136">
        <v>151</v>
      </c>
      <c r="G30" s="654">
        <f>E30*F30</f>
        <v>8758</v>
      </c>
      <c r="H30" s="556">
        <f t="shared" si="6"/>
        <v>8758</v>
      </c>
      <c r="I30" s="652"/>
      <c r="J30" s="621">
        <f>H30/DAY(B2)</f>
        <v>8758</v>
      </c>
      <c r="K30" s="575"/>
      <c r="L30" s="548"/>
      <c r="N30" s="569"/>
      <c r="O30" s="570"/>
    </row>
    <row r="31" spans="1:15" ht="26.25">
      <c r="A31" s="581" t="s">
        <v>158</v>
      </c>
      <c r="B31" s="647"/>
      <c r="C31" s="648"/>
      <c r="D31" s="653" t="s">
        <v>142</v>
      </c>
      <c r="E31" s="136">
        <f>G18</f>
        <v>140</v>
      </c>
      <c r="F31" s="136">
        <v>80</v>
      </c>
      <c r="G31" s="654">
        <f>E31*F31</f>
        <v>11200</v>
      </c>
      <c r="H31" s="556">
        <f t="shared" si="6"/>
        <v>11200</v>
      </c>
      <c r="I31" s="652"/>
      <c r="J31" s="621">
        <f>H31/DAY(B2)</f>
        <v>11200</v>
      </c>
      <c r="K31" s="575"/>
      <c r="L31" s="548"/>
      <c r="N31" s="569"/>
      <c r="O31" s="570"/>
    </row>
    <row r="32" spans="1:15" ht="26.25">
      <c r="A32" s="582" t="s">
        <v>159</v>
      </c>
      <c r="B32" s="656"/>
      <c r="C32" s="657"/>
      <c r="D32" s="658"/>
      <c r="E32" s="142"/>
      <c r="F32" s="659"/>
      <c r="G32" s="660">
        <f>G27+G28+G29+G30+G31</f>
        <v>315775.4100000062</v>
      </c>
      <c r="H32" s="661">
        <f t="shared" si="6"/>
        <v>315775.4100000062</v>
      </c>
      <c r="I32" s="662"/>
      <c r="J32" s="663">
        <f>H32/DAY(B2)</f>
        <v>315775.4100000062</v>
      </c>
      <c r="K32" s="575"/>
      <c r="L32" s="548"/>
      <c r="N32" s="569"/>
      <c r="O32" s="570"/>
    </row>
    <row r="33" spans="1:15" ht="25.5" customHeight="1">
      <c r="A33" s="813" t="s">
        <v>331</v>
      </c>
      <c r="B33" s="814"/>
      <c r="C33" s="814"/>
      <c r="D33" s="664"/>
      <c r="E33" s="529"/>
      <c r="F33" s="665"/>
      <c r="G33" s="665"/>
      <c r="H33" s="665"/>
      <c r="I33" s="665"/>
      <c r="J33" s="666"/>
      <c r="K33" s="575"/>
      <c r="L33" s="548"/>
      <c r="N33" s="569"/>
      <c r="O33" s="570"/>
    </row>
    <row r="34" spans="1:15" ht="26.25">
      <c r="A34" s="583" t="s">
        <v>160</v>
      </c>
      <c r="B34" s="667"/>
      <c r="C34" s="667"/>
      <c r="D34" s="562"/>
      <c r="E34" s="110"/>
      <c r="F34" s="629"/>
      <c r="G34" s="629"/>
      <c r="H34" s="629"/>
      <c r="I34" s="629"/>
      <c r="J34" s="631"/>
      <c r="K34" s="575"/>
      <c r="L34" s="548"/>
      <c r="N34" s="569"/>
      <c r="O34" s="570"/>
    </row>
    <row r="35" spans="1:15" ht="26.25">
      <c r="A35" s="566" t="s">
        <v>161</v>
      </c>
      <c r="B35" s="618"/>
      <c r="C35" s="618"/>
      <c r="D35" s="567" t="s">
        <v>130</v>
      </c>
      <c r="E35" s="145">
        <v>238713.05</v>
      </c>
      <c r="F35" s="626">
        <v>238713.05</v>
      </c>
      <c r="G35" s="627">
        <f t="shared" ref="G35:G46" si="7">F35-E35</f>
        <v>0</v>
      </c>
      <c r="H35" s="556">
        <f t="shared" ref="H35:H47" si="8">G35</f>
        <v>0</v>
      </c>
      <c r="I35" s="556"/>
      <c r="J35" s="621">
        <f>H35/DAY(B2)</f>
        <v>0</v>
      </c>
      <c r="K35" s="575"/>
      <c r="L35" s="548"/>
      <c r="N35" s="569"/>
      <c r="O35" s="570"/>
    </row>
    <row r="36" spans="1:15" ht="26.25">
      <c r="A36" s="566" t="s">
        <v>162</v>
      </c>
      <c r="B36" s="618"/>
      <c r="C36" s="618"/>
      <c r="D36" s="567" t="s">
        <v>130</v>
      </c>
      <c r="E36" s="145">
        <v>186920.23</v>
      </c>
      <c r="F36" s="626">
        <v>187775.35</v>
      </c>
      <c r="G36" s="627">
        <f t="shared" si="7"/>
        <v>855.11999999999534</v>
      </c>
      <c r="H36" s="556">
        <f t="shared" si="8"/>
        <v>855.11999999999534</v>
      </c>
      <c r="I36" s="556"/>
      <c r="J36" s="621">
        <f>H36/DAY(B2)</f>
        <v>855.11999999999534</v>
      </c>
      <c r="K36" s="575"/>
      <c r="L36" s="548"/>
      <c r="N36" s="569"/>
      <c r="O36" s="584"/>
    </row>
    <row r="37" spans="1:15" ht="26.25">
      <c r="A37" s="566" t="s">
        <v>163</v>
      </c>
      <c r="B37" s="618"/>
      <c r="C37" s="618"/>
      <c r="D37" s="567" t="s">
        <v>130</v>
      </c>
      <c r="E37" s="145">
        <v>286718.99</v>
      </c>
      <c r="F37" s="626">
        <v>288412.43</v>
      </c>
      <c r="G37" s="627">
        <f t="shared" si="7"/>
        <v>1693.4400000000023</v>
      </c>
      <c r="H37" s="556">
        <f t="shared" si="8"/>
        <v>1693.4400000000023</v>
      </c>
      <c r="I37" s="556"/>
      <c r="J37" s="621">
        <f>H37/DAY(B2)</f>
        <v>1693.4400000000023</v>
      </c>
      <c r="K37" s="575"/>
      <c r="L37" s="548"/>
      <c r="N37" s="569"/>
      <c r="O37" s="585"/>
    </row>
    <row r="38" spans="1:15" ht="26.25">
      <c r="A38" s="566" t="s">
        <v>164</v>
      </c>
      <c r="B38" s="618"/>
      <c r="C38" s="618"/>
      <c r="D38" s="567" t="s">
        <v>130</v>
      </c>
      <c r="E38" s="108">
        <v>386663.35</v>
      </c>
      <c r="F38" s="556">
        <v>388860.11</v>
      </c>
      <c r="G38" s="627">
        <f t="shared" si="7"/>
        <v>2196.7600000000093</v>
      </c>
      <c r="H38" s="556">
        <f t="shared" si="8"/>
        <v>2196.7600000000093</v>
      </c>
      <c r="I38" s="556"/>
      <c r="J38" s="621">
        <f>H38/DAY(B2)</f>
        <v>2196.7600000000093</v>
      </c>
      <c r="K38" s="575"/>
      <c r="L38" s="548"/>
      <c r="N38" s="569"/>
      <c r="O38" s="570"/>
    </row>
    <row r="39" spans="1:15" ht="26.25">
      <c r="A39" s="566" t="s">
        <v>165</v>
      </c>
      <c r="B39" s="618"/>
      <c r="C39" s="618"/>
      <c r="D39" s="567" t="s">
        <v>130</v>
      </c>
      <c r="E39" s="145">
        <v>523380.59</v>
      </c>
      <c r="F39" s="626">
        <v>526375.71</v>
      </c>
      <c r="G39" s="627">
        <f t="shared" si="7"/>
        <v>2995.1199999999371</v>
      </c>
      <c r="H39" s="556">
        <f t="shared" si="8"/>
        <v>2995.1199999999371</v>
      </c>
      <c r="I39" s="556"/>
      <c r="J39" s="621">
        <f>H39/DAY(B2)</f>
        <v>2995.1199999999371</v>
      </c>
      <c r="K39" s="575"/>
      <c r="L39" s="548"/>
      <c r="N39" s="569"/>
      <c r="O39" s="570"/>
    </row>
    <row r="40" spans="1:15" ht="26.25">
      <c r="A40" s="586" t="s">
        <v>166</v>
      </c>
      <c r="B40" s="668"/>
      <c r="C40" s="668"/>
      <c r="D40" s="567" t="s">
        <v>130</v>
      </c>
      <c r="E40" s="145">
        <v>83671.09</v>
      </c>
      <c r="F40" s="626">
        <v>84217.98</v>
      </c>
      <c r="G40" s="627">
        <f t="shared" si="7"/>
        <v>546.88999999999942</v>
      </c>
      <c r="H40" s="556">
        <f t="shared" si="8"/>
        <v>546.88999999999942</v>
      </c>
      <c r="I40" s="556"/>
      <c r="J40" s="621">
        <f>H40/DAY(B2)</f>
        <v>546.88999999999942</v>
      </c>
      <c r="K40" s="577"/>
      <c r="L40" s="548"/>
      <c r="N40" s="569"/>
      <c r="O40" s="570"/>
    </row>
    <row r="41" spans="1:15" ht="26.25">
      <c r="A41" s="566" t="s">
        <v>167</v>
      </c>
      <c r="B41" s="618"/>
      <c r="C41" s="618"/>
      <c r="D41" s="567" t="s">
        <v>130</v>
      </c>
      <c r="E41" s="145">
        <v>142818.4</v>
      </c>
      <c r="F41" s="626">
        <v>142818.41</v>
      </c>
      <c r="G41" s="627">
        <f t="shared" si="7"/>
        <v>1.0000000009313226E-2</v>
      </c>
      <c r="H41" s="556">
        <f t="shared" si="8"/>
        <v>1.0000000009313226E-2</v>
      </c>
      <c r="I41" s="556"/>
      <c r="J41" s="621">
        <f>H41/DAY(B2)</f>
        <v>1.0000000009313226E-2</v>
      </c>
      <c r="K41" s="575"/>
      <c r="L41" s="548"/>
      <c r="N41" s="569"/>
      <c r="O41" s="570"/>
    </row>
    <row r="42" spans="1:15" ht="26.25">
      <c r="A42" s="566" t="s">
        <v>168</v>
      </c>
      <c r="B42" s="618"/>
      <c r="C42" s="618"/>
      <c r="D42" s="567" t="s">
        <v>130</v>
      </c>
      <c r="E42" s="145">
        <v>688632.55</v>
      </c>
      <c r="F42" s="626">
        <v>689410.23</v>
      </c>
      <c r="G42" s="627">
        <f t="shared" si="7"/>
        <v>777.67999999993481</v>
      </c>
      <c r="H42" s="556">
        <f t="shared" si="8"/>
        <v>777.67999999993481</v>
      </c>
      <c r="I42" s="556"/>
      <c r="J42" s="621">
        <f>H42/DAY(B2)</f>
        <v>777.67999999993481</v>
      </c>
      <c r="K42" s="575"/>
      <c r="L42" s="548"/>
      <c r="N42" s="569"/>
      <c r="O42" s="570"/>
    </row>
    <row r="43" spans="1:15" ht="26.25">
      <c r="A43" s="566" t="s">
        <v>169</v>
      </c>
      <c r="B43" s="618"/>
      <c r="C43" s="618"/>
      <c r="D43" s="567" t="s">
        <v>130</v>
      </c>
      <c r="E43" s="145">
        <v>407028</v>
      </c>
      <c r="F43" s="626">
        <v>407028</v>
      </c>
      <c r="G43" s="627">
        <f t="shared" si="7"/>
        <v>0</v>
      </c>
      <c r="H43" s="556">
        <f t="shared" si="8"/>
        <v>0</v>
      </c>
      <c r="I43" s="556"/>
      <c r="J43" s="621">
        <f>H43/DAY(B2)</f>
        <v>0</v>
      </c>
      <c r="K43" s="575"/>
      <c r="L43" s="548"/>
      <c r="N43" s="569"/>
      <c r="O43" s="570"/>
    </row>
    <row r="44" spans="1:15" ht="26.25">
      <c r="A44" s="566" t="s">
        <v>170</v>
      </c>
      <c r="B44" s="618"/>
      <c r="C44" s="618"/>
      <c r="D44" s="567" t="s">
        <v>130</v>
      </c>
      <c r="E44" s="145">
        <v>0</v>
      </c>
      <c r="F44" s="626">
        <v>0</v>
      </c>
      <c r="G44" s="627">
        <f t="shared" si="7"/>
        <v>0</v>
      </c>
      <c r="H44" s="556">
        <f t="shared" si="8"/>
        <v>0</v>
      </c>
      <c r="I44" s="556"/>
      <c r="J44" s="621">
        <f>H44/DAY(B2)</f>
        <v>0</v>
      </c>
      <c r="K44" s="575"/>
      <c r="L44" s="548"/>
      <c r="N44" s="569"/>
      <c r="O44" s="570"/>
    </row>
    <row r="45" spans="1:15" ht="26.25">
      <c r="A45" s="566" t="s">
        <v>171</v>
      </c>
      <c r="B45" s="618"/>
      <c r="C45" s="618"/>
      <c r="D45" s="567" t="s">
        <v>130</v>
      </c>
      <c r="E45" s="145">
        <v>0</v>
      </c>
      <c r="F45" s="626">
        <v>0</v>
      </c>
      <c r="G45" s="627">
        <f t="shared" si="7"/>
        <v>0</v>
      </c>
      <c r="H45" s="556">
        <f t="shared" si="8"/>
        <v>0</v>
      </c>
      <c r="I45" s="556"/>
      <c r="J45" s="621">
        <f>H45/DAY(B2)</f>
        <v>0</v>
      </c>
      <c r="K45" s="575"/>
      <c r="L45" s="548"/>
      <c r="N45" s="569"/>
      <c r="O45" s="570"/>
    </row>
    <row r="46" spans="1:15" ht="26.25">
      <c r="A46" s="566" t="s">
        <v>172</v>
      </c>
      <c r="B46" s="618"/>
      <c r="C46" s="618"/>
      <c r="D46" s="567" t="s">
        <v>130</v>
      </c>
      <c r="E46" s="145">
        <v>0</v>
      </c>
      <c r="F46" s="626">
        <v>0</v>
      </c>
      <c r="G46" s="627">
        <f t="shared" si="7"/>
        <v>0</v>
      </c>
      <c r="H46" s="556">
        <f t="shared" si="8"/>
        <v>0</v>
      </c>
      <c r="I46" s="556"/>
      <c r="J46" s="621">
        <f>H46/DAY(B2)</f>
        <v>0</v>
      </c>
      <c r="K46" s="575"/>
      <c r="L46" s="548"/>
      <c r="N46" s="569"/>
      <c r="O46" s="570"/>
    </row>
    <row r="47" spans="1:15" ht="26.25">
      <c r="A47" s="576" t="s">
        <v>173</v>
      </c>
      <c r="B47" s="628"/>
      <c r="C47" s="628"/>
      <c r="D47" s="669"/>
      <c r="E47" s="146"/>
      <c r="F47" s="556"/>
      <c r="G47" s="602">
        <f>G35+G36+G37+G38+G39+G40+G41+G42+G43+G44+G45+G46</f>
        <v>9065.0199999998877</v>
      </c>
      <c r="H47" s="556">
        <f t="shared" si="8"/>
        <v>9065.0199999998877</v>
      </c>
      <c r="I47" s="556"/>
      <c r="J47" s="621">
        <f>H47/DAY(B2)</f>
        <v>9065.0199999998877</v>
      </c>
      <c r="K47" s="575"/>
      <c r="L47" s="548"/>
      <c r="N47" s="569"/>
      <c r="O47" s="570"/>
    </row>
    <row r="48" spans="1:15" ht="26.25">
      <c r="A48" s="583" t="s">
        <v>174</v>
      </c>
      <c r="B48" s="667"/>
      <c r="C48" s="667"/>
      <c r="D48" s="562"/>
      <c r="E48" s="110"/>
      <c r="F48" s="629"/>
      <c r="G48" s="629"/>
      <c r="H48" s="629"/>
      <c r="I48" s="629"/>
      <c r="J48" s="631"/>
      <c r="K48" s="575"/>
      <c r="L48" s="548"/>
      <c r="N48" s="569"/>
      <c r="O48" s="570"/>
    </row>
    <row r="49" spans="1:15" ht="26.25">
      <c r="A49" s="566" t="s">
        <v>161</v>
      </c>
      <c r="B49" s="670"/>
      <c r="C49" s="670"/>
      <c r="D49" s="567" t="s">
        <v>130</v>
      </c>
      <c r="E49" s="145">
        <v>367771.75</v>
      </c>
      <c r="F49" s="626">
        <v>371268.31</v>
      </c>
      <c r="G49" s="627">
        <f t="shared" ref="G49:G58" si="9">F49-E49</f>
        <v>3496.5599999999977</v>
      </c>
      <c r="H49" s="556">
        <f t="shared" ref="H49:H60" si="10">G49</f>
        <v>3496.5599999999977</v>
      </c>
      <c r="I49" s="556"/>
      <c r="J49" s="621">
        <f>H49/DAY(B2)</f>
        <v>3496.5599999999977</v>
      </c>
      <c r="K49" s="575"/>
      <c r="L49" s="548"/>
      <c r="N49" s="569"/>
      <c r="O49" s="570"/>
    </row>
    <row r="50" spans="1:15" ht="26.25">
      <c r="A50" s="566" t="s">
        <v>175</v>
      </c>
      <c r="B50" s="670"/>
      <c r="C50" s="670"/>
      <c r="D50" s="567" t="s">
        <v>130</v>
      </c>
      <c r="E50" s="145">
        <v>243105.4</v>
      </c>
      <c r="F50" s="626">
        <v>244108.75</v>
      </c>
      <c r="G50" s="627">
        <f t="shared" si="9"/>
        <v>1003.3500000000058</v>
      </c>
      <c r="H50" s="556">
        <f t="shared" si="10"/>
        <v>1003.3500000000058</v>
      </c>
      <c r="I50" s="556"/>
      <c r="J50" s="621">
        <f>H50/DAY(B2)</f>
        <v>1003.3500000000058</v>
      </c>
      <c r="K50" s="575"/>
      <c r="L50" s="548"/>
      <c r="N50" s="569"/>
      <c r="O50" s="570"/>
    </row>
    <row r="51" spans="1:15" ht="26.25">
      <c r="A51" s="566" t="s">
        <v>163</v>
      </c>
      <c r="B51" s="670"/>
      <c r="C51" s="670"/>
      <c r="D51" s="567" t="s">
        <v>130</v>
      </c>
      <c r="E51" s="145">
        <v>75.680000000000007</v>
      </c>
      <c r="F51" s="626">
        <v>76</v>
      </c>
      <c r="G51" s="627">
        <f t="shared" si="9"/>
        <v>0.31999999999999318</v>
      </c>
      <c r="H51" s="556">
        <f t="shared" si="10"/>
        <v>0.31999999999999318</v>
      </c>
      <c r="I51" s="556"/>
      <c r="J51" s="621">
        <f>H51/DAY(B2)</f>
        <v>0.31999999999999318</v>
      </c>
      <c r="K51" s="575"/>
      <c r="L51" s="548"/>
      <c r="N51" s="569"/>
      <c r="O51" s="570"/>
    </row>
    <row r="52" spans="1:15" ht="26.25">
      <c r="A52" s="566" t="s">
        <v>176</v>
      </c>
      <c r="B52" s="670"/>
      <c r="C52" s="670"/>
      <c r="D52" s="567" t="s">
        <v>130</v>
      </c>
      <c r="E52" s="145">
        <v>10</v>
      </c>
      <c r="F52" s="626">
        <v>9.76</v>
      </c>
      <c r="G52" s="627">
        <f t="shared" si="9"/>
        <v>-0.24000000000000021</v>
      </c>
      <c r="H52" s="556">
        <f t="shared" si="10"/>
        <v>-0.24000000000000021</v>
      </c>
      <c r="I52" s="556"/>
      <c r="J52" s="621">
        <f>H52/DAY(B2)</f>
        <v>-0.24000000000000021</v>
      </c>
      <c r="K52" s="575"/>
      <c r="L52" s="548"/>
      <c r="N52" s="569"/>
      <c r="O52" s="570"/>
    </row>
    <row r="53" spans="1:15" ht="26.25">
      <c r="A53" s="566" t="s">
        <v>165</v>
      </c>
      <c r="B53" s="670"/>
      <c r="C53" s="670"/>
      <c r="D53" s="567" t="s">
        <v>130</v>
      </c>
      <c r="E53" s="418">
        <v>0</v>
      </c>
      <c r="F53" s="626">
        <v>0</v>
      </c>
      <c r="G53" s="627">
        <f t="shared" si="9"/>
        <v>0</v>
      </c>
      <c r="H53" s="556">
        <f t="shared" si="10"/>
        <v>0</v>
      </c>
      <c r="I53" s="556"/>
      <c r="J53" s="621">
        <f>H53/DAY(B2)</f>
        <v>0</v>
      </c>
      <c r="K53" s="575"/>
      <c r="L53" s="548"/>
      <c r="N53" s="569"/>
      <c r="O53" s="570"/>
    </row>
    <row r="54" spans="1:15" ht="26.25">
      <c r="A54" s="566" t="s">
        <v>177</v>
      </c>
      <c r="B54" s="670"/>
      <c r="C54" s="670"/>
      <c r="D54" s="567" t="s">
        <v>130</v>
      </c>
      <c r="E54" s="418">
        <v>77017.5</v>
      </c>
      <c r="F54" s="626">
        <v>77372.350000000006</v>
      </c>
      <c r="G54" s="627">
        <f t="shared" si="9"/>
        <v>354.85000000000582</v>
      </c>
      <c r="H54" s="556">
        <f t="shared" si="10"/>
        <v>354.85000000000582</v>
      </c>
      <c r="I54" s="556"/>
      <c r="J54" s="621">
        <f>H54/DAY(B2)</f>
        <v>354.85000000000582</v>
      </c>
      <c r="K54" s="575"/>
      <c r="L54" s="548"/>
      <c r="N54" s="569"/>
      <c r="O54" s="570"/>
    </row>
    <row r="55" spans="1:15" ht="26.25">
      <c r="A55" s="566" t="s">
        <v>178</v>
      </c>
      <c r="B55" s="670"/>
      <c r="C55" s="670"/>
      <c r="D55" s="567" t="s">
        <v>130</v>
      </c>
      <c r="E55" s="418">
        <v>284082.93</v>
      </c>
      <c r="F55" s="626">
        <v>287227.15000000002</v>
      </c>
      <c r="G55" s="627">
        <f t="shared" si="9"/>
        <v>3144.2200000000303</v>
      </c>
      <c r="H55" s="556">
        <f t="shared" si="10"/>
        <v>3144.2200000000303</v>
      </c>
      <c r="I55" s="556"/>
      <c r="J55" s="621">
        <f>H55/DAY(B2)</f>
        <v>3144.2200000000303</v>
      </c>
      <c r="K55" s="575"/>
      <c r="L55" s="548"/>
      <c r="N55" s="569"/>
      <c r="O55" s="570"/>
    </row>
    <row r="56" spans="1:15" ht="26.25">
      <c r="A56" s="566" t="s">
        <v>179</v>
      </c>
      <c r="B56" s="670"/>
      <c r="C56" s="670"/>
      <c r="D56" s="567" t="s">
        <v>180</v>
      </c>
      <c r="E56" s="418">
        <v>111243.13</v>
      </c>
      <c r="F56" s="626">
        <v>112849.87</v>
      </c>
      <c r="G56" s="627">
        <f t="shared" si="9"/>
        <v>1606.7399999999907</v>
      </c>
      <c r="H56" s="556">
        <f t="shared" si="10"/>
        <v>1606.7399999999907</v>
      </c>
      <c r="I56" s="556"/>
      <c r="J56" s="621">
        <f>H56/DAY(B2)</f>
        <v>1606.7399999999907</v>
      </c>
      <c r="K56" s="587"/>
      <c r="L56" s="548"/>
      <c r="N56" s="569"/>
      <c r="O56" s="570"/>
    </row>
    <row r="57" spans="1:15" ht="26.25">
      <c r="A57" s="566" t="s">
        <v>169</v>
      </c>
      <c r="B57" s="670"/>
      <c r="C57" s="670"/>
      <c r="D57" s="567" t="s">
        <v>130</v>
      </c>
      <c r="E57" s="418">
        <v>131903.70000000001</v>
      </c>
      <c r="F57" s="637">
        <v>134835.88</v>
      </c>
      <c r="G57" s="627">
        <f t="shared" si="9"/>
        <v>2932.179999999993</v>
      </c>
      <c r="H57" s="556">
        <f t="shared" si="10"/>
        <v>2932.179999999993</v>
      </c>
      <c r="I57" s="556"/>
      <c r="J57" s="621">
        <f>H57/DAY(B2)</f>
        <v>2932.179999999993</v>
      </c>
      <c r="K57" s="575"/>
      <c r="L57" s="548"/>
      <c r="N57" s="569"/>
      <c r="O57" s="570"/>
    </row>
    <row r="58" spans="1:15" ht="26.25">
      <c r="A58" s="566" t="s">
        <v>181</v>
      </c>
      <c r="B58" s="670"/>
      <c r="C58" s="670"/>
      <c r="D58" s="567" t="s">
        <v>130</v>
      </c>
      <c r="E58" s="418">
        <v>40280.11</v>
      </c>
      <c r="F58" s="626">
        <v>40552.25</v>
      </c>
      <c r="G58" s="627">
        <f t="shared" si="9"/>
        <v>272.13999999999942</v>
      </c>
      <c r="H58" s="556">
        <f t="shared" si="10"/>
        <v>272.13999999999942</v>
      </c>
      <c r="I58" s="556"/>
      <c r="J58" s="621">
        <f>H58/DAY(B2)</f>
        <v>272.13999999999942</v>
      </c>
      <c r="K58" s="575"/>
      <c r="L58" s="548"/>
      <c r="N58" s="569"/>
      <c r="O58" s="570"/>
    </row>
    <row r="59" spans="1:15" ht="26.25">
      <c r="A59" s="576" t="s">
        <v>173</v>
      </c>
      <c r="B59" s="628"/>
      <c r="C59" s="628"/>
      <c r="D59" s="552"/>
      <c r="E59" s="146"/>
      <c r="F59" s="556"/>
      <c r="G59" s="602">
        <f>G49+G50+G51+G52+G53+G54+G55+G56+G57+G58</f>
        <v>12810.120000000023</v>
      </c>
      <c r="H59" s="556">
        <f t="shared" si="10"/>
        <v>12810.120000000023</v>
      </c>
      <c r="I59" s="556">
        <f>G7-G60</f>
        <v>3149.0300000001298</v>
      </c>
      <c r="J59" s="621">
        <f>H59/DAY(B2)</f>
        <v>12810.120000000023</v>
      </c>
      <c r="K59" s="575"/>
      <c r="L59" s="548"/>
      <c r="N59" s="569"/>
      <c r="O59" s="570"/>
    </row>
    <row r="60" spans="1:15" ht="26.25">
      <c r="A60" s="566"/>
      <c r="B60" s="618"/>
      <c r="C60" s="618"/>
      <c r="D60" s="552" t="s">
        <v>182</v>
      </c>
      <c r="E60" s="146"/>
      <c r="F60" s="556"/>
      <c r="G60" s="602">
        <f>G47+G59</f>
        <v>21875.139999999912</v>
      </c>
      <c r="H60" s="556">
        <f t="shared" si="10"/>
        <v>21875.139999999912</v>
      </c>
      <c r="I60" s="556">
        <f>G13-G60</f>
        <v>4233.8600000000879</v>
      </c>
      <c r="J60" s="621">
        <f>H60/DAY(B2)</f>
        <v>21875.139999999912</v>
      </c>
      <c r="K60" s="575"/>
      <c r="L60" s="548"/>
      <c r="N60" s="569"/>
      <c r="O60" s="570"/>
    </row>
    <row r="61" spans="1:15" s="590" customFormat="1" ht="26.25">
      <c r="A61" s="815" t="s">
        <v>332</v>
      </c>
      <c r="B61" s="816"/>
      <c r="C61" s="817"/>
      <c r="D61" s="671"/>
      <c r="E61" s="339"/>
      <c r="F61" s="672"/>
      <c r="G61" s="673"/>
      <c r="H61" s="672"/>
      <c r="I61" s="672"/>
      <c r="J61" s="674"/>
      <c r="K61" s="588"/>
      <c r="L61" s="589"/>
      <c r="N61" s="569"/>
      <c r="O61" s="570"/>
    </row>
    <row r="62" spans="1:15" ht="26.25">
      <c r="A62" s="799" t="s">
        <v>198</v>
      </c>
      <c r="B62" s="800"/>
      <c r="C62" s="801"/>
      <c r="D62" s="567" t="s">
        <v>142</v>
      </c>
      <c r="E62" s="150">
        <v>292698</v>
      </c>
      <c r="F62" s="639">
        <v>292755</v>
      </c>
      <c r="G62" s="627">
        <f t="shared" ref="G62:G63" si="11">F62-E62</f>
        <v>57</v>
      </c>
      <c r="H62" s="556">
        <f t="shared" ref="H62:H71" si="12">G62</f>
        <v>57</v>
      </c>
      <c r="I62" s="556"/>
      <c r="J62" s="621">
        <f>H62/DAY(B2)</f>
        <v>57</v>
      </c>
      <c r="K62" s="577"/>
      <c r="L62" s="548"/>
      <c r="N62" s="569"/>
      <c r="O62" s="570"/>
    </row>
    <row r="63" spans="1:15" ht="26.25">
      <c r="A63" s="799" t="s">
        <v>199</v>
      </c>
      <c r="B63" s="800"/>
      <c r="C63" s="801"/>
      <c r="D63" s="567" t="s">
        <v>142</v>
      </c>
      <c r="E63" s="150">
        <v>235066</v>
      </c>
      <c r="F63" s="639">
        <v>235161</v>
      </c>
      <c r="G63" s="627">
        <f t="shared" si="11"/>
        <v>95</v>
      </c>
      <c r="H63" s="556">
        <f t="shared" si="12"/>
        <v>95</v>
      </c>
      <c r="I63" s="556"/>
      <c r="J63" s="621">
        <f>H63/DAY(B2)</f>
        <v>95</v>
      </c>
      <c r="K63" s="588"/>
      <c r="L63" s="548"/>
      <c r="N63" s="569"/>
      <c r="O63" s="570"/>
    </row>
    <row r="64" spans="1:15" ht="26.25">
      <c r="A64" s="784" t="s">
        <v>200</v>
      </c>
      <c r="B64" s="785"/>
      <c r="C64" s="786"/>
      <c r="D64" s="567"/>
      <c r="E64" s="150"/>
      <c r="F64" s="639"/>
      <c r="G64" s="627">
        <f>G62+G63</f>
        <v>152</v>
      </c>
      <c r="H64" s="556">
        <f t="shared" si="12"/>
        <v>152</v>
      </c>
      <c r="I64" s="556"/>
      <c r="J64" s="621">
        <f>H64/DAY(B2)</f>
        <v>152</v>
      </c>
      <c r="K64" s="588"/>
      <c r="L64" s="548"/>
      <c r="N64" s="569"/>
      <c r="O64" s="570"/>
    </row>
    <row r="65" spans="1:15" ht="26.25">
      <c r="A65" s="799" t="s">
        <v>201</v>
      </c>
      <c r="B65" s="800"/>
      <c r="C65" s="801"/>
      <c r="D65" s="567" t="s">
        <v>142</v>
      </c>
      <c r="E65" s="150">
        <v>451389</v>
      </c>
      <c r="F65" s="639">
        <v>451466</v>
      </c>
      <c r="G65" s="627">
        <f t="shared" ref="G65:G70" si="13">F65-E65</f>
        <v>77</v>
      </c>
      <c r="H65" s="556">
        <f t="shared" si="12"/>
        <v>77</v>
      </c>
      <c r="I65" s="556"/>
      <c r="J65" s="621">
        <f>H65/DAY(B2)</f>
        <v>77</v>
      </c>
      <c r="K65" s="588"/>
      <c r="L65" s="548"/>
      <c r="N65" s="569"/>
      <c r="O65" s="570"/>
    </row>
    <row r="66" spans="1:15" ht="26.25">
      <c r="A66" s="578" t="s">
        <v>202</v>
      </c>
      <c r="B66" s="632"/>
      <c r="C66" s="632"/>
      <c r="D66" s="567" t="s">
        <v>142</v>
      </c>
      <c r="E66" s="150">
        <v>111027</v>
      </c>
      <c r="F66" s="639">
        <v>111037</v>
      </c>
      <c r="G66" s="627">
        <f t="shared" si="13"/>
        <v>10</v>
      </c>
      <c r="H66" s="556">
        <f t="shared" si="12"/>
        <v>10</v>
      </c>
      <c r="I66" s="556"/>
      <c r="J66" s="621">
        <f>H66/DAY(B2)</f>
        <v>10</v>
      </c>
      <c r="K66" s="587"/>
      <c r="L66" s="548"/>
      <c r="N66" s="569"/>
      <c r="O66" s="570"/>
    </row>
    <row r="67" spans="1:15" ht="26.25">
      <c r="A67" s="578" t="s">
        <v>203</v>
      </c>
      <c r="B67" s="632"/>
      <c r="C67" s="632"/>
      <c r="D67" s="567" t="s">
        <v>142</v>
      </c>
      <c r="E67" s="150">
        <v>113680</v>
      </c>
      <c r="F67" s="639">
        <v>113680</v>
      </c>
      <c r="G67" s="627">
        <f t="shared" si="13"/>
        <v>0</v>
      </c>
      <c r="H67" s="556">
        <f t="shared" si="12"/>
        <v>0</v>
      </c>
      <c r="I67" s="556"/>
      <c r="J67" s="621">
        <f>H67/DAY(B2)</f>
        <v>0</v>
      </c>
      <c r="K67" s="591"/>
      <c r="L67" s="548"/>
      <c r="N67" s="569"/>
      <c r="O67" s="570"/>
    </row>
    <row r="68" spans="1:15" ht="26.25">
      <c r="A68" s="578" t="s">
        <v>204</v>
      </c>
      <c r="B68" s="632"/>
      <c r="C68" s="632"/>
      <c r="D68" s="567" t="s">
        <v>142</v>
      </c>
      <c r="E68" s="150">
        <v>163526</v>
      </c>
      <c r="F68" s="639">
        <v>163559</v>
      </c>
      <c r="G68" s="627">
        <f t="shared" si="13"/>
        <v>33</v>
      </c>
      <c r="H68" s="556">
        <f t="shared" si="12"/>
        <v>33</v>
      </c>
      <c r="I68" s="556"/>
      <c r="J68" s="621">
        <f>H68/DAY(B2)</f>
        <v>33</v>
      </c>
      <c r="K68" s="588"/>
      <c r="L68" s="548"/>
      <c r="N68" s="569"/>
      <c r="O68" s="570"/>
    </row>
    <row r="69" spans="1:15" ht="26.25">
      <c r="A69" s="578" t="s">
        <v>205</v>
      </c>
      <c r="B69" s="632"/>
      <c r="C69" s="632"/>
      <c r="D69" s="567" t="s">
        <v>142</v>
      </c>
      <c r="E69" s="150">
        <v>12128</v>
      </c>
      <c r="F69" s="639">
        <v>12132</v>
      </c>
      <c r="G69" s="627">
        <f t="shared" si="13"/>
        <v>4</v>
      </c>
      <c r="H69" s="556">
        <f t="shared" si="12"/>
        <v>4</v>
      </c>
      <c r="I69" s="556"/>
      <c r="J69" s="621">
        <f>H69/DAY(B2)</f>
        <v>4</v>
      </c>
      <c r="K69" s="588"/>
      <c r="L69" s="548"/>
      <c r="N69" s="569"/>
      <c r="O69" s="570"/>
    </row>
    <row r="70" spans="1:15" ht="26.25">
      <c r="A70" s="578" t="s">
        <v>206</v>
      </c>
      <c r="B70" s="632"/>
      <c r="C70" s="632"/>
      <c r="D70" s="567" t="s">
        <v>142</v>
      </c>
      <c r="E70" s="150">
        <v>9514</v>
      </c>
      <c r="F70" s="675">
        <v>9524</v>
      </c>
      <c r="G70" s="676">
        <f t="shared" si="13"/>
        <v>10</v>
      </c>
      <c r="H70" s="556">
        <f t="shared" si="12"/>
        <v>10</v>
      </c>
      <c r="I70" s="555"/>
      <c r="J70" s="621">
        <f>H70/DAY(B2)</f>
        <v>10</v>
      </c>
      <c r="K70" s="588"/>
      <c r="L70" s="548"/>
      <c r="N70" s="569"/>
      <c r="O70" s="570"/>
    </row>
    <row r="71" spans="1:15" ht="26.25">
      <c r="A71" s="784" t="s">
        <v>208</v>
      </c>
      <c r="B71" s="785"/>
      <c r="C71" s="786"/>
      <c r="D71" s="636"/>
      <c r="E71" s="152"/>
      <c r="F71" s="636"/>
      <c r="G71" s="677">
        <f>SUM(G65:G70)</f>
        <v>134</v>
      </c>
      <c r="H71" s="556">
        <f t="shared" si="12"/>
        <v>134</v>
      </c>
      <c r="I71" s="678"/>
      <c r="J71" s="621">
        <f>H71/DAY(B2)</f>
        <v>134</v>
      </c>
      <c r="K71" s="588"/>
      <c r="L71" s="548"/>
      <c r="N71" s="569"/>
      <c r="O71" s="570"/>
    </row>
    <row r="72" spans="1:15" ht="26.25">
      <c r="A72" s="818"/>
      <c r="B72" s="798"/>
      <c r="C72" s="679"/>
      <c r="D72" s="559"/>
      <c r="E72" s="412"/>
      <c r="F72" s="680"/>
      <c r="G72" s="681"/>
      <c r="H72" s="682"/>
      <c r="I72" s="680"/>
      <c r="J72" s="683"/>
      <c r="N72" s="569"/>
      <c r="O72" s="570"/>
    </row>
    <row r="73" spans="1:15" ht="26.25">
      <c r="A73" s="815" t="s">
        <v>333</v>
      </c>
      <c r="B73" s="816"/>
      <c r="C73" s="817"/>
      <c r="D73" s="671"/>
      <c r="E73" s="339"/>
      <c r="F73" s="671"/>
      <c r="G73" s="684"/>
      <c r="H73" s="685"/>
      <c r="I73" s="685"/>
      <c r="J73" s="686"/>
      <c r="K73" s="588"/>
      <c r="L73" s="548"/>
      <c r="N73" s="569"/>
      <c r="O73" s="570"/>
    </row>
    <row r="74" spans="1:15" ht="26.25">
      <c r="A74" s="799" t="s">
        <v>220</v>
      </c>
      <c r="B74" s="800"/>
      <c r="C74" s="801"/>
      <c r="D74" s="567" t="s">
        <v>139</v>
      </c>
      <c r="E74" s="123">
        <v>947707.2</v>
      </c>
      <c r="F74" s="687">
        <v>948035.51</v>
      </c>
      <c r="G74" s="676">
        <f t="shared" ref="G74:G78" si="14">F74-E74</f>
        <v>328.31000000005588</v>
      </c>
      <c r="H74" s="556">
        <f t="shared" ref="H74:H79" si="15">G74</f>
        <v>328.31000000005588</v>
      </c>
      <c r="I74" s="678"/>
      <c r="J74" s="621">
        <f>H74/DAY(B2)</f>
        <v>328.31000000005588</v>
      </c>
      <c r="K74" s="588"/>
      <c r="L74" s="548"/>
      <c r="N74" s="569"/>
      <c r="O74" s="570"/>
    </row>
    <row r="75" spans="1:15" ht="26.25">
      <c r="A75" s="799" t="s">
        <v>221</v>
      </c>
      <c r="B75" s="800"/>
      <c r="C75" s="801"/>
      <c r="D75" s="567" t="s">
        <v>139</v>
      </c>
      <c r="E75" s="123">
        <v>73586.8</v>
      </c>
      <c r="F75" s="687">
        <v>73586.8</v>
      </c>
      <c r="G75" s="676">
        <f t="shared" si="14"/>
        <v>0</v>
      </c>
      <c r="H75" s="556">
        <f t="shared" si="15"/>
        <v>0</v>
      </c>
      <c r="I75" s="678"/>
      <c r="J75" s="621">
        <f>H75/DAY(B2)</f>
        <v>0</v>
      </c>
      <c r="K75" s="588"/>
      <c r="L75" s="548"/>
      <c r="N75" s="569"/>
      <c r="O75" s="570"/>
    </row>
    <row r="76" spans="1:15" ht="26.25">
      <c r="A76" s="819" t="s">
        <v>222</v>
      </c>
      <c r="B76" s="820"/>
      <c r="C76" s="821"/>
      <c r="D76" s="567" t="s">
        <v>139</v>
      </c>
      <c r="E76" s="123">
        <v>186891.3</v>
      </c>
      <c r="F76" s="687">
        <v>187005.57</v>
      </c>
      <c r="G76" s="676">
        <f t="shared" si="14"/>
        <v>114.27000000001863</v>
      </c>
      <c r="H76" s="556">
        <f t="shared" si="15"/>
        <v>114.27000000001863</v>
      </c>
      <c r="I76" s="678"/>
      <c r="J76" s="621">
        <f>H76/DAY(B2)</f>
        <v>114.27000000001863</v>
      </c>
      <c r="K76" s="588"/>
      <c r="L76" s="548"/>
      <c r="N76" s="569"/>
      <c r="O76" s="570"/>
    </row>
    <row r="77" spans="1:15" ht="26.25">
      <c r="A77" s="819" t="s">
        <v>223</v>
      </c>
      <c r="B77" s="820"/>
      <c r="C77" s="821"/>
      <c r="D77" s="567" t="s">
        <v>139</v>
      </c>
      <c r="E77" s="123">
        <v>48735.8</v>
      </c>
      <c r="F77" s="687">
        <v>48781</v>
      </c>
      <c r="G77" s="676">
        <f t="shared" si="14"/>
        <v>45.19999999999709</v>
      </c>
      <c r="H77" s="556">
        <f t="shared" si="15"/>
        <v>45.19999999999709</v>
      </c>
      <c r="I77" s="678"/>
      <c r="J77" s="621">
        <f>H77/DAY(B2)</f>
        <v>45.19999999999709</v>
      </c>
      <c r="K77" s="588"/>
      <c r="L77" s="548"/>
      <c r="N77" s="569"/>
      <c r="O77" s="570"/>
    </row>
    <row r="78" spans="1:15" ht="26.25">
      <c r="A78" s="819" t="s">
        <v>224</v>
      </c>
      <c r="B78" s="820"/>
      <c r="C78" s="821"/>
      <c r="D78" s="567" t="s">
        <v>139</v>
      </c>
      <c r="E78" s="123">
        <v>9563.4</v>
      </c>
      <c r="F78" s="687">
        <v>9563.4</v>
      </c>
      <c r="G78" s="676">
        <f t="shared" si="14"/>
        <v>0</v>
      </c>
      <c r="H78" s="556">
        <f t="shared" si="15"/>
        <v>0</v>
      </c>
      <c r="I78" s="555"/>
      <c r="J78" s="621">
        <f>H78/DAY(B2)</f>
        <v>0</v>
      </c>
      <c r="K78" s="588"/>
      <c r="L78" s="548"/>
      <c r="N78" s="569"/>
      <c r="O78" s="570"/>
    </row>
    <row r="79" spans="1:15" ht="26.25">
      <c r="A79" s="819" t="s">
        <v>225</v>
      </c>
      <c r="B79" s="820"/>
      <c r="C79" s="821"/>
      <c r="D79" s="567"/>
      <c r="E79" s="123"/>
      <c r="F79" s="687"/>
      <c r="G79" s="676">
        <f>G15-SUM(G74:G78)</f>
        <v>474.81000000001222</v>
      </c>
      <c r="H79" s="556">
        <f t="shared" si="15"/>
        <v>474.81000000001222</v>
      </c>
      <c r="I79" s="555"/>
      <c r="J79" s="621"/>
      <c r="K79" s="588"/>
      <c r="L79" s="548"/>
      <c r="N79" s="569"/>
      <c r="O79" s="570"/>
    </row>
    <row r="80" spans="1:15" ht="26.25">
      <c r="A80" s="784" t="s">
        <v>329</v>
      </c>
      <c r="B80" s="785"/>
      <c r="C80" s="786"/>
      <c r="D80" s="567"/>
      <c r="E80" s="117"/>
      <c r="F80" s="688"/>
      <c r="G80" s="676">
        <f>SUM(G74:G79)</f>
        <v>962.59000000008382</v>
      </c>
      <c r="H80" s="556"/>
      <c r="I80" s="555"/>
      <c r="J80" s="621"/>
      <c r="K80" s="588"/>
      <c r="L80" s="548"/>
      <c r="N80" s="569"/>
      <c r="O80" s="570"/>
    </row>
    <row r="81" spans="1:15" ht="26.25">
      <c r="A81" s="822" t="s">
        <v>226</v>
      </c>
      <c r="B81" s="823"/>
      <c r="C81" s="824"/>
      <c r="D81" s="561"/>
      <c r="E81" s="110"/>
      <c r="F81" s="562"/>
      <c r="G81" s="689"/>
      <c r="H81" s="690"/>
      <c r="I81" s="690"/>
      <c r="J81" s="691"/>
      <c r="O81" s="570"/>
    </row>
    <row r="82" spans="1:15" ht="26.25">
      <c r="A82" s="578" t="s">
        <v>227</v>
      </c>
      <c r="B82" s="632"/>
      <c r="C82" s="632"/>
      <c r="D82" s="567" t="s">
        <v>228</v>
      </c>
      <c r="E82" s="122">
        <v>0</v>
      </c>
      <c r="F82" s="675">
        <v>0</v>
      </c>
      <c r="G82" s="676">
        <f t="shared" ref="G82:G92" si="16">F82-E82</f>
        <v>0</v>
      </c>
      <c r="H82" s="556">
        <f t="shared" ref="H82:H92" si="17">G82</f>
        <v>0</v>
      </c>
      <c r="I82" s="555"/>
      <c r="J82" s="621">
        <f>H82/DAY(B2)</f>
        <v>0</v>
      </c>
      <c r="O82" s="570"/>
    </row>
    <row r="83" spans="1:15" ht="26.25">
      <c r="A83" s="578" t="s">
        <v>229</v>
      </c>
      <c r="B83" s="632"/>
      <c r="C83" s="632"/>
      <c r="D83" s="567" t="s">
        <v>228</v>
      </c>
      <c r="E83" s="122">
        <v>0</v>
      </c>
      <c r="F83" s="675">
        <v>0</v>
      </c>
      <c r="G83" s="676">
        <f t="shared" si="16"/>
        <v>0</v>
      </c>
      <c r="H83" s="556">
        <f t="shared" si="17"/>
        <v>0</v>
      </c>
      <c r="I83" s="555"/>
      <c r="J83" s="621">
        <f>H83/DAY(B2)</f>
        <v>0</v>
      </c>
      <c r="O83" s="570"/>
    </row>
    <row r="84" spans="1:15" ht="26.25">
      <c r="A84" s="578" t="s">
        <v>230</v>
      </c>
      <c r="B84" s="632"/>
      <c r="C84" s="632"/>
      <c r="D84" s="567" t="s">
        <v>228</v>
      </c>
      <c r="E84" s="164">
        <v>42275</v>
      </c>
      <c r="F84" s="692">
        <v>42275</v>
      </c>
      <c r="G84" s="676">
        <f t="shared" si="16"/>
        <v>0</v>
      </c>
      <c r="H84" s="556">
        <f t="shared" si="17"/>
        <v>0</v>
      </c>
      <c r="I84" s="555"/>
      <c r="J84" s="621">
        <f>H84/DAY(B2)</f>
        <v>0</v>
      </c>
      <c r="O84" s="570"/>
    </row>
    <row r="85" spans="1:15" ht="26.25">
      <c r="A85" s="578" t="s">
        <v>231</v>
      </c>
      <c r="B85" s="632"/>
      <c r="C85" s="632"/>
      <c r="D85" s="567" t="s">
        <v>228</v>
      </c>
      <c r="E85" s="150">
        <v>4882.01</v>
      </c>
      <c r="F85" s="692">
        <v>4885.58</v>
      </c>
      <c r="G85" s="676">
        <f t="shared" si="16"/>
        <v>3.569999999999709</v>
      </c>
      <c r="H85" s="556">
        <f t="shared" si="17"/>
        <v>3.569999999999709</v>
      </c>
      <c r="I85" s="555"/>
      <c r="J85" s="621">
        <f>H85/DAY(B2)</f>
        <v>3.569999999999709</v>
      </c>
      <c r="O85" s="570"/>
    </row>
    <row r="86" spans="1:15" ht="26.25">
      <c r="A86" s="578" t="s">
        <v>232</v>
      </c>
      <c r="B86" s="632"/>
      <c r="C86" s="632"/>
      <c r="D86" s="567" t="s">
        <v>228</v>
      </c>
      <c r="E86" s="164">
        <v>44852.3</v>
      </c>
      <c r="F86" s="692">
        <v>44874.59</v>
      </c>
      <c r="G86" s="693">
        <f t="shared" si="16"/>
        <v>22.289999999993597</v>
      </c>
      <c r="H86" s="556">
        <f t="shared" si="17"/>
        <v>22.289999999993597</v>
      </c>
      <c r="I86" s="555"/>
      <c r="J86" s="621">
        <f>H86/DAY(B2)</f>
        <v>22.289999999993597</v>
      </c>
      <c r="O86" s="570"/>
    </row>
    <row r="87" spans="1:15" ht="26.25">
      <c r="A87" s="578" t="s">
        <v>233</v>
      </c>
      <c r="B87" s="632"/>
      <c r="C87" s="632"/>
      <c r="D87" s="567" t="s">
        <v>228</v>
      </c>
      <c r="E87" s="164">
        <v>35358.050000000003</v>
      </c>
      <c r="F87" s="692">
        <v>35370.400000000001</v>
      </c>
      <c r="G87" s="676">
        <f t="shared" si="16"/>
        <v>12.349999999998545</v>
      </c>
      <c r="H87" s="556">
        <f t="shared" si="17"/>
        <v>12.349999999998545</v>
      </c>
      <c r="I87" s="555">
        <f>G84+G85+G86+G87</f>
        <v>38.209999999991851</v>
      </c>
      <c r="J87" s="621">
        <f>H87/DAY(B2)</f>
        <v>12.349999999998545</v>
      </c>
      <c r="O87" s="570"/>
    </row>
    <row r="88" spans="1:15" ht="26.25">
      <c r="A88" s="578" t="s">
        <v>234</v>
      </c>
      <c r="B88" s="632"/>
      <c r="C88" s="632"/>
      <c r="D88" s="567" t="s">
        <v>228</v>
      </c>
      <c r="E88" s="164">
        <v>24277.200000000001</v>
      </c>
      <c r="F88" s="692">
        <v>24277.26</v>
      </c>
      <c r="G88" s="676">
        <f t="shared" si="16"/>
        <v>5.9999999997671694E-2</v>
      </c>
      <c r="H88" s="556">
        <f t="shared" si="17"/>
        <v>5.9999999997671694E-2</v>
      </c>
      <c r="I88" s="555"/>
      <c r="J88" s="621">
        <f>H88/DAY(B2)</f>
        <v>5.9999999997671694E-2</v>
      </c>
      <c r="O88" s="570"/>
    </row>
    <row r="89" spans="1:15" ht="26.25">
      <c r="A89" s="578" t="s">
        <v>235</v>
      </c>
      <c r="B89" s="632"/>
      <c r="C89" s="632"/>
      <c r="D89" s="567" t="s">
        <v>228</v>
      </c>
      <c r="E89" s="164">
        <v>27291.42</v>
      </c>
      <c r="F89" s="692">
        <v>27299.84</v>
      </c>
      <c r="G89" s="676">
        <f t="shared" si="16"/>
        <v>8.4200000000018917</v>
      </c>
      <c r="H89" s="556">
        <f t="shared" si="17"/>
        <v>8.4200000000018917</v>
      </c>
      <c r="I89" s="555">
        <f>G88+G89</f>
        <v>8.4799999999995634</v>
      </c>
      <c r="J89" s="621">
        <f>H89/DAY(B2)</f>
        <v>8.4200000000018917</v>
      </c>
      <c r="O89" s="570"/>
    </row>
    <row r="90" spans="1:15" ht="26.25">
      <c r="A90" s="578" t="s">
        <v>236</v>
      </c>
      <c r="B90" s="632"/>
      <c r="C90" s="632"/>
      <c r="D90" s="567" t="s">
        <v>228</v>
      </c>
      <c r="E90" s="164">
        <v>72326.399999999994</v>
      </c>
      <c r="F90" s="692">
        <v>72334.31</v>
      </c>
      <c r="G90" s="676">
        <f t="shared" si="16"/>
        <v>7.9100000000034925</v>
      </c>
      <c r="H90" s="556">
        <f t="shared" si="17"/>
        <v>7.9100000000034925</v>
      </c>
      <c r="I90" s="555">
        <f>G90</f>
        <v>7.9100000000034925</v>
      </c>
      <c r="J90" s="621">
        <f>H90/DAY(B2)</f>
        <v>7.9100000000034925</v>
      </c>
      <c r="O90" s="570"/>
    </row>
    <row r="91" spans="1:15" ht="26.25">
      <c r="A91" s="578" t="s">
        <v>237</v>
      </c>
      <c r="B91" s="632"/>
      <c r="C91" s="632"/>
      <c r="D91" s="567" t="s">
        <v>228</v>
      </c>
      <c r="E91" s="122">
        <v>4138.4399999999996</v>
      </c>
      <c r="F91" s="675">
        <v>4138.4399999999996</v>
      </c>
      <c r="G91" s="676">
        <f t="shared" si="16"/>
        <v>0</v>
      </c>
      <c r="H91" s="556">
        <f t="shared" si="17"/>
        <v>0</v>
      </c>
      <c r="I91" s="616"/>
      <c r="J91" s="621">
        <f>H91/DAY(B2)</f>
        <v>0</v>
      </c>
      <c r="O91" s="570"/>
    </row>
    <row r="92" spans="1:15" ht="26.25">
      <c r="A92" s="578" t="s">
        <v>238</v>
      </c>
      <c r="B92" s="632"/>
      <c r="C92" s="632"/>
      <c r="D92" s="567" t="s">
        <v>228</v>
      </c>
      <c r="E92" s="122">
        <v>6515.34</v>
      </c>
      <c r="F92" s="675">
        <v>6526.76</v>
      </c>
      <c r="G92" s="676">
        <f t="shared" si="16"/>
        <v>11.420000000000073</v>
      </c>
      <c r="H92" s="556">
        <f t="shared" si="17"/>
        <v>11.420000000000073</v>
      </c>
      <c r="I92" s="617">
        <f>G91+G92</f>
        <v>11.420000000000073</v>
      </c>
      <c r="J92" s="621">
        <f>H92/DAY(B2)</f>
        <v>11.420000000000073</v>
      </c>
      <c r="O92" s="570"/>
    </row>
    <row r="93" spans="1:15" ht="26.25">
      <c r="A93" s="825" t="s">
        <v>239</v>
      </c>
      <c r="B93" s="826"/>
      <c r="C93" s="827"/>
      <c r="D93" s="562"/>
      <c r="E93" s="111"/>
      <c r="F93" s="562"/>
      <c r="G93" s="694"/>
      <c r="H93" s="695"/>
      <c r="I93" s="695"/>
      <c r="J93" s="696"/>
      <c r="K93" s="588"/>
      <c r="L93" s="548"/>
      <c r="O93" s="570"/>
    </row>
    <row r="94" spans="1:15" ht="26.25">
      <c r="A94" s="799" t="s">
        <v>240</v>
      </c>
      <c r="B94" s="800"/>
      <c r="C94" s="801"/>
      <c r="D94" s="567" t="s">
        <v>130</v>
      </c>
      <c r="E94" s="151"/>
      <c r="F94" s="567"/>
      <c r="G94" s="697">
        <f>G35+G43+G49+G57</f>
        <v>6428.7399999999907</v>
      </c>
      <c r="H94" s="556">
        <f t="shared" ref="H94:H105" si="18">G94</f>
        <v>6428.7399999999907</v>
      </c>
      <c r="I94" s="555"/>
      <c r="J94" s="621">
        <f>H94/DAY(B2)</f>
        <v>6428.7399999999907</v>
      </c>
      <c r="K94" s="588"/>
      <c r="L94" s="548"/>
      <c r="O94" s="570"/>
    </row>
    <row r="95" spans="1:15" ht="26.25">
      <c r="A95" s="799" t="s">
        <v>241</v>
      </c>
      <c r="B95" s="800"/>
      <c r="C95" s="801"/>
      <c r="D95" s="567" t="s">
        <v>23</v>
      </c>
      <c r="E95" s="146"/>
      <c r="F95" s="567"/>
      <c r="G95" s="698">
        <f>G94/G7</f>
        <v>0.25690122789287234</v>
      </c>
      <c r="H95" s="556">
        <f t="shared" si="18"/>
        <v>0.25690122789287234</v>
      </c>
      <c r="I95" s="699"/>
      <c r="J95" s="621">
        <f>H95/DAY(B2)</f>
        <v>0.25690122789287234</v>
      </c>
      <c r="K95" s="588"/>
      <c r="L95" s="548"/>
      <c r="O95" s="570"/>
    </row>
    <row r="96" spans="1:15" ht="26.25">
      <c r="A96" s="799" t="s">
        <v>242</v>
      </c>
      <c r="B96" s="800"/>
      <c r="C96" s="801"/>
      <c r="D96" s="567" t="s">
        <v>130</v>
      </c>
      <c r="E96" s="95"/>
      <c r="F96" s="555"/>
      <c r="G96" s="697">
        <f>G41+G42+G55+G56</f>
        <v>5528.6499999999651</v>
      </c>
      <c r="H96" s="556">
        <f t="shared" si="18"/>
        <v>5528.6499999999651</v>
      </c>
      <c r="I96" s="555"/>
      <c r="J96" s="621">
        <f>H96/DAY(B2)</f>
        <v>5528.6499999999651</v>
      </c>
      <c r="K96" s="588"/>
      <c r="L96" s="548"/>
      <c r="O96" s="570"/>
    </row>
    <row r="97" spans="1:15" ht="26.25">
      <c r="A97" s="799" t="s">
        <v>243</v>
      </c>
      <c r="B97" s="800"/>
      <c r="C97" s="801"/>
      <c r="D97" s="567" t="s">
        <v>23</v>
      </c>
      <c r="E97" s="95"/>
      <c r="F97" s="555"/>
      <c r="G97" s="698">
        <f>G96/G7</f>
        <v>0.22093240255320978</v>
      </c>
      <c r="H97" s="556">
        <f t="shared" si="18"/>
        <v>0.22093240255320978</v>
      </c>
      <c r="I97" s="699"/>
      <c r="J97" s="621">
        <f>H97/DAY(B2)</f>
        <v>0.22093240255320978</v>
      </c>
      <c r="K97" s="588"/>
      <c r="L97" s="548"/>
      <c r="O97" s="570"/>
    </row>
    <row r="98" spans="1:15" ht="26.25">
      <c r="A98" s="799" t="s">
        <v>244</v>
      </c>
      <c r="B98" s="800"/>
      <c r="C98" s="801"/>
      <c r="D98" s="567" t="s">
        <v>130</v>
      </c>
      <c r="E98" s="95"/>
      <c r="F98" s="555"/>
      <c r="G98" s="697">
        <f>G39+G53</f>
        <v>2995.1199999999371</v>
      </c>
      <c r="H98" s="556">
        <f t="shared" si="18"/>
        <v>2995.1199999999371</v>
      </c>
      <c r="I98" s="602"/>
      <c r="J98" s="621">
        <f>H98/DAY(B2)</f>
        <v>2995.1199999999371</v>
      </c>
      <c r="K98" s="588"/>
      <c r="L98" s="548"/>
      <c r="O98" s="570"/>
    </row>
    <row r="99" spans="1:15" ht="26.25">
      <c r="A99" s="799" t="s">
        <v>245</v>
      </c>
      <c r="B99" s="800"/>
      <c r="C99" s="801"/>
      <c r="D99" s="567" t="s">
        <v>23</v>
      </c>
      <c r="E99" s="95"/>
      <c r="F99" s="555"/>
      <c r="G99" s="698">
        <f>G98/G7</f>
        <v>0.11968908459301277</v>
      </c>
      <c r="H99" s="556">
        <f t="shared" si="18"/>
        <v>0.11968908459301277</v>
      </c>
      <c r="I99" s="602"/>
      <c r="J99" s="621">
        <f>H99/DAY(B2)</f>
        <v>0.11968908459301277</v>
      </c>
      <c r="O99" s="570"/>
    </row>
    <row r="100" spans="1:15" ht="26.25">
      <c r="A100" s="799" t="s">
        <v>246</v>
      </c>
      <c r="B100" s="800"/>
      <c r="C100" s="801"/>
      <c r="D100" s="567" t="s">
        <v>180</v>
      </c>
      <c r="E100" s="95"/>
      <c r="F100" s="555"/>
      <c r="G100" s="697">
        <f>G38+G52</f>
        <v>2196.5200000000095</v>
      </c>
      <c r="H100" s="556">
        <f t="shared" si="18"/>
        <v>2196.5200000000095</v>
      </c>
      <c r="I100" s="555"/>
      <c r="J100" s="621">
        <f>H100/DAY(B2)</f>
        <v>2196.5200000000095</v>
      </c>
      <c r="K100" s="593"/>
      <c r="O100" s="570"/>
    </row>
    <row r="101" spans="1:15" ht="26.25">
      <c r="A101" s="799" t="s">
        <v>247</v>
      </c>
      <c r="B101" s="800"/>
      <c r="C101" s="801"/>
      <c r="D101" s="567" t="s">
        <v>23</v>
      </c>
      <c r="E101" s="95"/>
      <c r="F101" s="555"/>
      <c r="G101" s="698">
        <f>G100/G7</f>
        <v>8.7775938222926314E-2</v>
      </c>
      <c r="H101" s="556">
        <f t="shared" si="18"/>
        <v>8.7775938222926314E-2</v>
      </c>
      <c r="I101" s="602"/>
      <c r="J101" s="621">
        <f>H101/DAY(B2)</f>
        <v>8.7775938222926314E-2</v>
      </c>
      <c r="O101" s="570"/>
    </row>
    <row r="102" spans="1:15" ht="26.25">
      <c r="A102" s="799" t="s">
        <v>248</v>
      </c>
      <c r="B102" s="800"/>
      <c r="C102" s="801"/>
      <c r="D102" s="567" t="s">
        <v>180</v>
      </c>
      <c r="E102" s="95"/>
      <c r="F102" s="555"/>
      <c r="G102" s="697">
        <f>G36+G50</f>
        <v>1858.4700000000012</v>
      </c>
      <c r="H102" s="556">
        <f t="shared" si="18"/>
        <v>1858.4700000000012</v>
      </c>
      <c r="I102" s="602"/>
      <c r="J102" s="621">
        <f>H102/DAY(B2)</f>
        <v>1858.4700000000012</v>
      </c>
      <c r="O102" s="570"/>
    </row>
    <row r="103" spans="1:15" ht="26.25">
      <c r="A103" s="799" t="s">
        <v>249</v>
      </c>
      <c r="B103" s="800"/>
      <c r="C103" s="801"/>
      <c r="D103" s="567" t="s">
        <v>23</v>
      </c>
      <c r="E103" s="95"/>
      <c r="F103" s="555"/>
      <c r="G103" s="698">
        <f>G102/G7</f>
        <v>7.4266998665689934E-2</v>
      </c>
      <c r="H103" s="556">
        <f t="shared" si="18"/>
        <v>7.4266998665689934E-2</v>
      </c>
      <c r="I103" s="555"/>
      <c r="J103" s="621">
        <f>H103/DAY(B2)</f>
        <v>7.4266998665689934E-2</v>
      </c>
      <c r="O103" s="570"/>
    </row>
    <row r="104" spans="1:15" ht="26.25">
      <c r="A104" s="799" t="s">
        <v>250</v>
      </c>
      <c r="B104" s="800"/>
      <c r="C104" s="801"/>
      <c r="D104" s="567" t="s">
        <v>180</v>
      </c>
      <c r="E104" s="95"/>
      <c r="F104" s="555"/>
      <c r="G104" s="697">
        <f>G37+G51</f>
        <v>1693.7600000000023</v>
      </c>
      <c r="H104" s="556">
        <f t="shared" si="18"/>
        <v>1693.7600000000023</v>
      </c>
      <c r="I104" s="555"/>
      <c r="J104" s="621">
        <f>H104/DAY(B2)</f>
        <v>1693.7600000000023</v>
      </c>
      <c r="O104" s="570"/>
    </row>
    <row r="105" spans="1:15" ht="27" thickBot="1">
      <c r="A105" s="834" t="s">
        <v>251</v>
      </c>
      <c r="B105" s="835"/>
      <c r="C105" s="836"/>
      <c r="D105" s="700" t="s">
        <v>23</v>
      </c>
      <c r="E105" s="185"/>
      <c r="F105" s="701"/>
      <c r="G105" s="702">
        <f>G104/G7</f>
        <v>6.7684962178565733E-2</v>
      </c>
      <c r="H105" s="556">
        <f t="shared" si="18"/>
        <v>6.7684962178565733E-2</v>
      </c>
      <c r="I105" s="701"/>
      <c r="J105" s="703">
        <f>H105/DAY(B2)</f>
        <v>6.7684962178565733E-2</v>
      </c>
      <c r="O105" s="570"/>
    </row>
    <row r="106" spans="1:15" ht="26.25">
      <c r="B106" s="560"/>
      <c r="C106" s="560"/>
      <c r="D106" s="560"/>
      <c r="F106" s="704"/>
      <c r="G106" s="705"/>
      <c r="H106" s="706"/>
      <c r="I106" s="704"/>
      <c r="J106" s="706"/>
      <c r="O106" s="570"/>
    </row>
    <row r="107" spans="1:15" ht="26.25">
      <c r="B107" s="560"/>
      <c r="C107" s="560"/>
      <c r="D107" s="560"/>
      <c r="F107" s="704"/>
      <c r="G107" s="705"/>
      <c r="H107" s="706"/>
      <c r="I107" s="704"/>
      <c r="J107" s="706"/>
    </row>
    <row r="108" spans="1:15" ht="26.25">
      <c r="A108" s="837" t="s">
        <v>324</v>
      </c>
      <c r="B108" s="837"/>
      <c r="C108" s="837"/>
      <c r="D108" s="837"/>
      <c r="E108" s="837"/>
      <c r="F108" s="837"/>
      <c r="G108" s="837"/>
      <c r="H108" s="837"/>
      <c r="I108" s="837"/>
      <c r="J108" s="837"/>
    </row>
    <row r="109" spans="1:15" ht="26.25">
      <c r="A109" s="828"/>
      <c r="B109" s="828"/>
      <c r="C109" s="560"/>
      <c r="D109" s="560"/>
      <c r="F109" s="704"/>
      <c r="G109" s="705"/>
      <c r="H109" s="706"/>
      <c r="I109" s="704"/>
      <c r="J109" s="706"/>
    </row>
    <row r="110" spans="1:15" ht="26.25">
      <c r="A110" s="838" t="s">
        <v>165</v>
      </c>
      <c r="B110" s="839"/>
      <c r="C110" s="839"/>
      <c r="D110" s="839"/>
      <c r="E110" s="839"/>
      <c r="F110" s="839"/>
      <c r="G110" s="839"/>
      <c r="H110" s="839"/>
      <c r="I110" s="839"/>
      <c r="J110" s="840"/>
    </row>
    <row r="111" spans="1:15" ht="26.25">
      <c r="A111" s="841"/>
      <c r="B111" s="842"/>
      <c r="C111" s="843"/>
      <c r="D111" s="597"/>
      <c r="E111" s="155"/>
      <c r="F111" s="616"/>
      <c r="G111" s="617"/>
      <c r="H111" s="599"/>
      <c r="I111" s="616"/>
      <c r="J111" s="599"/>
    </row>
    <row r="112" spans="1:15" ht="26.25">
      <c r="A112" s="796" t="s">
        <v>252</v>
      </c>
      <c r="B112" s="797"/>
      <c r="C112" s="798"/>
      <c r="D112" s="552" t="s">
        <v>183</v>
      </c>
      <c r="E112" s="237">
        <v>4929.74</v>
      </c>
      <c r="F112" s="707">
        <v>5004.03</v>
      </c>
      <c r="G112" s="676">
        <f t="shared" ref="G112:G123" si="19">F112-E112</f>
        <v>74.289999999999964</v>
      </c>
      <c r="H112" s="556">
        <f t="shared" ref="H112:H123" si="20">G112</f>
        <v>74.289999999999964</v>
      </c>
      <c r="I112" s="616"/>
      <c r="J112" s="708">
        <f>H112/DAY(B2)</f>
        <v>74.289999999999964</v>
      </c>
    </row>
    <row r="113" spans="1:18" ht="29.25" customHeight="1">
      <c r="A113" s="796" t="s">
        <v>253</v>
      </c>
      <c r="B113" s="797"/>
      <c r="C113" s="798"/>
      <c r="D113" s="552" t="s">
        <v>183</v>
      </c>
      <c r="E113" s="237">
        <v>10632.72</v>
      </c>
      <c r="F113" s="709">
        <v>10779.88</v>
      </c>
      <c r="G113" s="676">
        <f t="shared" si="19"/>
        <v>147.15999999999985</v>
      </c>
      <c r="H113" s="556">
        <f t="shared" si="20"/>
        <v>147.15999999999985</v>
      </c>
      <c r="I113" s="616"/>
      <c r="J113" s="708">
        <f>H113/DAY(B2)</f>
        <v>147.15999999999985</v>
      </c>
    </row>
    <row r="114" spans="1:18" ht="29.25" customHeight="1">
      <c r="A114" s="796" t="s">
        <v>254</v>
      </c>
      <c r="B114" s="797"/>
      <c r="C114" s="798"/>
      <c r="D114" s="552" t="s">
        <v>183</v>
      </c>
      <c r="E114" s="237">
        <v>14193.8</v>
      </c>
      <c r="F114" s="707">
        <v>14416.9</v>
      </c>
      <c r="G114" s="676">
        <f t="shared" si="19"/>
        <v>223.10000000000036</v>
      </c>
      <c r="H114" s="556">
        <f t="shared" si="20"/>
        <v>223.10000000000036</v>
      </c>
      <c r="I114" s="616"/>
      <c r="J114" s="708">
        <f>H114/DAY(B2)</f>
        <v>223.10000000000036</v>
      </c>
    </row>
    <row r="115" spans="1:18" ht="29.25" customHeight="1">
      <c r="A115" s="796" t="s">
        <v>255</v>
      </c>
      <c r="B115" s="797"/>
      <c r="C115" s="798"/>
      <c r="D115" s="552" t="s">
        <v>183</v>
      </c>
      <c r="E115" s="237">
        <v>8911.56</v>
      </c>
      <c r="F115" s="762">
        <v>9068.98</v>
      </c>
      <c r="G115" s="676">
        <f t="shared" si="19"/>
        <v>157.42000000000007</v>
      </c>
      <c r="H115" s="556">
        <f t="shared" si="20"/>
        <v>157.42000000000007</v>
      </c>
      <c r="I115" s="616"/>
      <c r="J115" s="708">
        <f>H115/DAY(B2)</f>
        <v>157.42000000000007</v>
      </c>
    </row>
    <row r="116" spans="1:18" ht="29.25" customHeight="1">
      <c r="A116" s="831" t="s">
        <v>96</v>
      </c>
      <c r="B116" s="832"/>
      <c r="C116" s="833"/>
      <c r="D116" s="552" t="s">
        <v>183</v>
      </c>
      <c r="E116" s="237">
        <v>58890.55</v>
      </c>
      <c r="F116" s="707">
        <v>59281.279999999999</v>
      </c>
      <c r="G116" s="676">
        <f t="shared" si="19"/>
        <v>390.72999999999593</v>
      </c>
      <c r="H116" s="556">
        <f t="shared" si="20"/>
        <v>390.72999999999593</v>
      </c>
      <c r="I116" s="616"/>
      <c r="J116" s="708">
        <f>H116/DAY(B2)</f>
        <v>390.72999999999593</v>
      </c>
      <c r="Q116" s="829"/>
      <c r="R116" s="830"/>
    </row>
    <row r="117" spans="1:18" ht="29.25" customHeight="1">
      <c r="A117" s="831" t="s">
        <v>184</v>
      </c>
      <c r="B117" s="832"/>
      <c r="C117" s="833"/>
      <c r="D117" s="552" t="s">
        <v>183</v>
      </c>
      <c r="E117" s="237">
        <v>32888.480000000003</v>
      </c>
      <c r="F117" s="707">
        <v>33116.31</v>
      </c>
      <c r="G117" s="676">
        <f t="shared" si="19"/>
        <v>227.82999999999447</v>
      </c>
      <c r="H117" s="556">
        <f t="shared" si="20"/>
        <v>227.82999999999447</v>
      </c>
      <c r="I117" s="616"/>
      <c r="J117" s="708">
        <f>H117/DAY(B2)</f>
        <v>227.82999999999447</v>
      </c>
      <c r="Q117" s="829"/>
      <c r="R117" s="830"/>
    </row>
    <row r="118" spans="1:18" ht="26.25">
      <c r="A118" s="851" t="s">
        <v>97</v>
      </c>
      <c r="B118" s="851"/>
      <c r="C118" s="851"/>
      <c r="D118" s="567" t="s">
        <v>183</v>
      </c>
      <c r="E118" s="237">
        <v>44920.31</v>
      </c>
      <c r="F118" s="707">
        <v>45567.91</v>
      </c>
      <c r="G118" s="676">
        <f t="shared" si="19"/>
        <v>647.60000000000582</v>
      </c>
      <c r="H118" s="556">
        <f t="shared" si="20"/>
        <v>647.60000000000582</v>
      </c>
      <c r="I118" s="616"/>
      <c r="J118" s="708">
        <f>H118/DAY(B2)</f>
        <v>647.60000000000582</v>
      </c>
      <c r="Q118" s="829"/>
      <c r="R118" s="830"/>
    </row>
    <row r="119" spans="1:18" ht="26.25">
      <c r="A119" s="851" t="s">
        <v>98</v>
      </c>
      <c r="B119" s="851"/>
      <c r="C119" s="851"/>
      <c r="D119" s="567" t="s">
        <v>183</v>
      </c>
      <c r="E119" s="237">
        <v>30342.6</v>
      </c>
      <c r="F119" s="707">
        <v>30570.91</v>
      </c>
      <c r="G119" s="676">
        <f t="shared" si="19"/>
        <v>228.31000000000131</v>
      </c>
      <c r="H119" s="556">
        <f t="shared" si="20"/>
        <v>228.31000000000131</v>
      </c>
      <c r="I119" s="616"/>
      <c r="J119" s="708">
        <f>H119/DAY(B2)</f>
        <v>228.31000000000131</v>
      </c>
    </row>
    <row r="120" spans="1:18" ht="26.25">
      <c r="A120" s="851" t="s">
        <v>99</v>
      </c>
      <c r="B120" s="851"/>
      <c r="C120" s="851"/>
      <c r="D120" s="567" t="s">
        <v>183</v>
      </c>
      <c r="E120" s="237">
        <v>33105.56</v>
      </c>
      <c r="F120" s="707">
        <v>33550.03</v>
      </c>
      <c r="G120" s="676">
        <f t="shared" si="19"/>
        <v>444.47000000000116</v>
      </c>
      <c r="H120" s="556">
        <f t="shared" si="20"/>
        <v>444.47000000000116</v>
      </c>
      <c r="I120" s="616"/>
      <c r="J120" s="708">
        <f>H120/DAY(B2)</f>
        <v>444.47000000000116</v>
      </c>
    </row>
    <row r="121" spans="1:18" ht="26.25">
      <c r="A121" s="851" t="s">
        <v>100</v>
      </c>
      <c r="B121" s="851"/>
      <c r="C121" s="851"/>
      <c r="D121" s="567" t="s">
        <v>183</v>
      </c>
      <c r="E121" s="237">
        <v>39587.9</v>
      </c>
      <c r="F121" s="707">
        <v>40055.040000000001</v>
      </c>
      <c r="G121" s="676">
        <f t="shared" si="19"/>
        <v>467.13999999999942</v>
      </c>
      <c r="H121" s="556">
        <f t="shared" si="20"/>
        <v>467.13999999999942</v>
      </c>
      <c r="I121" s="616"/>
      <c r="J121" s="708">
        <f>H121/DAY(B2)</f>
        <v>467.13999999999942</v>
      </c>
    </row>
    <row r="122" spans="1:18" ht="26.25">
      <c r="A122" s="851" t="s">
        <v>101</v>
      </c>
      <c r="B122" s="851"/>
      <c r="C122" s="851"/>
      <c r="D122" s="567" t="s">
        <v>183</v>
      </c>
      <c r="E122" s="237">
        <v>19965.88</v>
      </c>
      <c r="F122" s="707">
        <v>20266.27</v>
      </c>
      <c r="G122" s="676">
        <f t="shared" si="19"/>
        <v>300.38999999999942</v>
      </c>
      <c r="H122" s="556">
        <f t="shared" si="20"/>
        <v>300.38999999999942</v>
      </c>
      <c r="I122" s="616"/>
      <c r="J122" s="708">
        <f>H122/DAY(B2)</f>
        <v>300.38999999999942</v>
      </c>
    </row>
    <row r="123" spans="1:18" ht="26.25">
      <c r="A123" s="851" t="s">
        <v>102</v>
      </c>
      <c r="B123" s="851"/>
      <c r="C123" s="851"/>
      <c r="D123" s="567" t="s">
        <v>183</v>
      </c>
      <c r="E123" s="237">
        <v>20342</v>
      </c>
      <c r="F123" s="707">
        <v>20661.080000000002</v>
      </c>
      <c r="G123" s="676">
        <f t="shared" si="19"/>
        <v>319.08000000000175</v>
      </c>
      <c r="H123" s="556">
        <f t="shared" si="20"/>
        <v>319.08000000000175</v>
      </c>
      <c r="I123" s="616"/>
      <c r="J123" s="708">
        <f>H123/DAY(B2)</f>
        <v>319.08000000000175</v>
      </c>
    </row>
    <row r="124" spans="1:18" ht="29.25" customHeight="1">
      <c r="A124" s="841"/>
      <c r="B124" s="842"/>
      <c r="C124" s="843"/>
      <c r="D124" s="597"/>
      <c r="E124" s="155"/>
      <c r="F124" s="616"/>
      <c r="G124" s="617"/>
      <c r="H124" s="599"/>
      <c r="I124" s="616"/>
      <c r="J124" s="599"/>
    </row>
    <row r="125" spans="1:18" ht="26.25">
      <c r="A125" s="784" t="s">
        <v>196</v>
      </c>
      <c r="B125" s="785"/>
      <c r="C125" s="786"/>
      <c r="D125" s="567"/>
      <c r="E125" s="308"/>
      <c r="F125" s="616"/>
      <c r="G125" s="676">
        <f>SUM(G112:G124)</f>
        <v>3627.5199999999995</v>
      </c>
      <c r="H125" s="599"/>
      <c r="I125" s="599">
        <f>G125-(G39+G53)</f>
        <v>632.40000000006239</v>
      </c>
      <c r="J125" s="599"/>
    </row>
    <row r="126" spans="1:18" ht="26.25">
      <c r="A126" s="853" t="s">
        <v>317</v>
      </c>
      <c r="B126" s="853"/>
      <c r="C126" s="853"/>
      <c r="D126" s="853"/>
      <c r="E126" s="853"/>
      <c r="F126" s="853"/>
      <c r="G126" s="853"/>
      <c r="H126" s="853"/>
      <c r="I126" s="853"/>
      <c r="J126" s="853"/>
    </row>
    <row r="127" spans="1:18" ht="26.25">
      <c r="A127" s="844"/>
      <c r="B127" s="844"/>
      <c r="C127" s="597"/>
      <c r="D127" s="567"/>
      <c r="E127" s="308"/>
      <c r="F127" s="616"/>
      <c r="G127" s="676"/>
      <c r="H127" s="556">
        <f t="shared" ref="H127:H135" si="21">G127</f>
        <v>0</v>
      </c>
      <c r="I127" s="616"/>
      <c r="J127" s="708">
        <f>H127/DAY(B2)</f>
        <v>0</v>
      </c>
    </row>
    <row r="128" spans="1:18" ht="29.25" customHeight="1">
      <c r="A128" s="796" t="s">
        <v>318</v>
      </c>
      <c r="B128" s="797"/>
      <c r="C128" s="798"/>
      <c r="D128" s="567" t="s">
        <v>183</v>
      </c>
      <c r="E128" s="165">
        <v>111875.86</v>
      </c>
      <c r="F128" s="616">
        <v>112343.64</v>
      </c>
      <c r="G128" s="676">
        <f t="shared" ref="G128:G133" si="22">F128-E128</f>
        <v>467.77999999999884</v>
      </c>
      <c r="H128" s="556">
        <f t="shared" si="21"/>
        <v>467.77999999999884</v>
      </c>
      <c r="I128" s="616"/>
      <c r="J128" s="708">
        <f>H128/DAY(B2)</f>
        <v>467.77999999999884</v>
      </c>
    </row>
    <row r="129" spans="1:15" ht="26.25">
      <c r="A129" s="600" t="s">
        <v>319</v>
      </c>
      <c r="B129" s="710"/>
      <c r="C129" s="711"/>
      <c r="D129" s="567" t="s">
        <v>183</v>
      </c>
      <c r="E129" s="165">
        <v>66701.78</v>
      </c>
      <c r="F129" s="616">
        <v>66945.88</v>
      </c>
      <c r="G129" s="676">
        <f t="shared" si="22"/>
        <v>244.10000000000582</v>
      </c>
      <c r="H129" s="556">
        <f t="shared" si="21"/>
        <v>244.10000000000582</v>
      </c>
      <c r="I129" s="616"/>
      <c r="J129" s="708">
        <f>H129/DAY(B2)</f>
        <v>244.10000000000582</v>
      </c>
      <c r="N129" s="601"/>
      <c r="O129" s="594"/>
    </row>
    <row r="130" spans="1:15" ht="26.25">
      <c r="A130" s="600" t="s">
        <v>320</v>
      </c>
      <c r="B130" s="710"/>
      <c r="C130" s="711"/>
      <c r="D130" s="567" t="s">
        <v>183</v>
      </c>
      <c r="E130" s="165">
        <v>141753.65</v>
      </c>
      <c r="F130" s="616">
        <v>142567.49</v>
      </c>
      <c r="G130" s="676">
        <f t="shared" si="22"/>
        <v>813.83999999999651</v>
      </c>
      <c r="H130" s="556">
        <f t="shared" si="21"/>
        <v>813.83999999999651</v>
      </c>
      <c r="I130" s="616"/>
      <c r="J130" s="708">
        <f>H130/DAY(B2)</f>
        <v>813.83999999999651</v>
      </c>
      <c r="N130" s="601"/>
      <c r="O130" s="594"/>
    </row>
    <row r="131" spans="1:15" ht="26.25">
      <c r="A131" s="796" t="s">
        <v>321</v>
      </c>
      <c r="B131" s="797"/>
      <c r="C131" s="798"/>
      <c r="D131" s="567" t="s">
        <v>183</v>
      </c>
      <c r="E131" s="165">
        <v>42618.2</v>
      </c>
      <c r="F131" s="712">
        <v>42789.65</v>
      </c>
      <c r="G131" s="693">
        <f t="shared" si="22"/>
        <v>171.45000000000437</v>
      </c>
      <c r="H131" s="556">
        <f t="shared" si="21"/>
        <v>171.45000000000437</v>
      </c>
      <c r="I131" s="616"/>
      <c r="J131" s="708">
        <f>H131/DAY(B2)</f>
        <v>171.45000000000437</v>
      </c>
      <c r="N131" s="601"/>
      <c r="O131" s="594"/>
    </row>
    <row r="132" spans="1:15" ht="26.25">
      <c r="A132" s="796" t="s">
        <v>322</v>
      </c>
      <c r="B132" s="797"/>
      <c r="C132" s="798"/>
      <c r="D132" s="567" t="s">
        <v>183</v>
      </c>
      <c r="E132" s="465">
        <v>116291</v>
      </c>
      <c r="F132" s="712">
        <v>116718.44</v>
      </c>
      <c r="G132" s="693">
        <f t="shared" si="22"/>
        <v>427.44000000000233</v>
      </c>
      <c r="H132" s="556">
        <f t="shared" si="21"/>
        <v>427.44000000000233</v>
      </c>
      <c r="I132" s="616"/>
      <c r="J132" s="708">
        <f>H132/DAY(B2)</f>
        <v>427.44000000000233</v>
      </c>
    </row>
    <row r="133" spans="1:15" ht="26.25">
      <c r="A133" s="796" t="s">
        <v>342</v>
      </c>
      <c r="B133" s="797"/>
      <c r="C133" s="798"/>
      <c r="D133" s="567" t="s">
        <v>183</v>
      </c>
      <c r="E133" s="165">
        <v>787044</v>
      </c>
      <c r="F133" s="712">
        <v>787783</v>
      </c>
      <c r="G133" s="693">
        <f t="shared" si="22"/>
        <v>739</v>
      </c>
      <c r="H133" s="556">
        <f t="shared" si="21"/>
        <v>739</v>
      </c>
      <c r="I133" s="616"/>
      <c r="J133" s="708">
        <f>H133/DAY(B2)</f>
        <v>739</v>
      </c>
    </row>
    <row r="134" spans="1:15" ht="26.25">
      <c r="A134" s="852" t="s">
        <v>340</v>
      </c>
      <c r="B134" s="849"/>
      <c r="C134" s="850"/>
      <c r="D134" s="567" t="s">
        <v>183</v>
      </c>
      <c r="E134" s="467">
        <v>41745</v>
      </c>
      <c r="F134" s="712">
        <v>41926.730000000003</v>
      </c>
      <c r="G134" s="693">
        <f>F134-E134</f>
        <v>181.7300000000032</v>
      </c>
      <c r="H134" s="556">
        <f t="shared" ref="H134" si="23">G134</f>
        <v>181.7300000000032</v>
      </c>
      <c r="I134" s="616"/>
      <c r="J134" s="708">
        <f>H134/DAY(B2)</f>
        <v>181.7300000000032</v>
      </c>
    </row>
    <row r="135" spans="1:15" ht="26.25">
      <c r="A135" s="784" t="s">
        <v>196</v>
      </c>
      <c r="B135" s="785"/>
      <c r="C135" s="786"/>
      <c r="D135" s="567"/>
      <c r="E135" s="155"/>
      <c r="F135" s="616"/>
      <c r="G135" s="676">
        <f>SUM(G128:G134)</f>
        <v>3045.3400000000111</v>
      </c>
      <c r="H135" s="556">
        <f t="shared" si="21"/>
        <v>3045.3400000000111</v>
      </c>
      <c r="I135" s="599">
        <f>G135-(G35+G49)</f>
        <v>-451.21999999998661</v>
      </c>
      <c r="J135" s="708">
        <f>H135/DAY(B2)</f>
        <v>3045.3400000000111</v>
      </c>
    </row>
    <row r="136" spans="1:15" ht="26.25">
      <c r="A136" s="853" t="s">
        <v>325</v>
      </c>
      <c r="B136" s="853"/>
      <c r="C136" s="853"/>
      <c r="D136" s="853"/>
      <c r="E136" s="853"/>
      <c r="F136" s="853"/>
      <c r="G136" s="853"/>
      <c r="H136" s="853"/>
      <c r="I136" s="853"/>
      <c r="J136" s="853"/>
    </row>
    <row r="137" spans="1:15" ht="26.25">
      <c r="A137" s="597"/>
      <c r="B137" s="597"/>
      <c r="C137" s="597"/>
      <c r="D137" s="597"/>
      <c r="E137" s="155"/>
      <c r="F137" s="616"/>
      <c r="G137" s="617"/>
      <c r="H137" s="599"/>
      <c r="I137" s="616"/>
      <c r="J137" s="599"/>
    </row>
    <row r="138" spans="1:15" ht="26.25">
      <c r="A138" s="851" t="s">
        <v>185</v>
      </c>
      <c r="B138" s="851"/>
      <c r="C138" s="851"/>
      <c r="D138" s="567" t="s">
        <v>183</v>
      </c>
      <c r="E138" s="147">
        <v>887227</v>
      </c>
      <c r="F138" s="713">
        <v>887354</v>
      </c>
      <c r="G138" s="676">
        <f t="shared" ref="G138:G150" si="24">F138-E138</f>
        <v>127</v>
      </c>
      <c r="H138" s="556">
        <f t="shared" ref="H138:H150" si="25">G138</f>
        <v>127</v>
      </c>
      <c r="I138" s="555"/>
      <c r="J138" s="708">
        <f>H138/DAY(B2)</f>
        <v>127</v>
      </c>
    </row>
    <row r="139" spans="1:15" ht="26.25">
      <c r="A139" s="851" t="s">
        <v>186</v>
      </c>
      <c r="B139" s="851"/>
      <c r="C139" s="851"/>
      <c r="D139" s="567" t="s">
        <v>183</v>
      </c>
      <c r="E139" s="148">
        <v>904090</v>
      </c>
      <c r="F139" s="714">
        <v>904269</v>
      </c>
      <c r="G139" s="676">
        <f t="shared" si="24"/>
        <v>179</v>
      </c>
      <c r="H139" s="556">
        <f t="shared" si="25"/>
        <v>179</v>
      </c>
      <c r="I139" s="555"/>
      <c r="J139" s="708">
        <f>H139/DAY(B2)</f>
        <v>179</v>
      </c>
    </row>
    <row r="140" spans="1:15" ht="26.25">
      <c r="A140" s="851" t="s">
        <v>187</v>
      </c>
      <c r="B140" s="851"/>
      <c r="C140" s="851"/>
      <c r="D140" s="567" t="s">
        <v>183</v>
      </c>
      <c r="E140" s="149">
        <v>1055.05</v>
      </c>
      <c r="F140" s="715">
        <v>1069.26</v>
      </c>
      <c r="G140" s="676">
        <f t="shared" si="24"/>
        <v>14.210000000000036</v>
      </c>
      <c r="H140" s="556">
        <f t="shared" si="25"/>
        <v>14.210000000000036</v>
      </c>
      <c r="I140" s="555"/>
      <c r="J140" s="708">
        <f>H140/DAY(B2)</f>
        <v>14.210000000000036</v>
      </c>
    </row>
    <row r="141" spans="1:15" ht="26.25">
      <c r="A141" s="790" t="s">
        <v>188</v>
      </c>
      <c r="B141" s="790"/>
      <c r="C141" s="790"/>
      <c r="D141" s="716" t="s">
        <v>183</v>
      </c>
      <c r="E141" s="149">
        <v>84115.199999999997</v>
      </c>
      <c r="F141" s="714">
        <v>84320.77</v>
      </c>
      <c r="G141" s="693">
        <f t="shared" si="24"/>
        <v>205.57000000000698</v>
      </c>
      <c r="H141" s="717">
        <f t="shared" si="25"/>
        <v>205.57000000000698</v>
      </c>
      <c r="I141" s="718"/>
      <c r="J141" s="719">
        <f>H141/DAY(B2)</f>
        <v>205.57000000000698</v>
      </c>
    </row>
    <row r="142" spans="1:15" ht="26.25">
      <c r="A142" s="790" t="s">
        <v>189</v>
      </c>
      <c r="B142" s="790"/>
      <c r="C142" s="790"/>
      <c r="D142" s="716" t="s">
        <v>183</v>
      </c>
      <c r="E142" s="148">
        <v>34385.47</v>
      </c>
      <c r="F142" s="714">
        <v>34457.65</v>
      </c>
      <c r="G142" s="693">
        <f t="shared" si="24"/>
        <v>72.180000000000291</v>
      </c>
      <c r="H142" s="717">
        <f t="shared" si="25"/>
        <v>72.180000000000291</v>
      </c>
      <c r="I142" s="720"/>
      <c r="J142" s="719">
        <f>H142/DAY(B2)</f>
        <v>72.180000000000291</v>
      </c>
    </row>
    <row r="143" spans="1:15" ht="26.25">
      <c r="A143" s="792" t="s">
        <v>91</v>
      </c>
      <c r="B143" s="792"/>
      <c r="C143" s="792"/>
      <c r="D143" s="716" t="s">
        <v>183</v>
      </c>
      <c r="E143" s="149">
        <v>8158.32</v>
      </c>
      <c r="F143" s="714">
        <v>8184.83</v>
      </c>
      <c r="G143" s="693">
        <f t="shared" si="24"/>
        <v>26.510000000000218</v>
      </c>
      <c r="H143" s="717">
        <f t="shared" si="25"/>
        <v>26.510000000000218</v>
      </c>
      <c r="I143" s="720"/>
      <c r="J143" s="719">
        <f>H143/DAY(B2)</f>
        <v>26.510000000000218</v>
      </c>
    </row>
    <row r="144" spans="1:15" ht="26.25">
      <c r="A144" s="790" t="s">
        <v>90</v>
      </c>
      <c r="B144" s="790"/>
      <c r="C144" s="790"/>
      <c r="D144" s="716" t="s">
        <v>183</v>
      </c>
      <c r="E144" s="149">
        <v>912277</v>
      </c>
      <c r="F144" s="714">
        <v>912528</v>
      </c>
      <c r="G144" s="693">
        <f t="shared" si="24"/>
        <v>251</v>
      </c>
      <c r="H144" s="717">
        <f t="shared" si="25"/>
        <v>251</v>
      </c>
      <c r="I144" s="720"/>
      <c r="J144" s="719">
        <f>H144/DAY(B2)</f>
        <v>251</v>
      </c>
    </row>
    <row r="145" spans="1:10" ht="26.25">
      <c r="A145" s="792" t="s">
        <v>190</v>
      </c>
      <c r="B145" s="792"/>
      <c r="C145" s="792"/>
      <c r="D145" s="716" t="s">
        <v>183</v>
      </c>
      <c r="E145" s="149">
        <v>5666.56</v>
      </c>
      <c r="F145" s="714">
        <v>5666.56</v>
      </c>
      <c r="G145" s="693">
        <f t="shared" si="24"/>
        <v>0</v>
      </c>
      <c r="H145" s="717">
        <f t="shared" si="25"/>
        <v>0</v>
      </c>
      <c r="I145" s="720"/>
      <c r="J145" s="719">
        <f>H145/DAY(B2)</f>
        <v>0</v>
      </c>
    </row>
    <row r="146" spans="1:10" ht="26.25">
      <c r="A146" s="793" t="s">
        <v>191</v>
      </c>
      <c r="B146" s="794"/>
      <c r="C146" s="795"/>
      <c r="D146" s="716" t="s">
        <v>183</v>
      </c>
      <c r="E146" s="148">
        <v>779328</v>
      </c>
      <c r="F146" s="714">
        <v>779369</v>
      </c>
      <c r="G146" s="693">
        <f t="shared" si="24"/>
        <v>41</v>
      </c>
      <c r="H146" s="717">
        <f t="shared" si="25"/>
        <v>41</v>
      </c>
      <c r="I146" s="720"/>
      <c r="J146" s="719">
        <f>H146/DAY(B2)</f>
        <v>41</v>
      </c>
    </row>
    <row r="147" spans="1:10" ht="26.25">
      <c r="A147" s="790" t="s">
        <v>192</v>
      </c>
      <c r="B147" s="790"/>
      <c r="C147" s="790"/>
      <c r="D147" s="716" t="s">
        <v>183</v>
      </c>
      <c r="E147" s="148">
        <v>687526.16</v>
      </c>
      <c r="F147" s="714">
        <v>687901.52</v>
      </c>
      <c r="G147" s="693">
        <f t="shared" si="24"/>
        <v>375.35999999998603</v>
      </c>
      <c r="H147" s="717">
        <f t="shared" si="25"/>
        <v>375.35999999998603</v>
      </c>
      <c r="I147" s="720"/>
      <c r="J147" s="719">
        <f>H147/DAY(B2)</f>
        <v>375.35999999998603</v>
      </c>
    </row>
    <row r="148" spans="1:10" ht="26.25">
      <c r="A148" s="787" t="s">
        <v>193</v>
      </c>
      <c r="B148" s="788"/>
      <c r="C148" s="789"/>
      <c r="D148" s="721" t="s">
        <v>130</v>
      </c>
      <c r="E148" s="150">
        <v>738947.28</v>
      </c>
      <c r="F148" s="692">
        <v>739255.04</v>
      </c>
      <c r="G148" s="693">
        <f t="shared" si="24"/>
        <v>307.76000000000931</v>
      </c>
      <c r="H148" s="717">
        <f t="shared" si="25"/>
        <v>307.76000000000931</v>
      </c>
      <c r="I148" s="717"/>
      <c r="J148" s="719">
        <f>H148/DAY(B2)</f>
        <v>307.76000000000931</v>
      </c>
    </row>
    <row r="149" spans="1:10" ht="26.25">
      <c r="A149" s="787" t="s">
        <v>336</v>
      </c>
      <c r="B149" s="788"/>
      <c r="C149" s="789"/>
      <c r="D149" s="722" t="s">
        <v>130</v>
      </c>
      <c r="E149" s="146">
        <v>116532.8</v>
      </c>
      <c r="F149" s="716">
        <v>116988.26</v>
      </c>
      <c r="G149" s="693">
        <f t="shared" si="24"/>
        <v>455.45999999999185</v>
      </c>
      <c r="H149" s="717">
        <f t="shared" si="25"/>
        <v>455.45999999999185</v>
      </c>
      <c r="I149" s="619"/>
      <c r="J149" s="719">
        <f>H149/DAY(B2)</f>
        <v>455.45999999999185</v>
      </c>
    </row>
    <row r="150" spans="1:10" ht="26.25">
      <c r="A150" s="787" t="s">
        <v>337</v>
      </c>
      <c r="B150" s="788"/>
      <c r="C150" s="789"/>
      <c r="D150" s="721" t="s">
        <v>130</v>
      </c>
      <c r="E150" s="233">
        <v>43725.16</v>
      </c>
      <c r="F150" s="716">
        <v>43930.82</v>
      </c>
      <c r="G150" s="693">
        <f t="shared" si="24"/>
        <v>205.65999999999622</v>
      </c>
      <c r="H150" s="717">
        <f t="shared" si="25"/>
        <v>205.65999999999622</v>
      </c>
      <c r="I150" s="619"/>
      <c r="J150" s="719">
        <f>H150/DAY(B2)</f>
        <v>205.65999999999622</v>
      </c>
    </row>
    <row r="151" spans="1:10" ht="26.25">
      <c r="A151" s="787" t="s">
        <v>338</v>
      </c>
      <c r="B151" s="788"/>
      <c r="C151" s="789"/>
      <c r="D151" s="723" t="s">
        <v>130</v>
      </c>
      <c r="E151" s="233">
        <v>126603</v>
      </c>
      <c r="F151" s="716">
        <v>126858</v>
      </c>
      <c r="G151" s="693">
        <f t="shared" ref="G151:G152" si="26">F151-E151</f>
        <v>255</v>
      </c>
      <c r="H151" s="717">
        <f t="shared" ref="H151:H158" si="27">G151</f>
        <v>255</v>
      </c>
      <c r="I151" s="619"/>
      <c r="J151" s="719">
        <f>H151/DAY(B2)</f>
        <v>255</v>
      </c>
    </row>
    <row r="152" spans="1:10" ht="26.25">
      <c r="A152" s="787" t="s">
        <v>339</v>
      </c>
      <c r="B152" s="788"/>
      <c r="C152" s="789"/>
      <c r="D152" s="723" t="s">
        <v>130</v>
      </c>
      <c r="E152" s="233">
        <v>19288.080000000002</v>
      </c>
      <c r="F152" s="716">
        <v>19417.55</v>
      </c>
      <c r="G152" s="693">
        <f t="shared" si="26"/>
        <v>129.46999999999753</v>
      </c>
      <c r="H152" s="717">
        <f t="shared" si="27"/>
        <v>129.46999999999753</v>
      </c>
      <c r="I152" s="619"/>
      <c r="J152" s="719">
        <f>H152/DAY(B2)</f>
        <v>129.46999999999753</v>
      </c>
    </row>
    <row r="153" spans="1:10" ht="26.25">
      <c r="A153" s="784" t="s">
        <v>196</v>
      </c>
      <c r="B153" s="785"/>
      <c r="C153" s="786"/>
      <c r="D153" s="723"/>
      <c r="E153" s="361"/>
      <c r="F153" s="724"/>
      <c r="G153" s="725">
        <f>SUM(G138:G152)</f>
        <v>2645.1799999999885</v>
      </c>
      <c r="H153" s="726">
        <f t="shared" si="27"/>
        <v>2645.1799999999885</v>
      </c>
      <c r="I153" s="602">
        <f>G153-(G38+G52)</f>
        <v>448.65999999997894</v>
      </c>
      <c r="J153" s="727"/>
    </row>
    <row r="154" spans="1:10" ht="26.25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27.75" customHeight="1">
      <c r="A155" s="790" t="s">
        <v>345</v>
      </c>
      <c r="B155" s="790"/>
      <c r="C155" s="790"/>
      <c r="D155" s="688" t="s">
        <v>130</v>
      </c>
      <c r="E155" s="374">
        <v>130241.38</v>
      </c>
      <c r="F155" s="712">
        <v>130826.2</v>
      </c>
      <c r="G155" s="693">
        <f t="shared" ref="G155:G158" si="28">F155-E155</f>
        <v>584.81999999999243</v>
      </c>
      <c r="H155" s="717">
        <f t="shared" si="27"/>
        <v>584.81999999999243</v>
      </c>
      <c r="I155" s="712"/>
      <c r="J155" s="719">
        <f>H155/DAY(B2)</f>
        <v>584.81999999999243</v>
      </c>
    </row>
    <row r="156" spans="1:10" ht="25.5" customHeight="1">
      <c r="A156" s="790" t="s">
        <v>368</v>
      </c>
      <c r="B156" s="790"/>
      <c r="C156" s="790"/>
      <c r="D156" s="688" t="s">
        <v>130</v>
      </c>
      <c r="E156" s="155">
        <v>12093.36</v>
      </c>
      <c r="F156" s="712">
        <v>12174.16</v>
      </c>
      <c r="G156" s="693">
        <f t="shared" si="28"/>
        <v>80.799999999999272</v>
      </c>
      <c r="H156" s="717">
        <f t="shared" si="27"/>
        <v>80.799999999999272</v>
      </c>
      <c r="I156" s="712"/>
      <c r="J156" s="719">
        <f>H156/DAY(B2)</f>
        <v>80.799999999999272</v>
      </c>
    </row>
    <row r="157" spans="1:10" ht="25.5" customHeight="1">
      <c r="A157" s="854" t="s">
        <v>360</v>
      </c>
      <c r="B157" s="855"/>
      <c r="C157" s="856"/>
      <c r="D157" s="688" t="s">
        <v>130</v>
      </c>
      <c r="E157" s="155">
        <v>23196.7</v>
      </c>
      <c r="F157" s="712">
        <v>23381.1</v>
      </c>
      <c r="G157" s="693">
        <f t="shared" si="28"/>
        <v>184.39999999999782</v>
      </c>
      <c r="H157" s="717">
        <f t="shared" si="27"/>
        <v>184.39999999999782</v>
      </c>
      <c r="I157" s="712"/>
      <c r="J157" s="719"/>
    </row>
    <row r="158" spans="1:10" ht="25.5" customHeight="1">
      <c r="A158" s="854" t="s">
        <v>361</v>
      </c>
      <c r="B158" s="855"/>
      <c r="C158" s="856"/>
      <c r="D158" s="688" t="s">
        <v>130</v>
      </c>
      <c r="E158" s="155">
        <v>218.9</v>
      </c>
      <c r="F158" s="712">
        <v>221.63</v>
      </c>
      <c r="G158" s="693">
        <f t="shared" si="28"/>
        <v>2.7299999999999898</v>
      </c>
      <c r="H158" s="717">
        <f t="shared" si="27"/>
        <v>2.7299999999999898</v>
      </c>
      <c r="I158" s="712"/>
      <c r="J158" s="719"/>
    </row>
    <row r="159" spans="1:10" ht="25.5" customHeight="1">
      <c r="A159" s="857"/>
      <c r="B159" s="858"/>
      <c r="C159" s="859"/>
      <c r="D159" s="728"/>
      <c r="E159" s="155"/>
      <c r="F159" s="712"/>
      <c r="G159" s="693"/>
      <c r="H159" s="729"/>
      <c r="I159" s="712"/>
      <c r="J159" s="719"/>
    </row>
    <row r="160" spans="1:10" ht="26.25">
      <c r="A160" s="853" t="s">
        <v>326</v>
      </c>
      <c r="B160" s="853"/>
      <c r="C160" s="853"/>
      <c r="D160" s="853"/>
      <c r="E160" s="853"/>
      <c r="F160" s="853"/>
      <c r="G160" s="853"/>
      <c r="H160" s="853"/>
      <c r="I160" s="853"/>
      <c r="J160" s="853"/>
    </row>
    <row r="161" spans="1:10" ht="26.25">
      <c r="A161" s="603" t="s">
        <v>92</v>
      </c>
      <c r="B161" s="730"/>
      <c r="C161" s="730"/>
      <c r="D161" s="731" t="s">
        <v>180</v>
      </c>
      <c r="E161" s="235">
        <v>477663</v>
      </c>
      <c r="F161" s="732">
        <v>477702.2</v>
      </c>
      <c r="G161" s="733">
        <f t="shared" ref="G161:G168" si="29">F161-E161</f>
        <v>39.200000000011642</v>
      </c>
      <c r="H161" s="556">
        <f t="shared" ref="H161:H168" si="30">G161</f>
        <v>39.200000000011642</v>
      </c>
      <c r="I161" s="619"/>
      <c r="J161" s="734">
        <f>H161/DAY(B2)</f>
        <v>39.200000000011642</v>
      </c>
    </row>
    <row r="162" spans="1:10" ht="26.25">
      <c r="A162" s="603" t="s">
        <v>93</v>
      </c>
      <c r="B162" s="730"/>
      <c r="C162" s="730"/>
      <c r="D162" s="731" t="s">
        <v>180</v>
      </c>
      <c r="E162" s="235">
        <v>93805.3</v>
      </c>
      <c r="F162" s="732">
        <v>93848.4</v>
      </c>
      <c r="G162" s="733">
        <f t="shared" si="29"/>
        <v>43.099999999991269</v>
      </c>
      <c r="H162" s="556">
        <f t="shared" si="30"/>
        <v>43.099999999991269</v>
      </c>
      <c r="I162" s="619"/>
      <c r="J162" s="734">
        <f>H162/DAY(B2)</f>
        <v>43.099999999991269</v>
      </c>
    </row>
    <row r="163" spans="1:10" ht="26.25">
      <c r="A163" s="603" t="s">
        <v>367</v>
      </c>
      <c r="B163" s="730"/>
      <c r="C163" s="730"/>
      <c r="D163" s="731" t="s">
        <v>180</v>
      </c>
      <c r="E163" s="235">
        <v>2026.1</v>
      </c>
      <c r="F163" s="732">
        <v>2174.3000000000002</v>
      </c>
      <c r="G163" s="733">
        <f t="shared" si="29"/>
        <v>148.20000000000027</v>
      </c>
      <c r="H163" s="556">
        <f t="shared" si="30"/>
        <v>148.20000000000027</v>
      </c>
      <c r="I163" s="619"/>
      <c r="J163" s="734">
        <f>H163/DAY(B2)</f>
        <v>148.20000000000027</v>
      </c>
    </row>
    <row r="164" spans="1:10" ht="26.25">
      <c r="A164" s="603" t="s">
        <v>367</v>
      </c>
      <c r="B164" s="730"/>
      <c r="C164" s="730"/>
      <c r="D164" s="731" t="s">
        <v>180</v>
      </c>
      <c r="E164" s="235">
        <v>5898.4</v>
      </c>
      <c r="F164" s="732">
        <v>5910.4</v>
      </c>
      <c r="G164" s="733">
        <f>F164-E164</f>
        <v>12</v>
      </c>
      <c r="H164" s="556">
        <f t="shared" si="30"/>
        <v>12</v>
      </c>
      <c r="I164" s="619"/>
      <c r="J164" s="734">
        <f>H164/DAY(B2)</f>
        <v>12</v>
      </c>
    </row>
    <row r="165" spans="1:10" ht="26.25">
      <c r="A165" s="603" t="s">
        <v>309</v>
      </c>
      <c r="B165" s="730"/>
      <c r="C165" s="730"/>
      <c r="D165" s="731" t="s">
        <v>180</v>
      </c>
      <c r="E165" s="235">
        <v>31346.65</v>
      </c>
      <c r="F165" s="732">
        <v>31358.080000000002</v>
      </c>
      <c r="G165" s="733">
        <f t="shared" si="29"/>
        <v>11.430000000000291</v>
      </c>
      <c r="H165" s="556">
        <f t="shared" si="30"/>
        <v>11.430000000000291</v>
      </c>
      <c r="I165" s="619"/>
      <c r="J165" s="734">
        <f>H165/DAY(B2)</f>
        <v>11.430000000000291</v>
      </c>
    </row>
    <row r="166" spans="1:10" ht="26.25">
      <c r="A166" s="844"/>
      <c r="B166" s="844"/>
      <c r="C166" s="597"/>
      <c r="D166" s="731" t="s">
        <v>180</v>
      </c>
      <c r="E166" s="155"/>
      <c r="F166" s="616"/>
      <c r="G166" s="733">
        <f t="shared" si="29"/>
        <v>0</v>
      </c>
      <c r="H166" s="556">
        <f t="shared" si="30"/>
        <v>0</v>
      </c>
      <c r="I166" s="616"/>
      <c r="J166" s="599"/>
    </row>
    <row r="167" spans="1:10" ht="26.25">
      <c r="A167" s="844"/>
      <c r="B167" s="844"/>
      <c r="C167" s="597"/>
      <c r="D167" s="731" t="s">
        <v>180</v>
      </c>
      <c r="E167" s="155"/>
      <c r="F167" s="616"/>
      <c r="G167" s="733">
        <f t="shared" si="29"/>
        <v>0</v>
      </c>
      <c r="H167" s="556">
        <f t="shared" si="30"/>
        <v>0</v>
      </c>
      <c r="I167" s="616"/>
      <c r="J167" s="599"/>
    </row>
    <row r="168" spans="1:10" ht="26.25">
      <c r="A168" s="844"/>
      <c r="B168" s="844"/>
      <c r="C168" s="597"/>
      <c r="D168" s="731" t="s">
        <v>180</v>
      </c>
      <c r="E168" s="155"/>
      <c r="F168" s="616"/>
      <c r="G168" s="733">
        <f t="shared" si="29"/>
        <v>0</v>
      </c>
      <c r="H168" s="556">
        <f t="shared" si="30"/>
        <v>0</v>
      </c>
      <c r="I168" s="616"/>
      <c r="J168" s="599"/>
    </row>
    <row r="169" spans="1:10" ht="26.25">
      <c r="B169" s="560"/>
      <c r="C169" s="560"/>
      <c r="D169" s="560"/>
      <c r="F169" s="704"/>
      <c r="G169" s="705"/>
      <c r="H169" s="706"/>
      <c r="I169" s="704"/>
      <c r="J169" s="706"/>
    </row>
    <row r="170" spans="1:10" ht="26.25">
      <c r="B170" s="560"/>
      <c r="C170" s="560"/>
      <c r="D170" s="560"/>
      <c r="F170" s="704"/>
      <c r="G170" s="705"/>
      <c r="H170" s="706"/>
      <c r="I170" s="704"/>
      <c r="J170" s="706"/>
    </row>
    <row r="171" spans="1:10" ht="26.25">
      <c r="A171" s="845" t="s">
        <v>330</v>
      </c>
      <c r="B171" s="846"/>
      <c r="C171" s="846"/>
      <c r="D171" s="846"/>
      <c r="E171" s="846"/>
      <c r="F171" s="846"/>
      <c r="G171" s="846"/>
      <c r="H171" s="846"/>
      <c r="I171" s="846"/>
      <c r="J171" s="847"/>
    </row>
    <row r="172" spans="1:10" ht="26.25">
      <c r="A172" s="866"/>
      <c r="B172" s="867"/>
      <c r="C172" s="735"/>
      <c r="D172" s="736"/>
      <c r="E172" s="155"/>
      <c r="F172" s="616"/>
      <c r="G172" s="617"/>
      <c r="H172" s="599"/>
      <c r="I172" s="616"/>
      <c r="J172" s="737">
        <f>H172/DAY(B2)</f>
        <v>0</v>
      </c>
    </row>
    <row r="173" spans="1:10" ht="26.25">
      <c r="A173" s="848" t="s">
        <v>209</v>
      </c>
      <c r="B173" s="850"/>
      <c r="C173" s="738"/>
      <c r="D173" s="736" t="s">
        <v>142</v>
      </c>
      <c r="E173" s="155">
        <v>8229</v>
      </c>
      <c r="F173" s="616">
        <v>8229</v>
      </c>
      <c r="G173" s="617">
        <f>F173-E173</f>
        <v>0</v>
      </c>
      <c r="H173" s="556">
        <f t="shared" ref="H173:H189" si="31">G173</f>
        <v>0</v>
      </c>
      <c r="I173" s="616"/>
      <c r="J173" s="737">
        <f>H173/DAY(B2)</f>
        <v>0</v>
      </c>
    </row>
    <row r="174" spans="1:10" ht="26.25">
      <c r="A174" s="848" t="s">
        <v>75</v>
      </c>
      <c r="B174" s="850"/>
      <c r="C174" s="738"/>
      <c r="D174" s="736" t="s">
        <v>142</v>
      </c>
      <c r="E174" s="157">
        <v>40779</v>
      </c>
      <c r="F174" s="712">
        <v>40790</v>
      </c>
      <c r="G174" s="617">
        <f t="shared" ref="G174:G175" si="32">F174-E174</f>
        <v>11</v>
      </c>
      <c r="H174" s="556">
        <f t="shared" si="31"/>
        <v>11</v>
      </c>
      <c r="I174" s="616"/>
      <c r="J174" s="737">
        <f>H174/DAY(B2)</f>
        <v>11</v>
      </c>
    </row>
    <row r="175" spans="1:10" ht="26.25">
      <c r="A175" s="848" t="s">
        <v>76</v>
      </c>
      <c r="B175" s="849"/>
      <c r="C175" s="850"/>
      <c r="D175" s="736" t="s">
        <v>142</v>
      </c>
      <c r="E175" s="155">
        <v>23656</v>
      </c>
      <c r="F175" s="616">
        <v>23666</v>
      </c>
      <c r="G175" s="617">
        <f t="shared" si="32"/>
        <v>10</v>
      </c>
      <c r="H175" s="556">
        <f t="shared" si="31"/>
        <v>10</v>
      </c>
      <c r="I175" s="616"/>
      <c r="J175" s="737"/>
    </row>
    <row r="176" spans="1:10" ht="26.25">
      <c r="A176" s="860" t="s">
        <v>196</v>
      </c>
      <c r="B176" s="861"/>
      <c r="C176" s="738"/>
      <c r="D176" s="736"/>
      <c r="E176" s="155"/>
      <c r="F176" s="616"/>
      <c r="G176" s="617">
        <f>SUM(G173:G175)</f>
        <v>21</v>
      </c>
      <c r="H176" s="556">
        <f t="shared" si="31"/>
        <v>21</v>
      </c>
      <c r="I176" s="616"/>
      <c r="J176" s="737">
        <f>H176/DAY(B2)</f>
        <v>21</v>
      </c>
    </row>
    <row r="177" spans="1:10" ht="26.25">
      <c r="A177" s="848" t="s">
        <v>77</v>
      </c>
      <c r="B177" s="850"/>
      <c r="C177" s="738"/>
      <c r="D177" s="736" t="s">
        <v>142</v>
      </c>
      <c r="E177" s="155"/>
      <c r="F177" s="616"/>
      <c r="G177" s="617"/>
      <c r="H177" s="556">
        <f t="shared" si="31"/>
        <v>0</v>
      </c>
      <c r="I177" s="616"/>
      <c r="J177" s="737">
        <f>H177/DAY(B2)</f>
        <v>0</v>
      </c>
    </row>
    <row r="178" spans="1:10" ht="26.25">
      <c r="A178" s="848" t="s">
        <v>210</v>
      </c>
      <c r="B178" s="850"/>
      <c r="C178" s="738"/>
      <c r="D178" s="736" t="s">
        <v>142</v>
      </c>
      <c r="E178" s="155">
        <v>94851</v>
      </c>
      <c r="F178" s="616">
        <v>94865</v>
      </c>
      <c r="G178" s="617">
        <f>F178-E178</f>
        <v>14</v>
      </c>
      <c r="H178" s="556">
        <f t="shared" si="31"/>
        <v>14</v>
      </c>
      <c r="I178" s="616"/>
      <c r="J178" s="737">
        <f>H178/DAY(B2)</f>
        <v>14</v>
      </c>
    </row>
    <row r="179" spans="1:10" ht="26.25">
      <c r="A179" s="848" t="s">
        <v>211</v>
      </c>
      <c r="B179" s="850"/>
      <c r="C179" s="738"/>
      <c r="D179" s="736" t="s">
        <v>142</v>
      </c>
      <c r="E179" s="155">
        <v>36002</v>
      </c>
      <c r="F179" s="616">
        <v>36002</v>
      </c>
      <c r="G179" s="617">
        <f t="shared" ref="G179:G180" si="33">F179-E179</f>
        <v>0</v>
      </c>
      <c r="H179" s="556">
        <f t="shared" si="31"/>
        <v>0</v>
      </c>
      <c r="I179" s="616"/>
      <c r="J179" s="737">
        <f>H179/DAY(B2)</f>
        <v>0</v>
      </c>
    </row>
    <row r="180" spans="1:10" ht="26.25">
      <c r="A180" s="848" t="s">
        <v>212</v>
      </c>
      <c r="B180" s="850"/>
      <c r="C180" s="738"/>
      <c r="D180" s="736" t="s">
        <v>142</v>
      </c>
      <c r="E180" s="155">
        <v>6882</v>
      </c>
      <c r="F180" s="616">
        <v>6891</v>
      </c>
      <c r="G180" s="617">
        <f t="shared" si="33"/>
        <v>9</v>
      </c>
      <c r="H180" s="556">
        <f t="shared" si="31"/>
        <v>9</v>
      </c>
      <c r="I180" s="616"/>
      <c r="J180" s="737">
        <f>H180/DAY(B2)</f>
        <v>9</v>
      </c>
    </row>
    <row r="181" spans="1:10" ht="26.25">
      <c r="A181" s="860" t="s">
        <v>108</v>
      </c>
      <c r="B181" s="861"/>
      <c r="C181" s="738"/>
      <c r="D181" s="736"/>
      <c r="E181" s="157"/>
      <c r="F181" s="616"/>
      <c r="G181" s="617">
        <f>SUM(G178:G180)</f>
        <v>23</v>
      </c>
      <c r="H181" s="556">
        <f t="shared" si="31"/>
        <v>23</v>
      </c>
      <c r="I181" s="616"/>
      <c r="J181" s="737">
        <f>H181/DAY(B2)</f>
        <v>23</v>
      </c>
    </row>
    <row r="182" spans="1:10" ht="21.95" customHeight="1">
      <c r="A182" s="848" t="s">
        <v>213</v>
      </c>
      <c r="B182" s="850"/>
      <c r="C182" s="738"/>
      <c r="D182" s="736"/>
      <c r="E182" s="155"/>
      <c r="F182" s="616"/>
      <c r="G182" s="617"/>
      <c r="H182" s="556">
        <f t="shared" si="31"/>
        <v>0</v>
      </c>
      <c r="I182" s="616"/>
      <c r="J182" s="737">
        <f>H182/DAY(B2)</f>
        <v>0</v>
      </c>
    </row>
    <row r="183" spans="1:10" ht="21.95" customHeight="1">
      <c r="A183" s="848" t="s">
        <v>214</v>
      </c>
      <c r="B183" s="850"/>
      <c r="C183" s="738"/>
      <c r="D183" s="736" t="s">
        <v>142</v>
      </c>
      <c r="E183" s="157">
        <v>17275</v>
      </c>
      <c r="F183" s="712">
        <v>17280</v>
      </c>
      <c r="G183" s="739">
        <f>F183-E183</f>
        <v>5</v>
      </c>
      <c r="H183" s="556">
        <f t="shared" si="31"/>
        <v>5</v>
      </c>
      <c r="I183" s="616"/>
      <c r="J183" s="737">
        <f>H183/DAY(B2)</f>
        <v>5</v>
      </c>
    </row>
    <row r="184" spans="1:10" ht="21.95" customHeight="1">
      <c r="A184" s="848" t="s">
        <v>215</v>
      </c>
      <c r="B184" s="850"/>
      <c r="C184" s="738"/>
      <c r="D184" s="736" t="s">
        <v>142</v>
      </c>
      <c r="E184" s="157">
        <v>11689</v>
      </c>
      <c r="F184" s="712">
        <v>11694</v>
      </c>
      <c r="G184" s="739">
        <f t="shared" ref="G184:G185" si="34">F184-E184</f>
        <v>5</v>
      </c>
      <c r="H184" s="556">
        <f t="shared" si="31"/>
        <v>5</v>
      </c>
      <c r="I184" s="616"/>
      <c r="J184" s="737">
        <f>H184/DAY(B2)</f>
        <v>5</v>
      </c>
    </row>
    <row r="185" spans="1:10" ht="26.25">
      <c r="A185" s="848" t="s">
        <v>216</v>
      </c>
      <c r="B185" s="850"/>
      <c r="C185" s="738"/>
      <c r="D185" s="736" t="s">
        <v>142</v>
      </c>
      <c r="E185" s="157"/>
      <c r="F185" s="712"/>
      <c r="G185" s="739">
        <f t="shared" si="34"/>
        <v>0</v>
      </c>
      <c r="H185" s="556">
        <f t="shared" si="31"/>
        <v>0</v>
      </c>
      <c r="I185" s="616"/>
      <c r="J185" s="740">
        <f>H185/DAY(B2)</f>
        <v>0</v>
      </c>
    </row>
    <row r="186" spans="1:10" ht="26.25">
      <c r="A186" s="860" t="s">
        <v>196</v>
      </c>
      <c r="B186" s="861"/>
      <c r="C186" s="738"/>
      <c r="D186" s="741"/>
      <c r="E186" s="157"/>
      <c r="F186" s="712"/>
      <c r="G186" s="739">
        <f>SUM(G183:G185)</f>
        <v>10</v>
      </c>
      <c r="H186" s="556">
        <f t="shared" si="31"/>
        <v>10</v>
      </c>
      <c r="I186" s="712"/>
      <c r="J186" s="740">
        <f>H186/DAY(B2)</f>
        <v>10</v>
      </c>
    </row>
    <row r="187" spans="1:10" ht="26.25">
      <c r="A187" s="848" t="s">
        <v>217</v>
      </c>
      <c r="B187" s="850"/>
      <c r="C187" s="738"/>
      <c r="D187" s="742" t="s">
        <v>142</v>
      </c>
      <c r="E187" s="159"/>
      <c r="F187" s="729"/>
      <c r="G187" s="739">
        <f>G62+G19</f>
        <v>115</v>
      </c>
      <c r="H187" s="556">
        <f t="shared" si="31"/>
        <v>115</v>
      </c>
      <c r="I187" s="712"/>
      <c r="J187" s="740">
        <f>H187/DAY(B2)</f>
        <v>115</v>
      </c>
    </row>
    <row r="188" spans="1:10" ht="26.25">
      <c r="A188" s="848" t="s">
        <v>218</v>
      </c>
      <c r="B188" s="850"/>
      <c r="C188" s="738"/>
      <c r="D188" s="742" t="s">
        <v>142</v>
      </c>
      <c r="E188" s="159"/>
      <c r="F188" s="729"/>
      <c r="G188" s="739">
        <f>G65+G66+G67+G69+G70</f>
        <v>101</v>
      </c>
      <c r="H188" s="556">
        <f t="shared" si="31"/>
        <v>101</v>
      </c>
      <c r="I188" s="712"/>
      <c r="J188" s="683"/>
    </row>
    <row r="189" spans="1:10" ht="26.25">
      <c r="A189" s="848" t="s">
        <v>219</v>
      </c>
      <c r="B189" s="850"/>
      <c r="C189" s="738"/>
      <c r="D189" s="742" t="s">
        <v>142</v>
      </c>
      <c r="E189" s="157"/>
      <c r="F189" s="712"/>
      <c r="G189" s="739">
        <f>G181</f>
        <v>23</v>
      </c>
      <c r="H189" s="556">
        <f t="shared" si="31"/>
        <v>23</v>
      </c>
      <c r="I189" s="712"/>
      <c r="J189" s="734">
        <f>H189/DAY(B2)</f>
        <v>23</v>
      </c>
    </row>
    <row r="190" spans="1:10" ht="26.25">
      <c r="A190" s="864" t="s">
        <v>358</v>
      </c>
      <c r="B190" s="865"/>
      <c r="C190" s="604"/>
      <c r="D190" s="605"/>
      <c r="E190" s="415">
        <v>53763</v>
      </c>
      <c r="F190" s="606">
        <v>53763</v>
      </c>
      <c r="G190" s="743">
        <f>F190-E190</f>
        <v>0</v>
      </c>
      <c r="H190" s="607"/>
      <c r="I190" s="606"/>
      <c r="J190" s="607"/>
    </row>
    <row r="191" spans="1:10" ht="26.25">
      <c r="A191" s="862"/>
      <c r="B191" s="863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58" zoomScale="55" zoomScaleSheetLayoutView="55" workbookViewId="0">
      <selection activeCell="F115" sqref="F115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354</v>
      </c>
      <c r="B2" s="262">
        <v>44744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547988.67000000004</v>
      </c>
      <c r="F7" s="95">
        <v>575061.82999999996</v>
      </c>
      <c r="G7" s="112">
        <f>F7-E7</f>
        <v>27073.159999999916</v>
      </c>
      <c r="H7" s="99">
        <f>G7+'1'!H7</f>
        <v>52097.329999999958</v>
      </c>
      <c r="I7" s="113">
        <f>'[1]1'!I7</f>
        <v>12000</v>
      </c>
      <c r="J7" s="175">
        <f>H7/DAY(B2)</f>
        <v>26048.664999999979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687170.79</v>
      </c>
      <c r="F8" s="114">
        <v>714690.07</v>
      </c>
      <c r="G8" s="115">
        <f>F8-E8</f>
        <v>27519.279999999912</v>
      </c>
      <c r="H8" s="99">
        <f>G8+'1'!H8</f>
        <v>52901.069999999949</v>
      </c>
      <c r="I8" s="116">
        <v>12000</v>
      </c>
      <c r="J8" s="175">
        <f>H8/DAY(B2)</f>
        <v>26450.534999999974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2927627.3</v>
      </c>
      <c r="F9" s="353">
        <v>2940742.7</v>
      </c>
      <c r="G9" s="112">
        <f t="shared" ref="G9:G11" si="0">F9-E9</f>
        <v>13115.400000000373</v>
      </c>
      <c r="H9" s="99">
        <f>G9+'1'!H9</f>
        <v>23093.600000000093</v>
      </c>
      <c r="I9" s="124">
        <f>I8-J8</f>
        <v>-14450.534999999974</v>
      </c>
      <c r="J9" s="175">
        <f>H9/DAY(B2)</f>
        <v>11546.800000000047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1250088.5</v>
      </c>
      <c r="F10" s="117">
        <v>1263360.5</v>
      </c>
      <c r="G10" s="112">
        <f t="shared" si="0"/>
        <v>13272</v>
      </c>
      <c r="H10" s="99">
        <f>G10+'1'!H10</f>
        <v>27673.870000000112</v>
      </c>
      <c r="I10" s="118"/>
      <c r="J10" s="175">
        <f>H10/DAY(B2)</f>
        <v>13836.935000000056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26387.400000000373</v>
      </c>
      <c r="H13" s="99">
        <f>G13+'1'!H13</f>
        <v>52496.400000000373</v>
      </c>
      <c r="I13" s="120">
        <f>G7-G13</f>
        <v>685.75999999954365</v>
      </c>
      <c r="J13" s="175">
        <f>H13/DAY(B2)</f>
        <v>26248.200000000186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2069041</v>
      </c>
      <c r="F15" s="352">
        <v>2070030.69</v>
      </c>
      <c r="G15" s="356">
        <f>(F15-E15)</f>
        <v>989.68999999994412</v>
      </c>
      <c r="H15" s="99">
        <f>G15+'1'!H15</f>
        <v>1952.2800000000279</v>
      </c>
      <c r="I15" s="113">
        <v>800</v>
      </c>
      <c r="J15" s="175">
        <f>H15/DAY(B2)</f>
        <v>976.14000000001397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-176.14000000001397</v>
      </c>
      <c r="J16" s="176"/>
      <c r="K16" s="79"/>
      <c r="L16" s="66"/>
      <c r="N16" s="87"/>
      <c r="O16" s="71"/>
      <c r="P16" s="71"/>
    </row>
    <row r="17" spans="1:16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71" t="s">
        <v>141</v>
      </c>
      <c r="B18" s="872"/>
      <c r="C18" s="873"/>
      <c r="D18" s="151" t="s">
        <v>142</v>
      </c>
      <c r="E18" s="95">
        <f>'1'!F18</f>
        <v>14</v>
      </c>
      <c r="F18" s="117">
        <v>12</v>
      </c>
      <c r="G18" s="119">
        <f>F18*10</f>
        <v>120</v>
      </c>
      <c r="H18" s="99">
        <f>G18+'1'!H18</f>
        <v>260</v>
      </c>
      <c r="I18" s="113">
        <f>'[1]1'!I18</f>
        <v>65</v>
      </c>
      <c r="J18" s="175">
        <f>H18/DAY(B2)</f>
        <v>130</v>
      </c>
      <c r="K18" s="79"/>
      <c r="L18" s="66"/>
      <c r="N18" s="87"/>
      <c r="O18" s="71"/>
    </row>
    <row r="19" spans="1:16" ht="25.5">
      <c r="A19" s="871" t="s">
        <v>69</v>
      </c>
      <c r="B19" s="872"/>
      <c r="C19" s="873"/>
      <c r="D19" s="151" t="s">
        <v>142</v>
      </c>
      <c r="E19" s="95">
        <f>'1'!F19</f>
        <v>160887</v>
      </c>
      <c r="F19" s="353">
        <v>160934</v>
      </c>
      <c r="G19" s="112">
        <f>F19-E19</f>
        <v>47</v>
      </c>
      <c r="H19" s="99">
        <f>G19+'1'!H19</f>
        <v>105</v>
      </c>
      <c r="I19" s="354"/>
      <c r="J19" s="175">
        <f>H19/DAY(B2)</f>
        <v>52.5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167</v>
      </c>
      <c r="H20" s="99">
        <f>G20+'1'!H20</f>
        <v>365</v>
      </c>
      <c r="I20" s="336">
        <f>I18-J20</f>
        <v>-117.5</v>
      </c>
      <c r="J20" s="175">
        <f>H20/DAY(B2)</f>
        <v>182.5</v>
      </c>
      <c r="K20" s="79"/>
      <c r="L20" s="66"/>
      <c r="N20" s="87"/>
      <c r="O20" s="71"/>
    </row>
    <row r="21" spans="1:16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27519.279999999912</v>
      </c>
      <c r="F27" s="136">
        <v>9</v>
      </c>
      <c r="G27" s="137">
        <f>E27*F27</f>
        <v>247673.5199999992</v>
      </c>
      <c r="H27" s="99">
        <f>G27+'1'!H27</f>
        <v>476109.62999999954</v>
      </c>
      <c r="I27" s="138"/>
      <c r="J27" s="175">
        <f>H27/DAY(B2)</f>
        <v>238054.81499999977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989.68999999994412</v>
      </c>
      <c r="F28" s="136">
        <v>70</v>
      </c>
      <c r="G28" s="137">
        <f t="shared" ref="G28:G31" si="2">E28*F28</f>
        <v>69278.299999996088</v>
      </c>
      <c r="H28" s="99">
        <f>G28+'1'!H28</f>
        <v>136659.60000000196</v>
      </c>
      <c r="I28" s="140"/>
      <c r="J28" s="175">
        <f>H28/DAY(B2)</f>
        <v>68329.800000000978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 t="shared" si="2"/>
        <v>7097</v>
      </c>
      <c r="H30" s="99">
        <f>G30+'1'!H30</f>
        <v>15855</v>
      </c>
      <c r="I30" s="140"/>
      <c r="J30" s="175">
        <f>H30/DAY(B2)</f>
        <v>7927.5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 t="shared" si="2"/>
        <v>9600</v>
      </c>
      <c r="H31" s="99">
        <f>G31+'1'!H31</f>
        <v>20800</v>
      </c>
      <c r="I31" s="140"/>
      <c r="J31" s="175">
        <f>H31/DAY(B2)</f>
        <v>10400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333648.81999999529</v>
      </c>
      <c r="H32" s="99">
        <f>G32+'1'!H32</f>
        <v>649424.23000000149</v>
      </c>
      <c r="I32" s="144"/>
      <c r="J32" s="175">
        <f>H32/DAY(B2)</f>
        <v>324712.11500000075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238713.05</v>
      </c>
      <c r="F35" s="145">
        <v>238713.05</v>
      </c>
      <c r="G35" s="112">
        <f t="shared" ref="G35:G46" si="3">F35-E35</f>
        <v>0</v>
      </c>
      <c r="H35" s="99">
        <f>G35+'1'!H35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187775.35</v>
      </c>
      <c r="F36" s="145">
        <v>188835.21</v>
      </c>
      <c r="G36" s="112">
        <f t="shared" si="3"/>
        <v>1059.859999999986</v>
      </c>
      <c r="H36" s="99">
        <f>G36+'1'!H36</f>
        <v>1914.9799999999814</v>
      </c>
      <c r="I36" s="95"/>
      <c r="J36" s="175">
        <f>H36/DAY(B2)</f>
        <v>957.48999999999069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288412.43</v>
      </c>
      <c r="F37" s="145">
        <v>290074.55</v>
      </c>
      <c r="G37" s="112">
        <f t="shared" si="3"/>
        <v>1662.1199999999953</v>
      </c>
      <c r="H37" s="99">
        <f>G37+'1'!H37</f>
        <v>3355.5599999999977</v>
      </c>
      <c r="I37" s="95"/>
      <c r="J37" s="175">
        <f>H37/DAY(B2)</f>
        <v>1677.7799999999988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388860.11</v>
      </c>
      <c r="F38" s="108">
        <v>391146.27</v>
      </c>
      <c r="G38" s="112">
        <f t="shared" si="3"/>
        <v>2286.1600000000326</v>
      </c>
      <c r="H38" s="99">
        <f>G38+'1'!H38</f>
        <v>4482.9200000000419</v>
      </c>
      <c r="I38" s="95"/>
      <c r="J38" s="175">
        <f>H38/DAY(B2)</f>
        <v>2241.460000000021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526375.71</v>
      </c>
      <c r="F39" s="145">
        <v>529334.82999999996</v>
      </c>
      <c r="G39" s="112">
        <f t="shared" si="3"/>
        <v>2959.1199999999953</v>
      </c>
      <c r="H39" s="99">
        <f>G39+'1'!H39</f>
        <v>5954.2399999999325</v>
      </c>
      <c r="I39" s="95"/>
      <c r="J39" s="175">
        <f>H39/DAY(B2)</f>
        <v>2977.1199999999662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84217.98</v>
      </c>
      <c r="F40" s="145">
        <v>84749.29</v>
      </c>
      <c r="G40" s="112">
        <f t="shared" si="3"/>
        <v>531.30999999999767</v>
      </c>
      <c r="H40" s="99">
        <f>G40+'1'!H40</f>
        <v>1078.1999999999971</v>
      </c>
      <c r="I40" s="95"/>
      <c r="J40" s="175">
        <f>H40/DAY(B2)</f>
        <v>539.09999999999854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142818.41</v>
      </c>
      <c r="F41" s="145">
        <v>142818.41</v>
      </c>
      <c r="G41" s="112">
        <f t="shared" si="3"/>
        <v>0</v>
      </c>
      <c r="H41" s="99">
        <f>G41+'1'!H41</f>
        <v>1.0000000009313226E-2</v>
      </c>
      <c r="I41" s="95"/>
      <c r="J41" s="175">
        <f>H41/DAY(B2)</f>
        <v>5.0000000046566129E-3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689410.23</v>
      </c>
      <c r="F42" s="145">
        <v>693273.43</v>
      </c>
      <c r="G42" s="112">
        <f t="shared" si="3"/>
        <v>3863.2000000000698</v>
      </c>
      <c r="H42" s="99">
        <f>G42+'1'!H42</f>
        <v>4640.8800000000047</v>
      </c>
      <c r="I42" s="95"/>
      <c r="J42" s="175">
        <f>H42/DAY(B2)</f>
        <v>2320.4400000000023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12361.770000000077</v>
      </c>
      <c r="H47" s="99">
        <f>G47+'1'!H47</f>
        <v>21426.789999999964</v>
      </c>
      <c r="I47" s="95"/>
      <c r="J47" s="175">
        <f>H47/DAY(B2)</f>
        <v>10713.394999999982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371268.31</v>
      </c>
      <c r="F49" s="145">
        <v>374701.47</v>
      </c>
      <c r="G49" s="112">
        <f t="shared" ref="G49:G58" si="4">F49-E49</f>
        <v>3433.1599999999744</v>
      </c>
      <c r="H49" s="99">
        <f>G49+'1'!H49</f>
        <v>6929.7199999999721</v>
      </c>
      <c r="I49" s="95"/>
      <c r="J49" s="175">
        <f>H49/DAY(B2)</f>
        <v>3464.859999999986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244108.75</v>
      </c>
      <c r="F50" s="145">
        <v>245210.13</v>
      </c>
      <c r="G50" s="112">
        <f t="shared" si="4"/>
        <v>1101.3800000000047</v>
      </c>
      <c r="H50" s="99">
        <f>G50+'1'!H50</f>
        <v>2104.7300000000105</v>
      </c>
      <c r="I50" s="95"/>
      <c r="J50" s="175">
        <f>H50/DAY(B2)</f>
        <v>1052.3650000000052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76</v>
      </c>
      <c r="F51" s="145">
        <v>76</v>
      </c>
      <c r="G51" s="112">
        <f t="shared" si="4"/>
        <v>0</v>
      </c>
      <c r="H51" s="99">
        <f>G51+'1'!H51</f>
        <v>0.31999999999999318</v>
      </c>
      <c r="I51" s="95"/>
      <c r="J51" s="175">
        <f>H51/DAY(B2)</f>
        <v>0.15999999999999659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77372.350000000006</v>
      </c>
      <c r="F54" s="145">
        <v>77723.100000000006</v>
      </c>
      <c r="G54" s="112">
        <f t="shared" si="4"/>
        <v>350.75</v>
      </c>
      <c r="H54" s="99">
        <f>G54+'1'!H54</f>
        <v>705.60000000000582</v>
      </c>
      <c r="I54" s="95"/>
      <c r="J54" s="175">
        <f>H54/DAY(B2)</f>
        <v>352.80000000000291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287227.15000000002</v>
      </c>
      <c r="F55" s="145">
        <v>289652.96999999997</v>
      </c>
      <c r="G55" s="112">
        <f t="shared" si="4"/>
        <v>2425.8199999999488</v>
      </c>
      <c r="H55" s="99">
        <f>G55+'1'!H55</f>
        <v>5570.039999999979</v>
      </c>
      <c r="I55" s="95"/>
      <c r="J55" s="175">
        <f>H55/DAY(B2)</f>
        <v>2785.0199999999895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112849.87</v>
      </c>
      <c r="F56" s="145">
        <v>114109.27</v>
      </c>
      <c r="G56" s="112">
        <f t="shared" si="4"/>
        <v>1259.4000000000087</v>
      </c>
      <c r="H56" s="99">
        <f>G56+'1'!H56</f>
        <v>2866.1399999999994</v>
      </c>
      <c r="I56" s="95"/>
      <c r="J56" s="175">
        <f>H56/DAY(B2)</f>
        <v>1433.0699999999997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134835.88</v>
      </c>
      <c r="F57" s="145">
        <v>137812.71</v>
      </c>
      <c r="G57" s="112">
        <f t="shared" si="4"/>
        <v>2976.8299999999872</v>
      </c>
      <c r="H57" s="99">
        <f>G57+'1'!H57</f>
        <v>5909.0099999999802</v>
      </c>
      <c r="I57" s="95"/>
      <c r="J57" s="175">
        <f>H57/DAY(B2)</f>
        <v>2954.5049999999901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40552.25</v>
      </c>
      <c r="F58" s="145">
        <v>40867.31</v>
      </c>
      <c r="G58" s="112">
        <f t="shared" si="4"/>
        <v>315.05999999999767</v>
      </c>
      <c r="H58" s="99">
        <f>G58+'1'!H58</f>
        <v>587.19999999999709</v>
      </c>
      <c r="I58" s="95"/>
      <c r="J58" s="175">
        <f>H58/DAY(B2)</f>
        <v>293.59999999999854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11862.399999999921</v>
      </c>
      <c r="H59" s="99">
        <f>G59+'1'!H59</f>
        <v>24672.519999999946</v>
      </c>
      <c r="I59" s="95">
        <f>G7-G60</f>
        <v>2848.9899999999179</v>
      </c>
      <c r="J59" s="175">
        <f>H59/DAY(B2)</f>
        <v>12336.259999999973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24224.17</v>
      </c>
      <c r="H60" s="99">
        <f>G60+'1'!H60</f>
        <v>46099.30999999991</v>
      </c>
      <c r="I60" s="95">
        <f>G13-G60</f>
        <v>2163.2300000003743</v>
      </c>
      <c r="J60" s="175">
        <f>H60/DAY(B2)</f>
        <v>23049.654999999955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'1'!F62</f>
        <v>292755</v>
      </c>
      <c r="F62" s="122">
        <v>292849</v>
      </c>
      <c r="G62" s="112">
        <f t="shared" ref="G62:G63" si="5">F62-E62</f>
        <v>94</v>
      </c>
      <c r="H62" s="99">
        <f>G62+'1'!H62</f>
        <v>151</v>
      </c>
      <c r="I62" s="118"/>
      <c r="J62" s="175">
        <f>H62/DAY(B2)</f>
        <v>75.5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'1'!F63</f>
        <v>235161</v>
      </c>
      <c r="F63" s="122">
        <v>235290</v>
      </c>
      <c r="G63" s="112">
        <f t="shared" si="5"/>
        <v>129</v>
      </c>
      <c r="H63" s="99">
        <f>G63+'1'!H63</f>
        <v>224</v>
      </c>
      <c r="I63" s="118"/>
      <c r="J63" s="175">
        <f>H63/DAY(B2)</f>
        <v>112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'1'!F64</f>
        <v>0</v>
      </c>
      <c r="F64" s="122"/>
      <c r="G64" s="112">
        <f>G62+G63</f>
        <v>223</v>
      </c>
      <c r="H64" s="99">
        <f>G64+'1'!H64</f>
        <v>375</v>
      </c>
      <c r="I64" s="118"/>
      <c r="J64" s="175">
        <f>H64/DAY(B2)</f>
        <v>187.5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'1'!F65</f>
        <v>451466</v>
      </c>
      <c r="F65" s="122">
        <v>451564</v>
      </c>
      <c r="G65" s="112">
        <f t="shared" ref="G65:G70" si="6">F65-E65</f>
        <v>98</v>
      </c>
      <c r="H65" s="99">
        <f>G65+'1'!H65</f>
        <v>175</v>
      </c>
      <c r="I65" s="118"/>
      <c r="J65" s="175">
        <f>H65/DAY(B2)</f>
        <v>87.5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111037</v>
      </c>
      <c r="F66" s="122">
        <v>111055</v>
      </c>
      <c r="G66" s="112">
        <f t="shared" si="6"/>
        <v>18</v>
      </c>
      <c r="H66" s="99">
        <f>G66+'1'!H66</f>
        <v>28</v>
      </c>
      <c r="I66" s="118"/>
      <c r="J66" s="175">
        <f>H66/DAY(B2)</f>
        <v>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113680</v>
      </c>
      <c r="F67" s="122">
        <v>113680</v>
      </c>
      <c r="G67" s="112">
        <f t="shared" si="6"/>
        <v>0</v>
      </c>
      <c r="H67" s="99">
        <f>G67+'1'!H67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163559</v>
      </c>
      <c r="F68" s="122">
        <v>163614</v>
      </c>
      <c r="G68" s="112">
        <f t="shared" si="6"/>
        <v>55</v>
      </c>
      <c r="H68" s="99">
        <f>G68+'1'!H68</f>
        <v>88</v>
      </c>
      <c r="I68" s="118"/>
      <c r="J68" s="175">
        <f>H68/DAY(B2)</f>
        <v>44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12132</v>
      </c>
      <c r="F69" s="122">
        <v>12138</v>
      </c>
      <c r="G69" s="236">
        <f t="shared" si="6"/>
        <v>6</v>
      </c>
      <c r="H69" s="99">
        <f>G69+'1'!H69</f>
        <v>10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9524</v>
      </c>
      <c r="F70" s="122">
        <v>9528</v>
      </c>
      <c r="G70" s="112">
        <f t="shared" si="6"/>
        <v>4</v>
      </c>
      <c r="H70" s="99">
        <f>G70+'1'!H70</f>
        <v>14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181</v>
      </c>
      <c r="H71" s="99">
        <f>G71+'1'!H71</f>
        <v>315</v>
      </c>
      <c r="I71" s="154"/>
      <c r="J71" s="175">
        <f>H71/DAY(B2)</f>
        <v>157.5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'1'!F74</f>
        <v>948035.51</v>
      </c>
      <c r="F74" s="123">
        <v>948313.48</v>
      </c>
      <c r="G74" s="112">
        <f t="shared" ref="G74:G78" si="7">F74-E74</f>
        <v>277.96999999997206</v>
      </c>
      <c r="H74" s="99">
        <f>G74+'1'!H74</f>
        <v>606.28000000002794</v>
      </c>
      <c r="I74" s="154"/>
      <c r="J74" s="175">
        <f>H74/DAY(B2)</f>
        <v>303.14000000001397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'1'!F76</f>
        <v>187005.57</v>
      </c>
      <c r="F76" s="123">
        <v>187109.18</v>
      </c>
      <c r="G76" s="112">
        <f t="shared" si="7"/>
        <v>103.60999999998603</v>
      </c>
      <c r="H76" s="99">
        <f>G76+'1'!H76</f>
        <v>217.88000000000466</v>
      </c>
      <c r="I76" s="154"/>
      <c r="J76" s="175">
        <f>H76/DAY(B2)</f>
        <v>108.94000000000233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'1'!F77</f>
        <v>48781</v>
      </c>
      <c r="F77" s="123">
        <v>48824.2</v>
      </c>
      <c r="G77" s="112">
        <f t="shared" si="7"/>
        <v>43.19999999999709</v>
      </c>
      <c r="H77" s="99">
        <f>G77+'1'!H77</f>
        <v>88.399999999994179</v>
      </c>
      <c r="I77" s="154"/>
      <c r="J77" s="175">
        <f>H77/DAY(B2)</f>
        <v>44.19999999999709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'1'!F78</f>
        <v>9563.4</v>
      </c>
      <c r="F78" s="123">
        <v>9563.4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'1'!F79</f>
        <v>0</v>
      </c>
      <c r="F79" s="123"/>
      <c r="G79" s="112">
        <f>G15-SUM(G74:G78)</f>
        <v>564.90999999998894</v>
      </c>
      <c r="H79" s="99">
        <f>G79+'1'!H79</f>
        <v>1039.7200000000012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989.68999999994412</v>
      </c>
      <c r="H80" s="99">
        <f>G80+'1'!H80</f>
        <v>989.68999999994412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42275</v>
      </c>
      <c r="F84" s="164">
        <v>42275.26</v>
      </c>
      <c r="G84" s="112">
        <f t="shared" si="8"/>
        <v>0.26000000000203727</v>
      </c>
      <c r="H84" s="99">
        <f>G84+'1'!H84</f>
        <v>0.26000000000203727</v>
      </c>
      <c r="I84" s="573"/>
      <c r="J84" s="175">
        <f>H84/DAY(B2)</f>
        <v>0.13000000000101863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4885.58</v>
      </c>
      <c r="F85" s="164">
        <v>4903.1899999999996</v>
      </c>
      <c r="G85" s="112">
        <f t="shared" si="8"/>
        <v>17.609999999999673</v>
      </c>
      <c r="H85" s="99">
        <f>G85+'1'!H85</f>
        <v>21.179999999999382</v>
      </c>
      <c r="I85" s="573"/>
      <c r="J85" s="175">
        <f>H85/DAY(B2)</f>
        <v>10.589999999999691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44874.59</v>
      </c>
      <c r="F86" s="164">
        <v>44889.38</v>
      </c>
      <c r="G86" s="112">
        <f t="shared" si="8"/>
        <v>14.790000000000873</v>
      </c>
      <c r="H86" s="99">
        <f>G86+'1'!H86</f>
        <v>37.07999999999447</v>
      </c>
      <c r="I86" s="573"/>
      <c r="J86" s="175">
        <f>H86/DAY(B2)</f>
        <v>18.539999999997235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35370.400000000001</v>
      </c>
      <c r="F87" s="164">
        <v>35380.03</v>
      </c>
      <c r="G87" s="112">
        <f t="shared" si="8"/>
        <v>9.6299999999973807</v>
      </c>
      <c r="H87" s="99">
        <f>G87+'1'!H87</f>
        <v>21.979999999995925</v>
      </c>
      <c r="I87" s="573">
        <f>G84+G85+G86+G87</f>
        <v>42.289999999999964</v>
      </c>
      <c r="J87" s="175">
        <f>H87/DAY(B2)</f>
        <v>10.989999999997963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24277.26</v>
      </c>
      <c r="F88" s="164">
        <v>24277.26</v>
      </c>
      <c r="G88" s="112">
        <f t="shared" si="8"/>
        <v>0</v>
      </c>
      <c r="H88" s="99">
        <f>G88+'1'!H88</f>
        <v>5.9999999997671694E-2</v>
      </c>
      <c r="I88" s="573"/>
      <c r="J88" s="175">
        <f>H88/DAY(B2)</f>
        <v>2.9999999998835847E-2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27299.84</v>
      </c>
      <c r="F89" s="164">
        <v>27309.46</v>
      </c>
      <c r="G89" s="112">
        <f t="shared" si="8"/>
        <v>9.6199999999989814</v>
      </c>
      <c r="H89" s="99">
        <f>G89+'1'!H89</f>
        <v>18.040000000000873</v>
      </c>
      <c r="I89" s="573">
        <f>G88+G89</f>
        <v>9.6199999999989814</v>
      </c>
      <c r="J89" s="175">
        <f>H89/DAY(B2)</f>
        <v>9.0200000000004366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72334.31</v>
      </c>
      <c r="F90" s="164">
        <v>72341.52</v>
      </c>
      <c r="G90" s="112">
        <f t="shared" si="8"/>
        <v>7.2100000000064028</v>
      </c>
      <c r="H90" s="99">
        <f>G90+'1'!H90</f>
        <v>15.120000000009895</v>
      </c>
      <c r="I90" s="573">
        <f>G90</f>
        <v>7.2100000000064028</v>
      </c>
      <c r="J90" s="175">
        <f>H90/DAY(B2)</f>
        <v>7.5600000000049477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4138.4399999999996</v>
      </c>
      <c r="F91" s="122">
        <v>4138.4399999999996</v>
      </c>
      <c r="G91" s="112">
        <f t="shared" si="8"/>
        <v>0</v>
      </c>
      <c r="H91" s="99">
        <f>G91+'1'!H91</f>
        <v>0</v>
      </c>
      <c r="I91" s="592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6526.76</v>
      </c>
      <c r="F92" s="122">
        <v>6536.41</v>
      </c>
      <c r="G92" s="112">
        <f t="shared" si="8"/>
        <v>9.6499999999996362</v>
      </c>
      <c r="H92" s="99">
        <f>G92+'1'!H92</f>
        <v>21.069999999999709</v>
      </c>
      <c r="I92" s="598">
        <f>G91+G92</f>
        <v>9.6499999999996362</v>
      </c>
      <c r="J92" s="175">
        <f>H92/DAY(B2)</f>
        <v>10.534999999999854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6409.9899999999616</v>
      </c>
      <c r="H94" s="99">
        <f>G94+'1'!H94</f>
        <v>12838.729999999952</v>
      </c>
      <c r="I94" s="118"/>
      <c r="J94" s="175">
        <f>H94/DAY(B2)</f>
        <v>6419.3649999999761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0.23676549024938284</v>
      </c>
      <c r="H95" s="99">
        <f>G95+'1'!H95</f>
        <v>0.49366671814225516</v>
      </c>
      <c r="I95" s="167"/>
      <c r="J95" s="175">
        <f>H95/DAY(B2)</f>
        <v>0.24683335907112758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7548.4200000000274</v>
      </c>
      <c r="H96" s="99">
        <f>G96+'1'!H96</f>
        <v>13077.069999999992</v>
      </c>
      <c r="I96" s="118"/>
      <c r="J96" s="175">
        <f>H96/DAY(B2)</f>
        <v>6538.5349999999962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0.27881562403502402</v>
      </c>
      <c r="H97" s="99">
        <f>G97+'1'!H97</f>
        <v>0.49974802658823381</v>
      </c>
      <c r="I97" s="167"/>
      <c r="J97" s="175">
        <f>H97/DAY(B2)</f>
        <v>0.2498740132941169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2959.1199999999953</v>
      </c>
      <c r="H98" s="99">
        <f>G98+'1'!H98</f>
        <v>5954.2399999999325</v>
      </c>
      <c r="I98" s="168"/>
      <c r="J98" s="175">
        <f>H98/DAY(B2)</f>
        <v>2977.1199999999662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0.10930087215530083</v>
      </c>
      <c r="H99" s="99">
        <f>G99+'1'!H99</f>
        <v>0.2289899567483136</v>
      </c>
      <c r="I99" s="168"/>
      <c r="J99" s="175">
        <f>H99/DAY(B2)</f>
        <v>0.1144949783741568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2286.1600000000326</v>
      </c>
      <c r="H100" s="99">
        <f>G100+'1'!H100</f>
        <v>4482.6800000000421</v>
      </c>
      <c r="I100" s="118"/>
      <c r="J100" s="175">
        <f>H100/DAY(B2)</f>
        <v>2241.3400000000211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8.4443781220959788E-2</v>
      </c>
      <c r="H101" s="99">
        <f>G101+'1'!H101</f>
        <v>0.17221971944388609</v>
      </c>
      <c r="I101" s="168"/>
      <c r="J101" s="175">
        <f>H101/DAY(B2)</f>
        <v>8.6109859721943044E-2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2161.2399999999907</v>
      </c>
      <c r="H102" s="99">
        <f>G102+'1'!H102</f>
        <v>4019.7099999999919</v>
      </c>
      <c r="I102" s="168"/>
      <c r="J102" s="175">
        <f>H102/DAY(B2)</f>
        <v>2009.8549999999959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7.9829617229758079E-2</v>
      </c>
      <c r="H103" s="99">
        <f>G103+'1'!H103</f>
        <v>0.15409661589544801</v>
      </c>
      <c r="I103" s="118"/>
      <c r="J103" s="175">
        <f>H103/DAY(B2)</f>
        <v>7.7048307947724007E-2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1662.1199999999953</v>
      </c>
      <c r="H104" s="99">
        <f>G104+'1'!H104</f>
        <v>3355.8799999999974</v>
      </c>
      <c r="I104" s="118"/>
      <c r="J104" s="175">
        <f>H104/DAY(B2)</f>
        <v>1677.9399999999987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6.1393645957841657E-2</v>
      </c>
      <c r="H105" s="99">
        <f>G105+'1'!H105</f>
        <v>0.1290786081364074</v>
      </c>
      <c r="I105" s="187"/>
      <c r="J105" s="188">
        <f>H105/DAY(B2)</f>
        <v>6.4539304068203698E-2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'1'!F112</f>
        <v>5004.03</v>
      </c>
      <c r="F112" s="237">
        <v>5078.91</v>
      </c>
      <c r="G112" s="112">
        <f t="shared" ref="G112:G123" si="9">F112-E112</f>
        <v>74.880000000000109</v>
      </c>
      <c r="H112" s="99">
        <f>G112+'1'!H112</f>
        <v>149.17000000000007</v>
      </c>
      <c r="I112" s="165"/>
      <c r="J112" s="328">
        <f>H112/DAY(B2)</f>
        <v>74.585000000000036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'1'!F113</f>
        <v>10779.88</v>
      </c>
      <c r="F113" s="237">
        <v>10915.73</v>
      </c>
      <c r="G113" s="112">
        <f t="shared" si="9"/>
        <v>135.85000000000036</v>
      </c>
      <c r="H113" s="99">
        <f>G113+'1'!H113</f>
        <v>283.01000000000022</v>
      </c>
      <c r="I113" s="165"/>
      <c r="J113" s="328">
        <f>H113/DAY(B2)</f>
        <v>141.50500000000011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'1'!F114</f>
        <v>14416.9</v>
      </c>
      <c r="F114" s="237">
        <v>14637.4</v>
      </c>
      <c r="G114" s="112">
        <f t="shared" si="9"/>
        <v>220.5</v>
      </c>
      <c r="H114" s="99">
        <f>G114+'1'!H114</f>
        <v>443.60000000000036</v>
      </c>
      <c r="I114" s="165"/>
      <c r="J114" s="328">
        <f>H114/DAY(B2)</f>
        <v>221.80000000000018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'1'!F115</f>
        <v>9068.98</v>
      </c>
      <c r="F115" s="417">
        <v>9226.89</v>
      </c>
      <c r="G115" s="112">
        <f t="shared" si="9"/>
        <v>157.90999999999985</v>
      </c>
      <c r="H115" s="99">
        <f>G115+'1'!H115</f>
        <v>315.32999999999993</v>
      </c>
      <c r="I115" s="165"/>
      <c r="J115" s="328">
        <f>H115/DAY(B2)</f>
        <v>157.66499999999996</v>
      </c>
    </row>
    <row r="116" spans="1:18" ht="29.25" customHeight="1">
      <c r="A116" s="922" t="s">
        <v>96</v>
      </c>
      <c r="B116" s="923"/>
      <c r="C116" s="924"/>
      <c r="D116" s="516" t="s">
        <v>183</v>
      </c>
      <c r="E116" s="95">
        <f>'1'!F116</f>
        <v>59281.279999999999</v>
      </c>
      <c r="F116" s="417">
        <v>59668.75</v>
      </c>
      <c r="G116" s="112">
        <f t="shared" si="9"/>
        <v>387.47000000000116</v>
      </c>
      <c r="H116" s="99">
        <f>G116+'1'!H116</f>
        <v>778.19999999999709</v>
      </c>
      <c r="I116" s="165"/>
      <c r="J116" s="328">
        <f>H116/DAY(B2)</f>
        <v>389.09999999999854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'1'!F117</f>
        <v>33116.31</v>
      </c>
      <c r="F117" s="417">
        <v>33381.870000000003</v>
      </c>
      <c r="G117" s="112">
        <f t="shared" si="9"/>
        <v>265.56000000000495</v>
      </c>
      <c r="H117" s="99">
        <f>G117+'1'!H117</f>
        <v>493.38999999999942</v>
      </c>
      <c r="I117" s="165"/>
      <c r="J117" s="328">
        <f>H117/DAY(B2)</f>
        <v>246.69499999999971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'1'!F118</f>
        <v>45567.91</v>
      </c>
      <c r="F118" s="417">
        <v>46185.09</v>
      </c>
      <c r="G118" s="112">
        <f t="shared" si="9"/>
        <v>617.17999999999302</v>
      </c>
      <c r="H118" s="99">
        <f>G118+'1'!H118</f>
        <v>1264.7799999999988</v>
      </c>
      <c r="I118" s="165"/>
      <c r="J118" s="328">
        <f>H118/DAY(B2)</f>
        <v>632.38999999999942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'1'!F119</f>
        <v>30570.91</v>
      </c>
      <c r="F119" s="417">
        <v>30805.63</v>
      </c>
      <c r="G119" s="112">
        <f t="shared" si="9"/>
        <v>234.72000000000116</v>
      </c>
      <c r="H119" s="99">
        <f>G119+'1'!H119</f>
        <v>463.03000000000247</v>
      </c>
      <c r="I119" s="165"/>
      <c r="J119" s="328">
        <f>H119/DAY(B2)</f>
        <v>231.51500000000124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'1'!F120</f>
        <v>33550.03</v>
      </c>
      <c r="F120" s="237">
        <v>33984.31</v>
      </c>
      <c r="G120" s="112">
        <f t="shared" si="9"/>
        <v>434.27999999999884</v>
      </c>
      <c r="H120" s="99">
        <f>G120+'1'!H120</f>
        <v>878.75</v>
      </c>
      <c r="I120" s="165"/>
      <c r="J120" s="328">
        <f>H120/DAY(B2)</f>
        <v>439.375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'1'!F121</f>
        <v>40055.040000000001</v>
      </c>
      <c r="F121" s="237">
        <v>40506.300000000003</v>
      </c>
      <c r="G121" s="112">
        <f t="shared" si="9"/>
        <v>451.26000000000204</v>
      </c>
      <c r="H121" s="99">
        <f>G121+'1'!H121</f>
        <v>918.40000000000146</v>
      </c>
      <c r="I121" s="165"/>
      <c r="J121" s="328">
        <f>H121/DAY(B2)</f>
        <v>459.20000000000073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'1'!F122</f>
        <v>20266.27</v>
      </c>
      <c r="F122" s="237">
        <v>20547.03</v>
      </c>
      <c r="G122" s="112">
        <f t="shared" si="9"/>
        <v>280.7599999999984</v>
      </c>
      <c r="H122" s="99">
        <f>G122+'1'!H122</f>
        <v>581.14999999999782</v>
      </c>
      <c r="I122" s="165"/>
      <c r="J122" s="328">
        <f>H122/DAY(B2)</f>
        <v>290.57499999999891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'1'!F123</f>
        <v>20661.080000000002</v>
      </c>
      <c r="F123" s="237">
        <v>20973.24</v>
      </c>
      <c r="G123" s="112">
        <f t="shared" si="9"/>
        <v>312.15999999999985</v>
      </c>
      <c r="H123" s="99">
        <f>G123+'1'!H123</f>
        <v>631.2400000000016</v>
      </c>
      <c r="I123" s="165"/>
      <c r="J123" s="328">
        <f>H123/DAY(B2)</f>
        <v>315.6200000000008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3572.5299999999997</v>
      </c>
      <c r="H125" s="156"/>
      <c r="I125" s="327">
        <f>G125-(G39+G53)</f>
        <v>613.4100000000044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'1'!F128</f>
        <v>112343.64</v>
      </c>
      <c r="F128" s="165">
        <v>112850.78</v>
      </c>
      <c r="G128" s="112">
        <f t="shared" ref="G128:G133" si="10">F128-E128</f>
        <v>507.13999999999942</v>
      </c>
      <c r="H128" s="99">
        <f>G128+'1'!H128</f>
        <v>974.91999999999825</v>
      </c>
      <c r="I128" s="165"/>
      <c r="J128" s="328">
        <f>H128/DAY(B2)</f>
        <v>487.45999999999913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66945.88</v>
      </c>
      <c r="F129" s="165">
        <v>67124.91</v>
      </c>
      <c r="G129" s="112">
        <f t="shared" si="10"/>
        <v>179.02999999999884</v>
      </c>
      <c r="H129" s="99">
        <f>G129+'1'!H129</f>
        <v>423.13000000000466</v>
      </c>
      <c r="I129" s="165"/>
      <c r="J129" s="328">
        <f>H129/DAY(B2)</f>
        <v>211.56500000000233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142567.49</v>
      </c>
      <c r="F130" s="165">
        <v>143327.07</v>
      </c>
      <c r="G130" s="112">
        <f t="shared" si="10"/>
        <v>759.5800000000163</v>
      </c>
      <c r="H130" s="99">
        <f>G130+'1'!H130</f>
        <v>1573.4200000000128</v>
      </c>
      <c r="I130" s="165"/>
      <c r="J130" s="328">
        <f>H130/DAY(B2)</f>
        <v>786.7100000000064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'1'!F131</f>
        <v>42789.65</v>
      </c>
      <c r="F131" s="165">
        <v>42989.4</v>
      </c>
      <c r="G131" s="112">
        <f t="shared" si="10"/>
        <v>199.75</v>
      </c>
      <c r="H131" s="99">
        <f>G131+'1'!H131</f>
        <v>371.20000000000437</v>
      </c>
      <c r="I131" s="165"/>
      <c r="J131" s="328">
        <f>H131/DAY(B2)</f>
        <v>185.60000000000218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'1'!F132</f>
        <v>116718.44</v>
      </c>
      <c r="F132" s="165">
        <v>117135.14</v>
      </c>
      <c r="G132" s="112">
        <f t="shared" si="10"/>
        <v>416.69999999999709</v>
      </c>
      <c r="H132" s="99">
        <f>G132+'1'!H132</f>
        <v>844.13999999999942</v>
      </c>
      <c r="I132" s="165"/>
      <c r="J132" s="328">
        <f>H132/DAY(B2)</f>
        <v>422.06999999999971</v>
      </c>
    </row>
    <row r="133" spans="1:15" ht="25.5">
      <c r="A133" s="904" t="s">
        <v>342</v>
      </c>
      <c r="B133" s="905"/>
      <c r="C133" s="906"/>
      <c r="D133" s="151" t="s">
        <v>183</v>
      </c>
      <c r="E133" s="95">
        <f>'1'!F133</f>
        <v>787783</v>
      </c>
      <c r="F133" s="165">
        <v>788391</v>
      </c>
      <c r="G133" s="112">
        <f t="shared" si="10"/>
        <v>608</v>
      </c>
      <c r="H133" s="99">
        <f>G133+'1'!H133</f>
        <v>1347</v>
      </c>
      <c r="I133" s="165"/>
      <c r="J133" s="328">
        <f>H133/DAY(B2)</f>
        <v>673.5</v>
      </c>
    </row>
    <row r="134" spans="1:15" ht="25.5">
      <c r="A134" s="904" t="s">
        <v>340</v>
      </c>
      <c r="B134" s="905"/>
      <c r="C134" s="906"/>
      <c r="D134" s="514" t="s">
        <v>183</v>
      </c>
      <c r="E134" s="95">
        <f>'1'!F134</f>
        <v>41926.730000000003</v>
      </c>
      <c r="F134" s="158">
        <v>42156.39</v>
      </c>
      <c r="G134" s="112">
        <f>F134-E134</f>
        <v>229.65999999999622</v>
      </c>
      <c r="H134" s="99">
        <f>G134+'1'!H134</f>
        <v>411.38999999999942</v>
      </c>
      <c r="I134" s="165"/>
      <c r="J134" s="328">
        <f>H134/DAY(B2)</f>
        <v>205.69499999999971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2899.8600000000079</v>
      </c>
      <c r="H135" s="99">
        <f>G135+'1'!H135</f>
        <v>5945.2000000000189</v>
      </c>
      <c r="I135" s="327">
        <f>G135-(G35+G49)</f>
        <v>-533.29999999996653</v>
      </c>
      <c r="J135" s="328">
        <f>H135/DAY(B2)</f>
        <v>2972.6000000000095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514" t="s">
        <v>183</v>
      </c>
      <c r="E138" s="95">
        <f>'1'!F138</f>
        <v>887354</v>
      </c>
      <c r="F138" s="147">
        <v>887497</v>
      </c>
      <c r="G138" s="112">
        <f t="shared" ref="G138:G152" si="11">F138-E138</f>
        <v>143</v>
      </c>
      <c r="H138" s="99">
        <f>G138+'1'!H138</f>
        <v>270</v>
      </c>
      <c r="I138" s="118"/>
      <c r="J138" s="328">
        <f>H138/DAY(B2)</f>
        <v>135</v>
      </c>
    </row>
    <row r="139" spans="1:15" ht="25.5">
      <c r="A139" s="899" t="s">
        <v>186</v>
      </c>
      <c r="B139" s="899"/>
      <c r="C139" s="899"/>
      <c r="D139" s="514" t="s">
        <v>183</v>
      </c>
      <c r="E139" s="95">
        <f>'1'!F139</f>
        <v>904269</v>
      </c>
      <c r="F139" s="148">
        <v>904421</v>
      </c>
      <c r="G139" s="112">
        <f t="shared" si="11"/>
        <v>152</v>
      </c>
      <c r="H139" s="99">
        <f>G139+'1'!H139</f>
        <v>331</v>
      </c>
      <c r="I139" s="118"/>
      <c r="J139" s="328">
        <f>H139/DAY(B2)</f>
        <v>165.5</v>
      </c>
    </row>
    <row r="140" spans="1:15" ht="25.5">
      <c r="A140" s="899" t="s">
        <v>187</v>
      </c>
      <c r="B140" s="899"/>
      <c r="C140" s="899"/>
      <c r="D140" s="514" t="s">
        <v>183</v>
      </c>
      <c r="E140" s="95">
        <f>'1'!F140</f>
        <v>1069.26</v>
      </c>
      <c r="F140" s="149">
        <v>1083.58</v>
      </c>
      <c r="G140" s="112">
        <f t="shared" si="11"/>
        <v>14.319999999999936</v>
      </c>
      <c r="H140" s="99">
        <f>G140+'1'!H140</f>
        <v>28.529999999999973</v>
      </c>
      <c r="I140" s="118"/>
      <c r="J140" s="328">
        <f>H140/DAY(B2)</f>
        <v>14.264999999999986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'1'!F141</f>
        <v>84320.77</v>
      </c>
      <c r="F141" s="149">
        <v>84533.15</v>
      </c>
      <c r="G141" s="112">
        <f t="shared" si="11"/>
        <v>212.3799999999901</v>
      </c>
      <c r="H141" s="99">
        <f>G141+'1'!H141</f>
        <v>417.94999999999709</v>
      </c>
      <c r="I141" s="118"/>
      <c r="J141" s="328">
        <f>H141/DAY(B2)</f>
        <v>208.97499999999854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'1'!F142</f>
        <v>34457.65</v>
      </c>
      <c r="F142" s="148">
        <v>34530.17</v>
      </c>
      <c r="G142" s="112">
        <f t="shared" si="11"/>
        <v>72.519999999996799</v>
      </c>
      <c r="H142" s="99">
        <f>G142+'1'!H142</f>
        <v>144.69999999999709</v>
      </c>
      <c r="I142" s="140"/>
      <c r="J142" s="328">
        <f>H142/DAY(B2)</f>
        <v>72.349999999998545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'1'!F143</f>
        <v>8184.83</v>
      </c>
      <c r="F143" s="149">
        <v>8217.26</v>
      </c>
      <c r="G143" s="112">
        <f t="shared" si="11"/>
        <v>32.430000000000291</v>
      </c>
      <c r="H143" s="99">
        <f>G143+'1'!H143</f>
        <v>58.940000000000509</v>
      </c>
      <c r="I143" s="140"/>
      <c r="J143" s="328">
        <f>H143/DAY(B2)</f>
        <v>29.470000000000255</v>
      </c>
    </row>
    <row r="144" spans="1:15" ht="25.5">
      <c r="A144" s="903" t="s">
        <v>90</v>
      </c>
      <c r="B144" s="903"/>
      <c r="C144" s="903"/>
      <c r="D144" s="514" t="s">
        <v>183</v>
      </c>
      <c r="E144" s="95">
        <f>'1'!F144</f>
        <v>912528</v>
      </c>
      <c r="F144" s="149">
        <v>912778</v>
      </c>
      <c r="G144" s="112">
        <f t="shared" si="11"/>
        <v>250</v>
      </c>
      <c r="H144" s="99">
        <f>G144+'1'!H144</f>
        <v>501</v>
      </c>
      <c r="I144" s="140"/>
      <c r="J144" s="328">
        <f>H144/DAY(B2)</f>
        <v>250.5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'1'!F145</f>
        <v>5666.56</v>
      </c>
      <c r="F145" s="149">
        <v>5666.56</v>
      </c>
      <c r="G145" s="112">
        <f t="shared" si="11"/>
        <v>0</v>
      </c>
      <c r="H145" s="99">
        <f>G145+'1'!H145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514" t="s">
        <v>183</v>
      </c>
      <c r="E146" s="95">
        <f>'1'!F146</f>
        <v>779369</v>
      </c>
      <c r="F146" s="148">
        <v>779410</v>
      </c>
      <c r="G146" s="112">
        <f t="shared" si="11"/>
        <v>41</v>
      </c>
      <c r="H146" s="99">
        <f>G146+'1'!H146</f>
        <v>82</v>
      </c>
      <c r="I146" s="140"/>
      <c r="J146" s="328">
        <f>H146/DAY(B2)</f>
        <v>41</v>
      </c>
    </row>
    <row r="147" spans="1:10" ht="25.5">
      <c r="A147" s="903" t="s">
        <v>192</v>
      </c>
      <c r="B147" s="903"/>
      <c r="C147" s="903"/>
      <c r="D147" s="514" t="s">
        <v>183</v>
      </c>
      <c r="E147" s="95">
        <f>'1'!F147</f>
        <v>687901.52</v>
      </c>
      <c r="F147" s="148">
        <v>688258</v>
      </c>
      <c r="G147" s="112">
        <f t="shared" si="11"/>
        <v>356.47999999998137</v>
      </c>
      <c r="H147" s="99">
        <f>G147+'1'!H147</f>
        <v>731.8399999999674</v>
      </c>
      <c r="I147" s="140"/>
      <c r="J147" s="328">
        <f>H147/DAY(B2)</f>
        <v>365.9199999999837</v>
      </c>
    </row>
    <row r="148" spans="1:10" ht="25.5">
      <c r="A148" s="895" t="s">
        <v>193</v>
      </c>
      <c r="B148" s="896"/>
      <c r="C148" s="897"/>
      <c r="D148" s="515" t="s">
        <v>130</v>
      </c>
      <c r="E148" s="95">
        <f>'1'!F148</f>
        <v>739255.04</v>
      </c>
      <c r="F148" s="164">
        <v>739608</v>
      </c>
      <c r="G148" s="112">
        <f t="shared" si="11"/>
        <v>352.95999999996275</v>
      </c>
      <c r="H148" s="99">
        <f>G148+'1'!H148</f>
        <v>660.71999999997206</v>
      </c>
      <c r="I148" s="124"/>
      <c r="J148" s="328">
        <f>H148/DAY(B2)</f>
        <v>330.35999999998603</v>
      </c>
    </row>
    <row r="149" spans="1:10" ht="25.5">
      <c r="A149" s="895" t="s">
        <v>336</v>
      </c>
      <c r="B149" s="896"/>
      <c r="C149" s="897"/>
      <c r="D149" s="516" t="s">
        <v>130</v>
      </c>
      <c r="E149" s="95">
        <f>'1'!F149</f>
        <v>116988.26</v>
      </c>
      <c r="F149" s="146">
        <v>117537.34</v>
      </c>
      <c r="G149" s="112">
        <f t="shared" si="11"/>
        <v>549.08000000000175</v>
      </c>
      <c r="H149" s="99">
        <f>G149+'1'!H149</f>
        <v>1004.5399999999936</v>
      </c>
      <c r="I149" s="119"/>
      <c r="J149" s="328">
        <f>H149/DAY(B2)</f>
        <v>502.2699999999968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'1'!F150</f>
        <v>43930.82</v>
      </c>
      <c r="F150" s="233">
        <v>44148.99</v>
      </c>
      <c r="G150" s="112">
        <f t="shared" si="11"/>
        <v>218.16999999999825</v>
      </c>
      <c r="H150" s="99">
        <f>G150+'1'!H150</f>
        <v>423.82999999999447</v>
      </c>
      <c r="I150" s="119"/>
      <c r="J150" s="328">
        <f>H150/DAY(B2)</f>
        <v>211.91499999999724</v>
      </c>
    </row>
    <row r="151" spans="1:10" ht="25.5">
      <c r="A151" s="895" t="s">
        <v>338</v>
      </c>
      <c r="B151" s="896"/>
      <c r="C151" s="897"/>
      <c r="D151" s="515" t="s">
        <v>130</v>
      </c>
      <c r="E151" s="95">
        <f>'1'!F151</f>
        <v>126858</v>
      </c>
      <c r="F151" s="233">
        <v>127129</v>
      </c>
      <c r="G151" s="112">
        <f t="shared" si="11"/>
        <v>271</v>
      </c>
      <c r="H151" s="99">
        <f>G151+'1'!H151</f>
        <v>526</v>
      </c>
      <c r="I151" s="119"/>
      <c r="J151" s="328">
        <f>H151/DAY(B2)</f>
        <v>263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'1'!F152</f>
        <v>19417.55</v>
      </c>
      <c r="F152" s="233">
        <v>19544.759999999998</v>
      </c>
      <c r="G152" s="112">
        <f t="shared" si="11"/>
        <v>127.20999999999913</v>
      </c>
      <c r="H152" s="99">
        <f>G152+'1'!H152</f>
        <v>256.67999999999665</v>
      </c>
      <c r="I152" s="119"/>
      <c r="J152" s="328">
        <f>H152/DAY(B2)</f>
        <v>128.33999999999833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2792.5499999999302</v>
      </c>
      <c r="H153" s="363"/>
      <c r="I153" s="119">
        <f>G153-(G38+G52)</f>
        <v>506.38999999989755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517" t="s">
        <v>130</v>
      </c>
      <c r="E155" s="95">
        <f>'1'!F155</f>
        <v>130826.2</v>
      </c>
      <c r="F155" s="422">
        <v>131455.19</v>
      </c>
      <c r="G155" s="112">
        <f t="shared" ref="G155:G158" si="12">F155-E155</f>
        <v>628.99000000000524</v>
      </c>
      <c r="H155" s="99">
        <f>G155+'1'!H155</f>
        <v>1213.8099999999977</v>
      </c>
      <c r="I155" s="364"/>
      <c r="J155" s="328">
        <f>H155/DAY(B2)</f>
        <v>606.90499999999884</v>
      </c>
    </row>
    <row r="156" spans="1:10" ht="25.5">
      <c r="A156" s="903" t="s">
        <v>347</v>
      </c>
      <c r="B156" s="903"/>
      <c r="C156" s="903"/>
      <c r="D156" s="517" t="s">
        <v>130</v>
      </c>
      <c r="E156" s="95">
        <f>'1'!F156</f>
        <v>12174.16</v>
      </c>
      <c r="F156" s="155">
        <v>12254.59</v>
      </c>
      <c r="G156" s="112">
        <f t="shared" si="12"/>
        <v>80.430000000000291</v>
      </c>
      <c r="H156" s="99">
        <f>G156+'1'!H156</f>
        <v>161.22999999999956</v>
      </c>
      <c r="I156" s="165"/>
      <c r="J156" s="328">
        <f>H156/DAY(B2)</f>
        <v>80.614999999999782</v>
      </c>
    </row>
    <row r="157" spans="1:10" ht="25.5">
      <c r="A157" s="895" t="s">
        <v>360</v>
      </c>
      <c r="B157" s="896"/>
      <c r="C157" s="897"/>
      <c r="D157" s="517" t="s">
        <v>130</v>
      </c>
      <c r="E157" s="95">
        <f>'1'!F157</f>
        <v>23381.1</v>
      </c>
      <c r="F157" s="155">
        <v>23528.59</v>
      </c>
      <c r="G157" s="112">
        <f t="shared" si="12"/>
        <v>147.4900000000016</v>
      </c>
      <c r="H157" s="99">
        <f>G157+'1'!H157</f>
        <v>331.88999999999942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v>90.42</v>
      </c>
      <c r="F158" s="155">
        <v>222.81</v>
      </c>
      <c r="G158" s="112">
        <f t="shared" si="12"/>
        <v>132.38999999999999</v>
      </c>
      <c r="H158" s="99">
        <f>G158+'1'!H158</f>
        <v>135.11999999999998</v>
      </c>
      <c r="I158" s="165"/>
      <c r="J158" s="328"/>
    </row>
    <row r="159" spans="1:10" ht="25.5">
      <c r="A159" s="895"/>
      <c r="B159" s="896"/>
      <c r="C159" s="897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477702.2</v>
      </c>
      <c r="F161" s="235">
        <v>477737</v>
      </c>
      <c r="G161" s="238">
        <f t="shared" ref="G161:G165" si="13">F161-E161</f>
        <v>34.799999999988358</v>
      </c>
      <c r="H161" s="99">
        <f>G161+'1'!H161</f>
        <v>74</v>
      </c>
      <c r="I161" s="236"/>
      <c r="J161" s="239">
        <f>H161/DAY(B2)</f>
        <v>37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93848.4</v>
      </c>
      <c r="F162" s="235">
        <v>93885.7</v>
      </c>
      <c r="G162" s="238">
        <f t="shared" si="13"/>
        <v>37.30000000000291</v>
      </c>
      <c r="H162" s="99">
        <f>G162+'1'!H162</f>
        <v>80.399999999994179</v>
      </c>
      <c r="I162" s="236"/>
      <c r="J162" s="239">
        <f>H162/DAY(B2)</f>
        <v>40.19999999999709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2174.3000000000002</v>
      </c>
      <c r="F163" s="235">
        <v>2305.9</v>
      </c>
      <c r="G163" s="238">
        <f t="shared" si="13"/>
        <v>131.59999999999991</v>
      </c>
      <c r="H163" s="99">
        <f>G163+'1'!H163</f>
        <v>279.80000000000018</v>
      </c>
      <c r="I163" s="236"/>
      <c r="J163" s="239">
        <f>H163/DAY(B2)</f>
        <v>139.90000000000009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5910.4</v>
      </c>
      <c r="F164" s="235">
        <v>5920.1</v>
      </c>
      <c r="G164" s="238">
        <f t="shared" si="13"/>
        <v>9.7000000000007276</v>
      </c>
      <c r="H164" s="99">
        <f>G164+'1'!H164</f>
        <v>21.700000000000728</v>
      </c>
      <c r="I164" s="236"/>
      <c r="J164" s="239">
        <f>H164/DAY(B2)</f>
        <v>10.850000000000364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31358.080000000002</v>
      </c>
      <c r="F165" s="235">
        <v>31369.48</v>
      </c>
      <c r="G165" s="238">
        <f t="shared" si="13"/>
        <v>11.399999999997817</v>
      </c>
      <c r="H165" s="99">
        <f>G165+'1'!H165</f>
        <v>22.829999999998108</v>
      </c>
      <c r="I165" s="236"/>
      <c r="J165" s="239">
        <f>H165/DAY(B2)</f>
        <v>11.414999999999054</v>
      </c>
    </row>
    <row r="166" spans="1:14" ht="29.25" customHeight="1">
      <c r="A166" s="935"/>
      <c r="B166" s="935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35"/>
      <c r="B167" s="935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35"/>
      <c r="B168" s="935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4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93" t="s">
        <v>209</v>
      </c>
      <c r="B173" s="894"/>
      <c r="C173" s="333"/>
      <c r="D173" s="228" t="s">
        <v>142</v>
      </c>
      <c r="E173" s="95">
        <f>'1'!F173</f>
        <v>8229</v>
      </c>
      <c r="F173" s="155">
        <v>8267</v>
      </c>
      <c r="G173" s="155">
        <f>F173-E173</f>
        <v>38</v>
      </c>
      <c r="H173" s="99">
        <f>G173+'1'!H173</f>
        <v>38</v>
      </c>
      <c r="I173" s="155"/>
      <c r="J173" s="178">
        <f>H173/DAY(B2)</f>
        <v>19</v>
      </c>
    </row>
    <row r="174" spans="1:14" ht="25.5">
      <c r="A174" s="893" t="s">
        <v>75</v>
      </c>
      <c r="B174" s="894"/>
      <c r="C174" s="333"/>
      <c r="D174" s="228" t="s">
        <v>142</v>
      </c>
      <c r="E174" s="95">
        <f>'1'!F174</f>
        <v>40790</v>
      </c>
      <c r="F174" s="157">
        <v>40804</v>
      </c>
      <c r="G174" s="155">
        <f t="shared" ref="G174:G175" si="14">F174-E174</f>
        <v>14</v>
      </c>
      <c r="H174" s="99">
        <f>G174+'1'!H174</f>
        <v>25</v>
      </c>
      <c r="I174" s="155"/>
      <c r="J174" s="178">
        <f>H174/DAY(B2)</f>
        <v>12.5</v>
      </c>
    </row>
    <row r="175" spans="1:14" ht="25.5">
      <c r="A175" s="893" t="s">
        <v>76</v>
      </c>
      <c r="B175" s="898"/>
      <c r="C175" s="894"/>
      <c r="D175" s="228" t="s">
        <v>142</v>
      </c>
      <c r="E175" s="95">
        <f>'1'!F175</f>
        <v>23666</v>
      </c>
      <c r="F175" s="155">
        <v>23678</v>
      </c>
      <c r="G175" s="155">
        <f t="shared" si="14"/>
        <v>12</v>
      </c>
      <c r="H175" s="99">
        <f>G175+'1'!H175</f>
        <v>22</v>
      </c>
      <c r="I175" s="155"/>
      <c r="J175" s="178">
        <f>H175/DAY(B2)</f>
        <v>11</v>
      </c>
      <c r="N175" s="470"/>
    </row>
    <row r="176" spans="1:14" ht="25.5">
      <c r="A176" s="932" t="s">
        <v>196</v>
      </c>
      <c r="B176" s="933"/>
      <c r="C176" s="401"/>
      <c r="D176" s="228"/>
      <c r="E176" s="95"/>
      <c r="F176" s="155"/>
      <c r="G176" s="155">
        <f>SUM(G173:G175)</f>
        <v>64</v>
      </c>
      <c r="H176" s="99">
        <f>G176+'1'!H176</f>
        <v>85</v>
      </c>
      <c r="I176" s="155"/>
      <c r="J176" s="178">
        <f>H176/DAY(B2)</f>
        <v>42.5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93" t="s">
        <v>210</v>
      </c>
      <c r="B178" s="894"/>
      <c r="C178" s="333"/>
      <c r="D178" s="228" t="s">
        <v>142</v>
      </c>
      <c r="E178" s="95">
        <f>'1'!F178</f>
        <v>94865</v>
      </c>
      <c r="F178" s="157">
        <v>94949</v>
      </c>
      <c r="G178" s="155">
        <f>F178-E178</f>
        <v>84</v>
      </c>
      <c r="H178" s="99">
        <f>G178+'1'!H178</f>
        <v>98</v>
      </c>
      <c r="I178" s="155"/>
      <c r="J178" s="178">
        <f>H178/DAY(B2)</f>
        <v>49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'1'!F179</f>
        <v>36002</v>
      </c>
      <c r="F179" s="155">
        <v>36002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'1'!F180</f>
        <v>6891</v>
      </c>
      <c r="F180" s="155">
        <v>6902</v>
      </c>
      <c r="G180" s="155">
        <f t="shared" si="15"/>
        <v>11</v>
      </c>
      <c r="H180" s="99">
        <f>G180+'1'!H180</f>
        <v>20</v>
      </c>
      <c r="I180" s="155"/>
      <c r="J180" s="178">
        <f>H180/DAY(B2)</f>
        <v>10</v>
      </c>
    </row>
    <row r="181" spans="1:10" ht="25.5">
      <c r="A181" s="939" t="s">
        <v>108</v>
      </c>
      <c r="B181" s="940"/>
      <c r="C181" s="401"/>
      <c r="D181" s="228"/>
      <c r="E181" s="95"/>
      <c r="F181" s="155"/>
      <c r="G181" s="155">
        <f>SUM(G178:G180)</f>
        <v>95</v>
      </c>
      <c r="H181" s="99">
        <f>G181+'1'!H181</f>
        <v>118</v>
      </c>
      <c r="I181" s="155"/>
      <c r="J181" s="178">
        <f>H181/DAY(B2)</f>
        <v>59</v>
      </c>
    </row>
    <row r="182" spans="1:10" ht="31.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93" t="s">
        <v>214</v>
      </c>
      <c r="B183" s="894"/>
      <c r="C183" s="334"/>
      <c r="D183" s="228" t="s">
        <v>142</v>
      </c>
      <c r="E183" s="95">
        <f>'1'!F183</f>
        <v>17280</v>
      </c>
      <c r="F183" s="157">
        <v>17289</v>
      </c>
      <c r="G183" s="157">
        <f>F183-E183</f>
        <v>9</v>
      </c>
      <c r="H183" s="99">
        <f>G183+'1'!H183</f>
        <v>14</v>
      </c>
      <c r="I183" s="155"/>
      <c r="J183" s="178">
        <f>H183/DAY(B2)</f>
        <v>7</v>
      </c>
    </row>
    <row r="184" spans="1:10" ht="27.75" customHeight="1">
      <c r="A184" s="893" t="s">
        <v>215</v>
      </c>
      <c r="B184" s="894"/>
      <c r="C184" s="334"/>
      <c r="D184" s="228" t="s">
        <v>142</v>
      </c>
      <c r="E184" s="95">
        <f>'1'!F184</f>
        <v>11694</v>
      </c>
      <c r="F184" s="157">
        <v>11697</v>
      </c>
      <c r="G184" s="157">
        <f t="shared" ref="G184:G185" si="16">F184-E184</f>
        <v>3</v>
      </c>
      <c r="H184" s="99">
        <f>G184+'1'!H184</f>
        <v>8</v>
      </c>
      <c r="I184" s="155"/>
      <c r="J184" s="178">
        <f>H184/DAY(B2)</f>
        <v>4</v>
      </c>
    </row>
    <row r="185" spans="1:10" ht="24.75" customHeight="1">
      <c r="A185" s="893" t="s">
        <v>216</v>
      </c>
      <c r="B185" s="894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32" t="s">
        <v>196</v>
      </c>
      <c r="B186" s="933"/>
      <c r="C186" s="400"/>
      <c r="D186" s="229"/>
      <c r="E186" s="95"/>
      <c r="F186" s="157"/>
      <c r="G186" s="157">
        <f>SUM(G183:G185)</f>
        <v>12</v>
      </c>
      <c r="H186" s="99">
        <f>G186+'1'!H186</f>
        <v>22</v>
      </c>
      <c r="I186" s="157"/>
      <c r="J186" s="178">
        <f>H186/DAY(B2)</f>
        <v>11</v>
      </c>
    </row>
    <row r="187" spans="1:10" ht="28.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141</v>
      </c>
      <c r="H187" s="99">
        <f>G187+'1'!H187</f>
        <v>256</v>
      </c>
      <c r="I187" s="158"/>
      <c r="J187" s="179">
        <f>H187/DAY(B2)</f>
        <v>128</v>
      </c>
    </row>
    <row r="188" spans="1:10" ht="24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126</v>
      </c>
      <c r="H188" s="99">
        <f>G188+'1'!H188</f>
        <v>227</v>
      </c>
      <c r="I188" s="158"/>
      <c r="J188" s="179">
        <f>H188/DAY(B2)</f>
        <v>113.5</v>
      </c>
    </row>
    <row r="189" spans="1:10" ht="24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95</v>
      </c>
      <c r="H189" s="99">
        <f>G189+'1'!H189</f>
        <v>118</v>
      </c>
      <c r="I189" s="158"/>
      <c r="J189" s="179">
        <f>H189/DAY(B2)</f>
        <v>59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42" zoomScale="55" zoomScaleSheetLayoutView="55" workbookViewId="0">
      <selection activeCell="G161" sqref="G16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354</v>
      </c>
      <c r="B2" s="375">
        <v>44745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575061.82999999996</v>
      </c>
      <c r="F7" s="95">
        <v>603817.35</v>
      </c>
      <c r="G7" s="112">
        <f>F7-E7</f>
        <v>28755.520000000019</v>
      </c>
      <c r="H7" s="99">
        <f>G7+'2'!H7</f>
        <v>80852.849999999977</v>
      </c>
      <c r="I7" s="113">
        <f>'1'!I7</f>
        <v>12000</v>
      </c>
      <c r="J7" s="175">
        <f>H7/DAY(B2)</f>
        <v>26950.949999999993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714690.07</v>
      </c>
      <c r="F8" s="114">
        <v>743946.79</v>
      </c>
      <c r="G8" s="115">
        <f>F8-E8</f>
        <v>29256.720000000088</v>
      </c>
      <c r="H8" s="99">
        <f>G8+'2'!H8</f>
        <v>82157.790000000037</v>
      </c>
      <c r="I8" s="116"/>
      <c r="J8" s="175">
        <f>H8/DAY(B2)</f>
        <v>27385.930000000011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2940742.7</v>
      </c>
      <c r="F9" s="117">
        <v>2954997.1</v>
      </c>
      <c r="G9" s="112">
        <f>F9-E9</f>
        <v>14254.399999999907</v>
      </c>
      <c r="H9" s="99">
        <f>G9+'2'!H9</f>
        <v>37348</v>
      </c>
      <c r="I9" s="124">
        <f>I7-J7</f>
        <v>-14950.949999999993</v>
      </c>
      <c r="J9" s="175">
        <f>H9/DAY(B2)</f>
        <v>12449.333333333334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1263360.5</v>
      </c>
      <c r="F10" s="117">
        <v>1277144.6000000001</v>
      </c>
      <c r="G10" s="112">
        <f t="shared" ref="G10:G12" si="0">F10-E10</f>
        <v>13784.100000000093</v>
      </c>
      <c r="H10" s="99">
        <f>G10+'2'!H10</f>
        <v>41457.970000000205</v>
      </c>
      <c r="I10" s="282"/>
      <c r="J10" s="175">
        <f>H10/DAY(B2)</f>
        <v>13819.323333333401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28038.5</v>
      </c>
      <c r="H13" s="99">
        <f>G13+'2'!H13</f>
        <v>80534.900000000373</v>
      </c>
      <c r="I13" s="120">
        <f>G7-G13</f>
        <v>717.02000000001863</v>
      </c>
      <c r="J13" s="175">
        <f>H13/DAY(B2)</f>
        <v>26844.966666666791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2070030.69</v>
      </c>
      <c r="F15" s="410">
        <v>2071046.49</v>
      </c>
      <c r="G15" s="112">
        <f>(F15-E15)</f>
        <v>1015.8000000000466</v>
      </c>
      <c r="H15" s="99">
        <f>G15+'2'!H15</f>
        <v>2968.0800000000745</v>
      </c>
      <c r="I15" s="113">
        <f>'1'!I15</f>
        <v>800</v>
      </c>
      <c r="J15" s="175">
        <f>H15/DAY(B2)</f>
        <v>989.3600000000248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-189.3600000000248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'2'!F18</f>
        <v>12</v>
      </c>
      <c r="F18" s="122">
        <f>14+4</f>
        <v>18</v>
      </c>
      <c r="G18" s="119">
        <f>F18*10</f>
        <v>180</v>
      </c>
      <c r="H18" s="99">
        <f>G18+'2'!H18</f>
        <v>440</v>
      </c>
      <c r="I18" s="113">
        <f>'1'!I18</f>
        <v>65</v>
      </c>
      <c r="J18" s="175">
        <f>H18/DAY(B2)</f>
        <v>146.66666666666666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'2'!F19</f>
        <v>160934</v>
      </c>
      <c r="F19" s="122">
        <v>160976</v>
      </c>
      <c r="G19" s="112">
        <f t="shared" ref="G19" si="1">F19-E19</f>
        <v>42</v>
      </c>
      <c r="H19" s="99">
        <f>G19+'2'!H19</f>
        <v>147</v>
      </c>
      <c r="I19" s="335"/>
      <c r="J19" s="175">
        <f>H19/DAY(B2)</f>
        <v>49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222</v>
      </c>
      <c r="H20" s="99">
        <f>G20+'2'!H20</f>
        <v>587</v>
      </c>
      <c r="I20" s="336">
        <f>I18-J20</f>
        <v>-130.66666666666666</v>
      </c>
      <c r="J20" s="175">
        <f>H20/DAY(B2)</f>
        <v>195.66666666666666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29256.720000000088</v>
      </c>
      <c r="F27" s="136">
        <v>9</v>
      </c>
      <c r="G27" s="137">
        <f>E27*F27</f>
        <v>263310.4800000008</v>
      </c>
      <c r="H27" s="99">
        <f>G27+'2'!H27</f>
        <v>739420.11000000034</v>
      </c>
      <c r="I27" s="138"/>
      <c r="J27" s="175">
        <f>H27/DAY(B2)</f>
        <v>246473.37000000011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1015.8000000000466</v>
      </c>
      <c r="F28" s="136">
        <v>70</v>
      </c>
      <c r="G28" s="137">
        <f>E28*F28</f>
        <v>71106.00000000326</v>
      </c>
      <c r="H28" s="99">
        <f>G28+'2'!H28</f>
        <v>207765.60000000522</v>
      </c>
      <c r="I28" s="140"/>
      <c r="J28" s="175">
        <f>H28/DAY(B2)</f>
        <v>69255.200000001743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42</v>
      </c>
      <c r="F30" s="136">
        <v>151</v>
      </c>
      <c r="G30" s="137">
        <f>E30*F30</f>
        <v>6342</v>
      </c>
      <c r="H30" s="99">
        <f>G30+'2'!H30</f>
        <v>22197</v>
      </c>
      <c r="I30" s="140"/>
      <c r="J30" s="175">
        <f>H30/DAY(B2)</f>
        <v>7399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35200</v>
      </c>
      <c r="I31" s="140"/>
      <c r="J31" s="175">
        <f>H31/DAY(B2)</f>
        <v>11733.333333333334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355158.48000000406</v>
      </c>
      <c r="H32" s="99">
        <f>G32+'2'!H32</f>
        <v>1004582.7100000056</v>
      </c>
      <c r="I32" s="144"/>
      <c r="J32" s="175">
        <f>H32/DAY(B2)</f>
        <v>334860.90333333518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238713.05</v>
      </c>
      <c r="F35" s="145">
        <v>238713.05</v>
      </c>
      <c r="G35" s="112">
        <f t="shared" ref="G35:G46" si="3">F35-E35</f>
        <v>0</v>
      </c>
      <c r="H35" s="99">
        <f>G35+'2'!H35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188835.21</v>
      </c>
      <c r="F36" s="145">
        <v>189977.21</v>
      </c>
      <c r="G36" s="112">
        <f t="shared" si="3"/>
        <v>1142</v>
      </c>
      <c r="H36" s="99">
        <f>G36+'2'!H36</f>
        <v>3056.9799999999814</v>
      </c>
      <c r="I36" s="95"/>
      <c r="J36" s="175">
        <f>H36/DAY(B2)</f>
        <v>1018.9933333333271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290074.55</v>
      </c>
      <c r="F37" s="145">
        <v>291644.55</v>
      </c>
      <c r="G37" s="112">
        <f t="shared" si="3"/>
        <v>1570</v>
      </c>
      <c r="H37" s="99">
        <f>G37+'2'!H37</f>
        <v>4925.5599999999977</v>
      </c>
      <c r="I37" s="95"/>
      <c r="J37" s="175">
        <f>H37/DAY(B2)</f>
        <v>1641.8533333333326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391146.27</v>
      </c>
      <c r="F38" s="108">
        <v>393420.39</v>
      </c>
      <c r="G38" s="112">
        <f t="shared" si="3"/>
        <v>2274.1199999999953</v>
      </c>
      <c r="H38" s="99">
        <f>G38+'2'!H38</f>
        <v>6757.0400000000373</v>
      </c>
      <c r="I38" s="95"/>
      <c r="J38" s="175">
        <f>H38/DAY(B2)</f>
        <v>2252.3466666666791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529334.82999999996</v>
      </c>
      <c r="F39" s="145">
        <v>532343.06999999995</v>
      </c>
      <c r="G39" s="112">
        <f t="shared" si="3"/>
        <v>3008.2399999999907</v>
      </c>
      <c r="H39" s="99">
        <f>G39+'2'!H39</f>
        <v>8962.4799999999232</v>
      </c>
      <c r="I39" s="95"/>
      <c r="J39" s="175">
        <f>H39/DAY(B2)</f>
        <v>2987.4933333333079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84749.29</v>
      </c>
      <c r="F40" s="145">
        <v>85339.38</v>
      </c>
      <c r="G40" s="112">
        <f t="shared" si="3"/>
        <v>590.09000000001106</v>
      </c>
      <c r="H40" s="99">
        <f>G40+'2'!H40</f>
        <v>1668.2900000000081</v>
      </c>
      <c r="I40" s="95"/>
      <c r="J40" s="175">
        <f>H40/DAY(B2)</f>
        <v>556.09666666666942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142818.41</v>
      </c>
      <c r="F41" s="145">
        <v>142818.41</v>
      </c>
      <c r="G41" s="112">
        <f t="shared" si="3"/>
        <v>0</v>
      </c>
      <c r="H41" s="99">
        <f>G41+'2'!H41</f>
        <v>1.0000000009313226E-2</v>
      </c>
      <c r="I41" s="95"/>
      <c r="J41" s="175">
        <f>H41/DAY(B2)</f>
        <v>3.3333333364377418E-3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693273.43</v>
      </c>
      <c r="F42" s="145">
        <v>698252.79</v>
      </c>
      <c r="G42" s="112">
        <f t="shared" si="3"/>
        <v>4979.359999999986</v>
      </c>
      <c r="H42" s="99">
        <f>G42+'2'!H42</f>
        <v>9620.2399999999907</v>
      </c>
      <c r="I42" s="95"/>
      <c r="J42" s="175">
        <f>H42/DAY(B2)</f>
        <v>3206.7466666666637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13563.809999999983</v>
      </c>
      <c r="H47" s="99">
        <f>G47+'2'!H47</f>
        <v>34990.599999999948</v>
      </c>
      <c r="I47" s="95"/>
      <c r="J47" s="175">
        <f>H47/DAY(B2)</f>
        <v>11663.533333333316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374701.47</v>
      </c>
      <c r="F49" s="145">
        <v>378314.23</v>
      </c>
      <c r="G49" s="112">
        <f t="shared" ref="G49:G58" si="4">F49-E49</f>
        <v>3612.7600000000093</v>
      </c>
      <c r="H49" s="99">
        <f>G49+'2'!H49</f>
        <v>10542.479999999981</v>
      </c>
      <c r="I49" s="95"/>
      <c r="J49" s="175">
        <f>H49/DAY(B2)</f>
        <v>3514.1599999999939</v>
      </c>
      <c r="K49" s="79"/>
      <c r="L49" s="66"/>
      <c r="N49" s="87">
        <f>G35+G49</f>
        <v>3612.7600000000093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245210.13</v>
      </c>
      <c r="F50" s="145">
        <v>246255.39</v>
      </c>
      <c r="G50" s="112">
        <f t="shared" si="4"/>
        <v>1045.2600000000093</v>
      </c>
      <c r="H50" s="99">
        <f>G50+'2'!H50</f>
        <v>3149.9900000000198</v>
      </c>
      <c r="I50" s="95"/>
      <c r="J50" s="175">
        <f>H50/DAY(B2)</f>
        <v>1049.9966666666733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76</v>
      </c>
      <c r="F51" s="145">
        <v>76</v>
      </c>
      <c r="G51" s="112">
        <f t="shared" si="4"/>
        <v>0</v>
      </c>
      <c r="H51" s="99">
        <f>G51+'2'!H51</f>
        <v>0.31999999999999318</v>
      </c>
      <c r="I51" s="95"/>
      <c r="J51" s="175">
        <f>H51/DAY(B2)</f>
        <v>0.1066666666666644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9.76</v>
      </c>
      <c r="G52" s="112">
        <f t="shared" si="4"/>
        <v>0</v>
      </c>
      <c r="H52" s="99">
        <f>G52+'2'!H52</f>
        <v>-0.24000000000000021</v>
      </c>
      <c r="I52" s="95"/>
      <c r="J52" s="175">
        <f>H52/DAY(B2)</f>
        <v>-8.0000000000000071E-2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77723.100000000006</v>
      </c>
      <c r="F54" s="145">
        <v>78073.39</v>
      </c>
      <c r="G54" s="112">
        <f t="shared" si="4"/>
        <v>350.2899999999936</v>
      </c>
      <c r="H54" s="99">
        <f>G54+'2'!H54</f>
        <v>1055.8899999999994</v>
      </c>
      <c r="I54" s="95"/>
      <c r="J54" s="175">
        <f>H54/DAY(B2)</f>
        <v>351.96333333333314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289652.96999999997</v>
      </c>
      <c r="F55" s="145">
        <v>293534.51</v>
      </c>
      <c r="G55" s="112">
        <f t="shared" si="4"/>
        <v>3881.5400000000373</v>
      </c>
      <c r="H55" s="99">
        <f>G55+'2'!H55</f>
        <v>9451.5800000000163</v>
      </c>
      <c r="I55" s="95"/>
      <c r="J55" s="175">
        <f>H55/DAY(B2)</f>
        <v>3150.5266666666721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114109.27</v>
      </c>
      <c r="F56" s="145">
        <v>114109.27</v>
      </c>
      <c r="G56" s="112">
        <f t="shared" si="4"/>
        <v>0</v>
      </c>
      <c r="H56" s="99">
        <f>G56+'2'!H56</f>
        <v>2866.1399999999994</v>
      </c>
      <c r="I56" s="95"/>
      <c r="J56" s="175">
        <f>H56/DAY(B2)</f>
        <v>955.37999999999977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137812.71</v>
      </c>
      <c r="F57" s="145">
        <v>141063.70000000001</v>
      </c>
      <c r="G57" s="112">
        <f t="shared" si="4"/>
        <v>3250.9900000000198</v>
      </c>
      <c r="H57" s="99">
        <f>G57+'2'!H57</f>
        <v>9160</v>
      </c>
      <c r="I57" s="95"/>
      <c r="J57" s="175">
        <f>H57/DAY(B2)</f>
        <v>3053.3333333333335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40867.31</v>
      </c>
      <c r="F58" s="145">
        <v>41164.85</v>
      </c>
      <c r="G58" s="112">
        <f t="shared" si="4"/>
        <v>297.54000000000087</v>
      </c>
      <c r="H58" s="99">
        <f>G58+'2'!H58</f>
        <v>884.73999999999796</v>
      </c>
      <c r="I58" s="95"/>
      <c r="J58" s="175">
        <f>H58/DAY(B2)</f>
        <v>294.91333333333267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12438.38000000007</v>
      </c>
      <c r="H59" s="99">
        <f>G59+'2'!H59</f>
        <v>37110.900000000016</v>
      </c>
      <c r="I59" s="95">
        <f>G7-G60</f>
        <v>2753.3299999999654</v>
      </c>
      <c r="J59" s="175">
        <f>H59/DAY(B2)</f>
        <v>12370.300000000005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26002.190000000053</v>
      </c>
      <c r="H60" s="99">
        <f>G60+'2'!H60</f>
        <v>72101.499999999971</v>
      </c>
      <c r="I60" s="95">
        <f>G13-G60</f>
        <v>2036.3099999999467</v>
      </c>
      <c r="J60" s="175">
        <f>H60/DAY(B2)</f>
        <v>24033.833333333325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'2'!F62</f>
        <v>292849</v>
      </c>
      <c r="F62" s="164">
        <v>292965</v>
      </c>
      <c r="G62" s="112">
        <f t="shared" ref="G62:G63" si="5">F62-E62</f>
        <v>116</v>
      </c>
      <c r="H62" s="99">
        <f>G62+'2'!H62</f>
        <v>267</v>
      </c>
      <c r="I62" s="118"/>
      <c r="J62" s="175">
        <f>H62/DAY(B2)</f>
        <v>89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'2'!F63</f>
        <v>235290</v>
      </c>
      <c r="F63" s="122">
        <v>235427</v>
      </c>
      <c r="G63" s="112">
        <f t="shared" si="5"/>
        <v>137</v>
      </c>
      <c r="H63" s="99">
        <f>G63+'2'!H63</f>
        <v>361</v>
      </c>
      <c r="I63" s="118"/>
      <c r="J63" s="175">
        <f>H63/DAY(B2)</f>
        <v>120.33333333333333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'2'!F64</f>
        <v>0</v>
      </c>
      <c r="F64" s="122"/>
      <c r="G64" s="112">
        <f>G62+G63</f>
        <v>253</v>
      </c>
      <c r="H64" s="99">
        <f>G64+'2'!H64</f>
        <v>628</v>
      </c>
      <c r="I64" s="118"/>
      <c r="J64" s="175">
        <f>H64/DAY(B2)</f>
        <v>209.33333333333334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'2'!F65</f>
        <v>451564</v>
      </c>
      <c r="F65" s="122">
        <v>451657</v>
      </c>
      <c r="G65" s="112">
        <f t="shared" ref="G65:G70" si="6">F65-E65</f>
        <v>93</v>
      </c>
      <c r="H65" s="99">
        <f>G65+'2'!H65</f>
        <v>268</v>
      </c>
      <c r="I65" s="118"/>
      <c r="J65" s="175">
        <f>H65/DAY(B2)</f>
        <v>89.333333333333329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111055</v>
      </c>
      <c r="F66" s="122">
        <v>111071</v>
      </c>
      <c r="G66" s="112">
        <f t="shared" si="6"/>
        <v>16</v>
      </c>
      <c r="H66" s="99">
        <f>G66+'2'!H66</f>
        <v>44</v>
      </c>
      <c r="I66" s="118"/>
      <c r="J66" s="175">
        <f>H66/DAY(B2)</f>
        <v>14.666666666666666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113680</v>
      </c>
      <c r="F67" s="150">
        <v>113680</v>
      </c>
      <c r="G67" s="112">
        <f t="shared" si="6"/>
        <v>0</v>
      </c>
      <c r="H67" s="99">
        <f>G67+'2'!H67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163614</v>
      </c>
      <c r="F68" s="122">
        <v>163656</v>
      </c>
      <c r="G68" s="112">
        <f t="shared" si="6"/>
        <v>42</v>
      </c>
      <c r="H68" s="99">
        <f>G68+'2'!H68</f>
        <v>130</v>
      </c>
      <c r="I68" s="118"/>
      <c r="J68" s="175">
        <f>H68/DAY(B2)</f>
        <v>43.333333333333336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12138</v>
      </c>
      <c r="F69" s="122">
        <v>12142</v>
      </c>
      <c r="G69" s="112">
        <f t="shared" si="6"/>
        <v>4</v>
      </c>
      <c r="H69" s="99">
        <f>G69+'2'!H69</f>
        <v>14</v>
      </c>
      <c r="I69" s="118"/>
      <c r="J69" s="175">
        <f>H69/DAY(B2)</f>
        <v>4.666666666666667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9528</v>
      </c>
      <c r="F70" s="150">
        <v>9537</v>
      </c>
      <c r="G70" s="112">
        <f t="shared" si="6"/>
        <v>9</v>
      </c>
      <c r="H70" s="99">
        <f>G70+'2'!H70</f>
        <v>23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164</v>
      </c>
      <c r="H71" s="99">
        <f>G71+'2'!H71</f>
        <v>479</v>
      </c>
      <c r="I71" s="154"/>
      <c r="J71" s="175">
        <f>H71/DAY(B2)</f>
        <v>159.66666666666666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'2'!F74</f>
        <v>948313.48</v>
      </c>
      <c r="F74" s="117">
        <v>948617.95</v>
      </c>
      <c r="G74" s="112">
        <f t="shared" ref="G74:G78" si="7">F74-E74</f>
        <v>304.46999999997206</v>
      </c>
      <c r="H74" s="99">
        <f>G74+'2'!H74</f>
        <v>910.75</v>
      </c>
      <c r="I74" s="154"/>
      <c r="J74" s="175">
        <f>H74/DAY(B2)</f>
        <v>303.58333333333331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'2'!F76</f>
        <v>187109.18</v>
      </c>
      <c r="F76" s="123">
        <v>187219.4</v>
      </c>
      <c r="G76" s="112">
        <f t="shared" si="7"/>
        <v>110.22000000000116</v>
      </c>
      <c r="H76" s="99">
        <f>G76+'2'!H76</f>
        <v>328.10000000000582</v>
      </c>
      <c r="I76" s="154"/>
      <c r="J76" s="175">
        <f>H76/DAY(B2)</f>
        <v>109.36666666666861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'2'!F77</f>
        <v>48824.2</v>
      </c>
      <c r="F77" s="123">
        <v>48868</v>
      </c>
      <c r="G77" s="112">
        <f t="shared" si="7"/>
        <v>43.80000000000291</v>
      </c>
      <c r="H77" s="99">
        <f>G77+'2'!H77</f>
        <v>132.19999999999709</v>
      </c>
      <c r="I77" s="154"/>
      <c r="J77" s="175">
        <f>H77/DAY(B2)</f>
        <v>44.066666666665697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'2'!F78</f>
        <v>9563.4</v>
      </c>
      <c r="F78" s="123">
        <v>9563</v>
      </c>
      <c r="G78" s="112">
        <f t="shared" si="7"/>
        <v>-0.3999999999996362</v>
      </c>
      <c r="H78" s="99">
        <f>G78+'2'!H78</f>
        <v>-0.3999999999996362</v>
      </c>
      <c r="I78" s="118"/>
      <c r="J78" s="175">
        <f>H78/DAY(B2)</f>
        <v>-0.13333333333321207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'2'!F79</f>
        <v>0</v>
      </c>
      <c r="F79" s="117"/>
      <c r="G79" s="112">
        <f>G15-SUM(G74:G78)</f>
        <v>557.71000000007007</v>
      </c>
      <c r="H79" s="99">
        <f>G79+'2'!H79</f>
        <v>1597.4300000000712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1015.8000000000466</v>
      </c>
      <c r="H80" s="99">
        <f>G80+'2'!H80</f>
        <v>2005.4899999999907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42275.26</v>
      </c>
      <c r="F84" s="164">
        <v>42275.26</v>
      </c>
      <c r="G84" s="112">
        <f t="shared" si="8"/>
        <v>0</v>
      </c>
      <c r="H84" s="99">
        <f>G84+'2'!H84</f>
        <v>0.26000000000203727</v>
      </c>
      <c r="I84" s="573"/>
      <c r="J84" s="175">
        <f>H84/DAY(B2)</f>
        <v>8.6666666667345751E-2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4903.1899999999996</v>
      </c>
      <c r="F85" s="164">
        <v>4923.2299999999996</v>
      </c>
      <c r="G85" s="112">
        <f t="shared" si="8"/>
        <v>20.039999999999964</v>
      </c>
      <c r="H85" s="99">
        <f>G85+'2'!H85</f>
        <v>41.219999999999345</v>
      </c>
      <c r="I85" s="573"/>
      <c r="J85" s="175">
        <f>H85/DAY(B2)</f>
        <v>13.739999999999782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44889.38</v>
      </c>
      <c r="F86" s="164">
        <v>44913.42</v>
      </c>
      <c r="G86" s="112">
        <f t="shared" si="8"/>
        <v>24.040000000000873</v>
      </c>
      <c r="H86" s="99">
        <f>G86+'2'!H86</f>
        <v>61.119999999995343</v>
      </c>
      <c r="I86" s="573"/>
      <c r="J86" s="175">
        <f>H86/DAY(B2)</f>
        <v>20.373333333331782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35380.03</v>
      </c>
      <c r="F87" s="164">
        <v>35380.03</v>
      </c>
      <c r="G87" s="112">
        <f t="shared" si="8"/>
        <v>0</v>
      </c>
      <c r="H87" s="99">
        <f>G87+'2'!H87</f>
        <v>21.979999999995925</v>
      </c>
      <c r="I87" s="573">
        <f>G84+G85+G86+G87</f>
        <v>44.080000000000837</v>
      </c>
      <c r="J87" s="175">
        <f>H87/DAY(B2)</f>
        <v>7.3266666666653082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24277.26</v>
      </c>
      <c r="F88" s="164">
        <v>24277.26</v>
      </c>
      <c r="G88" s="112">
        <f t="shared" si="8"/>
        <v>0</v>
      </c>
      <c r="H88" s="99">
        <f>G88+'2'!H88</f>
        <v>5.9999999997671694E-2</v>
      </c>
      <c r="I88" s="573"/>
      <c r="J88" s="175">
        <f>H88/DAY(B2)</f>
        <v>1.9999999999223899E-2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27309.46</v>
      </c>
      <c r="F89" s="164">
        <v>27318.76</v>
      </c>
      <c r="G89" s="112">
        <f t="shared" si="8"/>
        <v>9.2999999999992724</v>
      </c>
      <c r="H89" s="99">
        <f>G89+'2'!H89</f>
        <v>27.340000000000146</v>
      </c>
      <c r="I89" s="573">
        <f>G88+G89</f>
        <v>9.2999999999992724</v>
      </c>
      <c r="J89" s="175">
        <f>H89/DAY(B2)</f>
        <v>9.1133333333333812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72341.52</v>
      </c>
      <c r="F90" s="164">
        <v>72341.52</v>
      </c>
      <c r="G90" s="112">
        <f t="shared" si="8"/>
        <v>0</v>
      </c>
      <c r="H90" s="99">
        <f>G90+'2'!H90</f>
        <v>15.120000000009895</v>
      </c>
      <c r="I90" s="573">
        <f>G90</f>
        <v>0</v>
      </c>
      <c r="J90" s="175">
        <f>H90/DAY(B2)</f>
        <v>5.0400000000032987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4138.4399999999996</v>
      </c>
      <c r="F91" s="164">
        <v>4145.2299999999996</v>
      </c>
      <c r="G91" s="112">
        <f t="shared" si="8"/>
        <v>6.7899999999999636</v>
      </c>
      <c r="H91" s="99">
        <f>G91+'2'!H91</f>
        <v>6.7899999999999636</v>
      </c>
      <c r="I91" s="592"/>
      <c r="J91" s="175">
        <f>H91/DAY(B2)</f>
        <v>2.2633333333333212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6536.41</v>
      </c>
      <c r="F92" s="122">
        <v>6540.41</v>
      </c>
      <c r="G92" s="112">
        <f t="shared" si="8"/>
        <v>4</v>
      </c>
      <c r="H92" s="99">
        <f>G92+'2'!H92</f>
        <v>25.069999999999709</v>
      </c>
      <c r="I92" s="598">
        <f>G91+G92</f>
        <v>10.789999999999964</v>
      </c>
      <c r="J92" s="175">
        <f>H92/DAY(B2)</f>
        <v>8.3566666666665697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6863.7500000000291</v>
      </c>
      <c r="H94" s="99">
        <f>G94+'2'!H94</f>
        <v>19702.479999999981</v>
      </c>
      <c r="I94" s="118"/>
      <c r="J94" s="175">
        <f>H94/DAY(B2)</f>
        <v>6567.4933333333274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0.23869330132092983</v>
      </c>
      <c r="H95" s="99">
        <f>G95+'2'!H95</f>
        <v>0.73236001946318496</v>
      </c>
      <c r="I95" s="167"/>
      <c r="J95" s="175">
        <f>H95/DAY(B2)</f>
        <v>0.24412000648772833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8860.9000000000233</v>
      </c>
      <c r="H96" s="99">
        <f>G96+'2'!H96</f>
        <v>21937.970000000016</v>
      </c>
      <c r="I96" s="118"/>
      <c r="J96" s="175">
        <f>H96/DAY(B2)</f>
        <v>7312.6566666666722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0.30814605334906192</v>
      </c>
      <c r="H97" s="99">
        <f>G97+'2'!H97</f>
        <v>0.80789407993729578</v>
      </c>
      <c r="I97" s="167"/>
      <c r="J97" s="175">
        <f>H97/DAY(B2)</f>
        <v>0.26929802664576524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3008.2399999999907</v>
      </c>
      <c r="H98" s="99">
        <f>G98+'2'!H98</f>
        <v>8962.4799999999232</v>
      </c>
      <c r="I98" s="168"/>
      <c r="J98" s="175">
        <f>H98/DAY(B2)</f>
        <v>2987.4933333333079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0.1046143488276334</v>
      </c>
      <c r="H99" s="99">
        <f>G99+'2'!H99</f>
        <v>0.333604305575947</v>
      </c>
      <c r="I99" s="168"/>
      <c r="J99" s="175">
        <f>H99/DAY(B2)</f>
        <v>0.11120143519198233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2274.1199999999953</v>
      </c>
      <c r="H100" s="99">
        <f>G100+'2'!H100</f>
        <v>6756.8000000000375</v>
      </c>
      <c r="I100" s="118"/>
      <c r="J100" s="175">
        <f>H100/DAY(B2)</f>
        <v>2252.2666666666792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7.9084641835723848E-2</v>
      </c>
      <c r="H101" s="99">
        <f>G101+'2'!H101</f>
        <v>0.25130436127960992</v>
      </c>
      <c r="I101" s="168"/>
      <c r="J101" s="175">
        <f>H101/DAY(B2)</f>
        <v>8.3768120426536641E-2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2187.2600000000093</v>
      </c>
      <c r="H102" s="99">
        <f>G102+'2'!H102</f>
        <v>6206.9700000000012</v>
      </c>
      <c r="I102" s="168"/>
      <c r="J102" s="175">
        <f>H102/DAY(B2)</f>
        <v>2068.9900000000002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7.6064004406806343E-2</v>
      </c>
      <c r="H103" s="99">
        <f>G103+'2'!H103</f>
        <v>0.23016062030225437</v>
      </c>
      <c r="I103" s="118"/>
      <c r="J103" s="175">
        <f>H103/DAY(B2)</f>
        <v>7.6720206767418128E-2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1570</v>
      </c>
      <c r="H104" s="99">
        <f>G104+'2'!H104</f>
        <v>4925.8799999999974</v>
      </c>
      <c r="I104" s="118"/>
      <c r="J104" s="175">
        <f>H104/DAY(B2)</f>
        <v>1641.9599999999991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5.4598212795317173E-2</v>
      </c>
      <c r="H105" s="99">
        <f>G105+'2'!H105</f>
        <v>0.18367682093172458</v>
      </c>
      <c r="I105" s="187"/>
      <c r="J105" s="188">
        <f>H105/DAY(B2)</f>
        <v>6.1225606977241526E-2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'2'!F112</f>
        <v>5078.91</v>
      </c>
      <c r="F112" s="237">
        <v>5150.21</v>
      </c>
      <c r="G112" s="112">
        <f t="shared" ref="G112:G123" si="9">F112-E112</f>
        <v>71.300000000000182</v>
      </c>
      <c r="H112" s="99">
        <f>G112+'2'!H112</f>
        <v>220.47000000000025</v>
      </c>
      <c r="I112" s="165"/>
      <c r="J112" s="328">
        <f>H112/DAY(B2)</f>
        <v>73.49000000000008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'2'!F113</f>
        <v>10915.73</v>
      </c>
      <c r="F113" s="237">
        <v>11053.83</v>
      </c>
      <c r="G113" s="112">
        <f t="shared" si="9"/>
        <v>138.10000000000036</v>
      </c>
      <c r="H113" s="99">
        <f>G113+'2'!H113</f>
        <v>421.11000000000058</v>
      </c>
      <c r="I113" s="165"/>
      <c r="J113" s="328">
        <f>H113/DAY(B2)</f>
        <v>140.3700000000002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'2'!F114</f>
        <v>14637.4</v>
      </c>
      <c r="F114" s="237">
        <v>14848.01</v>
      </c>
      <c r="G114" s="112">
        <f t="shared" si="9"/>
        <v>210.61000000000058</v>
      </c>
      <c r="H114" s="99">
        <f>G114+'2'!H114</f>
        <v>654.21000000000095</v>
      </c>
      <c r="I114" s="165"/>
      <c r="J114" s="328">
        <f>H114/DAY(B2)</f>
        <v>218.07000000000031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'2'!F115</f>
        <v>9226.89</v>
      </c>
      <c r="F115" s="237">
        <v>9386</v>
      </c>
      <c r="G115" s="112">
        <f t="shared" si="9"/>
        <v>159.11000000000058</v>
      </c>
      <c r="H115" s="99">
        <f>G115+'2'!H115</f>
        <v>474.44000000000051</v>
      </c>
      <c r="I115" s="165"/>
      <c r="J115" s="328">
        <f>H115/DAY(B2)</f>
        <v>158.14666666666685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'2'!F116</f>
        <v>59668.75</v>
      </c>
      <c r="F116" s="237">
        <v>60128.79</v>
      </c>
      <c r="G116" s="112">
        <f t="shared" si="9"/>
        <v>460.04000000000087</v>
      </c>
      <c r="H116" s="99">
        <f>G116+'2'!H116</f>
        <v>1238.239999999998</v>
      </c>
      <c r="I116" s="165"/>
      <c r="J116" s="328">
        <f>H116/DAY(B2)</f>
        <v>412.74666666666599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'2'!F117</f>
        <v>33381.870000000003</v>
      </c>
      <c r="F117" s="237">
        <v>33666.44</v>
      </c>
      <c r="G117" s="112">
        <f t="shared" si="9"/>
        <v>284.56999999999971</v>
      </c>
      <c r="H117" s="99">
        <f>G117+'2'!H117</f>
        <v>777.95999999999913</v>
      </c>
      <c r="I117" s="165"/>
      <c r="J117" s="328">
        <f>H117/DAY(B2)</f>
        <v>259.31999999999971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'2'!F118</f>
        <v>46185.09</v>
      </c>
      <c r="F118" s="237">
        <v>46829.279999999999</v>
      </c>
      <c r="G118" s="112">
        <f t="shared" si="9"/>
        <v>644.19000000000233</v>
      </c>
      <c r="H118" s="99">
        <f>G118+'2'!H118</f>
        <v>1908.9700000000012</v>
      </c>
      <c r="I118" s="165"/>
      <c r="J118" s="328">
        <f>H118/DAY(B2)</f>
        <v>636.32333333333372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'2'!F119</f>
        <v>30805.63</v>
      </c>
      <c r="F119" s="237">
        <v>31042.19</v>
      </c>
      <c r="G119" s="112">
        <f t="shared" si="9"/>
        <v>236.55999999999767</v>
      </c>
      <c r="H119" s="99">
        <f>G119+'2'!H119</f>
        <v>699.59000000000015</v>
      </c>
      <c r="I119" s="165"/>
      <c r="J119" s="328">
        <f>H119/DAY(B2)</f>
        <v>233.19666666666672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'2'!F120</f>
        <v>33984.31</v>
      </c>
      <c r="F120" s="237">
        <v>34416.57</v>
      </c>
      <c r="G120" s="112">
        <f t="shared" si="9"/>
        <v>432.26000000000204</v>
      </c>
      <c r="H120" s="99">
        <f>G120+'2'!H120</f>
        <v>1311.010000000002</v>
      </c>
      <c r="I120" s="165"/>
      <c r="J120" s="328">
        <f>H120/DAY(B2)</f>
        <v>437.00333333333401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'2'!F121</f>
        <v>40506.300000000003</v>
      </c>
      <c r="F121" s="237">
        <v>40963.97</v>
      </c>
      <c r="G121" s="112">
        <f t="shared" si="9"/>
        <v>457.66999999999825</v>
      </c>
      <c r="H121" s="99">
        <f>G121+'2'!H121</f>
        <v>1376.0699999999997</v>
      </c>
      <c r="I121" s="165"/>
      <c r="J121" s="328">
        <f>H121/DAY(B2)</f>
        <v>458.68999999999988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'2'!F122</f>
        <v>20547.03</v>
      </c>
      <c r="F122" s="237">
        <v>20848.73</v>
      </c>
      <c r="G122" s="112">
        <f t="shared" si="9"/>
        <v>301.70000000000073</v>
      </c>
      <c r="H122" s="99">
        <f>G122+'2'!H122</f>
        <v>882.84999999999854</v>
      </c>
      <c r="I122" s="165"/>
      <c r="J122" s="328">
        <f>H122/DAY(B2)</f>
        <v>294.28333333333285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'2'!F123</f>
        <v>20973.24</v>
      </c>
      <c r="F123" s="237">
        <v>21286.02</v>
      </c>
      <c r="G123" s="112">
        <f t="shared" si="9"/>
        <v>312.77999999999884</v>
      </c>
      <c r="H123" s="99">
        <f>G123+'2'!H123</f>
        <v>944.02000000000044</v>
      </c>
      <c r="I123" s="165"/>
      <c r="J123" s="328">
        <f>H123/DAY(B2)</f>
        <v>314.67333333333346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6.25">
      <c r="A125" s="868" t="s">
        <v>196</v>
      </c>
      <c r="B125" s="869"/>
      <c r="C125" s="870"/>
      <c r="D125" s="307"/>
      <c r="E125" s="308"/>
      <c r="F125" s="308"/>
      <c r="G125" s="309">
        <f>SUM(G112:G124)</f>
        <v>3708.8900000000021</v>
      </c>
      <c r="H125" s="156"/>
      <c r="I125" s="327">
        <f>G125-(G39+G53)</f>
        <v>700.65000000001146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'2'!F128</f>
        <v>112850.78</v>
      </c>
      <c r="F128" s="165">
        <v>113411.95</v>
      </c>
      <c r="G128" s="112">
        <f t="shared" ref="G128:G134" si="10">F128-E128</f>
        <v>561.16999999999825</v>
      </c>
      <c r="H128" s="99">
        <f>G128+'2'!H128</f>
        <v>1536.0899999999965</v>
      </c>
      <c r="I128" s="165"/>
      <c r="J128" s="328">
        <f>H128/DAY(B2)</f>
        <v>512.02999999999884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67124.91</v>
      </c>
      <c r="F129" s="165">
        <v>67280.38</v>
      </c>
      <c r="G129" s="112">
        <f t="shared" si="10"/>
        <v>155.47000000000116</v>
      </c>
      <c r="H129" s="99">
        <f>G129+'2'!H129</f>
        <v>578.60000000000582</v>
      </c>
      <c r="I129" s="165"/>
      <c r="J129" s="328">
        <f>H129/DAY(B2)</f>
        <v>192.86666666666861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143327.07</v>
      </c>
      <c r="F130" s="165">
        <v>144154.25</v>
      </c>
      <c r="G130" s="112">
        <f t="shared" si="10"/>
        <v>827.17999999999302</v>
      </c>
      <c r="H130" s="99">
        <f>G130+'2'!H130</f>
        <v>2400.6000000000058</v>
      </c>
      <c r="I130" s="165"/>
      <c r="J130" s="328">
        <f>H130/DAY(B2)</f>
        <v>800.20000000000198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'2'!F131</f>
        <v>42989.4</v>
      </c>
      <c r="F131" s="165">
        <v>43194.35</v>
      </c>
      <c r="G131" s="112">
        <f t="shared" si="10"/>
        <v>204.94999999999709</v>
      </c>
      <c r="H131" s="99">
        <f>G131+'2'!H131</f>
        <v>576.15000000000146</v>
      </c>
      <c r="I131" s="165"/>
      <c r="J131" s="328">
        <f>H131/DAY(B2)</f>
        <v>192.05000000000049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'2'!F132</f>
        <v>117135.14</v>
      </c>
      <c r="F132" s="158">
        <v>117549.49</v>
      </c>
      <c r="G132" s="112">
        <f t="shared" si="10"/>
        <v>414.35000000000582</v>
      </c>
      <c r="H132" s="99">
        <f>G132+'2'!H132</f>
        <v>1258.4900000000052</v>
      </c>
      <c r="I132" s="165"/>
      <c r="J132" s="328">
        <f>H132/DAY(B2)</f>
        <v>419.49666666666843</v>
      </c>
    </row>
    <row r="133" spans="1:15" ht="25.5">
      <c r="A133" s="904" t="s">
        <v>342</v>
      </c>
      <c r="B133" s="905"/>
      <c r="C133" s="906"/>
      <c r="D133" s="151" t="s">
        <v>183</v>
      </c>
      <c r="E133" s="95">
        <f>'2'!F133</f>
        <v>788391</v>
      </c>
      <c r="F133" s="165">
        <v>789048</v>
      </c>
      <c r="G133" s="112">
        <f t="shared" si="10"/>
        <v>657</v>
      </c>
      <c r="H133" s="99">
        <f>G133+'2'!H133</f>
        <v>2004</v>
      </c>
      <c r="I133" s="165"/>
      <c r="J133" s="328">
        <f>H133/DAY(B2)</f>
        <v>668</v>
      </c>
    </row>
    <row r="134" spans="1:15" ht="25.5">
      <c r="A134" s="948" t="s">
        <v>340</v>
      </c>
      <c r="B134" s="949"/>
      <c r="C134" s="944"/>
      <c r="D134" s="151" t="s">
        <v>183</v>
      </c>
      <c r="E134" s="95">
        <f>'2'!F134</f>
        <v>42156.39</v>
      </c>
      <c r="F134" s="165">
        <v>42412.03</v>
      </c>
      <c r="G134" s="112">
        <f t="shared" si="10"/>
        <v>255.63999999999942</v>
      </c>
      <c r="H134" s="99">
        <f>G134+'2'!H134</f>
        <v>667.02999999999884</v>
      </c>
      <c r="I134" s="165"/>
      <c r="J134" s="328">
        <f>H134/DAY(B2)</f>
        <v>222.34333333333294</v>
      </c>
    </row>
    <row r="135" spans="1:15" ht="26.25">
      <c r="A135" s="868" t="s">
        <v>196</v>
      </c>
      <c r="B135" s="869"/>
      <c r="C135" s="870"/>
      <c r="D135" s="151"/>
      <c r="E135" s="95"/>
      <c r="F135" s="165"/>
      <c r="G135" s="112">
        <f>SUM(G128:G134)</f>
        <v>3075.7599999999948</v>
      </c>
      <c r="H135" s="99">
        <f>G135+'2'!H135</f>
        <v>9020.9600000000137</v>
      </c>
      <c r="I135" s="327">
        <f>G135-(G35+G49)</f>
        <v>-537.00000000001455</v>
      </c>
      <c r="J135" s="328">
        <f>H135/DAY(B2)</f>
        <v>3006.9866666666712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'2'!F138</f>
        <v>887497</v>
      </c>
      <c r="F138" s="147">
        <v>887650</v>
      </c>
      <c r="G138" s="112">
        <f t="shared" ref="G138:G152" si="11">F138-E138</f>
        <v>153</v>
      </c>
      <c r="H138" s="99">
        <f>G138+'2'!H138</f>
        <v>423</v>
      </c>
      <c r="I138" s="118"/>
      <c r="J138" s="328">
        <f>H138/DAY(B2)</f>
        <v>141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'2'!F139</f>
        <v>904421</v>
      </c>
      <c r="F139" s="148">
        <v>904574</v>
      </c>
      <c r="G139" s="112">
        <f t="shared" si="11"/>
        <v>153</v>
      </c>
      <c r="H139" s="99">
        <f>G139+'2'!H139</f>
        <v>484</v>
      </c>
      <c r="I139" s="118"/>
      <c r="J139" s="328">
        <f>H139/DAY(B2)</f>
        <v>161.33333333333334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'2'!F140</f>
        <v>1083.58</v>
      </c>
      <c r="F140" s="149">
        <v>1096.52</v>
      </c>
      <c r="G140" s="112">
        <f t="shared" si="11"/>
        <v>12.940000000000055</v>
      </c>
      <c r="H140" s="99">
        <f>G140+'2'!H140</f>
        <v>41.470000000000027</v>
      </c>
      <c r="I140" s="118"/>
      <c r="J140" s="328">
        <f>H140/DAY(B2)</f>
        <v>13.823333333333343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'2'!F141</f>
        <v>84533.15</v>
      </c>
      <c r="F141" s="149">
        <v>84746.75</v>
      </c>
      <c r="G141" s="112">
        <f t="shared" si="11"/>
        <v>213.60000000000582</v>
      </c>
      <c r="H141" s="99">
        <f>G141+'2'!H141</f>
        <v>631.55000000000291</v>
      </c>
      <c r="I141" s="118"/>
      <c r="J141" s="328">
        <f>H141/DAY(B2)</f>
        <v>210.51666666666765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'2'!F142</f>
        <v>34530.17</v>
      </c>
      <c r="F142" s="148">
        <v>34608.07</v>
      </c>
      <c r="G142" s="112">
        <f t="shared" si="11"/>
        <v>77.900000000001455</v>
      </c>
      <c r="H142" s="99">
        <f>G142+'2'!H142</f>
        <v>222.59999999999854</v>
      </c>
      <c r="I142" s="140"/>
      <c r="J142" s="328">
        <f>H142/DAY(B2)</f>
        <v>74.19999999999952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'2'!F143</f>
        <v>8217.26</v>
      </c>
      <c r="F143" s="149">
        <v>8245.5400000000009</v>
      </c>
      <c r="G143" s="112">
        <f t="shared" si="11"/>
        <v>28.280000000000655</v>
      </c>
      <c r="H143" s="99">
        <f>G143+'2'!H143</f>
        <v>87.220000000001164</v>
      </c>
      <c r="I143" s="140"/>
      <c r="J143" s="328">
        <f>H143/DAY(B2)</f>
        <v>29.073333333333721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'2'!F144</f>
        <v>912778</v>
      </c>
      <c r="F144" s="149">
        <v>913029</v>
      </c>
      <c r="G144" s="112">
        <f t="shared" si="11"/>
        <v>251</v>
      </c>
      <c r="H144" s="99">
        <f>G144+'2'!H144</f>
        <v>752</v>
      </c>
      <c r="I144" s="140"/>
      <c r="J144" s="328">
        <f>H144/DAY(B2)</f>
        <v>250.66666666666666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'2'!F145</f>
        <v>5666.56</v>
      </c>
      <c r="F145" s="149">
        <v>5666.56</v>
      </c>
      <c r="G145" s="112">
        <f t="shared" si="11"/>
        <v>0</v>
      </c>
      <c r="H145" s="99">
        <f>G145+'2'!H145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'2'!F146</f>
        <v>779410</v>
      </c>
      <c r="F146" s="147">
        <v>779473</v>
      </c>
      <c r="G146" s="112">
        <f t="shared" si="11"/>
        <v>63</v>
      </c>
      <c r="H146" s="99">
        <f>G146+'2'!H146</f>
        <v>145</v>
      </c>
      <c r="I146" s="140"/>
      <c r="J146" s="328">
        <f>H146/DAY(B2)</f>
        <v>48.333333333333336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'2'!F147</f>
        <v>688258</v>
      </c>
      <c r="F147" s="148">
        <v>688650</v>
      </c>
      <c r="G147" s="112">
        <f t="shared" si="11"/>
        <v>392</v>
      </c>
      <c r="H147" s="99">
        <f>G147+'2'!H147</f>
        <v>1123.8399999999674</v>
      </c>
      <c r="I147" s="140"/>
      <c r="J147" s="328">
        <f>H147/DAY(B2)</f>
        <v>374.61333333332249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'2'!F148</f>
        <v>739608</v>
      </c>
      <c r="F148" s="150">
        <v>739957</v>
      </c>
      <c r="G148" s="112">
        <f t="shared" si="11"/>
        <v>349</v>
      </c>
      <c r="H148" s="99">
        <f>G148+'2'!H148</f>
        <v>1009.7199999999721</v>
      </c>
      <c r="I148" s="124"/>
      <c r="J148" s="328">
        <f>H148/DAY(B2)</f>
        <v>336.573333333324</v>
      </c>
    </row>
    <row r="149" spans="1:10" ht="25.5">
      <c r="A149" s="950" t="s">
        <v>336</v>
      </c>
      <c r="B149" s="951"/>
      <c r="C149" s="952"/>
      <c r="D149" s="227" t="s">
        <v>130</v>
      </c>
      <c r="E149" s="95">
        <f>'2'!F149</f>
        <v>117537.34</v>
      </c>
      <c r="F149" s="146">
        <v>118031</v>
      </c>
      <c r="G149" s="112">
        <f t="shared" si="11"/>
        <v>493.66000000000349</v>
      </c>
      <c r="H149" s="99">
        <f>G149+'2'!H149</f>
        <v>1498.1999999999971</v>
      </c>
      <c r="I149" s="119"/>
      <c r="J149" s="328">
        <f>H149/DAY(B2)</f>
        <v>499.39999999999901</v>
      </c>
    </row>
    <row r="150" spans="1:10" ht="25.5">
      <c r="A150" s="950" t="s">
        <v>337</v>
      </c>
      <c r="B150" s="951"/>
      <c r="C150" s="952"/>
      <c r="D150" s="117" t="s">
        <v>130</v>
      </c>
      <c r="E150" s="95">
        <f>'2'!F150</f>
        <v>44148.99</v>
      </c>
      <c r="F150" s="233">
        <v>44371</v>
      </c>
      <c r="G150" s="112">
        <f t="shared" si="11"/>
        <v>222.01000000000204</v>
      </c>
      <c r="H150" s="99">
        <f>G150+'2'!H150</f>
        <v>645.83999999999651</v>
      </c>
      <c r="I150" s="119"/>
      <c r="J150" s="328">
        <f>H150/DAY(B2)</f>
        <v>215.27999999999884</v>
      </c>
    </row>
    <row r="151" spans="1:10" ht="29.25" customHeight="1">
      <c r="A151" s="950" t="s">
        <v>338</v>
      </c>
      <c r="B151" s="951"/>
      <c r="C151" s="952"/>
      <c r="D151" s="117" t="s">
        <v>130</v>
      </c>
      <c r="E151" s="95">
        <f>'2'!F151</f>
        <v>127129</v>
      </c>
      <c r="F151" s="233">
        <v>127400</v>
      </c>
      <c r="G151" s="112">
        <f t="shared" si="11"/>
        <v>271</v>
      </c>
      <c r="H151" s="99">
        <f>G151+'2'!H151</f>
        <v>797</v>
      </c>
      <c r="I151" s="119"/>
      <c r="J151" s="328">
        <f>H151/DAY(B2)</f>
        <v>265.66666666666669</v>
      </c>
    </row>
    <row r="152" spans="1:10" ht="29.25" customHeight="1">
      <c r="A152" s="950" t="s">
        <v>339</v>
      </c>
      <c r="B152" s="951"/>
      <c r="C152" s="952"/>
      <c r="D152" s="117" t="s">
        <v>130</v>
      </c>
      <c r="E152" s="95">
        <f>'2'!F152</f>
        <v>19544.759999999998</v>
      </c>
      <c r="F152" s="233">
        <v>19673</v>
      </c>
      <c r="G152" s="112">
        <f t="shared" si="11"/>
        <v>128.2400000000016</v>
      </c>
      <c r="H152" s="99">
        <f>G152+'2'!H152</f>
        <v>384.91999999999825</v>
      </c>
      <c r="I152" s="119"/>
      <c r="J152" s="328">
        <f>H152/DAY(B2)</f>
        <v>128.30666666666608</v>
      </c>
    </row>
    <row r="153" spans="1:10" ht="29.25" customHeight="1">
      <c r="A153" s="868" t="s">
        <v>196</v>
      </c>
      <c r="B153" s="869"/>
      <c r="C153" s="870"/>
      <c r="D153" s="367"/>
      <c r="E153" s="368"/>
      <c r="F153" s="369"/>
      <c r="G153" s="370">
        <f>SUM(G138:G152)</f>
        <v>2808.6300000000151</v>
      </c>
      <c r="H153" s="371"/>
      <c r="I153" s="119">
        <f>G153-(G38+G52)</f>
        <v>534.51000000001977</v>
      </c>
      <c r="J153" s="372"/>
    </row>
    <row r="154" spans="1:10" ht="29.2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9.25" customHeight="1">
      <c r="A155" s="903" t="s">
        <v>345</v>
      </c>
      <c r="B155" s="903"/>
      <c r="C155" s="903"/>
      <c r="D155" s="117" t="s">
        <v>130</v>
      </c>
      <c r="E155" s="95">
        <f>'2'!F155</f>
        <v>131455.19</v>
      </c>
      <c r="F155" s="389">
        <v>132073.72</v>
      </c>
      <c r="G155" s="112">
        <f t="shared" ref="G155:G158" si="12">F155-E155</f>
        <v>618.52999999999884</v>
      </c>
      <c r="H155" s="99">
        <f>G155+'2'!H155</f>
        <v>1832.3399999999965</v>
      </c>
      <c r="I155" s="364"/>
      <c r="J155" s="328">
        <f>H155/DAY(B2)</f>
        <v>610.77999999999884</v>
      </c>
    </row>
    <row r="156" spans="1:10" ht="29.25" customHeight="1">
      <c r="A156" s="953" t="s">
        <v>346</v>
      </c>
      <c r="B156" s="953"/>
      <c r="C156" s="953"/>
      <c r="D156" s="117" t="s">
        <v>130</v>
      </c>
      <c r="E156" s="95">
        <f>'2'!F156</f>
        <v>12254.59</v>
      </c>
      <c r="F156" s="389">
        <v>12334.27</v>
      </c>
      <c r="G156" s="112">
        <f t="shared" si="12"/>
        <v>79.680000000000291</v>
      </c>
      <c r="H156" s="99">
        <f>G156+'2'!H156</f>
        <v>240.90999999999985</v>
      </c>
      <c r="I156" s="165"/>
      <c r="J156" s="328">
        <f>H156/DAY(B2)</f>
        <v>80.303333333333285</v>
      </c>
    </row>
    <row r="157" spans="1:10" ht="29.25" customHeight="1">
      <c r="A157" s="895" t="s">
        <v>360</v>
      </c>
      <c r="B157" s="896"/>
      <c r="C157" s="897"/>
      <c r="D157" s="117" t="s">
        <v>130</v>
      </c>
      <c r="E157" s="95">
        <f>'2'!F157</f>
        <v>23528.59</v>
      </c>
      <c r="F157" s="389">
        <v>23646.240000000002</v>
      </c>
      <c r="G157" s="112">
        <f t="shared" si="12"/>
        <v>117.65000000000146</v>
      </c>
      <c r="H157" s="99">
        <f>G157+'2'!H157</f>
        <v>449.54000000000087</v>
      </c>
      <c r="I157" s="165"/>
      <c r="J157" s="328"/>
    </row>
    <row r="158" spans="1:10" ht="29.25" customHeight="1">
      <c r="A158" s="895" t="s">
        <v>361</v>
      </c>
      <c r="B158" s="896"/>
      <c r="C158" s="897"/>
      <c r="D158" s="117" t="s">
        <v>130</v>
      </c>
      <c r="E158" s="95">
        <f>'2'!F158</f>
        <v>222.81</v>
      </c>
      <c r="F158" s="389">
        <v>222.93</v>
      </c>
      <c r="G158" s="112">
        <f t="shared" si="12"/>
        <v>0.12000000000000455</v>
      </c>
      <c r="H158" s="99">
        <f>G158+'2'!H158</f>
        <v>135.23999999999998</v>
      </c>
      <c r="I158" s="165"/>
      <c r="J158" s="328"/>
    </row>
    <row r="159" spans="1:10" ht="29.25" customHeight="1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477737</v>
      </c>
      <c r="F161" s="235">
        <v>477777.04</v>
      </c>
      <c r="G161" s="238">
        <f t="shared" ref="G161:G165" si="13">F161-E161</f>
        <v>40.039999999979045</v>
      </c>
      <c r="H161" s="99">
        <f>G161+'2'!H161</f>
        <v>114.03999999997905</v>
      </c>
      <c r="I161" s="236"/>
      <c r="J161" s="239">
        <f>H161/DAY(B2)</f>
        <v>38.013333333326351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93885.7</v>
      </c>
      <c r="F162" s="235">
        <v>93909</v>
      </c>
      <c r="G162" s="238">
        <f t="shared" si="13"/>
        <v>23.30000000000291</v>
      </c>
      <c r="H162" s="99">
        <f>G162+'2'!H162</f>
        <v>103.69999999999709</v>
      </c>
      <c r="I162" s="236"/>
      <c r="J162" s="239">
        <f>H162/DAY(B2)</f>
        <v>34.566666666665697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2305.9</v>
      </c>
      <c r="F163" s="235">
        <v>2484.1999999999998</v>
      </c>
      <c r="G163" s="238">
        <f t="shared" si="13"/>
        <v>178.29999999999973</v>
      </c>
      <c r="H163" s="99">
        <f>G163+'2'!H163</f>
        <v>458.09999999999991</v>
      </c>
      <c r="I163" s="236"/>
      <c r="J163" s="239">
        <f>H163/DAY(B2)</f>
        <v>152.69999999999996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5920.1</v>
      </c>
      <c r="F164" s="235">
        <v>5931.2</v>
      </c>
      <c r="G164" s="238">
        <f t="shared" si="13"/>
        <v>11.099999999999454</v>
      </c>
      <c r="H164" s="99">
        <f>G164+'2'!H164</f>
        <v>32.800000000000182</v>
      </c>
      <c r="I164" s="236"/>
      <c r="J164" s="239">
        <f>H164/DAY(B2)</f>
        <v>10.933333333333394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31369.48</v>
      </c>
      <c r="F165" s="235">
        <v>31375.599999999999</v>
      </c>
      <c r="G165" s="238">
        <f t="shared" si="13"/>
        <v>6.1199999999989814</v>
      </c>
      <c r="H165" s="99">
        <f>G165+'2'!H165</f>
        <v>28.94999999999709</v>
      </c>
      <c r="I165" s="236"/>
      <c r="J165" s="239">
        <f>H165/DAY(B2)</f>
        <v>9.6499999999990305</v>
      </c>
    </row>
    <row r="166" spans="1:10" ht="26.25">
      <c r="A166" s="935"/>
      <c r="B166" s="935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'2'!F173</f>
        <v>8267</v>
      </c>
      <c r="F173" s="157">
        <v>8267</v>
      </c>
      <c r="G173" s="155">
        <f>F173-E173</f>
        <v>0</v>
      </c>
      <c r="H173" s="99">
        <f>G173+'2'!H173</f>
        <v>38</v>
      </c>
      <c r="I173" s="155"/>
      <c r="J173" s="178">
        <f>H173/DAY(B2)</f>
        <v>12.666666666666666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'2'!F174</f>
        <v>40804</v>
      </c>
      <c r="F174" s="157">
        <v>40819</v>
      </c>
      <c r="G174" s="155">
        <f t="shared" ref="G174:G175" si="14">F174-E174</f>
        <v>15</v>
      </c>
      <c r="H174" s="99">
        <f>G174+'2'!H174</f>
        <v>40</v>
      </c>
      <c r="I174" s="155"/>
      <c r="J174" s="178">
        <f>H174/DAY(B2)</f>
        <v>13.333333333333334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'2'!F175</f>
        <v>23678</v>
      </c>
      <c r="F175" s="155">
        <v>23690</v>
      </c>
      <c r="G175" s="155">
        <f t="shared" si="14"/>
        <v>12</v>
      </c>
      <c r="H175" s="99">
        <f>G175+'2'!H175</f>
        <v>34</v>
      </c>
      <c r="I175" s="155"/>
      <c r="J175" s="178">
        <f>H175/DAY(B2)</f>
        <v>11.333333333333334</v>
      </c>
    </row>
    <row r="176" spans="1:10" ht="21.75" customHeight="1">
      <c r="A176" s="868" t="s">
        <v>196</v>
      </c>
      <c r="B176" s="869"/>
      <c r="C176" s="870"/>
      <c r="D176" s="228"/>
      <c r="E176" s="95"/>
      <c r="F176" s="155"/>
      <c r="G176" s="155">
        <f>SUM(G173:G175)</f>
        <v>27</v>
      </c>
      <c r="H176" s="99">
        <f>G176+'2'!H176</f>
        <v>112</v>
      </c>
      <c r="I176" s="155"/>
      <c r="J176" s="178">
        <f>H176/DAY(B2)</f>
        <v>37.333333333333336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93" t="s">
        <v>210</v>
      </c>
      <c r="B178" s="894"/>
      <c r="C178" s="333"/>
      <c r="D178" s="228" t="s">
        <v>142</v>
      </c>
      <c r="E178" s="95">
        <f>'2'!F178</f>
        <v>94949</v>
      </c>
      <c r="F178" s="157">
        <v>95083</v>
      </c>
      <c r="G178" s="155">
        <f>F178-E178</f>
        <v>134</v>
      </c>
      <c r="H178" s="99">
        <f>G178+'2'!H178</f>
        <v>232</v>
      </c>
      <c r="I178" s="155"/>
      <c r="J178" s="178">
        <f>H178/DAY(B2)</f>
        <v>77.333333333333329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'2'!F179</f>
        <v>36002</v>
      </c>
      <c r="F179" s="155">
        <v>36002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93" t="s">
        <v>212</v>
      </c>
      <c r="B180" s="894"/>
      <c r="C180" s="333"/>
      <c r="D180" s="228" t="s">
        <v>142</v>
      </c>
      <c r="E180" s="95">
        <f>'2'!F180</f>
        <v>6902</v>
      </c>
      <c r="F180" s="155">
        <v>6913</v>
      </c>
      <c r="G180" s="155">
        <f t="shared" si="15"/>
        <v>11</v>
      </c>
      <c r="H180" s="99">
        <f>G180+'2'!H180</f>
        <v>31</v>
      </c>
      <c r="I180" s="155"/>
      <c r="J180" s="178">
        <f>H180/DAY(B2)</f>
        <v>10.333333333333334</v>
      </c>
    </row>
    <row r="181" spans="1:10" ht="26.25">
      <c r="A181" s="868" t="s">
        <v>196</v>
      </c>
      <c r="B181" s="869"/>
      <c r="C181" s="870"/>
      <c r="D181" s="228"/>
      <c r="E181" s="95"/>
      <c r="F181" s="155"/>
      <c r="G181" s="155">
        <f>SUM(G178:G180)</f>
        <v>145</v>
      </c>
      <c r="H181" s="99">
        <f>G181+'2'!H181</f>
        <v>263</v>
      </c>
      <c r="I181" s="155"/>
      <c r="J181" s="178">
        <f>H181/DAY(B2)</f>
        <v>87.666666666666671</v>
      </c>
    </row>
    <row r="182" spans="1:10" ht="27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93" t="s">
        <v>214</v>
      </c>
      <c r="B183" s="894"/>
      <c r="C183" s="334"/>
      <c r="D183" s="228" t="s">
        <v>142</v>
      </c>
      <c r="E183" s="95">
        <f>'2'!F183</f>
        <v>17289</v>
      </c>
      <c r="F183" s="157">
        <v>17294</v>
      </c>
      <c r="G183" s="157">
        <f>F183-E183</f>
        <v>5</v>
      </c>
      <c r="H183" s="99">
        <f>G183+'2'!H183</f>
        <v>19</v>
      </c>
      <c r="I183" s="155"/>
      <c r="J183" s="178">
        <f>H183/DAY(B2)</f>
        <v>6.333333333333333</v>
      </c>
    </row>
    <row r="184" spans="1:10" ht="25.5" customHeight="1">
      <c r="A184" s="893" t="s">
        <v>215</v>
      </c>
      <c r="B184" s="894"/>
      <c r="C184" s="334"/>
      <c r="D184" s="228" t="s">
        <v>142</v>
      </c>
      <c r="E184" s="95">
        <f>'2'!F184</f>
        <v>11697</v>
      </c>
      <c r="F184" s="157">
        <v>11707</v>
      </c>
      <c r="G184" s="157">
        <f t="shared" ref="G184:G185" si="16">F184-E184</f>
        <v>10</v>
      </c>
      <c r="H184" s="99">
        <f>G184+'2'!H184</f>
        <v>18</v>
      </c>
      <c r="I184" s="155"/>
      <c r="J184" s="178">
        <f>H184/DAY(B2)</f>
        <v>6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68" t="s">
        <v>196</v>
      </c>
      <c r="B186" s="869"/>
      <c r="C186" s="870"/>
      <c r="D186" s="229"/>
      <c r="E186" s="95"/>
      <c r="F186" s="157"/>
      <c r="G186" s="157">
        <f>SUM(G183:G185)</f>
        <v>15</v>
      </c>
      <c r="H186" s="99">
        <f>G186+'2'!H186</f>
        <v>37</v>
      </c>
      <c r="I186" s="157"/>
      <c r="J186" s="178">
        <f>H186/DAY(B2)</f>
        <v>12.333333333333334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158</v>
      </c>
      <c r="H187" s="99">
        <f>G187+'2'!H187</f>
        <v>414</v>
      </c>
      <c r="I187" s="158"/>
      <c r="J187" s="179">
        <f>H187/DAY(B2)</f>
        <v>138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122</v>
      </c>
      <c r="H188" s="99">
        <f>G188+'2'!H188</f>
        <v>349</v>
      </c>
      <c r="I188" s="158"/>
      <c r="J188" s="179">
        <f>H188/DAY(B2)</f>
        <v>116.33333333333333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145</v>
      </c>
      <c r="H189" s="99">
        <f>G189+'2'!H189</f>
        <v>263</v>
      </c>
      <c r="I189" s="158"/>
      <c r="J189" s="179">
        <f>H189/DAY(B2)</f>
        <v>87.666666666666671</v>
      </c>
    </row>
    <row r="190" spans="1:10" ht="25.5">
      <c r="A190" s="943"/>
      <c r="B190" s="94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0" zoomScale="55" zoomScaleNormal="48" zoomScaleSheetLayoutView="55" workbookViewId="0">
      <selection activeCell="O20" sqref="O2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44746</v>
      </c>
      <c r="C2" s="348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603817.35</v>
      </c>
      <c r="F7" s="95">
        <v>630876</v>
      </c>
      <c r="G7" s="112">
        <f>F7-E7</f>
        <v>27058.650000000023</v>
      </c>
      <c r="H7" s="99">
        <f>G7+'3'!H7</f>
        <v>107911.5</v>
      </c>
      <c r="I7" s="113">
        <f>'1'!I7</f>
        <v>12000</v>
      </c>
      <c r="J7" s="175">
        <f>H7/DAY(B2)</f>
        <v>26977.875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743946.79</v>
      </c>
      <c r="F8" s="114">
        <v>771492</v>
      </c>
      <c r="G8" s="115">
        <f>F8-E8</f>
        <v>27545.209999999963</v>
      </c>
      <c r="H8" s="99">
        <f>G8+'3'!H8</f>
        <v>109703</v>
      </c>
      <c r="I8" s="116"/>
      <c r="J8" s="175">
        <f>H8/DAY(B2)</f>
        <v>27425.75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2954997.1</v>
      </c>
      <c r="F9" s="117">
        <v>2969658</v>
      </c>
      <c r="G9" s="112">
        <f>F9-E9</f>
        <v>14660.899999999907</v>
      </c>
      <c r="H9" s="99">
        <f>G9+'3'!H9</f>
        <v>52008.899999999907</v>
      </c>
      <c r="I9" s="124">
        <f>I7-J7</f>
        <v>-14977.875</v>
      </c>
      <c r="J9" s="175">
        <f>H9/DAY(B2)</f>
        <v>13002.224999999977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1277144.6000000001</v>
      </c>
      <c r="F10" s="117">
        <v>1288567</v>
      </c>
      <c r="G10" s="112">
        <f t="shared" ref="G10:G12" si="0">F10-E10</f>
        <v>11422.399999999907</v>
      </c>
      <c r="H10" s="99">
        <f>G10+'3'!H10</f>
        <v>52880.370000000112</v>
      </c>
      <c r="I10" s="282"/>
      <c r="J10" s="175">
        <f>H10/DAY(B2)</f>
        <v>13220.092500000028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26083.299999999814</v>
      </c>
      <c r="H13" s="99">
        <f>G13+'3'!H13</f>
        <v>106618.20000000019</v>
      </c>
      <c r="I13" s="120">
        <f>G7-G13</f>
        <v>975.35000000020955</v>
      </c>
      <c r="J13" s="175">
        <f>H13/DAY(B2)</f>
        <v>26654.550000000047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2071046.49</v>
      </c>
      <c r="F15" s="469">
        <v>2072044</v>
      </c>
      <c r="G15" s="112">
        <f>(F15-E15)</f>
        <v>997.51000000000931</v>
      </c>
      <c r="H15" s="99">
        <f>G15+'3'!H15</f>
        <v>3965.5900000000838</v>
      </c>
      <c r="I15" s="113">
        <f>'1'!I15</f>
        <v>800</v>
      </c>
      <c r="J15" s="175">
        <f>H15/DAY(B2)</f>
        <v>991.39750000002095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-191.39750000002095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'3'!F18</f>
        <v>18</v>
      </c>
      <c r="F18" s="122">
        <v>24</v>
      </c>
      <c r="G18" s="119">
        <f>F18*10</f>
        <v>240</v>
      </c>
      <c r="H18" s="99">
        <f>G18+'3'!H18</f>
        <v>680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'3'!F19</f>
        <v>160976</v>
      </c>
      <c r="F19" s="122">
        <v>161026</v>
      </c>
      <c r="G19" s="112">
        <f t="shared" ref="G19" si="1">F19-E19</f>
        <v>50</v>
      </c>
      <c r="H19" s="99">
        <f>G19+'3'!H19</f>
        <v>197</v>
      </c>
      <c r="I19" s="335"/>
      <c r="J19" s="175">
        <f>H19/DAY(B2)</f>
        <v>49.25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290</v>
      </c>
      <c r="H20" s="99">
        <f>G20+'3'!H20</f>
        <v>877</v>
      </c>
      <c r="I20" s="336">
        <f>I18-J20</f>
        <v>-154.25</v>
      </c>
      <c r="J20" s="175">
        <f>H20/DAY(B2)</f>
        <v>219.25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27545.209999999963</v>
      </c>
      <c r="F27" s="136">
        <v>9</v>
      </c>
      <c r="G27" s="137">
        <f>E27*F27</f>
        <v>247906.88999999966</v>
      </c>
      <c r="H27" s="99">
        <f>G27+'3'!H27</f>
        <v>987327</v>
      </c>
      <c r="I27" s="138"/>
      <c r="J27" s="175">
        <f>H27/DAY(B2)</f>
        <v>246831.75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997.51000000000931</v>
      </c>
      <c r="F28" s="136">
        <v>70</v>
      </c>
      <c r="G28" s="137">
        <f>E28*F28</f>
        <v>69825.700000000652</v>
      </c>
      <c r="H28" s="99">
        <f>G28+'3'!H28</f>
        <v>277591.30000000587</v>
      </c>
      <c r="I28" s="140"/>
      <c r="J28" s="175">
        <f>H28/DAY(B2)</f>
        <v>69397.825000001467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G30+'3'!H30</f>
        <v>29747</v>
      </c>
      <c r="I30" s="140"/>
      <c r="J30" s="175">
        <f>H30/DAY(B2)</f>
        <v>7436.75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G31+'3'!H31</f>
        <v>54400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344482.59000000032</v>
      </c>
      <c r="H32" s="99">
        <f>G32+'3'!H32</f>
        <v>1349065.3000000059</v>
      </c>
      <c r="I32" s="144"/>
      <c r="J32" s="175">
        <f>H32/DAY(B2)</f>
        <v>337266.32500000147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238713.05</v>
      </c>
      <c r="F35" s="145">
        <v>238713</v>
      </c>
      <c r="G35" s="112">
        <f t="shared" ref="G35:G46" si="3">F35-E35</f>
        <v>-4.9999999988358468E-2</v>
      </c>
      <c r="H35" s="99">
        <f>G35+'3'!H35</f>
        <v>-4.9999999988358468E-2</v>
      </c>
      <c r="I35" s="95"/>
      <c r="J35" s="175">
        <f>H35/DAY(B2)</f>
        <v>-1.2499999997089617E-2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189977.21</v>
      </c>
      <c r="F36" s="145">
        <v>190743</v>
      </c>
      <c r="G36" s="112">
        <f t="shared" si="3"/>
        <v>765.79000000000815</v>
      </c>
      <c r="H36" s="99">
        <f>G36+'3'!H36</f>
        <v>3822.7699999999895</v>
      </c>
      <c r="I36" s="95"/>
      <c r="J36" s="175">
        <f>H36/DAY(B2)</f>
        <v>955.69249999999738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291644.55</v>
      </c>
      <c r="F37" s="145">
        <v>293244</v>
      </c>
      <c r="G37" s="112">
        <f t="shared" si="3"/>
        <v>1599.4500000000116</v>
      </c>
      <c r="H37" s="99">
        <f>G37+'3'!H37</f>
        <v>6525.0100000000093</v>
      </c>
      <c r="I37" s="95"/>
      <c r="J37" s="175">
        <f>H37/DAY(B2)</f>
        <v>1631.2525000000023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393420.39</v>
      </c>
      <c r="F38" s="108">
        <v>395614</v>
      </c>
      <c r="G38" s="112">
        <f t="shared" si="3"/>
        <v>2193.609999999986</v>
      </c>
      <c r="H38" s="99">
        <f>G38+'3'!H38</f>
        <v>8950.6500000000233</v>
      </c>
      <c r="I38" s="95"/>
      <c r="J38" s="175">
        <f>H38/DAY(B2)</f>
        <v>2237.6625000000058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532343.06999999995</v>
      </c>
      <c r="F39" s="145">
        <v>535356</v>
      </c>
      <c r="G39" s="112">
        <f t="shared" si="3"/>
        <v>3012.9300000000512</v>
      </c>
      <c r="H39" s="99">
        <f>G39+'3'!H39</f>
        <v>11975.409999999974</v>
      </c>
      <c r="I39" s="95"/>
      <c r="J39" s="175">
        <f>H39/DAY(B2)</f>
        <v>2993.8524999999936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85339.38</v>
      </c>
      <c r="F40" s="145">
        <v>85948</v>
      </c>
      <c r="G40" s="112">
        <f t="shared" si="3"/>
        <v>608.61999999999534</v>
      </c>
      <c r="H40" s="99">
        <f>G40+'3'!H40</f>
        <v>2276.9100000000035</v>
      </c>
      <c r="I40" s="95"/>
      <c r="J40" s="175">
        <f>H40/DAY(B2)</f>
        <v>569.22750000000087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142818.41</v>
      </c>
      <c r="F41" s="145">
        <v>142818</v>
      </c>
      <c r="G41" s="112">
        <f t="shared" si="3"/>
        <v>-0.41000000000349246</v>
      </c>
      <c r="H41" s="99">
        <f>G41+'3'!H41</f>
        <v>-0.39999999999417923</v>
      </c>
      <c r="I41" s="95"/>
      <c r="J41" s="175">
        <f>H41/DAY(B2)</f>
        <v>-9.9999999998544808E-2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698252.79</v>
      </c>
      <c r="F42" s="145">
        <v>704088</v>
      </c>
      <c r="G42" s="112">
        <f t="shared" si="3"/>
        <v>5835.2099999999627</v>
      </c>
      <c r="H42" s="99">
        <f>G42+'3'!H42</f>
        <v>15455.449999999953</v>
      </c>
      <c r="I42" s="95"/>
      <c r="J42" s="175">
        <f>H42/DAY(B2)</f>
        <v>3863.8624999999884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14015.150000000023</v>
      </c>
      <c r="H47" s="99">
        <f>G47+'3'!H47</f>
        <v>49005.749999999971</v>
      </c>
      <c r="I47" s="95"/>
      <c r="J47" s="175">
        <f>H47/DAY(B2)</f>
        <v>12251.437499999993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378314.23</v>
      </c>
      <c r="F49" s="423">
        <v>381950</v>
      </c>
      <c r="G49" s="112">
        <f t="shared" ref="G49:G58" si="4">F49-E49</f>
        <v>3635.7700000000186</v>
      </c>
      <c r="H49" s="99">
        <f>G49+'3'!H49</f>
        <v>14178.25</v>
      </c>
      <c r="I49" s="95"/>
      <c r="J49" s="175">
        <f>H49/DAY(B2)</f>
        <v>3544.5625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246255.39</v>
      </c>
      <c r="F50" s="145">
        <v>247837</v>
      </c>
      <c r="G50" s="112">
        <f t="shared" si="4"/>
        <v>1581.609999999986</v>
      </c>
      <c r="H50" s="99">
        <f>G50+'3'!H50</f>
        <v>4731.6000000000058</v>
      </c>
      <c r="I50" s="95"/>
      <c r="J50" s="175">
        <f>H50/DAY(B2)</f>
        <v>1182.9000000000015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76</v>
      </c>
      <c r="F51" s="145">
        <v>76</v>
      </c>
      <c r="G51" s="112">
        <f t="shared" si="4"/>
        <v>0</v>
      </c>
      <c r="H51" s="99">
        <f>G51+'3'!H51</f>
        <v>0.31999999999999318</v>
      </c>
      <c r="I51" s="95"/>
      <c r="J51" s="175">
        <f>H51/DAY(B2)</f>
        <v>7.9999999999998295E-2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9.76</v>
      </c>
      <c r="F52" s="145">
        <v>9.75</v>
      </c>
      <c r="G52" s="112">
        <f t="shared" si="4"/>
        <v>-9.9999999999997868E-3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78073.39</v>
      </c>
      <c r="F54" s="145">
        <v>78426</v>
      </c>
      <c r="G54" s="112">
        <f t="shared" si="4"/>
        <v>352.61000000000058</v>
      </c>
      <c r="H54" s="99">
        <f>G54+'3'!H54</f>
        <v>1408.5</v>
      </c>
      <c r="I54" s="95"/>
      <c r="J54" s="175">
        <f>H54/DAY(B2)</f>
        <v>352.125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293534.51</v>
      </c>
      <c r="F55" s="145">
        <v>294394</v>
      </c>
      <c r="G55" s="112">
        <f t="shared" si="4"/>
        <v>859.48999999999069</v>
      </c>
      <c r="H55" s="99">
        <f>G55+'3'!H55</f>
        <v>10311.070000000007</v>
      </c>
      <c r="I55" s="95"/>
      <c r="J55" s="175">
        <f>H55/DAY(B2)</f>
        <v>2577.7675000000017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114109.27</v>
      </c>
      <c r="F56" s="145">
        <v>115706</v>
      </c>
      <c r="G56" s="112">
        <f t="shared" si="4"/>
        <v>1596.7299999999959</v>
      </c>
      <c r="H56" s="99">
        <f>G56+'3'!H56</f>
        <v>4462.8699999999953</v>
      </c>
      <c r="I56" s="95"/>
      <c r="J56" s="175">
        <f>H56/DAY(B2)</f>
        <v>1115.7174999999988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141063.70000000001</v>
      </c>
      <c r="F57" s="145">
        <v>144140</v>
      </c>
      <c r="G57" s="112">
        <f t="shared" si="4"/>
        <v>3076.2999999999884</v>
      </c>
      <c r="H57" s="99">
        <f>G57+'3'!H57</f>
        <v>12236.299999999988</v>
      </c>
      <c r="I57" s="95"/>
      <c r="J57" s="175">
        <f>H57/DAY(B2)</f>
        <v>3059.0749999999971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41164.85</v>
      </c>
      <c r="F58" s="145">
        <v>41451</v>
      </c>
      <c r="G58" s="112">
        <f t="shared" si="4"/>
        <v>286.15000000000146</v>
      </c>
      <c r="H58" s="99">
        <f>G58+'3'!H58</f>
        <v>1170.8899999999994</v>
      </c>
      <c r="I58" s="95"/>
      <c r="J58" s="175">
        <f>H58/DAY(B2)</f>
        <v>292.72249999999985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11388.649999999981</v>
      </c>
      <c r="H59" s="99">
        <f>G59+'3'!H59</f>
        <v>48499.549999999996</v>
      </c>
      <c r="I59" s="95">
        <f>G7-G60</f>
        <v>1654.8500000000204</v>
      </c>
      <c r="J59" s="175">
        <f>H59/DAY(B2)</f>
        <v>12124.887499999999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25403.800000000003</v>
      </c>
      <c r="H60" s="99">
        <f>G60+'3'!H60</f>
        <v>97505.299999999974</v>
      </c>
      <c r="I60" s="95">
        <f>G13-G60</f>
        <v>679.49999999981083</v>
      </c>
      <c r="J60" s="175">
        <f>H60/DAY(B2)</f>
        <v>24376.324999999993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'3'!F62</f>
        <v>292965</v>
      </c>
      <c r="F62" s="122">
        <v>293049</v>
      </c>
      <c r="G62" s="112">
        <f t="shared" ref="G62:G63" si="5">F62-E62</f>
        <v>84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'3'!F63</f>
        <v>235427</v>
      </c>
      <c r="F63" s="122">
        <v>235573</v>
      </c>
      <c r="G63" s="112">
        <f t="shared" si="5"/>
        <v>146</v>
      </c>
      <c r="H63" s="99">
        <f>G63+'3'!H63</f>
        <v>507</v>
      </c>
      <c r="I63" s="118"/>
      <c r="J63" s="175">
        <f>H63/DAY(B2)</f>
        <v>126.75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122"/>
      <c r="F64" s="122"/>
      <c r="G64" s="112">
        <f>G62+G63</f>
        <v>230</v>
      </c>
      <c r="H64" s="99">
        <f>G64+'3'!H64</f>
        <v>858</v>
      </c>
      <c r="I64" s="118"/>
      <c r="J64" s="175">
        <f>H64/DAY(B2)</f>
        <v>214.5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'3'!F65</f>
        <v>451657</v>
      </c>
      <c r="F65" s="122">
        <v>451754</v>
      </c>
      <c r="G65" s="112">
        <f t="shared" ref="G65:G70" si="6">F65-E65</f>
        <v>97</v>
      </c>
      <c r="H65" s="99">
        <f>G65+'3'!H65</f>
        <v>365</v>
      </c>
      <c r="I65" s="118"/>
      <c r="J65" s="175">
        <f>H65/DAY(B2)</f>
        <v>91.25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111071</v>
      </c>
      <c r="F66" s="122">
        <v>111084</v>
      </c>
      <c r="G66" s="112">
        <f t="shared" si="6"/>
        <v>13</v>
      </c>
      <c r="H66" s="99">
        <f>G66+'3'!H66</f>
        <v>57</v>
      </c>
      <c r="I66" s="118"/>
      <c r="J66" s="175">
        <f>H66/DAY(B2)</f>
        <v>14.25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113680</v>
      </c>
      <c r="F67" s="404">
        <v>113680</v>
      </c>
      <c r="G67" s="112">
        <f t="shared" si="6"/>
        <v>0</v>
      </c>
      <c r="H67" s="99">
        <f>G67+'3'!H67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163656</v>
      </c>
      <c r="F68" s="122">
        <v>163712</v>
      </c>
      <c r="G68" s="112">
        <f t="shared" si="6"/>
        <v>56</v>
      </c>
      <c r="H68" s="99">
        <f>G68+'3'!H68</f>
        <v>186</v>
      </c>
      <c r="I68" s="118"/>
      <c r="J68" s="175">
        <f>H68/DAY(B2)</f>
        <v>46.5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12142</v>
      </c>
      <c r="F69" s="164">
        <v>12147</v>
      </c>
      <c r="G69" s="112">
        <f t="shared" si="6"/>
        <v>5</v>
      </c>
      <c r="H69" s="99">
        <f>G69+'3'!H69</f>
        <v>19</v>
      </c>
      <c r="I69" s="118"/>
      <c r="J69" s="175">
        <f>H69/DAY(B2)</f>
        <v>4.75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9537</v>
      </c>
      <c r="F70" s="404">
        <v>9548</v>
      </c>
      <c r="G70" s="112">
        <f t="shared" si="6"/>
        <v>11</v>
      </c>
      <c r="H70" s="99">
        <f>G70+'3'!H70</f>
        <v>34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182</v>
      </c>
      <c r="H71" s="99">
        <f>G71+'3'!H71</f>
        <v>661</v>
      </c>
      <c r="I71" s="154"/>
      <c r="J71" s="175">
        <f>H71/DAY(B2)</f>
        <v>165.25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'3'!F74</f>
        <v>948617.95</v>
      </c>
      <c r="F74" s="117">
        <v>948907</v>
      </c>
      <c r="G74" s="112">
        <f t="shared" ref="G74:G78" si="7">F74-E74</f>
        <v>289.05000000004657</v>
      </c>
      <c r="H74" s="99">
        <f>G74+'3'!H74</f>
        <v>1199.8000000000466</v>
      </c>
      <c r="I74" s="154"/>
      <c r="J74" s="175">
        <f>H74/DAY(B2)</f>
        <v>299.95000000001164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'3'!F76</f>
        <v>187219.4</v>
      </c>
      <c r="F76" s="123">
        <v>187313</v>
      </c>
      <c r="G76" s="112">
        <f t="shared" si="7"/>
        <v>93.600000000005821</v>
      </c>
      <c r="H76" s="99">
        <f>G76+'3'!H76</f>
        <v>421.70000000001164</v>
      </c>
      <c r="I76" s="154"/>
      <c r="J76" s="175">
        <f>H76/DAY(B2)</f>
        <v>105.42500000000291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'3'!F77</f>
        <v>48868</v>
      </c>
      <c r="F77" s="123">
        <v>48917</v>
      </c>
      <c r="G77" s="112">
        <f t="shared" si="7"/>
        <v>49</v>
      </c>
      <c r="H77" s="99">
        <f>G77+'3'!H77</f>
        <v>181.19999999999709</v>
      </c>
      <c r="I77" s="154"/>
      <c r="J77" s="175">
        <f>H77/DAY(B2)</f>
        <v>45.299999999999272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-0.3999999999996362</v>
      </c>
      <c r="I78" s="118"/>
      <c r="J78" s="175">
        <f>H78/DAY(B2)</f>
        <v>-9.9999999999909051E-2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'3'!F79</f>
        <v>0</v>
      </c>
      <c r="F79" s="117"/>
      <c r="G79" s="112">
        <f>G15-SUM(G74:G78)</f>
        <v>565.85999999995693</v>
      </c>
      <c r="H79" s="99">
        <f>G79+'3'!H79</f>
        <v>2163.2900000000282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997.51000000000931</v>
      </c>
      <c r="H80" s="99">
        <f>G80+'3'!H80</f>
        <v>3003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42275.26</v>
      </c>
      <c r="F84" s="164">
        <v>42275.26</v>
      </c>
      <c r="G84" s="236">
        <f t="shared" si="8"/>
        <v>0</v>
      </c>
      <c r="H84" s="99">
        <f>G84+'3'!H84</f>
        <v>0.26000000000203727</v>
      </c>
      <c r="I84" s="573"/>
      <c r="J84" s="175">
        <f>H84/DAY(B2)</f>
        <v>6.5000000000509317E-2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4923.2299999999996</v>
      </c>
      <c r="F85" s="164">
        <v>4947</v>
      </c>
      <c r="G85" s="236">
        <f t="shared" si="8"/>
        <v>23.770000000000437</v>
      </c>
      <c r="H85" s="99">
        <f>G85+'3'!H85</f>
        <v>64.989999999999782</v>
      </c>
      <c r="I85" s="573"/>
      <c r="J85" s="175">
        <f>H85/DAY(B2)</f>
        <v>16.247499999999945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44913.42</v>
      </c>
      <c r="F86" s="164">
        <v>44918</v>
      </c>
      <c r="G86" s="112">
        <f t="shared" si="8"/>
        <v>4.5800000000017462</v>
      </c>
      <c r="H86" s="99">
        <f>G86+'3'!H86</f>
        <v>65.69999999999709</v>
      </c>
      <c r="I86" s="573"/>
      <c r="J86" s="175">
        <f>H86/DAY(B2)</f>
        <v>16.424999999999272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35380.03</v>
      </c>
      <c r="F87" s="164">
        <v>35392</v>
      </c>
      <c r="G87" s="112">
        <f t="shared" si="8"/>
        <v>11.970000000001164</v>
      </c>
      <c r="H87" s="99">
        <f>G87+'3'!H87</f>
        <v>33.94999999999709</v>
      </c>
      <c r="I87" s="573">
        <f>G84+G85+G86+G87</f>
        <v>40.320000000003347</v>
      </c>
      <c r="J87" s="175">
        <f>H87/DAY(B2)</f>
        <v>8.4874999999992724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24277.26</v>
      </c>
      <c r="F88" s="164">
        <v>24277.25</v>
      </c>
      <c r="G88" s="112">
        <f t="shared" si="8"/>
        <v>-9.9999999983992893E-3</v>
      </c>
      <c r="H88" s="99">
        <f>G88+'3'!H88</f>
        <v>4.9999999999272404E-2</v>
      </c>
      <c r="I88" s="573"/>
      <c r="J88" s="175">
        <f>H88/DAY(B2)</f>
        <v>1.2499999999818101E-2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27318.76</v>
      </c>
      <c r="F89" s="164">
        <v>27327.85</v>
      </c>
      <c r="G89" s="112">
        <f t="shared" si="8"/>
        <v>9.0900000000001455</v>
      </c>
      <c r="H89" s="99">
        <f>G89+'3'!H89</f>
        <v>36.430000000000291</v>
      </c>
      <c r="I89" s="573">
        <f>G88+G89</f>
        <v>9.0800000000017462</v>
      </c>
      <c r="J89" s="175">
        <f>H89/DAY(B2)</f>
        <v>9.1075000000000728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72341.52</v>
      </c>
      <c r="F90" s="164">
        <v>72351.520000000004</v>
      </c>
      <c r="G90" s="112">
        <f t="shared" si="8"/>
        <v>10</v>
      </c>
      <c r="H90" s="99">
        <f>G90+'3'!H90</f>
        <v>25.120000000009895</v>
      </c>
      <c r="I90" s="573">
        <f>G90</f>
        <v>10</v>
      </c>
      <c r="J90" s="175">
        <f>H90/DAY(B2)</f>
        <v>6.2800000000024738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4145.2299999999996</v>
      </c>
      <c r="F91" s="122">
        <v>4156.42</v>
      </c>
      <c r="G91" s="112">
        <f t="shared" si="8"/>
        <v>11.190000000000509</v>
      </c>
      <c r="H91" s="99">
        <f>G91+'3'!H91</f>
        <v>17.980000000000473</v>
      </c>
      <c r="I91" s="592"/>
      <c r="J91" s="175">
        <f>H91/DAY(B2)</f>
        <v>4.4950000000001182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6540.41</v>
      </c>
      <c r="F92" s="122">
        <v>6540.41</v>
      </c>
      <c r="G92" s="112">
        <f t="shared" si="8"/>
        <v>0</v>
      </c>
      <c r="H92" s="99">
        <f>G92+'3'!H92</f>
        <v>25.069999999999709</v>
      </c>
      <c r="I92" s="598">
        <f>G91+G92</f>
        <v>11.190000000000509</v>
      </c>
      <c r="J92" s="175">
        <f>H92/DAY(B2)</f>
        <v>6.2674999999999272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6712.0200000000186</v>
      </c>
      <c r="H94" s="99">
        <f>G94+'3'!H94</f>
        <v>26414.5</v>
      </c>
      <c r="I94" s="118"/>
      <c r="J94" s="175">
        <f>H94/DAY(B2)</f>
        <v>6603.625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0.24805450382779676</v>
      </c>
      <c r="H95" s="99">
        <f>G95+'3'!H95</f>
        <v>0.98041452329098178</v>
      </c>
      <c r="I95" s="167"/>
      <c r="J95" s="175">
        <f>H95/DAY(B2)</f>
        <v>0.24510363082274544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8291.0199999999459</v>
      </c>
      <c r="H96" s="99">
        <f>G96+'3'!H96</f>
        <v>30228.989999999962</v>
      </c>
      <c r="I96" s="118"/>
      <c r="J96" s="175">
        <f>H96/DAY(B2)</f>
        <v>7557.2474999999904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0.30640922588525071</v>
      </c>
      <c r="H97" s="99">
        <f>G97+'3'!H97</f>
        <v>1.1143033058225464</v>
      </c>
      <c r="I97" s="167"/>
      <c r="J97" s="175">
        <f>H97/DAY(B2)</f>
        <v>0.27857582645563661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3012.9300000000512</v>
      </c>
      <c r="H98" s="99">
        <f>G98+'3'!H98</f>
        <v>11975.409999999974</v>
      </c>
      <c r="I98" s="168"/>
      <c r="J98" s="175">
        <f>H98/DAY(B2)</f>
        <v>2993.8524999999936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0.11134812712386052</v>
      </c>
      <c r="H99" s="99">
        <f>G99+'3'!H99</f>
        <v>0.44495243269980755</v>
      </c>
      <c r="I99" s="168"/>
      <c r="J99" s="175">
        <f>H99/DAY(B2)</f>
        <v>0.11123810817495189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2193.5999999999858</v>
      </c>
      <c r="H100" s="99">
        <f>G100+'3'!H100</f>
        <v>8950.4000000000233</v>
      </c>
      <c r="I100" s="118"/>
      <c r="J100" s="175">
        <f>H100/DAY(B2)</f>
        <v>2237.6000000000058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8.1068345981783418E-2</v>
      </c>
      <c r="H101" s="99">
        <f>G101+'3'!H101</f>
        <v>0.33237270726139334</v>
      </c>
      <c r="I101" s="168"/>
      <c r="J101" s="175">
        <f>H101/DAY(B2)</f>
        <v>8.3093176815348335E-2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2347.3999999999942</v>
      </c>
      <c r="H102" s="99">
        <f>G102+'3'!H102</f>
        <v>8554.3699999999953</v>
      </c>
      <c r="I102" s="168"/>
      <c r="J102" s="175">
        <f>H102/DAY(B2)</f>
        <v>2138.5924999999988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8.6752295476677219E-2</v>
      </c>
      <c r="H103" s="99">
        <f>G103+'3'!H103</f>
        <v>0.3169129157789316</v>
      </c>
      <c r="I103" s="118"/>
      <c r="J103" s="175">
        <f>H103/DAY(B2)</f>
        <v>7.9228228944732901E-2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1599.4500000000116</v>
      </c>
      <c r="H104" s="99">
        <f>G104+'3'!H104</f>
        <v>6525.330000000009</v>
      </c>
      <c r="I104" s="118"/>
      <c r="J104" s="175">
        <f>H104/DAY(B2)</f>
        <v>1631.3325000000023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5.9110487773780668E-2</v>
      </c>
      <c r="H105" s="99">
        <f>G105+'3'!H105</f>
        <v>0.24278730870550524</v>
      </c>
      <c r="I105" s="187"/>
      <c r="J105" s="188">
        <f>H105/DAY(B2)</f>
        <v>6.0696827176376311E-2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'3'!F112</f>
        <v>5150.21</v>
      </c>
      <c r="F112" s="237">
        <v>5225</v>
      </c>
      <c r="G112" s="112">
        <f t="shared" ref="G112:G123" si="9">F112-E112</f>
        <v>74.789999999999964</v>
      </c>
      <c r="H112" s="99">
        <f>G112+'3'!H112</f>
        <v>295.26000000000022</v>
      </c>
      <c r="I112" s="165"/>
      <c r="J112" s="328">
        <f>H112/DAY(B2)</f>
        <v>73.815000000000055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'3'!F113</f>
        <v>11053.83</v>
      </c>
      <c r="F113" s="237">
        <v>11198</v>
      </c>
      <c r="G113" s="112">
        <f t="shared" si="9"/>
        <v>144.17000000000007</v>
      </c>
      <c r="H113" s="99">
        <f>G113+'3'!H113</f>
        <v>565.28000000000065</v>
      </c>
      <c r="I113" s="165"/>
      <c r="J113" s="328">
        <f>H113/DAY(B2)</f>
        <v>141.32000000000016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'3'!F114</f>
        <v>14848.01</v>
      </c>
      <c r="F114" s="237">
        <v>15064</v>
      </c>
      <c r="G114" s="112">
        <f t="shared" si="9"/>
        <v>215.98999999999978</v>
      </c>
      <c r="H114" s="99">
        <f>G114+'3'!H114</f>
        <v>870.20000000000073</v>
      </c>
      <c r="I114" s="165"/>
      <c r="J114" s="328">
        <f>H114/DAY(B2)</f>
        <v>217.55000000000018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'3'!F115</f>
        <v>9386</v>
      </c>
      <c r="F115" s="237">
        <v>9506</v>
      </c>
      <c r="G115" s="112">
        <f t="shared" si="9"/>
        <v>120</v>
      </c>
      <c r="H115" s="99">
        <f>G115+'3'!H115</f>
        <v>594.44000000000051</v>
      </c>
      <c r="I115" s="165"/>
      <c r="J115" s="328">
        <f>H115/DAY(B2)</f>
        <v>148.61000000000013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'3'!F116</f>
        <v>60128.79</v>
      </c>
      <c r="F116" s="237">
        <v>60494</v>
      </c>
      <c r="G116" s="112">
        <f t="shared" si="9"/>
        <v>365.20999999999913</v>
      </c>
      <c r="H116" s="99">
        <f>G116+'3'!H116</f>
        <v>1603.4499999999971</v>
      </c>
      <c r="I116" s="165"/>
      <c r="J116" s="328">
        <f>H116/DAY(B2)</f>
        <v>400.86249999999927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'3'!F117</f>
        <v>33666.44</v>
      </c>
      <c r="F117" s="237">
        <v>33951</v>
      </c>
      <c r="G117" s="112">
        <f t="shared" si="9"/>
        <v>284.55999999999767</v>
      </c>
      <c r="H117" s="99">
        <f>G117+'3'!H117</f>
        <v>1062.5199999999968</v>
      </c>
      <c r="I117" s="165"/>
      <c r="J117" s="328">
        <f>H117/DAY(B2)</f>
        <v>265.6299999999992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'3'!F118</f>
        <v>46829.279999999999</v>
      </c>
      <c r="F118" s="237">
        <v>47482</v>
      </c>
      <c r="G118" s="112">
        <f t="shared" si="9"/>
        <v>652.72000000000116</v>
      </c>
      <c r="H118" s="99">
        <f>G118+'3'!H118</f>
        <v>2561.6900000000023</v>
      </c>
      <c r="I118" s="165"/>
      <c r="J118" s="328">
        <f>H118/DAY(B2)</f>
        <v>640.42250000000058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'3'!F119</f>
        <v>31042.19</v>
      </c>
      <c r="F119" s="237">
        <v>31271</v>
      </c>
      <c r="G119" s="112">
        <f t="shared" si="9"/>
        <v>228.81000000000131</v>
      </c>
      <c r="H119" s="99">
        <f>G119+'3'!H119</f>
        <v>928.40000000000146</v>
      </c>
      <c r="I119" s="165"/>
      <c r="J119" s="328">
        <f>H119/DAY(B2)</f>
        <v>232.10000000000036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'3'!F120</f>
        <v>34416.57</v>
      </c>
      <c r="F120" s="237">
        <v>34851</v>
      </c>
      <c r="G120" s="112">
        <f t="shared" si="9"/>
        <v>434.43000000000029</v>
      </c>
      <c r="H120" s="99">
        <f>G120+'3'!H120</f>
        <v>1745.4400000000023</v>
      </c>
      <c r="I120" s="165"/>
      <c r="J120" s="328">
        <f>H120/DAY(B2)</f>
        <v>436.36000000000058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'3'!F121</f>
        <v>40963.97</v>
      </c>
      <c r="F121" s="237">
        <v>41445</v>
      </c>
      <c r="G121" s="112">
        <f t="shared" si="9"/>
        <v>481.02999999999884</v>
      </c>
      <c r="H121" s="99">
        <f>G121+'3'!H121</f>
        <v>1857.0999999999985</v>
      </c>
      <c r="I121" s="165"/>
      <c r="J121" s="328">
        <f>H121/DAY(B2)</f>
        <v>464.27499999999964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'3'!F122</f>
        <v>20848.73</v>
      </c>
      <c r="F122" s="237">
        <v>21139</v>
      </c>
      <c r="G122" s="112">
        <f t="shared" si="9"/>
        <v>290.27000000000044</v>
      </c>
      <c r="H122" s="99">
        <f>G122+'3'!H122</f>
        <v>1173.119999999999</v>
      </c>
      <c r="I122" s="165"/>
      <c r="J122" s="328">
        <f>H122/DAY(B2)</f>
        <v>293.27999999999975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'3'!F123</f>
        <v>21286.02</v>
      </c>
      <c r="F123" s="237">
        <v>21600</v>
      </c>
      <c r="G123" s="112">
        <f t="shared" si="9"/>
        <v>313.97999999999956</v>
      </c>
      <c r="H123" s="99">
        <f>G123+'3'!H123</f>
        <v>1258</v>
      </c>
      <c r="I123" s="165"/>
      <c r="J123" s="328">
        <f>H123/DAY(B2)</f>
        <v>314.5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0" t="s">
        <v>196</v>
      </c>
      <c r="B125" s="461"/>
      <c r="C125" s="462"/>
      <c r="D125" s="307"/>
      <c r="E125" s="308"/>
      <c r="F125" s="308"/>
      <c r="G125" s="309">
        <f>SUM(G112:G124)</f>
        <v>3605.9599999999982</v>
      </c>
      <c r="H125" s="156"/>
      <c r="I125" s="327">
        <f>G125-(G39+G53)</f>
        <v>593.02999999994699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'3'!F128</f>
        <v>113411.95</v>
      </c>
      <c r="F128" s="165">
        <v>113920</v>
      </c>
      <c r="G128" s="112">
        <f t="shared" ref="G128:G134" si="10">F128-E128</f>
        <v>508.05000000000291</v>
      </c>
      <c r="H128" s="99">
        <f>G128+'3'!H128</f>
        <v>2044.1399999999994</v>
      </c>
      <c r="I128" s="165"/>
      <c r="J128" s="328">
        <f>H128/DAY(B2)</f>
        <v>511.03499999999985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67280.38</v>
      </c>
      <c r="F129" s="165">
        <v>67509</v>
      </c>
      <c r="G129" s="112">
        <f t="shared" si="10"/>
        <v>228.61999999999534</v>
      </c>
      <c r="H129" s="99">
        <f>G129+'3'!H129</f>
        <v>807.22000000000116</v>
      </c>
      <c r="I129" s="165"/>
      <c r="J129" s="328">
        <f>H129/DAY(B2)</f>
        <v>201.80500000000029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144154.25</v>
      </c>
      <c r="F130" s="165">
        <v>144936</v>
      </c>
      <c r="G130" s="112">
        <f t="shared" si="10"/>
        <v>781.75</v>
      </c>
      <c r="H130" s="99">
        <f>G130+'3'!H130</f>
        <v>3182.3500000000058</v>
      </c>
      <c r="I130" s="165"/>
      <c r="J130" s="328">
        <f>H130/DAY(B2)</f>
        <v>795.58750000000146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'3'!F131</f>
        <v>43194.35</v>
      </c>
      <c r="F131" s="165">
        <v>43400</v>
      </c>
      <c r="G131" s="112">
        <f t="shared" si="10"/>
        <v>205.65000000000146</v>
      </c>
      <c r="H131" s="99">
        <f>G131+'3'!H131</f>
        <v>781.80000000000291</v>
      </c>
      <c r="I131" s="165"/>
      <c r="J131" s="328">
        <f>H131/DAY(B2)</f>
        <v>195.45000000000073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'3'!F132</f>
        <v>117549.49</v>
      </c>
      <c r="F132" s="165">
        <v>117966</v>
      </c>
      <c r="G132" s="112">
        <f t="shared" si="10"/>
        <v>416.50999999999476</v>
      </c>
      <c r="H132" s="99">
        <f>G132+'3'!H132</f>
        <v>1675</v>
      </c>
      <c r="I132" s="165"/>
      <c r="J132" s="328">
        <f>H132/DAY(B2)</f>
        <v>418.75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'3'!F133</f>
        <v>789048</v>
      </c>
      <c r="F133" s="165">
        <v>789690</v>
      </c>
      <c r="G133" s="112">
        <f t="shared" si="10"/>
        <v>642</v>
      </c>
      <c r="H133" s="99">
        <f>G133+'3'!H133</f>
        <v>2646</v>
      </c>
      <c r="I133" s="165"/>
      <c r="J133" s="328">
        <f>H133/DAY(B2)</f>
        <v>661.5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'3'!F134</f>
        <v>42412.03</v>
      </c>
      <c r="F134" s="165">
        <v>42666</v>
      </c>
      <c r="G134" s="112">
        <f t="shared" si="10"/>
        <v>253.97000000000116</v>
      </c>
      <c r="H134" s="99">
        <f>G134+'3'!H134</f>
        <v>921</v>
      </c>
      <c r="I134" s="165"/>
      <c r="J134" s="328">
        <f>H134/DAY(B2)</f>
        <v>230.25</v>
      </c>
    </row>
    <row r="135" spans="1:15" ht="26.25">
      <c r="A135" s="868" t="s">
        <v>196</v>
      </c>
      <c r="B135" s="869"/>
      <c r="C135" s="870"/>
      <c r="D135" s="151"/>
      <c r="E135" s="95"/>
      <c r="F135" s="165"/>
      <c r="G135" s="112">
        <f>SUM(G128:G134)</f>
        <v>3036.5499999999956</v>
      </c>
      <c r="H135" s="99">
        <f>G135+'3'!H135</f>
        <v>12057.510000000009</v>
      </c>
      <c r="I135" s="327">
        <f>G135-(G35+G49)</f>
        <v>-599.17000000003463</v>
      </c>
      <c r="J135" s="328">
        <f>H135/DAY(B2)</f>
        <v>3014.3775000000023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'3'!F138</f>
        <v>887650</v>
      </c>
      <c r="F138" s="147">
        <v>887788</v>
      </c>
      <c r="G138" s="112">
        <f t="shared" ref="G138:G152" si="11">F138-E138</f>
        <v>138</v>
      </c>
      <c r="H138" s="99">
        <f>G138+'3'!H138</f>
        <v>561</v>
      </c>
      <c r="I138" s="118"/>
      <c r="J138" s="328">
        <f>H138/DAY(B2)</f>
        <v>140.25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'3'!F139</f>
        <v>904574</v>
      </c>
      <c r="F139" s="148">
        <v>904720</v>
      </c>
      <c r="G139" s="112">
        <f t="shared" si="11"/>
        <v>146</v>
      </c>
      <c r="H139" s="99">
        <f>G139+'3'!H139</f>
        <v>630</v>
      </c>
      <c r="I139" s="118"/>
      <c r="J139" s="328">
        <f>H139/DAY(B2)</f>
        <v>157.5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'3'!F140</f>
        <v>1096.52</v>
      </c>
      <c r="F140" s="149">
        <v>1110</v>
      </c>
      <c r="G140" s="112">
        <f t="shared" si="11"/>
        <v>13.480000000000018</v>
      </c>
      <c r="H140" s="99">
        <f>G140+'3'!H140</f>
        <v>54.950000000000045</v>
      </c>
      <c r="I140" s="118"/>
      <c r="J140" s="328">
        <f>H140/DAY(B2)</f>
        <v>13.737500000000011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'3'!F141</f>
        <v>84746.75</v>
      </c>
      <c r="F141" s="149">
        <v>84944</v>
      </c>
      <c r="G141" s="112">
        <f t="shared" si="11"/>
        <v>197.25</v>
      </c>
      <c r="H141" s="99">
        <f>G141+'3'!H141</f>
        <v>828.80000000000291</v>
      </c>
      <c r="I141" s="118"/>
      <c r="J141" s="328">
        <f>H141/DAY(B2)</f>
        <v>207.20000000000073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'3'!F142</f>
        <v>34608.07</v>
      </c>
      <c r="F142" s="148">
        <v>34684</v>
      </c>
      <c r="G142" s="112">
        <f t="shared" si="11"/>
        <v>75.930000000000291</v>
      </c>
      <c r="H142" s="99">
        <f>G142+'3'!H142</f>
        <v>298.52999999999884</v>
      </c>
      <c r="I142" s="140"/>
      <c r="J142" s="328">
        <f>H142/DAY(B2)</f>
        <v>74.632499999999709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'3'!F143</f>
        <v>8245.5400000000009</v>
      </c>
      <c r="F143" s="149">
        <v>8277</v>
      </c>
      <c r="G143" s="112">
        <f t="shared" si="11"/>
        <v>31.459999999999127</v>
      </c>
      <c r="H143" s="99">
        <f>G143+'3'!H143</f>
        <v>118.68000000000029</v>
      </c>
      <c r="I143" s="140"/>
      <c r="J143" s="328">
        <f>H143/DAY(B2)</f>
        <v>29.670000000000073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'3'!F144</f>
        <v>913029</v>
      </c>
      <c r="F144" s="149">
        <v>913277</v>
      </c>
      <c r="G144" s="112">
        <f t="shared" si="11"/>
        <v>248</v>
      </c>
      <c r="H144" s="99">
        <f>G144+'3'!H144</f>
        <v>1000</v>
      </c>
      <c r="I144" s="140"/>
      <c r="J144" s="328">
        <f>H144/DAY(B2)</f>
        <v>250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'3'!F145</f>
        <v>5666.56</v>
      </c>
      <c r="F145" s="149">
        <v>5666.56</v>
      </c>
      <c r="G145" s="112">
        <f t="shared" si="11"/>
        <v>0</v>
      </c>
      <c r="H145" s="99">
        <f>G145+'3'!H145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'3'!F146</f>
        <v>779473</v>
      </c>
      <c r="F146" s="148">
        <v>779529</v>
      </c>
      <c r="G146" s="112">
        <f t="shared" si="11"/>
        <v>56</v>
      </c>
      <c r="H146" s="99">
        <f>G146+'3'!H146</f>
        <v>201</v>
      </c>
      <c r="I146" s="140"/>
      <c r="J146" s="328">
        <f>H146/DAY(B2)</f>
        <v>50.25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'3'!F147</f>
        <v>688650</v>
      </c>
      <c r="F147" s="148">
        <v>689010</v>
      </c>
      <c r="G147" s="112">
        <f t="shared" si="11"/>
        <v>360</v>
      </c>
      <c r="H147" s="99">
        <f>G147+'3'!H147</f>
        <v>1483.8399999999674</v>
      </c>
      <c r="I147" s="140"/>
      <c r="J147" s="328">
        <f>H147/DAY(B2)</f>
        <v>370.95999999999185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'3'!F148</f>
        <v>739957</v>
      </c>
      <c r="F148" s="150">
        <v>740270</v>
      </c>
      <c r="G148" s="112">
        <f t="shared" si="11"/>
        <v>313</v>
      </c>
      <c r="H148" s="99">
        <f>G148+'3'!H148</f>
        <v>1322.7199999999721</v>
      </c>
      <c r="I148" s="124"/>
      <c r="J148" s="328">
        <f>H148/DAY(B2)</f>
        <v>330.67999999999302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'3'!F149</f>
        <v>118031</v>
      </c>
      <c r="F149" s="146">
        <v>118529</v>
      </c>
      <c r="G149" s="112">
        <f t="shared" si="11"/>
        <v>498</v>
      </c>
      <c r="H149" s="99">
        <f>G149+'3'!H149</f>
        <v>1996.1999999999971</v>
      </c>
      <c r="I149" s="119"/>
      <c r="J149" s="328">
        <f>H149/DAY(B2)</f>
        <v>499.04999999999927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'3'!F150</f>
        <v>44371</v>
      </c>
      <c r="F150" s="233">
        <v>44590</v>
      </c>
      <c r="G150" s="112">
        <f t="shared" si="11"/>
        <v>219</v>
      </c>
      <c r="H150" s="99">
        <f>G150+'3'!H150</f>
        <v>864.83999999999651</v>
      </c>
      <c r="I150" s="119"/>
      <c r="J150" s="328">
        <f>H150/DAY(B2)</f>
        <v>216.20999999999913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'3'!F151</f>
        <v>127400</v>
      </c>
      <c r="F151" s="233">
        <v>127658</v>
      </c>
      <c r="G151" s="112">
        <f t="shared" si="11"/>
        <v>258</v>
      </c>
      <c r="H151" s="99">
        <f>G151+'3'!H151</f>
        <v>1055</v>
      </c>
      <c r="I151" s="119"/>
      <c r="J151" s="328">
        <f>H151/DAY(B2)</f>
        <v>263.75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'3'!F152</f>
        <v>19673</v>
      </c>
      <c r="F152" s="233">
        <v>19803</v>
      </c>
      <c r="G152" s="112">
        <f t="shared" si="11"/>
        <v>130</v>
      </c>
      <c r="H152" s="99">
        <f>G152+'3'!H152</f>
        <v>514.91999999999825</v>
      </c>
      <c r="I152" s="119"/>
      <c r="J152" s="328">
        <f>H152/DAY(B2)</f>
        <v>128.72999999999956</v>
      </c>
    </row>
    <row r="153" spans="1:10" ht="26.25">
      <c r="A153" s="868" t="s">
        <v>196</v>
      </c>
      <c r="B153" s="869"/>
      <c r="C153" s="870"/>
      <c r="D153" s="358"/>
      <c r="E153" s="360"/>
      <c r="F153" s="361"/>
      <c r="G153" s="362">
        <f>SUM(G138:G152)</f>
        <v>2684.1199999999994</v>
      </c>
      <c r="H153" s="363"/>
      <c r="I153" s="119">
        <f>G153-(G38+G52)</f>
        <v>490.52000000001362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'3'!F155</f>
        <v>132073.72</v>
      </c>
      <c r="F155" s="374">
        <v>132641</v>
      </c>
      <c r="G155" s="112">
        <f t="shared" ref="G155:G158" si="12">F155-E155</f>
        <v>567.27999999999884</v>
      </c>
      <c r="H155" s="99">
        <f>G155+'3'!H155</f>
        <v>2399.6199999999953</v>
      </c>
      <c r="I155" s="364"/>
      <c r="J155" s="328">
        <f>H155/DAY(B2)</f>
        <v>599.90499999999884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'3'!F156</f>
        <v>12334.27</v>
      </c>
      <c r="F156" s="155">
        <v>12430</v>
      </c>
      <c r="G156" s="112">
        <f t="shared" si="12"/>
        <v>95.729999999999563</v>
      </c>
      <c r="H156" s="99">
        <f>G156+'3'!H156</f>
        <v>336.63999999999942</v>
      </c>
      <c r="I156" s="165"/>
      <c r="J156" s="328">
        <f>H156/DAY(B2)</f>
        <v>84.159999999999854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'3'!F157</f>
        <v>23646.240000000002</v>
      </c>
      <c r="F157" s="155">
        <v>23777</v>
      </c>
      <c r="G157" s="112">
        <f t="shared" si="12"/>
        <v>130.7599999999984</v>
      </c>
      <c r="H157" s="99">
        <f>G157+'3'!H157</f>
        <v>580.29999999999927</v>
      </c>
      <c r="I157" s="165"/>
      <c r="J157" s="328">
        <f>H157/DAY(B2)</f>
        <v>145.07499999999982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'3'!F158</f>
        <v>222.93</v>
      </c>
      <c r="F158" s="155">
        <v>223</v>
      </c>
      <c r="G158" s="112">
        <f t="shared" si="12"/>
        <v>6.9999999999993179E-2</v>
      </c>
      <c r="H158" s="99">
        <f>G158+'3'!H158</f>
        <v>135.30999999999997</v>
      </c>
      <c r="I158" s="165"/>
      <c r="J158" s="328">
        <f>H158/DAY(B2)</f>
        <v>33.827499999999993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477777.04</v>
      </c>
      <c r="F161" s="235">
        <v>477816</v>
      </c>
      <c r="G161" s="238">
        <f t="shared" ref="G161:G168" si="13">F161-E161</f>
        <v>38.960000000020955</v>
      </c>
      <c r="H161" s="99">
        <f>G161+'3'!H161</f>
        <v>153</v>
      </c>
      <c r="I161" s="236"/>
      <c r="J161" s="239">
        <f>H161/DAY(B2)</f>
        <v>38.25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93909</v>
      </c>
      <c r="F162" s="235">
        <v>93946</v>
      </c>
      <c r="G162" s="238">
        <f t="shared" si="13"/>
        <v>37</v>
      </c>
      <c r="H162" s="99">
        <f>G162+'3'!H162</f>
        <v>140.69999999999709</v>
      </c>
      <c r="I162" s="236"/>
      <c r="J162" s="239">
        <f>H162/DAY(B2)</f>
        <v>35.174999999999272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2484.1999999999998</v>
      </c>
      <c r="F163" s="235">
        <v>2634</v>
      </c>
      <c r="G163" s="238">
        <f t="shared" si="13"/>
        <v>149.80000000000018</v>
      </c>
      <c r="H163" s="99">
        <f>G163+'3'!H163</f>
        <v>607.90000000000009</v>
      </c>
      <c r="I163" s="236"/>
      <c r="J163" s="239">
        <f>H163/DAY(B2)</f>
        <v>151.97500000000002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5931.2</v>
      </c>
      <c r="F164" s="235">
        <v>5942</v>
      </c>
      <c r="G164" s="238">
        <f t="shared" si="13"/>
        <v>10.800000000000182</v>
      </c>
      <c r="H164" s="99">
        <f>G164+'3'!H164</f>
        <v>43.600000000000364</v>
      </c>
      <c r="I164" s="236"/>
      <c r="J164" s="239">
        <f>H164/DAY(B2)</f>
        <v>10.900000000000091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31375.599999999999</v>
      </c>
      <c r="F165" s="235">
        <v>31386</v>
      </c>
      <c r="G165" s="238">
        <f t="shared" si="13"/>
        <v>10.400000000001455</v>
      </c>
      <c r="H165" s="99">
        <f>G165+'3'!H165</f>
        <v>39.349999999998545</v>
      </c>
      <c r="I165" s="236"/>
      <c r="J165" s="239">
        <f>H165/DAY(B2)</f>
        <v>9.8374999999996362</v>
      </c>
    </row>
    <row r="166" spans="1:10" ht="26.25">
      <c r="A166" s="935"/>
      <c r="B166" s="935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'3'!F173</f>
        <v>8267</v>
      </c>
      <c r="F173" s="155">
        <v>8267</v>
      </c>
      <c r="G173" s="155">
        <f>F173-E173</f>
        <v>0</v>
      </c>
      <c r="H173" s="99">
        <f>G173+'3'!H173</f>
        <v>38</v>
      </c>
      <c r="I173" s="155"/>
      <c r="J173" s="178">
        <f>H173/DAY(B2)</f>
        <v>9.5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'3'!F174</f>
        <v>40819</v>
      </c>
      <c r="F174" s="157">
        <v>40835</v>
      </c>
      <c r="G174" s="155">
        <f t="shared" ref="G174:G175" si="14">F174-E174</f>
        <v>16</v>
      </c>
      <c r="H174" s="99">
        <f>G174+'3'!H174</f>
        <v>56</v>
      </c>
      <c r="I174" s="155"/>
      <c r="J174" s="178">
        <f>H174/DAY(B2)</f>
        <v>14</v>
      </c>
    </row>
    <row r="175" spans="1:10" ht="25.5" customHeight="1">
      <c r="A175" s="893" t="s">
        <v>76</v>
      </c>
      <c r="B175" s="898"/>
      <c r="C175" s="894"/>
      <c r="D175" s="228" t="s">
        <v>142</v>
      </c>
      <c r="E175" s="95">
        <f>'3'!F175</f>
        <v>23690</v>
      </c>
      <c r="F175" s="155">
        <v>23703</v>
      </c>
      <c r="G175" s="155">
        <f t="shared" si="14"/>
        <v>13</v>
      </c>
      <c r="H175" s="99">
        <f>G175+'3'!H175</f>
        <v>47</v>
      </c>
      <c r="I175" s="155"/>
      <c r="J175" s="178">
        <f>H175/DAY(B2)</f>
        <v>11.75</v>
      </c>
    </row>
    <row r="176" spans="1:10" ht="24.75" customHeight="1">
      <c r="A176" s="868" t="s">
        <v>196</v>
      </c>
      <c r="B176" s="869"/>
      <c r="C176" s="870"/>
      <c r="D176" s="228"/>
      <c r="E176" s="95"/>
      <c r="F176" s="155"/>
      <c r="G176" s="155">
        <f>SUM(G173:G175)</f>
        <v>29</v>
      </c>
      <c r="H176" s="99">
        <f>G176+'3'!H176</f>
        <v>141</v>
      </c>
      <c r="I176" s="155"/>
      <c r="J176" s="178">
        <f>H176/DAY(B2)</f>
        <v>35.25</v>
      </c>
    </row>
    <row r="177" spans="1:10" ht="28.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93" t="s">
        <v>210</v>
      </c>
      <c r="B178" s="894"/>
      <c r="C178" s="333"/>
      <c r="D178" s="228" t="s">
        <v>142</v>
      </c>
      <c r="E178" s="95">
        <f>'3'!F178</f>
        <v>95083</v>
      </c>
      <c r="F178" s="157">
        <v>95148</v>
      </c>
      <c r="G178" s="155">
        <f>F178-E178</f>
        <v>65</v>
      </c>
      <c r="H178" s="99">
        <f>G178+'3'!H178</f>
        <v>297</v>
      </c>
      <c r="I178" s="155"/>
      <c r="J178" s="178">
        <f>H178/DAY(B2)</f>
        <v>74.25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'3'!F179</f>
        <v>36002</v>
      </c>
      <c r="F179" s="155">
        <v>36002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'3'!F180</f>
        <v>6913</v>
      </c>
      <c r="F180" s="155">
        <v>6920</v>
      </c>
      <c r="G180" s="155">
        <f t="shared" si="15"/>
        <v>7</v>
      </c>
      <c r="H180" s="99">
        <f>G180+'3'!H180</f>
        <v>38</v>
      </c>
      <c r="I180" s="155"/>
      <c r="J180" s="178">
        <f>H180/DAY(B2)</f>
        <v>9.5</v>
      </c>
    </row>
    <row r="181" spans="1:10" ht="21.95" customHeight="1">
      <c r="A181" s="868" t="s">
        <v>196</v>
      </c>
      <c r="B181" s="869"/>
      <c r="C181" s="870"/>
      <c r="D181" s="228"/>
      <c r="E181" s="95"/>
      <c r="F181" s="155"/>
      <c r="G181" s="155">
        <f>SUM(G178:G180)</f>
        <v>72</v>
      </c>
      <c r="H181" s="99">
        <f>G181+'3'!H181</f>
        <v>335</v>
      </c>
      <c r="I181" s="155"/>
      <c r="J181" s="178">
        <f>H181/DAY(B2)</f>
        <v>83.75</v>
      </c>
    </row>
    <row r="182" spans="1:10" ht="21.9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'3'!F183</f>
        <v>17294</v>
      </c>
      <c r="F183" s="157">
        <v>17300</v>
      </c>
      <c r="G183" s="157">
        <f>F183-E183</f>
        <v>6</v>
      </c>
      <c r="H183" s="99">
        <f>G183+'3'!H183</f>
        <v>25</v>
      </c>
      <c r="I183" s="155"/>
      <c r="J183" s="178">
        <f>H183/DAY(B2)</f>
        <v>6.25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'3'!F184</f>
        <v>11707</v>
      </c>
      <c r="F184" s="157">
        <v>11717</v>
      </c>
      <c r="G184" s="157">
        <f t="shared" ref="G184:G185" si="16">F184-E184</f>
        <v>10</v>
      </c>
      <c r="H184" s="99">
        <f>G184+'3'!H184</f>
        <v>28</v>
      </c>
      <c r="I184" s="155"/>
      <c r="J184" s="178">
        <f>H184/DAY(B2)</f>
        <v>7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68" t="s">
        <v>196</v>
      </c>
      <c r="B186" s="869"/>
      <c r="C186" s="870"/>
      <c r="D186" s="229"/>
      <c r="E186" s="95"/>
      <c r="F186" s="157"/>
      <c r="G186" s="157">
        <f>SUM(G183:G185)</f>
        <v>16</v>
      </c>
      <c r="H186" s="99">
        <f>G186+'3'!H186</f>
        <v>53</v>
      </c>
      <c r="I186" s="157"/>
      <c r="J186" s="178">
        <f>H186/DAY(B2)</f>
        <v>13.25</v>
      </c>
    </row>
    <row r="187" spans="1:10" ht="25.5" customHeight="1">
      <c r="A187" s="943" t="s">
        <v>217</v>
      </c>
      <c r="B187" s="944"/>
      <c r="C187" s="333"/>
      <c r="D187" s="230" t="s">
        <v>142</v>
      </c>
      <c r="E187" s="95"/>
      <c r="F187" s="99"/>
      <c r="G187" s="159">
        <f>G62+G19</f>
        <v>134</v>
      </c>
      <c r="H187" s="99">
        <f>G187+'3'!H187</f>
        <v>548</v>
      </c>
      <c r="I187" s="158"/>
      <c r="J187" s="179">
        <f>H187/DAY(B2)</f>
        <v>137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126</v>
      </c>
      <c r="H188" s="99">
        <f>G188+'3'!H188</f>
        <v>475</v>
      </c>
      <c r="I188" s="158"/>
      <c r="J188" s="179">
        <f>H188/DAY(B2)</f>
        <v>118.75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72</v>
      </c>
      <c r="H189" s="99">
        <f>G189+'3'!H189</f>
        <v>335</v>
      </c>
      <c r="I189" s="158"/>
      <c r="J189" s="179">
        <f>H189/DAY(B2)</f>
        <v>83.75</v>
      </c>
    </row>
    <row r="190" spans="1:10" ht="25.5">
      <c r="A190" s="943"/>
      <c r="B190" s="94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79" zoomScale="51" zoomScaleNormal="48" zoomScaleSheetLayoutView="51" workbookViewId="0">
      <selection activeCell="E38" sqref="E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44747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630876</v>
      </c>
      <c r="F7" s="95">
        <v>657135</v>
      </c>
      <c r="G7" s="112">
        <f>F7-E7</f>
        <v>26259</v>
      </c>
      <c r="H7" s="99">
        <f>G7+'4'!H7</f>
        <v>134170.5</v>
      </c>
      <c r="I7" s="113">
        <f>'1'!I7</f>
        <v>12000</v>
      </c>
      <c r="J7" s="175">
        <f>H7/DAY(B2)</f>
        <v>26834.1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771492</v>
      </c>
      <c r="F8" s="114">
        <v>798186</v>
      </c>
      <c r="G8" s="115">
        <f>F8-E8</f>
        <v>26694</v>
      </c>
      <c r="H8" s="99">
        <f>G8+'4'!H8</f>
        <v>136397</v>
      </c>
      <c r="I8" s="116"/>
      <c r="J8" s="175">
        <f>H8/DAY(B2)</f>
        <v>27279.4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2969658</v>
      </c>
      <c r="F9" s="117">
        <v>2984052</v>
      </c>
      <c r="G9" s="112">
        <f>F9-E9</f>
        <v>14394</v>
      </c>
      <c r="H9" s="99">
        <f>G9+'4'!H9</f>
        <v>66402.899999999907</v>
      </c>
      <c r="I9" s="124">
        <f>I7-J7</f>
        <v>-14834.099999999999</v>
      </c>
      <c r="J9" s="175">
        <f>H9/DAY(B2)</f>
        <v>13280.579999999982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1288567</v>
      </c>
      <c r="F10" s="117">
        <v>1300060</v>
      </c>
      <c r="G10" s="112">
        <f t="shared" ref="G10:G12" si="0">F10-E10</f>
        <v>11493</v>
      </c>
      <c r="H10" s="99">
        <f>G10+'4'!H10</f>
        <v>64373.370000000112</v>
      </c>
      <c r="I10" s="282"/>
      <c r="J10" s="175">
        <f>H10/DAY(B2)</f>
        <v>12874.674000000023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25887</v>
      </c>
      <c r="H13" s="99">
        <f>G13+'4'!H13</f>
        <v>132505.20000000019</v>
      </c>
      <c r="I13" s="120">
        <f>G7-G13</f>
        <v>372</v>
      </c>
      <c r="J13" s="175">
        <f>H13/DAY(B2)</f>
        <v>26501.040000000037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2072044</v>
      </c>
      <c r="F15" s="469">
        <v>2073051</v>
      </c>
      <c r="G15" s="112">
        <f>(F15-E15)</f>
        <v>1007</v>
      </c>
      <c r="H15" s="99">
        <f>G15+'4'!H15</f>
        <v>4972.5900000000838</v>
      </c>
      <c r="I15" s="113">
        <f>'1'!I15</f>
        <v>800</v>
      </c>
      <c r="J15" s="175">
        <f>H15/DAY(B2)</f>
        <v>994.51800000001674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-194.51800000001674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'4'!F18</f>
        <v>24</v>
      </c>
      <c r="F18" s="122">
        <v>15</v>
      </c>
      <c r="G18" s="119">
        <f>F18*10</f>
        <v>150</v>
      </c>
      <c r="H18" s="99">
        <f>G18+'4'!H18</f>
        <v>830</v>
      </c>
      <c r="I18" s="113">
        <f>'1'!I18</f>
        <v>65</v>
      </c>
      <c r="J18" s="175">
        <f>H18/DAY(B2)</f>
        <v>166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'4'!F19</f>
        <v>161026</v>
      </c>
      <c r="F19" s="122">
        <v>161076</v>
      </c>
      <c r="G19" s="112">
        <f t="shared" ref="G19" si="1">F19-E19</f>
        <v>50</v>
      </c>
      <c r="H19" s="99">
        <f>G19+'4'!H19</f>
        <v>247</v>
      </c>
      <c r="I19" s="335"/>
      <c r="J19" s="175">
        <f>H19/DAY(B2)</f>
        <v>49.4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G20+'4'!H20</f>
        <v>1077</v>
      </c>
      <c r="I20" s="336">
        <f>I18-J20</f>
        <v>-150.4</v>
      </c>
      <c r="J20" s="175">
        <f>H20/DAY(B2)</f>
        <v>215.4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26694</v>
      </c>
      <c r="F27" s="136">
        <v>9</v>
      </c>
      <c r="G27" s="137">
        <f>E27*F27</f>
        <v>240246</v>
      </c>
      <c r="H27" s="99">
        <f>G27+'4'!H27</f>
        <v>1227573</v>
      </c>
      <c r="I27" s="138"/>
      <c r="J27" s="175">
        <f>H27/DAY(B2)</f>
        <v>245514.6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1007</v>
      </c>
      <c r="F28" s="136">
        <v>70</v>
      </c>
      <c r="G28" s="137">
        <f>E28*F28</f>
        <v>70490</v>
      </c>
      <c r="H28" s="99">
        <f>G28+'4'!H28</f>
        <v>348081.30000000587</v>
      </c>
      <c r="I28" s="140"/>
      <c r="J28" s="175">
        <f>H28/DAY(B2)</f>
        <v>69616.260000001173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G30+'4'!H30</f>
        <v>37297</v>
      </c>
      <c r="I30" s="140"/>
      <c r="J30" s="175">
        <f>H30/DAY(B2)</f>
        <v>7459.4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G31+'4'!H31</f>
        <v>66400</v>
      </c>
      <c r="I31" s="140"/>
      <c r="J31" s="175">
        <f>H31/DAY(B2)</f>
        <v>13280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330286</v>
      </c>
      <c r="H32" s="99">
        <f>G32+'4'!H32</f>
        <v>1679351.3000000059</v>
      </c>
      <c r="I32" s="144"/>
      <c r="J32" s="175">
        <f>H32/DAY(B2)</f>
        <v>335870.26000000117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238713</v>
      </c>
      <c r="F35" s="145">
        <v>238713</v>
      </c>
      <c r="G35" s="112">
        <f t="shared" ref="G35:G46" si="3">F35-E35</f>
        <v>0</v>
      </c>
      <c r="H35" s="99">
        <f>G35+'4'!H35</f>
        <v>-4.9999999988358468E-2</v>
      </c>
      <c r="I35" s="95"/>
      <c r="J35" s="175">
        <f>H35/DAY(B2)</f>
        <v>-9.9999999976716943E-3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190743</v>
      </c>
      <c r="F36" s="145">
        <v>191573</v>
      </c>
      <c r="G36" s="112">
        <f t="shared" si="3"/>
        <v>830</v>
      </c>
      <c r="H36" s="99">
        <f>G36+'4'!H36</f>
        <v>4652.7699999999895</v>
      </c>
      <c r="I36" s="95"/>
      <c r="J36" s="175">
        <f>H36/DAY(B2)</f>
        <v>930.55399999999793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293244</v>
      </c>
      <c r="F37" s="145">
        <v>294894</v>
      </c>
      <c r="G37" s="112">
        <f t="shared" si="3"/>
        <v>1650</v>
      </c>
      <c r="H37" s="99">
        <f>G37+'4'!H37</f>
        <v>8175.0100000000093</v>
      </c>
      <c r="I37" s="95"/>
      <c r="J37" s="175">
        <f>H37/DAY(B2)</f>
        <v>1635.0020000000018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395614</v>
      </c>
      <c r="F38" s="108">
        <v>397778</v>
      </c>
      <c r="G38" s="112">
        <f t="shared" si="3"/>
        <v>2164</v>
      </c>
      <c r="H38" s="99">
        <f>G38+'4'!H38</f>
        <v>11114.650000000023</v>
      </c>
      <c r="I38" s="95"/>
      <c r="J38" s="175">
        <f>H38/DAY(B2)</f>
        <v>2222.9300000000048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535356</v>
      </c>
      <c r="F39" s="145">
        <v>538362</v>
      </c>
      <c r="G39" s="112">
        <f t="shared" si="3"/>
        <v>3006</v>
      </c>
      <c r="H39" s="99">
        <f>G39+'4'!H39</f>
        <v>14981.409999999974</v>
      </c>
      <c r="I39" s="95"/>
      <c r="J39" s="175">
        <f>H39/DAY(B2)</f>
        <v>2996.2819999999947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85948</v>
      </c>
      <c r="F40" s="145">
        <v>86571</v>
      </c>
      <c r="G40" s="112">
        <f t="shared" si="3"/>
        <v>623</v>
      </c>
      <c r="H40" s="99">
        <f>G40+'4'!H40</f>
        <v>2899.9100000000035</v>
      </c>
      <c r="I40" s="95"/>
      <c r="J40" s="175">
        <f>H40/DAY(B2)</f>
        <v>579.98200000000065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142818</v>
      </c>
      <c r="F41" s="145">
        <v>142818</v>
      </c>
      <c r="G41" s="112">
        <f t="shared" si="3"/>
        <v>0</v>
      </c>
      <c r="H41" s="99">
        <f>G41+'4'!H41</f>
        <v>-0.39999999999417923</v>
      </c>
      <c r="I41" s="95"/>
      <c r="J41" s="175">
        <f>H41/DAY(B2)</f>
        <v>-7.999999999883585E-2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704088</v>
      </c>
      <c r="F42" s="145">
        <v>709543</v>
      </c>
      <c r="G42" s="112">
        <f t="shared" si="3"/>
        <v>5455</v>
      </c>
      <c r="H42" s="99">
        <f>G42+'4'!H42</f>
        <v>20910.449999999953</v>
      </c>
      <c r="I42" s="95"/>
      <c r="J42" s="175">
        <f>H42/DAY(B2)</f>
        <v>4182.0899999999911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13728</v>
      </c>
      <c r="H47" s="99">
        <f>G47+'4'!H47</f>
        <v>62733.749999999971</v>
      </c>
      <c r="I47" s="95"/>
      <c r="J47" s="175">
        <f>H47/DAY(B2)</f>
        <v>12546.749999999995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381950</v>
      </c>
      <c r="F49" s="145">
        <v>385660</v>
      </c>
      <c r="G49" s="112">
        <f t="shared" ref="G49:G58" si="4">F49-E49</f>
        <v>3710</v>
      </c>
      <c r="H49" s="99">
        <f>G49+'4'!H49</f>
        <v>17888.25</v>
      </c>
      <c r="I49" s="95"/>
      <c r="J49" s="175">
        <f>H49/DAY(B2)</f>
        <v>3577.65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247837</v>
      </c>
      <c r="F50" s="145">
        <v>248406</v>
      </c>
      <c r="G50" s="112">
        <f t="shared" si="4"/>
        <v>569</v>
      </c>
      <c r="H50" s="99">
        <f>G50+'4'!H50</f>
        <v>5300.6000000000058</v>
      </c>
      <c r="I50" s="95"/>
      <c r="J50" s="175">
        <f>H50/DAY(B2)</f>
        <v>1060.1200000000013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76</v>
      </c>
      <c r="F51" s="145">
        <v>75.680000000000007</v>
      </c>
      <c r="G51" s="112">
        <f t="shared" si="4"/>
        <v>-0.31999999999999318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78426</v>
      </c>
      <c r="F54" s="145">
        <v>78784</v>
      </c>
      <c r="G54" s="112">
        <f t="shared" si="4"/>
        <v>358</v>
      </c>
      <c r="H54" s="99">
        <f>G54+'4'!H54</f>
        <v>1766.5</v>
      </c>
      <c r="I54" s="95"/>
      <c r="J54" s="175">
        <f>H54/DAY(B2)</f>
        <v>353.3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294394</v>
      </c>
      <c r="F55" s="145">
        <v>294394</v>
      </c>
      <c r="G55" s="112">
        <f t="shared" si="4"/>
        <v>0</v>
      </c>
      <c r="H55" s="99">
        <f>G55+'4'!H55</f>
        <v>10311.070000000007</v>
      </c>
      <c r="I55" s="95"/>
      <c r="J55" s="175">
        <f>H55/DAY(B2)</f>
        <v>2062.2140000000013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115706</v>
      </c>
      <c r="F56" s="145">
        <v>117633</v>
      </c>
      <c r="G56" s="112">
        <f t="shared" si="4"/>
        <v>1927</v>
      </c>
      <c r="H56" s="99">
        <f>G56+'4'!H56</f>
        <v>6389.8699999999953</v>
      </c>
      <c r="I56" s="95"/>
      <c r="J56" s="175">
        <f>H56/DAY(B2)</f>
        <v>1277.973999999999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144140</v>
      </c>
      <c r="F57" s="145">
        <v>147376</v>
      </c>
      <c r="G57" s="112">
        <f t="shared" si="4"/>
        <v>3236</v>
      </c>
      <c r="H57" s="99">
        <f>G57+'4'!H57</f>
        <v>15472.299999999988</v>
      </c>
      <c r="I57" s="95"/>
      <c r="J57" s="175">
        <f>H57/DAY(B2)</f>
        <v>3094.4599999999978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41451</v>
      </c>
      <c r="F58" s="145">
        <v>41757</v>
      </c>
      <c r="G58" s="112">
        <f t="shared" si="4"/>
        <v>306</v>
      </c>
      <c r="H58" s="99">
        <f>G58+'4'!H58</f>
        <v>1476.8899999999994</v>
      </c>
      <c r="I58" s="95"/>
      <c r="J58" s="175">
        <f>H58/DAY(B2)</f>
        <v>295.37799999999987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10105.69</v>
      </c>
      <c r="H59" s="99">
        <f>G59+'4'!H59</f>
        <v>58605.24</v>
      </c>
      <c r="I59" s="95">
        <f>G7-G60</f>
        <v>2425.3099999999977</v>
      </c>
      <c r="J59" s="175">
        <f>H59/DAY(B2)</f>
        <v>11721.047999999999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23833.690000000002</v>
      </c>
      <c r="H60" s="99">
        <f>G60+'4'!H60</f>
        <v>121338.98999999998</v>
      </c>
      <c r="I60" s="95">
        <f>G13-G60</f>
        <v>2053.3099999999977</v>
      </c>
      <c r="J60" s="175">
        <f>H60/DAY(B2)</f>
        <v>24267.797999999995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'4'!F62</f>
        <v>293049</v>
      </c>
      <c r="F62" s="122">
        <v>293137</v>
      </c>
      <c r="G62" s="112">
        <f t="shared" ref="G62:G63" si="5">F62-E62</f>
        <v>88</v>
      </c>
      <c r="H62" s="99">
        <f>G62+'4'!H62</f>
        <v>439</v>
      </c>
      <c r="I62" s="118"/>
      <c r="J62" s="175">
        <f>H62/DAY(B2)</f>
        <v>87.8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'4'!F63</f>
        <v>235573</v>
      </c>
      <c r="F63" s="122">
        <v>235693</v>
      </c>
      <c r="G63" s="112">
        <f t="shared" si="5"/>
        <v>120</v>
      </c>
      <c r="H63" s="99">
        <f>G63+'4'!H63</f>
        <v>627</v>
      </c>
      <c r="I63" s="118"/>
      <c r="J63" s="175">
        <f>H63/DAY(B2)</f>
        <v>125.4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'4'!F64</f>
        <v>0</v>
      </c>
      <c r="F64" s="122"/>
      <c r="G64" s="112">
        <f>G62+G63</f>
        <v>208</v>
      </c>
      <c r="H64" s="99">
        <f>G64+'4'!H64</f>
        <v>1066</v>
      </c>
      <c r="I64" s="118"/>
      <c r="J64" s="175">
        <f>H64/DAY(B2)</f>
        <v>213.2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'4'!F65</f>
        <v>451754</v>
      </c>
      <c r="F65" s="122">
        <v>451851</v>
      </c>
      <c r="G65" s="112">
        <f t="shared" ref="G65:G70" si="6">F65-E65</f>
        <v>97</v>
      </c>
      <c r="H65" s="99">
        <f>G65+'4'!H65</f>
        <v>462</v>
      </c>
      <c r="I65" s="118"/>
      <c r="J65" s="175">
        <f>H65/DAY(B2)</f>
        <v>92.4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111084</v>
      </c>
      <c r="F66" s="122">
        <v>111097</v>
      </c>
      <c r="G66" s="112">
        <f t="shared" si="6"/>
        <v>13</v>
      </c>
      <c r="H66" s="99">
        <f>G66+'4'!H66</f>
        <v>70</v>
      </c>
      <c r="I66" s="118"/>
      <c r="J66" s="175">
        <f>H66/DAY(B2)</f>
        <v>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113680</v>
      </c>
      <c r="F67" s="122">
        <v>113680</v>
      </c>
      <c r="G67" s="112">
        <f t="shared" si="6"/>
        <v>0</v>
      </c>
      <c r="H67" s="99">
        <f>G67+'4'!H67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163712</v>
      </c>
      <c r="F68" s="122">
        <v>163759</v>
      </c>
      <c r="G68" s="112">
        <f t="shared" si="6"/>
        <v>47</v>
      </c>
      <c r="H68" s="99">
        <f>G68+'4'!H68</f>
        <v>233</v>
      </c>
      <c r="I68" s="118"/>
      <c r="J68" s="175">
        <f>H68/DAY(B2)</f>
        <v>46.6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12147</v>
      </c>
      <c r="F69" s="122">
        <v>12151</v>
      </c>
      <c r="G69" s="112">
        <f t="shared" si="6"/>
        <v>4</v>
      </c>
      <c r="H69" s="99">
        <f>G69+'4'!H69</f>
        <v>23</v>
      </c>
      <c r="I69" s="118"/>
      <c r="J69" s="175">
        <f>H69/DAY(B2)</f>
        <v>4.5999999999999996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9548</v>
      </c>
      <c r="F70" s="122">
        <v>9554</v>
      </c>
      <c r="G70" s="112">
        <f t="shared" si="6"/>
        <v>6</v>
      </c>
      <c r="H70" s="99">
        <f>G70+'4'!H70</f>
        <v>40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167</v>
      </c>
      <c r="H71" s="99">
        <f>G71+'4'!H71</f>
        <v>828</v>
      </c>
      <c r="I71" s="154"/>
      <c r="J71" s="175">
        <f>H71/DAY(B2)</f>
        <v>165.6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'4'!F74</f>
        <v>948907</v>
      </c>
      <c r="F74" s="123">
        <v>949218</v>
      </c>
      <c r="G74" s="112">
        <f t="shared" ref="G74:G78" si="7">F74-E74</f>
        <v>311</v>
      </c>
      <c r="H74" s="99">
        <f>G74+'4'!H74</f>
        <v>1510.8000000000466</v>
      </c>
      <c r="I74" s="154"/>
      <c r="J74" s="175">
        <f>H74/DAY(B2)</f>
        <v>302.16000000000929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'4'!F76</f>
        <v>187313</v>
      </c>
      <c r="F76" s="123">
        <v>187419</v>
      </c>
      <c r="G76" s="112">
        <f t="shared" si="7"/>
        <v>106</v>
      </c>
      <c r="H76" s="99">
        <f>G76+'4'!H76</f>
        <v>527.70000000001164</v>
      </c>
      <c r="I76" s="154"/>
      <c r="J76" s="175">
        <f>H76/DAY(B2)</f>
        <v>105.54000000000232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'4'!F77</f>
        <v>48917</v>
      </c>
      <c r="F77" s="123">
        <v>48963</v>
      </c>
      <c r="G77" s="112">
        <f t="shared" si="7"/>
        <v>46</v>
      </c>
      <c r="H77" s="99">
        <f>G77+'4'!H77</f>
        <v>227.19999999999709</v>
      </c>
      <c r="I77" s="154"/>
      <c r="J77" s="175">
        <f>H77/DAY(B2)</f>
        <v>45.439999999999415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17"/>
      <c r="G79" s="112">
        <f>G15-SUM(G74:G78)</f>
        <v>543.60000000000036</v>
      </c>
      <c r="H79" s="99">
        <f>G79+'4'!H79</f>
        <v>2706.8900000000285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1007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42275.26</v>
      </c>
      <c r="F84" s="164">
        <v>42275.26</v>
      </c>
      <c r="G84" s="112">
        <f t="shared" si="8"/>
        <v>0</v>
      </c>
      <c r="H84" s="99">
        <f>G84+'4'!H84</f>
        <v>0.26000000000203727</v>
      </c>
      <c r="I84" s="573"/>
      <c r="J84" s="175">
        <f>H84/DAY(B2)</f>
        <v>5.2000000000407456E-2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4947</v>
      </c>
      <c r="F85" s="164">
        <v>4971</v>
      </c>
      <c r="G85" s="112">
        <f t="shared" si="8"/>
        <v>24</v>
      </c>
      <c r="H85" s="99">
        <f>G85+'4'!H85</f>
        <v>88.989999999999782</v>
      </c>
      <c r="I85" s="573"/>
      <c r="J85" s="175">
        <f>H85/DAY(B2)</f>
        <v>17.797999999999956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44918</v>
      </c>
      <c r="F86" s="164">
        <v>44918</v>
      </c>
      <c r="G86" s="112">
        <f t="shared" si="8"/>
        <v>0</v>
      </c>
      <c r="H86" s="99">
        <f>G86+'4'!H86</f>
        <v>65.69999999999709</v>
      </c>
      <c r="I86" s="573"/>
      <c r="J86" s="175">
        <f>H86/DAY(B2)</f>
        <v>13.139999999999418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35392</v>
      </c>
      <c r="F87" s="164">
        <v>35407</v>
      </c>
      <c r="G87" s="112">
        <f t="shared" si="8"/>
        <v>15</v>
      </c>
      <c r="H87" s="99">
        <f>G87+'4'!H87</f>
        <v>48.94999999999709</v>
      </c>
      <c r="I87" s="555">
        <f>G84+G85+G86+G87</f>
        <v>39</v>
      </c>
      <c r="J87" s="175">
        <f>H87/DAY(B2)</f>
        <v>9.7899999999994183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24277.25</v>
      </c>
      <c r="F88" s="164">
        <v>24277.25</v>
      </c>
      <c r="G88" s="112">
        <f t="shared" si="8"/>
        <v>0</v>
      </c>
      <c r="H88" s="99">
        <f>G88+'4'!H88</f>
        <v>4.9999999999272404E-2</v>
      </c>
      <c r="I88" s="555"/>
      <c r="J88" s="175">
        <f>H88/DAY(B2)</f>
        <v>9.9999999998544812E-3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27327.85</v>
      </c>
      <c r="F89" s="164">
        <v>27337.52</v>
      </c>
      <c r="G89" s="112">
        <f t="shared" si="8"/>
        <v>9.6700000000018917</v>
      </c>
      <c r="H89" s="99">
        <f>G89+'4'!H89</f>
        <v>46.100000000002183</v>
      </c>
      <c r="I89" s="555">
        <f>G88+G89</f>
        <v>9.6700000000018917</v>
      </c>
      <c r="J89" s="175">
        <f>H89/DAY(B2)</f>
        <v>9.2200000000004358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72351.520000000004</v>
      </c>
      <c r="F90" s="164">
        <v>72361.52</v>
      </c>
      <c r="G90" s="112">
        <f t="shared" si="8"/>
        <v>10</v>
      </c>
      <c r="H90" s="99">
        <f>G90+'4'!H90</f>
        <v>35.120000000009895</v>
      </c>
      <c r="I90" s="555">
        <f>G90</f>
        <v>10</v>
      </c>
      <c r="J90" s="175">
        <f>H90/DAY(B2)</f>
        <v>7.0240000000019789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4156.42</v>
      </c>
      <c r="F91" s="122">
        <v>4168.17</v>
      </c>
      <c r="G91" s="112">
        <f t="shared" si="8"/>
        <v>11.75</v>
      </c>
      <c r="H91" s="99">
        <f>G91+'4'!H91</f>
        <v>29.730000000000473</v>
      </c>
      <c r="I91" s="616"/>
      <c r="J91" s="175">
        <f>H91/DAY(B2)</f>
        <v>5.9460000000000948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6540.41</v>
      </c>
      <c r="F92" s="122">
        <v>6540.41</v>
      </c>
      <c r="G92" s="112">
        <f t="shared" si="8"/>
        <v>0</v>
      </c>
      <c r="H92" s="99">
        <f>G92+'4'!H92</f>
        <v>25.069999999999709</v>
      </c>
      <c r="I92" s="617">
        <f>G91+G92</f>
        <v>11.75</v>
      </c>
      <c r="J92" s="175">
        <f>H92/DAY(B2)</f>
        <v>5.0139999999999416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6946</v>
      </c>
      <c r="H94" s="99">
        <f>G94+'4'!H94</f>
        <v>33360.5</v>
      </c>
      <c r="I94" s="118"/>
      <c r="J94" s="175">
        <f>H94/DAY(B2)</f>
        <v>6672.1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0.26451883163867629</v>
      </c>
      <c r="H95" s="99">
        <f>G95+'4'!H95</f>
        <v>1.2449333549296582</v>
      </c>
      <c r="I95" s="167"/>
      <c r="J95" s="175">
        <f>H95/DAY(B2)</f>
        <v>0.24898667098593164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7382</v>
      </c>
      <c r="H96" s="99">
        <f>G96+'4'!H96</f>
        <v>37610.989999999962</v>
      </c>
      <c r="I96" s="118"/>
      <c r="J96" s="175">
        <f>H96/DAY(B2)</f>
        <v>7522.1979999999921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0.2811226627061198</v>
      </c>
      <c r="H97" s="99">
        <f>G97+'4'!H97</f>
        <v>1.3954259685286663</v>
      </c>
      <c r="I97" s="167"/>
      <c r="J97" s="175">
        <f>H97/DAY(B2)</f>
        <v>0.27908519370573326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3006</v>
      </c>
      <c r="H98" s="99">
        <f>G98+'4'!H98</f>
        <v>14981.409999999974</v>
      </c>
      <c r="I98" s="168"/>
      <c r="J98" s="175">
        <f>H98/DAY(B2)</f>
        <v>2996.2819999999947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0.11447503713012681</v>
      </c>
      <c r="H99" s="99">
        <f>G99+'4'!H99</f>
        <v>0.55942746982993441</v>
      </c>
      <c r="I99" s="168"/>
      <c r="J99" s="175">
        <f>H99/DAY(B2)</f>
        <v>0.11188549396598688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2164.0100000000002</v>
      </c>
      <c r="H100" s="99">
        <f>G100+'4'!H100</f>
        <v>11114.410000000024</v>
      </c>
      <c r="I100" s="118"/>
      <c r="J100" s="175">
        <f>H100/DAY(B2)</f>
        <v>2222.8820000000046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8.2410221257473631E-2</v>
      </c>
      <c r="H101" s="99">
        <f>G101+'4'!H101</f>
        <v>0.414782928518867</v>
      </c>
      <c r="I101" s="168"/>
      <c r="J101" s="175">
        <f>H101/DAY(B2)</f>
        <v>8.29565857037734E-2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1399</v>
      </c>
      <c r="H102" s="99">
        <f>G102+'4'!H102</f>
        <v>9953.3699999999953</v>
      </c>
      <c r="I102" s="168"/>
      <c r="J102" s="175">
        <f>H102/DAY(B2)</f>
        <v>1990.6739999999991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5.3276971704939259E-2</v>
      </c>
      <c r="H103" s="99">
        <f>G103+'4'!H103</f>
        <v>0.37018988748387088</v>
      </c>
      <c r="I103" s="118"/>
      <c r="J103" s="175">
        <f>H103/DAY(B2)</f>
        <v>7.4037977496774182E-2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1649.68</v>
      </c>
      <c r="H104" s="99">
        <f>G104+'4'!H104</f>
        <v>8175.0100000000093</v>
      </c>
      <c r="I104" s="118"/>
      <c r="J104" s="175">
        <f>H104/DAY(B2)</f>
        <v>1635.0020000000018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6.2823412925092345E-2</v>
      </c>
      <c r="H105" s="99">
        <f>G105+'4'!H105</f>
        <v>0.3056107216305976</v>
      </c>
      <c r="I105" s="187"/>
      <c r="J105" s="188">
        <f>H105/DAY(B2)</f>
        <v>6.1122144326119524E-2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'4'!F112</f>
        <v>5225</v>
      </c>
      <c r="F112" s="237">
        <v>5301</v>
      </c>
      <c r="G112" s="112">
        <f t="shared" ref="G112:G123" si="9">F112-E112</f>
        <v>76</v>
      </c>
      <c r="H112" s="99">
        <f>G112+'4'!H112</f>
        <v>371.26000000000022</v>
      </c>
      <c r="I112" s="165"/>
      <c r="J112" s="328">
        <f>H112/DAY(B2)</f>
        <v>74.252000000000038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'4'!F113</f>
        <v>11198</v>
      </c>
      <c r="F113" s="237">
        <v>11341</v>
      </c>
      <c r="G113" s="112">
        <f t="shared" si="9"/>
        <v>143</v>
      </c>
      <c r="H113" s="99">
        <f>G113+'4'!H113</f>
        <v>708.28000000000065</v>
      </c>
      <c r="I113" s="165"/>
      <c r="J113" s="328">
        <f>H113/DAY(B2)</f>
        <v>141.65600000000012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'4'!F114</f>
        <v>15064</v>
      </c>
      <c r="F114" s="237">
        <v>15284</v>
      </c>
      <c r="G114" s="112">
        <f t="shared" si="9"/>
        <v>220</v>
      </c>
      <c r="H114" s="99">
        <f>G114+'4'!H114</f>
        <v>1090.2000000000007</v>
      </c>
      <c r="I114" s="165"/>
      <c r="J114" s="328">
        <f>H114/DAY(B2)</f>
        <v>218.04000000000013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'4'!F115</f>
        <v>9506</v>
      </c>
      <c r="F115" s="237">
        <v>9632</v>
      </c>
      <c r="G115" s="112">
        <f t="shared" si="9"/>
        <v>126</v>
      </c>
      <c r="H115" s="99">
        <f>G115+'4'!H115</f>
        <v>720.44000000000051</v>
      </c>
      <c r="I115" s="165"/>
      <c r="J115" s="328">
        <f>H115/DAY(B2)</f>
        <v>144.08800000000011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'4'!F116</f>
        <v>60494</v>
      </c>
      <c r="F116" s="237">
        <v>60892</v>
      </c>
      <c r="G116" s="112">
        <f t="shared" si="9"/>
        <v>398</v>
      </c>
      <c r="H116" s="99">
        <f>G116+'4'!H116</f>
        <v>2001.4499999999971</v>
      </c>
      <c r="I116" s="165"/>
      <c r="J116" s="328">
        <f>H116/DAY(B2)</f>
        <v>400.2899999999994</v>
      </c>
      <c r="Q116" s="959"/>
      <c r="R116" s="959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'4'!F117</f>
        <v>33951</v>
      </c>
      <c r="F117" s="237">
        <v>34266</v>
      </c>
      <c r="G117" s="112">
        <f t="shared" si="9"/>
        <v>315</v>
      </c>
      <c r="H117" s="99">
        <f>G117+'4'!H117</f>
        <v>1377.5199999999968</v>
      </c>
      <c r="I117" s="165"/>
      <c r="J117" s="328">
        <f>H117/DAY(B2)</f>
        <v>275.50399999999934</v>
      </c>
      <c r="Q117" s="959"/>
      <c r="R117" s="959"/>
    </row>
    <row r="118" spans="1:18" ht="25.5">
      <c r="A118" s="899" t="s">
        <v>97</v>
      </c>
      <c r="B118" s="899"/>
      <c r="C118" s="899"/>
      <c r="D118" s="151" t="s">
        <v>183</v>
      </c>
      <c r="E118" s="95">
        <f>'4'!F118</f>
        <v>47482</v>
      </c>
      <c r="F118" s="237">
        <v>48122</v>
      </c>
      <c r="G118" s="112">
        <f t="shared" si="9"/>
        <v>640</v>
      </c>
      <c r="H118" s="99">
        <f>G118+'4'!H118</f>
        <v>3201.6900000000023</v>
      </c>
      <c r="I118" s="165"/>
      <c r="J118" s="328">
        <f>H118/DAY(B2)</f>
        <v>640.33800000000042</v>
      </c>
      <c r="Q118" s="959"/>
      <c r="R118" s="959"/>
    </row>
    <row r="119" spans="1:18" ht="25.5">
      <c r="A119" s="899" t="s">
        <v>98</v>
      </c>
      <c r="B119" s="899"/>
      <c r="C119" s="899"/>
      <c r="D119" s="151" t="s">
        <v>183</v>
      </c>
      <c r="E119" s="95">
        <f>'4'!F119</f>
        <v>31271</v>
      </c>
      <c r="F119" s="237">
        <v>31505</v>
      </c>
      <c r="G119" s="112">
        <f t="shared" si="9"/>
        <v>234</v>
      </c>
      <c r="H119" s="99">
        <f>G119+'4'!H119</f>
        <v>1162.4000000000015</v>
      </c>
      <c r="I119" s="165"/>
      <c r="J119" s="328">
        <f>H119/DAY(B2)</f>
        <v>232.4800000000003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'4'!F120</f>
        <v>34851</v>
      </c>
      <c r="F120" s="468">
        <v>35297</v>
      </c>
      <c r="G120" s="112">
        <f t="shared" si="9"/>
        <v>446</v>
      </c>
      <c r="H120" s="99">
        <f>G120+'4'!H120</f>
        <v>2191.4400000000023</v>
      </c>
      <c r="I120" s="165"/>
      <c r="J120" s="328">
        <f>H120/DAY(B2)</f>
        <v>438.28800000000047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'4'!F121</f>
        <v>41445</v>
      </c>
      <c r="F121" s="237">
        <v>41914</v>
      </c>
      <c r="G121" s="112">
        <f t="shared" si="9"/>
        <v>469</v>
      </c>
      <c r="H121" s="99">
        <f>G121+'4'!H121</f>
        <v>2326.0999999999985</v>
      </c>
      <c r="I121" s="165"/>
      <c r="J121" s="328">
        <f>H121/DAY(B2)</f>
        <v>465.21999999999969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'4'!F122</f>
        <v>21139</v>
      </c>
      <c r="F122" s="237">
        <v>21472</v>
      </c>
      <c r="G122" s="112">
        <f t="shared" si="9"/>
        <v>333</v>
      </c>
      <c r="H122" s="99">
        <f>G122+'4'!H122</f>
        <v>1506.119999999999</v>
      </c>
      <c r="I122" s="165"/>
      <c r="J122" s="328">
        <f>H122/DAY(B2)</f>
        <v>301.22399999999982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'4'!F123</f>
        <v>21600</v>
      </c>
      <c r="F123" s="237">
        <v>21917</v>
      </c>
      <c r="G123" s="112">
        <f t="shared" si="9"/>
        <v>317</v>
      </c>
      <c r="H123" s="99">
        <f>G123+'4'!H123</f>
        <v>1575</v>
      </c>
      <c r="I123" s="165"/>
      <c r="J123" s="328">
        <f>H123/DAY(B2)</f>
        <v>315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57" t="s">
        <v>196</v>
      </c>
      <c r="B125" s="957"/>
      <c r="C125" s="245"/>
      <c r="D125" s="307"/>
      <c r="E125" s="308"/>
      <c r="F125" s="308"/>
      <c r="G125" s="309">
        <f>SUM(G112:G124)</f>
        <v>3717</v>
      </c>
      <c r="H125" s="156"/>
      <c r="I125" s="327">
        <f>G125-(G39+G53)</f>
        <v>711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'4'!F128</f>
        <v>113920</v>
      </c>
      <c r="F128" s="388">
        <v>114424</v>
      </c>
      <c r="G128" s="112">
        <f t="shared" ref="G128:G134" si="10">F128-E128</f>
        <v>504</v>
      </c>
      <c r="H128" s="99">
        <f>G128+'4'!H128</f>
        <v>2548.1399999999994</v>
      </c>
      <c r="I128" s="165"/>
      <c r="J128" s="328">
        <f>H128/DAY(B2)</f>
        <v>509.62799999999987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67509</v>
      </c>
      <c r="F129" s="388">
        <v>67737</v>
      </c>
      <c r="G129" s="112">
        <f t="shared" si="10"/>
        <v>228</v>
      </c>
      <c r="H129" s="99">
        <f>G129+'4'!H129</f>
        <v>1035.2200000000012</v>
      </c>
      <c r="I129" s="165"/>
      <c r="J129" s="328">
        <f>H129/DAY(B2)</f>
        <v>207.04400000000024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144936</v>
      </c>
      <c r="F130" s="388">
        <v>145706</v>
      </c>
      <c r="G130" s="112">
        <f t="shared" si="10"/>
        <v>770</v>
      </c>
      <c r="H130" s="99">
        <f>G130+'4'!H130</f>
        <v>3952.3500000000058</v>
      </c>
      <c r="I130" s="165"/>
      <c r="J130" s="328">
        <f>H130/DAY(B2)</f>
        <v>790.47000000000116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'4'!F131</f>
        <v>43400</v>
      </c>
      <c r="F131" s="388">
        <v>43571</v>
      </c>
      <c r="G131" s="112">
        <f t="shared" si="10"/>
        <v>171</v>
      </c>
      <c r="H131" s="99">
        <f>G131+'4'!H131</f>
        <v>952.80000000000291</v>
      </c>
      <c r="I131" s="165"/>
      <c r="J131" s="328">
        <f>H131/DAY(B2)</f>
        <v>190.56000000000057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'4'!F132</f>
        <v>117966</v>
      </c>
      <c r="F132" s="388">
        <v>118361</v>
      </c>
      <c r="G132" s="112">
        <f t="shared" si="10"/>
        <v>395</v>
      </c>
      <c r="H132" s="99">
        <f>G132+'4'!H132</f>
        <v>2070</v>
      </c>
      <c r="I132" s="165"/>
      <c r="J132" s="328">
        <f>H132/DAY(B2)</f>
        <v>414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'4'!F133</f>
        <v>789690</v>
      </c>
      <c r="F133" s="388">
        <v>790437</v>
      </c>
      <c r="G133" s="112">
        <f t="shared" si="10"/>
        <v>747</v>
      </c>
      <c r="H133" s="99">
        <f>G133+'4'!H133</f>
        <v>3393</v>
      </c>
      <c r="I133" s="165"/>
      <c r="J133" s="328">
        <f>H133/DAY(B2)</f>
        <v>678.6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'4'!F134</f>
        <v>42666</v>
      </c>
      <c r="F134" s="388">
        <v>42925</v>
      </c>
      <c r="G134" s="112">
        <f t="shared" si="10"/>
        <v>259</v>
      </c>
      <c r="H134" s="99">
        <f>G134+'4'!H134</f>
        <v>1180</v>
      </c>
      <c r="I134" s="165"/>
      <c r="J134" s="328">
        <f>H134/DAY(B2)</f>
        <v>236</v>
      </c>
    </row>
    <row r="135" spans="1:15" ht="25.5">
      <c r="A135" s="957" t="s">
        <v>196</v>
      </c>
      <c r="B135" s="957"/>
      <c r="C135" s="331"/>
      <c r="D135" s="151"/>
      <c r="E135" s="95"/>
      <c r="F135" s="165"/>
      <c r="G135" s="112">
        <f>SUM(G128:G134)</f>
        <v>3074</v>
      </c>
      <c r="H135" s="99">
        <f>G135+'4'!H135</f>
        <v>15131.510000000009</v>
      </c>
      <c r="I135" s="327">
        <f>G135-(G35+G49)</f>
        <v>-636</v>
      </c>
      <c r="J135" s="328">
        <f>H135/DAY(B2)</f>
        <v>3026.302000000002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'4'!F138</f>
        <v>887788</v>
      </c>
      <c r="F138" s="147">
        <v>887937</v>
      </c>
      <c r="G138" s="112">
        <f t="shared" ref="G138:G152" si="11">F138-E138</f>
        <v>149</v>
      </c>
      <c r="H138" s="99">
        <f>G138+'4'!H138</f>
        <v>710</v>
      </c>
      <c r="I138" s="118"/>
      <c r="J138" s="328">
        <f>H138/DAY(B2)</f>
        <v>142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'4'!F139</f>
        <v>904720</v>
      </c>
      <c r="F139" s="148">
        <v>904875</v>
      </c>
      <c r="G139" s="112">
        <f t="shared" si="11"/>
        <v>155</v>
      </c>
      <c r="H139" s="99">
        <f>G139+'4'!H139</f>
        <v>785</v>
      </c>
      <c r="I139" s="118"/>
      <c r="J139" s="328">
        <f>H139/DAY(B2)</f>
        <v>157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'4'!F140</f>
        <v>1110</v>
      </c>
      <c r="F140" s="149">
        <v>1124</v>
      </c>
      <c r="G140" s="112">
        <f t="shared" si="11"/>
        <v>14</v>
      </c>
      <c r="H140" s="99">
        <f>G140+'4'!H140</f>
        <v>68.950000000000045</v>
      </c>
      <c r="I140" s="118"/>
      <c r="J140" s="328">
        <f>H140/DAY(B2)</f>
        <v>13.79000000000001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'4'!F141</f>
        <v>84944</v>
      </c>
      <c r="F141" s="149">
        <v>85156</v>
      </c>
      <c r="G141" s="112">
        <f t="shared" si="11"/>
        <v>212</v>
      </c>
      <c r="H141" s="99">
        <f>G141+'4'!H141</f>
        <v>1040.8000000000029</v>
      </c>
      <c r="I141" s="118"/>
      <c r="J141" s="328">
        <f>H141/DAY(B2)</f>
        <v>208.16000000000059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'4'!F142</f>
        <v>34684</v>
      </c>
      <c r="F142" s="148">
        <v>34751</v>
      </c>
      <c r="G142" s="112">
        <f t="shared" si="11"/>
        <v>67</v>
      </c>
      <c r="H142" s="99">
        <f>G142+'4'!H142</f>
        <v>365.52999999999884</v>
      </c>
      <c r="I142" s="140"/>
      <c r="J142" s="328">
        <f>H142/DAY(B2)</f>
        <v>73.105999999999767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'4'!F143</f>
        <v>8277</v>
      </c>
      <c r="F143" s="149">
        <v>8306</v>
      </c>
      <c r="G143" s="112">
        <f t="shared" si="11"/>
        <v>29</v>
      </c>
      <c r="H143" s="99">
        <f>G143+'4'!H143</f>
        <v>147.68000000000029</v>
      </c>
      <c r="I143" s="140"/>
      <c r="J143" s="328">
        <f>H143/DAY(B2)</f>
        <v>29.536000000000058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'4'!F144</f>
        <v>913277</v>
      </c>
      <c r="F144" s="149">
        <v>913517</v>
      </c>
      <c r="G144" s="112">
        <f t="shared" si="11"/>
        <v>240</v>
      </c>
      <c r="H144" s="99">
        <f>G144+'4'!H144</f>
        <v>1240</v>
      </c>
      <c r="I144" s="140"/>
      <c r="J144" s="328">
        <f>H144/DAY(B2)</f>
        <v>248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'4'!F145</f>
        <v>5666.56</v>
      </c>
      <c r="F145" s="149">
        <v>5666.56</v>
      </c>
      <c r="G145" s="112">
        <f t="shared" si="11"/>
        <v>0</v>
      </c>
      <c r="H145" s="99">
        <f>G145+'4'!H145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'4'!F146</f>
        <v>779529</v>
      </c>
      <c r="F146" s="148">
        <v>779579</v>
      </c>
      <c r="G146" s="112">
        <f t="shared" si="11"/>
        <v>50</v>
      </c>
      <c r="H146" s="99">
        <f>G146+'4'!H146</f>
        <v>251</v>
      </c>
      <c r="I146" s="140"/>
      <c r="J146" s="328">
        <f>H146/DAY(B2)</f>
        <v>50.2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'4'!F147</f>
        <v>689010</v>
      </c>
      <c r="F147" s="148">
        <v>689358</v>
      </c>
      <c r="G147" s="112">
        <f t="shared" si="11"/>
        <v>348</v>
      </c>
      <c r="H147" s="99">
        <f>G147+'4'!H147</f>
        <v>1831.8399999999674</v>
      </c>
      <c r="I147" s="140"/>
      <c r="J147" s="328">
        <f>H147/DAY(B2)</f>
        <v>366.36799999999346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'4'!F148</f>
        <v>740270</v>
      </c>
      <c r="F148" s="150">
        <v>740520</v>
      </c>
      <c r="G148" s="112">
        <f t="shared" si="11"/>
        <v>250</v>
      </c>
      <c r="H148" s="99">
        <f>G148+'4'!H148</f>
        <v>1572.7199999999721</v>
      </c>
      <c r="I148" s="124"/>
      <c r="J148" s="328">
        <f>H148/DAY(B2)</f>
        <v>314.54399999999441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'4'!F149</f>
        <v>118529</v>
      </c>
      <c r="F149" s="146">
        <v>118971</v>
      </c>
      <c r="G149" s="112">
        <f t="shared" si="11"/>
        <v>442</v>
      </c>
      <c r="H149" s="99">
        <f>G149+'4'!H149</f>
        <v>2438.1999999999971</v>
      </c>
      <c r="I149" s="119"/>
      <c r="J149" s="328">
        <f>H149/DAY(B2)</f>
        <v>487.63999999999942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'4'!F150</f>
        <v>44590</v>
      </c>
      <c r="F150" s="233">
        <v>44802</v>
      </c>
      <c r="G150" s="112">
        <f t="shared" si="11"/>
        <v>212</v>
      </c>
      <c r="H150" s="99">
        <f>G150+'4'!H150</f>
        <v>1076.8399999999965</v>
      </c>
      <c r="I150" s="119"/>
      <c r="J150" s="328">
        <f>H150/DAY(B2)</f>
        <v>215.36799999999931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'4'!F151</f>
        <v>127658</v>
      </c>
      <c r="F151" s="233">
        <v>127917</v>
      </c>
      <c r="G151" s="112">
        <f t="shared" si="11"/>
        <v>259</v>
      </c>
      <c r="H151" s="99">
        <f>G151+'4'!H151</f>
        <v>1314</v>
      </c>
      <c r="I151" s="119"/>
      <c r="J151" s="328">
        <f>H151/DAY(B2)</f>
        <v>262.8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'4'!F152</f>
        <v>19803</v>
      </c>
      <c r="F152" s="233">
        <v>19929</v>
      </c>
      <c r="G152" s="112">
        <f t="shared" si="11"/>
        <v>126</v>
      </c>
      <c r="H152" s="99">
        <f>G152+'4'!H152</f>
        <v>640.91999999999825</v>
      </c>
      <c r="I152" s="119"/>
      <c r="J152" s="328">
        <f>H152/DAY(B2)</f>
        <v>128.18399999999966</v>
      </c>
    </row>
    <row r="153" spans="1:10" ht="25.5">
      <c r="A153" s="957" t="s">
        <v>196</v>
      </c>
      <c r="B153" s="957"/>
      <c r="C153" s="365"/>
      <c r="D153" s="358"/>
      <c r="E153" s="360"/>
      <c r="F153" s="361"/>
      <c r="G153" s="362">
        <f>SUM(G138:G152)</f>
        <v>2553</v>
      </c>
      <c r="H153" s="363"/>
      <c r="I153" s="119">
        <f>G153-(G38+G52)</f>
        <v>388.98999999999978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'4'!F155</f>
        <v>132641</v>
      </c>
      <c r="F155" s="374">
        <v>133249</v>
      </c>
      <c r="G155" s="112">
        <f t="shared" ref="G155:G158" si="12">F155-E155</f>
        <v>608</v>
      </c>
      <c r="H155" s="99">
        <f>G155+'4'!H155</f>
        <v>3007.6199999999953</v>
      </c>
      <c r="I155" s="364"/>
      <c r="J155" s="328">
        <f>H155/DAY(B2)</f>
        <v>601.52399999999909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'4'!F156</f>
        <v>12430</v>
      </c>
      <c r="F156" s="155">
        <v>12536</v>
      </c>
      <c r="G156" s="112">
        <f t="shared" si="12"/>
        <v>106</v>
      </c>
      <c r="H156" s="99">
        <f>G156+'4'!H156</f>
        <v>442.63999999999942</v>
      </c>
      <c r="I156" s="165"/>
      <c r="J156" s="328">
        <f>H156/DAY(B2)</f>
        <v>88.527999999999878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'4'!F157</f>
        <v>23777</v>
      </c>
      <c r="F157" s="155">
        <v>23935</v>
      </c>
      <c r="G157" s="112">
        <f t="shared" si="12"/>
        <v>158</v>
      </c>
      <c r="H157" s="99">
        <f>G157+'4'!H157</f>
        <v>738.29999999999927</v>
      </c>
      <c r="I157" s="165"/>
      <c r="J157" s="328">
        <f>H157/DAY(B2)</f>
        <v>147.65999999999985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'4'!F158</f>
        <v>223</v>
      </c>
      <c r="F158" s="155">
        <v>223</v>
      </c>
      <c r="G158" s="112">
        <f t="shared" si="12"/>
        <v>0</v>
      </c>
      <c r="H158" s="99">
        <f>G158+'4'!H158</f>
        <v>135.30999999999997</v>
      </c>
      <c r="I158" s="165"/>
      <c r="J158" s="328">
        <f>H158/DAY(B2)</f>
        <v>27.061999999999994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477816</v>
      </c>
      <c r="F161" s="235">
        <v>477902</v>
      </c>
      <c r="G161" s="238">
        <f t="shared" ref="G161:G165" si="13">F161-E161</f>
        <v>86</v>
      </c>
      <c r="H161" s="99">
        <f>G161+'4'!H161</f>
        <v>239</v>
      </c>
      <c r="I161" s="236"/>
      <c r="J161" s="239">
        <f>H161/DAY(B2)</f>
        <v>47.8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93946</v>
      </c>
      <c r="F162" s="235">
        <v>93986</v>
      </c>
      <c r="G162" s="238">
        <f t="shared" si="13"/>
        <v>40</v>
      </c>
      <c r="H162" s="99">
        <f>G162+'4'!H162</f>
        <v>180.69999999999709</v>
      </c>
      <c r="I162" s="236"/>
      <c r="J162" s="239">
        <f>H162/DAY(B2)</f>
        <v>36.139999999999418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2634</v>
      </c>
      <c r="F163" s="235">
        <v>2773</v>
      </c>
      <c r="G163" s="238">
        <f t="shared" si="13"/>
        <v>139</v>
      </c>
      <c r="H163" s="99">
        <f>G163+'4'!H163</f>
        <v>746.90000000000009</v>
      </c>
      <c r="I163" s="236"/>
      <c r="J163" s="239">
        <f>H163/DAY(B2)</f>
        <v>149.38000000000002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5942</v>
      </c>
      <c r="F164" s="235">
        <v>5952</v>
      </c>
      <c r="G164" s="238">
        <f t="shared" si="13"/>
        <v>10</v>
      </c>
      <c r="H164" s="99">
        <f>G164+'4'!H164</f>
        <v>53.600000000000364</v>
      </c>
      <c r="I164" s="236"/>
      <c r="J164" s="239">
        <f>H164/DAY(B2)</f>
        <v>10.720000000000073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31386</v>
      </c>
      <c r="F165" s="235">
        <v>31398</v>
      </c>
      <c r="G165" s="238">
        <f t="shared" si="13"/>
        <v>12</v>
      </c>
      <c r="H165" s="99">
        <f>G165+'4'!H165</f>
        <v>51.349999999998545</v>
      </c>
      <c r="I165" s="236"/>
      <c r="J165" s="239">
        <f>H165/DAY(B2)</f>
        <v>10.269999999999708</v>
      </c>
    </row>
    <row r="166" spans="1:10" ht="26.25">
      <c r="A166" s="935"/>
      <c r="B166" s="935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63"/>
      <c r="B172" s="963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58" t="s">
        <v>209</v>
      </c>
      <c r="B173" s="958"/>
      <c r="C173" s="333"/>
      <c r="D173" s="155" t="s">
        <v>142</v>
      </c>
      <c r="E173" s="95">
        <f>'4'!F173</f>
        <v>8267</v>
      </c>
      <c r="F173" s="155">
        <v>8267</v>
      </c>
      <c r="G173" s="155">
        <f>F173-E173</f>
        <v>0</v>
      </c>
      <c r="H173" s="99">
        <f>G173+'4'!H173</f>
        <v>38</v>
      </c>
      <c r="I173" s="155"/>
      <c r="J173" s="156">
        <f>H173/DAY(B2)</f>
        <v>7.6</v>
      </c>
    </row>
    <row r="174" spans="1:10" ht="25.5">
      <c r="A174" s="958" t="s">
        <v>75</v>
      </c>
      <c r="B174" s="958"/>
      <c r="C174" s="333"/>
      <c r="D174" s="155" t="s">
        <v>142</v>
      </c>
      <c r="E174" s="95">
        <f>'4'!F174</f>
        <v>40835</v>
      </c>
      <c r="F174" s="157">
        <v>40848</v>
      </c>
      <c r="G174" s="155">
        <f t="shared" ref="G174:G175" si="14">F174-E174</f>
        <v>13</v>
      </c>
      <c r="H174" s="99">
        <f>G174+'4'!H174</f>
        <v>69</v>
      </c>
      <c r="I174" s="155"/>
      <c r="J174" s="156">
        <f>H174/DAY(B2)</f>
        <v>13.8</v>
      </c>
    </row>
    <row r="175" spans="1:10" ht="25.5">
      <c r="A175" s="958" t="s">
        <v>76</v>
      </c>
      <c r="B175" s="958"/>
      <c r="C175" s="958"/>
      <c r="D175" s="155" t="s">
        <v>142</v>
      </c>
      <c r="E175" s="95">
        <f>'4'!F175</f>
        <v>23703</v>
      </c>
      <c r="F175" s="157">
        <v>23715</v>
      </c>
      <c r="G175" s="155">
        <f t="shared" si="14"/>
        <v>12</v>
      </c>
      <c r="H175" s="99">
        <f>G175+'4'!H175</f>
        <v>59</v>
      </c>
      <c r="I175" s="155"/>
      <c r="J175" s="156">
        <f>H175/DAY(B2)</f>
        <v>11.8</v>
      </c>
    </row>
    <row r="176" spans="1:10" ht="25.5">
      <c r="A176" s="957" t="s">
        <v>196</v>
      </c>
      <c r="B176" s="957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166</v>
      </c>
      <c r="I176" s="155"/>
      <c r="J176" s="156">
        <f>H176/DAY(B2)</f>
        <v>33.200000000000003</v>
      </c>
    </row>
    <row r="177" spans="1:10" ht="25.5">
      <c r="A177" s="958" t="s">
        <v>77</v>
      </c>
      <c r="B177" s="958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58" t="s">
        <v>210</v>
      </c>
      <c r="B178" s="958"/>
      <c r="C178" s="333"/>
      <c r="D178" s="155" t="s">
        <v>142</v>
      </c>
      <c r="E178" s="95">
        <f>'4'!F178</f>
        <v>95148</v>
      </c>
      <c r="F178" s="155">
        <v>95235</v>
      </c>
      <c r="G178" s="155">
        <f>F178-E178</f>
        <v>87</v>
      </c>
      <c r="H178" s="99">
        <f>G178+'4'!H178</f>
        <v>384</v>
      </c>
      <c r="I178" s="155"/>
      <c r="J178" s="156">
        <f>H178/DAY(B2)</f>
        <v>76.8</v>
      </c>
    </row>
    <row r="179" spans="1:10" ht="25.5">
      <c r="A179" s="958" t="s">
        <v>211</v>
      </c>
      <c r="B179" s="958"/>
      <c r="C179" s="333"/>
      <c r="D179" s="155" t="s">
        <v>142</v>
      </c>
      <c r="E179" s="95">
        <f>'4'!F179</f>
        <v>36002</v>
      </c>
      <c r="F179" s="155">
        <v>36002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58" t="s">
        <v>212</v>
      </c>
      <c r="B180" s="958"/>
      <c r="C180" s="333"/>
      <c r="D180" s="155" t="s">
        <v>142</v>
      </c>
      <c r="E180" s="95">
        <f>'4'!F180</f>
        <v>6920</v>
      </c>
      <c r="F180" s="155">
        <v>6920</v>
      </c>
      <c r="G180" s="155">
        <f t="shared" si="15"/>
        <v>0</v>
      </c>
      <c r="H180" s="99">
        <f>G180+'4'!H180</f>
        <v>38</v>
      </c>
      <c r="I180" s="155"/>
      <c r="J180" s="156">
        <f>H180/DAY(B2)</f>
        <v>7.6</v>
      </c>
    </row>
    <row r="181" spans="1:10" ht="25.5">
      <c r="A181" s="962" t="s">
        <v>108</v>
      </c>
      <c r="B181" s="962"/>
      <c r="C181" s="333"/>
      <c r="D181" s="155"/>
      <c r="E181" s="95">
        <f>'4'!F181</f>
        <v>0</v>
      </c>
      <c r="F181" s="155"/>
      <c r="G181" s="155">
        <f>SUM(G178:G180)</f>
        <v>87</v>
      </c>
      <c r="H181" s="99">
        <f>G181+'4'!H181</f>
        <v>422</v>
      </c>
      <c r="I181" s="155"/>
      <c r="J181" s="156">
        <f>H181/DAY(B2)</f>
        <v>84.4</v>
      </c>
    </row>
    <row r="182" spans="1:10" ht="25.5">
      <c r="A182" s="958" t="s">
        <v>213</v>
      </c>
      <c r="B182" s="958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58" t="s">
        <v>214</v>
      </c>
      <c r="B183" s="958"/>
      <c r="C183" s="334"/>
      <c r="D183" s="155" t="s">
        <v>142</v>
      </c>
      <c r="E183" s="95">
        <f>'4'!F183</f>
        <v>17300</v>
      </c>
      <c r="F183" s="157">
        <v>17308</v>
      </c>
      <c r="G183" s="157">
        <f>F183-E183</f>
        <v>8</v>
      </c>
      <c r="H183" s="99">
        <f>G183+'4'!H183</f>
        <v>33</v>
      </c>
      <c r="I183" s="155"/>
      <c r="J183" s="156">
        <f>H183/DAY(B2)</f>
        <v>6.6</v>
      </c>
    </row>
    <row r="184" spans="1:10" ht="25.5">
      <c r="A184" s="958" t="s">
        <v>215</v>
      </c>
      <c r="B184" s="958"/>
      <c r="C184" s="334"/>
      <c r="D184" s="155" t="s">
        <v>142</v>
      </c>
      <c r="E184" s="95">
        <f>'4'!F184</f>
        <v>11717</v>
      </c>
      <c r="F184" s="157">
        <v>11721</v>
      </c>
      <c r="G184" s="157">
        <f t="shared" ref="G184:G185" si="16">F184-E184</f>
        <v>4</v>
      </c>
      <c r="H184" s="99">
        <f>G184+'4'!H184</f>
        <v>32</v>
      </c>
      <c r="I184" s="155"/>
      <c r="J184" s="156">
        <f>H184/DAY(B2)</f>
        <v>6.4</v>
      </c>
    </row>
    <row r="185" spans="1:10" ht="29.25" customHeight="1">
      <c r="A185" s="958" t="s">
        <v>216</v>
      </c>
      <c r="B185" s="958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57" t="s">
        <v>196</v>
      </c>
      <c r="B186" s="957"/>
      <c r="C186" s="334"/>
      <c r="D186" s="379"/>
      <c r="E186" s="95"/>
      <c r="F186" s="157"/>
      <c r="G186" s="157">
        <f>SUM(G183:G185)</f>
        <v>12</v>
      </c>
      <c r="H186" s="99">
        <f>G186+'4'!H186</f>
        <v>65</v>
      </c>
      <c r="I186" s="157"/>
      <c r="J186" s="156">
        <f>H186/DAY(B2)</f>
        <v>13</v>
      </c>
    </row>
    <row r="187" spans="1:10" ht="25.5">
      <c r="A187" s="961" t="s">
        <v>217</v>
      </c>
      <c r="B187" s="961"/>
      <c r="C187" s="333"/>
      <c r="D187" s="157" t="s">
        <v>142</v>
      </c>
      <c r="E187" s="95"/>
      <c r="F187" s="159"/>
      <c r="G187" s="378">
        <f>G62+G19</f>
        <v>138</v>
      </c>
      <c r="H187" s="99">
        <f>G187+'4'!H187</f>
        <v>686</v>
      </c>
      <c r="I187" s="158"/>
      <c r="J187" s="159">
        <f>H187/DAY(B2)</f>
        <v>137.19999999999999</v>
      </c>
    </row>
    <row r="188" spans="1:10" ht="25.5">
      <c r="A188" s="961" t="s">
        <v>218</v>
      </c>
      <c r="B188" s="961"/>
      <c r="C188" s="333"/>
      <c r="D188" s="157" t="s">
        <v>142</v>
      </c>
      <c r="E188" s="95"/>
      <c r="F188" s="159"/>
      <c r="G188" s="378">
        <f>G65+G66+G67+G69+G70</f>
        <v>120</v>
      </c>
      <c r="H188" s="99">
        <f>G188+'4'!H188</f>
        <v>595</v>
      </c>
      <c r="I188" s="158"/>
      <c r="J188" s="159">
        <f>H188/DAY(B2)</f>
        <v>119</v>
      </c>
    </row>
    <row r="189" spans="1:10" ht="25.5">
      <c r="A189" s="961" t="s">
        <v>219</v>
      </c>
      <c r="B189" s="961"/>
      <c r="C189" s="333"/>
      <c r="D189" s="157" t="s">
        <v>142</v>
      </c>
      <c r="E189" s="95"/>
      <c r="F189" s="157"/>
      <c r="G189" s="377">
        <f>G181</f>
        <v>87</v>
      </c>
      <c r="H189" s="99">
        <f>G189+'4'!H189</f>
        <v>422</v>
      </c>
      <c r="I189" s="158"/>
      <c r="J189" s="159">
        <f>H189/DAY(B2)</f>
        <v>84.4</v>
      </c>
    </row>
    <row r="190" spans="1:10" ht="25.5">
      <c r="A190" s="960"/>
      <c r="B190" s="960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F87" sqref="F8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375</v>
      </c>
      <c r="B2" s="262">
        <v>44748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657135</v>
      </c>
      <c r="F7" s="95">
        <v>682037</v>
      </c>
      <c r="G7" s="112">
        <f>F7-E7</f>
        <v>24902</v>
      </c>
      <c r="H7" s="99">
        <f>G7+'5'!H7</f>
        <v>159072.5</v>
      </c>
      <c r="I7" s="113">
        <f>'1'!I7</f>
        <v>12000</v>
      </c>
      <c r="J7" s="175">
        <f>H7/DAY(B2)</f>
        <v>26512.083333333332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798186</v>
      </c>
      <c r="F8" s="114">
        <v>823424</v>
      </c>
      <c r="G8" s="115">
        <f>F8-E8</f>
        <v>25238</v>
      </c>
      <c r="H8" s="99">
        <f>G8+'5'!H8</f>
        <v>161635</v>
      </c>
      <c r="I8" s="116"/>
      <c r="J8" s="175">
        <f>H8/DAY(B2)</f>
        <v>26939.166666666668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2984052</v>
      </c>
      <c r="F9" s="117">
        <v>2998320</v>
      </c>
      <c r="G9" s="112">
        <f>F9-E9</f>
        <v>14268</v>
      </c>
      <c r="H9" s="99">
        <f>G9+'5'!H9</f>
        <v>80670.899999999907</v>
      </c>
      <c r="I9" s="124">
        <f>I7-J7</f>
        <v>-14512.083333333332</v>
      </c>
      <c r="J9" s="175">
        <f>H9/DAY(B2)</f>
        <v>13445.149999999985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1300060</v>
      </c>
      <c r="F10" s="117">
        <v>1310038</v>
      </c>
      <c r="G10" s="112">
        <f t="shared" ref="G10:G12" si="0">F10-E10</f>
        <v>9978</v>
      </c>
      <c r="H10" s="99">
        <f>G10+'5'!H10</f>
        <v>74351.370000000112</v>
      </c>
      <c r="I10" s="282"/>
      <c r="J10" s="175">
        <f>H10/DAY(B2)</f>
        <v>12391.895000000019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24246</v>
      </c>
      <c r="H13" s="99">
        <f>G13+'5'!H13</f>
        <v>156751.20000000019</v>
      </c>
      <c r="I13" s="120">
        <f>G7-G13</f>
        <v>656</v>
      </c>
      <c r="J13" s="175">
        <f>H13/DAY(B2)</f>
        <v>26125.20000000003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2073051</v>
      </c>
      <c r="F15" s="469">
        <v>2074102</v>
      </c>
      <c r="G15" s="112">
        <f>(F15-E15)</f>
        <v>1051</v>
      </c>
      <c r="H15" s="99">
        <f>G15+'5'!H15</f>
        <v>6023.5900000000838</v>
      </c>
      <c r="I15" s="113">
        <f>'1'!I15</f>
        <v>800</v>
      </c>
      <c r="J15" s="175">
        <f>H15/DAY(B2)</f>
        <v>1003.9316666666806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-203.9316666666806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'5'!F18</f>
        <v>15</v>
      </c>
      <c r="F18" s="122">
        <v>20</v>
      </c>
      <c r="G18" s="119">
        <f>F18*10</f>
        <v>200</v>
      </c>
      <c r="H18" s="99">
        <f>G18+'5'!H18</f>
        <v>1030</v>
      </c>
      <c r="I18" s="113">
        <f>'1'!I18</f>
        <v>65</v>
      </c>
      <c r="J18" s="175">
        <f>H18/DAY(B2)</f>
        <v>171.66666666666666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'5'!F19</f>
        <v>161076</v>
      </c>
      <c r="F19" s="122">
        <v>161126</v>
      </c>
      <c r="G19" s="112">
        <f t="shared" ref="G19" si="1">F19-E19</f>
        <v>50</v>
      </c>
      <c r="H19" s="99">
        <f>G19+'5'!H19</f>
        <v>297</v>
      </c>
      <c r="I19" s="335"/>
      <c r="J19" s="175">
        <f>H19/DAY(B2)</f>
        <v>49.5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G20+'5'!H20</f>
        <v>1327</v>
      </c>
      <c r="I20" s="336">
        <f>I18-J20</f>
        <v>-156.16666666666666</v>
      </c>
      <c r="J20" s="175">
        <f>H20/DAY(B2)</f>
        <v>221.16666666666666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25238</v>
      </c>
      <c r="F27" s="136">
        <v>9</v>
      </c>
      <c r="G27" s="137">
        <f>E27*F27</f>
        <v>227142</v>
      </c>
      <c r="H27" s="99">
        <f>G27+'5'!H27</f>
        <v>1454715</v>
      </c>
      <c r="I27" s="138"/>
      <c r="J27" s="175">
        <f>H27/DAY(B2)</f>
        <v>242452.5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70</v>
      </c>
      <c r="G28" s="137">
        <f>E28*F28</f>
        <v>73570</v>
      </c>
      <c r="H28" s="99">
        <f>G28+'5'!H28</f>
        <v>421651.30000000587</v>
      </c>
      <c r="I28" s="140"/>
      <c r="J28" s="175">
        <f>H28/DAY(B2)</f>
        <v>70275.216666667649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G30+'5'!H30</f>
        <v>44847</v>
      </c>
      <c r="I30" s="140"/>
      <c r="J30" s="175">
        <f>H30/DAY(B2)</f>
        <v>7474.5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82400</v>
      </c>
      <c r="I31" s="140"/>
      <c r="J31" s="175">
        <f>H31/DAY(B2)</f>
        <v>13733.333333333334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324262</v>
      </c>
      <c r="H32" s="99">
        <f>G32+'5'!H32</f>
        <v>2003613.3000000059</v>
      </c>
      <c r="I32" s="144"/>
      <c r="J32" s="175">
        <f>H32/DAY(B2)</f>
        <v>333935.55000000098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-4.9999999988358468E-2</v>
      </c>
      <c r="I35" s="95"/>
      <c r="J35" s="175">
        <f>H35/DAY(B2)</f>
        <v>-8.333333331393078E-3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191573</v>
      </c>
      <c r="F36" s="145">
        <v>192302</v>
      </c>
      <c r="G36" s="112">
        <f t="shared" si="3"/>
        <v>729</v>
      </c>
      <c r="H36" s="99">
        <f>G36+'5'!H36</f>
        <v>5381.7699999999895</v>
      </c>
      <c r="I36" s="95"/>
      <c r="J36" s="175">
        <f>H36/DAY(B2)</f>
        <v>896.96166666666488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294894</v>
      </c>
      <c r="F37" s="145">
        <v>296453</v>
      </c>
      <c r="G37" s="112">
        <f t="shared" si="3"/>
        <v>1559</v>
      </c>
      <c r="H37" s="99">
        <f>G37+'5'!H37</f>
        <v>9734.0100000000093</v>
      </c>
      <c r="I37" s="95"/>
      <c r="J37" s="175">
        <f>H37/DAY(B2)</f>
        <v>1622.3350000000016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397778</v>
      </c>
      <c r="F38" s="108">
        <v>399982</v>
      </c>
      <c r="G38" s="112">
        <f t="shared" si="3"/>
        <v>2204</v>
      </c>
      <c r="H38" s="99">
        <f>G38+'5'!H38</f>
        <v>13318.650000000023</v>
      </c>
      <c r="I38" s="95"/>
      <c r="J38" s="175">
        <f>H38/DAY(B2)</f>
        <v>2219.7750000000037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538362</v>
      </c>
      <c r="F39" s="145">
        <v>541244</v>
      </c>
      <c r="G39" s="112">
        <f t="shared" si="3"/>
        <v>2882</v>
      </c>
      <c r="H39" s="99">
        <f>G39+'5'!H39</f>
        <v>17863.409999999974</v>
      </c>
      <c r="I39" s="95"/>
      <c r="J39" s="175">
        <f>H39/DAY(B2)</f>
        <v>2977.2349999999956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86571</v>
      </c>
      <c r="F40" s="145">
        <v>87222</v>
      </c>
      <c r="G40" s="112">
        <f t="shared" si="3"/>
        <v>651</v>
      </c>
      <c r="H40" s="99">
        <f>G40+'5'!H40</f>
        <v>3550.9100000000035</v>
      </c>
      <c r="I40" s="95"/>
      <c r="J40" s="175">
        <f>H40/DAY(B2)</f>
        <v>591.81833333333395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142818</v>
      </c>
      <c r="F41" s="145">
        <v>142818</v>
      </c>
      <c r="G41" s="112">
        <f t="shared" si="3"/>
        <v>0</v>
      </c>
      <c r="H41" s="99">
        <f>G41+'5'!H41</f>
        <v>-0.39999999999417923</v>
      </c>
      <c r="I41" s="95"/>
      <c r="J41" s="175">
        <f>H41/DAY(B2)</f>
        <v>-6.6666666665696539E-2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709543</v>
      </c>
      <c r="F42" s="145">
        <v>715191</v>
      </c>
      <c r="G42" s="112">
        <f t="shared" si="3"/>
        <v>5648</v>
      </c>
      <c r="H42" s="99">
        <f>G42+'5'!H42</f>
        <v>26558.449999999953</v>
      </c>
      <c r="I42" s="95"/>
      <c r="J42" s="175">
        <f>H42/DAY(B2)</f>
        <v>4426.4083333333256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13673</v>
      </c>
      <c r="H47" s="99">
        <f>G47+'5'!H47</f>
        <v>76406.749999999971</v>
      </c>
      <c r="I47" s="95"/>
      <c r="J47" s="175">
        <f>H47/DAY(B2)</f>
        <v>12734.458333333328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385660</v>
      </c>
      <c r="F49" s="145">
        <v>389379</v>
      </c>
      <c r="G49" s="112">
        <f t="shared" ref="G49:G58" si="4">F49-E49</f>
        <v>3719</v>
      </c>
      <c r="H49" s="99">
        <f>G49+'5'!H49</f>
        <v>21607.25</v>
      </c>
      <c r="I49" s="95"/>
      <c r="J49" s="175">
        <f>H49/DAY(B2)</f>
        <v>3601.2083333333335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248406</v>
      </c>
      <c r="F50" s="145">
        <v>249603</v>
      </c>
      <c r="G50" s="112">
        <f t="shared" si="4"/>
        <v>1197</v>
      </c>
      <c r="H50" s="99">
        <f>G50+'5'!H50</f>
        <v>6497.6000000000058</v>
      </c>
      <c r="I50" s="95"/>
      <c r="J50" s="175">
        <f>H50/DAY(B2)</f>
        <v>1082.9333333333343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78784</v>
      </c>
      <c r="F54" s="145">
        <v>79137</v>
      </c>
      <c r="G54" s="112">
        <f t="shared" si="4"/>
        <v>353</v>
      </c>
      <c r="H54" s="99">
        <f>G54+'5'!H54</f>
        <v>2119.5</v>
      </c>
      <c r="I54" s="95"/>
      <c r="J54" s="175">
        <f>H54/DAY(B2)</f>
        <v>353.25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294394</v>
      </c>
      <c r="F55" s="145">
        <v>294394</v>
      </c>
      <c r="G55" s="112">
        <f t="shared" si="4"/>
        <v>0</v>
      </c>
      <c r="H55" s="99">
        <f>G55+'5'!H55</f>
        <v>10311.070000000007</v>
      </c>
      <c r="I55" s="95"/>
      <c r="J55" s="175">
        <f>H55/DAY(B2)</f>
        <v>1718.5116666666679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117633</v>
      </c>
      <c r="F56" s="145">
        <v>118797</v>
      </c>
      <c r="G56" s="112">
        <f t="shared" si="4"/>
        <v>1164</v>
      </c>
      <c r="H56" s="99">
        <f>G56+'5'!H56</f>
        <v>7553.8699999999953</v>
      </c>
      <c r="I56" s="95"/>
      <c r="J56" s="175">
        <f>H56/DAY(B2)</f>
        <v>1258.9783333333326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147376</v>
      </c>
      <c r="F57" s="145">
        <v>150446</v>
      </c>
      <c r="G57" s="112">
        <f t="shared" si="4"/>
        <v>3070</v>
      </c>
      <c r="H57" s="99">
        <f>G57+'5'!H57</f>
        <v>18542.299999999988</v>
      </c>
      <c r="I57" s="95"/>
      <c r="J57" s="175">
        <f>H57/DAY(B2)</f>
        <v>3090.3833333333314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41757</v>
      </c>
      <c r="F58" s="145">
        <v>42057</v>
      </c>
      <c r="G58" s="112">
        <f t="shared" si="4"/>
        <v>300</v>
      </c>
      <c r="H58" s="99">
        <f>G58+'5'!H58</f>
        <v>1776.8899999999994</v>
      </c>
      <c r="I58" s="95"/>
      <c r="J58" s="175">
        <f>H58/DAY(B2)</f>
        <v>296.14833333333326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9803</v>
      </c>
      <c r="H59" s="99">
        <f>G59+'5'!H59</f>
        <v>68408.239999999991</v>
      </c>
      <c r="I59" s="95">
        <f>G7-G60</f>
        <v>1426</v>
      </c>
      <c r="J59" s="175">
        <f>H59/DAY(B2)</f>
        <v>11401.373333333331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23476</v>
      </c>
      <c r="H60" s="99">
        <f>G60+'5'!H60</f>
        <v>144814.99</v>
      </c>
      <c r="I60" s="95">
        <f>G13-G60</f>
        <v>770</v>
      </c>
      <c r="J60" s="175">
        <f>H60/DAY(B2)</f>
        <v>24135.831666666665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'5'!F62</f>
        <v>293137</v>
      </c>
      <c r="F62" s="122">
        <v>293243</v>
      </c>
      <c r="G62" s="112">
        <f t="shared" ref="G62:G63" si="5">F62-E62</f>
        <v>106</v>
      </c>
      <c r="H62" s="99">
        <f>G62+'5'!H62</f>
        <v>545</v>
      </c>
      <c r="I62" s="118"/>
      <c r="J62" s="175">
        <f>H62/DAY(B2)</f>
        <v>90.833333333333329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'5'!F63</f>
        <v>235693</v>
      </c>
      <c r="F63" s="122">
        <v>235741</v>
      </c>
      <c r="G63" s="112">
        <f t="shared" si="5"/>
        <v>48</v>
      </c>
      <c r="H63" s="99">
        <f>G63+'5'!H63</f>
        <v>675</v>
      </c>
      <c r="I63" s="118"/>
      <c r="J63" s="175">
        <f>H63/DAY(B2)</f>
        <v>112.5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'5'!F64</f>
        <v>0</v>
      </c>
      <c r="F64" s="122"/>
      <c r="G64" s="112">
        <f>G62+G63</f>
        <v>154</v>
      </c>
      <c r="H64" s="99">
        <f>G64+'5'!H64</f>
        <v>1220</v>
      </c>
      <c r="I64" s="118"/>
      <c r="J64" s="175">
        <f>H64/DAY(B2)</f>
        <v>203.33333333333334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'5'!F65</f>
        <v>451851</v>
      </c>
      <c r="F65" s="122">
        <v>451948</v>
      </c>
      <c r="G65" s="112">
        <f t="shared" ref="G65:G70" si="6">F65-E65</f>
        <v>97</v>
      </c>
      <c r="H65" s="99">
        <f>G65+'5'!H65</f>
        <v>559</v>
      </c>
      <c r="I65" s="118"/>
      <c r="J65" s="175">
        <f>H65/DAY(B2)</f>
        <v>93.166666666666671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111097</v>
      </c>
      <c r="F66" s="122">
        <v>111118</v>
      </c>
      <c r="G66" s="112">
        <f t="shared" si="6"/>
        <v>21</v>
      </c>
      <c r="H66" s="99">
        <f>G66+'5'!H66</f>
        <v>91</v>
      </c>
      <c r="I66" s="118"/>
      <c r="J66" s="175">
        <f>H66/DAY(B2)</f>
        <v>15.166666666666666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113680</v>
      </c>
      <c r="F67" s="122">
        <v>113680</v>
      </c>
      <c r="G67" s="112">
        <f t="shared" si="6"/>
        <v>0</v>
      </c>
      <c r="H67" s="99">
        <f>G67+'5'!H67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163759</v>
      </c>
      <c r="F68" s="122">
        <v>163796</v>
      </c>
      <c r="G68" s="112">
        <f t="shared" si="6"/>
        <v>37</v>
      </c>
      <c r="H68" s="99">
        <f>G68+'5'!H68</f>
        <v>270</v>
      </c>
      <c r="I68" s="118"/>
      <c r="J68" s="175">
        <f>H68/DAY(B2)</f>
        <v>45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12151</v>
      </c>
      <c r="F69" s="122">
        <v>12155</v>
      </c>
      <c r="G69" s="112">
        <f t="shared" si="6"/>
        <v>4</v>
      </c>
      <c r="H69" s="99">
        <f>G69+'5'!H69</f>
        <v>27</v>
      </c>
      <c r="I69" s="118"/>
      <c r="J69" s="175">
        <f>H69/DAY(B2)</f>
        <v>4.5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9554</v>
      </c>
      <c r="F70" s="122">
        <v>9560</v>
      </c>
      <c r="G70" s="112">
        <f t="shared" si="6"/>
        <v>6</v>
      </c>
      <c r="H70" s="99">
        <f>G70+'5'!H70</f>
        <v>46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165</v>
      </c>
      <c r="H71" s="99">
        <f>G71+'5'!H71</f>
        <v>993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'5'!F74</f>
        <v>949218</v>
      </c>
      <c r="F74" s="123">
        <v>949515</v>
      </c>
      <c r="G74" s="112">
        <f t="shared" ref="G74:G78" si="7">F74-E74</f>
        <v>297</v>
      </c>
      <c r="H74" s="99">
        <f>G74+'5'!H74</f>
        <v>1807.8000000000466</v>
      </c>
      <c r="I74" s="154"/>
      <c r="J74" s="175">
        <f>H74/DAY(B2)</f>
        <v>301.30000000000774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'5'!F76</f>
        <v>187419</v>
      </c>
      <c r="F76" s="123">
        <v>187521</v>
      </c>
      <c r="G76" s="112">
        <f t="shared" si="7"/>
        <v>102</v>
      </c>
      <c r="H76" s="99">
        <f>G76+'5'!H76</f>
        <v>629.70000000001164</v>
      </c>
      <c r="I76" s="154"/>
      <c r="J76" s="175">
        <f>H76/DAY(B2)</f>
        <v>104.95000000000194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'5'!F77</f>
        <v>48963</v>
      </c>
      <c r="F77" s="123">
        <v>49013</v>
      </c>
      <c r="G77" s="112">
        <f t="shared" si="7"/>
        <v>50</v>
      </c>
      <c r="H77" s="99">
        <f>G77+'5'!H77</f>
        <v>277.19999999999709</v>
      </c>
      <c r="I77" s="154"/>
      <c r="J77" s="175">
        <f>H77/DAY(B2)</f>
        <v>46.199999999999513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17"/>
      <c r="G79" s="112">
        <f>G15-SUM(G74:G78)</f>
        <v>602</v>
      </c>
      <c r="H79" s="99">
        <f>G79+'5'!H79</f>
        <v>3308.8900000000285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42275.26</v>
      </c>
      <c r="F84" s="164">
        <v>42275.26</v>
      </c>
      <c r="G84" s="112">
        <f t="shared" si="8"/>
        <v>0</v>
      </c>
      <c r="H84" s="99">
        <f>G84+'5'!H84</f>
        <v>0.26000000000203727</v>
      </c>
      <c r="I84" s="573"/>
      <c r="J84" s="175">
        <f>H84/DAY(B2)</f>
        <v>4.3333333333672876E-2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4971</v>
      </c>
      <c r="F85" s="164">
        <v>4995</v>
      </c>
      <c r="G85" s="112">
        <f t="shared" si="8"/>
        <v>24</v>
      </c>
      <c r="H85" s="99">
        <f>G85+'5'!H85</f>
        <v>112.98999999999978</v>
      </c>
      <c r="I85" s="573"/>
      <c r="J85" s="175">
        <f>H85/DAY(B2)</f>
        <v>18.831666666666631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44918</v>
      </c>
      <c r="F86" s="164">
        <v>44918</v>
      </c>
      <c r="G86" s="112">
        <f t="shared" si="8"/>
        <v>0</v>
      </c>
      <c r="H86" s="99">
        <f>G86+'5'!H86</f>
        <v>65.69999999999709</v>
      </c>
      <c r="I86" s="573"/>
      <c r="J86" s="175">
        <f>H86/DAY(B2)</f>
        <v>10.949999999999514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35407</v>
      </c>
      <c r="F87" s="164">
        <v>35421</v>
      </c>
      <c r="G87" s="112">
        <f t="shared" si="8"/>
        <v>14</v>
      </c>
      <c r="H87" s="99">
        <f>G87+'5'!H87</f>
        <v>62.94999999999709</v>
      </c>
      <c r="I87" s="555">
        <f>G84+G85+G86+G87</f>
        <v>38</v>
      </c>
      <c r="J87" s="175">
        <f>H87/DAY(B2)</f>
        <v>10.491666666666182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24277.25</v>
      </c>
      <c r="F88" s="164">
        <v>24279</v>
      </c>
      <c r="G88" s="112">
        <f t="shared" si="8"/>
        <v>1.75</v>
      </c>
      <c r="H88" s="99">
        <f>G88+'5'!H88</f>
        <v>1.7999999999992724</v>
      </c>
      <c r="I88" s="555"/>
      <c r="J88" s="175">
        <f>H88/DAY(B2)</f>
        <v>0.29999999999987875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27337.52</v>
      </c>
      <c r="F89" s="164">
        <v>27344.720000000001</v>
      </c>
      <c r="G89" s="112">
        <f t="shared" si="8"/>
        <v>7.2000000000007276</v>
      </c>
      <c r="H89" s="99">
        <f>G89+'5'!H89</f>
        <v>53.30000000000291</v>
      </c>
      <c r="I89" s="555">
        <f>G88+G89</f>
        <v>8.9500000000007276</v>
      </c>
      <c r="J89" s="175">
        <f>H89/DAY(B2)</f>
        <v>8.8833333333338178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v>72336.25</v>
      </c>
      <c r="F90" s="164">
        <v>72346.25</v>
      </c>
      <c r="G90" s="112">
        <f t="shared" si="8"/>
        <v>10</v>
      </c>
      <c r="H90" s="99">
        <f>G90+'5'!H90</f>
        <v>45.120000000009895</v>
      </c>
      <c r="I90" s="555">
        <f>G90</f>
        <v>10</v>
      </c>
      <c r="J90" s="175">
        <f>H90/DAY(B2)</f>
        <v>7.5200000000016489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4168.17</v>
      </c>
      <c r="F91" s="122">
        <v>4179.29</v>
      </c>
      <c r="G91" s="112">
        <f t="shared" si="8"/>
        <v>11.119999999999891</v>
      </c>
      <c r="H91" s="99">
        <f>G91+'5'!H91</f>
        <v>40.850000000000364</v>
      </c>
      <c r="I91" s="616"/>
      <c r="J91" s="175">
        <f>H91/DAY(B2)</f>
        <v>6.808333333333394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6540.41</v>
      </c>
      <c r="F92" s="122">
        <v>6540.41</v>
      </c>
      <c r="G92" s="112">
        <f t="shared" si="8"/>
        <v>0</v>
      </c>
      <c r="H92" s="99">
        <f>G92+'5'!H92</f>
        <v>25.069999999999709</v>
      </c>
      <c r="I92" s="617">
        <f>G91+G92</f>
        <v>11.119999999999891</v>
      </c>
      <c r="J92" s="175">
        <f>H92/DAY(B2)</f>
        <v>4.1783333333332848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6789</v>
      </c>
      <c r="H94" s="99">
        <f>G94+'5'!H94</f>
        <v>40149.5</v>
      </c>
      <c r="I94" s="118"/>
      <c r="J94" s="175">
        <f>H94/DAY(B2)</f>
        <v>6691.583333333333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0.27262870452172516</v>
      </c>
      <c r="H95" s="99">
        <f>G95+'5'!H95</f>
        <v>1.5175620594513832</v>
      </c>
      <c r="I95" s="167"/>
      <c r="J95" s="175">
        <f>H95/DAY(B2)</f>
        <v>0.25292700990856387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6812</v>
      </c>
      <c r="H96" s="99">
        <f>G96+'5'!H96</f>
        <v>44422.989999999962</v>
      </c>
      <c r="I96" s="118"/>
      <c r="J96" s="175">
        <f>H96/DAY(B2)</f>
        <v>7403.8316666666606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0.27355232511444866</v>
      </c>
      <c r="H97" s="99">
        <f>G97+'5'!H97</f>
        <v>1.668978293643115</v>
      </c>
      <c r="I97" s="167"/>
      <c r="J97" s="175">
        <f>H97/DAY(B2)</f>
        <v>0.27816304894051919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2882</v>
      </c>
      <c r="H98" s="99">
        <f>G98+'5'!H98</f>
        <v>17863.409999999974</v>
      </c>
      <c r="I98" s="168"/>
      <c r="J98" s="175">
        <f>H98/DAY(B2)</f>
        <v>2977.2349999999956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0.11573367600995904</v>
      </c>
      <c r="H99" s="99">
        <f>G99+'5'!H99</f>
        <v>0.6751611458398934</v>
      </c>
      <c r="I99" s="168"/>
      <c r="J99" s="175">
        <f>H99/DAY(B2)</f>
        <v>0.11252685763998223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2204</v>
      </c>
      <c r="H100" s="99">
        <f>G100+'5'!H100</f>
        <v>13318.410000000024</v>
      </c>
      <c r="I100" s="118"/>
      <c r="J100" s="175">
        <f>H100/DAY(B2)</f>
        <v>2219.7350000000038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8.8506947233153957E-2</v>
      </c>
      <c r="H101" s="99">
        <f>G101+'5'!H101</f>
        <v>0.503289875752021</v>
      </c>
      <c r="I101" s="168"/>
      <c r="J101" s="175">
        <f>H101/DAY(B2)</f>
        <v>8.3881645958670162E-2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1926</v>
      </c>
      <c r="H102" s="99">
        <f>G102+'5'!H102</f>
        <v>11879.369999999995</v>
      </c>
      <c r="I102" s="168"/>
      <c r="J102" s="175">
        <f>H102/DAY(B2)</f>
        <v>1979.8949999999993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7.7343185286322377E-2</v>
      </c>
      <c r="H103" s="99">
        <f>G103+'5'!H103</f>
        <v>0.44753307277019327</v>
      </c>
      <c r="I103" s="118"/>
      <c r="J103" s="175">
        <f>H103/DAY(B2)</f>
        <v>7.4588845461698874E-2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1559</v>
      </c>
      <c r="H104" s="99">
        <f>G104+'5'!H104</f>
        <v>9734.0100000000093</v>
      </c>
      <c r="I104" s="118"/>
      <c r="J104" s="175">
        <f>H104/DAY(B2)</f>
        <v>1622.3350000000016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6.2605413219821701E-2</v>
      </c>
      <c r="H105" s="99">
        <f>G105+'5'!H105</f>
        <v>0.36821613485041932</v>
      </c>
      <c r="I105" s="187"/>
      <c r="J105" s="188">
        <f>H105/DAY(B2)</f>
        <v>6.136935580840322E-2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'5'!F112</f>
        <v>5301</v>
      </c>
      <c r="F112" s="237">
        <v>5376</v>
      </c>
      <c r="G112" s="112">
        <f t="shared" ref="G112:G123" si="9">F112-E112</f>
        <v>75</v>
      </c>
      <c r="H112" s="99">
        <f>G112+'5'!H112</f>
        <v>446.26000000000022</v>
      </c>
      <c r="I112" s="165"/>
      <c r="J112" s="328">
        <f>H112/DAY(B2)</f>
        <v>74.376666666666708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'5'!F113</f>
        <v>11341</v>
      </c>
      <c r="F113" s="237">
        <v>11484</v>
      </c>
      <c r="G113" s="112">
        <f t="shared" si="9"/>
        <v>143</v>
      </c>
      <c r="H113" s="99">
        <f>G113+'5'!H113</f>
        <v>851.28000000000065</v>
      </c>
      <c r="I113" s="165"/>
      <c r="J113" s="328">
        <f>H113/DAY(B2)</f>
        <v>141.88000000000011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'5'!F114</f>
        <v>15284</v>
      </c>
      <c r="F114" s="237">
        <v>15519</v>
      </c>
      <c r="G114" s="112">
        <f t="shared" si="9"/>
        <v>235</v>
      </c>
      <c r="H114" s="99">
        <f>G114+'5'!H114</f>
        <v>1325.2000000000007</v>
      </c>
      <c r="I114" s="165"/>
      <c r="J114" s="328">
        <f>H114/DAY(B2)</f>
        <v>220.86666666666679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'5'!F115</f>
        <v>9632</v>
      </c>
      <c r="F115" s="237">
        <v>9755</v>
      </c>
      <c r="G115" s="112">
        <f t="shared" si="9"/>
        <v>123</v>
      </c>
      <c r="H115" s="99">
        <f>G115+'5'!H115</f>
        <v>843.44000000000051</v>
      </c>
      <c r="I115" s="165"/>
      <c r="J115" s="328">
        <f>H115/DAY(B2)</f>
        <v>140.57333333333341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'5'!F116</f>
        <v>60892</v>
      </c>
      <c r="F116" s="237">
        <v>61253</v>
      </c>
      <c r="G116" s="112">
        <f t="shared" si="9"/>
        <v>361</v>
      </c>
      <c r="H116" s="99">
        <f>G116+'5'!H116</f>
        <v>2362.4499999999971</v>
      </c>
      <c r="I116" s="165"/>
      <c r="J116" s="328">
        <f>H116/DAY(B2)</f>
        <v>393.74166666666616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'5'!F117</f>
        <v>34266</v>
      </c>
      <c r="F117" s="237">
        <v>34494</v>
      </c>
      <c r="G117" s="112">
        <f t="shared" si="9"/>
        <v>228</v>
      </c>
      <c r="H117" s="99">
        <f>G117+'5'!H117</f>
        <v>1605.5199999999968</v>
      </c>
      <c r="I117" s="165"/>
      <c r="J117" s="328">
        <f>H117/DAY(B2)</f>
        <v>267.58666666666613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'5'!F118</f>
        <v>48122</v>
      </c>
      <c r="F118" s="237">
        <v>48785</v>
      </c>
      <c r="G118" s="112">
        <f t="shared" si="9"/>
        <v>663</v>
      </c>
      <c r="H118" s="99">
        <f>G118+'5'!H118</f>
        <v>3864.6900000000023</v>
      </c>
      <c r="I118" s="165"/>
      <c r="J118" s="328">
        <f>H118/DAY(B2)</f>
        <v>644.11500000000035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'5'!F119</f>
        <v>31505</v>
      </c>
      <c r="F119" s="237">
        <v>31728</v>
      </c>
      <c r="G119" s="112">
        <f t="shared" si="9"/>
        <v>223</v>
      </c>
      <c r="H119" s="99">
        <f>G119+'5'!H119</f>
        <v>1385.4000000000015</v>
      </c>
      <c r="I119" s="165"/>
      <c r="J119" s="328">
        <f>H119/DAY(B2)</f>
        <v>230.90000000000023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'5'!F120</f>
        <v>35297</v>
      </c>
      <c r="F120" s="237">
        <v>35722</v>
      </c>
      <c r="G120" s="112">
        <f t="shared" si="9"/>
        <v>425</v>
      </c>
      <c r="H120" s="99">
        <f>G120+'5'!H120</f>
        <v>2616.4400000000023</v>
      </c>
      <c r="I120" s="165"/>
      <c r="J120" s="328">
        <f>H120/DAY(B2)</f>
        <v>436.07333333333372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'5'!F121</f>
        <v>41914</v>
      </c>
      <c r="F121" s="237">
        <v>42338</v>
      </c>
      <c r="G121" s="112">
        <f t="shared" si="9"/>
        <v>424</v>
      </c>
      <c r="H121" s="99">
        <f>G121+'5'!H121</f>
        <v>2750.0999999999985</v>
      </c>
      <c r="I121" s="165"/>
      <c r="J121" s="328">
        <f>H121/DAY(B2)</f>
        <v>458.34999999999974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'5'!F122</f>
        <v>21472</v>
      </c>
      <c r="F122" s="237">
        <v>21735</v>
      </c>
      <c r="G122" s="112">
        <f t="shared" si="9"/>
        <v>263</v>
      </c>
      <c r="H122" s="99">
        <f>G122+'5'!H122</f>
        <v>1769.119999999999</v>
      </c>
      <c r="I122" s="165"/>
      <c r="J122" s="328">
        <f>H122/DAY(B2)</f>
        <v>294.85333333333318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'5'!F123</f>
        <v>21917</v>
      </c>
      <c r="F123" s="237">
        <v>22230</v>
      </c>
      <c r="G123" s="112">
        <f t="shared" si="9"/>
        <v>313</v>
      </c>
      <c r="H123" s="99">
        <f>G123+'5'!H123</f>
        <v>1888</v>
      </c>
      <c r="I123" s="165"/>
      <c r="J123" s="328">
        <f>H123/DAY(B2)</f>
        <v>314.66666666666669</v>
      </c>
    </row>
    <row r="124" spans="1:18" ht="29.25" customHeight="1">
      <c r="A124" s="929"/>
      <c r="B124" s="930"/>
      <c r="C124" s="931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3476</v>
      </c>
      <c r="H125" s="156"/>
      <c r="I125" s="327">
        <f>G125-(G39+G53)</f>
        <v>594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'5'!F128</f>
        <v>114424</v>
      </c>
      <c r="F128" s="165">
        <v>114946</v>
      </c>
      <c r="G128" s="112">
        <f t="shared" ref="G128:G134" si="10">F128-E128</f>
        <v>522</v>
      </c>
      <c r="H128" s="99">
        <f>G128+'5'!H128</f>
        <v>3070.1399999999994</v>
      </c>
      <c r="I128" s="165"/>
      <c r="J128" s="328">
        <f>H128/DAY(B2)</f>
        <v>511.68999999999988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67737</v>
      </c>
      <c r="F129" s="165">
        <v>67960</v>
      </c>
      <c r="G129" s="112">
        <f t="shared" si="10"/>
        <v>223</v>
      </c>
      <c r="H129" s="99">
        <f>G129+'5'!H129</f>
        <v>1258.2200000000012</v>
      </c>
      <c r="I129" s="165"/>
      <c r="J129" s="328">
        <f>H129/DAY(B2)</f>
        <v>209.70333333333352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145706</v>
      </c>
      <c r="F130" s="165">
        <v>146463</v>
      </c>
      <c r="G130" s="112">
        <f t="shared" si="10"/>
        <v>757</v>
      </c>
      <c r="H130" s="99">
        <f>G130+'5'!H130</f>
        <v>4709.3500000000058</v>
      </c>
      <c r="I130" s="165"/>
      <c r="J130" s="328">
        <f>H130/DAY(B2)</f>
        <v>784.89166666666767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'5'!F131</f>
        <v>43571</v>
      </c>
      <c r="F131" s="165">
        <v>43753</v>
      </c>
      <c r="G131" s="112">
        <f t="shared" si="10"/>
        <v>182</v>
      </c>
      <c r="H131" s="99">
        <f>G131+'5'!H131</f>
        <v>1134.8000000000029</v>
      </c>
      <c r="I131" s="165"/>
      <c r="J131" s="328">
        <f>H131/DAY(B2)</f>
        <v>189.13333333333381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'5'!F132</f>
        <v>118361</v>
      </c>
      <c r="F132" s="165">
        <v>118729</v>
      </c>
      <c r="G132" s="112">
        <f t="shared" si="10"/>
        <v>368</v>
      </c>
      <c r="H132" s="99">
        <f>G132+'5'!H132</f>
        <v>2438</v>
      </c>
      <c r="I132" s="165"/>
      <c r="J132" s="328">
        <f>H132/DAY(B2)</f>
        <v>406.33333333333331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'5'!F133</f>
        <v>790437</v>
      </c>
      <c r="F133" s="165">
        <v>791247</v>
      </c>
      <c r="G133" s="112">
        <f t="shared" si="10"/>
        <v>810</v>
      </c>
      <c r="H133" s="99">
        <f>G133+'5'!H133</f>
        <v>4203</v>
      </c>
      <c r="I133" s="165"/>
      <c r="J133" s="328">
        <f>H133/DAY(B2)</f>
        <v>700.5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'5'!F134</f>
        <v>42925</v>
      </c>
      <c r="F134" s="165">
        <v>43180</v>
      </c>
      <c r="G134" s="112">
        <f t="shared" si="10"/>
        <v>255</v>
      </c>
      <c r="H134" s="99">
        <f>G134+'5'!H134</f>
        <v>1435</v>
      </c>
      <c r="I134" s="165"/>
      <c r="J134" s="328">
        <f>H134/DAY(B2)</f>
        <v>239.16666666666666</v>
      </c>
    </row>
    <row r="135" spans="1:15" ht="25.5">
      <c r="A135" s="932" t="s">
        <v>196</v>
      </c>
      <c r="B135" s="933"/>
      <c r="C135" s="331"/>
      <c r="D135" s="151"/>
      <c r="E135" s="95"/>
      <c r="F135" s="112"/>
      <c r="G135" s="112">
        <f>SUM(G128:G134)</f>
        <v>3117</v>
      </c>
      <c r="H135" s="99">
        <f>G135+'5'!H135</f>
        <v>18248.510000000009</v>
      </c>
      <c r="I135" s="327">
        <f>G135-(G35+G49)</f>
        <v>-602</v>
      </c>
      <c r="J135" s="328">
        <f>H135/DAY(B2)</f>
        <v>3041.4183333333349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'5'!F138</f>
        <v>887937</v>
      </c>
      <c r="F138" s="148">
        <v>888050</v>
      </c>
      <c r="G138" s="112">
        <f t="shared" ref="G138:G152" si="11">F138-E138</f>
        <v>113</v>
      </c>
      <c r="H138" s="99">
        <f>G138+'5'!H138</f>
        <v>823</v>
      </c>
      <c r="I138" s="118"/>
      <c r="J138" s="328">
        <f>H138/DAY(B2)</f>
        <v>137.16666666666666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'5'!F139</f>
        <v>904875</v>
      </c>
      <c r="F139" s="148">
        <v>905054</v>
      </c>
      <c r="G139" s="112">
        <f t="shared" si="11"/>
        <v>179</v>
      </c>
      <c r="H139" s="99">
        <f>G139+'5'!H139</f>
        <v>964</v>
      </c>
      <c r="I139" s="118"/>
      <c r="J139" s="328">
        <f>H139/DAY(B2)</f>
        <v>160.66666666666666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'5'!F140</f>
        <v>1124</v>
      </c>
      <c r="F140" s="149">
        <v>1136</v>
      </c>
      <c r="G140" s="112">
        <f t="shared" si="11"/>
        <v>12</v>
      </c>
      <c r="H140" s="99">
        <f>G140+'5'!H140</f>
        <v>80.950000000000045</v>
      </c>
      <c r="I140" s="118"/>
      <c r="J140" s="328">
        <f>H140/DAY(B2)</f>
        <v>13.491666666666674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'5'!F141</f>
        <v>85156</v>
      </c>
      <c r="F141" s="149">
        <v>85351</v>
      </c>
      <c r="G141" s="112">
        <f t="shared" si="11"/>
        <v>195</v>
      </c>
      <c r="H141" s="99">
        <f>G141+'5'!H141</f>
        <v>1235.8000000000029</v>
      </c>
      <c r="I141" s="118"/>
      <c r="J141" s="328">
        <f>H141/DAY(B2)</f>
        <v>205.96666666666715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'5'!F142</f>
        <v>34751</v>
      </c>
      <c r="F142" s="148">
        <v>34819</v>
      </c>
      <c r="G142" s="112">
        <f t="shared" si="11"/>
        <v>68</v>
      </c>
      <c r="H142" s="99">
        <f>G142+'5'!H142</f>
        <v>433.52999999999884</v>
      </c>
      <c r="I142" s="140"/>
      <c r="J142" s="328">
        <f>H142/DAY(B2)</f>
        <v>72.254999999999811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'5'!F143</f>
        <v>8306</v>
      </c>
      <c r="F143" s="149">
        <v>8341</v>
      </c>
      <c r="G143" s="112">
        <f t="shared" si="11"/>
        <v>35</v>
      </c>
      <c r="H143" s="99">
        <f>G143+'5'!H143</f>
        <v>182.68000000000029</v>
      </c>
      <c r="I143" s="140"/>
      <c r="J143" s="328">
        <f>H143/DAY(B2)</f>
        <v>30.446666666666715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'5'!F144</f>
        <v>913517</v>
      </c>
      <c r="F144" s="149">
        <v>913773</v>
      </c>
      <c r="G144" s="112">
        <f t="shared" si="11"/>
        <v>256</v>
      </c>
      <c r="H144" s="99">
        <f>G144+'5'!H144</f>
        <v>1496</v>
      </c>
      <c r="I144" s="140"/>
      <c r="J144" s="328">
        <f>H144/DAY(B2)</f>
        <v>249.33333333333334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'5'!F145</f>
        <v>5666.56</v>
      </c>
      <c r="F145" s="148">
        <v>5666.56</v>
      </c>
      <c r="G145" s="112">
        <f t="shared" si="11"/>
        <v>0</v>
      </c>
      <c r="H145" s="99">
        <f>G145+'5'!H145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'5'!F146</f>
        <v>779579</v>
      </c>
      <c r="F146" s="148">
        <v>779620</v>
      </c>
      <c r="G146" s="112">
        <f t="shared" si="11"/>
        <v>41</v>
      </c>
      <c r="H146" s="99">
        <f>G146+'5'!H146</f>
        <v>292</v>
      </c>
      <c r="I146" s="140"/>
      <c r="J146" s="328">
        <f>H146/DAY(B2)</f>
        <v>48.666666666666664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'5'!F147</f>
        <v>689358</v>
      </c>
      <c r="F147" s="148">
        <v>689749</v>
      </c>
      <c r="G147" s="112">
        <f t="shared" si="11"/>
        <v>391</v>
      </c>
      <c r="H147" s="99">
        <f>G147+'5'!H147</f>
        <v>2222.8399999999674</v>
      </c>
      <c r="I147" s="140"/>
      <c r="J147" s="328">
        <f>H147/DAY(B2)</f>
        <v>370.4733333333279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'5'!F148</f>
        <v>740520</v>
      </c>
      <c r="F148" s="164">
        <v>740787</v>
      </c>
      <c r="G148" s="112">
        <f t="shared" si="11"/>
        <v>267</v>
      </c>
      <c r="H148" s="99">
        <f>G148+'5'!H148</f>
        <v>1839.7199999999721</v>
      </c>
      <c r="I148" s="124"/>
      <c r="J148" s="328">
        <f>H148/DAY(B2)</f>
        <v>306.61999999999534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'5'!F149</f>
        <v>118971</v>
      </c>
      <c r="F149" s="146">
        <v>119471</v>
      </c>
      <c r="G149" s="112">
        <f t="shared" si="11"/>
        <v>500</v>
      </c>
      <c r="H149" s="99">
        <f>G149+'5'!H149</f>
        <v>2938.1999999999971</v>
      </c>
      <c r="I149" s="119"/>
      <c r="J149" s="328">
        <f>H149/DAY(B2)</f>
        <v>489.69999999999953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'5'!F150</f>
        <v>44802</v>
      </c>
      <c r="F150" s="233">
        <v>45022</v>
      </c>
      <c r="G150" s="112">
        <f t="shared" si="11"/>
        <v>220</v>
      </c>
      <c r="H150" s="99">
        <f>G150+'5'!H150</f>
        <v>1296.8399999999965</v>
      </c>
      <c r="I150" s="119"/>
      <c r="J150" s="328">
        <f>H150/DAY(B2)</f>
        <v>216.13999999999942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'5'!F151</f>
        <v>127917</v>
      </c>
      <c r="F151" s="233">
        <v>128168</v>
      </c>
      <c r="G151" s="112">
        <f t="shared" si="11"/>
        <v>251</v>
      </c>
      <c r="H151" s="99">
        <f>G151+'5'!H151</f>
        <v>1565</v>
      </c>
      <c r="I151" s="119"/>
      <c r="J151" s="328">
        <f>H151/DAY(B2)</f>
        <v>260.83333333333331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'5'!F152</f>
        <v>19929</v>
      </c>
      <c r="F152" s="233">
        <v>20053</v>
      </c>
      <c r="G152" s="112">
        <f t="shared" si="11"/>
        <v>124</v>
      </c>
      <c r="H152" s="99">
        <f>G152+'5'!H152</f>
        <v>764.91999999999825</v>
      </c>
      <c r="I152" s="119"/>
      <c r="J152" s="328">
        <f>H152/DAY(B2)</f>
        <v>127.48666666666638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2652</v>
      </c>
      <c r="H153" s="363"/>
      <c r="I153" s="119">
        <f>G153-(G38+G52)</f>
        <v>448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'5'!F155</f>
        <v>133249</v>
      </c>
      <c r="F155" s="374">
        <v>133813</v>
      </c>
      <c r="G155" s="112">
        <f t="shared" ref="G155:G158" si="12">F155-E155</f>
        <v>564</v>
      </c>
      <c r="H155" s="99">
        <f>G155+'5'!H155</f>
        <v>3571.6199999999953</v>
      </c>
      <c r="I155" s="364"/>
      <c r="J155" s="328">
        <f>H155/DAY(B2)</f>
        <v>595.26999999999919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'5'!F156</f>
        <v>12536</v>
      </c>
      <c r="F156" s="155">
        <v>12611</v>
      </c>
      <c r="G156" s="112">
        <f t="shared" si="12"/>
        <v>75</v>
      </c>
      <c r="H156" s="99">
        <f>G156+'5'!H156</f>
        <v>517.63999999999942</v>
      </c>
      <c r="I156" s="165"/>
      <c r="J156" s="328">
        <f>H156/DAY(B2)</f>
        <v>86.273333333333241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'5'!F157</f>
        <v>23935</v>
      </c>
      <c r="F157" s="155">
        <v>24076</v>
      </c>
      <c r="G157" s="112">
        <f t="shared" si="12"/>
        <v>141</v>
      </c>
      <c r="H157" s="99">
        <f>G157+'5'!H157</f>
        <v>879.29999999999927</v>
      </c>
      <c r="I157" s="165"/>
      <c r="J157" s="328">
        <f>H157/DAY(B2)</f>
        <v>146.54999999999987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'5'!F158</f>
        <v>223</v>
      </c>
      <c r="F158" s="155">
        <v>224</v>
      </c>
      <c r="G158" s="112">
        <f t="shared" si="12"/>
        <v>1</v>
      </c>
      <c r="H158" s="99">
        <f>G158+'5'!H158</f>
        <v>136.30999999999997</v>
      </c>
      <c r="I158" s="165"/>
      <c r="J158" s="328">
        <f>H158/DAY(B2)</f>
        <v>22.71833333333333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477902</v>
      </c>
      <c r="F161" s="235">
        <v>478084</v>
      </c>
      <c r="G161" s="238">
        <f t="shared" ref="G161:G165" si="13">F161-E161</f>
        <v>182</v>
      </c>
      <c r="H161" s="99">
        <f>G161+'5'!H161</f>
        <v>421</v>
      </c>
      <c r="I161" s="236"/>
      <c r="J161" s="239">
        <f>H161/DAY(B2)</f>
        <v>70.166666666666671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93986</v>
      </c>
      <c r="F162" s="235">
        <v>94027</v>
      </c>
      <c r="G162" s="238">
        <f t="shared" si="13"/>
        <v>41</v>
      </c>
      <c r="H162" s="99">
        <f>G162+'5'!H162</f>
        <v>221.69999999999709</v>
      </c>
      <c r="I162" s="236"/>
      <c r="J162" s="239">
        <f>H162/DAY(B2)</f>
        <v>36.949999999999513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2773</v>
      </c>
      <c r="F163" s="235">
        <v>2929</v>
      </c>
      <c r="G163" s="238">
        <f t="shared" si="13"/>
        <v>156</v>
      </c>
      <c r="H163" s="99">
        <f>G163+'5'!H163</f>
        <v>902.90000000000009</v>
      </c>
      <c r="I163" s="236"/>
      <c r="J163" s="239">
        <f>H163/DAY(B2)</f>
        <v>150.48333333333335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5952</v>
      </c>
      <c r="F164" s="235">
        <v>5967</v>
      </c>
      <c r="G164" s="238">
        <f t="shared" si="13"/>
        <v>15</v>
      </c>
      <c r="H164" s="99">
        <f>G164+'5'!H164</f>
        <v>68.600000000000364</v>
      </c>
      <c r="I164" s="236"/>
      <c r="J164" s="239">
        <f>H164/DAY(B2)</f>
        <v>11.433333333333394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31398</v>
      </c>
      <c r="F165" s="235">
        <v>31411</v>
      </c>
      <c r="G165" s="238">
        <f t="shared" si="13"/>
        <v>13</v>
      </c>
      <c r="H165" s="99">
        <f>G165+'5'!H165</f>
        <v>64.349999999998545</v>
      </c>
      <c r="I165" s="236"/>
      <c r="J165" s="239">
        <f>H165/DAY(B2)</f>
        <v>10.724999999999758</v>
      </c>
    </row>
    <row r="166" spans="1:10" ht="26.25">
      <c r="A166" s="935"/>
      <c r="B166" s="935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'5'!F173</f>
        <v>8267</v>
      </c>
      <c r="F173" s="155">
        <v>8267</v>
      </c>
      <c r="G173" s="155">
        <f>F173-E173</f>
        <v>0</v>
      </c>
      <c r="H173" s="99">
        <f>G173+'5'!H173</f>
        <v>38</v>
      </c>
      <c r="I173" s="155"/>
      <c r="J173" s="178">
        <f>H173/DAY(B2)</f>
        <v>6.333333333333333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'5'!F174</f>
        <v>40848</v>
      </c>
      <c r="F174" s="157">
        <v>40860</v>
      </c>
      <c r="G174" s="155">
        <f t="shared" ref="G174:G175" si="14">F174-E174</f>
        <v>12</v>
      </c>
      <c r="H174" s="99">
        <f>G174+'5'!H174</f>
        <v>81</v>
      </c>
      <c r="I174" s="155"/>
      <c r="J174" s="178">
        <f>H174/DAY(B2)</f>
        <v>13.5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'5'!F175</f>
        <v>23715</v>
      </c>
      <c r="F175" s="155">
        <v>23729</v>
      </c>
      <c r="G175" s="155">
        <f t="shared" si="14"/>
        <v>14</v>
      </c>
      <c r="H175" s="99">
        <f>G175+'5'!H175</f>
        <v>73</v>
      </c>
      <c r="I175" s="155"/>
      <c r="J175" s="178">
        <f>H175/DAY(B2)</f>
        <v>12.166666666666666</v>
      </c>
    </row>
    <row r="176" spans="1:10" ht="25.5">
      <c r="A176" s="463" t="s">
        <v>196</v>
      </c>
      <c r="B176" s="464"/>
      <c r="C176" s="333"/>
      <c r="D176" s="228"/>
      <c r="E176" s="95">
        <f>'5'!F176</f>
        <v>0</v>
      </c>
      <c r="F176" s="155"/>
      <c r="G176" s="155">
        <f>SUM(G173:G175)</f>
        <v>26</v>
      </c>
      <c r="H176" s="99">
        <f>G176+'5'!H176</f>
        <v>192</v>
      </c>
      <c r="I176" s="155"/>
      <c r="J176" s="178">
        <f>H176/DAY(B2)</f>
        <v>32</v>
      </c>
    </row>
    <row r="177" spans="1:14" ht="25.5">
      <c r="A177" s="893" t="s">
        <v>77</v>
      </c>
      <c r="B177" s="894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4" ht="25.5">
      <c r="A178" s="893" t="s">
        <v>210</v>
      </c>
      <c r="B178" s="894"/>
      <c r="C178" s="333"/>
      <c r="D178" s="228" t="s">
        <v>142</v>
      </c>
      <c r="E178" s="95">
        <f>'5'!F178</f>
        <v>95235</v>
      </c>
      <c r="F178" s="155">
        <v>95297</v>
      </c>
      <c r="G178" s="155">
        <f>F178-E178</f>
        <v>62</v>
      </c>
      <c r="H178" s="99">
        <f>G178+'5'!H178</f>
        <v>446</v>
      </c>
      <c r="I178" s="155"/>
      <c r="J178" s="178">
        <f>H178/DAY(B2)</f>
        <v>74.333333333333329</v>
      </c>
    </row>
    <row r="179" spans="1:14" ht="25.5">
      <c r="A179" s="893" t="s">
        <v>211</v>
      </c>
      <c r="B179" s="894"/>
      <c r="C179" s="333"/>
      <c r="D179" s="228" t="s">
        <v>142</v>
      </c>
      <c r="E179" s="95">
        <f>'5'!F179</f>
        <v>36002</v>
      </c>
      <c r="F179" s="157">
        <v>36002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  <c r="N179" s="65" t="s">
        <v>373</v>
      </c>
    </row>
    <row r="180" spans="1:14" ht="25.5">
      <c r="A180" s="893" t="s">
        <v>212</v>
      </c>
      <c r="B180" s="894"/>
      <c r="C180" s="333"/>
      <c r="D180" s="228" t="s">
        <v>142</v>
      </c>
      <c r="E180" s="95">
        <f>'5'!F180</f>
        <v>6920</v>
      </c>
      <c r="F180" s="155">
        <v>6920</v>
      </c>
      <c r="G180" s="155">
        <f t="shared" si="15"/>
        <v>0</v>
      </c>
      <c r="H180" s="99">
        <f>G180+'5'!H180</f>
        <v>38</v>
      </c>
      <c r="I180" s="155"/>
      <c r="J180" s="178">
        <f>H180/DAY(B2)</f>
        <v>6.333333333333333</v>
      </c>
    </row>
    <row r="181" spans="1:14" ht="25.5">
      <c r="A181" s="939" t="s">
        <v>108</v>
      </c>
      <c r="B181" s="940"/>
      <c r="C181" s="333"/>
      <c r="D181" s="228"/>
      <c r="E181" s="95">
        <f>'5'!F181</f>
        <v>0</v>
      </c>
      <c r="F181" s="155"/>
      <c r="G181" s="155">
        <f>SUM(G178:G180)</f>
        <v>62</v>
      </c>
      <c r="H181" s="99">
        <f>G181+'5'!H181</f>
        <v>484</v>
      </c>
      <c r="I181" s="155"/>
      <c r="J181" s="178">
        <f>H181/DAY(B2)</f>
        <v>80.666666666666671</v>
      </c>
    </row>
    <row r="182" spans="1:14" ht="25.5">
      <c r="A182" s="893" t="s">
        <v>213</v>
      </c>
      <c r="B182" s="894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4" ht="25.5">
      <c r="A183" s="893" t="s">
        <v>214</v>
      </c>
      <c r="B183" s="894"/>
      <c r="C183" s="334"/>
      <c r="D183" s="228" t="s">
        <v>142</v>
      </c>
      <c r="E183" s="95">
        <f>'5'!F183</f>
        <v>17308</v>
      </c>
      <c r="F183" s="157">
        <v>17315</v>
      </c>
      <c r="G183" s="157">
        <f>F183-E183</f>
        <v>7</v>
      </c>
      <c r="H183" s="99">
        <f>G183+'5'!H183</f>
        <v>40</v>
      </c>
      <c r="I183" s="155"/>
      <c r="J183" s="178">
        <f>H183/DAY(B2)</f>
        <v>6.666666666666667</v>
      </c>
    </row>
    <row r="184" spans="1:14" ht="25.5">
      <c r="A184" s="893" t="s">
        <v>215</v>
      </c>
      <c r="B184" s="894"/>
      <c r="C184" s="334"/>
      <c r="D184" s="228" t="s">
        <v>142</v>
      </c>
      <c r="E184" s="95">
        <f>'5'!F184</f>
        <v>11721</v>
      </c>
      <c r="F184" s="157">
        <v>11726</v>
      </c>
      <c r="G184" s="157">
        <f t="shared" ref="G184:G185" si="16">F184-E184</f>
        <v>5</v>
      </c>
      <c r="H184" s="99">
        <f>G184+'5'!H184</f>
        <v>37</v>
      </c>
      <c r="I184" s="155"/>
      <c r="J184" s="178">
        <f>H184/DAY(B2)</f>
        <v>6.166666666666667</v>
      </c>
    </row>
    <row r="185" spans="1:14" ht="25.5">
      <c r="A185" s="893" t="s">
        <v>216</v>
      </c>
      <c r="B185" s="894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4" ht="25.5">
      <c r="A186" s="932" t="s">
        <v>196</v>
      </c>
      <c r="B186" s="933"/>
      <c r="C186" s="334"/>
      <c r="D186" s="229"/>
      <c r="E186" s="95"/>
      <c r="F186" s="157"/>
      <c r="G186" s="157">
        <f>SUM(G183:G185)</f>
        <v>12</v>
      </c>
      <c r="H186" s="99">
        <f>G186+'5'!H186</f>
        <v>77</v>
      </c>
      <c r="I186" s="157"/>
      <c r="J186" s="178">
        <f>H186/DAY(B2)</f>
        <v>12.833333333333334</v>
      </c>
    </row>
    <row r="187" spans="1:14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156</v>
      </c>
      <c r="H187" s="99">
        <f>G187+'5'!H187</f>
        <v>842</v>
      </c>
      <c r="I187" s="158"/>
      <c r="J187" s="179">
        <f>H187/DAY(B2)</f>
        <v>140.33333333333334</v>
      </c>
    </row>
    <row r="188" spans="1:14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128</v>
      </c>
      <c r="H188" s="99">
        <f>G188+'5'!H188</f>
        <v>723</v>
      </c>
      <c r="I188" s="158"/>
      <c r="J188" s="179">
        <f>H188/DAY(B2)</f>
        <v>120.5</v>
      </c>
    </row>
    <row r="189" spans="1:14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62</v>
      </c>
      <c r="H189" s="99">
        <f>G189+'5'!H189</f>
        <v>484</v>
      </c>
      <c r="I189" s="158"/>
      <c r="J189" s="179">
        <f>H189/DAY(B2)</f>
        <v>80.666666666666671</v>
      </c>
    </row>
    <row r="190" spans="1:14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4" ht="26.25"/>
    <row r="192" spans="1:14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9" zoomScale="60" zoomScaleNormal="77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377</v>
      </c>
      <c r="B2" s="262">
        <v>44749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682037</v>
      </c>
      <c r="F7" s="95">
        <v>710463</v>
      </c>
      <c r="G7" s="112">
        <f>F7-E7</f>
        <v>28426</v>
      </c>
      <c r="H7" s="99">
        <f>G7+'6'!H7</f>
        <v>187498.5</v>
      </c>
      <c r="I7" s="113">
        <f>'1'!I7</f>
        <v>12000</v>
      </c>
      <c r="J7" s="175">
        <f>H7/DAY(B2)</f>
        <v>26785.5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823424</v>
      </c>
      <c r="F8" s="114">
        <v>852270</v>
      </c>
      <c r="G8" s="115">
        <f>F8-E8</f>
        <v>28846</v>
      </c>
      <c r="H8" s="99">
        <f>G8+'6'!H8</f>
        <v>190481</v>
      </c>
      <c r="I8" s="116"/>
      <c r="J8" s="175">
        <f>H8/DAY(B2)</f>
        <v>27211.571428571428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420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2998320</v>
      </c>
      <c r="F9" s="117">
        <v>3017099</v>
      </c>
      <c r="G9" s="112">
        <f>F9-E9</f>
        <v>18779</v>
      </c>
      <c r="H9" s="99">
        <f>G9+'6'!H9</f>
        <v>99449.899999999907</v>
      </c>
      <c r="I9" s="124">
        <f>I7-J7</f>
        <v>-14785.5</v>
      </c>
      <c r="J9" s="175">
        <f>H9/DAY(B2)</f>
        <v>14207.128571428559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1310038</v>
      </c>
      <c r="F10" s="117">
        <v>1318940</v>
      </c>
      <c r="G10" s="112">
        <f t="shared" ref="G10:G12" si="0">F10-E10</f>
        <v>8902</v>
      </c>
      <c r="H10" s="99">
        <f>G10+'6'!H10</f>
        <v>83253.370000000112</v>
      </c>
      <c r="I10" s="282"/>
      <c r="J10" s="175">
        <f>H10/DAY(B2)</f>
        <v>11893.338571428587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27681</v>
      </c>
      <c r="H13" s="99">
        <f>G13+'6'!H13</f>
        <v>184432.20000000019</v>
      </c>
      <c r="I13" s="120">
        <f>G7-G13</f>
        <v>745</v>
      </c>
      <c r="J13" s="175">
        <f>H13/DAY(B2)</f>
        <v>26347.457142857169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2074102</v>
      </c>
      <c r="F15" s="469">
        <v>2075184</v>
      </c>
      <c r="G15" s="112">
        <f>(F15-E15)</f>
        <v>1082</v>
      </c>
      <c r="H15" s="99">
        <f>G15+'6'!H15</f>
        <v>7105.5900000000838</v>
      </c>
      <c r="I15" s="113">
        <f>'1'!I15</f>
        <v>800</v>
      </c>
      <c r="J15" s="175">
        <f>H15/DAY(B2)</f>
        <v>1015.0842857142977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-215.08428571429772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'6'!F18</f>
        <v>20</v>
      </c>
      <c r="F18" s="122">
        <v>21</v>
      </c>
      <c r="G18" s="119">
        <f>F18*10</f>
        <v>210</v>
      </c>
      <c r="H18" s="99">
        <f>G18+'6'!H18</f>
        <v>1240</v>
      </c>
      <c r="I18" s="113">
        <f>'1'!I18</f>
        <v>65</v>
      </c>
      <c r="J18" s="175">
        <f>H18/DAY(B2)</f>
        <v>177.14285714285714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'6'!F19</f>
        <v>161126</v>
      </c>
      <c r="F19" s="122">
        <v>161167</v>
      </c>
      <c r="G19" s="112">
        <f t="shared" ref="G19" si="1">F19-E19</f>
        <v>41</v>
      </c>
      <c r="H19" s="99">
        <f>G19+'6'!H19</f>
        <v>338</v>
      </c>
      <c r="I19" s="335"/>
      <c r="J19" s="175">
        <f>H19/DAY(B2)</f>
        <v>48.285714285714285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251</v>
      </c>
      <c r="H20" s="99">
        <f>G20+'6'!H20</f>
        <v>1578</v>
      </c>
      <c r="I20" s="336">
        <f>I18-J20</f>
        <v>-160.42857142857142</v>
      </c>
      <c r="J20" s="175">
        <f>H20/DAY(B2)</f>
        <v>225.42857142857142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28846</v>
      </c>
      <c r="F27" s="136">
        <v>9</v>
      </c>
      <c r="G27" s="137">
        <f>E27*F27</f>
        <v>259614</v>
      </c>
      <c r="H27" s="99">
        <f>G27+'6'!H27</f>
        <v>1714329</v>
      </c>
      <c r="I27" s="138"/>
      <c r="J27" s="175">
        <f>H27/DAY(B2)</f>
        <v>244904.14285714287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1082</v>
      </c>
      <c r="F28" s="136">
        <v>70</v>
      </c>
      <c r="G28" s="137">
        <f>E28*F28</f>
        <v>75740</v>
      </c>
      <c r="H28" s="99">
        <f>G28+'6'!H28</f>
        <v>497391.30000000587</v>
      </c>
      <c r="I28" s="140"/>
      <c r="J28" s="175">
        <f>H28/DAY(B2)</f>
        <v>71055.900000000838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41</v>
      </c>
      <c r="F30" s="136">
        <v>151</v>
      </c>
      <c r="G30" s="137">
        <f>E30*F30</f>
        <v>6191</v>
      </c>
      <c r="H30" s="99">
        <f>G30+'6'!H30</f>
        <v>51038</v>
      </c>
      <c r="I30" s="140"/>
      <c r="J30" s="175">
        <f>H30/DAY(B2)</f>
        <v>7291.1428571428569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G31+'6'!H31</f>
        <v>99200</v>
      </c>
      <c r="I31" s="140"/>
      <c r="J31" s="175">
        <f>H31/DAY(B2)</f>
        <v>14171.428571428571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358345</v>
      </c>
      <c r="H32" s="99">
        <f>G32+'6'!H32</f>
        <v>2361958.3000000059</v>
      </c>
      <c r="I32" s="144"/>
      <c r="J32" s="175">
        <f>H32/DAY(B2)</f>
        <v>337422.6142857151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-4.9999999988358468E-2</v>
      </c>
      <c r="I35" s="95"/>
      <c r="J35" s="175">
        <f>H35/DAY(B2)</f>
        <v>-7.1428571411940667E-3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192302</v>
      </c>
      <c r="F36" s="145">
        <v>193244</v>
      </c>
      <c r="G36" s="112">
        <f t="shared" si="3"/>
        <v>942</v>
      </c>
      <c r="H36" s="99">
        <f>G36+'6'!H36</f>
        <v>6323.7699999999895</v>
      </c>
      <c r="I36" s="95"/>
      <c r="J36" s="175">
        <f>H36/DAY(B2)</f>
        <v>903.39571428571276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296453</v>
      </c>
      <c r="F37" s="145">
        <v>297994</v>
      </c>
      <c r="G37" s="112">
        <f t="shared" si="3"/>
        <v>1541</v>
      </c>
      <c r="H37" s="99">
        <f>G37+'6'!H37</f>
        <v>11275.010000000009</v>
      </c>
      <c r="I37" s="95"/>
      <c r="J37" s="175">
        <f>H37/DAY(B2)</f>
        <v>1610.7157142857156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399982</v>
      </c>
      <c r="F38" s="108">
        <v>402246</v>
      </c>
      <c r="G38" s="112">
        <f t="shared" si="3"/>
        <v>2264</v>
      </c>
      <c r="H38" s="99">
        <f>G38+'6'!H38</f>
        <v>15582.650000000023</v>
      </c>
      <c r="I38" s="95"/>
      <c r="J38" s="175">
        <f>H38/DAY(B2)</f>
        <v>2226.0928571428603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541244</v>
      </c>
      <c r="F39" s="145">
        <v>544224</v>
      </c>
      <c r="G39" s="112">
        <f t="shared" si="3"/>
        <v>2980</v>
      </c>
      <c r="H39" s="99">
        <f>G39+'6'!H39</f>
        <v>20843.409999999974</v>
      </c>
      <c r="I39" s="95"/>
      <c r="J39" s="175">
        <f>H39/DAY(B2)</f>
        <v>2977.6299999999965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87222</v>
      </c>
      <c r="F40" s="145">
        <v>87725</v>
      </c>
      <c r="G40" s="112">
        <f t="shared" si="3"/>
        <v>503</v>
      </c>
      <c r="H40" s="99">
        <f>G40+'6'!H40</f>
        <v>4053.9100000000035</v>
      </c>
      <c r="I40" s="95"/>
      <c r="J40" s="175">
        <f>H40/DAY(B2)</f>
        <v>579.13000000000045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142818</v>
      </c>
      <c r="F41" s="145">
        <v>146894</v>
      </c>
      <c r="G41" s="112">
        <f t="shared" si="3"/>
        <v>4076</v>
      </c>
      <c r="H41" s="99">
        <f>G41+'6'!H41</f>
        <v>4075.6000000000058</v>
      </c>
      <c r="I41" s="95"/>
      <c r="J41" s="175">
        <f>H41/DAY(B2)</f>
        <v>582.22857142857231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715191</v>
      </c>
      <c r="F42" s="145">
        <v>721070</v>
      </c>
      <c r="G42" s="112">
        <f t="shared" si="3"/>
        <v>5879</v>
      </c>
      <c r="H42" s="99">
        <f>G42+'6'!H42</f>
        <v>32437.449999999953</v>
      </c>
      <c r="I42" s="95"/>
      <c r="J42" s="175">
        <f>H42/DAY(B2)</f>
        <v>4633.9214285714215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23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18185</v>
      </c>
      <c r="H47" s="99">
        <f>G47+'6'!H47</f>
        <v>94591.749999999971</v>
      </c>
      <c r="I47" s="95"/>
      <c r="J47" s="175">
        <f>H47/DAY(B2)</f>
        <v>13513.107142857139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389379</v>
      </c>
      <c r="F49" s="145">
        <v>393059</v>
      </c>
      <c r="G49" s="112">
        <f t="shared" ref="G49:G58" si="4">F49-E49</f>
        <v>3680</v>
      </c>
      <c r="H49" s="99">
        <f>G49+'6'!H49</f>
        <v>25287.25</v>
      </c>
      <c r="I49" s="95"/>
      <c r="J49" s="175">
        <f>H49/DAY(B2)</f>
        <v>3612.4642857142858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249603</v>
      </c>
      <c r="F50" s="145">
        <v>251337</v>
      </c>
      <c r="G50" s="112">
        <f t="shared" si="4"/>
        <v>1734</v>
      </c>
      <c r="H50" s="99">
        <f>G50+'6'!H50</f>
        <v>8231.6000000000058</v>
      </c>
      <c r="I50" s="95"/>
      <c r="J50" s="175">
        <f>H50/DAY(B2)</f>
        <v>1175.942857142858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79137</v>
      </c>
      <c r="F54" s="145">
        <v>79495</v>
      </c>
      <c r="G54" s="112">
        <f t="shared" si="4"/>
        <v>358</v>
      </c>
      <c r="H54" s="99">
        <f>G54+'6'!H54</f>
        <v>2477.5</v>
      </c>
      <c r="I54" s="95"/>
      <c r="J54" s="175">
        <f>H54/DAY(B2)</f>
        <v>353.92857142857144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294394</v>
      </c>
      <c r="F55" s="145">
        <v>294394</v>
      </c>
      <c r="G55" s="112">
        <f t="shared" si="4"/>
        <v>0</v>
      </c>
      <c r="H55" s="99">
        <f>G55+'6'!H55</f>
        <v>10311.070000000007</v>
      </c>
      <c r="I55" s="95"/>
      <c r="J55" s="175">
        <f>H55/DAY(B2)</f>
        <v>1473.0100000000009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118797</v>
      </c>
      <c r="F56" s="145">
        <v>118797</v>
      </c>
      <c r="G56" s="112">
        <f t="shared" si="4"/>
        <v>0</v>
      </c>
      <c r="H56" s="99">
        <f>G56+'6'!H56</f>
        <v>7553.8699999999953</v>
      </c>
      <c r="I56" s="95"/>
      <c r="J56" s="175">
        <f>H56/DAY(B2)</f>
        <v>1079.124285714285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150446</v>
      </c>
      <c r="F57" s="145">
        <v>153672</v>
      </c>
      <c r="G57" s="112">
        <f t="shared" si="4"/>
        <v>3226</v>
      </c>
      <c r="H57" s="99">
        <f>G57+'6'!H57</f>
        <v>21768.299999999988</v>
      </c>
      <c r="I57" s="95"/>
      <c r="J57" s="175">
        <f>H57/DAY(B2)</f>
        <v>3109.7571428571414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42057</v>
      </c>
      <c r="F58" s="145">
        <v>42384</v>
      </c>
      <c r="G58" s="112">
        <f t="shared" si="4"/>
        <v>327</v>
      </c>
      <c r="H58" s="99">
        <f>G58+'6'!H58</f>
        <v>2103.8899999999994</v>
      </c>
      <c r="I58" s="95"/>
      <c r="J58" s="175">
        <f>H58/DAY(B2)</f>
        <v>300.5557142857142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9325</v>
      </c>
      <c r="H59" s="99">
        <f>G59+'6'!H59</f>
        <v>77733.239999999991</v>
      </c>
      <c r="I59" s="95">
        <f>G7-G60</f>
        <v>916</v>
      </c>
      <c r="J59" s="175">
        <f>H59/DAY(B2)</f>
        <v>11104.74857142857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27510</v>
      </c>
      <c r="H60" s="99">
        <f>G60+'6'!H60</f>
        <v>172324.99</v>
      </c>
      <c r="I60" s="95">
        <f>G13-G60</f>
        <v>171</v>
      </c>
      <c r="J60" s="175">
        <f>H60/DAY(B2)</f>
        <v>24617.855714285713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'6'!F62</f>
        <v>293243</v>
      </c>
      <c r="F62" s="122">
        <v>293362</v>
      </c>
      <c r="G62" s="112">
        <f t="shared" ref="G62:G63" si="5">F62-E62</f>
        <v>119</v>
      </c>
      <c r="H62" s="99">
        <f>G62+'6'!H62</f>
        <v>664</v>
      </c>
      <c r="I62" s="118"/>
      <c r="J62" s="175">
        <f>H62/DAY(B2)</f>
        <v>94.857142857142861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'6'!F63</f>
        <v>235741</v>
      </c>
      <c r="F63" s="122">
        <v>235862</v>
      </c>
      <c r="G63" s="112">
        <f t="shared" si="5"/>
        <v>121</v>
      </c>
      <c r="H63" s="99">
        <f>G63+'6'!H63</f>
        <v>796</v>
      </c>
      <c r="I63" s="118"/>
      <c r="J63" s="175">
        <f>H63/DAY(B2)</f>
        <v>113.71428571428571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'6'!F64</f>
        <v>0</v>
      </c>
      <c r="F64" s="122"/>
      <c r="G64" s="112">
        <f>G62+G63</f>
        <v>240</v>
      </c>
      <c r="H64" s="99">
        <f>G64+'6'!H64</f>
        <v>1460</v>
      </c>
      <c r="I64" s="118"/>
      <c r="J64" s="175">
        <f>H64/DAY(B2)</f>
        <v>208.57142857142858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'6'!F65</f>
        <v>451948</v>
      </c>
      <c r="F65" s="122">
        <v>452055</v>
      </c>
      <c r="G65" s="112">
        <f t="shared" ref="G65:G70" si="6">F65-E65</f>
        <v>107</v>
      </c>
      <c r="H65" s="99">
        <f>G65+'6'!H65</f>
        <v>666</v>
      </c>
      <c r="I65" s="118"/>
      <c r="J65" s="175">
        <f>H65/DAY(B2)</f>
        <v>95.142857142857139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111118</v>
      </c>
      <c r="F66" s="122">
        <v>111141</v>
      </c>
      <c r="G66" s="112">
        <f t="shared" si="6"/>
        <v>23</v>
      </c>
      <c r="H66" s="99">
        <f>G66+'6'!H66</f>
        <v>114</v>
      </c>
      <c r="I66" s="118"/>
      <c r="J66" s="175">
        <f>H66/DAY(B2)</f>
        <v>16.285714285714285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113680</v>
      </c>
      <c r="F67" s="150">
        <v>113680</v>
      </c>
      <c r="G67" s="112">
        <f t="shared" si="6"/>
        <v>0</v>
      </c>
      <c r="H67" s="99">
        <f>G67+'6'!H67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163796</v>
      </c>
      <c r="F68" s="122">
        <v>163838</v>
      </c>
      <c r="G68" s="112">
        <f t="shared" si="6"/>
        <v>42</v>
      </c>
      <c r="H68" s="99">
        <f>G68+'6'!H68</f>
        <v>312</v>
      </c>
      <c r="I68" s="118"/>
      <c r="J68" s="175">
        <f>H68/DAY(B2)</f>
        <v>44.571428571428569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12155</v>
      </c>
      <c r="F69" s="122">
        <v>12161</v>
      </c>
      <c r="G69" s="112">
        <f t="shared" si="6"/>
        <v>6</v>
      </c>
      <c r="H69" s="99">
        <f>G69+'6'!H69</f>
        <v>33</v>
      </c>
      <c r="I69" s="118"/>
      <c r="J69" s="175">
        <f>H69/DAY(B2)</f>
        <v>4.7142857142857144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9560</v>
      </c>
      <c r="F70" s="150">
        <v>9567</v>
      </c>
      <c r="G70" s="112">
        <f t="shared" si="6"/>
        <v>7</v>
      </c>
      <c r="H70" s="99">
        <f>G70+'6'!H70</f>
        <v>53</v>
      </c>
      <c r="I70" s="118"/>
      <c r="J70" s="175">
        <f>H70/DAY(B2)</f>
        <v>7.5714285714285712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185</v>
      </c>
      <c r="H71" s="99">
        <f>G71+'6'!H71</f>
        <v>1178</v>
      </c>
      <c r="I71" s="154"/>
      <c r="J71" s="175">
        <f>H71/DAY(B2)</f>
        <v>168.28571428571428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'6'!F74</f>
        <v>949515</v>
      </c>
      <c r="F74" s="123">
        <v>949809</v>
      </c>
      <c r="G74" s="112">
        <f t="shared" ref="G74:G78" si="7">F74-E74</f>
        <v>294</v>
      </c>
      <c r="H74" s="99">
        <f>G74+'6'!H74</f>
        <v>2101.8000000000466</v>
      </c>
      <c r="I74" s="154"/>
      <c r="J74" s="175">
        <f>H74/DAY(B2)</f>
        <v>300.25714285714952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'6'!F76</f>
        <v>187521</v>
      </c>
      <c r="F76" s="123">
        <v>187635</v>
      </c>
      <c r="G76" s="112">
        <f t="shared" si="7"/>
        <v>114</v>
      </c>
      <c r="H76" s="99">
        <f>G76+'6'!H76</f>
        <v>743.70000000001164</v>
      </c>
      <c r="I76" s="154"/>
      <c r="J76" s="175">
        <f>H76/DAY(B2)</f>
        <v>106.24285714285881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'6'!F77</f>
        <v>49013</v>
      </c>
      <c r="F77" s="123">
        <v>49063</v>
      </c>
      <c r="G77" s="112">
        <f t="shared" si="7"/>
        <v>50</v>
      </c>
      <c r="H77" s="99">
        <f>G77+'6'!H77</f>
        <v>327.19999999999709</v>
      </c>
      <c r="I77" s="154"/>
      <c r="J77" s="175">
        <f>H77/DAY(B2)</f>
        <v>46.742857142856728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'6'!F79</f>
        <v>0</v>
      </c>
      <c r="F79" s="123"/>
      <c r="G79" s="112">
        <f>G15-SUM(G74:G78)</f>
        <v>624</v>
      </c>
      <c r="H79" s="99">
        <f>G79+'6'!H79</f>
        <v>3932.8900000000285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1082</v>
      </c>
      <c r="H80" s="99">
        <f>G80+'6'!H80</f>
        <v>1082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42275.26</v>
      </c>
      <c r="F84" s="164">
        <v>42292</v>
      </c>
      <c r="G84" s="112">
        <f t="shared" si="8"/>
        <v>16.739999999997963</v>
      </c>
      <c r="H84" s="99">
        <f>G84+'6'!H84</f>
        <v>17</v>
      </c>
      <c r="I84" s="573"/>
      <c r="J84" s="175">
        <f>H84/DAY(B2)</f>
        <v>2.4285714285714284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4995</v>
      </c>
      <c r="F85" s="164">
        <v>5019</v>
      </c>
      <c r="G85" s="112">
        <f t="shared" si="8"/>
        <v>24</v>
      </c>
      <c r="H85" s="99">
        <f>G85+'6'!H85</f>
        <v>136.98999999999978</v>
      </c>
      <c r="I85" s="573"/>
      <c r="J85" s="175">
        <f>H85/DAY(B2)</f>
        <v>19.569999999999968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44918</v>
      </c>
      <c r="F86" s="164">
        <v>44918</v>
      </c>
      <c r="G86" s="112">
        <f t="shared" si="8"/>
        <v>0</v>
      </c>
      <c r="H86" s="99">
        <f>G86+'6'!H86</f>
        <v>65.69999999999709</v>
      </c>
      <c r="I86" s="573"/>
      <c r="J86" s="175">
        <f>H86/DAY(B2)</f>
        <v>9.3857142857138705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35421</v>
      </c>
      <c r="F87" s="164">
        <v>35421</v>
      </c>
      <c r="G87" s="112">
        <f t="shared" si="8"/>
        <v>0</v>
      </c>
      <c r="H87" s="99">
        <f>G87+'6'!H87</f>
        <v>62.94999999999709</v>
      </c>
      <c r="I87" s="555">
        <f>G84+G85+G86+G87</f>
        <v>40.739999999997963</v>
      </c>
      <c r="J87" s="175">
        <f>H87/DAY(B2)</f>
        <v>8.9928571428567263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24279</v>
      </c>
      <c r="F88" s="164">
        <v>24285</v>
      </c>
      <c r="G88" s="112">
        <f t="shared" si="8"/>
        <v>6</v>
      </c>
      <c r="H88" s="99">
        <f>G88+'6'!H88</f>
        <v>7.7999999999992724</v>
      </c>
      <c r="I88" s="555"/>
      <c r="J88" s="175">
        <f>H88/DAY(B2)</f>
        <v>1.1142857142856104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27344.720000000001</v>
      </c>
      <c r="F89" s="164">
        <v>27354</v>
      </c>
      <c r="G89" s="112">
        <f t="shared" si="8"/>
        <v>9.2799999999988358</v>
      </c>
      <c r="H89" s="99">
        <f>G89+'6'!H89</f>
        <v>62.580000000001746</v>
      </c>
      <c r="I89" s="555">
        <f>G88+G89</f>
        <v>15.279999999998836</v>
      </c>
      <c r="J89" s="175">
        <f>H89/DAY(B2)</f>
        <v>8.94000000000025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72346.25</v>
      </c>
      <c r="F90" s="164">
        <v>72351</v>
      </c>
      <c r="G90" s="112">
        <f t="shared" si="8"/>
        <v>4.75</v>
      </c>
      <c r="H90" s="99">
        <f>G90+'6'!H90</f>
        <v>49.870000000009895</v>
      </c>
      <c r="I90" s="555">
        <f>G90</f>
        <v>4.75</v>
      </c>
      <c r="J90" s="175">
        <f>H90/DAY(B2)</f>
        <v>7.1242857142871276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4179.29</v>
      </c>
      <c r="F91" s="122">
        <v>4187.43</v>
      </c>
      <c r="G91" s="112">
        <f t="shared" si="8"/>
        <v>8.1400000000003274</v>
      </c>
      <c r="H91" s="99">
        <f>G91+'6'!H91</f>
        <v>48.990000000000691</v>
      </c>
      <c r="I91" s="616"/>
      <c r="J91" s="175">
        <f>H91/DAY(B2)</f>
        <v>6.9985714285715277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6540.41</v>
      </c>
      <c r="F92" s="122">
        <v>6543</v>
      </c>
      <c r="G92" s="112">
        <f t="shared" si="8"/>
        <v>2.5900000000001455</v>
      </c>
      <c r="H92" s="99">
        <f>G92+'6'!H92</f>
        <v>27.659999999999854</v>
      </c>
      <c r="I92" s="617">
        <f>G91+G92</f>
        <v>10.730000000000473</v>
      </c>
      <c r="J92" s="175">
        <f>H92/DAY(B2)</f>
        <v>3.9514285714285506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6906</v>
      </c>
      <c r="H94" s="99">
        <f>G94+'6'!H94</f>
        <v>47055.5</v>
      </c>
      <c r="I94" s="118"/>
      <c r="J94" s="175">
        <f>H94/DAY(B2)</f>
        <v>6722.2142857142853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0.24294659818476044</v>
      </c>
      <c r="H95" s="99">
        <f>G95+'6'!H95</f>
        <v>1.7605086576361437</v>
      </c>
      <c r="I95" s="167"/>
      <c r="J95" s="175">
        <f>H95/DAY(B2)</f>
        <v>0.2515012368051634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9955</v>
      </c>
      <c r="H96" s="99">
        <f>G96+'6'!H96</f>
        <v>54377.989999999962</v>
      </c>
      <c r="I96" s="118"/>
      <c r="J96" s="175">
        <f>H96/DAY(B2)</f>
        <v>7768.2842857142805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0.3502075564623936</v>
      </c>
      <c r="H97" s="99">
        <f>G97+'6'!H97</f>
        <v>2.0191858501055084</v>
      </c>
      <c r="I97" s="167"/>
      <c r="J97" s="175">
        <f>H97/DAY(B2)</f>
        <v>0.28845512144364405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2980</v>
      </c>
      <c r="H98" s="99">
        <f>G98+'6'!H98</f>
        <v>20843.409999999974</v>
      </c>
      <c r="I98" s="168"/>
      <c r="J98" s="175">
        <f>H98/DAY(B2)</f>
        <v>2977.6299999999965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0.10483360303947091</v>
      </c>
      <c r="H99" s="99">
        <f>G99+'6'!H99</f>
        <v>0.77999474887936426</v>
      </c>
      <c r="I99" s="168"/>
      <c r="J99" s="175">
        <f>H99/DAY(B2)</f>
        <v>0.11142782126848061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2264</v>
      </c>
      <c r="H100" s="99">
        <f>G100+'6'!H100</f>
        <v>15582.410000000024</v>
      </c>
      <c r="I100" s="118"/>
      <c r="J100" s="175">
        <f>H100/DAY(B2)</f>
        <v>2226.0585714285749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7.9645395060859769E-2</v>
      </c>
      <c r="H101" s="99">
        <f>G101+'6'!H101</f>
        <v>0.58293527081288077</v>
      </c>
      <c r="I101" s="168"/>
      <c r="J101" s="175">
        <f>H101/DAY(B2)</f>
        <v>8.3276467258982967E-2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2676</v>
      </c>
      <c r="H102" s="99">
        <f>G102+'6'!H102</f>
        <v>14555.369999999995</v>
      </c>
      <c r="I102" s="168"/>
      <c r="J102" s="175">
        <f>H102/DAY(B2)</f>
        <v>2079.338571428571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9.4139168366987963E-2</v>
      </c>
      <c r="H103" s="99">
        <f>G103+'6'!H103</f>
        <v>0.54167224113718127</v>
      </c>
      <c r="I103" s="118"/>
      <c r="J103" s="175">
        <f>H103/DAY(B2)</f>
        <v>7.7381748733883038E-2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1541</v>
      </c>
      <c r="H104" s="99">
        <f>G104+'6'!H104</f>
        <v>11275.010000000009</v>
      </c>
      <c r="I104" s="118"/>
      <c r="J104" s="175">
        <f>H104/DAY(B2)</f>
        <v>1610.7157142857156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5.4210933652290155E-2</v>
      </c>
      <c r="H105" s="99">
        <f>G105+'6'!H105</f>
        <v>0.4224270685027095</v>
      </c>
      <c r="I105" s="187"/>
      <c r="J105" s="188">
        <f>H105/DAY(B2)</f>
        <v>6.0346724071815641E-2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'6'!F112</f>
        <v>5376</v>
      </c>
      <c r="F112" s="237">
        <v>5452</v>
      </c>
      <c r="G112" s="112">
        <f t="shared" ref="G112:G123" si="9">F112-E112</f>
        <v>76</v>
      </c>
      <c r="H112" s="99">
        <f>G112+'6'!H112</f>
        <v>522.26000000000022</v>
      </c>
      <c r="I112" s="165"/>
      <c r="J112" s="328">
        <f>H112/DAY(B2)</f>
        <v>74.608571428571466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'6'!F113</f>
        <v>11484</v>
      </c>
      <c r="F113" s="237">
        <v>11623</v>
      </c>
      <c r="G113" s="112">
        <f t="shared" si="9"/>
        <v>139</v>
      </c>
      <c r="H113" s="99">
        <f>G113+'6'!H113</f>
        <v>990.28000000000065</v>
      </c>
      <c r="I113" s="165"/>
      <c r="J113" s="328">
        <f>H113/DAY(B2)</f>
        <v>141.46857142857152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'6'!F114</f>
        <v>15519</v>
      </c>
      <c r="F114" s="237">
        <v>15762</v>
      </c>
      <c r="G114" s="112">
        <f t="shared" si="9"/>
        <v>243</v>
      </c>
      <c r="H114" s="99">
        <f>G114+'6'!H114</f>
        <v>1568.2000000000007</v>
      </c>
      <c r="I114" s="165"/>
      <c r="J114" s="328">
        <f>H114/DAY(B2)</f>
        <v>224.02857142857152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'6'!F115</f>
        <v>9755</v>
      </c>
      <c r="F115" s="237">
        <v>9880</v>
      </c>
      <c r="G115" s="112">
        <f t="shared" si="9"/>
        <v>125</v>
      </c>
      <c r="H115" s="99">
        <f>G115+'6'!H115</f>
        <v>968.44000000000051</v>
      </c>
      <c r="I115" s="165"/>
      <c r="J115" s="328">
        <f>H115/DAY(B2)</f>
        <v>138.34857142857149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'6'!F116</f>
        <v>61253</v>
      </c>
      <c r="F116" s="237">
        <v>61665</v>
      </c>
      <c r="G116" s="112">
        <f t="shared" si="9"/>
        <v>412</v>
      </c>
      <c r="H116" s="99">
        <f>G116+'6'!H116</f>
        <v>2774.4499999999971</v>
      </c>
      <c r="I116" s="165"/>
      <c r="J116" s="328">
        <f>H116/DAY(B2)</f>
        <v>396.34999999999957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'6'!F117</f>
        <v>34494</v>
      </c>
      <c r="F117" s="237">
        <v>34783</v>
      </c>
      <c r="G117" s="112">
        <f t="shared" si="9"/>
        <v>289</v>
      </c>
      <c r="H117" s="99">
        <f>G117+'6'!H117</f>
        <v>1894.5199999999968</v>
      </c>
      <c r="I117" s="165"/>
      <c r="J117" s="328">
        <f>H117/DAY(B2)</f>
        <v>270.64571428571384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'6'!F118</f>
        <v>48785</v>
      </c>
      <c r="F118" s="237">
        <v>49432</v>
      </c>
      <c r="G118" s="112">
        <f t="shared" si="9"/>
        <v>647</v>
      </c>
      <c r="H118" s="99">
        <f>G118+'6'!H118</f>
        <v>4511.6900000000023</v>
      </c>
      <c r="I118" s="165"/>
      <c r="J118" s="328">
        <f>H118/DAY(B2)</f>
        <v>644.52714285714319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'6'!F119</f>
        <v>31728</v>
      </c>
      <c r="F119" s="237">
        <v>31959</v>
      </c>
      <c r="G119" s="112">
        <f t="shared" si="9"/>
        <v>231</v>
      </c>
      <c r="H119" s="99">
        <f>G119+'6'!H119</f>
        <v>1616.4000000000015</v>
      </c>
      <c r="I119" s="165"/>
      <c r="J119" s="328">
        <f>H119/DAY(B2)</f>
        <v>230.91428571428591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'6'!F120</f>
        <v>35722</v>
      </c>
      <c r="F120" s="237">
        <v>36129</v>
      </c>
      <c r="G120" s="112">
        <f t="shared" si="9"/>
        <v>407</v>
      </c>
      <c r="H120" s="99">
        <f>G120+'6'!H120</f>
        <v>3023.4400000000023</v>
      </c>
      <c r="I120" s="165"/>
      <c r="J120" s="328">
        <f>H120/DAY(B2)</f>
        <v>431.92000000000036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'6'!F121</f>
        <v>42338</v>
      </c>
      <c r="F121" s="237">
        <v>42773</v>
      </c>
      <c r="G121" s="112">
        <f t="shared" si="9"/>
        <v>435</v>
      </c>
      <c r="H121" s="99">
        <f>G121+'6'!H121</f>
        <v>3185.0999999999985</v>
      </c>
      <c r="I121" s="165"/>
      <c r="J121" s="328">
        <f>H121/DAY(B2)</f>
        <v>455.01428571428551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'6'!F122</f>
        <v>21735</v>
      </c>
      <c r="F122" s="237">
        <v>22037</v>
      </c>
      <c r="G122" s="112">
        <f t="shared" si="9"/>
        <v>302</v>
      </c>
      <c r="H122" s="99">
        <f>G122+'6'!H122</f>
        <v>2071.119999999999</v>
      </c>
      <c r="I122" s="165"/>
      <c r="J122" s="328">
        <f>H122/DAY(B2)</f>
        <v>295.87428571428558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'6'!F123</f>
        <v>22230</v>
      </c>
      <c r="F123" s="237">
        <v>22545</v>
      </c>
      <c r="G123" s="112">
        <f t="shared" si="9"/>
        <v>315</v>
      </c>
      <c r="H123" s="99">
        <f>G123+'6'!H123</f>
        <v>2203</v>
      </c>
      <c r="I123" s="165"/>
      <c r="J123" s="328">
        <f>H123/DAY(B2)</f>
        <v>314.71428571428572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8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3621</v>
      </c>
      <c r="H125" s="156"/>
      <c r="I125" s="327">
        <f>G125-(G39+G53)</f>
        <v>641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'6'!F128</f>
        <v>114946</v>
      </c>
      <c r="F128" s="165">
        <v>115452</v>
      </c>
      <c r="G128" s="112">
        <f t="shared" ref="G128:G134" si="10">F128-E128</f>
        <v>506</v>
      </c>
      <c r="H128" s="99">
        <f>G128+'6'!H128</f>
        <v>3576.1399999999994</v>
      </c>
      <c r="I128" s="165"/>
      <c r="J128" s="328">
        <f>H128/DAY(B2)</f>
        <v>510.87714285714276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67960</v>
      </c>
      <c r="F129" s="165">
        <v>68149</v>
      </c>
      <c r="G129" s="112">
        <f t="shared" si="10"/>
        <v>189</v>
      </c>
      <c r="H129" s="99">
        <f>G129+'6'!H129</f>
        <v>1447.2200000000012</v>
      </c>
      <c r="I129" s="165"/>
      <c r="J129" s="328">
        <f>H129/DAY(B2)</f>
        <v>206.74571428571446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146463</v>
      </c>
      <c r="F130" s="165">
        <v>147191</v>
      </c>
      <c r="G130" s="112">
        <f t="shared" si="10"/>
        <v>728</v>
      </c>
      <c r="H130" s="99">
        <f>G130+'6'!H130</f>
        <v>5437.3500000000058</v>
      </c>
      <c r="I130" s="165"/>
      <c r="J130" s="328">
        <f>H130/DAY(B2)</f>
        <v>776.76428571428653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'6'!F131</f>
        <v>43753</v>
      </c>
      <c r="F131" s="165">
        <v>43936</v>
      </c>
      <c r="G131" s="112">
        <f t="shared" si="10"/>
        <v>183</v>
      </c>
      <c r="H131" s="99">
        <f>G131+'6'!H131</f>
        <v>1317.8000000000029</v>
      </c>
      <c r="I131" s="165"/>
      <c r="J131" s="328">
        <f>H131/DAY(B2)</f>
        <v>188.25714285714326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'6'!F132</f>
        <v>118729</v>
      </c>
      <c r="F132" s="165">
        <v>119105</v>
      </c>
      <c r="G132" s="112">
        <f t="shared" si="10"/>
        <v>376</v>
      </c>
      <c r="H132" s="99">
        <f>G132+'6'!H132</f>
        <v>2814</v>
      </c>
      <c r="I132" s="165"/>
      <c r="J132" s="328">
        <f>H132/DAY(B2)</f>
        <v>402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'6'!F133</f>
        <v>791247</v>
      </c>
      <c r="F133" s="165">
        <v>791247</v>
      </c>
      <c r="G133" s="112">
        <f t="shared" si="10"/>
        <v>0</v>
      </c>
      <c r="H133" s="99">
        <f>G133+'6'!H133</f>
        <v>4203</v>
      </c>
      <c r="I133" s="165"/>
      <c r="J133" s="328">
        <f>H133/DAY(B2)</f>
        <v>600.42857142857144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'6'!F134</f>
        <v>43180</v>
      </c>
      <c r="F134" s="165">
        <v>43434</v>
      </c>
      <c r="G134" s="112">
        <f t="shared" si="10"/>
        <v>254</v>
      </c>
      <c r="H134" s="99">
        <f>G134+'6'!H134</f>
        <v>1689</v>
      </c>
      <c r="I134" s="165"/>
      <c r="J134" s="328">
        <f>H134/DAY(B2)</f>
        <v>241.28571428571428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2236</v>
      </c>
      <c r="H135" s="99">
        <f>G135+'6'!H135</f>
        <v>20484.510000000009</v>
      </c>
      <c r="I135" s="327">
        <f>G135-(G35+G49)</f>
        <v>-1444</v>
      </c>
      <c r="J135" s="328">
        <f>H135/DAY(B2)</f>
        <v>2926.3585714285728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'6'!F138</f>
        <v>888050</v>
      </c>
      <c r="F138" s="147">
        <v>888168</v>
      </c>
      <c r="G138" s="112">
        <f t="shared" ref="G138:G152" si="11">F138-E138</f>
        <v>118</v>
      </c>
      <c r="H138" s="99">
        <f>G138+'6'!H138</f>
        <v>941</v>
      </c>
      <c r="I138" s="118"/>
      <c r="J138" s="328">
        <f>H138/DAY(B2)</f>
        <v>134.42857142857142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'6'!F139</f>
        <v>905054</v>
      </c>
      <c r="F139" s="148">
        <v>905207</v>
      </c>
      <c r="G139" s="112">
        <f t="shared" si="11"/>
        <v>153</v>
      </c>
      <c r="H139" s="99">
        <f>G139+'6'!H139</f>
        <v>1117</v>
      </c>
      <c r="I139" s="118"/>
      <c r="J139" s="328">
        <f>H139/DAY(B2)</f>
        <v>159.57142857142858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'6'!F140</f>
        <v>1136</v>
      </c>
      <c r="F140" s="149">
        <v>1150</v>
      </c>
      <c r="G140" s="112">
        <f t="shared" si="11"/>
        <v>14</v>
      </c>
      <c r="H140" s="99">
        <f>G140+'6'!H140</f>
        <v>94.950000000000045</v>
      </c>
      <c r="I140" s="118"/>
      <c r="J140" s="328">
        <f>H140/DAY(B2)</f>
        <v>13.56428571428572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'6'!F141</f>
        <v>85351</v>
      </c>
      <c r="F141" s="149">
        <v>85545</v>
      </c>
      <c r="G141" s="112">
        <f t="shared" si="11"/>
        <v>194</v>
      </c>
      <c r="H141" s="99">
        <f>G141+'6'!H141</f>
        <v>1429.8000000000029</v>
      </c>
      <c r="I141" s="118"/>
      <c r="J141" s="328">
        <f>H141/DAY(B2)</f>
        <v>204.25714285714326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'6'!F142</f>
        <v>34819</v>
      </c>
      <c r="F142" s="148">
        <v>34890</v>
      </c>
      <c r="G142" s="112">
        <f t="shared" si="11"/>
        <v>71</v>
      </c>
      <c r="H142" s="99">
        <f>G142+'6'!H142</f>
        <v>504.52999999999884</v>
      </c>
      <c r="I142" s="140"/>
      <c r="J142" s="328">
        <f>H142/DAY(B2)</f>
        <v>72.075714285714113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'6'!F143</f>
        <v>8341</v>
      </c>
      <c r="F143" s="149">
        <v>8369</v>
      </c>
      <c r="G143" s="112">
        <f t="shared" si="11"/>
        <v>28</v>
      </c>
      <c r="H143" s="99">
        <f>G143+'6'!H143</f>
        <v>210.68000000000029</v>
      </c>
      <c r="I143" s="140"/>
      <c r="J143" s="328">
        <f>H143/DAY(B2)</f>
        <v>30.097142857142899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'6'!F144</f>
        <v>913773</v>
      </c>
      <c r="F144" s="149">
        <v>914022</v>
      </c>
      <c r="G144" s="112">
        <f t="shared" si="11"/>
        <v>249</v>
      </c>
      <c r="H144" s="99">
        <f>G144+'6'!H144</f>
        <v>1745</v>
      </c>
      <c r="I144" s="140"/>
      <c r="J144" s="328">
        <f>H144/DAY(B2)</f>
        <v>249.28571428571428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'6'!F145</f>
        <v>5666.56</v>
      </c>
      <c r="F145" s="149">
        <v>5666.56</v>
      </c>
      <c r="G145" s="112">
        <f t="shared" si="11"/>
        <v>0</v>
      </c>
      <c r="H145" s="99">
        <f>G145+'6'!H145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'6'!F146</f>
        <v>779620</v>
      </c>
      <c r="F146" s="148">
        <v>779660</v>
      </c>
      <c r="G146" s="112">
        <f t="shared" si="11"/>
        <v>40</v>
      </c>
      <c r="H146" s="99">
        <f>G146+'6'!H146</f>
        <v>332</v>
      </c>
      <c r="I146" s="140"/>
      <c r="J146" s="328">
        <f>H146/DAY(B2)</f>
        <v>47.428571428571431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'6'!F147</f>
        <v>689749</v>
      </c>
      <c r="F147" s="148">
        <v>690185</v>
      </c>
      <c r="G147" s="112">
        <f t="shared" si="11"/>
        <v>436</v>
      </c>
      <c r="H147" s="99">
        <f>G147+'6'!H147</f>
        <v>2658.8399999999674</v>
      </c>
      <c r="I147" s="140"/>
      <c r="J147" s="328">
        <f>H147/DAY(B2)</f>
        <v>379.83428571428107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'6'!F148</f>
        <v>740787</v>
      </c>
      <c r="F148" s="150">
        <v>741076</v>
      </c>
      <c r="G148" s="112">
        <f t="shared" si="11"/>
        <v>289</v>
      </c>
      <c r="H148" s="99">
        <f>G148+'6'!H148</f>
        <v>2128.7199999999721</v>
      </c>
      <c r="I148" s="124"/>
      <c r="J148" s="328">
        <f>H148/DAY(B2)</f>
        <v>304.10285714285317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'6'!F149</f>
        <v>119471</v>
      </c>
      <c r="F149" s="146">
        <v>119973</v>
      </c>
      <c r="G149" s="112">
        <f t="shared" si="11"/>
        <v>502</v>
      </c>
      <c r="H149" s="99">
        <f>G149+'6'!H149</f>
        <v>3440.1999999999971</v>
      </c>
      <c r="I149" s="119"/>
      <c r="J149" s="328">
        <f>H149/DAY(B2)</f>
        <v>491.45714285714246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'6'!F150</f>
        <v>45022</v>
      </c>
      <c r="F150" s="233">
        <v>45252</v>
      </c>
      <c r="G150" s="112">
        <f t="shared" si="11"/>
        <v>230</v>
      </c>
      <c r="H150" s="99">
        <f>G150+'6'!H150</f>
        <v>1526.8399999999965</v>
      </c>
      <c r="I150" s="119"/>
      <c r="J150" s="328">
        <f>H150/DAY(B2)</f>
        <v>218.11999999999949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'6'!F151</f>
        <v>128168</v>
      </c>
      <c r="F151" s="233">
        <v>128442</v>
      </c>
      <c r="G151" s="112">
        <f t="shared" si="11"/>
        <v>274</v>
      </c>
      <c r="H151" s="99">
        <f>G151+'6'!H151</f>
        <v>1839</v>
      </c>
      <c r="I151" s="119"/>
      <c r="J151" s="328">
        <f>H151/DAY(B2)</f>
        <v>262.71428571428572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'6'!F152</f>
        <v>20053</v>
      </c>
      <c r="F152" s="233">
        <v>20179</v>
      </c>
      <c r="G152" s="112">
        <f t="shared" si="11"/>
        <v>126</v>
      </c>
      <c r="H152" s="99">
        <f>G152+'6'!H152</f>
        <v>890.91999999999825</v>
      </c>
      <c r="I152" s="119"/>
      <c r="J152" s="328">
        <f>H152/DAY(B2)</f>
        <v>127.27428571428547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2724</v>
      </c>
      <c r="H153" s="363"/>
      <c r="I153" s="119" t="s">
        <v>207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'6'!F155</f>
        <v>133813</v>
      </c>
      <c r="F155" s="374">
        <v>134351</v>
      </c>
      <c r="G155" s="112">
        <f t="shared" ref="G155:G158" si="12">F155-E155</f>
        <v>538</v>
      </c>
      <c r="H155" s="99">
        <f>G155+'6'!H155</f>
        <v>4109.6199999999953</v>
      </c>
      <c r="I155" s="364"/>
      <c r="J155" s="328">
        <f>H155/DAY(B2)</f>
        <v>587.08857142857073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'6'!F156</f>
        <v>12611</v>
      </c>
      <c r="F156" s="155">
        <v>12687</v>
      </c>
      <c r="G156" s="112">
        <f t="shared" si="12"/>
        <v>76</v>
      </c>
      <c r="H156" s="99">
        <f>G156+'6'!H156</f>
        <v>593.63999999999942</v>
      </c>
      <c r="I156" s="165"/>
      <c r="J156" s="328">
        <f>H156/DAY(B2)</f>
        <v>84.805714285714203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'6'!F157</f>
        <v>24076</v>
      </c>
      <c r="F157" s="155">
        <v>24204</v>
      </c>
      <c r="G157" s="112">
        <f t="shared" si="12"/>
        <v>128</v>
      </c>
      <c r="H157" s="99">
        <f>G157+'6'!H157</f>
        <v>1007.2999999999993</v>
      </c>
      <c r="I157" s="165"/>
      <c r="J157" s="328">
        <f>H157/DAY(B2)</f>
        <v>143.89999999999989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'6'!F158</f>
        <v>224</v>
      </c>
      <c r="F158" s="155">
        <v>224</v>
      </c>
      <c r="G158" s="112">
        <f t="shared" si="12"/>
        <v>0</v>
      </c>
      <c r="H158" s="99">
        <f>G158+'6'!H158</f>
        <v>136.30999999999997</v>
      </c>
      <c r="I158" s="165"/>
      <c r="J158" s="328">
        <f>H158/DAY(B2)</f>
        <v>19.472857142857141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478084</v>
      </c>
      <c r="F161" s="235">
        <v>478246</v>
      </c>
      <c r="G161" s="238">
        <f t="shared" ref="G161:G165" si="13">F161-E161</f>
        <v>162</v>
      </c>
      <c r="H161" s="99">
        <f>G161+'6'!H161</f>
        <v>583</v>
      </c>
      <c r="I161" s="236"/>
      <c r="J161" s="239">
        <f>H161/DAY(B2)</f>
        <v>83.285714285714292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94027</v>
      </c>
      <c r="F162" s="235">
        <v>94072</v>
      </c>
      <c r="G162" s="238">
        <f t="shared" si="13"/>
        <v>45</v>
      </c>
      <c r="H162" s="99">
        <f>G162+'6'!H162</f>
        <v>266.69999999999709</v>
      </c>
      <c r="I162" s="236"/>
      <c r="J162" s="239">
        <f>H162/DAY(B2)</f>
        <v>38.099999999999582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2929</v>
      </c>
      <c r="F163" s="235">
        <v>3083</v>
      </c>
      <c r="G163" s="238">
        <f t="shared" si="13"/>
        <v>154</v>
      </c>
      <c r="H163" s="99">
        <f>G163+'6'!H163</f>
        <v>1056.9000000000001</v>
      </c>
      <c r="I163" s="236"/>
      <c r="J163" s="239">
        <f>H163/DAY(B2)</f>
        <v>150.98571428571429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5967</v>
      </c>
      <c r="F164" s="235">
        <v>5981</v>
      </c>
      <c r="G164" s="238">
        <f t="shared" si="13"/>
        <v>14</v>
      </c>
      <c r="H164" s="99">
        <f>G164+'6'!H164</f>
        <v>82.600000000000364</v>
      </c>
      <c r="I164" s="236"/>
      <c r="J164" s="239">
        <f>H164/DAY(B2)</f>
        <v>11.800000000000052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31411</v>
      </c>
      <c r="F165" s="235">
        <v>31422</v>
      </c>
      <c r="G165" s="238">
        <f t="shared" si="13"/>
        <v>11</v>
      </c>
      <c r="H165" s="99">
        <f>G165+'6'!H165</f>
        <v>75.349999999998545</v>
      </c>
      <c r="I165" s="236"/>
      <c r="J165" s="239">
        <f>H165/DAY(B2)</f>
        <v>10.764285714285506</v>
      </c>
    </row>
    <row r="166" spans="1:10" ht="25.5" customHeight="1">
      <c r="A166" s="935"/>
      <c r="B166" s="935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'6'!F173</f>
        <v>8267</v>
      </c>
      <c r="F173" s="155">
        <v>8267</v>
      </c>
      <c r="G173" s="155">
        <f>F173-E173</f>
        <v>0</v>
      </c>
      <c r="H173" s="99">
        <f>G173+'6'!H173</f>
        <v>38</v>
      </c>
      <c r="I173" s="155"/>
      <c r="J173" s="178">
        <f>H173/DAY(B2)</f>
        <v>5.4285714285714288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'6'!F174</f>
        <v>40860</v>
      </c>
      <c r="F174" s="157">
        <v>40874</v>
      </c>
      <c r="G174" s="155">
        <f t="shared" ref="G174:G175" si="14">F174-E174</f>
        <v>14</v>
      </c>
      <c r="H174" s="99">
        <f>G174+'6'!H174</f>
        <v>95</v>
      </c>
      <c r="I174" s="155"/>
      <c r="J174" s="178">
        <f>H174/DAY(B2)</f>
        <v>13.571428571428571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'6'!F175</f>
        <v>23729</v>
      </c>
      <c r="F175" s="155">
        <v>23746</v>
      </c>
      <c r="G175" s="155">
        <f t="shared" si="14"/>
        <v>17</v>
      </c>
      <c r="H175" s="99">
        <f>G175+'6'!H175</f>
        <v>90</v>
      </c>
      <c r="I175" s="155"/>
      <c r="J175" s="178">
        <f>H175/DAY(B2)</f>
        <v>12.857142857142858</v>
      </c>
    </row>
    <row r="176" spans="1:10" ht="25.5">
      <c r="A176" s="463" t="s">
        <v>196</v>
      </c>
      <c r="B176" s="464"/>
      <c r="C176" s="333"/>
      <c r="D176" s="228" t="s">
        <v>142</v>
      </c>
      <c r="E176" s="95"/>
      <c r="F176" s="155"/>
      <c r="G176" s="155">
        <f>SUM(G173:G175)</f>
        <v>31</v>
      </c>
      <c r="H176" s="99">
        <f>G176+'6'!H176</f>
        <v>223</v>
      </c>
      <c r="I176" s="155"/>
      <c r="J176" s="178">
        <f>H176/DAY(B2)</f>
        <v>31.857142857142858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'6'!F178</f>
        <v>95297</v>
      </c>
      <c r="F178" s="155">
        <v>95382</v>
      </c>
      <c r="G178" s="155">
        <f>F178-E178</f>
        <v>85</v>
      </c>
      <c r="H178" s="99">
        <f>G178+'6'!H178</f>
        <v>531</v>
      </c>
      <c r="I178" s="155"/>
      <c r="J178" s="178">
        <f>H178/DAY(B2)</f>
        <v>75.857142857142861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'6'!F179</f>
        <v>36002</v>
      </c>
      <c r="F179" s="155">
        <v>36002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'6'!F180</f>
        <v>6920</v>
      </c>
      <c r="F180" s="155">
        <v>6927</v>
      </c>
      <c r="G180" s="155">
        <f t="shared" si="15"/>
        <v>7</v>
      </c>
      <c r="H180" s="99">
        <f>G180+'6'!H180</f>
        <v>45</v>
      </c>
      <c r="I180" s="155"/>
      <c r="J180" s="178">
        <f>H180/DAY(B2)</f>
        <v>6.4285714285714288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92</v>
      </c>
      <c r="H181" s="99">
        <f>G181+'6'!H181</f>
        <v>576</v>
      </c>
      <c r="I181" s="155"/>
      <c r="J181" s="178">
        <f>H181/DAY(B2)</f>
        <v>82.285714285714292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'6'!F183</f>
        <v>17315</v>
      </c>
      <c r="F183" s="157">
        <v>17324</v>
      </c>
      <c r="G183" s="157">
        <f>F183-E183</f>
        <v>9</v>
      </c>
      <c r="H183" s="99">
        <f>G183+'6'!H183</f>
        <v>49</v>
      </c>
      <c r="I183" s="155"/>
      <c r="J183" s="178">
        <f>H183/DAY(B2)</f>
        <v>7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'6'!F184</f>
        <v>11726</v>
      </c>
      <c r="F184" s="157">
        <v>11730</v>
      </c>
      <c r="G184" s="157">
        <f t="shared" ref="G184:G185" si="16">F184-E184</f>
        <v>4</v>
      </c>
      <c r="H184" s="99">
        <f>G184+'6'!H184</f>
        <v>41</v>
      </c>
      <c r="I184" s="155"/>
      <c r="J184" s="178">
        <f>H184/DAY(B2)</f>
        <v>5.8571428571428568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13</v>
      </c>
      <c r="H186" s="99">
        <f>G186+'6'!H186</f>
        <v>90</v>
      </c>
      <c r="I186" s="157"/>
      <c r="J186" s="178">
        <f>H186/DAY(B2)</f>
        <v>12.857142857142858</v>
      </c>
    </row>
    <row r="187" spans="1:10" ht="25.5">
      <c r="A187" s="943" t="s">
        <v>217</v>
      </c>
      <c r="B187" s="944"/>
      <c r="C187" s="333"/>
      <c r="D187" s="228" t="s">
        <v>142</v>
      </c>
      <c r="E187" s="95"/>
      <c r="F187" s="159"/>
      <c r="G187" s="378">
        <f>G62+G19</f>
        <v>160</v>
      </c>
      <c r="H187" s="99">
        <f>G187+'6'!H187</f>
        <v>1002</v>
      </c>
      <c r="I187" s="158"/>
      <c r="J187" s="179">
        <f>H187/DAY(B2)</f>
        <v>143.14285714285714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143</v>
      </c>
      <c r="H188" s="99">
        <f>G188+'6'!H188</f>
        <v>866</v>
      </c>
      <c r="I188" s="158"/>
      <c r="J188" s="179">
        <f>H188/DAY(B2)</f>
        <v>123.71428571428571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92</v>
      </c>
      <c r="H189" s="99">
        <f>G189+'6'!H189</f>
        <v>576</v>
      </c>
      <c r="I189" s="158"/>
      <c r="J189" s="179">
        <f>H189/DAY(B2)</f>
        <v>82.285714285714292</v>
      </c>
    </row>
    <row r="190" spans="1:10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sqref="A1:J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355</v>
      </c>
      <c r="B2" s="262">
        <v>44750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  <c r="O6" s="65">
        <v>903668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710463</v>
      </c>
      <c r="F7" s="95">
        <v>738518</v>
      </c>
      <c r="G7" s="112">
        <f>F7-E7</f>
        <v>28055</v>
      </c>
      <c r="H7" s="99">
        <f>G7+'7'!H7</f>
        <v>215553.5</v>
      </c>
      <c r="I7" s="113">
        <f>'1'!I7</f>
        <v>12000</v>
      </c>
      <c r="J7" s="175">
        <f>H7/DAY(B2)</f>
        <v>26944.1875</v>
      </c>
      <c r="K7" s="172">
        <v>1375467</v>
      </c>
      <c r="L7" s="66"/>
      <c r="N7" s="87" t="s">
        <v>374</v>
      </c>
      <c r="O7" s="71">
        <v>1028046.66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852270</v>
      </c>
      <c r="F8" s="114">
        <v>880853</v>
      </c>
      <c r="G8" s="115">
        <f>F8-E8</f>
        <v>28583</v>
      </c>
      <c r="H8" s="99">
        <f>G8+'7'!H8</f>
        <v>219064</v>
      </c>
      <c r="I8" s="116"/>
      <c r="J8" s="175">
        <f>H8/DAY(B2)</f>
        <v>27383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3017099</v>
      </c>
      <c r="F9" s="117">
        <v>3032293</v>
      </c>
      <c r="G9" s="112">
        <f>F9-E9</f>
        <v>15194</v>
      </c>
      <c r="H9" s="99">
        <f>G9+'7'!H9</f>
        <v>114643.89999999991</v>
      </c>
      <c r="I9" s="124">
        <f>I7-J7</f>
        <v>-14944.1875</v>
      </c>
      <c r="J9" s="175">
        <f>H9/DAY(B2)</f>
        <v>14330.487499999988</v>
      </c>
      <c r="K9" s="79">
        <f>K8-100</f>
        <v>1715817</v>
      </c>
      <c r="L9" s="66"/>
      <c r="N9" s="87"/>
      <c r="O9" s="71">
        <f>G8-1160</f>
        <v>27423</v>
      </c>
      <c r="P9" s="71">
        <f>G7-O9</f>
        <v>632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1318940</v>
      </c>
      <c r="F10" s="117">
        <v>1331095</v>
      </c>
      <c r="G10" s="112">
        <f t="shared" ref="G10:G12" si="0">F10-E10</f>
        <v>12155</v>
      </c>
      <c r="H10" s="99">
        <f>G10+'7'!H10</f>
        <v>95408.370000000112</v>
      </c>
      <c r="I10" s="282"/>
      <c r="J10" s="175">
        <f>H10/DAY(B2)</f>
        <v>11926.046250000014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27349</v>
      </c>
      <c r="H13" s="99">
        <f>G13+'7'!H13</f>
        <v>211781.20000000019</v>
      </c>
      <c r="I13" s="120">
        <f>G7-G13</f>
        <v>706</v>
      </c>
      <c r="J13" s="175">
        <f>H13/DAY(B2)</f>
        <v>26472.650000000023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2075184</v>
      </c>
      <c r="F15" s="469">
        <v>2076330</v>
      </c>
      <c r="G15" s="112">
        <f>(F15-E15)</f>
        <v>1146</v>
      </c>
      <c r="H15" s="99">
        <f>G15+'7'!H15</f>
        <v>8251.5900000000838</v>
      </c>
      <c r="I15" s="113">
        <f>'1'!I15</f>
        <v>800</v>
      </c>
      <c r="J15" s="175">
        <f>H15/DAY(B2)</f>
        <v>1031.4487500000105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-231.44875000001048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'7'!F18</f>
        <v>21</v>
      </c>
      <c r="F18" s="122">
        <v>17</v>
      </c>
      <c r="G18" s="119">
        <f>F18*10</f>
        <v>170</v>
      </c>
      <c r="H18" s="99">
        <f>G18+'7'!H18</f>
        <v>1410</v>
      </c>
      <c r="I18" s="113">
        <f>'1'!I18</f>
        <v>65</v>
      </c>
      <c r="J18" s="175">
        <f>H18/DAY(B2)</f>
        <v>176.25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'7'!F19</f>
        <v>161167</v>
      </c>
      <c r="F19" s="122">
        <v>161214</v>
      </c>
      <c r="G19" s="112">
        <f t="shared" ref="G19" si="1">F19-E19</f>
        <v>47</v>
      </c>
      <c r="H19" s="99">
        <f>G19+'7'!H19</f>
        <v>385</v>
      </c>
      <c r="I19" s="335"/>
      <c r="J19" s="175">
        <f>H19/DAY(B2)</f>
        <v>48.125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217</v>
      </c>
      <c r="H20" s="99">
        <f>G20+'7'!H20</f>
        <v>1795</v>
      </c>
      <c r="I20" s="336">
        <f>I18-J20</f>
        <v>-159.375</v>
      </c>
      <c r="J20" s="175">
        <f>H20/DAY(B2)</f>
        <v>224.375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28583</v>
      </c>
      <c r="F27" s="136">
        <v>9</v>
      </c>
      <c r="G27" s="137">
        <f>E27*F27</f>
        <v>257247</v>
      </c>
      <c r="H27" s="99">
        <f>G27+'7'!H27</f>
        <v>1971576</v>
      </c>
      <c r="I27" s="138"/>
      <c r="J27" s="175">
        <f>H27/DAY(B2)</f>
        <v>246447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1146</v>
      </c>
      <c r="F28" s="136">
        <v>70</v>
      </c>
      <c r="G28" s="137">
        <f>E28*F28</f>
        <v>80220</v>
      </c>
      <c r="H28" s="99">
        <f>G28+'7'!H28</f>
        <v>577611.30000000587</v>
      </c>
      <c r="I28" s="140"/>
      <c r="J28" s="175">
        <f>H28/DAY(B2)</f>
        <v>72201.412500000733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G30+'7'!H30</f>
        <v>58135</v>
      </c>
      <c r="I30" s="140"/>
      <c r="J30" s="175">
        <f>H30/DAY(B2)</f>
        <v>7266.875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G31+'7'!H31</f>
        <v>112800</v>
      </c>
      <c r="I31" s="140"/>
      <c r="J31" s="175">
        <f>H31/DAY(B2)</f>
        <v>14100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358164</v>
      </c>
      <c r="H32" s="99">
        <f>G32+'7'!H32</f>
        <v>2720122.3000000059</v>
      </c>
      <c r="I32" s="144"/>
      <c r="J32" s="175">
        <f>H32/DAY(B2)</f>
        <v>340015.28750000073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</v>
      </c>
      <c r="G35" s="112">
        <f t="shared" ref="G35:G46" si="3">F35-E35</f>
        <v>0</v>
      </c>
      <c r="H35" s="99">
        <f>G35+'7'!H35</f>
        <v>-4.9999999988358468E-2</v>
      </c>
      <c r="I35" s="95"/>
      <c r="J35" s="175">
        <f>H35/DAY(B2)</f>
        <v>-6.2499999985448085E-3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193244</v>
      </c>
      <c r="F36" s="145">
        <v>194337</v>
      </c>
      <c r="G36" s="112">
        <f t="shared" si="3"/>
        <v>1093</v>
      </c>
      <c r="H36" s="99">
        <f>G36+'7'!H36</f>
        <v>7416.7699999999895</v>
      </c>
      <c r="I36" s="95"/>
      <c r="J36" s="175">
        <f>H36/DAY(B2)</f>
        <v>927.09624999999869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297994</v>
      </c>
      <c r="F37" s="145">
        <v>299568</v>
      </c>
      <c r="G37" s="112">
        <f t="shared" si="3"/>
        <v>1574</v>
      </c>
      <c r="H37" s="99">
        <f>G37+'7'!H37</f>
        <v>12849.010000000009</v>
      </c>
      <c r="I37" s="95"/>
      <c r="J37" s="175">
        <f>H37/DAY(B2)</f>
        <v>1606.1262500000012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402246</v>
      </c>
      <c r="F38" s="108">
        <v>404586</v>
      </c>
      <c r="G38" s="112">
        <f t="shared" si="3"/>
        <v>2340</v>
      </c>
      <c r="H38" s="99">
        <f>G38+'7'!H38</f>
        <v>17922.650000000023</v>
      </c>
      <c r="I38" s="95"/>
      <c r="J38" s="175">
        <f>H38/DAY(B2)</f>
        <v>2240.3312500000029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544224</v>
      </c>
      <c r="F39" s="145">
        <v>547227</v>
      </c>
      <c r="G39" s="112">
        <f t="shared" si="3"/>
        <v>3003</v>
      </c>
      <c r="H39" s="99">
        <f>G39+'7'!H39</f>
        <v>23846.409999999974</v>
      </c>
      <c r="I39" s="95"/>
      <c r="J39" s="175">
        <f>H39/DAY(B2)</f>
        <v>2980.8012499999968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87725</v>
      </c>
      <c r="F40" s="145">
        <v>88426</v>
      </c>
      <c r="G40" s="112">
        <f t="shared" si="3"/>
        <v>701</v>
      </c>
      <c r="H40" s="99">
        <f>G40+'7'!H40</f>
        <v>4754.9100000000035</v>
      </c>
      <c r="I40" s="95"/>
      <c r="J40" s="175">
        <f>H40/DAY(B2)</f>
        <v>594.36375000000044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146894</v>
      </c>
      <c r="F41" s="145">
        <v>152694</v>
      </c>
      <c r="G41" s="112">
        <f t="shared" si="3"/>
        <v>5800</v>
      </c>
      <c r="H41" s="99">
        <f>G41+'7'!H41</f>
        <v>9875.6000000000058</v>
      </c>
      <c r="I41" s="95"/>
      <c r="J41" s="175">
        <f>H41/DAY(B2)</f>
        <v>1234.4500000000007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721070</v>
      </c>
      <c r="F42" s="145">
        <v>721198</v>
      </c>
      <c r="G42" s="112">
        <f t="shared" si="3"/>
        <v>128</v>
      </c>
      <c r="H42" s="99">
        <f>G42+'7'!H42</f>
        <v>32565.449999999953</v>
      </c>
      <c r="I42" s="95"/>
      <c r="J42" s="175">
        <f>H42/DAY(B2)</f>
        <v>4070.6812499999942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14639</v>
      </c>
      <c r="H47" s="99">
        <f>G47+'7'!H47</f>
        <v>109230.74999999997</v>
      </c>
      <c r="I47" s="95"/>
      <c r="J47" s="175">
        <f>H47/DAY(B2)</f>
        <v>13653.843749999996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393059</v>
      </c>
      <c r="F49" s="145">
        <v>396677</v>
      </c>
      <c r="G49" s="112">
        <f t="shared" ref="G49:G58" si="4">F49-E49</f>
        <v>3618</v>
      </c>
      <c r="H49" s="99">
        <f>G49+'7'!H49</f>
        <v>28905.25</v>
      </c>
      <c r="I49" s="95"/>
      <c r="J49" s="175">
        <f>H49/DAY(B2)</f>
        <v>3613.15625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251337</v>
      </c>
      <c r="F50" s="145">
        <v>252897</v>
      </c>
      <c r="G50" s="112">
        <f t="shared" si="4"/>
        <v>1560</v>
      </c>
      <c r="H50" s="99">
        <f>G50+'7'!H50</f>
        <v>9791.6000000000058</v>
      </c>
      <c r="I50" s="95"/>
      <c r="J50" s="175">
        <f>H50/DAY(B2)</f>
        <v>1223.9500000000007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75.680000000000007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79495</v>
      </c>
      <c r="F54" s="145">
        <v>79847</v>
      </c>
      <c r="G54" s="112">
        <f t="shared" si="4"/>
        <v>352</v>
      </c>
      <c r="H54" s="99">
        <f>G54+'7'!H54</f>
        <v>2829.5</v>
      </c>
      <c r="I54" s="95"/>
      <c r="J54" s="175">
        <f>H54/DAY(B2)</f>
        <v>353.6875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294394</v>
      </c>
      <c r="F55" s="145">
        <v>296927</v>
      </c>
      <c r="G55" s="112">
        <f t="shared" si="4"/>
        <v>2533</v>
      </c>
      <c r="H55" s="99">
        <f>G55+'7'!H55</f>
        <v>12844.070000000007</v>
      </c>
      <c r="I55" s="95"/>
      <c r="J55" s="175">
        <f>H55/DAY(B2)</f>
        <v>1605.5087500000009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118797</v>
      </c>
      <c r="F56" s="145">
        <v>118797</v>
      </c>
      <c r="G56" s="112">
        <f t="shared" si="4"/>
        <v>0</v>
      </c>
      <c r="H56" s="99">
        <f>G56+'7'!H56</f>
        <v>7553.8699999999953</v>
      </c>
      <c r="I56" s="95"/>
      <c r="J56" s="175">
        <f>H56/DAY(B2)</f>
        <v>944.23374999999942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153672</v>
      </c>
      <c r="F57" s="145">
        <v>156786</v>
      </c>
      <c r="G57" s="112">
        <f t="shared" si="4"/>
        <v>3114</v>
      </c>
      <c r="H57" s="99">
        <f>G57+'7'!H57</f>
        <v>24882.299999999988</v>
      </c>
      <c r="I57" s="95"/>
      <c r="J57" s="175">
        <f>H57/DAY(B2)</f>
        <v>3110.2874999999985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42384</v>
      </c>
      <c r="F58" s="145">
        <v>42651</v>
      </c>
      <c r="G58" s="112">
        <f t="shared" si="4"/>
        <v>267</v>
      </c>
      <c r="H58" s="99">
        <f>G58+'7'!H58</f>
        <v>2370.8899999999994</v>
      </c>
      <c r="I58" s="95"/>
      <c r="J58" s="175">
        <f>H58/DAY(B2)</f>
        <v>296.36124999999993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11444</v>
      </c>
      <c r="H59" s="99">
        <f>G59+'7'!H59</f>
        <v>89177.239999999991</v>
      </c>
      <c r="I59" s="95">
        <f>G7-G60</f>
        <v>1972</v>
      </c>
      <c r="J59" s="175">
        <f>H59/DAY(B2)</f>
        <v>11147.154999999999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26083</v>
      </c>
      <c r="H60" s="99">
        <f>G60+'7'!H60</f>
        <v>198407.99</v>
      </c>
      <c r="I60" s="95">
        <f>G13-G60</f>
        <v>1266</v>
      </c>
      <c r="J60" s="175">
        <f>H60/DAY(B2)</f>
        <v>24800.998749999999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'7'!F62</f>
        <v>293362</v>
      </c>
      <c r="F62" s="122">
        <v>293492</v>
      </c>
      <c r="G62" s="112">
        <f t="shared" ref="G62:G63" si="5">F62-E62</f>
        <v>130</v>
      </c>
      <c r="H62" s="99">
        <f>G62+'7'!H62</f>
        <v>794</v>
      </c>
      <c r="I62" s="118"/>
      <c r="J62" s="175">
        <f>H62/DAY(B2)</f>
        <v>99.25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'7'!F63</f>
        <v>235862</v>
      </c>
      <c r="F63" s="122">
        <v>235937</v>
      </c>
      <c r="G63" s="112">
        <f t="shared" si="5"/>
        <v>75</v>
      </c>
      <c r="H63" s="99">
        <f>G63+'7'!H63</f>
        <v>871</v>
      </c>
      <c r="I63" s="118"/>
      <c r="J63" s="175">
        <f>H63/DAY(B2)</f>
        <v>108.875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'7'!F64</f>
        <v>0</v>
      </c>
      <c r="F64" s="122"/>
      <c r="G64" s="112">
        <f>G62+G63</f>
        <v>205</v>
      </c>
      <c r="H64" s="99">
        <f>G64+'7'!H64</f>
        <v>1665</v>
      </c>
      <c r="I64" s="118"/>
      <c r="J64" s="175">
        <f>H64/DAY(B2)</f>
        <v>208.125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'7'!F65</f>
        <v>452055</v>
      </c>
      <c r="F65" s="122">
        <v>452170</v>
      </c>
      <c r="G65" s="112">
        <f t="shared" ref="G65:G70" si="6">F65-E65</f>
        <v>115</v>
      </c>
      <c r="H65" s="99">
        <f>G65+'7'!H65</f>
        <v>781</v>
      </c>
      <c r="I65" s="118"/>
      <c r="J65" s="175">
        <f>H65/DAY(B2)</f>
        <v>97.625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111141</v>
      </c>
      <c r="F66" s="122">
        <v>111160</v>
      </c>
      <c r="G66" s="112">
        <f t="shared" si="6"/>
        <v>19</v>
      </c>
      <c r="H66" s="99">
        <f>G66+'7'!H66</f>
        <v>133</v>
      </c>
      <c r="I66" s="118"/>
      <c r="J66" s="175">
        <f>H66/DAY(B2)</f>
        <v>16.625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113680</v>
      </c>
      <c r="F67" s="122">
        <v>113680</v>
      </c>
      <c r="G67" s="112">
        <f t="shared" si="6"/>
        <v>0</v>
      </c>
      <c r="H67" s="99">
        <f>G67+'7'!H67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163838</v>
      </c>
      <c r="F68" s="122">
        <v>163884</v>
      </c>
      <c r="G68" s="112">
        <f t="shared" si="6"/>
        <v>46</v>
      </c>
      <c r="H68" s="99">
        <f>G68+'7'!H68</f>
        <v>358</v>
      </c>
      <c r="I68" s="118"/>
      <c r="J68" s="175">
        <f>H68/DAY(B2)</f>
        <v>44.75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12161</v>
      </c>
      <c r="F69" s="122">
        <v>12167</v>
      </c>
      <c r="G69" s="112">
        <f t="shared" si="6"/>
        <v>6</v>
      </c>
      <c r="H69" s="99">
        <f>G69+'7'!H69</f>
        <v>39</v>
      </c>
      <c r="I69" s="118"/>
      <c r="J69" s="175">
        <f>H69/DAY(B2)</f>
        <v>4.875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9567</v>
      </c>
      <c r="F70" s="122">
        <v>9573</v>
      </c>
      <c r="G70" s="112">
        <f t="shared" si="6"/>
        <v>6</v>
      </c>
      <c r="H70" s="99">
        <f>G70+'7'!H70</f>
        <v>59</v>
      </c>
      <c r="I70" s="118"/>
      <c r="J70" s="175">
        <f>H70/DAY(B2)</f>
        <v>7.375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192</v>
      </c>
      <c r="H71" s="99">
        <f>G71+'7'!H71</f>
        <v>1370</v>
      </c>
      <c r="I71" s="154"/>
      <c r="J71" s="175">
        <f>H71/DAY(B2)</f>
        <v>171.25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'7'!F74</f>
        <v>949809</v>
      </c>
      <c r="F74" s="123">
        <v>950140</v>
      </c>
      <c r="G74" s="112">
        <f t="shared" ref="G74:G78" si="7">F74-E74</f>
        <v>331</v>
      </c>
      <c r="H74" s="99">
        <f>G74+'7'!H74</f>
        <v>2432.8000000000466</v>
      </c>
      <c r="I74" s="154"/>
      <c r="J74" s="175">
        <f>H74/DAY(B2)</f>
        <v>304.10000000000582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'7'!F76</f>
        <v>187635</v>
      </c>
      <c r="F76" s="123">
        <v>187751</v>
      </c>
      <c r="G76" s="112">
        <f t="shared" si="7"/>
        <v>116</v>
      </c>
      <c r="H76" s="99">
        <f>G76+'7'!H76</f>
        <v>859.70000000001164</v>
      </c>
      <c r="I76" s="154"/>
      <c r="J76" s="175">
        <f>H76/DAY(B2)</f>
        <v>107.46250000000146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'7'!F77</f>
        <v>49063</v>
      </c>
      <c r="F77" s="123">
        <v>49068</v>
      </c>
      <c r="G77" s="112">
        <f t="shared" si="7"/>
        <v>5</v>
      </c>
      <c r="H77" s="99">
        <f>G77+'7'!H77</f>
        <v>332.19999999999709</v>
      </c>
      <c r="I77" s="154"/>
      <c r="J77" s="175">
        <f>H77/DAY(B2)</f>
        <v>41.524999999999636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'7'!F79</f>
        <v>0</v>
      </c>
      <c r="F79" s="117"/>
      <c r="G79" s="112">
        <f>G15-SUM(G74:G78)</f>
        <v>694</v>
      </c>
      <c r="H79" s="99">
        <f>G79+'7'!H79</f>
        <v>4626.8900000000285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1146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42292</v>
      </c>
      <c r="F84" s="164">
        <v>42316</v>
      </c>
      <c r="G84" s="112">
        <f t="shared" si="8"/>
        <v>24</v>
      </c>
      <c r="H84" s="99">
        <f>G84+'7'!H84</f>
        <v>41</v>
      </c>
      <c r="I84" s="573"/>
      <c r="J84" s="175">
        <f>H84/DAY(B2)</f>
        <v>5.125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5019</v>
      </c>
      <c r="F85" s="164">
        <v>5019</v>
      </c>
      <c r="G85" s="112">
        <f t="shared" si="8"/>
        <v>0</v>
      </c>
      <c r="H85" s="99">
        <f>G85+'7'!H85</f>
        <v>136.98999999999978</v>
      </c>
      <c r="I85" s="573"/>
      <c r="J85" s="175">
        <f>H85/DAY(B2)</f>
        <v>17.123749999999973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44918</v>
      </c>
      <c r="F86" s="164">
        <v>44935</v>
      </c>
      <c r="G86" s="112">
        <f t="shared" si="8"/>
        <v>17</v>
      </c>
      <c r="H86" s="99">
        <f>G86+'7'!H86</f>
        <v>82.69999999999709</v>
      </c>
      <c r="I86" s="573"/>
      <c r="J86" s="175">
        <f>H86/DAY(B2)</f>
        <v>10.337499999999636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35421</v>
      </c>
      <c r="F87" s="164">
        <v>35421</v>
      </c>
      <c r="G87" s="112">
        <f t="shared" si="8"/>
        <v>0</v>
      </c>
      <c r="H87" s="99">
        <f>G87+'7'!H87</f>
        <v>62.94999999999709</v>
      </c>
      <c r="I87" s="555">
        <f>G84+G85+G86+G87</f>
        <v>41</v>
      </c>
      <c r="J87" s="175">
        <f>H87/DAY(B2)</f>
        <v>7.8687499999996362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24285</v>
      </c>
      <c r="F88" s="164">
        <v>24285</v>
      </c>
      <c r="G88" s="112">
        <f t="shared" si="8"/>
        <v>0</v>
      </c>
      <c r="H88" s="99">
        <f>G88+'7'!H88</f>
        <v>7.7999999999992724</v>
      </c>
      <c r="I88" s="555"/>
      <c r="J88" s="175">
        <f>H88/DAY(B2)</f>
        <v>0.97499999999990905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27354</v>
      </c>
      <c r="F89" s="164">
        <v>27363.57</v>
      </c>
      <c r="G89" s="112">
        <f t="shared" si="8"/>
        <v>9.569999999999709</v>
      </c>
      <c r="H89" s="99">
        <f>G89+'7'!H89</f>
        <v>72.150000000001455</v>
      </c>
      <c r="I89" s="555">
        <f>G88+G89</f>
        <v>9.569999999999709</v>
      </c>
      <c r="J89" s="175">
        <f>H89/DAY(B2)</f>
        <v>9.0187500000001819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72351</v>
      </c>
      <c r="F90" s="164">
        <v>72362.990000000005</v>
      </c>
      <c r="G90" s="112">
        <f t="shared" si="8"/>
        <v>11.990000000005239</v>
      </c>
      <c r="H90" s="99">
        <f>G90+'7'!H90</f>
        <v>61.860000000015134</v>
      </c>
      <c r="I90" s="555">
        <f>G90</f>
        <v>11.990000000005239</v>
      </c>
      <c r="J90" s="175">
        <f>H90/DAY(B2)</f>
        <v>7.7325000000018917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4187.43</v>
      </c>
      <c r="F91" s="122">
        <v>4187</v>
      </c>
      <c r="G91" s="112">
        <f t="shared" si="8"/>
        <v>-0.43000000000029104</v>
      </c>
      <c r="H91" s="99">
        <f>G91+'7'!H91</f>
        <v>48.5600000000004</v>
      </c>
      <c r="I91" s="616"/>
      <c r="J91" s="175">
        <f>H91/DAY(B2)</f>
        <v>6.07000000000005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6543</v>
      </c>
      <c r="F92" s="122">
        <v>6554</v>
      </c>
      <c r="G92" s="112">
        <f t="shared" si="8"/>
        <v>11</v>
      </c>
      <c r="H92" s="99">
        <f>G92+'7'!H92</f>
        <v>38.659999999999854</v>
      </c>
      <c r="I92" s="617">
        <f>G91+G92</f>
        <v>10.569999999999709</v>
      </c>
      <c r="J92" s="175">
        <f>H92/DAY(B2)</f>
        <v>4.8324999999999818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6732</v>
      </c>
      <c r="H94" s="99">
        <f>G94+'7'!H94</f>
        <v>53787.5</v>
      </c>
      <c r="I94" s="118"/>
      <c r="J94" s="175">
        <f>H94/DAY(B2)</f>
        <v>6723.4375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0.23995722687577972</v>
      </c>
      <c r="H95" s="99">
        <f>G95+'7'!H95</f>
        <v>2.0004658845119234</v>
      </c>
      <c r="I95" s="167"/>
      <c r="J95" s="175">
        <f>H95/DAY(B2)</f>
        <v>0.25005823556399043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8461</v>
      </c>
      <c r="H96" s="99">
        <f>G96+'7'!H96</f>
        <v>62838.989999999962</v>
      </c>
      <c r="I96" s="118"/>
      <c r="J96" s="175">
        <f>H96/DAY(B2)</f>
        <v>7854.8737499999952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0.30158617002316879</v>
      </c>
      <c r="H97" s="99">
        <f>G97+'7'!H97</f>
        <v>2.3207720201286772</v>
      </c>
      <c r="I97" s="167"/>
      <c r="J97" s="175">
        <f>H97/DAY(B2)</f>
        <v>0.29009650251608465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3003</v>
      </c>
      <c r="H98" s="99">
        <f>G98+'7'!H98</f>
        <v>23846.409999999974</v>
      </c>
      <c r="I98" s="168"/>
      <c r="J98" s="175">
        <f>H98/DAY(B2)</f>
        <v>2980.8012499999968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0.10703974336125467</v>
      </c>
      <c r="H99" s="99">
        <f>G99+'7'!H99</f>
        <v>0.88703449224061892</v>
      </c>
      <c r="I99" s="168"/>
      <c r="J99" s="175">
        <f>H99/DAY(B2)</f>
        <v>0.11087931153007737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2340</v>
      </c>
      <c r="H100" s="99">
        <f>G100+'7'!H100</f>
        <v>17922.410000000025</v>
      </c>
      <c r="I100" s="118"/>
      <c r="J100" s="175">
        <f>H100/DAY(B2)</f>
        <v>2240.3012500000032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8.3407592229549105E-2</v>
      </c>
      <c r="H101" s="99">
        <f>G101+'7'!H101</f>
        <v>0.66634286304242984</v>
      </c>
      <c r="I101" s="168"/>
      <c r="J101" s="175">
        <f>H101/DAY(B2)</f>
        <v>8.3292857880303731E-2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2653</v>
      </c>
      <c r="H102" s="99">
        <f>G102+'7'!H102</f>
        <v>17208.369999999995</v>
      </c>
      <c r="I102" s="168"/>
      <c r="J102" s="175">
        <f>H102/DAY(B2)</f>
        <v>2151.0462499999994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9.4564248797005881E-2</v>
      </c>
      <c r="H103" s="99">
        <f>G103+'7'!H103</f>
        <v>0.63623648993418713</v>
      </c>
      <c r="I103" s="118"/>
      <c r="J103" s="175">
        <f>H103/DAY(B2)</f>
        <v>7.9529561241773392E-2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1574</v>
      </c>
      <c r="H104" s="99">
        <f>G104+'7'!H104</f>
        <v>12849.010000000009</v>
      </c>
      <c r="I104" s="118"/>
      <c r="J104" s="175">
        <f>H104/DAY(B2)</f>
        <v>1606.1262500000012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5.6104081268936019E-2</v>
      </c>
      <c r="H105" s="99">
        <f>G105+'7'!H105</f>
        <v>0.47853114977164551</v>
      </c>
      <c r="I105" s="187"/>
      <c r="J105" s="188">
        <f>H105/DAY(B2)</f>
        <v>5.9816393721455689E-2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'7'!F112</f>
        <v>5452</v>
      </c>
      <c r="F112" s="237">
        <v>5528</v>
      </c>
      <c r="G112" s="112">
        <f t="shared" ref="G112:G123" si="9">F112-E112</f>
        <v>76</v>
      </c>
      <c r="H112" s="99">
        <f>G112+'7'!H112</f>
        <v>598.26000000000022</v>
      </c>
      <c r="I112" s="165"/>
      <c r="J112" s="328">
        <f>H112/DAY(B2)</f>
        <v>74.782500000000027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'7'!F113</f>
        <v>11623</v>
      </c>
      <c r="F113" s="237">
        <v>11766</v>
      </c>
      <c r="G113" s="112">
        <f t="shared" si="9"/>
        <v>143</v>
      </c>
      <c r="H113" s="99">
        <f>G113+'7'!H113</f>
        <v>1133.2800000000007</v>
      </c>
      <c r="I113" s="165"/>
      <c r="J113" s="328">
        <f>H113/DAY(B2)</f>
        <v>141.66000000000008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'7'!F114</f>
        <v>15762</v>
      </c>
      <c r="F114" s="237">
        <v>16004</v>
      </c>
      <c r="G114" s="112">
        <f t="shared" si="9"/>
        <v>242</v>
      </c>
      <c r="H114" s="99">
        <f>G114+'7'!H114</f>
        <v>1810.2000000000007</v>
      </c>
      <c r="I114" s="165"/>
      <c r="J114" s="328">
        <f>H114/DAY(B2)</f>
        <v>226.27500000000009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'7'!F115</f>
        <v>9880</v>
      </c>
      <c r="F115" s="237">
        <v>10003</v>
      </c>
      <c r="G115" s="112">
        <f t="shared" si="9"/>
        <v>123</v>
      </c>
      <c r="H115" s="99">
        <f>G115+'7'!H115</f>
        <v>1091.4400000000005</v>
      </c>
      <c r="I115" s="165"/>
      <c r="J115" s="328">
        <f>H115/DAY(B2)</f>
        <v>136.43000000000006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'7'!F116</f>
        <v>61665</v>
      </c>
      <c r="F116" s="237">
        <v>62045</v>
      </c>
      <c r="G116" s="112">
        <f t="shared" si="9"/>
        <v>380</v>
      </c>
      <c r="H116" s="99">
        <f>G116+'7'!H116</f>
        <v>3154.4499999999971</v>
      </c>
      <c r="I116" s="165"/>
      <c r="J116" s="328">
        <f>H116/DAY(B2)</f>
        <v>394.30624999999964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'7'!F117</f>
        <v>34783</v>
      </c>
      <c r="F117" s="237">
        <v>35101</v>
      </c>
      <c r="G117" s="112">
        <f t="shared" si="9"/>
        <v>318</v>
      </c>
      <c r="H117" s="99">
        <f>G117+'7'!H117</f>
        <v>2212.5199999999968</v>
      </c>
      <c r="I117" s="165"/>
      <c r="J117" s="328">
        <f>H117/DAY(B2)</f>
        <v>276.5649999999996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'7'!F118</f>
        <v>49432</v>
      </c>
      <c r="F118" s="237">
        <v>50079</v>
      </c>
      <c r="G118" s="112">
        <f t="shared" si="9"/>
        <v>647</v>
      </c>
      <c r="H118" s="99">
        <f>G118+'7'!H118</f>
        <v>5158.6900000000023</v>
      </c>
      <c r="I118" s="165"/>
      <c r="J118" s="328">
        <f>H118/DAY(B2)</f>
        <v>644.83625000000029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'7'!F119</f>
        <v>31959</v>
      </c>
      <c r="F119" s="237">
        <v>32204</v>
      </c>
      <c r="G119" s="112">
        <f t="shared" si="9"/>
        <v>245</v>
      </c>
      <c r="H119" s="99">
        <f>G119+'7'!H119</f>
        <v>1861.4000000000015</v>
      </c>
      <c r="I119" s="165"/>
      <c r="J119" s="328">
        <f>H119/DAY(B2)</f>
        <v>232.67500000000018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'7'!F120</f>
        <v>36129</v>
      </c>
      <c r="F120" s="237">
        <v>36543</v>
      </c>
      <c r="G120" s="112">
        <f t="shared" si="9"/>
        <v>414</v>
      </c>
      <c r="H120" s="99">
        <f>G120+'7'!H120</f>
        <v>3437.4400000000023</v>
      </c>
      <c r="I120" s="165"/>
      <c r="J120" s="328">
        <f>H120/DAY(B2)</f>
        <v>429.68000000000029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'7'!F121</f>
        <v>42773</v>
      </c>
      <c r="F121" s="237">
        <v>43217</v>
      </c>
      <c r="G121" s="112">
        <f t="shared" si="9"/>
        <v>444</v>
      </c>
      <c r="H121" s="99">
        <f>G121+'7'!H121</f>
        <v>3629.0999999999985</v>
      </c>
      <c r="I121" s="165"/>
      <c r="J121" s="328">
        <f>H121/DAY(B2)</f>
        <v>453.63749999999982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'7'!F122</f>
        <v>22037</v>
      </c>
      <c r="F122" s="237">
        <v>22348</v>
      </c>
      <c r="G122" s="112">
        <f t="shared" si="9"/>
        <v>311</v>
      </c>
      <c r="H122" s="99">
        <f>G122+'7'!H122</f>
        <v>2382.119999999999</v>
      </c>
      <c r="I122" s="165"/>
      <c r="J122" s="328">
        <f>H122/DAY(B2)</f>
        <v>297.76499999999987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'7'!F123</f>
        <v>22545</v>
      </c>
      <c r="F123" s="237">
        <v>22865</v>
      </c>
      <c r="G123" s="112">
        <f t="shared" si="9"/>
        <v>320</v>
      </c>
      <c r="H123" s="99">
        <f>G123+'7'!H123</f>
        <v>2523</v>
      </c>
      <c r="I123" s="165"/>
      <c r="J123" s="328">
        <f>H123/DAY(B2)</f>
        <v>315.375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3663</v>
      </c>
      <c r="H125" s="156"/>
      <c r="I125" s="327">
        <f>G125-(G39+G53)</f>
        <v>660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'7'!F128</f>
        <v>115452</v>
      </c>
      <c r="F128" s="165">
        <v>115953</v>
      </c>
      <c r="G128" s="112">
        <f t="shared" ref="G128:G134" si="10">F128-E128</f>
        <v>501</v>
      </c>
      <c r="H128" s="99">
        <f>G128+'7'!H128</f>
        <v>4077.1399999999994</v>
      </c>
      <c r="I128" s="165"/>
      <c r="J128" s="328">
        <f>H128/DAY(B2)</f>
        <v>509.64249999999993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68149</v>
      </c>
      <c r="F129" s="165">
        <v>68403</v>
      </c>
      <c r="G129" s="112">
        <f t="shared" si="10"/>
        <v>254</v>
      </c>
      <c r="H129" s="99">
        <f>G129+'7'!H129</f>
        <v>1701.2200000000012</v>
      </c>
      <c r="I129" s="165"/>
      <c r="J129" s="328">
        <f>H129/DAY(B2)</f>
        <v>212.65250000000015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147191</v>
      </c>
      <c r="F130" s="165">
        <v>147799</v>
      </c>
      <c r="G130" s="112">
        <f t="shared" si="10"/>
        <v>608</v>
      </c>
      <c r="H130" s="99">
        <f>G130+'7'!H130</f>
        <v>6045.3500000000058</v>
      </c>
      <c r="I130" s="165"/>
      <c r="J130" s="328">
        <f>H130/DAY(B2)</f>
        <v>755.66875000000073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'7'!F131</f>
        <v>43936</v>
      </c>
      <c r="F131" s="165">
        <v>44090</v>
      </c>
      <c r="G131" s="112">
        <f t="shared" si="10"/>
        <v>154</v>
      </c>
      <c r="H131" s="99">
        <f>G131+'7'!H131</f>
        <v>1471.8000000000029</v>
      </c>
      <c r="I131" s="165"/>
      <c r="J131" s="328">
        <f>H131/DAY(B2)</f>
        <v>183.97500000000036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'7'!F132</f>
        <v>119105</v>
      </c>
      <c r="F132" s="165">
        <v>119542</v>
      </c>
      <c r="G132" s="112">
        <f t="shared" si="10"/>
        <v>437</v>
      </c>
      <c r="H132" s="99">
        <f>G132+'7'!H132</f>
        <v>3251</v>
      </c>
      <c r="I132" s="165"/>
      <c r="J132" s="328">
        <f>H132/DAY(B2)</f>
        <v>406.375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'7'!F133</f>
        <v>791247</v>
      </c>
      <c r="F133" s="165">
        <v>791247</v>
      </c>
      <c r="G133" s="112">
        <f t="shared" si="10"/>
        <v>0</v>
      </c>
      <c r="H133" s="99">
        <f>G133+'7'!H133</f>
        <v>4203</v>
      </c>
      <c r="I133" s="165"/>
      <c r="J133" s="328">
        <f>H133/DAY(B2)</f>
        <v>525.375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'7'!F134</f>
        <v>43434</v>
      </c>
      <c r="F134" s="165">
        <v>43691</v>
      </c>
      <c r="G134" s="112">
        <f t="shared" si="10"/>
        <v>257</v>
      </c>
      <c r="H134" s="99">
        <f>G134+'7'!H134</f>
        <v>1946</v>
      </c>
      <c r="I134" s="165"/>
      <c r="J134" s="328">
        <f>H134/DAY(B2)</f>
        <v>243.25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2211</v>
      </c>
      <c r="H135" s="99">
        <f>G135+'7'!H135</f>
        <v>22695.510000000009</v>
      </c>
      <c r="I135" s="327">
        <f>G135-(G35+G49)</f>
        <v>-1407</v>
      </c>
      <c r="J135" s="328">
        <f>H135/DAY(B2)</f>
        <v>2836.9387500000012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'7'!F138</f>
        <v>888168</v>
      </c>
      <c r="F138" s="147">
        <v>888282</v>
      </c>
      <c r="G138" s="112">
        <f t="shared" ref="G138:G152" si="11">F138-E138</f>
        <v>114</v>
      </c>
      <c r="H138" s="99">
        <f>G138+'7'!H138</f>
        <v>1055</v>
      </c>
      <c r="I138" s="118"/>
      <c r="J138" s="328">
        <f>H138/DAY(B2)</f>
        <v>131.875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'7'!F139</f>
        <v>905207</v>
      </c>
      <c r="F139" s="148">
        <v>905370</v>
      </c>
      <c r="G139" s="112">
        <f t="shared" si="11"/>
        <v>163</v>
      </c>
      <c r="H139" s="99">
        <f>G139+'7'!H139</f>
        <v>1280</v>
      </c>
      <c r="I139" s="118"/>
      <c r="J139" s="328">
        <f>H139/DAY(B2)</f>
        <v>160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'7'!F140</f>
        <v>1150</v>
      </c>
      <c r="F140" s="149">
        <v>1165</v>
      </c>
      <c r="G140" s="112">
        <f t="shared" si="11"/>
        <v>15</v>
      </c>
      <c r="H140" s="99">
        <f>G140+'7'!H140</f>
        <v>109.95000000000005</v>
      </c>
      <c r="I140" s="118"/>
      <c r="J140" s="328">
        <f>H140/DAY(B2)</f>
        <v>13.743750000000006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'7'!F141</f>
        <v>85545</v>
      </c>
      <c r="F141" s="149">
        <v>85759</v>
      </c>
      <c r="G141" s="112">
        <f t="shared" si="11"/>
        <v>214</v>
      </c>
      <c r="H141" s="99">
        <f>G141+'7'!H141</f>
        <v>1643.8000000000029</v>
      </c>
      <c r="I141" s="118"/>
      <c r="J141" s="328">
        <f>H141/DAY(B2)</f>
        <v>205.47500000000036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'7'!F142</f>
        <v>34890</v>
      </c>
      <c r="F142" s="148">
        <v>34971</v>
      </c>
      <c r="G142" s="112">
        <f t="shared" si="11"/>
        <v>81</v>
      </c>
      <c r="H142" s="99">
        <f>G142+'7'!H142</f>
        <v>585.52999999999884</v>
      </c>
      <c r="I142" s="140"/>
      <c r="J142" s="328">
        <f>H142/DAY(B2)</f>
        <v>73.191249999999854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'7'!F143</f>
        <v>8369</v>
      </c>
      <c r="F143" s="149">
        <v>8400</v>
      </c>
      <c r="G143" s="112">
        <f t="shared" si="11"/>
        <v>31</v>
      </c>
      <c r="H143" s="99">
        <f>G143+'7'!H143</f>
        <v>241.68000000000029</v>
      </c>
      <c r="I143" s="140"/>
      <c r="J143" s="328">
        <f>H143/DAY(B2)</f>
        <v>30.210000000000036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'7'!F144</f>
        <v>914022</v>
      </c>
      <c r="F144" s="149">
        <v>914286</v>
      </c>
      <c r="G144" s="112">
        <f t="shared" si="11"/>
        <v>264</v>
      </c>
      <c r="H144" s="99">
        <f>G144+'7'!H144</f>
        <v>2009</v>
      </c>
      <c r="I144" s="140"/>
      <c r="J144" s="328">
        <f>H144/DAY(B2)</f>
        <v>251.125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'7'!F145</f>
        <v>5666.56</v>
      </c>
      <c r="F145" s="148">
        <v>5667</v>
      </c>
      <c r="G145" s="112">
        <f t="shared" si="11"/>
        <v>0.43999999999959982</v>
      </c>
      <c r="H145" s="99">
        <f>G145+'7'!H145</f>
        <v>0.43999999999959982</v>
      </c>
      <c r="I145" s="140"/>
      <c r="J145" s="328">
        <f>H145/DAY(B2)</f>
        <v>5.4999999999949978E-2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'7'!F146</f>
        <v>779660</v>
      </c>
      <c r="F146" s="148">
        <v>779700</v>
      </c>
      <c r="G146" s="112">
        <f t="shared" si="11"/>
        <v>40</v>
      </c>
      <c r="H146" s="99">
        <f>G146+'7'!H146</f>
        <v>372</v>
      </c>
      <c r="I146" s="140"/>
      <c r="J146" s="328">
        <f>H146/DAY(B2)</f>
        <v>46.5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'7'!F147</f>
        <v>690185</v>
      </c>
      <c r="F147" s="148">
        <v>690614</v>
      </c>
      <c r="G147" s="112">
        <f t="shared" si="11"/>
        <v>429</v>
      </c>
      <c r="H147" s="99">
        <f>G147+'7'!H147</f>
        <v>3087.8399999999674</v>
      </c>
      <c r="I147" s="140"/>
      <c r="J147" s="328">
        <f>H147/DAY(B2)</f>
        <v>385.97999999999593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'7'!F148</f>
        <v>741076</v>
      </c>
      <c r="F148" s="150">
        <v>741373</v>
      </c>
      <c r="G148" s="112">
        <f t="shared" si="11"/>
        <v>297</v>
      </c>
      <c r="H148" s="99">
        <f>G148+'7'!H148</f>
        <v>2425.7199999999721</v>
      </c>
      <c r="I148" s="124"/>
      <c r="J148" s="328">
        <f>H148/DAY(B2)</f>
        <v>303.21499999999651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'7'!F149</f>
        <v>119973</v>
      </c>
      <c r="F149" s="146">
        <v>120550</v>
      </c>
      <c r="G149" s="112">
        <f t="shared" si="11"/>
        <v>577</v>
      </c>
      <c r="H149" s="99">
        <f>G149+'7'!H149</f>
        <v>4017.1999999999971</v>
      </c>
      <c r="I149" s="119"/>
      <c r="J149" s="328">
        <f>H149/DAY(B2)</f>
        <v>502.14999999999964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'7'!F150</f>
        <v>45252</v>
      </c>
      <c r="F150" s="233">
        <v>45474</v>
      </c>
      <c r="G150" s="112">
        <f t="shared" si="11"/>
        <v>222</v>
      </c>
      <c r="H150" s="99">
        <f>G150+'7'!H150</f>
        <v>1748.8399999999965</v>
      </c>
      <c r="I150" s="119"/>
      <c r="J150" s="328">
        <f>H150/DAY(B2)</f>
        <v>218.60499999999956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'7'!F151</f>
        <v>128442</v>
      </c>
      <c r="F151" s="233">
        <v>128672</v>
      </c>
      <c r="G151" s="112">
        <f t="shared" si="11"/>
        <v>230</v>
      </c>
      <c r="H151" s="99">
        <f>G151+'7'!H151</f>
        <v>2069</v>
      </c>
      <c r="I151" s="119"/>
      <c r="J151" s="328">
        <f>H151/DAY(B2)</f>
        <v>258.625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'7'!F152</f>
        <v>20179</v>
      </c>
      <c r="F152" s="233">
        <v>20310</v>
      </c>
      <c r="G152" s="112">
        <f t="shared" si="11"/>
        <v>131</v>
      </c>
      <c r="H152" s="99">
        <f>G152+'7'!H152</f>
        <v>1021.9199999999983</v>
      </c>
      <c r="I152" s="119"/>
      <c r="J152" s="328">
        <f>H152/DAY(B2)</f>
        <v>127.73999999999978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2808.4399999999996</v>
      </c>
      <c r="H153" s="363"/>
      <c r="I153" s="119">
        <f>G153-(G38+G52)</f>
        <v>468.4399999999996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'7'!F155</f>
        <v>134351</v>
      </c>
      <c r="F155" s="374">
        <v>134918</v>
      </c>
      <c r="G155" s="112">
        <f t="shared" ref="G155:G158" si="12">F155-E155</f>
        <v>567</v>
      </c>
      <c r="H155" s="99">
        <f>G155+'7'!H155</f>
        <v>4676.6199999999953</v>
      </c>
      <c r="I155" s="364"/>
      <c r="J155" s="328">
        <f>H155/DAY(B2)</f>
        <v>584.57749999999942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'7'!F156</f>
        <v>12687</v>
      </c>
      <c r="F156" s="155">
        <v>12766</v>
      </c>
      <c r="G156" s="112">
        <f t="shared" si="12"/>
        <v>79</v>
      </c>
      <c r="H156" s="99">
        <f>G156+'7'!H156</f>
        <v>672.63999999999942</v>
      </c>
      <c r="I156" s="165"/>
      <c r="J156" s="328">
        <f>H156/DAY(B2)</f>
        <v>84.079999999999927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'7'!F157</f>
        <v>24204</v>
      </c>
      <c r="F157" s="155">
        <v>24339</v>
      </c>
      <c r="G157" s="112">
        <f t="shared" si="12"/>
        <v>135</v>
      </c>
      <c r="H157" s="99">
        <f>G157+'7'!H157</f>
        <v>1142.2999999999993</v>
      </c>
      <c r="I157" s="165"/>
      <c r="J157" s="328">
        <f>H157/DAY(B2)</f>
        <v>142.78749999999991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'7'!F158</f>
        <v>224</v>
      </c>
      <c r="F158" s="155">
        <v>224</v>
      </c>
      <c r="G158" s="112">
        <f t="shared" si="12"/>
        <v>0</v>
      </c>
      <c r="H158" s="99">
        <f>G158+'7'!H158</f>
        <v>136.30999999999997</v>
      </c>
      <c r="I158" s="165"/>
      <c r="J158" s="328">
        <f>H158/DAY(B2)</f>
        <v>17.038749999999997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478246</v>
      </c>
      <c r="F161" s="235">
        <v>478407</v>
      </c>
      <c r="G161" s="238">
        <f t="shared" ref="G161:G165" si="13">F161-E161</f>
        <v>161</v>
      </c>
      <c r="H161" s="99">
        <f>G161+'7'!H161</f>
        <v>744</v>
      </c>
      <c r="I161" s="236"/>
      <c r="J161" s="239">
        <f>H161/DAY(B2)</f>
        <v>93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94072</v>
      </c>
      <c r="F162" s="235">
        <v>94112</v>
      </c>
      <c r="G162" s="238">
        <f t="shared" si="13"/>
        <v>40</v>
      </c>
      <c r="H162" s="99">
        <f>G162+'7'!H162</f>
        <v>306.69999999999709</v>
      </c>
      <c r="I162" s="236"/>
      <c r="J162" s="239">
        <f>H162/DAY(B2)</f>
        <v>38.337499999999636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3083</v>
      </c>
      <c r="F163" s="235">
        <v>3221</v>
      </c>
      <c r="G163" s="238">
        <f t="shared" si="13"/>
        <v>138</v>
      </c>
      <c r="H163" s="99">
        <f>G163+'7'!H163</f>
        <v>1194.9000000000001</v>
      </c>
      <c r="I163" s="236"/>
      <c r="J163" s="239">
        <f>H163/DAY(B2)</f>
        <v>149.36250000000001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5981</v>
      </c>
      <c r="F164" s="235">
        <v>5989</v>
      </c>
      <c r="G164" s="238">
        <f t="shared" si="13"/>
        <v>8</v>
      </c>
      <c r="H164" s="99">
        <f>G164+'7'!H164</f>
        <v>90.600000000000364</v>
      </c>
      <c r="I164" s="236"/>
      <c r="J164" s="239">
        <f>H164/DAY(B2)</f>
        <v>11.325000000000045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31422</v>
      </c>
      <c r="F165" s="235">
        <v>31432</v>
      </c>
      <c r="G165" s="238">
        <f t="shared" si="13"/>
        <v>10</v>
      </c>
      <c r="H165" s="99">
        <f>G165+'7'!H165</f>
        <v>85.349999999998545</v>
      </c>
      <c r="I165" s="236"/>
      <c r="J165" s="239">
        <f>H165/DAY(B2)</f>
        <v>10.668749999999818</v>
      </c>
    </row>
    <row r="166" spans="1:10" ht="26.25">
      <c r="A166" s="935"/>
      <c r="B166" s="935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'7'!F173</f>
        <v>8267</v>
      </c>
      <c r="F173" s="155">
        <v>8267</v>
      </c>
      <c r="G173" s="155">
        <f>F173-E173</f>
        <v>0</v>
      </c>
      <c r="H173" s="99">
        <f>G173+'7'!H173</f>
        <v>38</v>
      </c>
      <c r="I173" s="155"/>
      <c r="J173" s="178">
        <f>H173/DAY(B2)</f>
        <v>4.75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'7'!F174</f>
        <v>40874</v>
      </c>
      <c r="F174" s="157">
        <v>40888</v>
      </c>
      <c r="G174" s="155">
        <f t="shared" ref="G174:G175" si="14">F174-E174</f>
        <v>14</v>
      </c>
      <c r="H174" s="99">
        <f>G174+'7'!H174</f>
        <v>109</v>
      </c>
      <c r="I174" s="155"/>
      <c r="J174" s="178">
        <f>H174/DAY(B2)</f>
        <v>13.625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'7'!F175</f>
        <v>23746</v>
      </c>
      <c r="F175" s="155">
        <v>23758</v>
      </c>
      <c r="G175" s="155">
        <f t="shared" si="14"/>
        <v>12</v>
      </c>
      <c r="H175" s="99">
        <f>G175+'7'!H175</f>
        <v>102</v>
      </c>
      <c r="I175" s="155"/>
      <c r="J175" s="178">
        <f>H175/DAY(B2)</f>
        <v>12.75</v>
      </c>
    </row>
    <row r="176" spans="1:10" ht="25.5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26</v>
      </c>
      <c r="H176" s="99">
        <f>G176+'7'!H176</f>
        <v>249</v>
      </c>
      <c r="I176" s="155"/>
      <c r="J176" s="178">
        <f>H176/DAY(B2)</f>
        <v>31.125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'7'!F178</f>
        <v>95382</v>
      </c>
      <c r="F178" s="157">
        <v>95443</v>
      </c>
      <c r="G178" s="155">
        <f>F178-E178</f>
        <v>61</v>
      </c>
      <c r="H178" s="99">
        <f>G178+'7'!H178</f>
        <v>592</v>
      </c>
      <c r="I178" s="155"/>
      <c r="J178" s="178">
        <f>H178/DAY(B2)</f>
        <v>74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'7'!F179</f>
        <v>36002</v>
      </c>
      <c r="F179" s="155">
        <v>36002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'7'!F180</f>
        <v>6927</v>
      </c>
      <c r="F180" s="155">
        <v>6934</v>
      </c>
      <c r="G180" s="155">
        <f t="shared" si="15"/>
        <v>7</v>
      </c>
      <c r="H180" s="99">
        <f>G180+'7'!H180</f>
        <v>52</v>
      </c>
      <c r="I180" s="155"/>
      <c r="J180" s="178">
        <f>H180/DAY(B2)</f>
        <v>6.5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68</v>
      </c>
      <c r="H181" s="99">
        <f>G181+'7'!H181</f>
        <v>644</v>
      </c>
      <c r="I181" s="155"/>
      <c r="J181" s="178">
        <f>H181/DAY(B2)</f>
        <v>80.5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'7'!F183</f>
        <v>17324</v>
      </c>
      <c r="F183" s="157">
        <v>17332</v>
      </c>
      <c r="G183" s="157">
        <f>F183-E183</f>
        <v>8</v>
      </c>
      <c r="H183" s="99">
        <f>G183+'7'!H183</f>
        <v>57</v>
      </c>
      <c r="I183" s="155"/>
      <c r="J183" s="178">
        <f>H183/DAY(B2)</f>
        <v>7.125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'7'!F184</f>
        <v>11730</v>
      </c>
      <c r="F184" s="157">
        <v>11737</v>
      </c>
      <c r="G184" s="157">
        <f t="shared" ref="G184:G185" si="16">F184-E184</f>
        <v>7</v>
      </c>
      <c r="H184" s="99">
        <f>G184+'7'!H184</f>
        <v>48</v>
      </c>
      <c r="I184" s="155"/>
      <c r="J184" s="178">
        <f>H184/DAY(B2)</f>
        <v>6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15</v>
      </c>
      <c r="H186" s="99">
        <f>G186+'7'!H186</f>
        <v>105</v>
      </c>
      <c r="I186" s="157"/>
      <c r="J186" s="178">
        <f>H186/DAY(B2)</f>
        <v>13.125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177</v>
      </c>
      <c r="H187" s="99">
        <f>G187+'7'!H187</f>
        <v>1179</v>
      </c>
      <c r="I187" s="158"/>
      <c r="J187" s="179">
        <f>H187/DAY(B2)</f>
        <v>147.375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146</v>
      </c>
      <c r="H188" s="99">
        <f>G188+'7'!H188</f>
        <v>1012</v>
      </c>
      <c r="I188" s="158"/>
      <c r="J188" s="179">
        <f>H188/DAY(B2)</f>
        <v>126.5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68</v>
      </c>
      <c r="H189" s="99">
        <f>G189+'7'!H189</f>
        <v>644</v>
      </c>
      <c r="I189" s="158"/>
      <c r="J189" s="179">
        <f>H189/DAY(B2)</f>
        <v>80.5</v>
      </c>
    </row>
    <row r="190" spans="1:10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E25" sqref="E2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371</v>
      </c>
      <c r="B2" s="262">
        <v>44751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738518</v>
      </c>
      <c r="F7" s="95">
        <v>766105.03</v>
      </c>
      <c r="G7" s="112">
        <f>F7-E7</f>
        <v>27587.030000000028</v>
      </c>
      <c r="H7" s="99">
        <f>G7+'8'!H7</f>
        <v>243140.53000000003</v>
      </c>
      <c r="I7" s="113">
        <f>'1'!I7</f>
        <v>12000</v>
      </c>
      <c r="J7" s="175">
        <f>H7/DAY(B2)</f>
        <v>27015.614444444447</v>
      </c>
      <c r="K7" s="172">
        <v>1375467</v>
      </c>
      <c r="L7" s="66"/>
      <c r="N7" s="87">
        <f>G7+600</f>
        <v>28187.030000000028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880853</v>
      </c>
      <c r="F8" s="114">
        <v>908984.55</v>
      </c>
      <c r="G8" s="115">
        <f>F8-E8</f>
        <v>28131.550000000047</v>
      </c>
      <c r="H8" s="99">
        <f>G8+'8'!H8</f>
        <v>247195.55000000005</v>
      </c>
      <c r="I8" s="116"/>
      <c r="J8" s="175">
        <f>H8/DAY(B2)</f>
        <v>27466.172222222227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3032293</v>
      </c>
      <c r="F9" s="352">
        <v>3047260.3</v>
      </c>
      <c r="G9" s="112">
        <f>F9-E9</f>
        <v>14967.299999999814</v>
      </c>
      <c r="H9" s="99">
        <f>G9+'8'!H9</f>
        <v>129611.19999999972</v>
      </c>
      <c r="I9" s="124">
        <f>I7-J7</f>
        <v>-15015.614444444447</v>
      </c>
      <c r="J9" s="175">
        <f>H9/DAY(B2)</f>
        <v>14401.244444444414</v>
      </c>
      <c r="K9" s="79">
        <f>K8-100</f>
        <v>1715817</v>
      </c>
      <c r="L9" s="66"/>
      <c r="N9" s="87">
        <f>E8+234223+600</f>
        <v>1115676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1331095</v>
      </c>
      <c r="F10" s="117">
        <v>1343011.9</v>
      </c>
      <c r="G10" s="112">
        <f t="shared" ref="G10:G12" si="0">F10-E10</f>
        <v>11916.899999999907</v>
      </c>
      <c r="H10" s="99">
        <f>G10+'8'!H10</f>
        <v>107325.27000000002</v>
      </c>
      <c r="I10" s="282"/>
      <c r="J10" s="175">
        <f>H10/DAY(B2)</f>
        <v>11925.030000000002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26884.199999999721</v>
      </c>
      <c r="H13" s="99">
        <f>G13+'8'!H13</f>
        <v>238665.39999999991</v>
      </c>
      <c r="I13" s="120">
        <f>G7-G13</f>
        <v>702.83000000030734</v>
      </c>
      <c r="J13" s="175">
        <f>H13/DAY(B2)</f>
        <v>26518.377777777769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2076330</v>
      </c>
      <c r="F15" s="469">
        <v>2077353.52</v>
      </c>
      <c r="G15" s="112">
        <f>(F15-E15)</f>
        <v>1023.5200000000186</v>
      </c>
      <c r="H15" s="99">
        <f>G15+'8'!H15</f>
        <v>9275.1100000001024</v>
      </c>
      <c r="I15" s="113">
        <f>'1'!I15</f>
        <v>800</v>
      </c>
      <c r="J15" s="175">
        <f>H15/DAY(B2)</f>
        <v>1030.5677777777892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-230.56777777778916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'8'!F18</f>
        <v>17</v>
      </c>
      <c r="F18" s="164">
        <v>22</v>
      </c>
      <c r="G18" s="119">
        <f>F18*10</f>
        <v>220</v>
      </c>
      <c r="H18" s="99">
        <f>G18+'8'!H18</f>
        <v>1630</v>
      </c>
      <c r="I18" s="113">
        <f>'1'!I18</f>
        <v>65</v>
      </c>
      <c r="J18" s="175">
        <f>H18/DAY(B2)</f>
        <v>181.11111111111111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'8'!F19</f>
        <v>161214</v>
      </c>
      <c r="F19" s="122">
        <v>161264</v>
      </c>
      <c r="G19" s="112">
        <f t="shared" ref="G19" si="1">F19-E19</f>
        <v>50</v>
      </c>
      <c r="H19" s="99">
        <f>G19+'8'!H19</f>
        <v>435</v>
      </c>
      <c r="I19" s="335"/>
      <c r="J19" s="175">
        <f>H19/DAY(B2)</f>
        <v>48.333333333333336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G20+'8'!H20</f>
        <v>2065</v>
      </c>
      <c r="I20" s="336">
        <f>I18-J20</f>
        <v>-164.44444444444446</v>
      </c>
      <c r="J20" s="175">
        <f>H20/DAY(B2)</f>
        <v>229.44444444444446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28131.550000000047</v>
      </c>
      <c r="F27" s="136">
        <v>9</v>
      </c>
      <c r="G27" s="137">
        <f>E27*F27</f>
        <v>253183.95000000042</v>
      </c>
      <c r="H27" s="99">
        <f>G27+'8'!H27</f>
        <v>2224759.9500000002</v>
      </c>
      <c r="I27" s="138"/>
      <c r="J27" s="175">
        <f>H27/DAY(B2)</f>
        <v>247195.55000000002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1023.5200000000186</v>
      </c>
      <c r="F28" s="136">
        <v>70</v>
      </c>
      <c r="G28" s="137">
        <f>E28*F28</f>
        <v>71646.400000001304</v>
      </c>
      <c r="H28" s="99">
        <f>G28+'8'!H28</f>
        <v>649257.70000000717</v>
      </c>
      <c r="I28" s="140"/>
      <c r="J28" s="175">
        <f>H28/DAY(B2)</f>
        <v>72139.744444445241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G30+'8'!H30</f>
        <v>65685</v>
      </c>
      <c r="I30" s="140"/>
      <c r="J30" s="175">
        <f>H30/DAY(B2)</f>
        <v>7298.333333333333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G31+'8'!H31</f>
        <v>130400</v>
      </c>
      <c r="I31" s="140"/>
      <c r="J31" s="175">
        <f>H31/DAY(B2)</f>
        <v>14488.888888888889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349980.35000000172</v>
      </c>
      <c r="H32" s="99">
        <f>G32+'8'!H32</f>
        <v>3070102.6500000078</v>
      </c>
      <c r="I32" s="144"/>
      <c r="J32" s="175">
        <f>H32/DAY(B2)</f>
        <v>341122.51666666754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</v>
      </c>
      <c r="F35" s="145">
        <v>238713.05</v>
      </c>
      <c r="G35" s="112">
        <f t="shared" ref="G35:G46" si="3">F35-E35</f>
        <v>4.9999999988358468E-2</v>
      </c>
      <c r="H35" s="99">
        <f>G35+'8'!H35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194337</v>
      </c>
      <c r="F36" s="145">
        <v>195467.17</v>
      </c>
      <c r="G36" s="112">
        <f t="shared" si="3"/>
        <v>1130.1700000000128</v>
      </c>
      <c r="H36" s="99">
        <f>G36+'8'!H36</f>
        <v>8546.9400000000023</v>
      </c>
      <c r="I36" s="95"/>
      <c r="J36" s="175">
        <f>H36/DAY(B2)</f>
        <v>949.66000000000031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299568</v>
      </c>
      <c r="F37" s="145">
        <v>301141.75</v>
      </c>
      <c r="G37" s="112">
        <f t="shared" si="3"/>
        <v>1573.75</v>
      </c>
      <c r="H37" s="99">
        <f>G37+'8'!H37</f>
        <v>14422.760000000009</v>
      </c>
      <c r="I37" s="95"/>
      <c r="J37" s="175">
        <f>H37/DAY(B2)</f>
        <v>1602.5288888888899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404586</v>
      </c>
      <c r="F38" s="108">
        <v>406918.11</v>
      </c>
      <c r="G38" s="112">
        <f t="shared" si="3"/>
        <v>2332.109999999986</v>
      </c>
      <c r="H38" s="99">
        <f>G38+'8'!H38</f>
        <v>20254.760000000009</v>
      </c>
      <c r="I38" s="95"/>
      <c r="J38" s="175">
        <f>H38/DAY(B2)</f>
        <v>2250.5288888888899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547227</v>
      </c>
      <c r="F39" s="145">
        <v>550253.15</v>
      </c>
      <c r="G39" s="112">
        <f t="shared" si="3"/>
        <v>3026.1500000000233</v>
      </c>
      <c r="H39" s="99">
        <f>G39+'8'!H39</f>
        <v>26872.559999999998</v>
      </c>
      <c r="I39" s="95"/>
      <c r="J39" s="175">
        <f>H39/DAY(B2)</f>
        <v>2985.8399999999997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88426</v>
      </c>
      <c r="F40" s="145">
        <v>89154.43</v>
      </c>
      <c r="G40" s="112">
        <f t="shared" si="3"/>
        <v>728.42999999999302</v>
      </c>
      <c r="H40" s="99">
        <f>G40+'8'!H40</f>
        <v>5483.3399999999965</v>
      </c>
      <c r="I40" s="95"/>
      <c r="J40" s="175">
        <f>H40/DAY(B2)</f>
        <v>609.25999999999965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152694</v>
      </c>
      <c r="F41" s="145">
        <v>158338.76999999999</v>
      </c>
      <c r="G41" s="112">
        <f t="shared" si="3"/>
        <v>5644.7699999999895</v>
      </c>
      <c r="H41" s="99">
        <f>G41+'8'!H41</f>
        <v>15520.369999999995</v>
      </c>
      <c r="I41" s="95"/>
      <c r="J41" s="175">
        <f>H41/DAY(B2)</f>
        <v>1724.485555555555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721198</v>
      </c>
      <c r="F42" s="145">
        <v>721198</v>
      </c>
      <c r="G42" s="112">
        <f t="shared" si="3"/>
        <v>0</v>
      </c>
      <c r="H42" s="99">
        <f>G42+'8'!H42</f>
        <v>32565.449999999953</v>
      </c>
      <c r="I42" s="95"/>
      <c r="J42" s="175">
        <f>H42/DAY(B2)</f>
        <v>3618.3833333333282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14435.429999999993</v>
      </c>
      <c r="H47" s="99">
        <f>G47+'8'!H47</f>
        <v>123666.17999999996</v>
      </c>
      <c r="I47" s="95"/>
      <c r="J47" s="175">
        <f>H47/DAY(B2)</f>
        <v>13740.686666666663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'8'!F49+3000</f>
        <v>399677</v>
      </c>
      <c r="F49" s="145">
        <v>400436.75</v>
      </c>
      <c r="G49" s="112">
        <f t="shared" ref="G49:G58" si="4">F49-E49</f>
        <v>759.75</v>
      </c>
      <c r="H49" s="99">
        <f>G49+'8'!H49</f>
        <v>29665</v>
      </c>
      <c r="I49" s="95"/>
      <c r="J49" s="175">
        <f>H49/DAY(B2)</f>
        <v>3296.1111111111113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252897</v>
      </c>
      <c r="F50" s="145">
        <v>254175.67</v>
      </c>
      <c r="G50" s="112">
        <f t="shared" si="4"/>
        <v>1278.6700000000128</v>
      </c>
      <c r="H50" s="99">
        <f>G50+'8'!H50</f>
        <v>11070.270000000019</v>
      </c>
      <c r="I50" s="95"/>
      <c r="J50" s="175">
        <f>H50/DAY(B2)</f>
        <v>1230.030000000002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75.680000000000007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79847</v>
      </c>
      <c r="F54" s="145">
        <v>80204.350000000006</v>
      </c>
      <c r="G54" s="112">
        <f t="shared" si="4"/>
        <v>357.35000000000582</v>
      </c>
      <c r="H54" s="99">
        <f>G54+'8'!H54</f>
        <v>3186.8500000000058</v>
      </c>
      <c r="I54" s="95"/>
      <c r="J54" s="175">
        <f>H54/DAY(B2)</f>
        <v>354.09444444444512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296927</v>
      </c>
      <c r="F55" s="145">
        <v>299406.63</v>
      </c>
      <c r="G55" s="112">
        <f t="shared" si="4"/>
        <v>2479.6300000000047</v>
      </c>
      <c r="H55" s="99">
        <f>G55+'8'!H55</f>
        <v>15323.700000000012</v>
      </c>
      <c r="I55" s="95"/>
      <c r="J55" s="175">
        <f>H55/DAY(B2)</f>
        <v>1702.6333333333346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118797</v>
      </c>
      <c r="F56" s="145">
        <v>118797.23</v>
      </c>
      <c r="G56" s="112">
        <f t="shared" si="4"/>
        <v>0.22999999999592546</v>
      </c>
      <c r="H56" s="99">
        <f>G56+'8'!H56</f>
        <v>7554.0999999999913</v>
      </c>
      <c r="I56" s="95"/>
      <c r="J56" s="175">
        <f>H56/DAY(B2)</f>
        <v>839.34444444444352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156786</v>
      </c>
      <c r="F57" s="145">
        <v>159938.45000000001</v>
      </c>
      <c r="G57" s="112">
        <f t="shared" si="4"/>
        <v>3152.4500000000116</v>
      </c>
      <c r="H57" s="99">
        <f>G57+'8'!H57</f>
        <v>28034.75</v>
      </c>
      <c r="I57" s="95"/>
      <c r="J57" s="175">
        <f>H57/DAY(B2)</f>
        <v>3114.9722222222222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42651</v>
      </c>
      <c r="F58" s="145">
        <v>42941.17</v>
      </c>
      <c r="G58" s="112">
        <f t="shared" si="4"/>
        <v>290.16999999999825</v>
      </c>
      <c r="H58" s="99">
        <f>G58+'8'!H58</f>
        <v>2661.0599999999977</v>
      </c>
      <c r="I58" s="95"/>
      <c r="J58" s="175">
        <f>H58/DAY(B2)</f>
        <v>295.67333333333306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8318.2500000000291</v>
      </c>
      <c r="H59" s="99">
        <f>G59+'8'!H59</f>
        <v>97495.49000000002</v>
      </c>
      <c r="I59" s="95">
        <f>G7-G60</f>
        <v>4833.3500000000058</v>
      </c>
      <c r="J59" s="175">
        <f>H59/DAY(B2)</f>
        <v>10832.832222222225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22753.680000000022</v>
      </c>
      <c r="H60" s="99">
        <f>G60+'8'!H60</f>
        <v>221161.67</v>
      </c>
      <c r="I60" s="95">
        <f>G13-G60</f>
        <v>4130.5199999996985</v>
      </c>
      <c r="J60" s="175">
        <f>H60/DAY(B2)</f>
        <v>24573.518888888892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122">
        <f>'8'!F62</f>
        <v>293492</v>
      </c>
      <c r="F62" s="122">
        <v>293613</v>
      </c>
      <c r="G62" s="112">
        <f t="shared" ref="G62:G63" si="5">F62-E62</f>
        <v>121</v>
      </c>
      <c r="H62" s="99">
        <f>G62+'8'!H62</f>
        <v>915</v>
      </c>
      <c r="I62" s="118"/>
      <c r="J62" s="175">
        <f>H62/DAY(B2)</f>
        <v>101.66666666666667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'8'!F63</f>
        <v>235937</v>
      </c>
      <c r="F63" s="122">
        <v>236066</v>
      </c>
      <c r="G63" s="112">
        <f t="shared" si="5"/>
        <v>129</v>
      </c>
      <c r="H63" s="99">
        <f>G63+'8'!H63</f>
        <v>1000</v>
      </c>
      <c r="I63" s="118"/>
      <c r="J63" s="175">
        <f>H63/DAY(B2)</f>
        <v>111.11111111111111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'8'!F64</f>
        <v>0</v>
      </c>
      <c r="F64" s="122">
        <v>0</v>
      </c>
      <c r="G64" s="112">
        <f>G62+G63</f>
        <v>250</v>
      </c>
      <c r="H64" s="99">
        <f>G64+'8'!H64</f>
        <v>1915</v>
      </c>
      <c r="I64" s="118"/>
      <c r="J64" s="175">
        <f>H64/DAY(B2)</f>
        <v>212.77777777777777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'8'!F65</f>
        <v>452170</v>
      </c>
      <c r="F65" s="122">
        <v>452271</v>
      </c>
      <c r="G65" s="112">
        <f t="shared" ref="G65:G70" si="6">F65-E65</f>
        <v>101</v>
      </c>
      <c r="H65" s="99">
        <f>G65+'8'!H65</f>
        <v>882</v>
      </c>
      <c r="I65" s="118"/>
      <c r="J65" s="175">
        <f>H65/DAY(B2)</f>
        <v>98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111160</v>
      </c>
      <c r="F66" s="122">
        <v>111187</v>
      </c>
      <c r="G66" s="112">
        <f t="shared" si="6"/>
        <v>27</v>
      </c>
      <c r="H66" s="99">
        <f>G66+'8'!H66</f>
        <v>160</v>
      </c>
      <c r="I66" s="118"/>
      <c r="J66" s="175">
        <f>H66/DAY(B2)</f>
        <v>17.777777777777779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113680</v>
      </c>
      <c r="F67" s="122">
        <v>113680</v>
      </c>
      <c r="G67" s="112">
        <f t="shared" si="6"/>
        <v>0</v>
      </c>
      <c r="H67" s="99">
        <f>G67+'8'!H67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163884</v>
      </c>
      <c r="F68" s="122">
        <v>163924</v>
      </c>
      <c r="G68" s="112">
        <f t="shared" si="6"/>
        <v>40</v>
      </c>
      <c r="H68" s="99">
        <f>G68+'8'!H68</f>
        <v>398</v>
      </c>
      <c r="I68" s="118"/>
      <c r="J68" s="175">
        <f>H68/DAY(B2)</f>
        <v>44.222222222222221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12167</v>
      </c>
      <c r="F69" s="122">
        <v>12172</v>
      </c>
      <c r="G69" s="112">
        <f t="shared" si="6"/>
        <v>5</v>
      </c>
      <c r="H69" s="99">
        <f>G69+'8'!H69</f>
        <v>44</v>
      </c>
      <c r="I69" s="118"/>
      <c r="J69" s="175">
        <f>H69/DAY(B2)</f>
        <v>4.8888888888888893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9573</v>
      </c>
      <c r="F70" s="122">
        <v>9579</v>
      </c>
      <c r="G70" s="112">
        <f t="shared" si="6"/>
        <v>6</v>
      </c>
      <c r="H70" s="99">
        <f>G70+'8'!H70</f>
        <v>65</v>
      </c>
      <c r="I70" s="118"/>
      <c r="J70" s="175">
        <f>H70/DAY(B2)</f>
        <v>7.2222222222222223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179</v>
      </c>
      <c r="H71" s="99">
        <f>G71+'8'!H71</f>
        <v>1549</v>
      </c>
      <c r="I71" s="154"/>
      <c r="J71" s="175">
        <f>H71/DAY(B2)</f>
        <v>172.11111111111111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'8'!F74</f>
        <v>950140</v>
      </c>
      <c r="F74" s="117">
        <v>950468.45</v>
      </c>
      <c r="G74" s="112">
        <f t="shared" ref="G74:G78" si="7">F74-E74</f>
        <v>328.44999999995343</v>
      </c>
      <c r="H74" s="99">
        <f>G74+'8'!H74</f>
        <v>2761.25</v>
      </c>
      <c r="I74" s="154"/>
      <c r="J74" s="175">
        <f>H74/DAY(B2)</f>
        <v>306.80555555555554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'8'!F76</f>
        <v>187751</v>
      </c>
      <c r="F76" s="123">
        <v>187858.5</v>
      </c>
      <c r="G76" s="112">
        <f t="shared" si="7"/>
        <v>107.5</v>
      </c>
      <c r="H76" s="99">
        <f>G76+'8'!H76</f>
        <v>967.20000000001164</v>
      </c>
      <c r="I76" s="154"/>
      <c r="J76" s="175">
        <f>H76/DAY(B2)</f>
        <v>107.46666666666796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'8'!F77</f>
        <v>49068</v>
      </c>
      <c r="F77" s="123">
        <v>49190</v>
      </c>
      <c r="G77" s="112">
        <f t="shared" si="7"/>
        <v>122</v>
      </c>
      <c r="H77" s="99">
        <f>G77+'8'!H77</f>
        <v>454.19999999999709</v>
      </c>
      <c r="I77" s="154"/>
      <c r="J77" s="175">
        <f>H77/DAY(B2)</f>
        <v>50.466666666666342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'8'!F78</f>
        <v>9563.4</v>
      </c>
      <c r="F78" s="123">
        <v>9563</v>
      </c>
      <c r="G78" s="112">
        <f t="shared" si="7"/>
        <v>-0.3999999999996362</v>
      </c>
      <c r="H78" s="99">
        <f>G78+'8'!H78</f>
        <v>-0.3999999999996362</v>
      </c>
      <c r="I78" s="118"/>
      <c r="J78" s="175">
        <f>H78/DAY(B2)</f>
        <v>-4.444444444440402E-2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'8'!F79</f>
        <v>0</v>
      </c>
      <c r="F79" s="117"/>
      <c r="G79" s="112">
        <f>G15-SUM(G74:G78)</f>
        <v>465.97000000006483</v>
      </c>
      <c r="H79" s="99">
        <f>G79+'8'!H79</f>
        <v>5092.8600000000934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1023.5200000000186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42316</v>
      </c>
      <c r="F84" s="164">
        <v>42339.41</v>
      </c>
      <c r="G84" s="112">
        <f t="shared" si="8"/>
        <v>23.410000000003492</v>
      </c>
      <c r="H84" s="99">
        <f>G84+'8'!H84</f>
        <v>64.410000000003492</v>
      </c>
      <c r="I84" s="573"/>
      <c r="J84" s="175">
        <f>H84/DAY(B2)</f>
        <v>7.1566666666670544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5019</v>
      </c>
      <c r="F85" s="164">
        <v>5019.47</v>
      </c>
      <c r="G85" s="112">
        <f t="shared" si="8"/>
        <v>0.47000000000025466</v>
      </c>
      <c r="H85" s="99">
        <f>G85+'8'!H85</f>
        <v>137.46000000000004</v>
      </c>
      <c r="I85" s="573"/>
      <c r="J85" s="175">
        <f>H85/DAY(B2)</f>
        <v>15.273333333333337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44935</v>
      </c>
      <c r="F86" s="164">
        <v>44951.4</v>
      </c>
      <c r="G86" s="112">
        <f t="shared" si="8"/>
        <v>16.400000000001455</v>
      </c>
      <c r="H86" s="99">
        <f>G86+'8'!H86</f>
        <v>99.099999999998545</v>
      </c>
      <c r="I86" s="573"/>
      <c r="J86" s="175">
        <f>H86/DAY(B2)</f>
        <v>11.011111111110949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35421</v>
      </c>
      <c r="F87" s="164">
        <v>35421</v>
      </c>
      <c r="G87" s="112">
        <f t="shared" si="8"/>
        <v>0</v>
      </c>
      <c r="H87" s="99">
        <f>G87+'8'!H87</f>
        <v>62.94999999999709</v>
      </c>
      <c r="I87" s="555">
        <f>G84+G85+G86+G87</f>
        <v>40.280000000005202</v>
      </c>
      <c r="J87" s="175">
        <f>H87/DAY(B2)</f>
        <v>6.9944444444441212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24285</v>
      </c>
      <c r="F88" s="164">
        <v>24293.88</v>
      </c>
      <c r="G88" s="112">
        <f t="shared" si="8"/>
        <v>8.8800000000010186</v>
      </c>
      <c r="H88" s="99">
        <f>G88+'8'!H88</f>
        <v>16.680000000000291</v>
      </c>
      <c r="I88" s="555"/>
      <c r="J88" s="175">
        <f>H88/DAY(B2)</f>
        <v>1.8533333333333657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27363.57</v>
      </c>
      <c r="F89" s="164">
        <v>27364.91</v>
      </c>
      <c r="G89" s="112">
        <f t="shared" si="8"/>
        <v>1.3400000000001455</v>
      </c>
      <c r="H89" s="99">
        <f>G89+'8'!H89</f>
        <v>73.490000000001601</v>
      </c>
      <c r="I89" s="555">
        <f>G88+G89</f>
        <v>10.220000000001164</v>
      </c>
      <c r="J89" s="175">
        <f>H89/DAY(B2)</f>
        <v>8.1655555555557342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72362.990000000005</v>
      </c>
      <c r="F90" s="164">
        <v>72373.37</v>
      </c>
      <c r="G90" s="112">
        <f t="shared" si="8"/>
        <v>10.379999999990105</v>
      </c>
      <c r="H90" s="99">
        <f>G90+'8'!H90</f>
        <v>72.240000000005239</v>
      </c>
      <c r="I90" s="555">
        <f>G90</f>
        <v>10.379999999990105</v>
      </c>
      <c r="J90" s="175">
        <f>H90/DAY(B2)</f>
        <v>8.0266666666672482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4187</v>
      </c>
      <c r="F91" s="122">
        <v>4187</v>
      </c>
      <c r="G91" s="112">
        <f t="shared" si="8"/>
        <v>0</v>
      </c>
      <c r="H91" s="99">
        <f>G91+'8'!H91</f>
        <v>48.5600000000004</v>
      </c>
      <c r="I91" s="616"/>
      <c r="J91" s="175">
        <f>H91/DAY(B2)</f>
        <v>5.3955555555555996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6554</v>
      </c>
      <c r="F92" s="122">
        <v>6565.49</v>
      </c>
      <c r="G92" s="112">
        <f t="shared" si="8"/>
        <v>11.489999999999782</v>
      </c>
      <c r="H92" s="99">
        <f>G92+'8'!H92</f>
        <v>50.149999999999636</v>
      </c>
      <c r="I92" s="617">
        <f>G91+G92</f>
        <v>11.489999999999782</v>
      </c>
      <c r="J92" s="175">
        <f>H92/DAY(B2)</f>
        <v>5.572222222222182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3912.25</v>
      </c>
      <c r="H94" s="99">
        <f>G94+'8'!H94</f>
        <v>57699.75</v>
      </c>
      <c r="I94" s="118"/>
      <c r="J94" s="175">
        <f>H94/DAY(B2)</f>
        <v>6411.083333333333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0.14181483109997692</v>
      </c>
      <c r="H95" s="99">
        <f>G95+'8'!H95</f>
        <v>2.1422807156119004</v>
      </c>
      <c r="I95" s="167"/>
      <c r="J95" s="175">
        <f>H95/DAY(B2)</f>
        <v>0.2380311906235445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8124.6299999999901</v>
      </c>
      <c r="H96" s="99">
        <f>G96+'8'!H96</f>
        <v>70963.619999999952</v>
      </c>
      <c r="I96" s="118"/>
      <c r="J96" s="175">
        <f>H96/DAY(B2)</f>
        <v>7884.8466666666609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0.29450905008621742</v>
      </c>
      <c r="H97" s="99">
        <f>G97+'8'!H97</f>
        <v>2.6152810702148948</v>
      </c>
      <c r="I97" s="167"/>
      <c r="J97" s="175">
        <f>H97/DAY(B2)</f>
        <v>0.29058678557943274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3026.1500000000233</v>
      </c>
      <c r="H98" s="99">
        <f>G98+'8'!H98</f>
        <v>26872.559999999998</v>
      </c>
      <c r="I98" s="168"/>
      <c r="J98" s="175">
        <f>H98/DAY(B2)</f>
        <v>2985.8399999999997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0.10969466448544915</v>
      </c>
      <c r="H99" s="99">
        <f>G99+'8'!H99</f>
        <v>0.9967291567260681</v>
      </c>
      <c r="I99" s="168"/>
      <c r="J99" s="175">
        <f>H99/DAY(B2)</f>
        <v>0.11074768408067423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2332.109999999986</v>
      </c>
      <c r="H100" s="99">
        <f>G100+'8'!H100</f>
        <v>20254.520000000011</v>
      </c>
      <c r="I100" s="118"/>
      <c r="J100" s="175">
        <f>H100/DAY(B2)</f>
        <v>2250.5022222222233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8.453646514322069E-2</v>
      </c>
      <c r="H101" s="99">
        <f>G101+'8'!H101</f>
        <v>0.75087932818565051</v>
      </c>
      <c r="I101" s="168"/>
      <c r="J101" s="175">
        <f>H101/DAY(B2)</f>
        <v>8.3431036465072272E-2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2408.8400000000256</v>
      </c>
      <c r="H102" s="99">
        <f>G102+'8'!H102</f>
        <v>19617.210000000021</v>
      </c>
      <c r="I102" s="168"/>
      <c r="J102" s="175">
        <f>H102/DAY(B2)</f>
        <v>2179.6900000000023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8.7317844653810983E-2</v>
      </c>
      <c r="H103" s="99">
        <f>G103+'8'!H103</f>
        <v>0.72355433458799812</v>
      </c>
      <c r="I103" s="118"/>
      <c r="J103" s="175">
        <f>H103/DAY(B2)</f>
        <v>8.0394926065333119E-2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1573.75</v>
      </c>
      <c r="H104" s="99">
        <f>G104+'8'!H104</f>
        <v>14422.760000000009</v>
      </c>
      <c r="I104" s="118"/>
      <c r="J104" s="175">
        <f>H104/DAY(B2)</f>
        <v>1602.5288888888899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5.7046735368033397E-2</v>
      </c>
      <c r="H105" s="99">
        <f>G105+'8'!H105</f>
        <v>0.53557788513967886</v>
      </c>
      <c r="I105" s="187"/>
      <c r="J105" s="188">
        <f>H105/DAY(B2)</f>
        <v>5.9508653904408765E-2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'8'!F112</f>
        <v>5528</v>
      </c>
      <c r="F112" s="237">
        <v>5604.27</v>
      </c>
      <c r="G112" s="112">
        <f t="shared" ref="G112:G123" si="9">F112-E112</f>
        <v>76.270000000000437</v>
      </c>
      <c r="H112" s="99">
        <f>G112+'8'!H112</f>
        <v>674.53000000000065</v>
      </c>
      <c r="I112" s="165"/>
      <c r="J112" s="328">
        <f>H112/DAY(B2)</f>
        <v>74.947777777777844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'8'!F113</f>
        <v>11766</v>
      </c>
      <c r="F113" s="237">
        <v>11914.32</v>
      </c>
      <c r="G113" s="112">
        <f t="shared" si="9"/>
        <v>148.31999999999971</v>
      </c>
      <c r="H113" s="99">
        <f>G113+'8'!H113</f>
        <v>1281.6000000000004</v>
      </c>
      <c r="I113" s="165"/>
      <c r="J113" s="328">
        <f>H113/DAY(B2)</f>
        <v>142.40000000000003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'8'!F114</f>
        <v>16004</v>
      </c>
      <c r="F114" s="237">
        <v>16250.67</v>
      </c>
      <c r="G114" s="112">
        <f t="shared" si="9"/>
        <v>246.67000000000007</v>
      </c>
      <c r="H114" s="99">
        <f>G114+'8'!H114</f>
        <v>2056.8700000000008</v>
      </c>
      <c r="I114" s="165"/>
      <c r="J114" s="328">
        <f>H114/DAY(B2)</f>
        <v>228.54111111111121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'8'!F115</f>
        <v>10003</v>
      </c>
      <c r="F115" s="417">
        <v>10131.39</v>
      </c>
      <c r="G115" s="112">
        <f t="shared" si="9"/>
        <v>128.38999999999942</v>
      </c>
      <c r="H115" s="99">
        <f>G115+'8'!H115</f>
        <v>1219.83</v>
      </c>
      <c r="I115" s="165"/>
      <c r="J115" s="328">
        <f>H115/DAY(B2)</f>
        <v>135.53666666666666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'8'!F116</f>
        <v>62045</v>
      </c>
      <c r="F116" s="237">
        <v>62479.24</v>
      </c>
      <c r="G116" s="112">
        <f t="shared" si="9"/>
        <v>434.23999999999796</v>
      </c>
      <c r="H116" s="99">
        <f>G116+'8'!H116</f>
        <v>3588.6899999999951</v>
      </c>
      <c r="I116" s="165"/>
      <c r="J116" s="328">
        <f>H116/DAY(B2)</f>
        <v>398.74333333333277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406">
        <f>'8'!F117</f>
        <v>35101</v>
      </c>
      <c r="F117" s="417">
        <v>35404.410000000003</v>
      </c>
      <c r="G117" s="236">
        <f t="shared" si="9"/>
        <v>303.41000000000349</v>
      </c>
      <c r="H117" s="99">
        <f>G117+'8'!H117</f>
        <v>2515.9300000000003</v>
      </c>
      <c r="I117" s="165"/>
      <c r="J117" s="328">
        <f>H117/DAY(B2)</f>
        <v>279.54777777777781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406">
        <f>'8'!F118</f>
        <v>50079</v>
      </c>
      <c r="F118" s="417">
        <v>50721.46</v>
      </c>
      <c r="G118" s="236">
        <f t="shared" si="9"/>
        <v>642.45999999999913</v>
      </c>
      <c r="H118" s="99">
        <f>G118+'8'!H118</f>
        <v>5801.1500000000015</v>
      </c>
      <c r="I118" s="165"/>
      <c r="J118" s="328">
        <f>H118/DAY(B2)</f>
        <v>644.57222222222242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406">
        <f>'8'!F119</f>
        <v>32204</v>
      </c>
      <c r="F119" s="417">
        <v>32449</v>
      </c>
      <c r="G119" s="236">
        <f t="shared" si="9"/>
        <v>245</v>
      </c>
      <c r="H119" s="99">
        <f>G119+'8'!H119</f>
        <v>2106.4000000000015</v>
      </c>
      <c r="I119" s="165"/>
      <c r="J119" s="328">
        <f>H119/DAY(B2)</f>
        <v>234.04444444444459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'8'!F120</f>
        <v>36543</v>
      </c>
      <c r="F120" s="237">
        <v>36987.94</v>
      </c>
      <c r="G120" s="112">
        <f t="shared" si="9"/>
        <v>444.94000000000233</v>
      </c>
      <c r="H120" s="99">
        <f>G120+'8'!H120</f>
        <v>3882.3800000000047</v>
      </c>
      <c r="I120" s="165"/>
      <c r="J120" s="328">
        <f>H120/DAY(B2)</f>
        <v>431.37555555555605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'8'!F121</f>
        <v>43217</v>
      </c>
      <c r="F121" s="237">
        <v>43656.21</v>
      </c>
      <c r="G121" s="112">
        <f t="shared" si="9"/>
        <v>439.20999999999913</v>
      </c>
      <c r="H121" s="99">
        <f>G121+'8'!H121</f>
        <v>4068.3099999999977</v>
      </c>
      <c r="I121" s="165"/>
      <c r="J121" s="328">
        <f>H121/DAY(B2)</f>
        <v>452.0344444444442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'8'!F122</f>
        <v>22348</v>
      </c>
      <c r="F122" s="237">
        <v>22623.39</v>
      </c>
      <c r="G122" s="112">
        <f t="shared" si="9"/>
        <v>275.38999999999942</v>
      </c>
      <c r="H122" s="99">
        <f>G122+'8'!H122</f>
        <v>2657.5099999999984</v>
      </c>
      <c r="I122" s="165"/>
      <c r="J122" s="328">
        <f>H122/DAY(B2)</f>
        <v>295.27888888888873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'8'!F123</f>
        <v>22865</v>
      </c>
      <c r="F123" s="237">
        <v>23189.86</v>
      </c>
      <c r="G123" s="112">
        <f t="shared" si="9"/>
        <v>324.86000000000058</v>
      </c>
      <c r="H123" s="99">
        <f>G123+'8'!H123</f>
        <v>2847.8600000000006</v>
      </c>
      <c r="I123" s="165"/>
      <c r="J123" s="328">
        <f>H123/DAY(B2)</f>
        <v>316.42888888888893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3709.1600000000017</v>
      </c>
      <c r="H125" s="156"/>
      <c r="I125" s="327">
        <f>G125-(G39+G53)</f>
        <v>683.00999999997839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'8'!F128</f>
        <v>115953</v>
      </c>
      <c r="F128" s="155">
        <v>116467.91</v>
      </c>
      <c r="G128" s="112">
        <f t="shared" ref="G128:G134" si="10">F128-E128</f>
        <v>514.91000000000349</v>
      </c>
      <c r="H128" s="99">
        <f>G128+'8'!H128</f>
        <v>4592.0500000000029</v>
      </c>
      <c r="I128" s="165"/>
      <c r="J128" s="328">
        <f>H128/DAY(B2)</f>
        <v>510.2277777777781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68403</v>
      </c>
      <c r="F129" s="155">
        <v>68629.48</v>
      </c>
      <c r="G129" s="112">
        <f t="shared" si="10"/>
        <v>226.47999999999593</v>
      </c>
      <c r="H129" s="99">
        <f>G129+'8'!H129</f>
        <v>1927.6999999999971</v>
      </c>
      <c r="I129" s="165"/>
      <c r="J129" s="328">
        <f>H129/DAY(B2)</f>
        <v>214.18888888888856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147799</v>
      </c>
      <c r="F130" s="157">
        <v>148566.13</v>
      </c>
      <c r="G130" s="112">
        <f t="shared" si="10"/>
        <v>767.13000000000466</v>
      </c>
      <c r="H130" s="99">
        <f>G130+'8'!H130</f>
        <v>6812.4800000000105</v>
      </c>
      <c r="I130" s="165"/>
      <c r="J130" s="328">
        <f>H130/DAY(B2)</f>
        <v>756.94222222222334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'8'!F131</f>
        <v>44090</v>
      </c>
      <c r="F131" s="155">
        <v>44245.97</v>
      </c>
      <c r="G131" s="112">
        <f t="shared" si="10"/>
        <v>155.97000000000116</v>
      </c>
      <c r="H131" s="99">
        <f>G131+'8'!H131</f>
        <v>1627.7700000000041</v>
      </c>
      <c r="I131" s="165"/>
      <c r="J131" s="328">
        <f>H131/DAY(B2)</f>
        <v>180.8633333333338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'8'!F132</f>
        <v>119542</v>
      </c>
      <c r="F132" s="155">
        <v>119982.9</v>
      </c>
      <c r="G132" s="112">
        <f t="shared" si="10"/>
        <v>440.89999999999418</v>
      </c>
      <c r="H132" s="99">
        <f>G132+'8'!H132</f>
        <v>3691.8999999999942</v>
      </c>
      <c r="I132" s="165"/>
      <c r="J132" s="328">
        <f>H132/DAY(B2)</f>
        <v>410.21111111111048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'8'!F133</f>
        <v>791247</v>
      </c>
      <c r="F133" s="155">
        <v>791247</v>
      </c>
      <c r="G133" s="112">
        <f t="shared" si="10"/>
        <v>0</v>
      </c>
      <c r="H133" s="99">
        <f>G133+'8'!H133</f>
        <v>4203</v>
      </c>
      <c r="I133" s="165"/>
      <c r="J133" s="328">
        <f>H133/DAY(B2)</f>
        <v>467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'8'!F134</f>
        <v>43691</v>
      </c>
      <c r="F134" s="155">
        <v>43951.32</v>
      </c>
      <c r="G134" s="112">
        <f t="shared" si="10"/>
        <v>260.31999999999971</v>
      </c>
      <c r="H134" s="99">
        <f>G134+'8'!H134</f>
        <v>2206.3199999999997</v>
      </c>
      <c r="I134" s="165"/>
      <c r="J134" s="328">
        <f>H134/DAY(B2)</f>
        <v>245.14666666666665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2365.7099999999991</v>
      </c>
      <c r="H135" s="99">
        <f>G135+'8'!H135</f>
        <v>25061.220000000008</v>
      </c>
      <c r="I135" s="327">
        <f>G135-(G35+G49)</f>
        <v>1605.9100000000108</v>
      </c>
      <c r="J135" s="328">
        <f>H135/DAY(B2)</f>
        <v>2784.5800000000008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F138-125</f>
        <v>888279</v>
      </c>
      <c r="F138" s="148">
        <v>888404</v>
      </c>
      <c r="G138" s="112">
        <f t="shared" ref="G138:G152" si="11">F138-E138</f>
        <v>125</v>
      </c>
      <c r="H138" s="99">
        <f>G138+'8'!H138</f>
        <v>1180</v>
      </c>
      <c r="I138" s="118"/>
      <c r="J138" s="328">
        <f>H138/DAY(B2)</f>
        <v>131.11111111111111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'8'!F139</f>
        <v>905370</v>
      </c>
      <c r="F139" s="148">
        <v>905525</v>
      </c>
      <c r="G139" s="112">
        <f t="shared" si="11"/>
        <v>155</v>
      </c>
      <c r="H139" s="99">
        <f>G139+'8'!H139</f>
        <v>1435</v>
      </c>
      <c r="I139" s="118"/>
      <c r="J139" s="328">
        <f>H139/DAY(B2)</f>
        <v>159.44444444444446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v>89115.6</v>
      </c>
      <c r="F140" s="148">
        <v>89199.6</v>
      </c>
      <c r="G140" s="112">
        <f t="shared" si="11"/>
        <v>84</v>
      </c>
      <c r="H140" s="99">
        <f>G140+'8'!H140</f>
        <v>193.95000000000005</v>
      </c>
      <c r="I140" s="118"/>
      <c r="J140" s="328">
        <f>H140/DAY(B2)</f>
        <v>21.550000000000004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'8'!F141</f>
        <v>85759</v>
      </c>
      <c r="F141" s="149">
        <v>85970.79</v>
      </c>
      <c r="G141" s="112">
        <f t="shared" si="11"/>
        <v>211.7899999999936</v>
      </c>
      <c r="H141" s="99">
        <f>G141+'8'!H141</f>
        <v>1855.5899999999965</v>
      </c>
      <c r="I141" s="118"/>
      <c r="J141" s="328">
        <f>H141/DAY(B2)</f>
        <v>206.17666666666628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'8'!F142</f>
        <v>34971</v>
      </c>
      <c r="F142" s="148">
        <v>35048.800000000003</v>
      </c>
      <c r="G142" s="112">
        <f t="shared" si="11"/>
        <v>77.80000000000291</v>
      </c>
      <c r="H142" s="99">
        <f>G142+'8'!H142</f>
        <v>663.33000000000175</v>
      </c>
      <c r="I142" s="140"/>
      <c r="J142" s="328">
        <f>H142/DAY(B2)</f>
        <v>73.703333333333532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'8'!F143</f>
        <v>8400</v>
      </c>
      <c r="F143" s="149">
        <v>8427.32</v>
      </c>
      <c r="G143" s="112">
        <f t="shared" si="11"/>
        <v>27.319999999999709</v>
      </c>
      <c r="H143" s="99">
        <f>G143+'8'!H143</f>
        <v>269</v>
      </c>
      <c r="I143" s="140"/>
      <c r="J143" s="328">
        <f>H143/DAY(B2)</f>
        <v>29.888888888888889</v>
      </c>
    </row>
    <row r="144" spans="1:15" ht="25.5">
      <c r="A144" s="903" t="s">
        <v>90</v>
      </c>
      <c r="B144" s="903"/>
      <c r="C144" s="903"/>
      <c r="D144" s="151" t="s">
        <v>183</v>
      </c>
      <c r="E144" s="406">
        <f>'8'!F144</f>
        <v>914286</v>
      </c>
      <c r="F144" s="148">
        <v>914540</v>
      </c>
      <c r="G144" s="112">
        <f t="shared" si="11"/>
        <v>254</v>
      </c>
      <c r="H144" s="99">
        <f>G144+'8'!H144</f>
        <v>2263</v>
      </c>
      <c r="I144" s="140"/>
      <c r="J144" s="328">
        <f>H144/DAY(B2)</f>
        <v>251.44444444444446</v>
      </c>
    </row>
    <row r="145" spans="1:10" ht="25.5">
      <c r="A145" s="899" t="s">
        <v>190</v>
      </c>
      <c r="B145" s="899"/>
      <c r="C145" s="899"/>
      <c r="D145" s="152" t="s">
        <v>183</v>
      </c>
      <c r="E145" s="406">
        <f>'8'!F145</f>
        <v>5667</v>
      </c>
      <c r="F145" s="148">
        <v>5667</v>
      </c>
      <c r="G145" s="112">
        <f t="shared" si="11"/>
        <v>0</v>
      </c>
      <c r="H145" s="99">
        <f>G145+'8'!H145</f>
        <v>0.43999999999959982</v>
      </c>
      <c r="I145" s="140"/>
      <c r="J145" s="328">
        <f>H145/DAY(B2)</f>
        <v>4.8888888888844427E-2</v>
      </c>
    </row>
    <row r="146" spans="1:10" ht="25.5">
      <c r="A146" s="900" t="s">
        <v>191</v>
      </c>
      <c r="B146" s="901"/>
      <c r="C146" s="902"/>
      <c r="D146" s="152" t="s">
        <v>183</v>
      </c>
      <c r="E146" s="406">
        <f>'8'!F146</f>
        <v>779700</v>
      </c>
      <c r="F146" s="148">
        <v>779742</v>
      </c>
      <c r="G146" s="112">
        <f t="shared" si="11"/>
        <v>42</v>
      </c>
      <c r="H146" s="99">
        <f>G146+'8'!H146</f>
        <v>414</v>
      </c>
      <c r="I146" s="140"/>
      <c r="J146" s="328">
        <f>H146/DAY(B2)</f>
        <v>46</v>
      </c>
    </row>
    <row r="147" spans="1:10" ht="25.5">
      <c r="A147" s="903" t="s">
        <v>192</v>
      </c>
      <c r="B147" s="903"/>
      <c r="C147" s="903"/>
      <c r="D147" s="152" t="s">
        <v>183</v>
      </c>
      <c r="E147" s="406">
        <f>'8'!F147</f>
        <v>690614</v>
      </c>
      <c r="F147" s="148">
        <v>691013</v>
      </c>
      <c r="G147" s="112">
        <f t="shared" si="11"/>
        <v>399</v>
      </c>
      <c r="H147" s="99">
        <f>G147+'8'!H147</f>
        <v>3486.8399999999674</v>
      </c>
      <c r="I147" s="140"/>
      <c r="J147" s="328">
        <f>H147/DAY(B2)</f>
        <v>387.42666666666304</v>
      </c>
    </row>
    <row r="148" spans="1:10" ht="25.5">
      <c r="A148" s="895" t="s">
        <v>193</v>
      </c>
      <c r="B148" s="896"/>
      <c r="C148" s="897"/>
      <c r="D148" s="123" t="s">
        <v>130</v>
      </c>
      <c r="E148" s="406">
        <f>'8'!F148</f>
        <v>741373</v>
      </c>
      <c r="F148" s="164">
        <v>741795</v>
      </c>
      <c r="G148" s="112">
        <f t="shared" si="11"/>
        <v>422</v>
      </c>
      <c r="H148" s="99">
        <f>G148+'8'!H148</f>
        <v>2847.7199999999721</v>
      </c>
      <c r="I148" s="124"/>
      <c r="J148" s="328">
        <f>H148/DAY(B2)</f>
        <v>316.41333333333023</v>
      </c>
    </row>
    <row r="149" spans="1:10" ht="25.5">
      <c r="A149" s="895" t="s">
        <v>336</v>
      </c>
      <c r="B149" s="896"/>
      <c r="C149" s="897"/>
      <c r="D149" s="227" t="s">
        <v>130</v>
      </c>
      <c r="E149" s="406">
        <f>'8'!F149</f>
        <v>120550</v>
      </c>
      <c r="F149" s="416">
        <v>121106.8</v>
      </c>
      <c r="G149" s="112">
        <f t="shared" si="11"/>
        <v>556.80000000000291</v>
      </c>
      <c r="H149" s="99">
        <f>G149+'8'!H149</f>
        <v>4574</v>
      </c>
      <c r="I149" s="119"/>
      <c r="J149" s="328">
        <f>H149/DAY(B2)</f>
        <v>508.22222222222223</v>
      </c>
    </row>
    <row r="150" spans="1:10" ht="25.5">
      <c r="A150" s="895" t="s">
        <v>337</v>
      </c>
      <c r="B150" s="896"/>
      <c r="C150" s="897"/>
      <c r="D150" s="117" t="s">
        <v>130</v>
      </c>
      <c r="E150" s="406">
        <f>'8'!F150</f>
        <v>45474</v>
      </c>
      <c r="F150" s="233">
        <v>45703.3</v>
      </c>
      <c r="G150" s="112">
        <f t="shared" si="11"/>
        <v>229.30000000000291</v>
      </c>
      <c r="H150" s="99">
        <f>G150+'8'!H150</f>
        <v>1978.1399999999994</v>
      </c>
      <c r="I150" s="119"/>
      <c r="J150" s="328">
        <f>H150/DAY(B2)</f>
        <v>219.79333333333327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'8'!F151</f>
        <v>128672</v>
      </c>
      <c r="F151" s="233">
        <v>128963</v>
      </c>
      <c r="G151" s="112">
        <f t="shared" si="11"/>
        <v>291</v>
      </c>
      <c r="H151" s="99">
        <f>G151+'8'!H151</f>
        <v>2360</v>
      </c>
      <c r="I151" s="119"/>
      <c r="J151" s="328">
        <f>H151/DAY(B2)</f>
        <v>262.22222222222223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'8'!F152</f>
        <v>20310</v>
      </c>
      <c r="F152" s="233">
        <v>20437.95</v>
      </c>
      <c r="G152" s="112">
        <f t="shared" si="11"/>
        <v>127.95000000000073</v>
      </c>
      <c r="H152" s="99">
        <f>G152+'8'!H152</f>
        <v>1149.869999999999</v>
      </c>
      <c r="I152" s="119"/>
      <c r="J152" s="328">
        <f>H152/DAY(B2)</f>
        <v>127.76333333333322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3002.9600000000028</v>
      </c>
      <c r="H153" s="363"/>
      <c r="I153" s="119">
        <f>G153-(G38+G52)</f>
        <v>670.85000000001673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'8'!F155</f>
        <v>134918</v>
      </c>
      <c r="F155" s="374">
        <v>135484.18</v>
      </c>
      <c r="G155" s="112">
        <f t="shared" ref="G155:G158" si="12">F155-E155</f>
        <v>566.17999999999302</v>
      </c>
      <c r="H155" s="99">
        <f>G155+'8'!H155</f>
        <v>5242.7999999999884</v>
      </c>
      <c r="I155" s="364"/>
      <c r="J155" s="328">
        <f>H155/DAY(B2)</f>
        <v>582.53333333333205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'8'!F156</f>
        <v>12766</v>
      </c>
      <c r="F156" s="155">
        <v>12846.14</v>
      </c>
      <c r="G156" s="112">
        <f t="shared" si="12"/>
        <v>80.139999999999418</v>
      </c>
      <c r="H156" s="99">
        <f>G156+'8'!H156</f>
        <v>752.77999999999884</v>
      </c>
      <c r="I156" s="165"/>
      <c r="J156" s="328">
        <f>H156/DAY(B2)</f>
        <v>83.642222222222088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'8'!F157</f>
        <v>24339</v>
      </c>
      <c r="F157" s="155">
        <v>24467.23</v>
      </c>
      <c r="G157" s="112">
        <f t="shared" si="12"/>
        <v>128.22999999999956</v>
      </c>
      <c r="H157" s="99">
        <f>G157+'8'!H157</f>
        <v>1270.5299999999988</v>
      </c>
      <c r="I157" s="165"/>
      <c r="J157" s="328">
        <f>H157/DAY(B2)</f>
        <v>141.16999999999987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'8'!F158</f>
        <v>224</v>
      </c>
      <c r="F158" s="155">
        <v>224.34</v>
      </c>
      <c r="G158" s="112">
        <f t="shared" si="12"/>
        <v>0.34000000000000341</v>
      </c>
      <c r="H158" s="99">
        <f>G158+'8'!H158</f>
        <v>136.64999999999998</v>
      </c>
      <c r="I158" s="165"/>
      <c r="J158" s="328">
        <f>H158/DAY(B2)</f>
        <v>15.18333333333333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478407</v>
      </c>
      <c r="F161" s="235">
        <v>478580.2</v>
      </c>
      <c r="G161" s="238">
        <f t="shared" ref="G161:G166" si="13">F161-E161</f>
        <v>173.20000000001164</v>
      </c>
      <c r="H161" s="99">
        <f>G161+'8'!H161</f>
        <v>917.20000000001164</v>
      </c>
      <c r="I161" s="236"/>
      <c r="J161" s="239">
        <f>H161/DAY(B2)</f>
        <v>101.9111111111124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94112</v>
      </c>
      <c r="F162" s="235">
        <v>94136</v>
      </c>
      <c r="G162" s="238">
        <f t="shared" si="13"/>
        <v>24</v>
      </c>
      <c r="H162" s="99">
        <f>G162+'8'!H162</f>
        <v>330.69999999999709</v>
      </c>
      <c r="I162" s="236"/>
      <c r="J162" s="239">
        <f>H162/DAY(B2)</f>
        <v>36.74444444444412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3221</v>
      </c>
      <c r="F163" s="235">
        <v>3361</v>
      </c>
      <c r="G163" s="238">
        <f t="shared" si="13"/>
        <v>140</v>
      </c>
      <c r="H163" s="99">
        <f>G163+'8'!H163</f>
        <v>1334.9</v>
      </c>
      <c r="I163" s="236"/>
      <c r="J163" s="239">
        <f>H163/DAY(B2)</f>
        <v>148.32222222222222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5989</v>
      </c>
      <c r="F164" s="235">
        <v>5999.6</v>
      </c>
      <c r="G164" s="238">
        <f t="shared" si="13"/>
        <v>10.600000000000364</v>
      </c>
      <c r="H164" s="99">
        <f>G164+'8'!H164</f>
        <v>101.20000000000073</v>
      </c>
      <c r="I164" s="236"/>
      <c r="J164" s="239">
        <f>H164/DAY(B2)</f>
        <v>11.244444444444525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31432</v>
      </c>
      <c r="F165" s="235">
        <v>31435.07</v>
      </c>
      <c r="G165" s="238">
        <f t="shared" si="13"/>
        <v>3.069999999999709</v>
      </c>
      <c r="H165" s="99">
        <f>G165+'8'!H165</f>
        <v>88.419999999998254</v>
      </c>
      <c r="I165" s="236"/>
      <c r="J165" s="239">
        <f>H165/DAY(B2)</f>
        <v>9.82444444444425</v>
      </c>
    </row>
    <row r="166" spans="1:10" ht="26.25">
      <c r="A166" s="935"/>
      <c r="B166" s="935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'8'!F173</f>
        <v>8267</v>
      </c>
      <c r="F173" s="155">
        <v>8267</v>
      </c>
      <c r="G173" s="155">
        <f>F173-E173</f>
        <v>0</v>
      </c>
      <c r="H173" s="99">
        <f>G173+'8'!H173</f>
        <v>38</v>
      </c>
      <c r="I173" s="155"/>
      <c r="J173" s="178">
        <f>H173/DAY(B2)</f>
        <v>4.2222222222222223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'8'!F174</f>
        <v>40888</v>
      </c>
      <c r="F174" s="157">
        <v>40902</v>
      </c>
      <c r="G174" s="155">
        <f t="shared" ref="G174:G175" si="14">F174-E174</f>
        <v>14</v>
      </c>
      <c r="H174" s="99">
        <f>G174+'8'!H174</f>
        <v>123</v>
      </c>
      <c r="I174" s="155"/>
      <c r="J174" s="178">
        <f>H174/DAY(B2)</f>
        <v>13.666666666666666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'8'!F175</f>
        <v>23758</v>
      </c>
      <c r="F175" s="155">
        <v>23771</v>
      </c>
      <c r="G175" s="155">
        <f t="shared" si="14"/>
        <v>13</v>
      </c>
      <c r="H175" s="99">
        <f>G175+'8'!H175</f>
        <v>115</v>
      </c>
      <c r="I175" s="155"/>
      <c r="J175" s="178">
        <f>H175/DAY(B2)</f>
        <v>12.777777777777779</v>
      </c>
    </row>
    <row r="176" spans="1:10" ht="25.5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27</v>
      </c>
      <c r="H176" s="99">
        <f>G176+'8'!H176</f>
        <v>276</v>
      </c>
      <c r="I176" s="155"/>
      <c r="J176" s="178">
        <f>H176/DAY(B2)</f>
        <v>30.666666666666668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'8'!F178</f>
        <v>95443</v>
      </c>
      <c r="F178" s="157">
        <v>95553</v>
      </c>
      <c r="G178" s="759">
        <f>F178-E178</f>
        <v>110</v>
      </c>
      <c r="H178" s="99">
        <f>G178+'8'!H178</f>
        <v>702</v>
      </c>
      <c r="I178" s="155"/>
      <c r="J178" s="178">
        <f>H178/DAY(B2)</f>
        <v>78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'8'!F179</f>
        <v>36002</v>
      </c>
      <c r="F179" s="157">
        <v>36002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93" t="s">
        <v>212</v>
      </c>
      <c r="B180" s="894"/>
      <c r="C180" s="333"/>
      <c r="D180" s="228" t="s">
        <v>142</v>
      </c>
      <c r="E180" s="95">
        <f>'8'!F180</f>
        <v>6934</v>
      </c>
      <c r="F180" s="155">
        <v>6942</v>
      </c>
      <c r="G180" s="155">
        <f t="shared" si="15"/>
        <v>8</v>
      </c>
      <c r="H180" s="99">
        <f>G180+'8'!H180</f>
        <v>60</v>
      </c>
      <c r="I180" s="155"/>
      <c r="J180" s="178">
        <f>H180/DAY(B2)</f>
        <v>6.666666666666667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118</v>
      </c>
      <c r="H181" s="99">
        <f>G181+'8'!H181</f>
        <v>762</v>
      </c>
      <c r="I181" s="155"/>
      <c r="J181" s="178">
        <f>H181/DAY(B2)</f>
        <v>84.666666666666671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'8'!F183</f>
        <v>17332</v>
      </c>
      <c r="F183" s="157">
        <v>17340</v>
      </c>
      <c r="G183" s="157">
        <f>F183-E183</f>
        <v>8</v>
      </c>
      <c r="H183" s="99">
        <f>G183+'8'!H183</f>
        <v>65</v>
      </c>
      <c r="I183" s="155"/>
      <c r="J183" s="178">
        <f>H183/DAY(B2)</f>
        <v>7.2222222222222223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'8'!F184</f>
        <v>11737</v>
      </c>
      <c r="F184" s="157">
        <v>11743</v>
      </c>
      <c r="G184" s="157">
        <f t="shared" ref="G184:G185" si="16">F184-E184</f>
        <v>6</v>
      </c>
      <c r="H184" s="99">
        <f>G184+'8'!H184</f>
        <v>54</v>
      </c>
      <c r="I184" s="155"/>
      <c r="J184" s="178">
        <f>H184/DAY(B2)</f>
        <v>6</v>
      </c>
    </row>
    <row r="185" spans="1:10" ht="35.25" customHeight="1">
      <c r="A185" s="893" t="s">
        <v>216</v>
      </c>
      <c r="B185" s="894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14</v>
      </c>
      <c r="H186" s="99">
        <f>G186+'8'!H186</f>
        <v>119</v>
      </c>
      <c r="I186" s="157"/>
      <c r="J186" s="178">
        <f>H186/DAY(B2)</f>
        <v>13.222222222222221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171</v>
      </c>
      <c r="H187" s="99">
        <f>G187+'8'!H187</f>
        <v>1350</v>
      </c>
      <c r="I187" s="158"/>
      <c r="J187" s="179">
        <f>H187/DAY(B2)</f>
        <v>150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139</v>
      </c>
      <c r="H188" s="99">
        <f>G188+'8'!H188</f>
        <v>1151</v>
      </c>
      <c r="I188" s="158"/>
      <c r="J188" s="179">
        <f>H188/DAY(B2)</f>
        <v>127.88888888888889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118</v>
      </c>
      <c r="H189" s="99">
        <f>G189+'8'!H189</f>
        <v>762</v>
      </c>
      <c r="I189" s="158"/>
      <c r="J189" s="179">
        <f>H189/DAY(B2)</f>
        <v>84.666666666666671</v>
      </c>
    </row>
    <row r="190" spans="1:10" ht="29.25" customHeight="1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18" zoomScale="55" zoomScaleNormal="55" zoomScaleSheetLayoutView="55" workbookViewId="0">
      <selection activeCell="E25" sqref="E2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44752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766105.03</v>
      </c>
      <c r="F7" s="95">
        <v>792637.11</v>
      </c>
      <c r="G7" s="112">
        <f>F7-E7</f>
        <v>26532.079999999958</v>
      </c>
      <c r="H7" s="99">
        <f>G7+'9'!H7</f>
        <v>269672.61</v>
      </c>
      <c r="I7" s="113">
        <f>'1'!I7</f>
        <v>12000</v>
      </c>
      <c r="J7" s="175">
        <f>H7/DAY(B2)</f>
        <v>26967.260999999999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908984.55</v>
      </c>
      <c r="F8" s="114">
        <v>936079.59</v>
      </c>
      <c r="G8" s="115">
        <f>F8-E8</f>
        <v>27095.039999999921</v>
      </c>
      <c r="H8" s="99">
        <f>G8+'9'!H8</f>
        <v>274290.58999999997</v>
      </c>
      <c r="I8" s="116"/>
      <c r="J8" s="175">
        <f>H8/DAY(B2)</f>
        <v>27429.058999999997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3047260.3</v>
      </c>
      <c r="F9" s="469">
        <v>3056380.9</v>
      </c>
      <c r="G9" s="112">
        <f>F9-E9</f>
        <v>9120.6000000000931</v>
      </c>
      <c r="H9" s="99">
        <f>G9+'9'!H9</f>
        <v>138731.79999999981</v>
      </c>
      <c r="I9" s="124">
        <f>I7-J7</f>
        <v>-14967.260999999999</v>
      </c>
      <c r="J9" s="175">
        <f>H9/DAY(B2)</f>
        <v>13873.179999999982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1343011.9</v>
      </c>
      <c r="F10" s="117">
        <v>1359783.2</v>
      </c>
      <c r="G10" s="112">
        <f t="shared" ref="G10:G12" si="0">F10-E10</f>
        <v>16771.300000000047</v>
      </c>
      <c r="H10" s="99">
        <f>G10+'9'!H10</f>
        <v>124096.57000000007</v>
      </c>
      <c r="I10" s="282"/>
      <c r="J10" s="175">
        <f>H10/DAY(B2)</f>
        <v>12409.657000000007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25891.90000000014</v>
      </c>
      <c r="H13" s="99">
        <f>G13+'9'!H13</f>
        <v>264557.30000000005</v>
      </c>
      <c r="I13" s="120">
        <f>G7-G13</f>
        <v>640.17999999981839</v>
      </c>
      <c r="J13" s="175">
        <f>H13/DAY(B2)</f>
        <v>26455.730000000003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2077353.52</v>
      </c>
      <c r="F15" s="469">
        <v>2078345.56</v>
      </c>
      <c r="G15" s="112">
        <f>(F15-E15)</f>
        <v>992.04000000003725</v>
      </c>
      <c r="H15" s="99">
        <f>G15+'9'!H15</f>
        <v>10267.15000000014</v>
      </c>
      <c r="I15" s="113">
        <f>'1'!I15</f>
        <v>800</v>
      </c>
      <c r="J15" s="175">
        <f>H15/DAY(B2)</f>
        <v>1026.715000000014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-226.71500000001402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'9'!F18</f>
        <v>22</v>
      </c>
      <c r="F18" s="164">
        <v>22</v>
      </c>
      <c r="G18" s="119">
        <f>F18*10</f>
        <v>220</v>
      </c>
      <c r="H18" s="99">
        <f>G18+'9'!H18</f>
        <v>1850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'9'!F19</f>
        <v>161264</v>
      </c>
      <c r="F19" s="122">
        <v>161308</v>
      </c>
      <c r="G19" s="112">
        <v>50</v>
      </c>
      <c r="H19" s="99">
        <f>G19+'9'!H19</f>
        <v>485</v>
      </c>
      <c r="I19" s="335"/>
      <c r="J19" s="175">
        <f>H19/DAY(B2)</f>
        <v>48.5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G20+'9'!H20</f>
        <v>2335</v>
      </c>
      <c r="I20" s="336">
        <f>I18-J20</f>
        <v>-168.5</v>
      </c>
      <c r="J20" s="175">
        <f>H20/DAY(B2)</f>
        <v>233.5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27095.039999999921</v>
      </c>
      <c r="F27" s="136">
        <v>9</v>
      </c>
      <c r="G27" s="137">
        <f>E27*F27</f>
        <v>243855.35999999929</v>
      </c>
      <c r="H27" s="99">
        <f>G27+'9'!H27</f>
        <v>2468615.3099999996</v>
      </c>
      <c r="I27" s="138"/>
      <c r="J27" s="175">
        <f>H27/DAY(B2)</f>
        <v>246861.53099999996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992.04000000003725</v>
      </c>
      <c r="F28" s="136">
        <v>70</v>
      </c>
      <c r="G28" s="137">
        <f>E28*F28</f>
        <v>69442.800000002608</v>
      </c>
      <c r="H28" s="99">
        <f>G28+'9'!H28</f>
        <v>718700.50000000978</v>
      </c>
      <c r="I28" s="140"/>
      <c r="J28" s="175">
        <f>H28/DAY(B2)</f>
        <v>71870.050000000978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73235</v>
      </c>
      <c r="I30" s="140"/>
      <c r="J30" s="175">
        <f>H30/DAY(B2)</f>
        <v>7323.5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148000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338448.1600000019</v>
      </c>
      <c r="H32" s="99">
        <f>G32+'9'!H32</f>
        <v>3408550.8100000098</v>
      </c>
      <c r="I32" s="144"/>
      <c r="J32" s="175">
        <f>H32/DAY(B2)</f>
        <v>340855.081000001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238713.05</v>
      </c>
      <c r="F35" s="145">
        <v>238713.05</v>
      </c>
      <c r="G35" s="112">
        <f t="shared" ref="G35:G46" si="2">F35-E35</f>
        <v>0</v>
      </c>
      <c r="H35" s="99">
        <f>G35+'9'!H35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195467.17</v>
      </c>
      <c r="F36" s="145">
        <v>196395.71</v>
      </c>
      <c r="G36" s="112">
        <f t="shared" si="2"/>
        <v>928.53999999997905</v>
      </c>
      <c r="H36" s="99">
        <f>G36+'9'!H36</f>
        <v>9475.4799999999814</v>
      </c>
      <c r="I36" s="95"/>
      <c r="J36" s="175">
        <f>H36/DAY(B2)</f>
        <v>947.54799999999818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301141.75</v>
      </c>
      <c r="F37" s="145">
        <v>302666.25</v>
      </c>
      <c r="G37" s="112">
        <f t="shared" si="2"/>
        <v>1524.5</v>
      </c>
      <c r="H37" s="99">
        <f>G37+'9'!H37</f>
        <v>15947.260000000009</v>
      </c>
      <c r="I37" s="95"/>
      <c r="J37" s="175">
        <f>H37/DAY(B2)</f>
        <v>1594.726000000001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406918.11</v>
      </c>
      <c r="F38" s="108">
        <v>409203.39</v>
      </c>
      <c r="G38" s="112">
        <f t="shared" si="2"/>
        <v>2285.2800000000279</v>
      </c>
      <c r="H38" s="99">
        <f>G38+'9'!H38</f>
        <v>22540.040000000037</v>
      </c>
      <c r="I38" s="95"/>
      <c r="J38" s="175">
        <f>H38/DAY(B2)</f>
        <v>2254.0040000000035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550253.15</v>
      </c>
      <c r="F39" s="145">
        <v>553161.11</v>
      </c>
      <c r="G39" s="112">
        <f t="shared" si="2"/>
        <v>2907.9599999999627</v>
      </c>
      <c r="H39" s="99">
        <f>G39+'9'!H39</f>
        <v>29780.51999999996</v>
      </c>
      <c r="I39" s="95"/>
      <c r="J39" s="175">
        <f>H39/DAY(B2)</f>
        <v>2978.051999999996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89154.43</v>
      </c>
      <c r="F40" s="145">
        <v>89883.513000000006</v>
      </c>
      <c r="G40" s="112">
        <f t="shared" si="2"/>
        <v>729.08300000001327</v>
      </c>
      <c r="H40" s="99">
        <f>G40+'9'!H40</f>
        <v>6212.4230000000098</v>
      </c>
      <c r="I40" s="95"/>
      <c r="J40" s="175">
        <f>H40/DAY(B2)</f>
        <v>621.24230000000102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158338.76999999999</v>
      </c>
      <c r="F41" s="145">
        <v>158338.76999999999</v>
      </c>
      <c r="G41" s="112">
        <f t="shared" si="2"/>
        <v>0</v>
      </c>
      <c r="H41" s="99">
        <f>G41+'9'!H41</f>
        <v>15520.369999999995</v>
      </c>
      <c r="I41" s="95"/>
      <c r="J41" s="175">
        <f>H41/DAY(B2)</f>
        <v>1552.0369999999996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721198</v>
      </c>
      <c r="F42" s="145">
        <v>721198</v>
      </c>
      <c r="G42" s="112">
        <f t="shared" si="2"/>
        <v>0</v>
      </c>
      <c r="H42" s="99">
        <f>G42+'9'!H42</f>
        <v>32565.449999999953</v>
      </c>
      <c r="I42" s="95"/>
      <c r="J42" s="175">
        <f>H42/DAY(B2)</f>
        <v>3256.5449999999955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8375.362999999983</v>
      </c>
      <c r="H47" s="99">
        <f>G47+'9'!H47</f>
        <v>132041.54299999995</v>
      </c>
      <c r="I47" s="95"/>
      <c r="J47" s="175">
        <f>H47/DAY(B2)</f>
        <v>13204.154299999995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400436.75</v>
      </c>
      <c r="F49" s="145">
        <v>404115.87</v>
      </c>
      <c r="G49" s="112">
        <f t="shared" ref="G49:G58" si="3">F49-E49</f>
        <v>3679.1199999999953</v>
      </c>
      <c r="H49" s="99">
        <f>G49+'9'!H49</f>
        <v>33344.119999999995</v>
      </c>
      <c r="I49" s="95"/>
      <c r="J49" s="175">
        <f>H49/DAY(B2)</f>
        <v>3334.4119999999994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254175.67</v>
      </c>
      <c r="F50" s="145">
        <v>255395.01</v>
      </c>
      <c r="G50" s="112">
        <f t="shared" si="3"/>
        <v>1219.3399999999965</v>
      </c>
      <c r="H50" s="99">
        <f>G50+'9'!H50</f>
        <v>12289.610000000015</v>
      </c>
      <c r="I50" s="95"/>
      <c r="J50" s="175">
        <f>H50/DAY(B2)</f>
        <v>1228.9610000000016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75.680000000000007</v>
      </c>
      <c r="F51" s="145">
        <v>75.680000000000007</v>
      </c>
      <c r="G51" s="112">
        <f t="shared" si="3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3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80204.350000000006</v>
      </c>
      <c r="F54" s="145">
        <v>80551.360000000001</v>
      </c>
      <c r="G54" s="112">
        <f t="shared" si="3"/>
        <v>347.00999999999476</v>
      </c>
      <c r="H54" s="99">
        <f>G54+'9'!H54</f>
        <v>3533.8600000000006</v>
      </c>
      <c r="I54" s="95"/>
      <c r="J54" s="175">
        <f>H54/DAY(B2)</f>
        <v>353.38600000000008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299406.63</v>
      </c>
      <c r="F55" s="423">
        <v>303072.90999999997</v>
      </c>
      <c r="G55" s="112">
        <f t="shared" si="3"/>
        <v>3666.2799999999697</v>
      </c>
      <c r="H55" s="99">
        <f>G55+'9'!H55</f>
        <v>18989.979999999981</v>
      </c>
      <c r="I55" s="95"/>
      <c r="J55" s="175">
        <f>H55/DAY(B2)</f>
        <v>1898.9979999999982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118797.23</v>
      </c>
      <c r="F56" s="423">
        <v>120880.14</v>
      </c>
      <c r="G56" s="112">
        <f t="shared" si="3"/>
        <v>2082.9100000000035</v>
      </c>
      <c r="H56" s="99">
        <f>G56+'9'!H56</f>
        <v>9637.0099999999948</v>
      </c>
      <c r="I56" s="95"/>
      <c r="J56" s="175">
        <f>H56/DAY(B2)</f>
        <v>963.70099999999945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159938.45000000001</v>
      </c>
      <c r="F57" s="423">
        <v>163148.81</v>
      </c>
      <c r="G57" s="112">
        <f t="shared" si="3"/>
        <v>3210.359999999986</v>
      </c>
      <c r="H57" s="99">
        <f>G57+'9'!H57</f>
        <v>31245.109999999986</v>
      </c>
      <c r="I57" s="95"/>
      <c r="J57" s="175">
        <f>H57/DAY(B2)</f>
        <v>3124.5109999999986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42941.17</v>
      </c>
      <c r="F58" s="423">
        <v>43234.23</v>
      </c>
      <c r="G58" s="112">
        <f t="shared" si="3"/>
        <v>293.06000000000495</v>
      </c>
      <c r="H58" s="99">
        <f>G58+'9'!H58</f>
        <v>2954.1200000000026</v>
      </c>
      <c r="I58" s="95"/>
      <c r="J58" s="175">
        <f>H58/DAY(B2)</f>
        <v>295.41200000000026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14498.079999999951</v>
      </c>
      <c r="H59" s="99">
        <f>G59+'9'!H59</f>
        <v>111993.56999999998</v>
      </c>
      <c r="I59" s="95">
        <f>G7-G60</f>
        <v>3658.6370000000243</v>
      </c>
      <c r="J59" s="175">
        <f>H59/DAY(B2)</f>
        <v>11199.356999999998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22873.442999999934</v>
      </c>
      <c r="H60" s="99">
        <f>G60+'9'!H60</f>
        <v>244035.11299999995</v>
      </c>
      <c r="I60" s="95">
        <f>G13-G60</f>
        <v>3018.4570000002059</v>
      </c>
      <c r="J60" s="175">
        <f>H60/DAY(B2)</f>
        <v>24403.511299999995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'9'!F62</f>
        <v>293613</v>
      </c>
      <c r="F62" s="122">
        <v>293726</v>
      </c>
      <c r="G62" s="112">
        <f t="shared" ref="G62:G63" si="4">F62-E62</f>
        <v>113</v>
      </c>
      <c r="H62" s="99">
        <f>G62+'9'!H62</f>
        <v>1028</v>
      </c>
      <c r="I62" s="118"/>
      <c r="J62" s="175">
        <f>H62/DAY(B2)</f>
        <v>102.8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'9'!F63</f>
        <v>236066</v>
      </c>
      <c r="F63" s="164">
        <v>236171</v>
      </c>
      <c r="G63" s="112">
        <f t="shared" si="4"/>
        <v>105</v>
      </c>
      <c r="H63" s="99">
        <f>G63+'9'!H63</f>
        <v>1105</v>
      </c>
      <c r="I63" s="118"/>
      <c r="J63" s="175">
        <f>H63/DAY(B2)</f>
        <v>110.5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'9'!F64</f>
        <v>0</v>
      </c>
      <c r="F64" s="122"/>
      <c r="G64" s="112">
        <f>G62+G63</f>
        <v>218</v>
      </c>
      <c r="H64" s="99">
        <f>G64+'9'!H64</f>
        <v>2133</v>
      </c>
      <c r="I64" s="118"/>
      <c r="J64" s="175">
        <f>H64/DAY(B2)</f>
        <v>213.3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'9'!F65</f>
        <v>452271</v>
      </c>
      <c r="F65" s="122">
        <v>452373</v>
      </c>
      <c r="G65" s="112">
        <f t="shared" ref="G65:G70" si="5">F65-E65</f>
        <v>102</v>
      </c>
      <c r="H65" s="99">
        <f>G65+'9'!H65</f>
        <v>984</v>
      </c>
      <c r="I65" s="118"/>
      <c r="J65" s="175">
        <f>H65/DAY(B2)</f>
        <v>98.4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111187</v>
      </c>
      <c r="F66" s="122">
        <v>111212</v>
      </c>
      <c r="G66" s="112">
        <f t="shared" si="5"/>
        <v>25</v>
      </c>
      <c r="H66" s="99">
        <f>G66+'9'!H66</f>
        <v>185</v>
      </c>
      <c r="I66" s="118"/>
      <c r="J66" s="175">
        <f>H66/DAY(B2)</f>
        <v>18.5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113680</v>
      </c>
      <c r="F67" s="122">
        <v>113680</v>
      </c>
      <c r="G67" s="112">
        <f t="shared" si="5"/>
        <v>0</v>
      </c>
      <c r="H67" s="99">
        <f>G67+'9'!H67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163924</v>
      </c>
      <c r="F68" s="122">
        <v>163966</v>
      </c>
      <c r="G68" s="112">
        <f t="shared" si="5"/>
        <v>42</v>
      </c>
      <c r="H68" s="99">
        <f>G68+'9'!H68</f>
        <v>440</v>
      </c>
      <c r="I68" s="118"/>
      <c r="J68" s="175">
        <f>H68/DAY(B2)</f>
        <v>44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12172</v>
      </c>
      <c r="F69" s="122">
        <v>12178</v>
      </c>
      <c r="G69" s="112">
        <f t="shared" si="5"/>
        <v>6</v>
      </c>
      <c r="H69" s="99">
        <f>G69+'9'!H69</f>
        <v>50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9579</v>
      </c>
      <c r="F70" s="122">
        <v>9588</v>
      </c>
      <c r="G70" s="112">
        <f t="shared" si="5"/>
        <v>9</v>
      </c>
      <c r="H70" s="99">
        <f>G70+'9'!H70</f>
        <v>74</v>
      </c>
      <c r="I70" s="118"/>
      <c r="J70" s="175">
        <f>H70/DAY(B2)</f>
        <v>7.4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184</v>
      </c>
      <c r="H71" s="99">
        <f>G71+'9'!H71</f>
        <v>1733</v>
      </c>
      <c r="I71" s="154"/>
      <c r="J71" s="175">
        <f>H71/DAY(B2)</f>
        <v>173.3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'9'!F74</f>
        <v>950468.45</v>
      </c>
      <c r="F74" s="117">
        <v>950734.29</v>
      </c>
      <c r="G74" s="112">
        <f t="shared" ref="G74:G78" si="6">F74-E74</f>
        <v>265.84000000008382</v>
      </c>
      <c r="H74" s="99">
        <f>G74+'9'!H74</f>
        <v>3027.0900000000838</v>
      </c>
      <c r="I74" s="154"/>
      <c r="J74" s="175">
        <f>H74/DAY(B2)</f>
        <v>302.70900000000836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'9'!F75</f>
        <v>73586.8</v>
      </c>
      <c r="F75" s="123">
        <v>73586.8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'9'!F76</f>
        <v>187858.5</v>
      </c>
      <c r="F76" s="123">
        <v>187957</v>
      </c>
      <c r="G76" s="112">
        <f t="shared" si="6"/>
        <v>98.5</v>
      </c>
      <c r="H76" s="99">
        <f>G76+'9'!H76</f>
        <v>1065.7000000000116</v>
      </c>
      <c r="I76" s="154"/>
      <c r="J76" s="175">
        <f>H76/DAY(B2)</f>
        <v>106.57000000000116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'9'!F77</f>
        <v>49190</v>
      </c>
      <c r="F77" s="123">
        <v>49232</v>
      </c>
      <c r="G77" s="112">
        <f t="shared" si="6"/>
        <v>42</v>
      </c>
      <c r="H77" s="99">
        <f>G77+'9'!H77</f>
        <v>496.19999999999709</v>
      </c>
      <c r="I77" s="154"/>
      <c r="J77" s="175">
        <f>H77/DAY(B2)</f>
        <v>49.619999999999706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'9'!F78</f>
        <v>9563</v>
      </c>
      <c r="F78" s="123">
        <v>9563</v>
      </c>
      <c r="G78" s="112">
        <f t="shared" si="6"/>
        <v>0</v>
      </c>
      <c r="H78" s="99">
        <f>G78+'9'!H78</f>
        <v>-0.3999999999996362</v>
      </c>
      <c r="I78" s="118"/>
      <c r="J78" s="175">
        <f>H78/DAY(B2)</f>
        <v>-3.999999999996362E-2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'9'!F79</f>
        <v>0</v>
      </c>
      <c r="F79" s="117"/>
      <c r="G79" s="112">
        <f>G15-SUM(G74:G78)</f>
        <v>585.69999999995343</v>
      </c>
      <c r="H79" s="99">
        <f>G79+'9'!H79</f>
        <v>5678.5600000000468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992.04000000003725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42339.41</v>
      </c>
      <c r="F84" s="164">
        <v>42340.05</v>
      </c>
      <c r="G84" s="112">
        <f t="shared" si="7"/>
        <v>0.63999999999941792</v>
      </c>
      <c r="H84" s="99">
        <f>G84+'9'!H84</f>
        <v>65.05000000000291</v>
      </c>
      <c r="I84" s="573"/>
      <c r="J84" s="175">
        <f>H84/DAY(B2)</f>
        <v>6.5050000000002912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5019.47</v>
      </c>
      <c r="F85" s="164">
        <v>5019.47</v>
      </c>
      <c r="G85" s="112">
        <f t="shared" si="7"/>
        <v>0</v>
      </c>
      <c r="H85" s="99">
        <f>G85+'9'!H85</f>
        <v>137.46000000000004</v>
      </c>
      <c r="I85" s="573"/>
      <c r="J85" s="175">
        <f>H85/DAY(B2)</f>
        <v>13.746000000000004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44951.4</v>
      </c>
      <c r="F86" s="164">
        <v>44975.85</v>
      </c>
      <c r="G86" s="112">
        <f t="shared" si="7"/>
        <v>24.44999999999709</v>
      </c>
      <c r="H86" s="99">
        <f>G86+'9'!H86</f>
        <v>123.54999999999563</v>
      </c>
      <c r="I86" s="573"/>
      <c r="J86" s="175">
        <f>H86/DAY(B2)</f>
        <v>12.354999999999563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35421</v>
      </c>
      <c r="F87" s="164">
        <v>35433.01</v>
      </c>
      <c r="G87" s="112">
        <f t="shared" si="7"/>
        <v>12.010000000002037</v>
      </c>
      <c r="H87" s="99">
        <f>G87+'9'!H87</f>
        <v>74.959999999999127</v>
      </c>
      <c r="I87" s="573">
        <f>G84+G85+G86+G87</f>
        <v>37.099999999998545</v>
      </c>
      <c r="J87" s="175">
        <f>H87/DAY(B2)</f>
        <v>7.4959999999999125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24293.88</v>
      </c>
      <c r="F88" s="164">
        <v>24293.88</v>
      </c>
      <c r="G88" s="112">
        <f t="shared" si="7"/>
        <v>0</v>
      </c>
      <c r="H88" s="99">
        <f>G88+'9'!H88</f>
        <v>16.680000000000291</v>
      </c>
      <c r="I88" s="573"/>
      <c r="J88" s="175">
        <f>H88/DAY(B2)</f>
        <v>1.668000000000029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27364.91</v>
      </c>
      <c r="F89" s="164">
        <v>27374.6</v>
      </c>
      <c r="G89" s="112">
        <f t="shared" si="7"/>
        <v>9.6899999999986903</v>
      </c>
      <c r="H89" s="99">
        <f>G89+'9'!H89</f>
        <v>83.180000000000291</v>
      </c>
      <c r="I89" s="573">
        <f>G88+G89</f>
        <v>9.6899999999986903</v>
      </c>
      <c r="J89" s="175">
        <f>H89/DAY(B2)</f>
        <v>8.3180000000000298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72373.37</v>
      </c>
      <c r="F90" s="164">
        <v>72384.27</v>
      </c>
      <c r="G90" s="112">
        <f t="shared" si="7"/>
        <v>10.900000000008731</v>
      </c>
      <c r="H90" s="99">
        <f>G90+'9'!H90</f>
        <v>83.14000000001397</v>
      </c>
      <c r="I90" s="573">
        <f>G90</f>
        <v>10.900000000008731</v>
      </c>
      <c r="J90" s="175">
        <f>H90/DAY(B2)</f>
        <v>8.3140000000013963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4187</v>
      </c>
      <c r="F91" s="122">
        <v>4187.57</v>
      </c>
      <c r="G91" s="112">
        <f t="shared" si="7"/>
        <v>0.56999999999970896</v>
      </c>
      <c r="H91" s="99">
        <f>G91+'9'!H91</f>
        <v>49.130000000000109</v>
      </c>
      <c r="I91" s="592"/>
      <c r="J91" s="175">
        <f>H91/DAY(B2)</f>
        <v>4.9130000000000109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6565.49</v>
      </c>
      <c r="F92" s="122">
        <v>6574.75</v>
      </c>
      <c r="G92" s="112">
        <f t="shared" si="7"/>
        <v>9.2600000000002183</v>
      </c>
      <c r="H92" s="99">
        <f>G92+'9'!H92</f>
        <v>59.409999999999854</v>
      </c>
      <c r="I92" s="598">
        <f>G91+G92</f>
        <v>9.8299999999999272</v>
      </c>
      <c r="J92" s="175">
        <f>H92/DAY(B2)</f>
        <v>5.9409999999999856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6889.4799999999814</v>
      </c>
      <c r="H94" s="99">
        <f>G94+'9'!H94</f>
        <v>64589.229999999981</v>
      </c>
      <c r="I94" s="118"/>
      <c r="J94" s="175">
        <f>H94/DAY(B2)</f>
        <v>6458.922999999998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0.25966603447600006</v>
      </c>
      <c r="H95" s="99">
        <f>G95+'9'!H95</f>
        <v>2.4019467500879004</v>
      </c>
      <c r="I95" s="167"/>
      <c r="J95" s="175">
        <f>H95/DAY(B2)</f>
        <v>0.24019467500879005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5749.1899999999732</v>
      </c>
      <c r="H96" s="99">
        <f>G96+'9'!H96</f>
        <v>76712.809999999925</v>
      </c>
      <c r="I96" s="118"/>
      <c r="J96" s="175">
        <f>H96/DAY(B2)</f>
        <v>7671.2809999999927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0.21668825060078148</v>
      </c>
      <c r="H97" s="99">
        <f>G97+'9'!H97</f>
        <v>2.8319693208156762</v>
      </c>
      <c r="I97" s="167"/>
      <c r="J97" s="175">
        <f>H97/DAY(B2)</f>
        <v>0.2831969320815676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2907.9599999999627</v>
      </c>
      <c r="H98" s="99">
        <f>G98+'9'!H98</f>
        <v>29780.51999999996</v>
      </c>
      <c r="I98" s="168"/>
      <c r="J98" s="175">
        <f>H98/DAY(B2)</f>
        <v>2978.051999999996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0.10960165957587824</v>
      </c>
      <c r="H99" s="99">
        <f>G99+'9'!H99</f>
        <v>1.1063308163019463</v>
      </c>
      <c r="I99" s="168"/>
      <c r="J99" s="175">
        <f>H99/DAY(B2)</f>
        <v>0.11063308163019463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2285.2800000000279</v>
      </c>
      <c r="H100" s="99">
        <f>G100+'9'!H100</f>
        <v>22539.800000000039</v>
      </c>
      <c r="I100" s="118"/>
      <c r="J100" s="175">
        <f>H100/DAY(B2)</f>
        <v>2253.9800000000041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8.6132711796437805E-2</v>
      </c>
      <c r="H101" s="99">
        <f>G101+'9'!H101</f>
        <v>0.83701203998208829</v>
      </c>
      <c r="I101" s="168"/>
      <c r="J101" s="175">
        <f>H101/DAY(B2)</f>
        <v>8.3701203998208823E-2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2147.8799999999756</v>
      </c>
      <c r="H102" s="99">
        <f>G102+'9'!H102</f>
        <v>21765.089999999997</v>
      </c>
      <c r="I102" s="168"/>
      <c r="J102" s="175">
        <f>H102/DAY(B2)</f>
        <v>2176.5089999999996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8.0954075217622545E-2</v>
      </c>
      <c r="H103" s="99">
        <f>G103+'9'!H103</f>
        <v>0.80450840980562066</v>
      </c>
      <c r="I103" s="118"/>
      <c r="J103" s="175">
        <f>H103/DAY(B2)</f>
        <v>8.0450840980562072E-2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1524.5</v>
      </c>
      <c r="H104" s="99">
        <f>G104+'9'!H104</f>
        <v>15947.260000000009</v>
      </c>
      <c r="I104" s="118"/>
      <c r="J104" s="175">
        <f>H104/DAY(B2)</f>
        <v>1594.726000000001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5.745874428239333E-2</v>
      </c>
      <c r="H105" s="99">
        <f>G105+'9'!H105</f>
        <v>0.59303662942207214</v>
      </c>
      <c r="I105" s="187"/>
      <c r="J105" s="188">
        <f>H105/DAY(B2)</f>
        <v>5.9303662942207215E-2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'9'!F112</f>
        <v>5604.27</v>
      </c>
      <c r="F112" s="237">
        <v>5679.68</v>
      </c>
      <c r="G112" s="112">
        <f t="shared" ref="G112:G123" si="8">F112-E112</f>
        <v>75.409999999999854</v>
      </c>
      <c r="H112" s="99">
        <f>G112+'9'!H112</f>
        <v>749.94000000000051</v>
      </c>
      <c r="I112" s="165"/>
      <c r="J112" s="328">
        <f>H112/DAY(B2)</f>
        <v>74.994000000000057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'9'!F113</f>
        <v>11914.32</v>
      </c>
      <c r="F113" s="237">
        <v>12052.65</v>
      </c>
      <c r="G113" s="112">
        <f t="shared" si="8"/>
        <v>138.32999999999993</v>
      </c>
      <c r="H113" s="99">
        <f>G113+'9'!H113</f>
        <v>1419.9300000000003</v>
      </c>
      <c r="I113" s="165"/>
      <c r="J113" s="328">
        <f>H113/DAY(B2)</f>
        <v>141.99300000000002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'9'!F114</f>
        <v>16250.67</v>
      </c>
      <c r="F114" s="237">
        <v>16485.669999999998</v>
      </c>
      <c r="G114" s="112">
        <f t="shared" si="8"/>
        <v>234.99999999999818</v>
      </c>
      <c r="H114" s="99">
        <f>G114+'9'!H114</f>
        <v>2291.869999999999</v>
      </c>
      <c r="I114" s="165"/>
      <c r="J114" s="328">
        <f>H114/DAY(B2)</f>
        <v>229.1869999999999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F115-17</f>
        <v>10240.61</v>
      </c>
      <c r="F115" s="417">
        <v>10257.61</v>
      </c>
      <c r="G115" s="112">
        <f t="shared" si="8"/>
        <v>17</v>
      </c>
      <c r="H115" s="99">
        <f>G115+'9'!H115</f>
        <v>1236.83</v>
      </c>
      <c r="I115" s="165"/>
      <c r="J115" s="328">
        <f>H115/DAY(B2)</f>
        <v>123.68299999999999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'9'!F116</f>
        <v>62479.24</v>
      </c>
      <c r="F116" s="237">
        <v>62959.12</v>
      </c>
      <c r="G116" s="112">
        <f t="shared" si="8"/>
        <v>479.88000000000466</v>
      </c>
      <c r="H116" s="99">
        <f>G116+'9'!H116</f>
        <v>4068.5699999999997</v>
      </c>
      <c r="I116" s="165"/>
      <c r="J116" s="328">
        <f>H116/DAY(B2)</f>
        <v>406.85699999999997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'9'!F117</f>
        <v>35404.410000000003</v>
      </c>
      <c r="F117" s="237">
        <v>35618.75</v>
      </c>
      <c r="G117" s="112">
        <f t="shared" si="8"/>
        <v>214.33999999999651</v>
      </c>
      <c r="H117" s="99">
        <f>G117+'9'!H117</f>
        <v>2730.2699999999968</v>
      </c>
      <c r="I117" s="165"/>
      <c r="J117" s="328">
        <f>H117/DAY(B2)</f>
        <v>273.0269999999997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'9'!F118</f>
        <v>50721.46</v>
      </c>
      <c r="F118" s="237">
        <v>51338.66</v>
      </c>
      <c r="G118" s="112">
        <f t="shared" si="8"/>
        <v>617.20000000000437</v>
      </c>
      <c r="H118" s="99">
        <f>G118+'9'!H118</f>
        <v>6418.3500000000058</v>
      </c>
      <c r="I118" s="165"/>
      <c r="J118" s="328">
        <f>H118/DAY(B2)</f>
        <v>641.8350000000006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'9'!F119</f>
        <v>32449</v>
      </c>
      <c r="F119" s="237">
        <v>32685.35</v>
      </c>
      <c r="G119" s="112">
        <f t="shared" si="8"/>
        <v>236.34999999999854</v>
      </c>
      <c r="H119" s="99">
        <f>G119+'9'!H119</f>
        <v>2342.75</v>
      </c>
      <c r="I119" s="165"/>
      <c r="J119" s="328">
        <f>H119/DAY(B2)</f>
        <v>234.27500000000001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'9'!F120</f>
        <v>36987.94</v>
      </c>
      <c r="F120" s="237">
        <v>37421.24</v>
      </c>
      <c r="G120" s="112">
        <f t="shared" si="8"/>
        <v>433.29999999999563</v>
      </c>
      <c r="H120" s="99">
        <f>G120+'9'!H120</f>
        <v>4315.68</v>
      </c>
      <c r="I120" s="165"/>
      <c r="J120" s="328">
        <f>H120/DAY(B2)</f>
        <v>431.56800000000004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'9'!F121</f>
        <v>43656.21</v>
      </c>
      <c r="F121" s="237">
        <v>44079.97</v>
      </c>
      <c r="G121" s="112">
        <f t="shared" si="8"/>
        <v>423.76000000000204</v>
      </c>
      <c r="H121" s="99">
        <f>G121+'9'!H121</f>
        <v>4492.07</v>
      </c>
      <c r="I121" s="165"/>
      <c r="J121" s="328">
        <f>H121/DAY(B2)</f>
        <v>449.20699999999999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'9'!F122</f>
        <v>22623.39</v>
      </c>
      <c r="F122" s="237">
        <v>22876.28</v>
      </c>
      <c r="G122" s="112">
        <f t="shared" si="8"/>
        <v>252.88999999999942</v>
      </c>
      <c r="H122" s="99">
        <f>G122+'9'!H122</f>
        <v>2910.3999999999978</v>
      </c>
      <c r="I122" s="165"/>
      <c r="J122" s="328">
        <f>H122/DAY(B2)</f>
        <v>291.03999999999979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'9'!F123</f>
        <v>23189.86</v>
      </c>
      <c r="F123" s="237">
        <v>23510.240000000002</v>
      </c>
      <c r="G123" s="112">
        <f t="shared" si="8"/>
        <v>320.38000000000102</v>
      </c>
      <c r="H123" s="99">
        <f>G123+'9'!H123</f>
        <v>3168.2400000000016</v>
      </c>
      <c r="I123" s="165"/>
      <c r="J123" s="328">
        <f>H123/DAY(B2)</f>
        <v>316.82400000000018</v>
      </c>
    </row>
    <row r="124" spans="1:18" ht="29.25" customHeight="1">
      <c r="A124" s="929"/>
      <c r="B124" s="930"/>
      <c r="C124" s="931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3443.84</v>
      </c>
      <c r="H125" s="156"/>
      <c r="I125" s="327">
        <f>G125-(G39+G53)</f>
        <v>535.8800000000374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'9'!F128</f>
        <v>116467.91</v>
      </c>
      <c r="F128" s="155">
        <v>117016.67</v>
      </c>
      <c r="G128" s="112">
        <f t="shared" ref="G128:G134" si="9">F128-E128</f>
        <v>548.75999999999476</v>
      </c>
      <c r="H128" s="99">
        <f>G128+'9'!H128</f>
        <v>5140.8099999999977</v>
      </c>
      <c r="I128" s="165"/>
      <c r="J128" s="328">
        <f>H128/DAY(B2)</f>
        <v>514.08099999999979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68629.48</v>
      </c>
      <c r="F129" s="155">
        <v>68799.95</v>
      </c>
      <c r="G129" s="112">
        <f t="shared" si="9"/>
        <v>170.47000000000116</v>
      </c>
      <c r="H129" s="99">
        <f>G129+'9'!H129</f>
        <v>2098.1699999999983</v>
      </c>
      <c r="I129" s="165"/>
      <c r="J129" s="328">
        <f>H129/DAY(B2)</f>
        <v>209.81699999999984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F130-183</f>
        <v>149110.39999999999</v>
      </c>
      <c r="F130" s="157">
        <v>149293.4</v>
      </c>
      <c r="G130" s="112">
        <f t="shared" si="9"/>
        <v>183</v>
      </c>
      <c r="H130" s="99">
        <f>G130+'9'!H130</f>
        <v>6995.4800000000105</v>
      </c>
      <c r="I130" s="165"/>
      <c r="J130" s="328">
        <f>H130/DAY(B2)</f>
        <v>699.54800000000103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'9'!F131</f>
        <v>44245.97</v>
      </c>
      <c r="F131" s="155">
        <v>44386.59</v>
      </c>
      <c r="G131" s="112">
        <f t="shared" si="9"/>
        <v>140.61999999999534</v>
      </c>
      <c r="H131" s="99">
        <f>G131+'9'!H131</f>
        <v>1768.3899999999994</v>
      </c>
      <c r="I131" s="165"/>
      <c r="J131" s="328">
        <f>H131/DAY(B2)</f>
        <v>176.83899999999994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'9'!F132</f>
        <v>119982.9</v>
      </c>
      <c r="F132" s="155">
        <v>120410.26</v>
      </c>
      <c r="G132" s="112">
        <f t="shared" si="9"/>
        <v>427.36000000000058</v>
      </c>
      <c r="H132" s="99">
        <f>G132+'9'!H132</f>
        <v>4119.2599999999948</v>
      </c>
      <c r="I132" s="165"/>
      <c r="J132" s="328">
        <f>H132/DAY(B2)</f>
        <v>411.92599999999948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v>793773</v>
      </c>
      <c r="F133" s="155">
        <v>794555</v>
      </c>
      <c r="G133" s="112">
        <f t="shared" si="9"/>
        <v>782</v>
      </c>
      <c r="H133" s="99">
        <f>G133+'9'!H133</f>
        <v>4985</v>
      </c>
      <c r="I133" s="165"/>
      <c r="J133" s="328">
        <f>H133/DAY(B2)</f>
        <v>498.5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'9'!F134</f>
        <v>43951.32</v>
      </c>
      <c r="F134" s="157">
        <v>44202.59</v>
      </c>
      <c r="G134" s="112">
        <f t="shared" si="9"/>
        <v>251.2699999999968</v>
      </c>
      <c r="H134" s="99">
        <f>G134+'9'!H134</f>
        <v>2457.5899999999965</v>
      </c>
      <c r="I134" s="165"/>
      <c r="J134" s="328">
        <f>H134/DAY(B2)</f>
        <v>245.75899999999965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2503.4799999999886</v>
      </c>
      <c r="H135" s="99">
        <f>G135+'9'!H135</f>
        <v>27564.699999999997</v>
      </c>
      <c r="I135" s="327">
        <f>G135-(G35+G49)</f>
        <v>-1175.6400000000067</v>
      </c>
      <c r="J135" s="328">
        <f>H135/DAY(B2)</f>
        <v>2756.47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'9'!F138</f>
        <v>888404</v>
      </c>
      <c r="F138" s="147">
        <v>888539</v>
      </c>
      <c r="G138" s="112">
        <f t="shared" ref="G138:G152" si="10">F138-E138</f>
        <v>135</v>
      </c>
      <c r="H138" s="99">
        <f>G138+'9'!H138</f>
        <v>1315</v>
      </c>
      <c r="I138" s="118"/>
      <c r="J138" s="328">
        <f>H138/DAY(B2)</f>
        <v>131.5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'9'!F139</f>
        <v>905525</v>
      </c>
      <c r="F139" s="148">
        <v>905674</v>
      </c>
      <c r="G139" s="112">
        <f t="shared" si="10"/>
        <v>149</v>
      </c>
      <c r="H139" s="99">
        <f>G139+'9'!H139</f>
        <v>1584</v>
      </c>
      <c r="I139" s="118"/>
      <c r="J139" s="328">
        <f>H139/DAY(B2)</f>
        <v>158.4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'9'!F140</f>
        <v>89199.6</v>
      </c>
      <c r="F140" s="149">
        <v>89283</v>
      </c>
      <c r="G140" s="112">
        <f t="shared" si="10"/>
        <v>83.399999999994179</v>
      </c>
      <c r="H140" s="99">
        <f>G140+'9'!H140</f>
        <v>277.34999999999422</v>
      </c>
      <c r="I140" s="118"/>
      <c r="J140" s="328">
        <f>H140/DAY(B2)</f>
        <v>27.734999999999424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'9'!F141</f>
        <v>85970.79</v>
      </c>
      <c r="F141" s="149">
        <v>86176.35</v>
      </c>
      <c r="G141" s="112">
        <f t="shared" si="10"/>
        <v>205.56000000001222</v>
      </c>
      <c r="H141" s="99">
        <f>G141+'9'!H141</f>
        <v>2061.1500000000087</v>
      </c>
      <c r="I141" s="118"/>
      <c r="J141" s="328">
        <f>H141/DAY(B2)</f>
        <v>206.11500000000086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'9'!F142</f>
        <v>35048.800000000003</v>
      </c>
      <c r="F142" s="148">
        <v>35118.9</v>
      </c>
      <c r="G142" s="112">
        <f t="shared" si="10"/>
        <v>70.099999999998545</v>
      </c>
      <c r="H142" s="99">
        <f>G142+'9'!H142</f>
        <v>733.43000000000029</v>
      </c>
      <c r="I142" s="140"/>
      <c r="J142" s="328">
        <f>H142/DAY(B2)</f>
        <v>73.343000000000032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'9'!F143</f>
        <v>8427.32</v>
      </c>
      <c r="F143" s="149">
        <v>8456.4599999999991</v>
      </c>
      <c r="G143" s="112">
        <f t="shared" si="10"/>
        <v>29.139999999999418</v>
      </c>
      <c r="H143" s="99">
        <f>G143+'9'!H143</f>
        <v>298.13999999999942</v>
      </c>
      <c r="I143" s="140"/>
      <c r="J143" s="328">
        <f>H143/DAY(B2)</f>
        <v>29.813999999999943</v>
      </c>
      <c r="O143" s="148">
        <v>582206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'9'!F144</f>
        <v>914540</v>
      </c>
      <c r="F144" s="149">
        <v>914770</v>
      </c>
      <c r="G144" s="112">
        <f t="shared" si="10"/>
        <v>230</v>
      </c>
      <c r="H144" s="99">
        <f>G144+'9'!H144</f>
        <v>2493</v>
      </c>
      <c r="I144" s="140"/>
      <c r="J144" s="328">
        <f>H144/DAY(B2)</f>
        <v>249.3</v>
      </c>
    </row>
    <row r="145" spans="1:15" ht="25.5">
      <c r="A145" s="899" t="s">
        <v>190</v>
      </c>
      <c r="B145" s="899"/>
      <c r="C145" s="899"/>
      <c r="D145" s="152" t="s">
        <v>183</v>
      </c>
      <c r="E145" s="95">
        <f>'9'!F145</f>
        <v>5667</v>
      </c>
      <c r="F145" s="149">
        <v>5667</v>
      </c>
      <c r="G145" s="112">
        <f t="shared" si="10"/>
        <v>0</v>
      </c>
      <c r="H145" s="99">
        <f>G145+'9'!H145</f>
        <v>0.43999999999959982</v>
      </c>
      <c r="I145" s="140"/>
      <c r="J145" s="328">
        <f>H145/DAY(B2)</f>
        <v>4.3999999999959981E-2</v>
      </c>
    </row>
    <row r="146" spans="1:15" ht="25.5">
      <c r="A146" s="900" t="s">
        <v>191</v>
      </c>
      <c r="B146" s="901"/>
      <c r="C146" s="902"/>
      <c r="D146" s="152" t="s">
        <v>183</v>
      </c>
      <c r="E146" s="95">
        <f>'9'!F146</f>
        <v>779742</v>
      </c>
      <c r="F146" s="148">
        <v>779781</v>
      </c>
      <c r="G146" s="236">
        <f t="shared" si="10"/>
        <v>39</v>
      </c>
      <c r="H146" s="99">
        <f>G146+'9'!H146</f>
        <v>453</v>
      </c>
      <c r="I146" s="140"/>
      <c r="J146" s="328">
        <f>H146/DAY(B2)</f>
        <v>45.3</v>
      </c>
    </row>
    <row r="147" spans="1:15" ht="25.5">
      <c r="A147" s="903" t="s">
        <v>192</v>
      </c>
      <c r="B147" s="903"/>
      <c r="C147" s="903"/>
      <c r="D147" s="152" t="s">
        <v>183</v>
      </c>
      <c r="E147" s="95">
        <f>'9'!F147</f>
        <v>691013</v>
      </c>
      <c r="F147" s="148">
        <v>691391</v>
      </c>
      <c r="G147" s="112">
        <f t="shared" si="10"/>
        <v>378</v>
      </c>
      <c r="H147" s="99">
        <f>G147+'9'!H147</f>
        <v>3864.8399999999674</v>
      </c>
      <c r="I147" s="140"/>
      <c r="J147" s="328">
        <f>H147/DAY(B2)</f>
        <v>386.48399999999674</v>
      </c>
    </row>
    <row r="148" spans="1:15" ht="25.5">
      <c r="A148" s="895" t="s">
        <v>193</v>
      </c>
      <c r="B148" s="896"/>
      <c r="C148" s="897"/>
      <c r="D148" s="123" t="s">
        <v>130</v>
      </c>
      <c r="E148" s="95">
        <f>'9'!F148</f>
        <v>741795</v>
      </c>
      <c r="F148" s="150">
        <v>742097.68</v>
      </c>
      <c r="G148" s="112">
        <f t="shared" si="10"/>
        <v>302.68000000005122</v>
      </c>
      <c r="H148" s="99">
        <f>G148+'9'!H148</f>
        <v>3150.4000000000233</v>
      </c>
      <c r="I148" s="124"/>
      <c r="J148" s="328">
        <f>H148/DAY(B2)</f>
        <v>315.04000000000235</v>
      </c>
    </row>
    <row r="149" spans="1:15" ht="25.5">
      <c r="A149" s="895" t="s">
        <v>336</v>
      </c>
      <c r="B149" s="896"/>
      <c r="C149" s="897"/>
      <c r="D149" s="227" t="s">
        <v>130</v>
      </c>
      <c r="E149" s="95">
        <f>'9'!F149</f>
        <v>121106.8</v>
      </c>
      <c r="F149" s="146">
        <v>121633.23</v>
      </c>
      <c r="G149" s="112">
        <f t="shared" si="10"/>
        <v>526.42999999999302</v>
      </c>
      <c r="H149" s="99">
        <f>G149+'9'!H149</f>
        <v>5100.429999999993</v>
      </c>
      <c r="I149" s="119"/>
      <c r="J149" s="328">
        <f>H149/DAY(B2)</f>
        <v>510.04299999999932</v>
      </c>
    </row>
    <row r="150" spans="1:15" ht="25.5">
      <c r="A150" s="895" t="s">
        <v>337</v>
      </c>
      <c r="B150" s="896"/>
      <c r="C150" s="897"/>
      <c r="D150" s="117" t="s">
        <v>130</v>
      </c>
      <c r="E150" s="95">
        <f>'9'!F150</f>
        <v>45703.3</v>
      </c>
      <c r="F150" s="233">
        <v>45939.01</v>
      </c>
      <c r="G150" s="112">
        <f t="shared" si="10"/>
        <v>235.70999999999913</v>
      </c>
      <c r="H150" s="99">
        <f>G150+'9'!H150</f>
        <v>2213.8499999999985</v>
      </c>
      <c r="I150" s="119"/>
      <c r="J150" s="328">
        <f>H150/DAY(B2)</f>
        <v>221.38499999999985</v>
      </c>
    </row>
    <row r="151" spans="1:15" ht="25.5">
      <c r="A151" s="895" t="s">
        <v>338</v>
      </c>
      <c r="B151" s="896"/>
      <c r="C151" s="897"/>
      <c r="D151" s="117" t="s">
        <v>130</v>
      </c>
      <c r="E151" s="95">
        <f>'9'!F151</f>
        <v>128963</v>
      </c>
      <c r="F151" s="233">
        <v>129226</v>
      </c>
      <c r="G151" s="112">
        <f t="shared" si="10"/>
        <v>263</v>
      </c>
      <c r="H151" s="99">
        <f>G151+'9'!H151</f>
        <v>2623</v>
      </c>
      <c r="I151" s="119"/>
      <c r="J151" s="328">
        <f>H151/DAY(B2)</f>
        <v>262.3</v>
      </c>
    </row>
    <row r="152" spans="1:15" ht="25.5">
      <c r="A152" s="895" t="s">
        <v>339</v>
      </c>
      <c r="B152" s="896"/>
      <c r="C152" s="897"/>
      <c r="D152" s="117" t="s">
        <v>130</v>
      </c>
      <c r="E152" s="95">
        <f>'9'!F152</f>
        <v>20437.95</v>
      </c>
      <c r="F152" s="233">
        <v>20574.400000000001</v>
      </c>
      <c r="G152" s="112">
        <f t="shared" si="10"/>
        <v>136.45000000000073</v>
      </c>
      <c r="H152" s="99">
        <f>G152+'9'!H152</f>
        <v>1286.3199999999997</v>
      </c>
      <c r="I152" s="119"/>
      <c r="J152" s="328">
        <f>H152/DAY(B2)</f>
        <v>128.63199999999998</v>
      </c>
    </row>
    <row r="153" spans="1:15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2783.4700000000485</v>
      </c>
      <c r="H153" s="363"/>
      <c r="I153" s="119">
        <f>G153-(G38+G52)</f>
        <v>498.19000000002052</v>
      </c>
      <c r="J153" s="366"/>
    </row>
    <row r="154" spans="1:15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5" ht="27.75">
      <c r="A155" s="903" t="s">
        <v>345</v>
      </c>
      <c r="B155" s="903"/>
      <c r="C155" s="903"/>
      <c r="D155" s="117" t="s">
        <v>130</v>
      </c>
      <c r="E155" s="95">
        <f>'9'!F155</f>
        <v>135484.18</v>
      </c>
      <c r="F155" s="374">
        <v>136040.57</v>
      </c>
      <c r="G155" s="112">
        <f t="shared" ref="G155:G158" si="11">F155-E155</f>
        <v>556.39000000001397</v>
      </c>
      <c r="H155" s="99">
        <f>G155+'9'!H155</f>
        <v>5799.1900000000023</v>
      </c>
      <c r="I155" s="364"/>
      <c r="J155" s="328">
        <f>H155/DAY(B2)</f>
        <v>579.91900000000021</v>
      </c>
      <c r="O155" s="65">
        <v>678.99000000000524</v>
      </c>
    </row>
    <row r="156" spans="1:15" ht="25.5">
      <c r="A156" s="903" t="s">
        <v>346</v>
      </c>
      <c r="B156" s="903"/>
      <c r="C156" s="903"/>
      <c r="D156" s="117" t="s">
        <v>130</v>
      </c>
      <c r="E156" s="95">
        <f>'9'!F156</f>
        <v>12846.14</v>
      </c>
      <c r="F156" s="155">
        <v>12925.03</v>
      </c>
      <c r="G156" s="112">
        <f t="shared" si="11"/>
        <v>78.890000000001237</v>
      </c>
      <c r="H156" s="99">
        <f>G156+'9'!H156</f>
        <v>831.67000000000007</v>
      </c>
      <c r="I156" s="165"/>
      <c r="J156" s="328">
        <f>H156/DAY(B2)</f>
        <v>83.167000000000002</v>
      </c>
      <c r="O156" s="65">
        <v>50.350000000000364</v>
      </c>
    </row>
    <row r="157" spans="1:15" ht="25.5">
      <c r="A157" s="895" t="s">
        <v>360</v>
      </c>
      <c r="B157" s="896"/>
      <c r="C157" s="897"/>
      <c r="D157" s="117" t="s">
        <v>130</v>
      </c>
      <c r="E157" s="95">
        <f>'9'!F157</f>
        <v>24467.23</v>
      </c>
      <c r="F157" s="155">
        <v>24591.96</v>
      </c>
      <c r="G157" s="112">
        <f t="shared" si="11"/>
        <v>124.72999999999956</v>
      </c>
      <c r="H157" s="99">
        <f>G157+'9'!H157</f>
        <v>1395.2599999999984</v>
      </c>
      <c r="I157" s="165"/>
      <c r="J157" s="328">
        <f>H157/DAY(B2)</f>
        <v>139.52599999999984</v>
      </c>
      <c r="O157" s="65">
        <v>101.82999999999993</v>
      </c>
    </row>
    <row r="158" spans="1:15" ht="25.5">
      <c r="A158" s="895" t="s">
        <v>361</v>
      </c>
      <c r="B158" s="896"/>
      <c r="C158" s="897"/>
      <c r="D158" s="117" t="s">
        <v>130</v>
      </c>
      <c r="E158" s="95">
        <f>'9'!F158</f>
        <v>224.34</v>
      </c>
      <c r="F158" s="155">
        <v>224.38</v>
      </c>
      <c r="G158" s="112">
        <f t="shared" si="11"/>
        <v>3.9999999999992042E-2</v>
      </c>
      <c r="H158" s="99">
        <f>G158+'9'!H158</f>
        <v>136.68999999999997</v>
      </c>
      <c r="I158" s="165"/>
      <c r="J158" s="328">
        <f>H158/DAY(B2)</f>
        <v>13.668999999999997</v>
      </c>
    </row>
    <row r="159" spans="1:15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5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478580.2</v>
      </c>
      <c r="F161" s="235">
        <v>478731.24</v>
      </c>
      <c r="G161" s="238">
        <f t="shared" ref="G161:G165" si="12">F161-E161</f>
        <v>151.03999999997905</v>
      </c>
      <c r="H161" s="99">
        <f>G161+'9'!H161</f>
        <v>1068.2399999999907</v>
      </c>
      <c r="I161" s="236"/>
      <c r="J161" s="239">
        <f>H161/DAY(B2)</f>
        <v>106.82399999999907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94136</v>
      </c>
      <c r="F162" s="235">
        <v>94150.3</v>
      </c>
      <c r="G162" s="238">
        <f t="shared" si="12"/>
        <v>14.30000000000291</v>
      </c>
      <c r="H162" s="99">
        <f>G162+'9'!H162</f>
        <v>345</v>
      </c>
      <c r="I162" s="236"/>
      <c r="J162" s="239">
        <f>H162/DAY(B2)</f>
        <v>34.5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3361</v>
      </c>
      <c r="F163" s="235">
        <v>3502.3</v>
      </c>
      <c r="G163" s="238">
        <f t="shared" si="12"/>
        <v>141.30000000000018</v>
      </c>
      <c r="H163" s="99">
        <f>G163+'9'!H163</f>
        <v>1476.2000000000003</v>
      </c>
      <c r="I163" s="236"/>
      <c r="J163" s="239">
        <f>H163/DAY(B2)</f>
        <v>147.62000000000003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5999.6</v>
      </c>
      <c r="F164" s="235">
        <v>6009</v>
      </c>
      <c r="G164" s="238">
        <f t="shared" si="12"/>
        <v>9.3999999999996362</v>
      </c>
      <c r="H164" s="99">
        <f>G164+'9'!H164</f>
        <v>110.60000000000036</v>
      </c>
      <c r="I164" s="236"/>
      <c r="J164" s="239">
        <f>H164/DAY(B2)</f>
        <v>11.060000000000036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31435.07</v>
      </c>
      <c r="F165" s="235">
        <v>31437.74</v>
      </c>
      <c r="G165" s="238">
        <f t="shared" si="12"/>
        <v>2.6700000000018917</v>
      </c>
      <c r="H165" s="99">
        <f>G165+'9'!H165</f>
        <v>91.090000000000146</v>
      </c>
      <c r="I165" s="236"/>
      <c r="J165" s="239">
        <f>H165/DAY(B2)</f>
        <v>9.1090000000000142</v>
      </c>
    </row>
    <row r="166" spans="1:10" ht="26.25">
      <c r="A166" s="935"/>
      <c r="B166" s="935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'9'!F173</f>
        <v>8267</v>
      </c>
      <c r="F173" s="155">
        <v>8267</v>
      </c>
      <c r="G173" s="155">
        <f>F173-E173</f>
        <v>0</v>
      </c>
      <c r="H173" s="99">
        <f>G173+'9'!H173</f>
        <v>38</v>
      </c>
      <c r="I173" s="155"/>
      <c r="J173" s="178">
        <f>H173/DAY(B2)</f>
        <v>3.8</v>
      </c>
    </row>
    <row r="174" spans="1:10" ht="34.5" customHeight="1">
      <c r="A174" s="893" t="s">
        <v>75</v>
      </c>
      <c r="B174" s="894"/>
      <c r="C174" s="333"/>
      <c r="D174" s="228" t="s">
        <v>142</v>
      </c>
      <c r="E174" s="95">
        <f>'9'!F174</f>
        <v>40902</v>
      </c>
      <c r="F174" s="157">
        <v>40916</v>
      </c>
      <c r="G174" s="155">
        <f t="shared" ref="G174:G175" si="13">F174-E174</f>
        <v>14</v>
      </c>
      <c r="H174" s="99">
        <f>G174+'9'!H174</f>
        <v>137</v>
      </c>
      <c r="I174" s="155"/>
      <c r="J174" s="178">
        <f>H174/DAY(B2)</f>
        <v>13.7</v>
      </c>
    </row>
    <row r="175" spans="1:10" ht="31.5" customHeight="1">
      <c r="A175" s="893" t="s">
        <v>76</v>
      </c>
      <c r="B175" s="898"/>
      <c r="C175" s="894"/>
      <c r="D175" s="228" t="s">
        <v>142</v>
      </c>
      <c r="E175" s="95">
        <f>'9'!F175</f>
        <v>23771</v>
      </c>
      <c r="F175" s="155">
        <v>23783</v>
      </c>
      <c r="G175" s="155">
        <f t="shared" si="13"/>
        <v>12</v>
      </c>
      <c r="H175" s="99">
        <f>G175+'9'!H175</f>
        <v>127</v>
      </c>
      <c r="I175" s="155"/>
      <c r="J175" s="178">
        <f>H175/DAY(B2)</f>
        <v>12.7</v>
      </c>
    </row>
    <row r="176" spans="1:10" ht="21.75" customHeight="1">
      <c r="A176" s="932" t="s">
        <v>196</v>
      </c>
      <c r="B176" s="933"/>
      <c r="C176" s="333"/>
      <c r="D176" s="228"/>
      <c r="E176" s="95"/>
      <c r="F176" s="155"/>
      <c r="G176" s="155">
        <f>SUM(G173:G175)</f>
        <v>26</v>
      </c>
      <c r="H176" s="99">
        <f>G176+'9'!H176</f>
        <v>302</v>
      </c>
      <c r="I176" s="155"/>
      <c r="J176" s="178">
        <f>H176/DAY(B2)</f>
        <v>30.2</v>
      </c>
    </row>
    <row r="177" spans="1:10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93" t="s">
        <v>210</v>
      </c>
      <c r="B178" s="894"/>
      <c r="C178" s="333"/>
      <c r="D178" s="228" t="s">
        <v>142</v>
      </c>
      <c r="E178" s="95">
        <f>'9'!F178</f>
        <v>95553</v>
      </c>
      <c r="F178" s="157">
        <v>95639</v>
      </c>
      <c r="G178" s="155">
        <f>F178-E178</f>
        <v>86</v>
      </c>
      <c r="H178" s="99">
        <f>G178+'9'!H178</f>
        <v>788</v>
      </c>
      <c r="I178" s="155"/>
      <c r="J178" s="178">
        <f>H178/DAY(B2)</f>
        <v>78.8</v>
      </c>
    </row>
    <row r="179" spans="1:10" ht="27.75" customHeight="1">
      <c r="A179" s="893" t="s">
        <v>211</v>
      </c>
      <c r="B179" s="894"/>
      <c r="C179" s="333"/>
      <c r="D179" s="228" t="s">
        <v>142</v>
      </c>
      <c r="E179" s="95">
        <f>'9'!F179</f>
        <v>36002</v>
      </c>
      <c r="F179" s="155">
        <v>36002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'9'!F180</f>
        <v>6942</v>
      </c>
      <c r="F180" s="155">
        <v>6953</v>
      </c>
      <c r="G180" s="155">
        <f t="shared" si="14"/>
        <v>11</v>
      </c>
      <c r="H180" s="99">
        <f>G180+'9'!H180</f>
        <v>71</v>
      </c>
      <c r="I180" s="155"/>
      <c r="J180" s="178">
        <f>H180/DAY(B2)</f>
        <v>7.1</v>
      </c>
    </row>
    <row r="181" spans="1:10" ht="25.5">
      <c r="A181" s="939" t="s">
        <v>108</v>
      </c>
      <c r="B181" s="940"/>
      <c r="C181" s="333"/>
      <c r="D181" s="228"/>
      <c r="E181" s="95"/>
      <c r="F181" s="155"/>
      <c r="G181" s="155">
        <f>SUM(G178:G180)</f>
        <v>97</v>
      </c>
      <c r="H181" s="99">
        <f>G181+'9'!H181</f>
        <v>859</v>
      </c>
      <c r="I181" s="155"/>
      <c r="J181" s="178">
        <f>H181/DAY(B2)</f>
        <v>85.9</v>
      </c>
    </row>
    <row r="182" spans="1:10" ht="25.5">
      <c r="A182" s="893" t="s">
        <v>213</v>
      </c>
      <c r="B182" s="894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'9'!F183</f>
        <v>17340</v>
      </c>
      <c r="F183" s="157">
        <v>17349</v>
      </c>
      <c r="G183" s="157">
        <f>F183-E183</f>
        <v>9</v>
      </c>
      <c r="H183" s="99">
        <f>G183+'9'!H183</f>
        <v>74</v>
      </c>
      <c r="I183" s="155"/>
      <c r="J183" s="178">
        <f>H183/DAY(B2)</f>
        <v>7.4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'9'!F184</f>
        <v>11743</v>
      </c>
      <c r="F184" s="157">
        <v>11748</v>
      </c>
      <c r="G184" s="157">
        <f t="shared" ref="G184:G185" si="15">F184-E184</f>
        <v>5</v>
      </c>
      <c r="H184" s="99">
        <f>G184+'9'!H184</f>
        <v>59</v>
      </c>
      <c r="I184" s="155"/>
      <c r="J184" s="178">
        <f>H184/DAY(B2)</f>
        <v>5.9</v>
      </c>
    </row>
    <row r="185" spans="1:10" ht="37.5" customHeight="1">
      <c r="A185" s="893" t="s">
        <v>216</v>
      </c>
      <c r="B185" s="894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932" t="s">
        <v>196</v>
      </c>
      <c r="B186" s="933"/>
      <c r="C186" s="334"/>
      <c r="D186" s="229"/>
      <c r="E186" s="95"/>
      <c r="F186" s="157"/>
      <c r="G186" s="157">
        <f>SUM(G183:G185)</f>
        <v>14</v>
      </c>
      <c r="H186" s="99">
        <f>G186+'9'!H186</f>
        <v>133</v>
      </c>
      <c r="I186" s="157"/>
      <c r="J186" s="178">
        <f>H186/DAY(B2)</f>
        <v>13.3</v>
      </c>
    </row>
    <row r="187" spans="1:10" ht="21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424">
        <f>G62+G19</f>
        <v>163</v>
      </c>
      <c r="H187" s="99">
        <f>G187+'9'!H187</f>
        <v>1513</v>
      </c>
      <c r="I187" s="158"/>
      <c r="J187" s="179">
        <f>H187/DAY(B2)</f>
        <v>151.30000000000001</v>
      </c>
    </row>
    <row r="188" spans="1:10" ht="21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424">
        <f>G65+G66+G67+G69+G70</f>
        <v>142</v>
      </c>
      <c r="H188" s="99">
        <f>G188+'9'!H188</f>
        <v>1293</v>
      </c>
      <c r="I188" s="158"/>
      <c r="J188" s="179">
        <f>H188/DAY(B2)</f>
        <v>129.30000000000001</v>
      </c>
    </row>
    <row r="189" spans="1:10" ht="21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421">
        <f>G181</f>
        <v>97</v>
      </c>
      <c r="H189" s="99">
        <f>G189+'9'!H189</f>
        <v>859</v>
      </c>
      <c r="I189" s="158"/>
      <c r="J189" s="179">
        <f>H189/DAY(B2)</f>
        <v>85.9</v>
      </c>
    </row>
    <row r="190" spans="1:10" ht="27" customHeight="1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21" zoomScale="55" zoomScaleNormal="55" workbookViewId="0">
      <selection activeCell="F180" sqref="F180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30.75" customHeight="1">
      <c r="A2" s="191" t="s">
        <v>354</v>
      </c>
      <c r="B2" s="262">
        <v>44753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792637.11</v>
      </c>
      <c r="F7" s="95">
        <v>818544.87</v>
      </c>
      <c r="G7" s="112">
        <f>F7-E7</f>
        <v>25907.760000000009</v>
      </c>
      <c r="H7" s="99">
        <f>G7+'10'!H7</f>
        <v>295580.37</v>
      </c>
      <c r="I7" s="113">
        <f>'1'!I7</f>
        <v>12000</v>
      </c>
      <c r="J7" s="175">
        <f>H7/DAY(B2)</f>
        <v>26870.942727272726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936079.59</v>
      </c>
      <c r="F8" s="114">
        <v>962441.19</v>
      </c>
      <c r="G8" s="115">
        <f>F8-E8</f>
        <v>26361.599999999977</v>
      </c>
      <c r="H8" s="99">
        <f>G8+'10'!H8</f>
        <v>300652.18999999994</v>
      </c>
      <c r="I8" s="116"/>
      <c r="J8" s="175">
        <f>H8/DAY(B2)</f>
        <v>27332.017272727269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3056380.9</v>
      </c>
      <c r="F9" s="469">
        <v>3068315.9</v>
      </c>
      <c r="G9" s="112">
        <f>F9-E9</f>
        <v>11935</v>
      </c>
      <c r="H9" s="99">
        <f>G9+'10'!H9</f>
        <v>150666.79999999981</v>
      </c>
      <c r="I9" s="124">
        <f>I7-J7</f>
        <v>-14870.942727272726</v>
      </c>
      <c r="J9" s="175">
        <f>H9/DAY(B2)</f>
        <v>13696.981818181801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1359783.2</v>
      </c>
      <c r="F10" s="353">
        <v>1373052.5</v>
      </c>
      <c r="G10" s="112">
        <f t="shared" ref="G10:G12" si="0">F10-E10</f>
        <v>13269.300000000047</v>
      </c>
      <c r="H10" s="99">
        <f>G10+'10'!H10</f>
        <v>137365.87000000011</v>
      </c>
      <c r="I10" s="282"/>
      <c r="J10" s="175">
        <f>H10/DAY(B2)</f>
        <v>12487.806363636373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25204.300000000047</v>
      </c>
      <c r="H13" s="99">
        <f>G13+'10'!H13</f>
        <v>289761.60000000009</v>
      </c>
      <c r="I13" s="120">
        <f>G7-G13</f>
        <v>703.45999999996275</v>
      </c>
      <c r="J13" s="175">
        <f>H13/DAY(B2)</f>
        <v>26341.963636363645</v>
      </c>
      <c r="K13" s="79"/>
      <c r="L13" s="66"/>
      <c r="N13" s="87"/>
      <c r="O13" s="71"/>
    </row>
    <row r="14" spans="1:16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2078345.56</v>
      </c>
      <c r="F15" s="469">
        <v>2079290.32</v>
      </c>
      <c r="G15" s="112">
        <f>(F15-E15)</f>
        <v>944.76000000000931</v>
      </c>
      <c r="H15" s="99">
        <f>G15+'10'!H15</f>
        <v>11211.910000000149</v>
      </c>
      <c r="I15" s="113">
        <f>'1'!I15</f>
        <v>800</v>
      </c>
      <c r="J15" s="175">
        <f>H15/DAY(B2)</f>
        <v>1019.264545454559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-219.26454545455897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'10'!F18</f>
        <v>22</v>
      </c>
      <c r="F18" s="164">
        <v>17</v>
      </c>
      <c r="G18" s="119">
        <f>F18*10</f>
        <v>170</v>
      </c>
      <c r="H18" s="99">
        <f>G18+'10'!H18</f>
        <v>2020</v>
      </c>
      <c r="I18" s="113">
        <f>'1'!I18</f>
        <v>65</v>
      </c>
      <c r="J18" s="175">
        <f>H18/DAY(B2)</f>
        <v>183.63636363636363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'10'!F19</f>
        <v>161308</v>
      </c>
      <c r="F19" s="122">
        <v>161359</v>
      </c>
      <c r="G19" s="112">
        <f t="shared" ref="G19" si="1">F19-E19</f>
        <v>51</v>
      </c>
      <c r="H19" s="99">
        <f>G19+'10'!H19</f>
        <v>536</v>
      </c>
      <c r="I19" s="335"/>
      <c r="J19" s="175">
        <f>H19/DAY(B2)</f>
        <v>48.727272727272727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221</v>
      </c>
      <c r="H20" s="99">
        <f>G20+'10'!H20</f>
        <v>2556</v>
      </c>
      <c r="I20" s="336">
        <f>I18-J20</f>
        <v>-167.36363636363637</v>
      </c>
      <c r="J20" s="175">
        <f>H20/DAY(B2)</f>
        <v>232.36363636363637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26361.599999999977</v>
      </c>
      <c r="F27" s="136">
        <v>9</v>
      </c>
      <c r="G27" s="137">
        <f>E27*F27</f>
        <v>237254.39999999979</v>
      </c>
      <c r="H27" s="99">
        <f>G27+'10'!H27</f>
        <v>2705869.7099999995</v>
      </c>
      <c r="I27" s="138"/>
      <c r="J27" s="175">
        <f>H27/DAY(B2)</f>
        <v>245988.1554545454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944.76000000000931</v>
      </c>
      <c r="F28" s="136">
        <v>70</v>
      </c>
      <c r="G28" s="137">
        <f>E28*F28</f>
        <v>66133.200000000652</v>
      </c>
      <c r="H28" s="99">
        <f>G28+'10'!H28</f>
        <v>784833.70000001043</v>
      </c>
      <c r="I28" s="140"/>
      <c r="J28" s="175">
        <f>H28/DAY(B2)</f>
        <v>71348.518181819134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G30+'10'!H30</f>
        <v>80936</v>
      </c>
      <c r="I30" s="140"/>
      <c r="J30" s="175">
        <f>H30/DAY(B2)</f>
        <v>7357.818181818182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G31+'10'!H31</f>
        <v>161600</v>
      </c>
      <c r="I31" s="140"/>
      <c r="J31" s="175">
        <f>H31/DAY(B2)</f>
        <v>14690.90909090909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324688.60000000044</v>
      </c>
      <c r="H32" s="99">
        <f>G32+'10'!H32</f>
        <v>3733239.4100000104</v>
      </c>
      <c r="I32" s="144"/>
      <c r="J32" s="175">
        <f>H32/DAY(B2)</f>
        <v>339385.40090909187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238713.05</v>
      </c>
      <c r="F35" s="145">
        <v>238713.05</v>
      </c>
      <c r="G35" s="112">
        <f t="shared" ref="G35:G46" si="3">F35-E35</f>
        <v>0</v>
      </c>
      <c r="H35" s="99">
        <f>G35+'10'!H35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196395.71</v>
      </c>
      <c r="F36" s="145">
        <v>197092.55</v>
      </c>
      <c r="G36" s="112">
        <f t="shared" si="3"/>
        <v>696.83999999999651</v>
      </c>
      <c r="H36" s="99">
        <f>G36+'10'!H36</f>
        <v>10172.319999999978</v>
      </c>
      <c r="I36" s="95"/>
      <c r="J36" s="175">
        <f>H36/DAY(B2)</f>
        <v>924.75636363636158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302666.25</v>
      </c>
      <c r="F37" s="145">
        <v>304153.39</v>
      </c>
      <c r="G37" s="112">
        <f t="shared" si="3"/>
        <v>1487.140000000014</v>
      </c>
      <c r="H37" s="99">
        <f>G37+'10'!H37</f>
        <v>17434.400000000023</v>
      </c>
      <c r="I37" s="95"/>
      <c r="J37" s="175">
        <f>H37/DAY(B2)</f>
        <v>1584.9454545454566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409203.39</v>
      </c>
      <c r="F38" s="108">
        <v>411507.55</v>
      </c>
      <c r="G38" s="112">
        <f t="shared" si="3"/>
        <v>2304.1599999999744</v>
      </c>
      <c r="H38" s="99">
        <f>G38+'10'!H38</f>
        <v>24844.200000000012</v>
      </c>
      <c r="I38" s="95"/>
      <c r="J38" s="175">
        <f>H38/DAY(B2)</f>
        <v>2258.5636363636372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553161.11</v>
      </c>
      <c r="F39" s="145">
        <v>556009.91</v>
      </c>
      <c r="G39" s="112">
        <f t="shared" si="3"/>
        <v>2848.8000000000466</v>
      </c>
      <c r="H39" s="99">
        <f>G39+'10'!H39</f>
        <v>32629.320000000007</v>
      </c>
      <c r="I39" s="95"/>
      <c r="J39" s="175">
        <f>H39/DAY(B2)</f>
        <v>2966.3018181818188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89883.513000000006</v>
      </c>
      <c r="F40" s="145">
        <v>90601.51</v>
      </c>
      <c r="G40" s="112">
        <f t="shared" si="3"/>
        <v>717.99699999998847</v>
      </c>
      <c r="H40" s="99">
        <f>G40+'10'!H40</f>
        <v>6930.4199999999983</v>
      </c>
      <c r="I40" s="95"/>
      <c r="J40" s="175">
        <f>H40/DAY(B2)</f>
        <v>630.03818181818167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158338.76999999999</v>
      </c>
      <c r="F41" s="145">
        <v>158338.76999999999</v>
      </c>
      <c r="G41" s="112">
        <f t="shared" si="3"/>
        <v>0</v>
      </c>
      <c r="H41" s="99">
        <f>G41+'10'!H41</f>
        <v>15520.369999999995</v>
      </c>
      <c r="I41" s="95"/>
      <c r="J41" s="175">
        <f>H41/DAY(B2)</f>
        <v>1410.9427272727269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721198</v>
      </c>
      <c r="F42" s="145">
        <v>724441.83</v>
      </c>
      <c r="G42" s="112">
        <f t="shared" si="3"/>
        <v>3243.8299999999581</v>
      </c>
      <c r="H42" s="99">
        <f>G42+'10'!H42</f>
        <v>35809.279999999912</v>
      </c>
      <c r="I42" s="95"/>
      <c r="J42" s="175">
        <f>H42/DAY(B2)</f>
        <v>3255.3890909090828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3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11298.766999999978</v>
      </c>
      <c r="H47" s="99">
        <f>G47+'10'!H47</f>
        <v>143340.30999999994</v>
      </c>
      <c r="I47" s="95"/>
      <c r="J47" s="175">
        <f>H47/DAY(B2)</f>
        <v>13030.937272727268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404115.87</v>
      </c>
      <c r="F49" s="145">
        <v>407906.59</v>
      </c>
      <c r="G49" s="112">
        <f t="shared" ref="G49:G58" si="4">F49-E49</f>
        <v>3790.7200000000303</v>
      </c>
      <c r="H49" s="99">
        <f>G49+'10'!H49</f>
        <v>37134.840000000026</v>
      </c>
      <c r="I49" s="95"/>
      <c r="J49" s="175">
        <f>H49/DAY(B2)</f>
        <v>3375.8945454545478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255395.01</v>
      </c>
      <c r="F50" s="145">
        <v>256453.01</v>
      </c>
      <c r="G50" s="112">
        <f t="shared" si="4"/>
        <v>1058</v>
      </c>
      <c r="H50" s="99">
        <f>G50+'10'!H50</f>
        <v>13347.610000000015</v>
      </c>
      <c r="I50" s="95"/>
      <c r="J50" s="175">
        <f>H50/DAY(B2)</f>
        <v>1213.4190909090923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75.680000000000007</v>
      </c>
      <c r="F51" s="145">
        <v>76</v>
      </c>
      <c r="G51" s="112">
        <f t="shared" si="4"/>
        <v>0.31999999999999318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80551.360000000001</v>
      </c>
      <c r="F54" s="145">
        <v>80904.52</v>
      </c>
      <c r="G54" s="112">
        <f t="shared" si="4"/>
        <v>353.16000000000349</v>
      </c>
      <c r="H54" s="99">
        <f>G54+'10'!H54</f>
        <v>3887.0200000000041</v>
      </c>
      <c r="I54" s="95"/>
      <c r="J54" s="175">
        <f>H54/DAY(B2)</f>
        <v>353.3654545454549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303072.90999999997</v>
      </c>
      <c r="F55" s="145">
        <v>306778.34999999998</v>
      </c>
      <c r="G55" s="112">
        <f t="shared" si="4"/>
        <v>3705.4400000000023</v>
      </c>
      <c r="H55" s="99">
        <f>G55+'10'!H55</f>
        <v>22695.419999999984</v>
      </c>
      <c r="I55" s="95"/>
      <c r="J55" s="175">
        <f>H55/DAY(B2)</f>
        <v>2063.2199999999984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120880.14</v>
      </c>
      <c r="F56" s="423">
        <v>120880.14</v>
      </c>
      <c r="G56" s="112">
        <f t="shared" si="4"/>
        <v>0</v>
      </c>
      <c r="H56" s="99">
        <f>G56+'10'!H56</f>
        <v>9637.0099999999948</v>
      </c>
      <c r="I56" s="95"/>
      <c r="J56" s="175">
        <f>H56/DAY(B2)</f>
        <v>876.09181818181776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163148.81</v>
      </c>
      <c r="F57" s="145">
        <v>166092.13</v>
      </c>
      <c r="G57" s="112">
        <f t="shared" si="4"/>
        <v>2943.320000000007</v>
      </c>
      <c r="H57" s="99">
        <f>G57+'10'!H57</f>
        <v>34188.429999999993</v>
      </c>
      <c r="I57" s="95"/>
      <c r="J57" s="175">
        <f>H57/DAY(B2)</f>
        <v>3108.0390909090902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43234.23</v>
      </c>
      <c r="F58" s="145">
        <v>43512.45</v>
      </c>
      <c r="G58" s="112">
        <f t="shared" si="4"/>
        <v>278.21999999999389</v>
      </c>
      <c r="H58" s="99">
        <f>G58+'10'!H58</f>
        <v>3232.3399999999965</v>
      </c>
      <c r="I58" s="95"/>
      <c r="J58" s="175">
        <f>H58/DAY(B2)</f>
        <v>293.84909090909059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12129.180000000037</v>
      </c>
      <c r="H59" s="99">
        <f>G59+'10'!H59</f>
        <v>124122.75000000001</v>
      </c>
      <c r="I59" s="95">
        <f>G7-G60</f>
        <v>2479.8129999999946</v>
      </c>
      <c r="J59" s="175">
        <f>H59/DAY(B2)</f>
        <v>11283.886363636366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23427.947000000015</v>
      </c>
      <c r="H60" s="99">
        <f>G60+'10'!H60</f>
        <v>267463.05999999994</v>
      </c>
      <c r="I60" s="95">
        <f>G13-G60</f>
        <v>1776.3530000000319</v>
      </c>
      <c r="J60" s="175">
        <f>H60/DAY(B2)</f>
        <v>24314.823636363632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'10'!F62</f>
        <v>293726</v>
      </c>
      <c r="F62" s="122">
        <v>293848</v>
      </c>
      <c r="G62" s="112">
        <f t="shared" ref="G62:G63" si="5">F62-E62</f>
        <v>122</v>
      </c>
      <c r="H62" s="99">
        <f>G62+'10'!H62</f>
        <v>1150</v>
      </c>
      <c r="I62" s="118"/>
      <c r="J62" s="175">
        <f>H62/DAY(B2)</f>
        <v>104.54545454545455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'10'!F63</f>
        <v>236171</v>
      </c>
      <c r="F63" s="150">
        <v>236265</v>
      </c>
      <c r="G63" s="112">
        <f t="shared" si="5"/>
        <v>94</v>
      </c>
      <c r="H63" s="99">
        <f>G63+'10'!H63</f>
        <v>1199</v>
      </c>
      <c r="I63" s="118"/>
      <c r="J63" s="175">
        <f>H63/DAY(B2)</f>
        <v>109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'10'!F64</f>
        <v>0</v>
      </c>
      <c r="F64" s="122"/>
      <c r="G64" s="112">
        <f>G62+G63</f>
        <v>216</v>
      </c>
      <c r="H64" s="99">
        <f>G64+'10'!H64</f>
        <v>2349</v>
      </c>
      <c r="I64" s="118"/>
      <c r="J64" s="175">
        <f>H64/DAY(B2)</f>
        <v>213.54545454545453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'10'!F65</f>
        <v>452373</v>
      </c>
      <c r="F65" s="122">
        <v>452475</v>
      </c>
      <c r="G65" s="112">
        <f t="shared" ref="G65:G70" si="6">F65-E65</f>
        <v>102</v>
      </c>
      <c r="H65" s="99">
        <f>G65+'10'!H65</f>
        <v>1086</v>
      </c>
      <c r="I65" s="118"/>
      <c r="J65" s="175">
        <f>H65/DAY(B2)</f>
        <v>98.727272727272734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111212</v>
      </c>
      <c r="F66" s="122">
        <v>111231</v>
      </c>
      <c r="G66" s="112">
        <f t="shared" si="6"/>
        <v>19</v>
      </c>
      <c r="H66" s="99">
        <f>G66+'10'!H66</f>
        <v>204</v>
      </c>
      <c r="I66" s="118"/>
      <c r="J66" s="175">
        <f>H66/DAY(B2)</f>
        <v>18.545454545454547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113680</v>
      </c>
      <c r="F67" s="404">
        <v>113680</v>
      </c>
      <c r="G67" s="112">
        <f t="shared" si="6"/>
        <v>0</v>
      </c>
      <c r="H67" s="99">
        <f>G67+'10'!H67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163966</v>
      </c>
      <c r="F68" s="122">
        <v>163991</v>
      </c>
      <c r="G68" s="112">
        <f t="shared" si="6"/>
        <v>25</v>
      </c>
      <c r="H68" s="99">
        <f>G68+'10'!H68</f>
        <v>465</v>
      </c>
      <c r="I68" s="118"/>
      <c r="J68" s="175">
        <f>H68/DAY(B2)</f>
        <v>42.272727272727273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12178</v>
      </c>
      <c r="F69" s="122">
        <v>12181</v>
      </c>
      <c r="G69" s="112">
        <f t="shared" si="6"/>
        <v>3</v>
      </c>
      <c r="H69" s="99">
        <f>G69+'10'!H69</f>
        <v>53</v>
      </c>
      <c r="I69" s="118"/>
      <c r="J69" s="175">
        <f>H69/DAY(B2)</f>
        <v>4.8181818181818183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9588</v>
      </c>
      <c r="F70" s="122">
        <v>9602</v>
      </c>
      <c r="G70" s="112">
        <f t="shared" si="6"/>
        <v>14</v>
      </c>
      <c r="H70" s="99">
        <f>G70+'10'!H70</f>
        <v>88</v>
      </c>
      <c r="I70" s="118"/>
      <c r="J70" s="175">
        <f>H70/DAY(B2)</f>
        <v>8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163</v>
      </c>
      <c r="H71" s="99">
        <f>G71+'10'!H71</f>
        <v>1896</v>
      </c>
      <c r="I71" s="154"/>
      <c r="J71" s="175">
        <f>H71/DAY(B2)</f>
        <v>172.36363636363637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'10'!F74</f>
        <v>950734.29</v>
      </c>
      <c r="F74" s="117">
        <v>951004.73</v>
      </c>
      <c r="G74" s="112">
        <f>F74-E74</f>
        <v>270.43999999994412</v>
      </c>
      <c r="H74" s="99">
        <f>G74+'10'!H74</f>
        <v>3297.5300000000279</v>
      </c>
      <c r="I74" s="154"/>
      <c r="J74" s="175">
        <f>H74/DAY(B2)</f>
        <v>299.77545454545708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'10'!F76</f>
        <v>187957</v>
      </c>
      <c r="F76" s="123">
        <v>188055</v>
      </c>
      <c r="G76" s="112">
        <f t="shared" si="7"/>
        <v>98</v>
      </c>
      <c r="H76" s="99">
        <f>G76+'10'!H76</f>
        <v>1163.7000000000116</v>
      </c>
      <c r="I76" s="154"/>
      <c r="J76" s="175">
        <f>H76/DAY(B2)</f>
        <v>105.79090909091015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'10'!F77</f>
        <v>49232</v>
      </c>
      <c r="F77" s="123">
        <v>49267</v>
      </c>
      <c r="G77" s="112">
        <f t="shared" si="7"/>
        <v>35</v>
      </c>
      <c r="H77" s="99">
        <f>G77+'10'!H77</f>
        <v>531.19999999999709</v>
      </c>
      <c r="I77" s="154"/>
      <c r="J77" s="175">
        <f>H77/DAY(B2)</f>
        <v>48.290909090908826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-0.3999999999996362</v>
      </c>
      <c r="I78" s="118"/>
      <c r="J78" s="175">
        <f>H78/DAY(B2)</f>
        <v>-3.6363636363603291E-2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'10'!F79</f>
        <v>0</v>
      </c>
      <c r="F79" s="117"/>
      <c r="G79" s="112">
        <f>G15-SUM(G74:G78)</f>
        <v>541.32000000006519</v>
      </c>
      <c r="H79" s="99">
        <f>G79+'10'!H79</f>
        <v>6219.880000000112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944.76000000000931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42340.05</v>
      </c>
      <c r="F84" s="164">
        <v>42340.05</v>
      </c>
      <c r="G84" s="112">
        <f t="shared" si="8"/>
        <v>0</v>
      </c>
      <c r="H84" s="99">
        <f>G84+'10'!H84</f>
        <v>65.05000000000291</v>
      </c>
      <c r="I84" s="573"/>
      <c r="J84" s="175">
        <f>H84/DAY(B2)</f>
        <v>5.9136363636366278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5019.47</v>
      </c>
      <c r="F85" s="164">
        <v>5034.22</v>
      </c>
      <c r="G85" s="112">
        <f t="shared" si="8"/>
        <v>14.75</v>
      </c>
      <c r="H85" s="99">
        <f>G85+'10'!H85</f>
        <v>152.21000000000004</v>
      </c>
      <c r="I85" s="573"/>
      <c r="J85" s="175">
        <f>H85/DAY(B2)</f>
        <v>13.837272727272731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44975.85</v>
      </c>
      <c r="F86" s="164">
        <v>45000.32</v>
      </c>
      <c r="G86" s="112">
        <f t="shared" si="8"/>
        <v>24.470000000001164</v>
      </c>
      <c r="H86" s="99">
        <f>G86+'10'!H86</f>
        <v>148.0199999999968</v>
      </c>
      <c r="I86" s="573"/>
      <c r="J86" s="175">
        <f>H86/DAY(B2)</f>
        <v>13.456363636363346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35433.01</v>
      </c>
      <c r="F87" s="164">
        <v>35433.01</v>
      </c>
      <c r="G87" s="112">
        <f t="shared" si="8"/>
        <v>0</v>
      </c>
      <c r="H87" s="99">
        <f>G87+'10'!H87</f>
        <v>74.959999999999127</v>
      </c>
      <c r="I87" s="573">
        <f>G84+G85+G86+G87</f>
        <v>39.220000000001164</v>
      </c>
      <c r="J87" s="175">
        <f>H87/DAY(B2)</f>
        <v>6.8145454545453754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24293.88</v>
      </c>
      <c r="F88" s="164">
        <v>24293.88</v>
      </c>
      <c r="G88" s="112">
        <f t="shared" si="8"/>
        <v>0</v>
      </c>
      <c r="H88" s="99">
        <f>G88+'10'!H88</f>
        <v>16.680000000000291</v>
      </c>
      <c r="I88" s="573"/>
      <c r="J88" s="175">
        <f>H88/DAY(B2)</f>
        <v>1.5163636363636628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27374.6</v>
      </c>
      <c r="F89" s="164">
        <v>27384.03</v>
      </c>
      <c r="G89" s="112">
        <f t="shared" si="8"/>
        <v>9.430000000000291</v>
      </c>
      <c r="H89" s="99">
        <f>G89+'10'!H89</f>
        <v>92.610000000000582</v>
      </c>
      <c r="I89" s="573">
        <f>G88+G89</f>
        <v>9.430000000000291</v>
      </c>
      <c r="J89" s="175">
        <f>H89/DAY(B2)</f>
        <v>8.4190909090909614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72384.27</v>
      </c>
      <c r="F90" s="164">
        <v>72394.490000000005</v>
      </c>
      <c r="G90" s="112">
        <f t="shared" si="8"/>
        <v>10.220000000001164</v>
      </c>
      <c r="H90" s="99">
        <f>G90+'10'!H90</f>
        <v>93.360000000015134</v>
      </c>
      <c r="I90" s="573">
        <f>G90</f>
        <v>10.220000000001164</v>
      </c>
      <c r="J90" s="175">
        <f>H90/DAY(B2)</f>
        <v>8.4872727272741031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4187.57</v>
      </c>
      <c r="F91" s="122">
        <v>4194.1499999999996</v>
      </c>
      <c r="G91" s="112">
        <f t="shared" si="8"/>
        <v>6.5799999999999272</v>
      </c>
      <c r="H91" s="99">
        <f>G91+'10'!H91</f>
        <v>55.710000000000036</v>
      </c>
      <c r="I91" s="592"/>
      <c r="J91" s="175">
        <f>H91/DAY(B2)</f>
        <v>5.064545454545458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6574.75</v>
      </c>
      <c r="F92" s="122">
        <v>6577.87</v>
      </c>
      <c r="G92" s="112">
        <f t="shared" si="8"/>
        <v>3.1199999999998909</v>
      </c>
      <c r="H92" s="99">
        <f>G92+'10'!H92</f>
        <v>62.529999999999745</v>
      </c>
      <c r="I92" s="598">
        <f>G91+G92</f>
        <v>9.6999999999998181</v>
      </c>
      <c r="J92" s="175">
        <f>H92/DAY(B2)</f>
        <v>5.6845454545454315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6734.0400000000373</v>
      </c>
      <c r="H94" s="99">
        <f>G94+'10'!H94</f>
        <v>71323.270000000019</v>
      </c>
      <c r="I94" s="118"/>
      <c r="J94" s="175">
        <f>H94/DAY(B2)</f>
        <v>6483.9336363636385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0.25992366765787683</v>
      </c>
      <c r="H95" s="99">
        <f>G95+'10'!H95</f>
        <v>2.661870417745777</v>
      </c>
      <c r="I95" s="167"/>
      <c r="J95" s="175">
        <f>H95/DAY(B2)</f>
        <v>0.24198821979507065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6949.2699999999604</v>
      </c>
      <c r="H96" s="99">
        <f>G96+'10'!H96</f>
        <v>83662.079999999885</v>
      </c>
      <c r="I96" s="118"/>
      <c r="J96" s="175">
        <f>H96/DAY(B2)</f>
        <v>7605.6436363636258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0.26823121721059473</v>
      </c>
      <c r="H97" s="99">
        <f>G97+'10'!H97</f>
        <v>3.1002005380262707</v>
      </c>
      <c r="I97" s="167"/>
      <c r="J97" s="175">
        <f>H97/DAY(B2)</f>
        <v>0.28183641254784281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2848.8000000000466</v>
      </c>
      <c r="H98" s="99">
        <f>G98+'10'!H98</f>
        <v>32629.320000000007</v>
      </c>
      <c r="I98" s="168"/>
      <c r="J98" s="175">
        <f>H98/DAY(B2)</f>
        <v>2966.3018181818188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0.10995933264782619</v>
      </c>
      <c r="H99" s="99">
        <f>G99+'10'!H99</f>
        <v>1.2162901489497724</v>
      </c>
      <c r="I99" s="168"/>
      <c r="J99" s="175">
        <f>H99/DAY(B2)</f>
        <v>0.11057183172270658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2304.1599999999744</v>
      </c>
      <c r="H100" s="99">
        <f>G100+'10'!H100</f>
        <v>24843.960000000014</v>
      </c>
      <c r="I100" s="118"/>
      <c r="J100" s="175">
        <f>H100/DAY(B2)</f>
        <v>2258.5418181818195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8.8937059784403347E-2</v>
      </c>
      <c r="H101" s="99">
        <f>G101+'10'!H101</f>
        <v>0.92594909976649165</v>
      </c>
      <c r="I101" s="168"/>
      <c r="J101" s="175">
        <f>H101/DAY(B2)</f>
        <v>8.4177190887862879E-2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1754.8399999999965</v>
      </c>
      <c r="H102" s="99">
        <f>G102+'10'!H102</f>
        <v>23519.929999999993</v>
      </c>
      <c r="I102" s="168"/>
      <c r="J102" s="175">
        <f>H102/DAY(B2)</f>
        <v>2138.1754545454537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6.7734146062801107E-2</v>
      </c>
      <c r="H103" s="99">
        <f>G103+'10'!H103</f>
        <v>0.87224255586842181</v>
      </c>
      <c r="I103" s="118"/>
      <c r="J103" s="175">
        <f>H103/DAY(B2)</f>
        <v>7.9294777806220171E-2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1487.4600000000139</v>
      </c>
      <c r="H104" s="99">
        <f>G104+'10'!H104</f>
        <v>17434.720000000023</v>
      </c>
      <c r="I104" s="118"/>
      <c r="J104" s="175">
        <f>H104/DAY(B2)</f>
        <v>1584.9745454545475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5.741368609250716E-2</v>
      </c>
      <c r="H105" s="99">
        <f>G105+'10'!H105</f>
        <v>0.65045031551457932</v>
      </c>
      <c r="I105" s="187"/>
      <c r="J105" s="188">
        <f>H105/DAY(B2)</f>
        <v>5.9131846864961757E-2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'10'!F112</f>
        <v>5679.68</v>
      </c>
      <c r="F112" s="237">
        <v>5756.73</v>
      </c>
      <c r="G112" s="112">
        <f t="shared" ref="G112:G123" si="9">F112-E112</f>
        <v>77.049999999999272</v>
      </c>
      <c r="H112" s="99">
        <f>G112+'10'!H112</f>
        <v>826.98999999999978</v>
      </c>
      <c r="I112" s="165"/>
      <c r="J112" s="328">
        <f>H112/DAY(B2)</f>
        <v>75.180909090909068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'10'!F113</f>
        <v>12052.65</v>
      </c>
      <c r="F113" s="237">
        <v>12200.42</v>
      </c>
      <c r="G113" s="112">
        <f t="shared" si="9"/>
        <v>147.77000000000044</v>
      </c>
      <c r="H113" s="99">
        <f>G113+'10'!H113</f>
        <v>1567.7000000000007</v>
      </c>
      <c r="I113" s="165"/>
      <c r="J113" s="328">
        <f>H113/DAY(B2)</f>
        <v>142.51818181818189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'10'!F114</f>
        <v>16485.669999999998</v>
      </c>
      <c r="F114" s="237">
        <v>16719.849999999999</v>
      </c>
      <c r="G114" s="112">
        <f t="shared" si="9"/>
        <v>234.18000000000029</v>
      </c>
      <c r="H114" s="99">
        <f>G114+'10'!H114</f>
        <v>2526.0499999999993</v>
      </c>
      <c r="I114" s="165"/>
      <c r="J114" s="328">
        <f>H114/DAY(B2)</f>
        <v>229.64090909090902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'10'!F115</f>
        <v>10257.61</v>
      </c>
      <c r="F115" s="237">
        <v>10336.459999999999</v>
      </c>
      <c r="G115" s="112">
        <f t="shared" si="9"/>
        <v>78.849999999998545</v>
      </c>
      <c r="H115" s="99">
        <f>G115+'10'!H115</f>
        <v>1315.6799999999985</v>
      </c>
      <c r="I115" s="165"/>
      <c r="J115" s="328">
        <f>H115/DAY(B2)</f>
        <v>119.60727272727259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'10'!F116</f>
        <v>62959.12</v>
      </c>
      <c r="F116" s="237">
        <v>63345.79</v>
      </c>
      <c r="G116" s="112">
        <f t="shared" si="9"/>
        <v>386.66999999999825</v>
      </c>
      <c r="H116" s="99">
        <f>G116+'10'!H116</f>
        <v>4455.239999999998</v>
      </c>
      <c r="I116" s="165"/>
      <c r="J116" s="328">
        <f>H116/DAY(B2)</f>
        <v>405.02181818181799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'10'!F117</f>
        <v>35618.75</v>
      </c>
      <c r="F117" s="237">
        <v>35832.589999999997</v>
      </c>
      <c r="G117" s="112">
        <f t="shared" si="9"/>
        <v>213.83999999999651</v>
      </c>
      <c r="H117" s="99">
        <f>G117+'10'!H117</f>
        <v>2944.1099999999933</v>
      </c>
      <c r="I117" s="165"/>
      <c r="J117" s="328">
        <f>H117/DAY(B2)</f>
        <v>267.64636363636305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'10'!F118</f>
        <v>51338.66</v>
      </c>
      <c r="F118" s="417">
        <v>51970.400000000001</v>
      </c>
      <c r="G118" s="112">
        <f t="shared" si="9"/>
        <v>631.73999999999796</v>
      </c>
      <c r="H118" s="99">
        <f>G118+'10'!H118</f>
        <v>7050.0900000000038</v>
      </c>
      <c r="I118" s="165"/>
      <c r="J118" s="328">
        <f>H118/DAY(B2)</f>
        <v>640.91727272727303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'10'!F119</f>
        <v>32685.35</v>
      </c>
      <c r="F119" s="237">
        <v>32910.54</v>
      </c>
      <c r="G119" s="112">
        <f t="shared" si="9"/>
        <v>225.19000000000233</v>
      </c>
      <c r="H119" s="99">
        <f>G119+'10'!H119</f>
        <v>2567.9400000000023</v>
      </c>
      <c r="I119" s="165"/>
      <c r="J119" s="328">
        <f>H119/DAY(B2)</f>
        <v>233.44909090909113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'10'!F120</f>
        <v>37421.24</v>
      </c>
      <c r="F120" s="237">
        <v>37848.39</v>
      </c>
      <c r="G120" s="112">
        <f t="shared" si="9"/>
        <v>427.15000000000146</v>
      </c>
      <c r="H120" s="99">
        <f>G120+'10'!H120</f>
        <v>4742.8300000000017</v>
      </c>
      <c r="I120" s="165"/>
      <c r="J120" s="328">
        <f>H120/DAY(B2)</f>
        <v>431.16636363636377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'10'!F121</f>
        <v>44079.97</v>
      </c>
      <c r="F121" s="237">
        <v>44543.96</v>
      </c>
      <c r="G121" s="112">
        <f t="shared" si="9"/>
        <v>463.98999999999796</v>
      </c>
      <c r="H121" s="99">
        <f>G121+'10'!H121</f>
        <v>4956.0599999999977</v>
      </c>
      <c r="I121" s="165"/>
      <c r="J121" s="328">
        <f>H121/DAY(B2)</f>
        <v>450.55090909090887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'10'!F122</f>
        <v>22876.28</v>
      </c>
      <c r="F122" s="237">
        <v>23163.13</v>
      </c>
      <c r="G122" s="112">
        <f t="shared" si="9"/>
        <v>286.85000000000218</v>
      </c>
      <c r="H122" s="99">
        <f>G122+'10'!H122</f>
        <v>3197.25</v>
      </c>
      <c r="I122" s="165"/>
      <c r="J122" s="328">
        <f>H122/DAY(B2)</f>
        <v>290.65909090909093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'10'!F123</f>
        <v>23510.240000000002</v>
      </c>
      <c r="F123" s="237">
        <v>23848.400000000001</v>
      </c>
      <c r="G123" s="112">
        <f t="shared" si="9"/>
        <v>338.15999999999985</v>
      </c>
      <c r="H123" s="99">
        <f>G123+'10'!H123</f>
        <v>3506.4000000000015</v>
      </c>
      <c r="I123" s="165"/>
      <c r="J123" s="328">
        <f>H123/DAY(B2)</f>
        <v>318.76363636363652</v>
      </c>
    </row>
    <row r="124" spans="1:18" ht="30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3511.4399999999951</v>
      </c>
      <c r="H125" s="156"/>
      <c r="I125" s="327">
        <f>G125-(G39+G53)</f>
        <v>662.63999999994849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'10'!F128</f>
        <v>117016.67</v>
      </c>
      <c r="F128" s="157">
        <v>117561.69</v>
      </c>
      <c r="G128" s="112">
        <f t="shared" ref="G128:G134" si="10">F128-E128</f>
        <v>545.02000000000407</v>
      </c>
      <c r="H128" s="99">
        <f>G128+'10'!H128</f>
        <v>5685.8300000000017</v>
      </c>
      <c r="I128" s="165"/>
      <c r="J128" s="328">
        <f>H128/DAY(B2)</f>
        <v>516.89363636363657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68799.95</v>
      </c>
      <c r="F129" s="157">
        <v>68963.98</v>
      </c>
      <c r="G129" s="112">
        <f t="shared" si="10"/>
        <v>164.02999999999884</v>
      </c>
      <c r="H129" s="99">
        <f>G129+'10'!H129</f>
        <v>2262.1999999999971</v>
      </c>
      <c r="I129" s="165"/>
      <c r="J129" s="328">
        <f>H129/DAY(B2)</f>
        <v>205.6545454545452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149293.4</v>
      </c>
      <c r="F130" s="157">
        <v>150120.35999999999</v>
      </c>
      <c r="G130" s="112">
        <f t="shared" si="10"/>
        <v>826.95999999999185</v>
      </c>
      <c r="H130" s="99">
        <f>G130+'10'!H130</f>
        <v>7822.4400000000023</v>
      </c>
      <c r="I130" s="165"/>
      <c r="J130" s="328">
        <f>H130/DAY(B2)</f>
        <v>711.13090909090931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'10'!F131</f>
        <v>44386.59</v>
      </c>
      <c r="F131" s="157">
        <v>44532.49</v>
      </c>
      <c r="G131" s="112">
        <f t="shared" si="10"/>
        <v>145.90000000000146</v>
      </c>
      <c r="H131" s="99">
        <f>G131+'10'!H131</f>
        <v>1914.2900000000009</v>
      </c>
      <c r="I131" s="165"/>
      <c r="J131" s="328">
        <f>H131/DAY(B2)</f>
        <v>174.02636363636373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95">
        <f>'10'!F132</f>
        <v>120410.26</v>
      </c>
      <c r="F132" s="157">
        <v>120851.79</v>
      </c>
      <c r="G132" s="112">
        <f t="shared" si="10"/>
        <v>441.52999999999884</v>
      </c>
      <c r="H132" s="99">
        <f>G132+'10'!H132</f>
        <v>4560.7899999999936</v>
      </c>
      <c r="I132" s="165"/>
      <c r="J132" s="328">
        <f>H132/DAY(B2)</f>
        <v>414.61727272727217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'10'!F133</f>
        <v>794555</v>
      </c>
      <c r="F133" s="157">
        <v>795379</v>
      </c>
      <c r="G133" s="112">
        <f t="shared" si="10"/>
        <v>824</v>
      </c>
      <c r="H133" s="99">
        <f>G133+'10'!H133</f>
        <v>5809</v>
      </c>
      <c r="I133" s="165"/>
      <c r="J133" s="328">
        <f>H133/DAY(B2)</f>
        <v>528.09090909090912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'10'!F134</f>
        <v>44202.59</v>
      </c>
      <c r="F134" s="157">
        <v>44457.58</v>
      </c>
      <c r="G134" s="112">
        <f t="shared" si="10"/>
        <v>254.99000000000524</v>
      </c>
      <c r="H134" s="99">
        <f>G134+'10'!H134</f>
        <v>2712.5800000000017</v>
      </c>
      <c r="I134" s="165"/>
      <c r="J134" s="328">
        <f>H134/DAY(B2)</f>
        <v>246.59818181818198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3202.4300000000003</v>
      </c>
      <c r="H135" s="99">
        <f>G135+'10'!H135</f>
        <v>30767.129999999997</v>
      </c>
      <c r="I135" s="327">
        <f>G135-(G35+G49)</f>
        <v>-588.29000000002998</v>
      </c>
      <c r="J135" s="328">
        <f>H135/DAY(B2)</f>
        <v>2797.0118181818179</v>
      </c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'10'!F138</f>
        <v>888539</v>
      </c>
      <c r="F138" s="148">
        <v>888648</v>
      </c>
      <c r="G138" s="112">
        <f t="shared" ref="G138:G152" si="11">F138-E138</f>
        <v>109</v>
      </c>
      <c r="H138" s="99">
        <f>G138+'10'!H138</f>
        <v>1424</v>
      </c>
      <c r="I138" s="118"/>
      <c r="J138" s="328">
        <f>H138/DAY(B2)</f>
        <v>129.45454545454547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'10'!F139</f>
        <v>905674</v>
      </c>
      <c r="F139" s="148">
        <v>905846</v>
      </c>
      <c r="G139" s="112">
        <f t="shared" si="11"/>
        <v>172</v>
      </c>
      <c r="H139" s="99">
        <f>G139+'10'!H139</f>
        <v>1756</v>
      </c>
      <c r="I139" s="118"/>
      <c r="J139" s="328">
        <f>H139/DAY(B2)</f>
        <v>159.63636363636363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'10'!F140</f>
        <v>89283</v>
      </c>
      <c r="F140" s="148">
        <v>89499</v>
      </c>
      <c r="G140" s="112">
        <f t="shared" si="11"/>
        <v>216</v>
      </c>
      <c r="H140" s="99">
        <f>G140+'10'!H140</f>
        <v>493.34999999999422</v>
      </c>
      <c r="I140" s="118"/>
      <c r="J140" s="328">
        <f>H140/DAY(B2)</f>
        <v>44.849999999999476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'10'!F141</f>
        <v>86176.35</v>
      </c>
      <c r="F141" s="149">
        <v>86367.67</v>
      </c>
      <c r="G141" s="112">
        <f t="shared" si="11"/>
        <v>191.31999999999243</v>
      </c>
      <c r="H141" s="99">
        <f>G141+'10'!H141</f>
        <v>2252.4700000000012</v>
      </c>
      <c r="I141" s="118"/>
      <c r="J141" s="328">
        <f>H141/DAY(B2)</f>
        <v>204.7700000000001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'10'!F142</f>
        <v>35118.9</v>
      </c>
      <c r="F142" s="148">
        <v>35190.22</v>
      </c>
      <c r="G142" s="112">
        <f t="shared" si="11"/>
        <v>71.319999999999709</v>
      </c>
      <c r="H142" s="99">
        <f>G142+'10'!H142</f>
        <v>804.75</v>
      </c>
      <c r="I142" s="140"/>
      <c r="J142" s="328">
        <f>H142/DAY(B2)</f>
        <v>73.159090909090907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'10'!F143</f>
        <v>8456.4599999999991</v>
      </c>
      <c r="F143" s="149">
        <v>8485</v>
      </c>
      <c r="G143" s="112">
        <f t="shared" si="11"/>
        <v>28.540000000000873</v>
      </c>
      <c r="H143" s="99">
        <f>G143+'10'!H143</f>
        <v>326.68000000000029</v>
      </c>
      <c r="I143" s="140"/>
      <c r="J143" s="328">
        <f>H143/DAY(B2)</f>
        <v>29.698181818181844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'10'!F144</f>
        <v>914770</v>
      </c>
      <c r="F144" s="149">
        <v>915024</v>
      </c>
      <c r="G144" s="112">
        <f t="shared" si="11"/>
        <v>254</v>
      </c>
      <c r="H144" s="99">
        <f>G144+'10'!H144</f>
        <v>2747</v>
      </c>
      <c r="I144" s="140"/>
      <c r="J144" s="328">
        <f>H144/DAY(B2)</f>
        <v>249.72727272727272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'10'!F145</f>
        <v>5667</v>
      </c>
      <c r="F145" s="149">
        <v>5667</v>
      </c>
      <c r="G145" s="112">
        <f t="shared" si="11"/>
        <v>0</v>
      </c>
      <c r="H145" s="99">
        <f>G145+'10'!H145</f>
        <v>0.43999999999959982</v>
      </c>
      <c r="I145" s="140"/>
      <c r="J145" s="328">
        <f>H145/DAY(B2)</f>
        <v>3.999999999996362E-2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'10'!F146</f>
        <v>779781</v>
      </c>
      <c r="F146" s="148">
        <v>779819</v>
      </c>
      <c r="G146" s="112">
        <f t="shared" si="11"/>
        <v>38</v>
      </c>
      <c r="H146" s="99">
        <f>G146+'10'!H146</f>
        <v>491</v>
      </c>
      <c r="I146" s="140"/>
      <c r="J146" s="328">
        <f>H146/DAY(B2)</f>
        <v>44.636363636363633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'10'!F147</f>
        <v>691391</v>
      </c>
      <c r="F147" s="148">
        <v>691768.24</v>
      </c>
      <c r="G147" s="112">
        <f t="shared" si="11"/>
        <v>377.23999999999069</v>
      </c>
      <c r="H147" s="99">
        <f>G147+'10'!H147</f>
        <v>4242.0799999999581</v>
      </c>
      <c r="I147" s="140"/>
      <c r="J147" s="328">
        <f>H147/DAY(B2)</f>
        <v>385.64363636363254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'10'!F148</f>
        <v>742097.68</v>
      </c>
      <c r="F148" s="150">
        <v>742356.4</v>
      </c>
      <c r="G148" s="112">
        <f t="shared" si="11"/>
        <v>258.71999999997206</v>
      </c>
      <c r="H148" s="99">
        <f>G148+'10'!H148</f>
        <v>3409.1199999999953</v>
      </c>
      <c r="I148" s="124"/>
      <c r="J148" s="328">
        <f>H148/DAY(B2)</f>
        <v>309.91999999999956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'10'!F149</f>
        <v>121633.23</v>
      </c>
      <c r="F149" s="146">
        <v>122163.56</v>
      </c>
      <c r="G149" s="112">
        <f t="shared" si="11"/>
        <v>530.33000000000175</v>
      </c>
      <c r="H149" s="99">
        <f>G149+'10'!H149</f>
        <v>5630.7599999999948</v>
      </c>
      <c r="I149" s="119"/>
      <c r="J149" s="328">
        <f>H149/DAY(B2)</f>
        <v>511.88727272727226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'10'!F150</f>
        <v>45939.01</v>
      </c>
      <c r="F150" s="233">
        <v>46180.95</v>
      </c>
      <c r="G150" s="112">
        <f t="shared" si="11"/>
        <v>241.93999999999505</v>
      </c>
      <c r="H150" s="99">
        <f>G150+'10'!H150</f>
        <v>2455.7899999999936</v>
      </c>
      <c r="I150" s="119"/>
      <c r="J150" s="328">
        <f>H150/DAY(B2)</f>
        <v>223.25363636363579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'10'!F151</f>
        <v>129226</v>
      </c>
      <c r="F151" s="233">
        <v>129496</v>
      </c>
      <c r="G151" s="112">
        <f t="shared" si="11"/>
        <v>270</v>
      </c>
      <c r="H151" s="99">
        <f>G151+'10'!H151</f>
        <v>2893</v>
      </c>
      <c r="I151" s="119"/>
      <c r="J151" s="328">
        <f>H151/DAY(B2)</f>
        <v>263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'10'!F152</f>
        <v>20574.400000000001</v>
      </c>
      <c r="F152" s="233">
        <v>20697.59</v>
      </c>
      <c r="G152" s="112">
        <f t="shared" si="11"/>
        <v>123.18999999999869</v>
      </c>
      <c r="H152" s="99">
        <f>G152+'10'!H152</f>
        <v>1409.5099999999984</v>
      </c>
      <c r="I152" s="119"/>
      <c r="J152" s="328">
        <f>H152/DAY(B2)</f>
        <v>128.13727272727257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2881.5999999999513</v>
      </c>
      <c r="H153" s="363"/>
      <c r="I153" s="119">
        <f>G153-(G38+G52)</f>
        <v>577.43999999997686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'10'!F155</f>
        <v>136040.57</v>
      </c>
      <c r="F155" s="157">
        <v>136576.56</v>
      </c>
      <c r="G155" s="112">
        <f t="shared" ref="G155:G159" si="12">F155-E155</f>
        <v>535.98999999999069</v>
      </c>
      <c r="H155" s="99">
        <f>G155+'10'!H155</f>
        <v>6335.179999999993</v>
      </c>
      <c r="I155" s="364"/>
      <c r="J155" s="328">
        <f>H155/DAY(B2)</f>
        <v>575.92545454545393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'10'!F156</f>
        <v>12925.03</v>
      </c>
      <c r="F156" s="155">
        <v>13012</v>
      </c>
      <c r="G156" s="112">
        <f t="shared" si="12"/>
        <v>86.969999999999345</v>
      </c>
      <c r="H156" s="99">
        <f>G156+'10'!H156</f>
        <v>918.63999999999942</v>
      </c>
      <c r="I156" s="165"/>
      <c r="J156" s="328">
        <f>H156/DAY(B2)</f>
        <v>83.512727272727219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'10'!F157</f>
        <v>24591.96</v>
      </c>
      <c r="F157" s="155">
        <v>24720.080000000002</v>
      </c>
      <c r="G157" s="112">
        <f t="shared" si="12"/>
        <v>128.12000000000262</v>
      </c>
      <c r="H157" s="99">
        <f>G157+'10'!H157</f>
        <v>1523.380000000001</v>
      </c>
      <c r="I157" s="165"/>
      <c r="J157" s="328">
        <f>H157/DAY(B2)</f>
        <v>138.489090909091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'10'!F158</f>
        <v>224.38</v>
      </c>
      <c r="F158" s="155">
        <v>224.4</v>
      </c>
      <c r="G158" s="112">
        <f t="shared" si="12"/>
        <v>2.0000000000010232E-2</v>
      </c>
      <c r="H158" s="99">
        <f>G158+'10'!H158</f>
        <v>136.70999999999998</v>
      </c>
      <c r="I158" s="165"/>
      <c r="J158" s="328">
        <f>H158/DAY(B2)</f>
        <v>12.428181818181816</v>
      </c>
    </row>
    <row r="159" spans="1:10" ht="30.75" customHeight="1">
      <c r="A159" s="954"/>
      <c r="B159" s="955"/>
      <c r="C159" s="956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478731.24</v>
      </c>
      <c r="F161" s="235">
        <v>478869.16</v>
      </c>
      <c r="G161" s="238">
        <f>F161-E161</f>
        <v>137.9199999999837</v>
      </c>
      <c r="H161" s="99">
        <f>G161+'10'!H161</f>
        <v>1206.1599999999744</v>
      </c>
      <c r="I161" s="236"/>
      <c r="J161" s="239">
        <f>H161/DAY(B2)</f>
        <v>109.65090909090677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94150.3</v>
      </c>
      <c r="F162" s="235">
        <v>94188.7</v>
      </c>
      <c r="G162" s="238">
        <f t="shared" ref="G162:G165" si="13">F162-E162</f>
        <v>38.399999999994179</v>
      </c>
      <c r="H162" s="99">
        <f>G162+'10'!H162</f>
        <v>383.39999999999418</v>
      </c>
      <c r="I162" s="236"/>
      <c r="J162" s="239">
        <f>H162/DAY(B2)</f>
        <v>34.854545454544926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3502.3</v>
      </c>
      <c r="F163" s="235">
        <v>3644.7</v>
      </c>
      <c r="G163" s="238">
        <f t="shared" si="13"/>
        <v>142.39999999999964</v>
      </c>
      <c r="H163" s="99">
        <f>G163+'10'!H163</f>
        <v>1618.6</v>
      </c>
      <c r="I163" s="236"/>
      <c r="J163" s="239">
        <f>H163/DAY(B2)</f>
        <v>147.14545454545453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6009</v>
      </c>
      <c r="F164" s="235">
        <v>6020.2</v>
      </c>
      <c r="G164" s="238">
        <f t="shared" si="13"/>
        <v>11.199999999999818</v>
      </c>
      <c r="H164" s="99">
        <f>G164+'10'!H164</f>
        <v>121.80000000000018</v>
      </c>
      <c r="I164" s="236"/>
      <c r="J164" s="239">
        <f>H164/DAY(B2)</f>
        <v>11.07272727272729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31437.74</v>
      </c>
      <c r="F165" s="235">
        <v>31447.21</v>
      </c>
      <c r="G165" s="238">
        <f t="shared" si="13"/>
        <v>9.4699999999975262</v>
      </c>
      <c r="H165" s="99">
        <f>G165+'10'!H165</f>
        <v>100.55999999999767</v>
      </c>
      <c r="I165" s="236"/>
      <c r="J165" s="239">
        <f>H165/DAY(B2)</f>
        <v>9.1418181818179693</v>
      </c>
    </row>
    <row r="166" spans="1:10" ht="30.75" customHeight="1">
      <c r="A166" s="935"/>
      <c r="B166" s="935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f>'10'!F173</f>
        <v>8267</v>
      </c>
      <c r="F173" s="157">
        <v>8276</v>
      </c>
      <c r="G173" s="155">
        <f>F173-E173</f>
        <v>9</v>
      </c>
      <c r="H173" s="99">
        <f>G173+'10'!H173</f>
        <v>47</v>
      </c>
      <c r="I173" s="155"/>
      <c r="J173" s="178">
        <f>H173/DAY(B2)</f>
        <v>4.2727272727272725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'10'!F174</f>
        <v>40916</v>
      </c>
      <c r="F174" s="157">
        <v>40932</v>
      </c>
      <c r="G174" s="155">
        <f t="shared" ref="G174:G175" si="14">F174-E174</f>
        <v>16</v>
      </c>
      <c r="H174" s="99">
        <f>G174+'10'!H174</f>
        <v>153</v>
      </c>
      <c r="I174" s="155"/>
      <c r="J174" s="178">
        <f>H174/DAY(B2)</f>
        <v>13.909090909090908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'10'!F175</f>
        <v>23783</v>
      </c>
      <c r="F175" s="155">
        <v>23794</v>
      </c>
      <c r="G175" s="155">
        <f t="shared" si="14"/>
        <v>11</v>
      </c>
      <c r="H175" s="99">
        <f>G175+'10'!H175</f>
        <v>138</v>
      </c>
      <c r="I175" s="155"/>
      <c r="J175" s="178">
        <f>H175/DAY(B2)</f>
        <v>12.545454545454545</v>
      </c>
    </row>
    <row r="176" spans="1:10" ht="30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36</v>
      </c>
      <c r="H176" s="99">
        <f>G176+'10'!H176</f>
        <v>338</v>
      </c>
      <c r="I176" s="155"/>
      <c r="J176" s="178">
        <f>H176/DAY(B2)</f>
        <v>30.727272727272727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'10'!F178</f>
        <v>95639</v>
      </c>
      <c r="F178" s="155">
        <v>95747</v>
      </c>
      <c r="G178" s="155">
        <f>F178-E178</f>
        <v>108</v>
      </c>
      <c r="H178" s="99">
        <f>G178+'10'!H178</f>
        <v>896</v>
      </c>
      <c r="I178" s="155"/>
      <c r="J178" s="178">
        <f>H178/DAY(B2)</f>
        <v>81.454545454545453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'10'!F179</f>
        <v>36002</v>
      </c>
      <c r="F179" s="155">
        <v>36002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'10'!F180</f>
        <v>6953</v>
      </c>
      <c r="F180" s="155">
        <v>6960</v>
      </c>
      <c r="G180" s="155">
        <f t="shared" si="15"/>
        <v>7</v>
      </c>
      <c r="H180" s="99">
        <f>G180+'10'!H180</f>
        <v>78</v>
      </c>
      <c r="I180" s="155"/>
      <c r="J180" s="178">
        <f>H180/DAY(B2)</f>
        <v>7.0909090909090908</v>
      </c>
    </row>
    <row r="181" spans="1:10" ht="30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115</v>
      </c>
      <c r="H181" s="99">
        <f>G181+'10'!H181</f>
        <v>974</v>
      </c>
      <c r="I181" s="155"/>
      <c r="J181" s="178">
        <f>H181/DAY(B2)</f>
        <v>88.545454545454547</v>
      </c>
    </row>
    <row r="182" spans="1:10" ht="30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95">
        <f>'10'!F183</f>
        <v>17349</v>
      </c>
      <c r="F183" s="157">
        <v>17352</v>
      </c>
      <c r="G183" s="157">
        <f>F183-E183</f>
        <v>3</v>
      </c>
      <c r="H183" s="99">
        <f>G183+'10'!H183</f>
        <v>77</v>
      </c>
      <c r="I183" s="155"/>
      <c r="J183" s="178">
        <f>H183/DAY(B2)</f>
        <v>7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'10'!F184</f>
        <v>11748</v>
      </c>
      <c r="F184" s="157">
        <v>11761</v>
      </c>
      <c r="G184" s="157">
        <f t="shared" ref="G184:G185" si="16">F184-E184</f>
        <v>13</v>
      </c>
      <c r="H184" s="99">
        <f>G184+'10'!H184</f>
        <v>72</v>
      </c>
      <c r="I184" s="155"/>
      <c r="J184" s="178">
        <f>H184/DAY(B2)</f>
        <v>6.5454545454545459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16</v>
      </c>
      <c r="H186" s="99">
        <f>G186+'10'!H186</f>
        <v>149</v>
      </c>
      <c r="I186" s="157"/>
      <c r="J186" s="178">
        <f>H186/DAY(B2)</f>
        <v>13.545454545454545</v>
      </c>
    </row>
    <row r="187" spans="1:10" ht="30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173</v>
      </c>
      <c r="H187" s="99">
        <f>G187+'10'!H187</f>
        <v>1686</v>
      </c>
      <c r="I187" s="158"/>
      <c r="J187" s="179">
        <f>H187/DAY(B2)</f>
        <v>153.27272727272728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138</v>
      </c>
      <c r="H188" s="99">
        <f>G188+'10'!H188</f>
        <v>1431</v>
      </c>
      <c r="I188" s="158"/>
      <c r="J188" s="179">
        <f>H188/DAY(B2)</f>
        <v>130.09090909090909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115</v>
      </c>
      <c r="H189" s="99">
        <f>G189+'10'!H189</f>
        <v>974</v>
      </c>
      <c r="I189" s="158"/>
      <c r="J189" s="179">
        <f>H189/DAY(B2)</f>
        <v>88.545454545454547</v>
      </c>
    </row>
    <row r="190" spans="1:10" ht="30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18" zoomScale="55" zoomScaleNormal="75" zoomScaleSheetLayoutView="55" workbookViewId="0">
      <selection activeCell="F145" sqref="F145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2.25" customHeight="1">
      <c r="A2" s="191" t="s">
        <v>354</v>
      </c>
      <c r="B2" s="262">
        <v>44754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818544.87</v>
      </c>
      <c r="F7" s="95">
        <v>844485.59</v>
      </c>
      <c r="G7" s="112">
        <f>F7-E7</f>
        <v>25940.719999999972</v>
      </c>
      <c r="H7" s="99">
        <f>G7+'11'!H7</f>
        <v>321521.08999999997</v>
      </c>
      <c r="I7" s="113">
        <f>'1'!I7</f>
        <v>12000</v>
      </c>
      <c r="J7" s="175">
        <f>H7/DAY(B2)</f>
        <v>26793.424166666664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962441.19</v>
      </c>
      <c r="F8" s="114">
        <v>988788.63</v>
      </c>
      <c r="G8" s="115">
        <f>F8-E8</f>
        <v>26347.440000000061</v>
      </c>
      <c r="H8" s="99">
        <f>G8+'11'!H8</f>
        <v>326999.63</v>
      </c>
      <c r="I8" s="116"/>
      <c r="J8" s="175">
        <f>H8/DAY(B2)</f>
        <v>27249.969166666666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3068315.9</v>
      </c>
      <c r="F9" s="469">
        <v>3080354.5</v>
      </c>
      <c r="G9" s="112">
        <f>F9-E9</f>
        <v>12038.600000000093</v>
      </c>
      <c r="H9" s="99">
        <f>G9+'11'!H9</f>
        <v>162705.39999999991</v>
      </c>
      <c r="I9" s="124">
        <f>I7-J7</f>
        <v>-14793.424166666664</v>
      </c>
      <c r="J9" s="175">
        <f>H9/DAY(B2)</f>
        <v>13558.783333333326</v>
      </c>
      <c r="K9" s="79">
        <f>K8-100</f>
        <v>1715817</v>
      </c>
      <c r="L9" s="66"/>
      <c r="N9" s="87"/>
      <c r="O9" s="71">
        <f>G9-G10</f>
        <v>-1195.8999999999069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1373052.5</v>
      </c>
      <c r="F10" s="353">
        <v>1386287</v>
      </c>
      <c r="G10" s="112">
        <f t="shared" ref="G10:G12" si="0">F10-E10</f>
        <v>13234.5</v>
      </c>
      <c r="H10" s="99">
        <f>G10+'11'!H10</f>
        <v>150600.37000000011</v>
      </c>
      <c r="I10" s="282"/>
      <c r="J10" s="175">
        <f>H10/DAY(B2)</f>
        <v>12550.030833333343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25273.100000000093</v>
      </c>
      <c r="H13" s="99">
        <f>G13+'11'!H13</f>
        <v>315034.70000000019</v>
      </c>
      <c r="I13" s="120">
        <f>G7-G13</f>
        <v>667.61999999987893</v>
      </c>
      <c r="J13" s="175">
        <f>H13/DAY(B2)</f>
        <v>26252.891666666681</v>
      </c>
      <c r="K13" s="79"/>
      <c r="L13" s="66"/>
      <c r="N13" s="87"/>
      <c r="O13" s="71"/>
    </row>
    <row r="14" spans="1:15" ht="32.2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2079290.32</v>
      </c>
      <c r="F15" s="469">
        <v>2080317.51</v>
      </c>
      <c r="G15" s="112">
        <f>(F15-E15)</f>
        <v>1027.1899999999441</v>
      </c>
      <c r="H15" s="99">
        <f>G15+'11'!H15</f>
        <v>12239.100000000093</v>
      </c>
      <c r="I15" s="113">
        <f>'1'!I15</f>
        <v>800</v>
      </c>
      <c r="J15" s="175">
        <f>H15/DAY(B2)</f>
        <v>1019.9250000000078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-219.9250000000078</v>
      </c>
      <c r="J16" s="176"/>
      <c r="K16" s="79"/>
      <c r="L16" s="66"/>
      <c r="N16" s="87"/>
      <c r="O16" s="71"/>
    </row>
    <row r="17" spans="1:15" ht="32.2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71" t="s">
        <v>141</v>
      </c>
      <c r="B18" s="872"/>
      <c r="C18" s="873"/>
      <c r="D18" s="151" t="s">
        <v>142</v>
      </c>
      <c r="E18" s="95">
        <f>'11'!F18</f>
        <v>17</v>
      </c>
      <c r="F18" s="122">
        <v>20</v>
      </c>
      <c r="G18" s="119">
        <f>F18*10</f>
        <v>200</v>
      </c>
      <c r="H18" s="99">
        <f>G18+'11'!H18</f>
        <v>2220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32.25" customHeight="1">
      <c r="A19" s="871" t="s">
        <v>69</v>
      </c>
      <c r="B19" s="872"/>
      <c r="C19" s="873"/>
      <c r="D19" s="151" t="s">
        <v>142</v>
      </c>
      <c r="E19" s="95">
        <f>'11'!F19</f>
        <v>161359</v>
      </c>
      <c r="F19" s="122">
        <v>161413</v>
      </c>
      <c r="G19" s="112">
        <f t="shared" ref="G19" si="1">F19-E19</f>
        <v>54</v>
      </c>
      <c r="H19" s="99">
        <f>G19+'11'!H19</f>
        <v>590</v>
      </c>
      <c r="I19" s="335"/>
      <c r="J19" s="175">
        <f>H19/DAY(B2)</f>
        <v>49.166666666666664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G20+'11'!H20</f>
        <v>2810</v>
      </c>
      <c r="I20" s="336">
        <f>I18-J20</f>
        <v>-169.16666666666666</v>
      </c>
      <c r="J20" s="175">
        <f>H20/DAY(B2)</f>
        <v>234.16666666666666</v>
      </c>
      <c r="K20" s="79"/>
      <c r="L20" s="66"/>
      <c r="N20" s="87"/>
      <c r="O20" s="71"/>
    </row>
    <row r="21" spans="1:15" ht="32.2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4470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26347.440000000061</v>
      </c>
      <c r="F27" s="136">
        <v>9</v>
      </c>
      <c r="G27" s="137">
        <f>E27*F27</f>
        <v>237126.96000000054</v>
      </c>
      <c r="H27" s="99">
        <f>G27+'11'!H27</f>
        <v>2942996.67</v>
      </c>
      <c r="I27" s="138"/>
      <c r="J27" s="175">
        <f>H27/DAY(B2)</f>
        <v>245249.7225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1027.1899999999441</v>
      </c>
      <c r="F28" s="136">
        <v>70</v>
      </c>
      <c r="G28" s="137">
        <f>E28*F28</f>
        <v>71903.299999996088</v>
      </c>
      <c r="H28" s="99">
        <f>G28+'11'!H28</f>
        <v>856737.00000000652</v>
      </c>
      <c r="I28" s="140"/>
      <c r="J28" s="175">
        <f>H28/DAY(B2)</f>
        <v>71394.750000000538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G30+'11'!H30</f>
        <v>89090</v>
      </c>
      <c r="I30" s="140"/>
      <c r="J30" s="175">
        <f>H30/DAY(B2)</f>
        <v>7424.166666666667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G31+'11'!H31</f>
        <v>177600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333184.25999999663</v>
      </c>
      <c r="H32" s="99">
        <f>G32+'11'!H32</f>
        <v>4066423.6700000069</v>
      </c>
      <c r="I32" s="144"/>
      <c r="J32" s="175">
        <f>H32/DAY(B2)</f>
        <v>338868.63916666724</v>
      </c>
      <c r="K32" s="63"/>
      <c r="L32" s="89"/>
      <c r="N32" s="87"/>
      <c r="O32" s="71"/>
    </row>
    <row r="33" spans="1:15" ht="32.2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238713.05</v>
      </c>
      <c r="F35" s="145">
        <v>238713</v>
      </c>
      <c r="G35" s="112">
        <f t="shared" ref="G35:G46" si="3">F35-E35</f>
        <v>-4.9999999988358468E-2</v>
      </c>
      <c r="H35" s="99">
        <f>G35+'11'!H35</f>
        <v>-4.9999999988358468E-2</v>
      </c>
      <c r="I35" s="95"/>
      <c r="J35" s="175">
        <f>H35/DAY(B2)</f>
        <v>-4.166666665696539E-3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197092.55</v>
      </c>
      <c r="F36" s="145">
        <v>197796.77</v>
      </c>
      <c r="G36" s="112">
        <f t="shared" si="3"/>
        <v>704.22000000000116</v>
      </c>
      <c r="H36" s="99">
        <f>G36+'11'!H36</f>
        <v>10876.539999999979</v>
      </c>
      <c r="I36" s="95"/>
      <c r="J36" s="175">
        <f>H36/DAY(B2)</f>
        <v>906.37833333333162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304153.39</v>
      </c>
      <c r="F37" s="376">
        <v>305706.03000000003</v>
      </c>
      <c r="G37" s="112">
        <f t="shared" si="3"/>
        <v>1552.640000000014</v>
      </c>
      <c r="H37" s="99">
        <f>G37+'11'!H37</f>
        <v>18987.040000000037</v>
      </c>
      <c r="I37" s="95"/>
      <c r="J37" s="175">
        <f>H37/DAY(B2)</f>
        <v>1582.2533333333365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411507.55</v>
      </c>
      <c r="F38" s="108">
        <v>413753.87</v>
      </c>
      <c r="G38" s="112">
        <f t="shared" si="3"/>
        <v>2246.320000000007</v>
      </c>
      <c r="H38" s="99">
        <f>G38+'11'!H38</f>
        <v>27090.520000000019</v>
      </c>
      <c r="I38" s="95"/>
      <c r="J38" s="175">
        <f>H38/DAY(B2)</f>
        <v>2257.5433333333349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556009.91</v>
      </c>
      <c r="F39" s="145">
        <v>558849.71</v>
      </c>
      <c r="G39" s="112">
        <f t="shared" si="3"/>
        <v>2839.7999999999302</v>
      </c>
      <c r="H39" s="99">
        <f>G39+'11'!H39</f>
        <v>35469.119999999937</v>
      </c>
      <c r="I39" s="95"/>
      <c r="J39" s="175">
        <f>H39/DAY(B2)</f>
        <v>2955.7599999999948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90601.51</v>
      </c>
      <c r="F40" s="145">
        <v>91323.37</v>
      </c>
      <c r="G40" s="112">
        <f t="shared" si="3"/>
        <v>721.86000000000058</v>
      </c>
      <c r="H40" s="99">
        <f>G40+'11'!H40</f>
        <v>7652.2799999999988</v>
      </c>
      <c r="I40" s="95"/>
      <c r="J40" s="175">
        <f>H40/DAY(B2)</f>
        <v>637.68999999999994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158338.76999999999</v>
      </c>
      <c r="F41" s="145">
        <v>161659.39000000001</v>
      </c>
      <c r="G41" s="112">
        <f t="shared" si="3"/>
        <v>3320.6200000000244</v>
      </c>
      <c r="H41" s="99">
        <f>G41+'11'!H41</f>
        <v>18840.99000000002</v>
      </c>
      <c r="I41" s="95"/>
      <c r="J41" s="175">
        <f>H41/DAY(B2)</f>
        <v>1570.0825000000016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724441.83</v>
      </c>
      <c r="F42" s="145">
        <v>724441.83</v>
      </c>
      <c r="G42" s="112">
        <f t="shared" si="3"/>
        <v>0</v>
      </c>
      <c r="H42" s="99">
        <f>G42+'11'!H42</f>
        <v>35809.279999999912</v>
      </c>
      <c r="I42" s="95"/>
      <c r="J42" s="175">
        <f>H42/DAY(B2)</f>
        <v>2984.1066666666593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376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11385.409999999989</v>
      </c>
      <c r="H47" s="99">
        <f>G47+'11'!H47</f>
        <v>154725.71999999991</v>
      </c>
      <c r="I47" s="95"/>
      <c r="J47" s="175">
        <f>H47/DAY(B2)</f>
        <v>12893.809999999992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407906.59</v>
      </c>
      <c r="F49" s="145">
        <v>411526.27</v>
      </c>
      <c r="G49" s="112">
        <f t="shared" ref="G49:G58" si="4">F49-E49</f>
        <v>3619.679999999993</v>
      </c>
      <c r="H49" s="99">
        <f>G49+'11'!H49</f>
        <v>40754.520000000019</v>
      </c>
      <c r="I49" s="95"/>
      <c r="J49" s="175">
        <f>H49/DAY(B2)</f>
        <v>3396.2100000000014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256453.01</v>
      </c>
      <c r="F50" s="145">
        <v>257513.53</v>
      </c>
      <c r="G50" s="112">
        <f t="shared" si="4"/>
        <v>1060.5199999999895</v>
      </c>
      <c r="H50" s="99">
        <f>G50+'11'!H50</f>
        <v>14408.130000000005</v>
      </c>
      <c r="I50" s="95"/>
      <c r="J50" s="175">
        <f>H50/DAY(B2)</f>
        <v>1200.6775000000005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75.680000000000007</v>
      </c>
      <c r="G51" s="112">
        <f t="shared" si="4"/>
        <v>-0.31999999999999318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80904.52</v>
      </c>
      <c r="F54" s="145">
        <v>81254.48</v>
      </c>
      <c r="G54" s="112">
        <f t="shared" si="4"/>
        <v>349.95999999999185</v>
      </c>
      <c r="H54" s="99">
        <f>G54+'11'!H54</f>
        <v>4236.9799999999959</v>
      </c>
      <c r="I54" s="95"/>
      <c r="J54" s="175">
        <f>H54/DAY(B2)</f>
        <v>353.08166666666631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306778.34999999998</v>
      </c>
      <c r="F55" s="145">
        <v>310432.33</v>
      </c>
      <c r="G55" s="112">
        <f t="shared" si="4"/>
        <v>3653.9800000000396</v>
      </c>
      <c r="H55" s="99">
        <f>G55+'11'!H55</f>
        <v>26349.400000000023</v>
      </c>
      <c r="I55" s="95"/>
      <c r="J55" s="175">
        <f>H55/DAY(B2)</f>
        <v>2195.7833333333351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120880.14</v>
      </c>
      <c r="F56" s="145">
        <v>120880.14</v>
      </c>
      <c r="G56" s="112">
        <f t="shared" si="4"/>
        <v>0</v>
      </c>
      <c r="H56" s="99">
        <f>G56+'11'!H56</f>
        <v>9637.0099999999948</v>
      </c>
      <c r="I56" s="95"/>
      <c r="J56" s="175">
        <f>H56/DAY(B2)</f>
        <v>803.08416666666619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166092.13</v>
      </c>
      <c r="F57" s="145">
        <v>169223.23</v>
      </c>
      <c r="G57" s="112">
        <f t="shared" si="4"/>
        <v>3131.1000000000058</v>
      </c>
      <c r="H57" s="99">
        <f>G57+'11'!H57</f>
        <v>37319.53</v>
      </c>
      <c r="I57" s="95"/>
      <c r="J57" s="175">
        <f>H57/DAY(B2)</f>
        <v>3109.9608333333331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43512.45</v>
      </c>
      <c r="F58" s="145">
        <v>43785.72</v>
      </c>
      <c r="G58" s="112">
        <f t="shared" si="4"/>
        <v>273.27000000000407</v>
      </c>
      <c r="H58" s="99">
        <f>G58+'11'!H58</f>
        <v>3505.6100000000006</v>
      </c>
      <c r="I58" s="95"/>
      <c r="J58" s="175">
        <f>H58/DAY(B2)</f>
        <v>292.13416666666672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12088.190000000024</v>
      </c>
      <c r="H59" s="99">
        <f>G59+'11'!H59</f>
        <v>136210.94000000003</v>
      </c>
      <c r="I59" s="95">
        <f>G7-G60</f>
        <v>2467.119999999959</v>
      </c>
      <c r="J59" s="175">
        <f>H59/DAY(B2)</f>
        <v>11350.911666666669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23473.600000000013</v>
      </c>
      <c r="H60" s="99">
        <f>G60+'11'!H60</f>
        <v>290936.65999999997</v>
      </c>
      <c r="I60" s="95">
        <f>G13-G60</f>
        <v>1799.50000000008</v>
      </c>
      <c r="J60" s="175">
        <f>H60/DAY(B2)</f>
        <v>24244.721666666665</v>
      </c>
      <c r="K60" s="79"/>
      <c r="L60" s="66"/>
      <c r="N60" s="87"/>
      <c r="O60" s="71"/>
    </row>
    <row r="61" spans="1:15" s="68" customFormat="1" ht="32.2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71" t="s">
        <v>198</v>
      </c>
      <c r="B62" s="872"/>
      <c r="C62" s="873"/>
      <c r="D62" s="151" t="s">
        <v>142</v>
      </c>
      <c r="E62" s="95">
        <f>'11'!F62</f>
        <v>293848</v>
      </c>
      <c r="F62" s="122">
        <v>293945</v>
      </c>
      <c r="G62" s="112">
        <f t="shared" ref="G62:G63" si="5">F62-E62</f>
        <v>97</v>
      </c>
      <c r="H62" s="99">
        <f>G62+'11'!H62</f>
        <v>1247</v>
      </c>
      <c r="I62" s="118"/>
      <c r="J62" s="175">
        <f>H62/DAY(B2)</f>
        <v>103.91666666666667</v>
      </c>
      <c r="K62" s="80"/>
      <c r="L62" s="66"/>
      <c r="N62" s="87"/>
      <c r="O62" s="71"/>
    </row>
    <row r="63" spans="1:15" ht="32.25" customHeight="1">
      <c r="A63" s="871" t="s">
        <v>199</v>
      </c>
      <c r="B63" s="872"/>
      <c r="C63" s="873"/>
      <c r="D63" s="151" t="s">
        <v>142</v>
      </c>
      <c r="E63" s="95">
        <f>'11'!F63</f>
        <v>236265</v>
      </c>
      <c r="F63" s="122">
        <v>236352</v>
      </c>
      <c r="G63" s="112">
        <f t="shared" si="5"/>
        <v>87</v>
      </c>
      <c r="H63" s="99">
        <f>G63+'11'!H63</f>
        <v>1286</v>
      </c>
      <c r="I63" s="118"/>
      <c r="J63" s="175">
        <f>H63/DAY(B2)</f>
        <v>107.16666666666667</v>
      </c>
      <c r="K63" s="69"/>
      <c r="L63" s="66"/>
      <c r="N63" s="87"/>
      <c r="O63" s="71"/>
    </row>
    <row r="64" spans="1:15" ht="32.25" customHeight="1">
      <c r="A64" s="868" t="s">
        <v>200</v>
      </c>
      <c r="B64" s="869"/>
      <c r="C64" s="870"/>
      <c r="D64" s="151"/>
      <c r="E64" s="95">
        <f>'11'!F64</f>
        <v>0</v>
      </c>
      <c r="F64" s="122"/>
      <c r="G64" s="112">
        <f>G62+G63</f>
        <v>184</v>
      </c>
      <c r="H64" s="99">
        <f>G64+'11'!H64</f>
        <v>2533</v>
      </c>
      <c r="I64" s="118"/>
      <c r="J64" s="175">
        <f>H64/DAY(B2)</f>
        <v>211.08333333333334</v>
      </c>
      <c r="K64" s="69"/>
      <c r="L64" s="66"/>
      <c r="N64" s="87"/>
      <c r="O64" s="71"/>
    </row>
    <row r="65" spans="1:15" ht="32.25" customHeight="1">
      <c r="A65" s="871" t="s">
        <v>201</v>
      </c>
      <c r="B65" s="872"/>
      <c r="C65" s="873"/>
      <c r="D65" s="151" t="s">
        <v>142</v>
      </c>
      <c r="E65" s="95">
        <f>'11'!F65</f>
        <v>452475</v>
      </c>
      <c r="F65" s="122">
        <v>452579</v>
      </c>
      <c r="G65" s="112">
        <f t="shared" ref="G65:G70" si="6">F65-E65</f>
        <v>104</v>
      </c>
      <c r="H65" s="99">
        <f>G65+'11'!H65</f>
        <v>1190</v>
      </c>
      <c r="I65" s="118"/>
      <c r="J65" s="175">
        <f>H65/DAY(B2)</f>
        <v>99.166666666666671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111231</v>
      </c>
      <c r="F66" s="122">
        <v>111255</v>
      </c>
      <c r="G66" s="112">
        <f t="shared" si="6"/>
        <v>24</v>
      </c>
      <c r="H66" s="99">
        <f>G66+'11'!H66</f>
        <v>228</v>
      </c>
      <c r="I66" s="118"/>
      <c r="J66" s="175">
        <f>H66/DAY(B2)</f>
        <v>19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113680</v>
      </c>
      <c r="F67" s="122">
        <v>113680</v>
      </c>
      <c r="G67" s="112">
        <f t="shared" si="6"/>
        <v>0</v>
      </c>
      <c r="H67" s="99">
        <f>G67+'11'!H67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163991</v>
      </c>
      <c r="F68" s="122">
        <v>164032</v>
      </c>
      <c r="G68" s="112">
        <f t="shared" si="6"/>
        <v>41</v>
      </c>
      <c r="H68" s="99">
        <f>G68+'11'!H68</f>
        <v>506</v>
      </c>
      <c r="I68" s="118"/>
      <c r="J68" s="175">
        <f>H68/DAY(B2)</f>
        <v>42.166666666666664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12181</v>
      </c>
      <c r="F69" s="122">
        <v>12185</v>
      </c>
      <c r="G69" s="112">
        <f t="shared" si="6"/>
        <v>4</v>
      </c>
      <c r="H69" s="99">
        <f>G69+'11'!H69</f>
        <v>57</v>
      </c>
      <c r="I69" s="118"/>
      <c r="J69" s="175">
        <f>H69/DAY(B2)</f>
        <v>4.75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9602</v>
      </c>
      <c r="F70" s="122">
        <v>9610</v>
      </c>
      <c r="G70" s="112">
        <f t="shared" si="6"/>
        <v>8</v>
      </c>
      <c r="H70" s="99">
        <f>G70+'11'!H70</f>
        <v>96</v>
      </c>
      <c r="I70" s="118"/>
      <c r="J70" s="175">
        <f>H70/DAY(B2)</f>
        <v>8</v>
      </c>
      <c r="K70" s="69"/>
      <c r="L70" s="66"/>
      <c r="N70" s="87"/>
      <c r="O70" s="71"/>
    </row>
    <row r="71" spans="1:15" ht="32.2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181</v>
      </c>
      <c r="H71" s="99">
        <f>G71+'11'!H71</f>
        <v>2077</v>
      </c>
      <c r="I71" s="154"/>
      <c r="J71" s="175">
        <f>H71/DAY(B2)</f>
        <v>173.08333333333334</v>
      </c>
      <c r="K71" s="69"/>
      <c r="L71" s="66"/>
      <c r="N71" s="87"/>
      <c r="O71" s="71"/>
    </row>
    <row r="72" spans="1:15" s="88" customFormat="1" ht="32.2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71" t="s">
        <v>220</v>
      </c>
      <c r="B74" s="872"/>
      <c r="C74" s="873"/>
      <c r="D74" s="151" t="s">
        <v>139</v>
      </c>
      <c r="E74" s="95">
        <f>'11'!F74</f>
        <v>951004.73</v>
      </c>
      <c r="F74" s="117">
        <v>951344.02</v>
      </c>
      <c r="G74" s="112">
        <f t="shared" ref="G74:G78" si="7">F74-E74</f>
        <v>339.29000000003725</v>
      </c>
      <c r="H74" s="99">
        <f>G74+'11'!H74</f>
        <v>3636.8200000000652</v>
      </c>
      <c r="I74" s="154"/>
      <c r="J74" s="175">
        <f>H74/DAY(B2)</f>
        <v>303.06833333333878</v>
      </c>
      <c r="K74" s="69"/>
      <c r="L74" s="66"/>
      <c r="N74" s="87"/>
      <c r="O74" s="71"/>
    </row>
    <row r="75" spans="1:15" ht="32.25" customHeight="1">
      <c r="A75" s="871" t="s">
        <v>221</v>
      </c>
      <c r="B75" s="872"/>
      <c r="C75" s="873"/>
      <c r="D75" s="151" t="s">
        <v>139</v>
      </c>
      <c r="E75" s="95">
        <f>'11'!F75</f>
        <v>73586.8</v>
      </c>
      <c r="F75" s="123">
        <v>73586.8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>
      <c r="A76" s="915" t="s">
        <v>222</v>
      </c>
      <c r="B76" s="901"/>
      <c r="C76" s="902"/>
      <c r="D76" s="151" t="s">
        <v>139</v>
      </c>
      <c r="E76" s="95">
        <f>'11'!F76</f>
        <v>188055</v>
      </c>
      <c r="F76" s="123">
        <v>188143</v>
      </c>
      <c r="G76" s="112">
        <f t="shared" si="7"/>
        <v>88</v>
      </c>
      <c r="H76" s="99">
        <f>G76+'11'!H76</f>
        <v>1251.7000000000116</v>
      </c>
      <c r="I76" s="154"/>
      <c r="J76" s="175">
        <f>H76/DAY(B2)</f>
        <v>104.3083333333343</v>
      </c>
      <c r="K76" s="69"/>
      <c r="L76" s="66"/>
      <c r="N76" s="87"/>
      <c r="O76" s="71"/>
    </row>
    <row r="77" spans="1:15" ht="32.25" customHeight="1">
      <c r="A77" s="915" t="s">
        <v>223</v>
      </c>
      <c r="B77" s="901"/>
      <c r="C77" s="902"/>
      <c r="D77" s="151" t="s">
        <v>139</v>
      </c>
      <c r="E77" s="95">
        <f>'11'!F77</f>
        <v>49267</v>
      </c>
      <c r="F77" s="123">
        <v>49308</v>
      </c>
      <c r="G77" s="112">
        <f t="shared" si="7"/>
        <v>41</v>
      </c>
      <c r="H77" s="99">
        <f>G77+'11'!H77</f>
        <v>572.19999999999709</v>
      </c>
      <c r="I77" s="154"/>
      <c r="J77" s="175">
        <f>H77/DAY(B2)</f>
        <v>47.683333333333088</v>
      </c>
      <c r="K77" s="69"/>
      <c r="L77" s="66"/>
      <c r="N77" s="87"/>
      <c r="O77" s="71"/>
    </row>
    <row r="78" spans="1:15" ht="32.25" customHeight="1">
      <c r="A78" s="915" t="s">
        <v>224</v>
      </c>
      <c r="B78" s="901"/>
      <c r="C78" s="902"/>
      <c r="D78" s="151" t="s">
        <v>139</v>
      </c>
      <c r="E78" s="95">
        <f>'11'!F78</f>
        <v>9563</v>
      </c>
      <c r="F78" s="123">
        <v>9563.4</v>
      </c>
      <c r="G78" s="112">
        <f t="shared" si="7"/>
        <v>0.3999999999996362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2.25" customHeight="1">
      <c r="A79" s="915" t="s">
        <v>225</v>
      </c>
      <c r="B79" s="901"/>
      <c r="C79" s="902"/>
      <c r="D79" s="151"/>
      <c r="E79" s="95">
        <f>'11'!F79</f>
        <v>0</v>
      </c>
      <c r="F79" s="117"/>
      <c r="G79" s="112">
        <f>G15-SUM(G74:G78)</f>
        <v>558.49999999990723</v>
      </c>
      <c r="H79" s="99">
        <f>G79+'11'!H79</f>
        <v>6778.3800000000192</v>
      </c>
      <c r="I79" s="118"/>
      <c r="J79" s="175">
        <f>H79/DAY(B2)</f>
        <v>564.8650000000016</v>
      </c>
      <c r="K79" s="59"/>
      <c r="L79" s="58"/>
      <c r="N79" s="87"/>
      <c r="O79" s="71"/>
    </row>
    <row r="80" spans="1:15" s="57" customFormat="1" ht="32.2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1027.1899999999441</v>
      </c>
      <c r="H80" s="99">
        <f>G80+'11'!H80</f>
        <v>1027.1899999999441</v>
      </c>
      <c r="I80" s="118"/>
      <c r="J80" s="175">
        <f>H80/DAY(B2)</f>
        <v>85.599166666662015</v>
      </c>
      <c r="K80" s="59"/>
      <c r="L80" s="58"/>
      <c r="N80" s="87"/>
      <c r="O80" s="71"/>
    </row>
    <row r="81" spans="1:15" ht="32.2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3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3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42340.05</v>
      </c>
      <c r="F84" s="164">
        <v>42355.41</v>
      </c>
      <c r="G84" s="112">
        <f t="shared" si="8"/>
        <v>15.360000000000582</v>
      </c>
      <c r="H84" s="99">
        <f>G84+'11'!H84</f>
        <v>80.410000000003492</v>
      </c>
      <c r="I84" s="573"/>
      <c r="J84" s="175">
        <f>H84/DAY(B2)</f>
        <v>6.7008333333336241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5034.22</v>
      </c>
      <c r="F85" s="164">
        <v>5034.22</v>
      </c>
      <c r="G85" s="112">
        <f t="shared" si="8"/>
        <v>0</v>
      </c>
      <c r="H85" s="99">
        <f>G85+'11'!H85</f>
        <v>152.21000000000004</v>
      </c>
      <c r="I85" s="573"/>
      <c r="J85" s="175">
        <f>H85/DAY(B2)</f>
        <v>12.68416666666667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45000.32</v>
      </c>
      <c r="F86" s="164">
        <v>45024.42</v>
      </c>
      <c r="G86" s="112">
        <f t="shared" si="8"/>
        <v>24.099999999998545</v>
      </c>
      <c r="H86" s="99">
        <f>G86+'11'!H86</f>
        <v>172.11999999999534</v>
      </c>
      <c r="I86" s="573"/>
      <c r="J86" s="175">
        <f>H86/DAY(B2)</f>
        <v>14.343333333332945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35433.01</v>
      </c>
      <c r="F87" s="164">
        <v>35433.01</v>
      </c>
      <c r="G87" s="112">
        <f t="shared" si="8"/>
        <v>0</v>
      </c>
      <c r="H87" s="99">
        <f>G87+'11'!H87</f>
        <v>74.959999999999127</v>
      </c>
      <c r="I87" s="573">
        <f>G84+G85+G86+G87</f>
        <v>39.459999999999127</v>
      </c>
      <c r="J87" s="175">
        <f>H87/DAY(B2)</f>
        <v>6.2466666666665942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24293.88</v>
      </c>
      <c r="F88" s="164">
        <v>24293.83</v>
      </c>
      <c r="G88" s="112">
        <f t="shared" si="8"/>
        <v>-4.9999999999272404E-2</v>
      </c>
      <c r="H88" s="99">
        <f>G88+'11'!H88</f>
        <v>16.630000000001019</v>
      </c>
      <c r="I88" s="573"/>
      <c r="J88" s="175">
        <f>H88/DAY(B2)</f>
        <v>1.3858333333334183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27384.03</v>
      </c>
      <c r="F89" s="164">
        <v>27392.84</v>
      </c>
      <c r="G89" s="112">
        <f t="shared" si="8"/>
        <v>8.8100000000013097</v>
      </c>
      <c r="H89" s="99">
        <f>G89+'11'!H89</f>
        <v>101.42000000000189</v>
      </c>
      <c r="I89" s="573">
        <f>G88+G89</f>
        <v>8.7600000000020373</v>
      </c>
      <c r="J89" s="175">
        <f>H89/DAY(B2)</f>
        <v>8.4516666666668243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72394.490000000005</v>
      </c>
      <c r="F90" s="164">
        <v>72405.48</v>
      </c>
      <c r="G90" s="112">
        <f t="shared" si="8"/>
        <v>10.989999999990687</v>
      </c>
      <c r="H90" s="99">
        <f>G90+'11'!H90</f>
        <v>104.35000000000582</v>
      </c>
      <c r="I90" s="573">
        <f>G90</f>
        <v>10.989999999990687</v>
      </c>
      <c r="J90" s="175">
        <f>H90/DAY(B2)</f>
        <v>8.6958333333338178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4194.1499999999996</v>
      </c>
      <c r="F91" s="122">
        <v>4206.62</v>
      </c>
      <c r="G91" s="112">
        <f t="shared" si="8"/>
        <v>12.470000000000255</v>
      </c>
      <c r="H91" s="99">
        <f>G91+'11'!H91</f>
        <v>68.180000000000291</v>
      </c>
      <c r="I91" s="592"/>
      <c r="J91" s="175">
        <f>H91/DAY(B2)</f>
        <v>5.6816666666666906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6577.87</v>
      </c>
      <c r="F92" s="122">
        <v>6577.87</v>
      </c>
      <c r="G92" s="112">
        <f t="shared" si="8"/>
        <v>0</v>
      </c>
      <c r="H92" s="99">
        <f>G92+'11'!H92</f>
        <v>62.529999999999745</v>
      </c>
      <c r="I92" s="598">
        <f>G91+G92</f>
        <v>12.470000000000255</v>
      </c>
      <c r="J92" s="175">
        <f>H92/DAY(B2)</f>
        <v>5.2108333333333121</v>
      </c>
      <c r="O92" s="71"/>
    </row>
    <row r="93" spans="1:15" ht="32.2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6750.7300000000105</v>
      </c>
      <c r="H94" s="99">
        <f>G94+'11'!H94</f>
        <v>78074.000000000029</v>
      </c>
      <c r="I94" s="118"/>
      <c r="J94" s="175">
        <f>H94/DAY(B2)</f>
        <v>6506.1666666666688</v>
      </c>
      <c r="K94" s="69"/>
      <c r="L94" s="66"/>
      <c r="O94" s="71"/>
    </row>
    <row r="95" spans="1:15" ht="32.2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0.26023680144575856</v>
      </c>
      <c r="H95" s="99">
        <f>G95+'11'!H95</f>
        <v>2.9221072191915356</v>
      </c>
      <c r="I95" s="167"/>
      <c r="J95" s="175">
        <f>H95/DAY(B2)</f>
        <v>0.24350893493262796</v>
      </c>
      <c r="K95" s="69"/>
      <c r="L95" s="66"/>
      <c r="O95" s="71"/>
    </row>
    <row r="96" spans="1:15" ht="32.2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6974.600000000064</v>
      </c>
      <c r="H96" s="99">
        <f>G96+'11'!H96</f>
        <v>90636.679999999949</v>
      </c>
      <c r="I96" s="118"/>
      <c r="J96" s="175">
        <f>H96/DAY(B2)</f>
        <v>7553.0566666666627</v>
      </c>
      <c r="K96" s="69"/>
      <c r="L96" s="66"/>
      <c r="O96" s="71"/>
    </row>
    <row r="97" spans="1:15" ht="32.2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0.26886686260057824</v>
      </c>
      <c r="H97" s="99">
        <f>G97+'11'!H97</f>
        <v>3.3690674006268488</v>
      </c>
      <c r="I97" s="167"/>
      <c r="J97" s="175">
        <f>H97/DAY(B2)</f>
        <v>0.28075561671890409</v>
      </c>
      <c r="K97" s="69"/>
      <c r="L97" s="66"/>
      <c r="O97" s="71"/>
    </row>
    <row r="98" spans="1:15" ht="32.2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2839.7999999999302</v>
      </c>
      <c r="H98" s="99">
        <f>G98+'11'!H98</f>
        <v>35469.119999999937</v>
      </c>
      <c r="I98" s="168"/>
      <c r="J98" s="175">
        <f>H98/DAY(B2)</f>
        <v>2955.7599999999948</v>
      </c>
      <c r="K98" s="69"/>
      <c r="L98" s="66"/>
      <c r="O98" s="71"/>
    </row>
    <row r="99" spans="1:15" ht="32.2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0.10947267462121071</v>
      </c>
      <c r="H99" s="99">
        <f>G99+'11'!H99</f>
        <v>1.3257628235709831</v>
      </c>
      <c r="I99" s="168"/>
      <c r="J99" s="175">
        <f>H99/DAY(B2)</f>
        <v>0.11048023529758193</v>
      </c>
      <c r="O99" s="71"/>
    </row>
    <row r="100" spans="1:15" ht="32.2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2246.320000000007</v>
      </c>
      <c r="H100" s="99">
        <f>G100+'11'!H100</f>
        <v>27090.280000000021</v>
      </c>
      <c r="I100" s="118"/>
      <c r="J100" s="175">
        <f>H100/DAY(B2)</f>
        <v>2257.5233333333349</v>
      </c>
      <c r="K100" s="70"/>
      <c r="O100" s="71"/>
    </row>
    <row r="101" spans="1:15" ht="32.2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8.6594358213650566E-2</v>
      </c>
      <c r="H101" s="99">
        <f>G101+'11'!H101</f>
        <v>1.0125434579801422</v>
      </c>
      <c r="I101" s="168"/>
      <c r="J101" s="175">
        <f>H101/DAY(B2)</f>
        <v>8.4378621498345185E-2</v>
      </c>
      <c r="O101" s="71"/>
    </row>
    <row r="102" spans="1:15" ht="32.2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1764.7399999999907</v>
      </c>
      <c r="H102" s="99">
        <f>G102+'11'!H102</f>
        <v>25284.669999999984</v>
      </c>
      <c r="I102" s="168"/>
      <c r="J102" s="175">
        <f>H102/DAY(B2)</f>
        <v>2107.055833333332</v>
      </c>
      <c r="O102" s="71"/>
    </row>
    <row r="103" spans="1:15" ht="32.2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6.8029723153404859E-2</v>
      </c>
      <c r="H103" s="99">
        <f>G103+'11'!H103</f>
        <v>0.94027227902182664</v>
      </c>
      <c r="I103" s="118"/>
      <c r="J103" s="175">
        <f>H103/DAY(B2)</f>
        <v>7.8356023251818882E-2</v>
      </c>
      <c r="O103" s="71"/>
    </row>
    <row r="104" spans="1:15" ht="32.2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1552.320000000014</v>
      </c>
      <c r="H104" s="99">
        <f>G104+'11'!H104</f>
        <v>18987.040000000037</v>
      </c>
      <c r="I104" s="118"/>
      <c r="J104" s="175">
        <f>H104/DAY(B2)</f>
        <v>1582.2533333333365</v>
      </c>
      <c r="O104" s="71"/>
    </row>
    <row r="105" spans="1:15" ht="32.2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5.9841052985422749E-2</v>
      </c>
      <c r="H105" s="99">
        <f>G105+'11'!H105</f>
        <v>0.71029136850000207</v>
      </c>
      <c r="I105" s="187"/>
      <c r="J105" s="188">
        <f>H105/DAY(B2)</f>
        <v>5.9190947375000171E-2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2.25" customHeight="1">
      <c r="A109" s="910"/>
      <c r="B109" s="910"/>
    </row>
    <row r="110" spans="1:15" ht="32.2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2.2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904" t="s">
        <v>252</v>
      </c>
      <c r="B112" s="905"/>
      <c r="C112" s="906"/>
      <c r="D112" s="146" t="s">
        <v>183</v>
      </c>
      <c r="E112" s="95">
        <f>'11'!F112</f>
        <v>5756.73</v>
      </c>
      <c r="F112" s="237">
        <v>5832.18</v>
      </c>
      <c r="G112" s="112">
        <f t="shared" ref="G112:G123" si="9">F112-E112</f>
        <v>75.450000000000728</v>
      </c>
      <c r="H112" s="99">
        <f>G112+'11'!H112</f>
        <v>902.44000000000051</v>
      </c>
      <c r="I112" s="165"/>
      <c r="J112" s="328">
        <f>H112/DAY(B2)</f>
        <v>75.203333333333376</v>
      </c>
    </row>
    <row r="113" spans="1:18" ht="32.25" customHeight="1">
      <c r="A113" s="904" t="s">
        <v>253</v>
      </c>
      <c r="B113" s="905"/>
      <c r="C113" s="906"/>
      <c r="D113" s="146" t="s">
        <v>183</v>
      </c>
      <c r="E113" s="95">
        <f>'11'!F113</f>
        <v>12200.42</v>
      </c>
      <c r="F113" s="237">
        <v>12344.69</v>
      </c>
      <c r="G113" s="112">
        <f t="shared" si="9"/>
        <v>144.27000000000044</v>
      </c>
      <c r="H113" s="99">
        <f>G113+'11'!H113</f>
        <v>1711.9700000000012</v>
      </c>
      <c r="I113" s="165"/>
      <c r="J113" s="328">
        <f>H113/DAY(B2)</f>
        <v>142.66416666666677</v>
      </c>
    </row>
    <row r="114" spans="1:18" ht="32.25" customHeight="1">
      <c r="A114" s="904" t="s">
        <v>254</v>
      </c>
      <c r="B114" s="905"/>
      <c r="C114" s="906"/>
      <c r="D114" s="146" t="s">
        <v>183</v>
      </c>
      <c r="E114" s="95">
        <f>'11'!F114</f>
        <v>16719.849999999999</v>
      </c>
      <c r="F114" s="237">
        <v>16958.14</v>
      </c>
      <c r="G114" s="112">
        <f t="shared" si="9"/>
        <v>238.29000000000087</v>
      </c>
      <c r="H114" s="99">
        <f>G114+'11'!H114</f>
        <v>2764.34</v>
      </c>
      <c r="I114" s="165"/>
      <c r="J114" s="328">
        <f>H114/DAY(B2)</f>
        <v>230.36166666666668</v>
      </c>
    </row>
    <row r="115" spans="1:18" ht="32.25" customHeight="1">
      <c r="A115" s="904" t="s">
        <v>255</v>
      </c>
      <c r="B115" s="905"/>
      <c r="C115" s="906"/>
      <c r="D115" s="146" t="s">
        <v>183</v>
      </c>
      <c r="E115" s="95">
        <f>'11'!F115</f>
        <v>10336.459999999999</v>
      </c>
      <c r="F115" s="237">
        <v>10459.32</v>
      </c>
      <c r="G115" s="112">
        <f t="shared" si="9"/>
        <v>122.86000000000058</v>
      </c>
      <c r="H115" s="99">
        <f>G115+'11'!H115</f>
        <v>1438.5399999999991</v>
      </c>
      <c r="I115" s="165"/>
      <c r="J115" s="328">
        <f>H115/DAY(B2)</f>
        <v>119.87833333333326</v>
      </c>
    </row>
    <row r="116" spans="1:18" ht="32.25" customHeight="1">
      <c r="A116" s="922" t="s">
        <v>96</v>
      </c>
      <c r="B116" s="923"/>
      <c r="C116" s="924"/>
      <c r="D116" s="146" t="s">
        <v>183</v>
      </c>
      <c r="E116" s="95">
        <f>'11'!F116</f>
        <v>63345.79</v>
      </c>
      <c r="F116" s="237">
        <v>63724.49</v>
      </c>
      <c r="G116" s="112">
        <f t="shared" si="9"/>
        <v>378.69999999999709</v>
      </c>
      <c r="H116" s="99">
        <f>G116+'11'!H116</f>
        <v>4833.9399999999951</v>
      </c>
      <c r="I116" s="165"/>
      <c r="J116" s="328">
        <f>H116/DAY(B2)</f>
        <v>402.82833333333292</v>
      </c>
      <c r="Q116" s="904" t="s">
        <v>311</v>
      </c>
      <c r="R116" s="906"/>
    </row>
    <row r="117" spans="1:18" ht="32.25" customHeight="1">
      <c r="A117" s="922" t="s">
        <v>184</v>
      </c>
      <c r="B117" s="923"/>
      <c r="C117" s="924"/>
      <c r="D117" s="146" t="s">
        <v>183</v>
      </c>
      <c r="E117" s="95">
        <f>'11'!F117</f>
        <v>35832.589999999997</v>
      </c>
      <c r="F117" s="237">
        <v>36045.71</v>
      </c>
      <c r="G117" s="112">
        <f t="shared" si="9"/>
        <v>213.12000000000262</v>
      </c>
      <c r="H117" s="99">
        <f>G117+'11'!H117</f>
        <v>3157.2299999999959</v>
      </c>
      <c r="I117" s="165"/>
      <c r="J117" s="328">
        <f>H117/DAY(B2)</f>
        <v>263.10249999999968</v>
      </c>
      <c r="Q117" s="904" t="s">
        <v>312</v>
      </c>
      <c r="R117" s="906"/>
    </row>
    <row r="118" spans="1:18" ht="32.25" customHeight="1">
      <c r="A118" s="899" t="s">
        <v>97</v>
      </c>
      <c r="B118" s="899"/>
      <c r="C118" s="899"/>
      <c r="D118" s="151" t="s">
        <v>183</v>
      </c>
      <c r="E118" s="95">
        <f>'11'!F118</f>
        <v>51970.400000000001</v>
      </c>
      <c r="F118" s="237">
        <v>52598.66</v>
      </c>
      <c r="G118" s="112">
        <f t="shared" si="9"/>
        <v>628.26000000000204</v>
      </c>
      <c r="H118" s="99">
        <f>G118+'11'!H118</f>
        <v>7678.3500000000058</v>
      </c>
      <c r="I118" s="165"/>
      <c r="J118" s="328">
        <f>H118/DAY(B2)</f>
        <v>639.86250000000052</v>
      </c>
      <c r="Q118" s="904" t="s">
        <v>311</v>
      </c>
      <c r="R118" s="906"/>
    </row>
    <row r="119" spans="1:18" ht="32.25" customHeight="1">
      <c r="A119" s="899" t="s">
        <v>98</v>
      </c>
      <c r="B119" s="899"/>
      <c r="C119" s="899"/>
      <c r="D119" s="151" t="s">
        <v>183</v>
      </c>
      <c r="E119" s="95">
        <f>'11'!F119</f>
        <v>32910.54</v>
      </c>
      <c r="F119" s="237">
        <v>33135.129999999997</v>
      </c>
      <c r="G119" s="112">
        <f t="shared" si="9"/>
        <v>224.58999999999651</v>
      </c>
      <c r="H119" s="99">
        <f>G119+'11'!H119</f>
        <v>2792.5299999999988</v>
      </c>
      <c r="I119" s="165"/>
      <c r="J119" s="328">
        <f>H119/DAY(B2)</f>
        <v>232.71083333333323</v>
      </c>
    </row>
    <row r="120" spans="1:18" ht="32.25" customHeight="1">
      <c r="A120" s="899" t="s">
        <v>99</v>
      </c>
      <c r="B120" s="899"/>
      <c r="C120" s="899"/>
      <c r="D120" s="151" t="s">
        <v>183</v>
      </c>
      <c r="E120" s="95">
        <f>'11'!F120</f>
        <v>37848.39</v>
      </c>
      <c r="F120" s="237">
        <v>38276.29</v>
      </c>
      <c r="G120" s="112">
        <f t="shared" si="9"/>
        <v>427.90000000000146</v>
      </c>
      <c r="H120" s="99">
        <f>G120+'11'!H120</f>
        <v>5170.7300000000032</v>
      </c>
      <c r="I120" s="165"/>
      <c r="J120" s="328">
        <f>H120/DAY(B2)</f>
        <v>430.89416666666693</v>
      </c>
    </row>
    <row r="121" spans="1:18" ht="32.25" customHeight="1">
      <c r="A121" s="899" t="s">
        <v>100</v>
      </c>
      <c r="B121" s="899"/>
      <c r="C121" s="899"/>
      <c r="D121" s="151" t="s">
        <v>183</v>
      </c>
      <c r="E121" s="95">
        <f>'11'!F121</f>
        <v>44543.96</v>
      </c>
      <c r="F121" s="237">
        <v>44982</v>
      </c>
      <c r="G121" s="112">
        <f t="shared" si="9"/>
        <v>438.04000000000087</v>
      </c>
      <c r="H121" s="99">
        <f>G121+'11'!H121</f>
        <v>5394.0999999999985</v>
      </c>
      <c r="I121" s="165"/>
      <c r="J121" s="328">
        <f>H121/DAY(B2)</f>
        <v>449.50833333333321</v>
      </c>
    </row>
    <row r="122" spans="1:18" ht="32.25" customHeight="1">
      <c r="A122" s="899" t="s">
        <v>101</v>
      </c>
      <c r="B122" s="899"/>
      <c r="C122" s="899"/>
      <c r="D122" s="151" t="s">
        <v>183</v>
      </c>
      <c r="E122" s="95">
        <f>'11'!F122</f>
        <v>23163.13</v>
      </c>
      <c r="F122" s="237">
        <v>23469.17</v>
      </c>
      <c r="G122" s="112">
        <f t="shared" si="9"/>
        <v>306.03999999999724</v>
      </c>
      <c r="H122" s="99">
        <f>G122+'11'!H122</f>
        <v>3503.2899999999972</v>
      </c>
      <c r="I122" s="165"/>
      <c r="J122" s="328">
        <f>H122/DAY(B2)</f>
        <v>291.9408333333331</v>
      </c>
    </row>
    <row r="123" spans="1:18" ht="32.25" customHeight="1">
      <c r="A123" s="899" t="s">
        <v>102</v>
      </c>
      <c r="B123" s="899"/>
      <c r="C123" s="899"/>
      <c r="D123" s="151" t="s">
        <v>183</v>
      </c>
      <c r="E123" s="95">
        <f>'11'!F123</f>
        <v>23848.400000000001</v>
      </c>
      <c r="F123" s="237">
        <v>24141.919999999998</v>
      </c>
      <c r="G123" s="112">
        <f t="shared" si="9"/>
        <v>293.5199999999968</v>
      </c>
      <c r="H123" s="99">
        <f>G123+'11'!H123</f>
        <v>3799.9199999999983</v>
      </c>
      <c r="I123" s="165"/>
      <c r="J123" s="328">
        <f>H123/DAY(B2)</f>
        <v>316.65999999999985</v>
      </c>
    </row>
    <row r="124" spans="1:18" ht="32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3491.0399999999972</v>
      </c>
      <c r="H125" s="156"/>
      <c r="I125" s="327" t="s">
        <v>365</v>
      </c>
      <c r="J125" s="327"/>
    </row>
    <row r="126" spans="1:18" ht="32.2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2.25" customHeight="1">
      <c r="A127" s="935"/>
      <c r="B127" s="935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904" t="s">
        <v>318</v>
      </c>
      <c r="B128" s="905"/>
      <c r="C128" s="906"/>
      <c r="D128" s="151" t="s">
        <v>183</v>
      </c>
      <c r="E128" s="95">
        <f>'11'!F128</f>
        <v>117561.69</v>
      </c>
      <c r="F128" s="165">
        <v>118100.49</v>
      </c>
      <c r="G128" s="112">
        <f t="shared" ref="G128:G134" si="10">F128-E128</f>
        <v>538.80000000000291</v>
      </c>
      <c r="H128" s="99">
        <f>G128+'11'!H128</f>
        <v>6224.6300000000047</v>
      </c>
      <c r="I128" s="165"/>
      <c r="J128" s="328">
        <f>H128/DAY(B2)</f>
        <v>518.71916666666709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68963.98</v>
      </c>
      <c r="F129" s="165">
        <v>69139.69</v>
      </c>
      <c r="G129" s="112">
        <f t="shared" si="10"/>
        <v>175.7100000000064</v>
      </c>
      <c r="H129" s="99">
        <f>G129+'11'!H129</f>
        <v>2437.9100000000035</v>
      </c>
      <c r="I129" s="165"/>
      <c r="J129" s="328">
        <f>H129/DAY(B2)</f>
        <v>203.15916666666695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150120.35999999999</v>
      </c>
      <c r="F130" s="165">
        <v>150858.84</v>
      </c>
      <c r="G130" s="112">
        <f t="shared" si="10"/>
        <v>738.48000000001048</v>
      </c>
      <c r="H130" s="99">
        <f>G130+'11'!H130</f>
        <v>8560.9200000000128</v>
      </c>
      <c r="I130" s="165"/>
      <c r="J130" s="328">
        <f>H130/DAY(B2)</f>
        <v>713.41000000000111</v>
      </c>
      <c r="N130" s="240"/>
      <c r="O130" s="241"/>
    </row>
    <row r="131" spans="1:15" ht="32.25" customHeight="1">
      <c r="A131" s="904" t="s">
        <v>321</v>
      </c>
      <c r="B131" s="905"/>
      <c r="C131" s="906"/>
      <c r="D131" s="151" t="s">
        <v>183</v>
      </c>
      <c r="E131" s="95">
        <f>'11'!F131</f>
        <v>44532.49</v>
      </c>
      <c r="F131" s="165">
        <v>44698.39</v>
      </c>
      <c r="G131" s="112">
        <f t="shared" si="10"/>
        <v>165.90000000000146</v>
      </c>
      <c r="H131" s="99">
        <f>G131+'11'!H131</f>
        <v>2080.1900000000023</v>
      </c>
      <c r="I131" s="165"/>
      <c r="J131" s="328">
        <f>H131/DAY(B2)</f>
        <v>173.34916666666686</v>
      </c>
      <c r="N131" s="240"/>
      <c r="O131" s="241"/>
    </row>
    <row r="132" spans="1:15" ht="32.25" customHeight="1">
      <c r="A132" s="904" t="s">
        <v>322</v>
      </c>
      <c r="B132" s="905"/>
      <c r="C132" s="906"/>
      <c r="D132" s="151" t="s">
        <v>183</v>
      </c>
      <c r="E132" s="95">
        <f>'11'!F132</f>
        <v>120851.79</v>
      </c>
      <c r="F132" s="165">
        <v>121303.35</v>
      </c>
      <c r="G132" s="112">
        <f t="shared" si="10"/>
        <v>451.56000000001222</v>
      </c>
      <c r="H132" s="99">
        <f>G132+'11'!H132</f>
        <v>5012.3500000000058</v>
      </c>
      <c r="I132" s="165"/>
      <c r="J132" s="328">
        <f>H132/DAY(B2)</f>
        <v>417.69583333333384</v>
      </c>
    </row>
    <row r="133" spans="1:15" ht="32.25" customHeight="1">
      <c r="A133" s="904" t="s">
        <v>359</v>
      </c>
      <c r="B133" s="905"/>
      <c r="C133" s="906"/>
      <c r="D133" s="151" t="s">
        <v>183</v>
      </c>
      <c r="E133" s="95">
        <f>'11'!F133</f>
        <v>795379</v>
      </c>
      <c r="F133" s="165">
        <v>796164</v>
      </c>
      <c r="G133" s="112">
        <f t="shared" si="10"/>
        <v>785</v>
      </c>
      <c r="H133" s="99">
        <f>G133+'11'!H133</f>
        <v>6594</v>
      </c>
      <c r="I133" s="165"/>
      <c r="J133" s="328">
        <f>H133/DAY(B2)</f>
        <v>549.5</v>
      </c>
    </row>
    <row r="134" spans="1:15" ht="32.25" customHeight="1">
      <c r="A134" s="904" t="s">
        <v>340</v>
      </c>
      <c r="B134" s="905"/>
      <c r="C134" s="906"/>
      <c r="D134" s="151" t="s">
        <v>183</v>
      </c>
      <c r="E134" s="95">
        <f>'11'!F134</f>
        <v>44457.58</v>
      </c>
      <c r="F134" s="165">
        <v>44711.44</v>
      </c>
      <c r="G134" s="112">
        <f t="shared" si="10"/>
        <v>253.86000000000058</v>
      </c>
      <c r="H134" s="99">
        <f>G134+'11'!H134</f>
        <v>2966.4400000000023</v>
      </c>
      <c r="I134" s="165"/>
      <c r="J134" s="328">
        <f>H134/DAY(B2)</f>
        <v>247.20333333333352</v>
      </c>
    </row>
    <row r="135" spans="1:15" ht="32.2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3109.3100000000341</v>
      </c>
      <c r="H135" s="99">
        <f>G135+'10'!H135</f>
        <v>30674.010000000031</v>
      </c>
      <c r="I135" s="327">
        <f>G135-(G35+G49)</f>
        <v>-510.31999999997061</v>
      </c>
      <c r="J135" s="328">
        <f>H135/DAY(B2)</f>
        <v>2556.1675000000027</v>
      </c>
    </row>
    <row r="136" spans="1:15" ht="32.25" customHeight="1">
      <c r="A136" s="936" t="s">
        <v>207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99" t="s">
        <v>185</v>
      </c>
      <c r="B138" s="899"/>
      <c r="C138" s="899"/>
      <c r="D138" s="151" t="s">
        <v>183</v>
      </c>
      <c r="E138" s="95">
        <f>'11'!F138</f>
        <v>888648</v>
      </c>
      <c r="F138" s="147">
        <v>888762</v>
      </c>
      <c r="G138" s="112">
        <f t="shared" ref="G138:G152" si="11">F138-E138</f>
        <v>114</v>
      </c>
      <c r="H138" s="99">
        <f>G138+'11'!H138</f>
        <v>1538</v>
      </c>
      <c r="I138" s="118"/>
      <c r="J138" s="328">
        <f>H138/DAY(B2)</f>
        <v>128.16666666666666</v>
      </c>
    </row>
    <row r="139" spans="1:15" ht="32.25" customHeight="1">
      <c r="A139" s="899" t="s">
        <v>186</v>
      </c>
      <c r="B139" s="899"/>
      <c r="C139" s="899"/>
      <c r="D139" s="151" t="s">
        <v>183</v>
      </c>
      <c r="E139" s="95">
        <f>'11'!F139</f>
        <v>905846</v>
      </c>
      <c r="F139" s="148">
        <v>906000</v>
      </c>
      <c r="G139" s="112">
        <f t="shared" si="11"/>
        <v>154</v>
      </c>
      <c r="H139" s="99">
        <f>G139+'11'!H139</f>
        <v>1910</v>
      </c>
      <c r="I139" s="118"/>
      <c r="J139" s="328">
        <f>H139/DAY(B2)</f>
        <v>159.16666666666666</v>
      </c>
    </row>
    <row r="140" spans="1:15" ht="32.25" customHeight="1">
      <c r="A140" s="899" t="s">
        <v>187</v>
      </c>
      <c r="B140" s="899"/>
      <c r="C140" s="899"/>
      <c r="D140" s="151" t="s">
        <v>183</v>
      </c>
      <c r="E140" s="95">
        <f>'11'!F140</f>
        <v>89499</v>
      </c>
      <c r="F140" s="149">
        <v>89713</v>
      </c>
      <c r="G140" s="112">
        <f t="shared" si="11"/>
        <v>214</v>
      </c>
      <c r="H140" s="99">
        <f>G140+'11'!H140</f>
        <v>707.34999999999422</v>
      </c>
      <c r="I140" s="118"/>
      <c r="J140" s="328">
        <f>H140/DAY(B2)</f>
        <v>58.94583333333285</v>
      </c>
    </row>
    <row r="141" spans="1:15" ht="32.25" customHeight="1">
      <c r="A141" s="903" t="s">
        <v>188</v>
      </c>
      <c r="B141" s="903"/>
      <c r="C141" s="903"/>
      <c r="D141" s="151" t="s">
        <v>183</v>
      </c>
      <c r="E141" s="95">
        <f>'11'!F141</f>
        <v>86367.67</v>
      </c>
      <c r="F141" s="149">
        <v>86574</v>
      </c>
      <c r="G141" s="112">
        <f t="shared" si="11"/>
        <v>206.33000000000175</v>
      </c>
      <c r="H141" s="99">
        <f>G141+'11'!H141</f>
        <v>2458.8000000000029</v>
      </c>
      <c r="I141" s="118"/>
      <c r="J141" s="328">
        <f>H141/DAY(B2)</f>
        <v>204.90000000000023</v>
      </c>
    </row>
    <row r="142" spans="1:15" ht="32.25" customHeight="1">
      <c r="A142" s="903" t="s">
        <v>189</v>
      </c>
      <c r="B142" s="903"/>
      <c r="C142" s="903"/>
      <c r="D142" s="151" t="s">
        <v>183</v>
      </c>
      <c r="E142" s="95">
        <f>'11'!F142</f>
        <v>35190.22</v>
      </c>
      <c r="F142" s="148">
        <v>35264.269999999997</v>
      </c>
      <c r="G142" s="112">
        <f t="shared" si="11"/>
        <v>74.049999999995634</v>
      </c>
      <c r="H142" s="99">
        <f>G142+'11'!H142</f>
        <v>878.79999999999563</v>
      </c>
      <c r="I142" s="140"/>
      <c r="J142" s="328">
        <f>H142/DAY(B2)</f>
        <v>73.233333333332965</v>
      </c>
    </row>
    <row r="143" spans="1:15" ht="32.25" customHeight="1">
      <c r="A143" s="899" t="s">
        <v>91</v>
      </c>
      <c r="B143" s="899"/>
      <c r="C143" s="899"/>
      <c r="D143" s="151" t="s">
        <v>183</v>
      </c>
      <c r="E143" s="95">
        <f>'11'!F143</f>
        <v>8485</v>
      </c>
      <c r="F143" s="149">
        <v>8507.48</v>
      </c>
      <c r="G143" s="112">
        <f t="shared" si="11"/>
        <v>22.479999999999563</v>
      </c>
      <c r="H143" s="99">
        <f>G143+'11'!H143</f>
        <v>349.15999999999985</v>
      </c>
      <c r="I143" s="140"/>
      <c r="J143" s="328">
        <f>H143/DAY(B2)</f>
        <v>29.096666666666653</v>
      </c>
    </row>
    <row r="144" spans="1:15" ht="32.25" customHeight="1">
      <c r="A144" s="903" t="s">
        <v>90</v>
      </c>
      <c r="B144" s="903"/>
      <c r="C144" s="903"/>
      <c r="D144" s="151" t="s">
        <v>183</v>
      </c>
      <c r="E144" s="95">
        <f>'11'!F144</f>
        <v>915024</v>
      </c>
      <c r="F144" s="149">
        <v>915262</v>
      </c>
      <c r="G144" s="112">
        <f t="shared" si="11"/>
        <v>238</v>
      </c>
      <c r="H144" s="99">
        <f>G144+'11'!H144</f>
        <v>2985</v>
      </c>
      <c r="I144" s="140"/>
      <c r="J144" s="328">
        <f>H144/DAY(B2)</f>
        <v>248.75</v>
      </c>
    </row>
    <row r="145" spans="1:10" ht="32.25" customHeight="1">
      <c r="A145" s="899" t="s">
        <v>190</v>
      </c>
      <c r="B145" s="899"/>
      <c r="C145" s="899"/>
      <c r="D145" s="152" t="s">
        <v>183</v>
      </c>
      <c r="E145" s="95">
        <f>'11'!F145</f>
        <v>5667</v>
      </c>
      <c r="F145" s="149">
        <v>5667</v>
      </c>
      <c r="G145" s="112">
        <f t="shared" si="11"/>
        <v>0</v>
      </c>
      <c r="H145" s="99">
        <f>G145+'11'!H145</f>
        <v>0.43999999999959982</v>
      </c>
      <c r="I145" s="140"/>
      <c r="J145" s="328">
        <f>H145/DAY(B2)</f>
        <v>3.6666666666633319E-2</v>
      </c>
    </row>
    <row r="146" spans="1:10" ht="32.25" customHeight="1">
      <c r="A146" s="900" t="s">
        <v>191</v>
      </c>
      <c r="B146" s="901"/>
      <c r="C146" s="902"/>
      <c r="D146" s="152" t="s">
        <v>183</v>
      </c>
      <c r="E146" s="95">
        <f>'11'!F146</f>
        <v>779819</v>
      </c>
      <c r="F146" s="148">
        <v>779856</v>
      </c>
      <c r="G146" s="112">
        <f t="shared" si="11"/>
        <v>37</v>
      </c>
      <c r="H146" s="99">
        <f>G146+'11'!H146</f>
        <v>528</v>
      </c>
      <c r="I146" s="140"/>
      <c r="J146" s="328">
        <f>H146/DAY(B2)</f>
        <v>44</v>
      </c>
    </row>
    <row r="147" spans="1:10" ht="32.25" customHeight="1">
      <c r="A147" s="903" t="s">
        <v>192</v>
      </c>
      <c r="B147" s="903"/>
      <c r="C147" s="903"/>
      <c r="D147" s="152" t="s">
        <v>183</v>
      </c>
      <c r="E147" s="95">
        <f>'11'!F147</f>
        <v>691768.24</v>
      </c>
      <c r="F147" s="148">
        <v>692146.16</v>
      </c>
      <c r="G147" s="112">
        <f t="shared" si="11"/>
        <v>377.92000000004191</v>
      </c>
      <c r="H147" s="99">
        <f>G147+'11'!H147</f>
        <v>4620</v>
      </c>
      <c r="I147" s="140"/>
      <c r="J147" s="328">
        <f>H147/DAY(B2)</f>
        <v>385</v>
      </c>
    </row>
    <row r="148" spans="1:10" ht="32.25" customHeight="1">
      <c r="A148" s="895" t="s">
        <v>193</v>
      </c>
      <c r="B148" s="896"/>
      <c r="C148" s="897"/>
      <c r="D148" s="123" t="s">
        <v>130</v>
      </c>
      <c r="E148" s="95">
        <f>'11'!F148</f>
        <v>742356.4</v>
      </c>
      <c r="F148" s="404">
        <v>742640.48</v>
      </c>
      <c r="G148" s="112">
        <f t="shared" si="11"/>
        <v>284.07999999995809</v>
      </c>
      <c r="H148" s="99">
        <f>G148+'11'!H148</f>
        <v>3693.1999999999534</v>
      </c>
      <c r="I148" s="124"/>
      <c r="J148" s="328">
        <f>H148/DAY(B2)</f>
        <v>307.76666666666279</v>
      </c>
    </row>
    <row r="149" spans="1:10" ht="32.25" customHeight="1">
      <c r="A149" s="895" t="s">
        <v>336</v>
      </c>
      <c r="B149" s="896"/>
      <c r="C149" s="897"/>
      <c r="D149" s="227" t="s">
        <v>130</v>
      </c>
      <c r="E149" s="95">
        <f>'11'!F149</f>
        <v>122163.56</v>
      </c>
      <c r="F149" s="146">
        <v>122660.76</v>
      </c>
      <c r="G149" s="112">
        <f t="shared" si="11"/>
        <v>497.19999999999709</v>
      </c>
      <c r="H149" s="99">
        <f>G149+'11'!H149</f>
        <v>6127.9599999999919</v>
      </c>
      <c r="I149" s="119"/>
      <c r="J149" s="328">
        <f>H149/DAY(B2)</f>
        <v>510.66333333333267</v>
      </c>
    </row>
    <row r="150" spans="1:10" ht="32.25" customHeight="1">
      <c r="A150" s="895" t="s">
        <v>337</v>
      </c>
      <c r="B150" s="896"/>
      <c r="C150" s="897"/>
      <c r="D150" s="117" t="s">
        <v>130</v>
      </c>
      <c r="E150" s="95">
        <f>'11'!F150</f>
        <v>46180.95</v>
      </c>
      <c r="F150" s="233">
        <v>46407.75</v>
      </c>
      <c r="G150" s="112">
        <f t="shared" si="11"/>
        <v>226.80000000000291</v>
      </c>
      <c r="H150" s="99">
        <f>G150+'11'!H150</f>
        <v>2682.5899999999965</v>
      </c>
      <c r="I150" s="119"/>
      <c r="J150" s="328">
        <f>H150/DAY(B2)</f>
        <v>223.54916666666637</v>
      </c>
    </row>
    <row r="151" spans="1:10" ht="32.25" customHeight="1">
      <c r="A151" s="895" t="s">
        <v>338</v>
      </c>
      <c r="B151" s="896"/>
      <c r="C151" s="897"/>
      <c r="D151" s="117" t="s">
        <v>130</v>
      </c>
      <c r="E151" s="95">
        <f>'11'!F151</f>
        <v>129496</v>
      </c>
      <c r="F151" s="233">
        <v>129753</v>
      </c>
      <c r="G151" s="112">
        <f t="shared" si="11"/>
        <v>257</v>
      </c>
      <c r="H151" s="99">
        <f>G151+'11'!H151</f>
        <v>3150</v>
      </c>
      <c r="I151" s="119"/>
      <c r="J151" s="328">
        <f>H151/DAY(B2)</f>
        <v>262.5</v>
      </c>
    </row>
    <row r="152" spans="1:10" ht="32.25" customHeight="1">
      <c r="A152" s="895" t="s">
        <v>339</v>
      </c>
      <c r="B152" s="896"/>
      <c r="C152" s="897"/>
      <c r="D152" s="117" t="s">
        <v>130</v>
      </c>
      <c r="E152" s="95">
        <f>'11'!F152</f>
        <v>20697.59</v>
      </c>
      <c r="F152" s="233">
        <v>20818.759999999998</v>
      </c>
      <c r="G152" s="112">
        <f t="shared" si="11"/>
        <v>121.16999999999825</v>
      </c>
      <c r="H152" s="99">
        <f>G152+'11'!H152</f>
        <v>1530.6799999999967</v>
      </c>
      <c r="I152" s="119"/>
      <c r="J152" s="328">
        <f>H152/DAY(B2)</f>
        <v>127.55666666666639</v>
      </c>
    </row>
    <row r="153" spans="1:10" ht="32.2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2824.0299999999952</v>
      </c>
      <c r="H153" s="363"/>
      <c r="I153" s="119">
        <f>G153-(G38+G52)</f>
        <v>577.70999999998821</v>
      </c>
      <c r="J153" s="366"/>
    </row>
    <row r="154" spans="1:10" ht="32.2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2.25" customHeight="1">
      <c r="A155" s="903" t="s">
        <v>345</v>
      </c>
      <c r="B155" s="903"/>
      <c r="C155" s="903"/>
      <c r="D155" s="117" t="s">
        <v>130</v>
      </c>
      <c r="E155" s="95">
        <f>'11'!F155</f>
        <v>136576.56</v>
      </c>
      <c r="F155" s="374">
        <v>137119.39000000001</v>
      </c>
      <c r="G155" s="112">
        <f t="shared" ref="G155:G158" si="12">F155-E155</f>
        <v>542.8300000000163</v>
      </c>
      <c r="H155" s="99">
        <f>G155+'11'!H155</f>
        <v>6878.0100000000093</v>
      </c>
      <c r="I155" s="364"/>
      <c r="J155" s="328">
        <f>H155/DAY(B2)</f>
        <v>573.16750000000081</v>
      </c>
    </row>
    <row r="156" spans="1:10" ht="32.25" customHeight="1">
      <c r="A156" s="903" t="s">
        <v>347</v>
      </c>
      <c r="B156" s="903"/>
      <c r="C156" s="903"/>
      <c r="D156" s="117" t="s">
        <v>130</v>
      </c>
      <c r="E156" s="95">
        <f>'11'!F156</f>
        <v>13012</v>
      </c>
      <c r="F156" s="155">
        <v>13093.53</v>
      </c>
      <c r="G156" s="112">
        <f t="shared" si="12"/>
        <v>81.530000000000655</v>
      </c>
      <c r="H156" s="99">
        <f>G156+'11'!H156</f>
        <v>1000.1700000000001</v>
      </c>
      <c r="I156" s="165"/>
      <c r="J156" s="328">
        <f>H156/DAY(B2)</f>
        <v>83.347500000000011</v>
      </c>
    </row>
    <row r="157" spans="1:10" ht="32.25" customHeight="1">
      <c r="A157" s="895" t="s">
        <v>360</v>
      </c>
      <c r="B157" s="896"/>
      <c r="C157" s="897"/>
      <c r="D157" s="117" t="s">
        <v>130</v>
      </c>
      <c r="E157" s="95">
        <f>'11'!F157</f>
        <v>24720.080000000002</v>
      </c>
      <c r="F157" s="155">
        <v>24865.97</v>
      </c>
      <c r="G157" s="112">
        <f t="shared" si="12"/>
        <v>145.88999999999942</v>
      </c>
      <c r="H157" s="99">
        <f>G157+'11'!H157</f>
        <v>1669.2700000000004</v>
      </c>
      <c r="I157" s="165"/>
      <c r="J157" s="328">
        <f>H157/DAY(B2)</f>
        <v>139.10583333333338</v>
      </c>
    </row>
    <row r="158" spans="1:10" ht="32.25" customHeight="1">
      <c r="A158" s="895" t="s">
        <v>361</v>
      </c>
      <c r="B158" s="896"/>
      <c r="C158" s="897"/>
      <c r="D158" s="117" t="s">
        <v>130</v>
      </c>
      <c r="E158" s="95">
        <f>'11'!F158</f>
        <v>224.4</v>
      </c>
      <c r="F158" s="155">
        <v>225.66</v>
      </c>
      <c r="G158" s="112">
        <f t="shared" si="12"/>
        <v>1.2599999999999909</v>
      </c>
      <c r="H158" s="99">
        <f>G158+'11'!H158</f>
        <v>137.96999999999997</v>
      </c>
      <c r="I158" s="165"/>
      <c r="J158" s="328">
        <f>H158/DAY(B2)</f>
        <v>11.497499999999997</v>
      </c>
    </row>
    <row r="159" spans="1:10" ht="32.25" customHeight="1">
      <c r="A159" s="954"/>
      <c r="B159" s="955"/>
      <c r="C159" s="956"/>
      <c r="D159" s="117"/>
      <c r="E159" s="95"/>
      <c r="F159" s="165"/>
      <c r="G159" s="362">
        <f>SUM(G155:G158)</f>
        <v>771.51000000001636</v>
      </c>
      <c r="H159" s="99"/>
      <c r="I159" s="165"/>
      <c r="J159" s="328"/>
    </row>
    <row r="160" spans="1:10" ht="32.2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478869.16</v>
      </c>
      <c r="F161" s="235">
        <v>478935.84</v>
      </c>
      <c r="G161" s="238">
        <f t="shared" ref="G161:G165" si="13">F161-E161</f>
        <v>66.680000000051223</v>
      </c>
      <c r="H161" s="99">
        <f>G161+'11'!H161</f>
        <v>1272.8400000000256</v>
      </c>
      <c r="I161" s="236"/>
      <c r="J161" s="239">
        <f>H161/DAY(B2)</f>
        <v>106.07000000000214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94188.7</v>
      </c>
      <c r="F162" s="235">
        <v>94228.2</v>
      </c>
      <c r="G162" s="238">
        <f t="shared" si="13"/>
        <v>39.5</v>
      </c>
      <c r="H162" s="99">
        <f>G162+'11'!H162</f>
        <v>422.89999999999418</v>
      </c>
      <c r="I162" s="236"/>
      <c r="J162" s="239">
        <f>H162/DAY(B2)</f>
        <v>35.241666666666184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3644.7</v>
      </c>
      <c r="F163" s="235">
        <v>3797.7</v>
      </c>
      <c r="G163" s="238">
        <f t="shared" si="13"/>
        <v>153</v>
      </c>
      <c r="H163" s="99">
        <f>G163+'11'!H163</f>
        <v>1771.6</v>
      </c>
      <c r="I163" s="236"/>
      <c r="J163" s="239">
        <f>H163/DAY(B2)</f>
        <v>147.63333333333333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6020.2</v>
      </c>
      <c r="F164" s="235">
        <v>6031.4</v>
      </c>
      <c r="G164" s="238">
        <f t="shared" si="13"/>
        <v>11.199999999999818</v>
      </c>
      <c r="H164" s="99">
        <f>G164+'11'!H164</f>
        <v>133</v>
      </c>
      <c r="I164" s="236"/>
      <c r="J164" s="239">
        <f>H164/DAY(B2)</f>
        <v>11.083333333333334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31447.21</v>
      </c>
      <c r="F165" s="235">
        <v>31458.57</v>
      </c>
      <c r="G165" s="238">
        <f t="shared" si="13"/>
        <v>11.360000000000582</v>
      </c>
      <c r="H165" s="99">
        <f>G165+'11'!H165</f>
        <v>111.91999999999825</v>
      </c>
      <c r="I165" s="236"/>
      <c r="J165" s="239">
        <f>H165/DAY(B2)</f>
        <v>9.3266666666665206</v>
      </c>
    </row>
    <row r="166" spans="1:10" ht="32.25" customHeight="1">
      <c r="A166" s="935"/>
      <c r="B166" s="935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35"/>
      <c r="B167" s="935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35"/>
      <c r="B168" s="935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2.2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93" t="s">
        <v>209</v>
      </c>
      <c r="B173" s="894"/>
      <c r="C173" s="333"/>
      <c r="D173" s="228" t="s">
        <v>142</v>
      </c>
      <c r="E173" s="157">
        <f>'11'!F173</f>
        <v>8276</v>
      </c>
      <c r="F173" s="155">
        <v>8276</v>
      </c>
      <c r="G173" s="155">
        <f>F173-E173</f>
        <v>0</v>
      </c>
      <c r="H173" s="99">
        <f>G173+'11'!H173</f>
        <v>47</v>
      </c>
      <c r="I173" s="155"/>
      <c r="J173" s="178">
        <f>H173/DAY(B2)</f>
        <v>3.9166666666666665</v>
      </c>
    </row>
    <row r="174" spans="1:10" ht="32.25" customHeight="1">
      <c r="A174" s="893" t="s">
        <v>75</v>
      </c>
      <c r="B174" s="894"/>
      <c r="C174" s="333"/>
      <c r="D174" s="228" t="s">
        <v>142</v>
      </c>
      <c r="E174" s="157">
        <f>'11'!F174</f>
        <v>40932</v>
      </c>
      <c r="F174" s="157">
        <v>40943</v>
      </c>
      <c r="G174" s="155">
        <f t="shared" ref="G174:G175" si="14">F174-E174</f>
        <v>11</v>
      </c>
      <c r="H174" s="99">
        <f>G174+'11'!H174</f>
        <v>164</v>
      </c>
      <c r="I174" s="155"/>
      <c r="J174" s="178">
        <f>H174/DAY(B2)</f>
        <v>13.666666666666666</v>
      </c>
    </row>
    <row r="175" spans="1:10" ht="32.25" customHeight="1">
      <c r="A175" s="893" t="s">
        <v>76</v>
      </c>
      <c r="B175" s="898"/>
      <c r="C175" s="894"/>
      <c r="D175" s="228" t="s">
        <v>142</v>
      </c>
      <c r="E175" s="157">
        <f>'11'!F175</f>
        <v>23794</v>
      </c>
      <c r="F175" s="155">
        <v>23806</v>
      </c>
      <c r="G175" s="155">
        <f t="shared" si="14"/>
        <v>12</v>
      </c>
      <c r="H175" s="99">
        <f>G175+'11'!H175</f>
        <v>150</v>
      </c>
      <c r="I175" s="155"/>
      <c r="J175" s="178">
        <f>H175/DAY(B2)</f>
        <v>12.5</v>
      </c>
    </row>
    <row r="176" spans="1:10" ht="32.25" customHeight="1">
      <c r="A176" s="463" t="s">
        <v>196</v>
      </c>
      <c r="B176" s="464"/>
      <c r="C176" s="401"/>
      <c r="D176" s="228" t="s">
        <v>142</v>
      </c>
      <c r="E176" s="95"/>
      <c r="F176" s="155"/>
      <c r="G176" s="155">
        <f>SUM(G173:G175)</f>
        <v>23</v>
      </c>
      <c r="H176" s="99">
        <f>G176+'11'!H176</f>
        <v>361</v>
      </c>
      <c r="I176" s="155"/>
      <c r="J176" s="178">
        <f>H176/DAY(B2)</f>
        <v>30.083333333333332</v>
      </c>
    </row>
    <row r="177" spans="1:10" ht="32.2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93" t="s">
        <v>210</v>
      </c>
      <c r="B178" s="894"/>
      <c r="C178" s="333"/>
      <c r="D178" s="228" t="s">
        <v>142</v>
      </c>
      <c r="E178" s="95">
        <f>'11'!F178</f>
        <v>95747</v>
      </c>
      <c r="F178" s="155">
        <v>95854</v>
      </c>
      <c r="G178" s="155">
        <f>F178-E178</f>
        <v>107</v>
      </c>
      <c r="H178" s="99">
        <f>G178+'11'!H178</f>
        <v>1003</v>
      </c>
      <c r="I178" s="155"/>
      <c r="J178" s="178">
        <f>H178/DAY(B2)</f>
        <v>83.583333333333329</v>
      </c>
    </row>
    <row r="179" spans="1:10" ht="32.25" customHeight="1">
      <c r="A179" s="893" t="s">
        <v>211</v>
      </c>
      <c r="B179" s="894"/>
      <c r="C179" s="333"/>
      <c r="D179" s="228" t="s">
        <v>142</v>
      </c>
      <c r="E179" s="95">
        <f>'11'!F179</f>
        <v>36002</v>
      </c>
      <c r="F179" s="155">
        <v>36002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893" t="s">
        <v>212</v>
      </c>
      <c r="B180" s="894"/>
      <c r="C180" s="333"/>
      <c r="D180" s="228" t="s">
        <v>142</v>
      </c>
      <c r="E180" s="95">
        <f>'11'!F180</f>
        <v>6960</v>
      </c>
      <c r="F180" s="155">
        <v>6965</v>
      </c>
      <c r="G180" s="155">
        <f t="shared" si="15"/>
        <v>5</v>
      </c>
      <c r="H180" s="99">
        <f>G180+'11'!H180</f>
        <v>83</v>
      </c>
      <c r="I180" s="155"/>
      <c r="J180" s="178">
        <f>H180/DAY(B2)</f>
        <v>6.916666666666667</v>
      </c>
    </row>
    <row r="181" spans="1:10" ht="32.2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112</v>
      </c>
      <c r="H181" s="99">
        <f>G181+'11'!H181</f>
        <v>1086</v>
      </c>
      <c r="I181" s="155"/>
      <c r="J181" s="178">
        <f>H181/DAY(B2)</f>
        <v>90.5</v>
      </c>
    </row>
    <row r="182" spans="1:10" ht="32.2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93" t="s">
        <v>214</v>
      </c>
      <c r="B183" s="894"/>
      <c r="C183" s="334"/>
      <c r="D183" s="228" t="s">
        <v>142</v>
      </c>
      <c r="E183" s="95">
        <f>'11'!F183</f>
        <v>17352</v>
      </c>
      <c r="F183" s="157">
        <v>17357</v>
      </c>
      <c r="G183" s="157">
        <f>F183-E183</f>
        <v>5</v>
      </c>
      <c r="H183" s="99">
        <f>G183+'11'!H183</f>
        <v>82</v>
      </c>
      <c r="I183" s="155"/>
      <c r="J183" s="178">
        <f>H183/DAY(B2)</f>
        <v>6.833333333333333</v>
      </c>
    </row>
    <row r="184" spans="1:10" ht="32.25" customHeight="1">
      <c r="A184" s="893" t="s">
        <v>215</v>
      </c>
      <c r="B184" s="894"/>
      <c r="C184" s="334"/>
      <c r="D184" s="228" t="s">
        <v>142</v>
      </c>
      <c r="E184" s="95">
        <f>'11'!F184</f>
        <v>11761</v>
      </c>
      <c r="F184" s="157">
        <v>11767</v>
      </c>
      <c r="G184" s="157">
        <f t="shared" ref="G184:G185" si="16">F184-E184</f>
        <v>6</v>
      </c>
      <c r="H184" s="99">
        <f>G184+'11'!H184</f>
        <v>78</v>
      </c>
      <c r="I184" s="155"/>
      <c r="J184" s="178">
        <f>H184/DAY(B2)</f>
        <v>6.5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G186+'11'!H186</f>
        <v>160</v>
      </c>
      <c r="I186" s="157"/>
      <c r="J186" s="178">
        <f>H186/DAY(B2)</f>
        <v>13.333333333333334</v>
      </c>
    </row>
    <row r="187" spans="1:10" ht="32.2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151</v>
      </c>
      <c r="H187" s="99">
        <f>G187+'11'!H187</f>
        <v>1837</v>
      </c>
      <c r="I187" s="158"/>
      <c r="J187" s="179">
        <f>H187/DAY(B2)</f>
        <v>153.08333333333334</v>
      </c>
    </row>
    <row r="188" spans="1:10" ht="32.2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140</v>
      </c>
      <c r="H188" s="99">
        <f>G188+'11'!H188</f>
        <v>1571</v>
      </c>
      <c r="I188" s="158"/>
      <c r="J188" s="179">
        <f>H188/DAY(B2)</f>
        <v>130.91666666666666</v>
      </c>
    </row>
    <row r="189" spans="1:10" ht="32.2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112</v>
      </c>
      <c r="H189" s="99">
        <f>G189+'11'!H189</f>
        <v>1086</v>
      </c>
      <c r="I189" s="158"/>
      <c r="J189" s="179">
        <f>H189/DAY(B2)</f>
        <v>90.5</v>
      </c>
    </row>
    <row r="190" spans="1:10" ht="32.25" customHeight="1">
      <c r="A190" s="937"/>
      <c r="B190" s="938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73" zoomScale="55" zoomScaleSheetLayoutView="55" workbookViewId="0">
      <selection activeCell="G58" sqref="G5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354</v>
      </c>
      <c r="B2" s="262">
        <v>44755</v>
      </c>
      <c r="C2" s="348" t="s">
        <v>67</v>
      </c>
      <c r="D2" s="218">
        <v>0.66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844485.59</v>
      </c>
      <c r="F7" s="95">
        <v>871532.47</v>
      </c>
      <c r="G7" s="112">
        <f>F7-E7</f>
        <v>27046.880000000005</v>
      </c>
      <c r="H7" s="99">
        <f>G7+'12'!H7</f>
        <v>348567.97</v>
      </c>
      <c r="I7" s="113">
        <f>'1'!I7</f>
        <v>12000</v>
      </c>
      <c r="J7" s="175">
        <f>H7/DAY(B2)</f>
        <v>26812.920769230768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988788.63</v>
      </c>
      <c r="F8" s="114">
        <v>1016254.65</v>
      </c>
      <c r="G8" s="115">
        <f>F8-E8</f>
        <v>27466.020000000019</v>
      </c>
      <c r="H8" s="99">
        <f>G8+'12'!H8</f>
        <v>354465.65</v>
      </c>
      <c r="I8" s="116"/>
      <c r="J8" s="175">
        <f>H8/DAY(B2)</f>
        <v>27266.588461538464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3080354.5</v>
      </c>
      <c r="F9" s="469">
        <v>3092961.9</v>
      </c>
      <c r="G9" s="112">
        <f>F9-E9</f>
        <v>12607.399999999907</v>
      </c>
      <c r="H9" s="99">
        <f>G9+'12'!H9</f>
        <v>175312.79999999981</v>
      </c>
      <c r="I9" s="124">
        <f>I7-J7</f>
        <v>-14812.920769230768</v>
      </c>
      <c r="J9" s="175">
        <f>H9/DAY(B2)</f>
        <v>13485.599999999986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1386287</v>
      </c>
      <c r="F10" s="353">
        <v>1400037.7</v>
      </c>
      <c r="G10" s="112">
        <f t="shared" ref="G10:G12" si="0">F10-E10</f>
        <v>13750.699999999953</v>
      </c>
      <c r="H10" s="99">
        <f>G10+'12'!H10</f>
        <v>164351.07000000007</v>
      </c>
      <c r="I10" s="282"/>
      <c r="J10" s="175">
        <f>H10/DAY(B2)</f>
        <v>12642.390000000005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69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26358.09999999986</v>
      </c>
      <c r="H13" s="99">
        <f>G13+'12'!H13</f>
        <v>341392.80000000005</v>
      </c>
      <c r="I13" s="120">
        <f>G7-G13</f>
        <v>688.78000000014435</v>
      </c>
      <c r="J13" s="175">
        <f>H13/DAY(B2)</f>
        <v>26260.984615384619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'12'!F15</f>
        <v>2080317.51</v>
      </c>
      <c r="F15" s="469">
        <v>2081461.24</v>
      </c>
      <c r="G15" s="112">
        <f>(F15-E15)</f>
        <v>1143.7299999999814</v>
      </c>
      <c r="H15" s="99">
        <f>G15+'12'!H15</f>
        <v>13382.830000000075</v>
      </c>
      <c r="I15" s="113">
        <f>'1'!I15</f>
        <v>800</v>
      </c>
      <c r="J15" s="175">
        <f>H15/DAY(B2)</f>
        <v>1029.4484615384672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-229.4484615384672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'12'!F18</f>
        <v>20</v>
      </c>
      <c r="F18" s="122">
        <v>12</v>
      </c>
      <c r="G18" s="119">
        <f>F18*10</f>
        <v>120</v>
      </c>
      <c r="H18" s="99">
        <f>G18+'12'!H18</f>
        <v>2340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'12'!F19</f>
        <v>161413</v>
      </c>
      <c r="F19" s="122">
        <v>161463</v>
      </c>
      <c r="G19" s="112">
        <f t="shared" ref="G19" si="1">F19-E19</f>
        <v>50</v>
      </c>
      <c r="H19" s="99">
        <f>G19+'12'!H19</f>
        <v>640</v>
      </c>
      <c r="I19" s="335"/>
      <c r="J19" s="175">
        <f>H19/DAY(B2)</f>
        <v>49.230769230769234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170</v>
      </c>
      <c r="H20" s="99">
        <f>G20+'12'!H20</f>
        <v>2980</v>
      </c>
      <c r="I20" s="336">
        <f>I18-J20</f>
        <v>-164.23076923076923</v>
      </c>
      <c r="J20" s="175">
        <f>H20/DAY(B2)</f>
        <v>229.23076923076923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4470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27466.020000000019</v>
      </c>
      <c r="F27" s="136">
        <v>9</v>
      </c>
      <c r="G27" s="137">
        <f>E27*F27</f>
        <v>247194.18000000017</v>
      </c>
      <c r="H27" s="99">
        <f>G27+'12'!H27</f>
        <v>3190190.85</v>
      </c>
      <c r="I27" s="138"/>
      <c r="J27" s="175">
        <f>H27/DAY(B2)</f>
        <v>245399.29615384617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1143.7299999999814</v>
      </c>
      <c r="F28" s="136">
        <v>70</v>
      </c>
      <c r="G28" s="137">
        <f>E28*F28</f>
        <v>80061.099999998696</v>
      </c>
      <c r="H28" s="99">
        <f>G28+'12'!H28</f>
        <v>936798.10000000522</v>
      </c>
      <c r="I28" s="140"/>
      <c r="J28" s="175">
        <f>H28/DAY(B2)</f>
        <v>72061.392307692702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G30+'12'!H30</f>
        <v>96640</v>
      </c>
      <c r="I30" s="140"/>
      <c r="J30" s="175">
        <f>H30/DAY(B2)</f>
        <v>7433.8461538461543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G31+'12'!H31</f>
        <v>187200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344405.27999999886</v>
      </c>
      <c r="H32" s="99">
        <f>G32+'12'!H32</f>
        <v>4410828.9500000058</v>
      </c>
      <c r="I32" s="144"/>
      <c r="J32" s="175">
        <f>H32/DAY(B2)</f>
        <v>339294.53461538506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238713</v>
      </c>
      <c r="F35" s="145">
        <v>238713</v>
      </c>
      <c r="G35" s="112">
        <f t="shared" ref="G35:G46" si="3">F35-E35</f>
        <v>0</v>
      </c>
      <c r="H35" s="99">
        <f>G35+'12'!H35</f>
        <v>-4.9999999988358468E-2</v>
      </c>
      <c r="I35" s="95"/>
      <c r="J35" s="175">
        <f>H35/DAY(B2)</f>
        <v>-3.8461538452583435E-3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197796.77</v>
      </c>
      <c r="F36" s="145">
        <v>198539.83</v>
      </c>
      <c r="G36" s="112">
        <f t="shared" si="3"/>
        <v>743.05999999999767</v>
      </c>
      <c r="H36" s="99">
        <f>G36+'12'!H36</f>
        <v>11619.599999999977</v>
      </c>
      <c r="I36" s="95"/>
      <c r="J36" s="175">
        <f>H36/DAY(B2)</f>
        <v>893.81538461538287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305706.03000000003</v>
      </c>
      <c r="F37" s="145">
        <v>307246.17</v>
      </c>
      <c r="G37" s="112">
        <f t="shared" si="3"/>
        <v>1540.1399999999558</v>
      </c>
      <c r="H37" s="99">
        <f>G37+'12'!H37</f>
        <v>20527.179999999993</v>
      </c>
      <c r="I37" s="95"/>
      <c r="J37" s="175">
        <f>H37/DAY(B2)</f>
        <v>1579.0138461538456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413753.87</v>
      </c>
      <c r="F38" s="108">
        <v>416043.11</v>
      </c>
      <c r="G38" s="112">
        <f t="shared" si="3"/>
        <v>2289.2399999999907</v>
      </c>
      <c r="H38" s="99">
        <f>G38+'12'!H38</f>
        <v>29379.760000000009</v>
      </c>
      <c r="I38" s="95"/>
      <c r="J38" s="175">
        <f>H38/DAY(B2)</f>
        <v>2259.981538461539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558849.71</v>
      </c>
      <c r="F39" s="145">
        <v>561833.06999999995</v>
      </c>
      <c r="G39" s="112">
        <f t="shared" si="3"/>
        <v>2983.359999999986</v>
      </c>
      <c r="H39" s="99">
        <f>G39+'12'!H39</f>
        <v>38452.479999999923</v>
      </c>
      <c r="I39" s="95"/>
      <c r="J39" s="175">
        <f>H39/DAY(B2)</f>
        <v>2957.8830769230708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91323.37</v>
      </c>
      <c r="F40" s="145">
        <v>92077.43</v>
      </c>
      <c r="G40" s="112">
        <f t="shared" si="3"/>
        <v>754.05999999999767</v>
      </c>
      <c r="H40" s="99">
        <f>G40+'12'!H40</f>
        <v>8406.3399999999965</v>
      </c>
      <c r="I40" s="95"/>
      <c r="J40" s="175">
        <f>H40/DAY(B2)</f>
        <v>646.64153846153818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161659.39000000001</v>
      </c>
      <c r="F41" s="145">
        <v>161659.39000000001</v>
      </c>
      <c r="G41" s="112">
        <f t="shared" si="3"/>
        <v>0</v>
      </c>
      <c r="H41" s="99">
        <f>G41+'12'!H41</f>
        <v>18840.99000000002</v>
      </c>
      <c r="I41" s="95"/>
      <c r="J41" s="175">
        <f>H41/DAY(B2)</f>
        <v>1449.3069230769247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724441.83</v>
      </c>
      <c r="F42" s="145">
        <v>728113.99</v>
      </c>
      <c r="G42" s="112">
        <f t="shared" si="3"/>
        <v>3672.1600000000326</v>
      </c>
      <c r="H42" s="99">
        <f>G42+'12'!H42</f>
        <v>39481.439999999944</v>
      </c>
      <c r="I42" s="95"/>
      <c r="J42" s="175">
        <f>H42/DAY(B2)</f>
        <v>3037.0338461538418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11982.01999999996</v>
      </c>
      <c r="H47" s="99">
        <f>G47+'12'!H47</f>
        <v>166707.73999999987</v>
      </c>
      <c r="I47" s="95"/>
      <c r="J47" s="175">
        <f>H47/DAY(B2)</f>
        <v>12823.672307692297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411526.27</v>
      </c>
      <c r="F49" s="145">
        <v>414918.31</v>
      </c>
      <c r="G49" s="112">
        <f t="shared" ref="G49:G58" si="4">F49-E49</f>
        <v>3392.039999999979</v>
      </c>
      <c r="H49" s="99">
        <f>G49+'12'!H49</f>
        <v>44146.559999999998</v>
      </c>
      <c r="I49" s="95"/>
      <c r="J49" s="175">
        <f>H49/DAY(B2)</f>
        <v>3395.8892307692304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257513.53</v>
      </c>
      <c r="F50" s="145">
        <v>258968.61</v>
      </c>
      <c r="G50" s="112">
        <f t="shared" si="4"/>
        <v>1455.0799999999872</v>
      </c>
      <c r="H50" s="99">
        <f>G50+'12'!H50</f>
        <v>15863.209999999992</v>
      </c>
      <c r="I50" s="95"/>
      <c r="J50" s="175">
        <f>H50/DAY(B2)</f>
        <v>1220.2469230769225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75.680000000000007</v>
      </c>
      <c r="F51" s="145">
        <v>75.680000000000007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81254.48</v>
      </c>
      <c r="F54" s="145">
        <v>81608.070000000007</v>
      </c>
      <c r="G54" s="112">
        <f t="shared" si="4"/>
        <v>353.59000000001106</v>
      </c>
      <c r="H54" s="99">
        <f>G54+'12'!H54</f>
        <v>4590.570000000007</v>
      </c>
      <c r="I54" s="95"/>
      <c r="J54" s="175">
        <f>H54/DAY(B2)</f>
        <v>353.12076923076978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310432.33</v>
      </c>
      <c r="F55" s="145">
        <v>314366.78999999998</v>
      </c>
      <c r="G55" s="112">
        <f t="shared" si="4"/>
        <v>3934.4599999999627</v>
      </c>
      <c r="H55" s="99">
        <f>G55+'12'!H55</f>
        <v>30283.859999999986</v>
      </c>
      <c r="I55" s="95"/>
      <c r="J55" s="175">
        <f>H55/DAY(B2)</f>
        <v>2329.5276923076913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120880.14</v>
      </c>
      <c r="F56" s="145">
        <v>120880.14</v>
      </c>
      <c r="G56" s="112">
        <f t="shared" si="4"/>
        <v>0</v>
      </c>
      <c r="H56" s="99">
        <f>G56+'12'!H56</f>
        <v>9637.0099999999948</v>
      </c>
      <c r="I56" s="95"/>
      <c r="J56" s="175">
        <f>H56/DAY(B2)</f>
        <v>741.30846153846119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169223.23</v>
      </c>
      <c r="F57" s="145">
        <v>172222.77</v>
      </c>
      <c r="G57" s="112">
        <f t="shared" si="4"/>
        <v>2999.539999999979</v>
      </c>
      <c r="H57" s="99">
        <f>G57+'12'!H57</f>
        <v>40319.069999999978</v>
      </c>
      <c r="I57" s="95"/>
      <c r="J57" s="175">
        <f>H57/DAY(B2)</f>
        <v>3101.4669230769214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43785.72</v>
      </c>
      <c r="F58" s="145">
        <v>44060.639999999999</v>
      </c>
      <c r="G58" s="112">
        <f t="shared" si="4"/>
        <v>274.91999999999825</v>
      </c>
      <c r="H58" s="99">
        <f>G58+'12'!H58</f>
        <v>3780.5299999999988</v>
      </c>
      <c r="I58" s="95"/>
      <c r="J58" s="175">
        <f>H58/DAY(B2)</f>
        <v>290.80999999999989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12409.629999999917</v>
      </c>
      <c r="H59" s="99">
        <f>G59+'12'!H59</f>
        <v>148620.56999999995</v>
      </c>
      <c r="I59" s="95">
        <f>G7-G60</f>
        <v>2655.2300000001269</v>
      </c>
      <c r="J59" s="175">
        <f>H59/DAY(B2)</f>
        <v>11432.351538461535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24391.649999999878</v>
      </c>
      <c r="H60" s="99">
        <f>G60+'12'!H60</f>
        <v>315328.30999999982</v>
      </c>
      <c r="I60" s="95">
        <f>G13-G60</f>
        <v>1966.4499999999825</v>
      </c>
      <c r="J60" s="175">
        <f>H60/DAY(B2)</f>
        <v>24256.023846153832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'12'!F62</f>
        <v>293945</v>
      </c>
      <c r="F62" s="122">
        <v>294042</v>
      </c>
      <c r="G62" s="112">
        <f t="shared" ref="G62:G63" si="5">F62-E62</f>
        <v>97</v>
      </c>
      <c r="H62" s="99">
        <f>G62+'12'!H62</f>
        <v>1344</v>
      </c>
      <c r="I62" s="118"/>
      <c r="J62" s="175">
        <f>H62/DAY(B2)</f>
        <v>103.38461538461539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'12'!F63</f>
        <v>236352</v>
      </c>
      <c r="F63" s="122">
        <v>236507</v>
      </c>
      <c r="G63" s="112">
        <f t="shared" si="5"/>
        <v>155</v>
      </c>
      <c r="H63" s="99">
        <f>G63+'12'!H63</f>
        <v>1441</v>
      </c>
      <c r="I63" s="118"/>
      <c r="J63" s="175">
        <f>H63/DAY(B2)</f>
        <v>110.84615384615384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'12'!F64</f>
        <v>0</v>
      </c>
      <c r="F64" s="122"/>
      <c r="G64" s="112">
        <f>G62+G63</f>
        <v>252</v>
      </c>
      <c r="H64" s="99">
        <f>G64+'12'!H64</f>
        <v>2785</v>
      </c>
      <c r="I64" s="118"/>
      <c r="J64" s="175">
        <f>H64/DAY(B2)</f>
        <v>214.23076923076923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'12'!F65</f>
        <v>452579</v>
      </c>
      <c r="F65" s="122">
        <v>452678</v>
      </c>
      <c r="G65" s="112">
        <f t="shared" ref="G65:G70" si="6">F65-E65</f>
        <v>99</v>
      </c>
      <c r="H65" s="99">
        <f>G65+'12'!H65</f>
        <v>1289</v>
      </c>
      <c r="I65" s="118"/>
      <c r="J65" s="175">
        <f>H65/DAY(B2)</f>
        <v>99.15384615384616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111255</v>
      </c>
      <c r="F66" s="122">
        <v>111278</v>
      </c>
      <c r="G66" s="112">
        <f t="shared" si="6"/>
        <v>23</v>
      </c>
      <c r="H66" s="99">
        <f>G66+'12'!H66</f>
        <v>251</v>
      </c>
      <c r="I66" s="118"/>
      <c r="J66" s="175">
        <f>H66/DAY(B2)</f>
        <v>19.307692307692307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113680</v>
      </c>
      <c r="F67" s="122">
        <v>113680</v>
      </c>
      <c r="G67" s="112">
        <f t="shared" si="6"/>
        <v>0</v>
      </c>
      <c r="H67" s="99">
        <f>G67+'12'!H67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164032</v>
      </c>
      <c r="F68" s="122">
        <v>164056</v>
      </c>
      <c r="G68" s="112">
        <f t="shared" si="6"/>
        <v>24</v>
      </c>
      <c r="H68" s="99">
        <f>G68+'12'!H68</f>
        <v>530</v>
      </c>
      <c r="I68" s="118"/>
      <c r="J68" s="175">
        <f>H68/DAY(B2)</f>
        <v>40.769230769230766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12185</v>
      </c>
      <c r="F69" s="122">
        <v>12188</v>
      </c>
      <c r="G69" s="112">
        <f t="shared" si="6"/>
        <v>3</v>
      </c>
      <c r="H69" s="99">
        <f>G69+'12'!H69</f>
        <v>60</v>
      </c>
      <c r="I69" s="118"/>
      <c r="J69" s="175">
        <f>H69/DAY(B2)</f>
        <v>4.615384615384615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9610</v>
      </c>
      <c r="F70" s="122">
        <v>9619</v>
      </c>
      <c r="G70" s="112">
        <f t="shared" si="6"/>
        <v>9</v>
      </c>
      <c r="H70" s="99">
        <f>G70+'12'!H70</f>
        <v>105</v>
      </c>
      <c r="I70" s="118"/>
      <c r="J70" s="175">
        <f>H70/DAY(B2)</f>
        <v>8.0769230769230766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 t="s">
        <v>369</v>
      </c>
      <c r="G71" s="153">
        <f>SUM(G65:G70)</f>
        <v>158</v>
      </c>
      <c r="H71" s="99">
        <f>G71+'12'!H71</f>
        <v>2235</v>
      </c>
      <c r="I71" s="154"/>
      <c r="J71" s="175">
        <f>H71/DAY(B2)</f>
        <v>171.92307692307693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'12'!F74</f>
        <v>951344.02</v>
      </c>
      <c r="F74" s="117">
        <v>951719.93</v>
      </c>
      <c r="G74" s="112">
        <f t="shared" ref="G74:G78" si="7">F74-E74</f>
        <v>375.9100000000326</v>
      </c>
      <c r="H74" s="99">
        <f>G74+'12'!H74</f>
        <v>4012.7300000000978</v>
      </c>
      <c r="I74" s="154"/>
      <c r="J74" s="175">
        <f>H74/DAY(B2)</f>
        <v>308.67153846154599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'12'!F75</f>
        <v>73586.8</v>
      </c>
      <c r="F75" s="123">
        <v>73586.8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'12'!F76</f>
        <v>188143</v>
      </c>
      <c r="F76" s="123">
        <v>188259.94</v>
      </c>
      <c r="G76" s="112">
        <f t="shared" si="7"/>
        <v>116.94000000000233</v>
      </c>
      <c r="H76" s="99">
        <f>G76+'12'!H76</f>
        <v>1368.640000000014</v>
      </c>
      <c r="I76" s="154"/>
      <c r="J76" s="175">
        <f>H76/DAY(B2)</f>
        <v>105.28000000000108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'12'!F77</f>
        <v>49308</v>
      </c>
      <c r="F77" s="123">
        <v>49365.5</v>
      </c>
      <c r="G77" s="112">
        <f t="shared" si="7"/>
        <v>57.5</v>
      </c>
      <c r="H77" s="99">
        <f>G77+'12'!H77</f>
        <v>629.69999999999709</v>
      </c>
      <c r="I77" s="154"/>
      <c r="J77" s="175">
        <f>H77/DAY(B2)</f>
        <v>48.438461538461311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'12'!F78</f>
        <v>9563.4</v>
      </c>
      <c r="F78" s="123">
        <v>9563</v>
      </c>
      <c r="G78" s="112">
        <f t="shared" si="7"/>
        <v>-0.3999999999996362</v>
      </c>
      <c r="H78" s="99">
        <f>G78+'12'!H78</f>
        <v>-0.3999999999996362</v>
      </c>
      <c r="I78" s="118"/>
      <c r="J78" s="175">
        <f>H78/DAY(B2)</f>
        <v>-3.0769230769202786E-2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'12'!F79</f>
        <v>0</v>
      </c>
      <c r="F79" s="117"/>
      <c r="G79" s="112">
        <f>G15-SUM(G74:G78)</f>
        <v>593.77999999994609</v>
      </c>
      <c r="H79" s="99">
        <f>G79+'12'!H79</f>
        <v>7372.1599999999653</v>
      </c>
      <c r="I79" s="118"/>
      <c r="J79" s="175">
        <f>H79/DAY(B2)</f>
        <v>567.08923076922815</v>
      </c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1143.7299999999814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42355.41</v>
      </c>
      <c r="F84" s="164">
        <v>42355.41</v>
      </c>
      <c r="G84" s="112">
        <f t="shared" si="8"/>
        <v>0</v>
      </c>
      <c r="H84" s="99">
        <f>G84+'12'!H84</f>
        <v>80.410000000003492</v>
      </c>
      <c r="I84" s="573"/>
      <c r="J84" s="175">
        <f>H84/DAY(B2)</f>
        <v>6.1853846153848844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5034.22</v>
      </c>
      <c r="F85" s="164">
        <v>5049.55</v>
      </c>
      <c r="G85" s="112">
        <f t="shared" si="8"/>
        <v>15.329999999999927</v>
      </c>
      <c r="H85" s="99">
        <f>G85+'12'!H85</f>
        <v>167.53999999999996</v>
      </c>
      <c r="I85" s="573"/>
      <c r="J85" s="175">
        <f>H85/DAY(B2)</f>
        <v>12.887692307692305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45024.42</v>
      </c>
      <c r="F86" s="164">
        <v>45048.44</v>
      </c>
      <c r="G86" s="112">
        <f t="shared" si="8"/>
        <v>24.020000000004075</v>
      </c>
      <c r="H86" s="99">
        <f>G86+'12'!H86</f>
        <v>196.13999999999942</v>
      </c>
      <c r="I86" s="573"/>
      <c r="J86" s="175">
        <f>H86/DAY(B2)</f>
        <v>15.087692307692263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35433.01</v>
      </c>
      <c r="F87" s="164">
        <v>35433.01</v>
      </c>
      <c r="G87" s="112">
        <f t="shared" si="8"/>
        <v>0</v>
      </c>
      <c r="H87" s="99">
        <f>G87+'12'!H87</f>
        <v>74.959999999999127</v>
      </c>
      <c r="I87" s="555">
        <f>G84+G85+G86+G87</f>
        <v>39.350000000004002</v>
      </c>
      <c r="J87" s="175">
        <f>H87/DAY(B2)</f>
        <v>5.7661538461537791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24293.83</v>
      </c>
      <c r="F88" s="164">
        <v>24293.88</v>
      </c>
      <c r="G88" s="112">
        <f t="shared" si="8"/>
        <v>4.9999999999272404E-2</v>
      </c>
      <c r="H88" s="99">
        <f>G88+'12'!H88</f>
        <v>16.680000000000291</v>
      </c>
      <c r="I88" s="555"/>
      <c r="J88" s="175">
        <f>H88/DAY(B2)</f>
        <v>1.2830769230769454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27392.84</v>
      </c>
      <c r="F89" s="164">
        <v>27402.42</v>
      </c>
      <c r="G89" s="112">
        <f t="shared" si="8"/>
        <v>9.5799999999981083</v>
      </c>
      <c r="H89" s="99">
        <f>G89+'12'!H89</f>
        <v>111</v>
      </c>
      <c r="I89" s="555">
        <f>G88+G89</f>
        <v>9.6299999999973807</v>
      </c>
      <c r="J89" s="175">
        <f>H89/DAY(B2)</f>
        <v>8.5384615384615383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72405.48</v>
      </c>
      <c r="F90" s="164">
        <v>72415.89</v>
      </c>
      <c r="G90" s="112">
        <f t="shared" si="8"/>
        <v>10.410000000003492</v>
      </c>
      <c r="H90" s="99">
        <f>G90+'12'!H90</f>
        <v>114.76000000000931</v>
      </c>
      <c r="I90" s="555">
        <f>G90</f>
        <v>10.410000000003492</v>
      </c>
      <c r="J90" s="175">
        <f>H90/DAY(B2)</f>
        <v>8.8276923076930238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4206.62</v>
      </c>
      <c r="F91" s="122">
        <v>4220.04</v>
      </c>
      <c r="G91" s="112">
        <f t="shared" si="8"/>
        <v>13.420000000000073</v>
      </c>
      <c r="H91" s="99">
        <f>G91+'12'!H91</f>
        <v>81.600000000000364</v>
      </c>
      <c r="I91" s="616"/>
      <c r="J91" s="175">
        <f>H91/DAY(B2)</f>
        <v>6.2769230769231052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6577.87</v>
      </c>
      <c r="F92" s="122">
        <v>6577.87</v>
      </c>
      <c r="G92" s="112">
        <f t="shared" si="8"/>
        <v>0</v>
      </c>
      <c r="H92" s="99">
        <f>G92+'12'!H92</f>
        <v>62.529999999999745</v>
      </c>
      <c r="I92" s="617">
        <f>G91+G92</f>
        <v>13.420000000000073</v>
      </c>
      <c r="J92" s="175">
        <f>H92/DAY(B2)</f>
        <v>4.8099999999999801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6391.5799999999581</v>
      </c>
      <c r="H94" s="99">
        <f>G94+'12'!H94</f>
        <v>84465.579999999987</v>
      </c>
      <c r="I94" s="118"/>
      <c r="J94" s="175">
        <f>H94/DAY(B2)</f>
        <v>6497.3523076923066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0.23631487254722011</v>
      </c>
      <c r="H95" s="99">
        <f>G95+'12'!H95</f>
        <v>3.1584220917387555</v>
      </c>
      <c r="I95" s="167"/>
      <c r="J95" s="175">
        <f>H95/DAY(B2)</f>
        <v>0.24295554551836582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7606.6199999999953</v>
      </c>
      <c r="H96" s="99">
        <f>G96+'12'!H96</f>
        <v>98243.299999999945</v>
      </c>
      <c r="I96" s="118"/>
      <c r="J96" s="175">
        <f>H96/DAY(B2)</f>
        <v>7557.1769230769187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0.28123835355501242</v>
      </c>
      <c r="H97" s="99">
        <f>G97+'12'!H97</f>
        <v>3.6503057541818613</v>
      </c>
      <c r="I97" s="167"/>
      <c r="J97" s="175">
        <f>H97/DAY(B2)</f>
        <v>0.28079275032168166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2983.359999999986</v>
      </c>
      <c r="H98" s="99">
        <f>G98+'12'!H98</f>
        <v>38452.479999999923</v>
      </c>
      <c r="I98" s="168"/>
      <c r="J98" s="175">
        <f>H98/DAY(B2)</f>
        <v>2957.8830769230708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0.11030329561117531</v>
      </c>
      <c r="H99" s="99">
        <f>G99+'12'!H99</f>
        <v>1.4360661191821584</v>
      </c>
      <c r="I99" s="168"/>
      <c r="J99" s="175">
        <f>H99/DAY(B2)</f>
        <v>0.11046662455247372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2289.2399999999907</v>
      </c>
      <c r="H100" s="99">
        <f>G100+'12'!H100</f>
        <v>29379.520000000011</v>
      </c>
      <c r="I100" s="118"/>
      <c r="J100" s="175">
        <f>H100/DAY(B2)</f>
        <v>2259.963076923078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8.4639707056784003E-2</v>
      </c>
      <c r="H101" s="99">
        <f>G101+'12'!H101</f>
        <v>1.0971831650369261</v>
      </c>
      <c r="I101" s="168"/>
      <c r="J101" s="175">
        <f>H101/DAY(B2)</f>
        <v>8.4398705002840468E-2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2198.1399999999849</v>
      </c>
      <c r="H102" s="99">
        <f>G102+'12'!H102</f>
        <v>27482.809999999969</v>
      </c>
      <c r="I102" s="168"/>
      <c r="J102" s="175">
        <f>H102/DAY(B2)</f>
        <v>2114.0623076923052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8.1271481220753908E-2</v>
      </c>
      <c r="H103" s="99">
        <f>G103+'12'!H103</f>
        <v>1.0215437602425805</v>
      </c>
      <c r="I103" s="118"/>
      <c r="J103" s="175">
        <f>H103/DAY(B2)</f>
        <v>7.8580289249429267E-2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1540.1399999999558</v>
      </c>
      <c r="H104" s="99">
        <f>G104+'12'!H104</f>
        <v>20527.179999999993</v>
      </c>
      <c r="I104" s="118"/>
      <c r="J104" s="175">
        <f>H104/DAY(B2)</f>
        <v>1579.0138461538456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5.694335169157979E-2</v>
      </c>
      <c r="H105" s="99">
        <f>G105+'12'!H105</f>
        <v>0.7672347201915819</v>
      </c>
      <c r="I105" s="187"/>
      <c r="J105" s="188">
        <f>H105/DAY(B2)</f>
        <v>5.9018055399352454E-2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'12'!F112</f>
        <v>5832.18</v>
      </c>
      <c r="F112" s="237">
        <v>5908.57</v>
      </c>
      <c r="G112" s="112">
        <f t="shared" ref="G112:G123" si="9">F112-E112</f>
        <v>76.389999999999418</v>
      </c>
      <c r="H112" s="99">
        <f>G112+'12'!H112</f>
        <v>978.82999999999993</v>
      </c>
      <c r="I112" s="165"/>
      <c r="J112" s="328">
        <f>H112/DAY(B2)</f>
        <v>75.294615384615383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'12'!F113</f>
        <v>12344.69</v>
      </c>
      <c r="F113" s="237">
        <v>12491.55</v>
      </c>
      <c r="G113" s="112">
        <f t="shared" si="9"/>
        <v>146.85999999999876</v>
      </c>
      <c r="H113" s="99">
        <f>G113+'12'!H113</f>
        <v>1858.83</v>
      </c>
      <c r="I113" s="165"/>
      <c r="J113" s="328">
        <f>H113/DAY(B2)</f>
        <v>142.98692307692306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'12'!F114</f>
        <v>16958.14</v>
      </c>
      <c r="F114" s="237">
        <v>17194.75</v>
      </c>
      <c r="G114" s="112">
        <f t="shared" si="9"/>
        <v>236.61000000000058</v>
      </c>
      <c r="H114" s="99">
        <f>G114+'12'!H114</f>
        <v>3000.9500000000007</v>
      </c>
      <c r="I114" s="165"/>
      <c r="J114" s="328">
        <f>H114/DAY(B2)</f>
        <v>230.84230769230774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'12'!F115</f>
        <v>10459.32</v>
      </c>
      <c r="F115" s="237">
        <v>10608.75</v>
      </c>
      <c r="G115" s="112">
        <f t="shared" si="9"/>
        <v>149.43000000000029</v>
      </c>
      <c r="H115" s="99">
        <f>G115+'12'!H115</f>
        <v>1587.9699999999993</v>
      </c>
      <c r="I115" s="165"/>
      <c r="J115" s="328">
        <f>H115/DAY(B2)</f>
        <v>122.15153846153841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'12'!F116</f>
        <v>63724.49</v>
      </c>
      <c r="F116" s="237">
        <v>64135.61</v>
      </c>
      <c r="G116" s="112">
        <f t="shared" si="9"/>
        <v>411.12000000000262</v>
      </c>
      <c r="H116" s="99">
        <f>G116+'12'!H116</f>
        <v>5245.0599999999977</v>
      </c>
      <c r="I116" s="165"/>
      <c r="J116" s="328">
        <f>H116/DAY(B2)</f>
        <v>403.46615384615365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'12'!F117</f>
        <v>36045.71</v>
      </c>
      <c r="F117" s="237">
        <v>36328.120000000003</v>
      </c>
      <c r="G117" s="112">
        <f t="shared" si="9"/>
        <v>282.41000000000349</v>
      </c>
      <c r="H117" s="99">
        <f>G117+'12'!H117</f>
        <v>3439.6399999999994</v>
      </c>
      <c r="I117" s="165"/>
      <c r="J117" s="328">
        <f>H117/DAY(B2)</f>
        <v>264.58769230769224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'12'!F118</f>
        <v>52598.66</v>
      </c>
      <c r="F118" s="237">
        <v>53240.51</v>
      </c>
      <c r="G118" s="112">
        <f t="shared" si="9"/>
        <v>641.84999999999854</v>
      </c>
      <c r="H118" s="99">
        <f>G118+'12'!H118</f>
        <v>8320.2000000000044</v>
      </c>
      <c r="I118" s="165"/>
      <c r="J118" s="328">
        <f>H118/DAY(B2)</f>
        <v>640.01538461538496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'12'!F119</f>
        <v>33135.129999999997</v>
      </c>
      <c r="F119" s="237">
        <v>33362.99</v>
      </c>
      <c r="G119" s="112">
        <f t="shared" si="9"/>
        <v>227.86000000000058</v>
      </c>
      <c r="H119" s="99">
        <f>G119+'12'!H119</f>
        <v>3020.3899999999994</v>
      </c>
      <c r="I119" s="165"/>
      <c r="J119" s="328">
        <f>H119/DAY(B2)</f>
        <v>232.33769230769227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'12'!F120</f>
        <v>38276.29</v>
      </c>
      <c r="F120" s="237">
        <v>38728.33</v>
      </c>
      <c r="G120" s="112">
        <f t="shared" si="9"/>
        <v>452.04000000000087</v>
      </c>
      <c r="H120" s="99">
        <f>G120+'12'!H120</f>
        <v>5622.7700000000041</v>
      </c>
      <c r="I120" s="165"/>
      <c r="J120" s="328">
        <f>H120/DAY(B2)</f>
        <v>432.52076923076953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'12'!F121</f>
        <v>44982</v>
      </c>
      <c r="F121" s="237">
        <v>45432</v>
      </c>
      <c r="G121" s="112">
        <f t="shared" si="9"/>
        <v>450</v>
      </c>
      <c r="H121" s="99">
        <f>G121+'12'!H121</f>
        <v>5844.0999999999985</v>
      </c>
      <c r="I121" s="165"/>
      <c r="J121" s="328">
        <f>H121/DAY(B2)</f>
        <v>449.54615384615374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'12'!F122</f>
        <v>23469.17</v>
      </c>
      <c r="F122" s="237">
        <v>23748.22</v>
      </c>
      <c r="G122" s="112">
        <f t="shared" si="9"/>
        <v>279.05000000000291</v>
      </c>
      <c r="H122" s="99">
        <f>G122+'12'!H122</f>
        <v>3782.34</v>
      </c>
      <c r="I122" s="165"/>
      <c r="J122" s="328">
        <f>H122/DAY(B2)</f>
        <v>290.94923076923078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'12'!F123</f>
        <v>24141.919999999998</v>
      </c>
      <c r="F123" s="237">
        <v>24456.04</v>
      </c>
      <c r="G123" s="112">
        <f t="shared" si="9"/>
        <v>314.12000000000262</v>
      </c>
      <c r="H123" s="99">
        <f>G123+'12'!H123</f>
        <v>4114.0400000000009</v>
      </c>
      <c r="I123" s="165"/>
      <c r="J123" s="328">
        <f>H123/DAY(B2)</f>
        <v>316.46461538461546</v>
      </c>
    </row>
    <row r="124" spans="1:18" ht="27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3667.7400000000107</v>
      </c>
      <c r="H125" s="156"/>
      <c r="I125" s="327">
        <f>G125-(G39+G53)</f>
        <v>684.38000000002467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'12'!F128</f>
        <v>118100.49</v>
      </c>
      <c r="F128" s="165">
        <v>118617.57</v>
      </c>
      <c r="G128" s="112">
        <f t="shared" ref="G128:G134" si="10">F128-E128</f>
        <v>517.08000000000175</v>
      </c>
      <c r="H128" s="99">
        <f>G128+'12'!H128</f>
        <v>6741.7100000000064</v>
      </c>
      <c r="I128" s="165"/>
      <c r="J128" s="328">
        <f>H128/DAY(B2)</f>
        <v>518.59307692307743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69139.69</v>
      </c>
      <c r="F129" s="165">
        <v>69317</v>
      </c>
      <c r="G129" s="112">
        <f t="shared" si="10"/>
        <v>177.30999999999767</v>
      </c>
      <c r="H129" s="99">
        <f>G129+'12'!H129</f>
        <v>2615.2200000000012</v>
      </c>
      <c r="I129" s="165"/>
      <c r="J129" s="328">
        <f>H129/DAY(B2)</f>
        <v>201.17076923076931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150858.84</v>
      </c>
      <c r="F130" s="165">
        <v>151595.98000000001</v>
      </c>
      <c r="G130" s="112">
        <f t="shared" si="10"/>
        <v>737.14000000001397</v>
      </c>
      <c r="H130" s="99">
        <f>G130+'12'!H130</f>
        <v>9298.0600000000268</v>
      </c>
      <c r="I130" s="165"/>
      <c r="J130" s="328">
        <f>H130/DAY(B2)</f>
        <v>715.23538461538669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'12'!F131</f>
        <v>44698.39</v>
      </c>
      <c r="F131" s="165">
        <v>44869.69</v>
      </c>
      <c r="G131" s="112">
        <f t="shared" si="10"/>
        <v>171.30000000000291</v>
      </c>
      <c r="H131" s="99">
        <f>G131+'12'!H131</f>
        <v>2251.4900000000052</v>
      </c>
      <c r="I131" s="165"/>
      <c r="J131" s="328">
        <f>H131/DAY(B2)</f>
        <v>173.19153846153887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'12'!F132</f>
        <v>121303.35</v>
      </c>
      <c r="F132" s="165">
        <v>121741.45</v>
      </c>
      <c r="G132" s="112">
        <f t="shared" si="10"/>
        <v>438.09999999999127</v>
      </c>
      <c r="H132" s="99">
        <f>G132+'12'!H132</f>
        <v>5450.4499999999971</v>
      </c>
      <c r="I132" s="165"/>
      <c r="J132" s="328">
        <f>H132/DAY(B2)</f>
        <v>419.26538461538439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v>222404.57</v>
      </c>
      <c r="F133" s="165">
        <v>223091.25</v>
      </c>
      <c r="G133" s="112">
        <f t="shared" si="10"/>
        <v>686.67999999999302</v>
      </c>
      <c r="H133" s="99">
        <f>G133+'12'!H133</f>
        <v>7280.679999999993</v>
      </c>
      <c r="I133" s="165"/>
      <c r="J133" s="328">
        <f>H133/DAY(B2)</f>
        <v>560.05230769230718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'12'!F134</f>
        <v>44711.44</v>
      </c>
      <c r="F134" s="165">
        <v>44968.21</v>
      </c>
      <c r="G134" s="112">
        <f t="shared" si="10"/>
        <v>256.7699999999968</v>
      </c>
      <c r="H134" s="99">
        <f>G134+'12'!H134</f>
        <v>3223.2099999999991</v>
      </c>
      <c r="I134" s="165"/>
      <c r="J134" s="328">
        <f>H134/DAY(B2)</f>
        <v>247.9392307692307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2984.3799999999974</v>
      </c>
      <c r="H135" s="99">
        <f>G135+'12'!H135</f>
        <v>33658.390000000029</v>
      </c>
      <c r="I135" s="327">
        <f>G135-(G35+G49)</f>
        <v>-407.65999999998166</v>
      </c>
      <c r="J135" s="328">
        <f>H135/DAY(B2)</f>
        <v>2589.1069230769253</v>
      </c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'12'!F138</f>
        <v>888762</v>
      </c>
      <c r="F138" s="147">
        <v>888846</v>
      </c>
      <c r="G138" s="112">
        <f t="shared" ref="G138:G152" si="11">F138-E138</f>
        <v>84</v>
      </c>
      <c r="H138" s="99">
        <f>G138+'12'!H138</f>
        <v>1622</v>
      </c>
      <c r="I138" s="118"/>
      <c r="J138" s="328">
        <f>H138/DAY(B2)</f>
        <v>124.76923076923077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'12'!F139</f>
        <v>906000</v>
      </c>
      <c r="F139" s="148">
        <v>906162</v>
      </c>
      <c r="G139" s="112">
        <f t="shared" si="11"/>
        <v>162</v>
      </c>
      <c r="H139" s="99">
        <f>G139+'12'!H139</f>
        <v>2072</v>
      </c>
      <c r="I139" s="118"/>
      <c r="J139" s="328">
        <f>H139/DAY(B2)</f>
        <v>159.38461538461539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'12'!F140</f>
        <v>89713</v>
      </c>
      <c r="F140" s="149">
        <v>89803</v>
      </c>
      <c r="G140" s="112">
        <f t="shared" si="11"/>
        <v>90</v>
      </c>
      <c r="H140" s="99">
        <f>G140+'12'!H140</f>
        <v>797.34999999999422</v>
      </c>
      <c r="I140" s="118"/>
      <c r="J140" s="328">
        <f>H140/DAY(B2)</f>
        <v>61.334615384614942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'12'!F141</f>
        <v>86574</v>
      </c>
      <c r="F141" s="149">
        <v>86779.35</v>
      </c>
      <c r="G141" s="112">
        <f t="shared" si="11"/>
        <v>205.35000000000582</v>
      </c>
      <c r="H141" s="99">
        <f>G141+'12'!H141</f>
        <v>2664.1500000000087</v>
      </c>
      <c r="I141" s="118"/>
      <c r="J141" s="328">
        <f>H141/DAY(B2)</f>
        <v>204.93461538461605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'12'!F142</f>
        <v>35264.269999999997</v>
      </c>
      <c r="F142" s="148">
        <v>35336.79</v>
      </c>
      <c r="G142" s="112">
        <f t="shared" si="11"/>
        <v>72.520000000004075</v>
      </c>
      <c r="H142" s="99">
        <f>G142+'12'!H142</f>
        <v>951.31999999999971</v>
      </c>
      <c r="I142" s="140"/>
      <c r="J142" s="328">
        <f>H142/DAY(B2)</f>
        <v>73.178461538461519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'12'!F143</f>
        <v>8507.48</v>
      </c>
      <c r="F143" s="149">
        <v>8532.8799999999992</v>
      </c>
      <c r="G143" s="112">
        <f t="shared" si="11"/>
        <v>25.399999999999636</v>
      </c>
      <c r="H143" s="99">
        <f>G143+'12'!H143</f>
        <v>374.55999999999949</v>
      </c>
      <c r="I143" s="140"/>
      <c r="J143" s="328">
        <f>H143/DAY(B2)</f>
        <v>28.812307692307652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'12'!F144</f>
        <v>915262</v>
      </c>
      <c r="F144" s="149">
        <v>915547</v>
      </c>
      <c r="G144" s="112">
        <f t="shared" si="11"/>
        <v>285</v>
      </c>
      <c r="H144" s="99">
        <f>G144+'12'!H144</f>
        <v>3270</v>
      </c>
      <c r="I144" s="140"/>
      <c r="J144" s="328">
        <f>H144/DAY(B2)</f>
        <v>251.53846153846155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'12'!F145</f>
        <v>5667</v>
      </c>
      <c r="F145" s="149">
        <v>5665</v>
      </c>
      <c r="G145" s="112">
        <f t="shared" si="11"/>
        <v>-2</v>
      </c>
      <c r="H145" s="99">
        <f>G145+'12'!H145</f>
        <v>-1.5600000000004002</v>
      </c>
      <c r="I145" s="140"/>
      <c r="J145" s="328">
        <f>H145/DAY(B2)</f>
        <v>-0.12000000000003078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'12'!F146</f>
        <v>779856</v>
      </c>
      <c r="F146" s="148">
        <v>779888</v>
      </c>
      <c r="G146" s="112">
        <f t="shared" si="11"/>
        <v>32</v>
      </c>
      <c r="H146" s="99">
        <f>G146+'12'!H146</f>
        <v>560</v>
      </c>
      <c r="I146" s="140"/>
      <c r="J146" s="328">
        <f>H146/DAY(B2)</f>
        <v>43.07692307692308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'12'!F147</f>
        <v>692146.16</v>
      </c>
      <c r="F147" s="148">
        <v>692535</v>
      </c>
      <c r="G147" s="112">
        <f t="shared" si="11"/>
        <v>388.8399999999674</v>
      </c>
      <c r="H147" s="99">
        <f>G147+'12'!H147</f>
        <v>5008.8399999999674</v>
      </c>
      <c r="I147" s="140"/>
      <c r="J147" s="328">
        <f>H147/DAY(B2)</f>
        <v>385.29538461538209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'12'!F148</f>
        <v>742640.48</v>
      </c>
      <c r="F148" s="150">
        <v>742896</v>
      </c>
      <c r="G148" s="112">
        <f t="shared" si="11"/>
        <v>255.52000000001863</v>
      </c>
      <c r="H148" s="99">
        <f>G148+'12'!H148</f>
        <v>3948.7199999999721</v>
      </c>
      <c r="I148" s="124"/>
      <c r="J148" s="328">
        <f>H148/DAY(B2)</f>
        <v>303.74769230769016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'12'!F149</f>
        <v>122660.76</v>
      </c>
      <c r="F149" s="146">
        <v>123158.9</v>
      </c>
      <c r="G149" s="112">
        <f t="shared" si="11"/>
        <v>498.13999999999942</v>
      </c>
      <c r="H149" s="99">
        <f>G149+'12'!H149</f>
        <v>6626.0999999999913</v>
      </c>
      <c r="I149" s="119"/>
      <c r="J149" s="328">
        <f>H149/DAY(B2)</f>
        <v>509.69999999999931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'12'!F150</f>
        <v>46407.75</v>
      </c>
      <c r="F150" s="233">
        <v>46623</v>
      </c>
      <c r="G150" s="112">
        <f t="shared" si="11"/>
        <v>215.25</v>
      </c>
      <c r="H150" s="99">
        <f>G150+'12'!H150</f>
        <v>2897.8399999999965</v>
      </c>
      <c r="I150" s="119"/>
      <c r="J150" s="328">
        <f>H150/DAY(B2)</f>
        <v>222.91076923076895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'12'!F151</f>
        <v>129753</v>
      </c>
      <c r="F151" s="233">
        <v>130066</v>
      </c>
      <c r="G151" s="112">
        <f t="shared" si="11"/>
        <v>313</v>
      </c>
      <c r="H151" s="99">
        <f>G151+'12'!H151</f>
        <v>3463</v>
      </c>
      <c r="I151" s="119"/>
      <c r="J151" s="328">
        <f>H151/DAY(B2)</f>
        <v>266.38461538461536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'12'!F152</f>
        <v>20818.759999999998</v>
      </c>
      <c r="F152" s="233">
        <v>20941.62</v>
      </c>
      <c r="G152" s="112">
        <f t="shared" si="11"/>
        <v>122.86000000000058</v>
      </c>
      <c r="H152" s="99">
        <f>G152+'12'!H152</f>
        <v>1653.5399999999972</v>
      </c>
      <c r="I152" s="119"/>
      <c r="J152" s="328">
        <f>H152/DAY(B2)</f>
        <v>127.1953846153844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2747.8799999999956</v>
      </c>
      <c r="H153" s="363"/>
      <c r="I153" s="119">
        <f>G153-(G38+G52)</f>
        <v>458.64000000000487</v>
      </c>
      <c r="J153" s="366"/>
    </row>
    <row r="154" spans="1:10" ht="27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374">
        <f>'12'!F155</f>
        <v>137119.39000000001</v>
      </c>
      <c r="F155" s="374">
        <v>137657.68</v>
      </c>
      <c r="G155" s="112">
        <f t="shared" ref="G155:G158" si="12">F155-E155</f>
        <v>538.28999999997905</v>
      </c>
      <c r="H155" s="99">
        <f>G155+'12'!H155</f>
        <v>7416.2999999999884</v>
      </c>
      <c r="I155" s="364"/>
      <c r="J155" s="328">
        <f>H155/DAY(B2)</f>
        <v>570.48461538461447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374">
        <f>'12'!F156</f>
        <v>13093.53</v>
      </c>
      <c r="F156" s="155">
        <v>13177.7</v>
      </c>
      <c r="G156" s="112">
        <f t="shared" si="12"/>
        <v>84.170000000000073</v>
      </c>
      <c r="H156" s="99">
        <f>G156+'12'!H156</f>
        <v>1084.3400000000001</v>
      </c>
      <c r="I156" s="165"/>
      <c r="J156" s="328">
        <f>H156/DAY(B2)</f>
        <v>83.410769230769247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374">
        <f>'12'!F157</f>
        <v>24865.97</v>
      </c>
      <c r="F157" s="155">
        <v>25005.85</v>
      </c>
      <c r="G157" s="112">
        <f t="shared" si="12"/>
        <v>139.87999999999738</v>
      </c>
      <c r="H157" s="99">
        <f>G157+'12'!H157</f>
        <v>1809.1499999999978</v>
      </c>
      <c r="I157" s="165"/>
      <c r="J157" s="328">
        <f>H157/DAY(B2)</f>
        <v>139.16538461538445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374">
        <f>'12'!F158</f>
        <v>225.66</v>
      </c>
      <c r="F158" s="155">
        <v>225.71</v>
      </c>
      <c r="G158" s="112">
        <f t="shared" si="12"/>
        <v>5.0000000000011369E-2</v>
      </c>
      <c r="H158" s="99">
        <f>G158+'12'!H158</f>
        <v>138.01999999999998</v>
      </c>
      <c r="I158" s="165"/>
      <c r="J158" s="328">
        <f>H158/DAY(B2)</f>
        <v>10.616923076923076</v>
      </c>
    </row>
    <row r="159" spans="1:10" ht="27.75" customHeight="1">
      <c r="A159" s="954"/>
      <c r="B159" s="955"/>
      <c r="C159" s="956"/>
      <c r="D159" s="117"/>
      <c r="E159" s="95"/>
      <c r="F159" s="165"/>
      <c r="G159" s="362">
        <f>SUM(G155:G158)</f>
        <v>762.38999999997645</v>
      </c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478935.84</v>
      </c>
      <c r="F161" s="235">
        <v>479031.96</v>
      </c>
      <c r="G161" s="238">
        <f t="shared" ref="G161:G165" si="13">F161-E161</f>
        <v>96.119999999995343</v>
      </c>
      <c r="H161" s="99">
        <f>G161+'12'!H161</f>
        <v>1368.960000000021</v>
      </c>
      <c r="I161" s="236"/>
      <c r="J161" s="239">
        <f>H161/DAY(B2)</f>
        <v>105.30461538461699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94228.2</v>
      </c>
      <c r="F162" s="235">
        <v>94266</v>
      </c>
      <c r="G162" s="238">
        <f t="shared" si="13"/>
        <v>37.80000000000291</v>
      </c>
      <c r="H162" s="99">
        <f>G162+'12'!H162</f>
        <v>460.69999999999709</v>
      </c>
      <c r="I162" s="236"/>
      <c r="J162" s="239">
        <f>H162/DAY(B2)</f>
        <v>35.438461538461311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3797.7</v>
      </c>
      <c r="F163" s="235">
        <v>3952.2</v>
      </c>
      <c r="G163" s="238">
        <f t="shared" si="13"/>
        <v>154.5</v>
      </c>
      <c r="H163" s="99">
        <f>G163+'12'!H163</f>
        <v>1926.1</v>
      </c>
      <c r="I163" s="236"/>
      <c r="J163" s="239">
        <f>H163/DAY(B2)</f>
        <v>148.16153846153844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6031.4</v>
      </c>
      <c r="F164" s="235">
        <v>6042.6</v>
      </c>
      <c r="G164" s="238">
        <f t="shared" si="13"/>
        <v>11.200000000000728</v>
      </c>
      <c r="H164" s="99">
        <f>G164+'12'!H164</f>
        <v>144.20000000000073</v>
      </c>
      <c r="I164" s="236"/>
      <c r="J164" s="239">
        <f>H164/DAY(B2)</f>
        <v>11.092307692307749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31458.57</v>
      </c>
      <c r="F165" s="235">
        <v>31470.42</v>
      </c>
      <c r="G165" s="238">
        <f t="shared" si="13"/>
        <v>11.849999999998545</v>
      </c>
      <c r="H165" s="99">
        <f>G165+'12'!H165</f>
        <v>123.7699999999968</v>
      </c>
      <c r="I165" s="236"/>
      <c r="J165" s="239">
        <f>H165/DAY(B2)</f>
        <v>9.520769230768984</v>
      </c>
    </row>
    <row r="166" spans="1:10" ht="27.75" customHeight="1">
      <c r="A166" s="935"/>
      <c r="B166" s="935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35"/>
      <c r="B167" s="935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35"/>
      <c r="B168" s="935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'12'!F173</f>
        <v>8276</v>
      </c>
      <c r="F173" s="155">
        <v>8276</v>
      </c>
      <c r="G173" s="155">
        <f>F173-E173</f>
        <v>0</v>
      </c>
      <c r="H173" s="99">
        <f>G173+'12'!H173</f>
        <v>47</v>
      </c>
      <c r="I173" s="155"/>
      <c r="J173" s="178">
        <f>H173/DAY(B2)</f>
        <v>3.6153846153846154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'12'!F174</f>
        <v>40943</v>
      </c>
      <c r="F174" s="157">
        <v>40953</v>
      </c>
      <c r="G174" s="155">
        <f t="shared" ref="G174:G175" si="14">F174-E174</f>
        <v>10</v>
      </c>
      <c r="H174" s="99">
        <f>G174+'12'!H174</f>
        <v>174</v>
      </c>
      <c r="I174" s="155"/>
      <c r="J174" s="178">
        <f>H174/DAY(B2)</f>
        <v>13.384615384615385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'12'!F175</f>
        <v>23806</v>
      </c>
      <c r="F175" s="155">
        <v>23816</v>
      </c>
      <c r="G175" s="155">
        <f t="shared" si="14"/>
        <v>10</v>
      </c>
      <c r="H175" s="99">
        <f>G175+'12'!H175</f>
        <v>160</v>
      </c>
      <c r="I175" s="155"/>
      <c r="J175" s="178">
        <f>H175/DAY(B2)</f>
        <v>12.307692307692308</v>
      </c>
    </row>
    <row r="176" spans="1:10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20</v>
      </c>
      <c r="H176" s="99">
        <f>G176+'12'!H176</f>
        <v>381</v>
      </c>
      <c r="I176" s="155"/>
      <c r="J176" s="178">
        <f>H176/DAY(B2)</f>
        <v>29.307692307692307</v>
      </c>
    </row>
    <row r="177" spans="1:15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93" t="s">
        <v>210</v>
      </c>
      <c r="B178" s="894"/>
      <c r="C178" s="333"/>
      <c r="D178" s="228" t="s">
        <v>142</v>
      </c>
      <c r="E178" s="95">
        <f>'12'!F178</f>
        <v>95854</v>
      </c>
      <c r="F178" s="155">
        <v>95963</v>
      </c>
      <c r="G178" s="155">
        <f>F178-E178</f>
        <v>109</v>
      </c>
      <c r="H178" s="99">
        <f>G178+'12'!H178</f>
        <v>1112</v>
      </c>
      <c r="I178" s="155"/>
      <c r="J178" s="178">
        <f>H178/DAY(B2)</f>
        <v>85.538461538461533</v>
      </c>
    </row>
    <row r="179" spans="1:15" ht="27.75" customHeight="1">
      <c r="A179" s="893" t="s">
        <v>211</v>
      </c>
      <c r="B179" s="894"/>
      <c r="C179" s="333"/>
      <c r="D179" s="228" t="s">
        <v>142</v>
      </c>
      <c r="E179" s="95">
        <f>'12'!F179</f>
        <v>36002</v>
      </c>
      <c r="F179" s="155">
        <v>36002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893" t="s">
        <v>212</v>
      </c>
      <c r="B180" s="894"/>
      <c r="C180" s="333"/>
      <c r="D180" s="228" t="s">
        <v>142</v>
      </c>
      <c r="E180" s="95">
        <f>'12'!F180</f>
        <v>6965</v>
      </c>
      <c r="F180" s="155">
        <v>6982</v>
      </c>
      <c r="G180" s="155">
        <f t="shared" si="15"/>
        <v>17</v>
      </c>
      <c r="H180" s="99">
        <f>G180+'12'!H180</f>
        <v>100</v>
      </c>
      <c r="I180" s="155"/>
      <c r="J180" s="178">
        <f>H180/DAY(B2)</f>
        <v>7.6923076923076925</v>
      </c>
    </row>
    <row r="181" spans="1:15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126</v>
      </c>
      <c r="H181" s="99">
        <f>G181+'12'!H181</f>
        <v>1212</v>
      </c>
      <c r="I181" s="155"/>
      <c r="J181" s="178">
        <f>H181/DAY(B2)</f>
        <v>93.230769230769226</v>
      </c>
    </row>
    <row r="182" spans="1:15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93" t="s">
        <v>214</v>
      </c>
      <c r="B183" s="894"/>
      <c r="C183" s="334"/>
      <c r="D183" s="228" t="s">
        <v>142</v>
      </c>
      <c r="E183" s="95">
        <f>'12'!F183</f>
        <v>17357</v>
      </c>
      <c r="F183" s="157">
        <v>17361</v>
      </c>
      <c r="G183" s="157">
        <f>F183-E183</f>
        <v>4</v>
      </c>
      <c r="H183" s="99">
        <f>G183+'12'!H183</f>
        <v>86</v>
      </c>
      <c r="I183" s="155"/>
      <c r="J183" s="178">
        <f>H183/DAY(B2)</f>
        <v>6.615384615384615</v>
      </c>
    </row>
    <row r="184" spans="1:15" ht="27.75" customHeight="1">
      <c r="A184" s="893" t="s">
        <v>215</v>
      </c>
      <c r="B184" s="894"/>
      <c r="C184" s="334"/>
      <c r="D184" s="228" t="s">
        <v>142</v>
      </c>
      <c r="E184" s="95">
        <f>'12'!F184</f>
        <v>11767</v>
      </c>
      <c r="F184" s="157">
        <v>11773</v>
      </c>
      <c r="G184" s="157">
        <f t="shared" ref="G184:G185" si="16">F184-E184</f>
        <v>6</v>
      </c>
      <c r="H184" s="99">
        <f>G184+'12'!H184</f>
        <v>84</v>
      </c>
      <c r="I184" s="155"/>
      <c r="J184" s="178">
        <f>H184/DAY(B2)</f>
        <v>6.4615384615384617</v>
      </c>
      <c r="O184" s="65" t="s">
        <v>362</v>
      </c>
    </row>
    <row r="185" spans="1:15" ht="27.75" customHeight="1">
      <c r="A185" s="893" t="s">
        <v>216</v>
      </c>
      <c r="B185" s="894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10</v>
      </c>
      <c r="H186" s="99">
        <f>G186+'12'!H186</f>
        <v>170</v>
      </c>
      <c r="I186" s="157"/>
      <c r="J186" s="178">
        <f>H186/DAY(B2)</f>
        <v>13.076923076923077</v>
      </c>
    </row>
    <row r="187" spans="1:15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147</v>
      </c>
      <c r="H187" s="99">
        <f>G187+'12'!H187</f>
        <v>1984</v>
      </c>
      <c r="I187" s="158"/>
      <c r="J187" s="179">
        <f>H187/DAY(B2)</f>
        <v>152.61538461538461</v>
      </c>
    </row>
    <row r="188" spans="1:15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134</v>
      </c>
      <c r="H188" s="99">
        <f>G188+'12'!H188</f>
        <v>1705</v>
      </c>
      <c r="I188" s="158"/>
      <c r="J188" s="179">
        <f>H188/DAY(B2)</f>
        <v>131.15384615384616</v>
      </c>
    </row>
    <row r="189" spans="1:15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126</v>
      </c>
      <c r="H189" s="99">
        <f>G189+'12'!H189</f>
        <v>1212</v>
      </c>
      <c r="I189" s="158"/>
      <c r="J189" s="179">
        <f>H189/DAY(B2)</f>
        <v>93.230769230769226</v>
      </c>
    </row>
    <row r="190" spans="1:15" ht="27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zoomScale="55" zoomScaleSheetLayoutView="55" workbookViewId="0">
      <selection activeCell="F15" sqref="F15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303</v>
      </c>
      <c r="B2" s="262">
        <v>44726</v>
      </c>
      <c r="C2" s="348" t="s">
        <v>67</v>
      </c>
      <c r="D2" s="218">
        <v>0.56999999999999995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871532.47</v>
      </c>
      <c r="F7" s="95">
        <f>E7+27500</f>
        <v>899032.47</v>
      </c>
      <c r="G7" s="112">
        <f>F7-E7</f>
        <v>27500</v>
      </c>
      <c r="H7" s="99">
        <f>G7+'13'!H7</f>
        <v>376067.97</v>
      </c>
      <c r="I7" s="113">
        <f>'1'!I7</f>
        <v>12000</v>
      </c>
      <c r="J7" s="175">
        <f>H7/DAY(B2)</f>
        <v>26861.997857142855</v>
      </c>
      <c r="K7" s="172">
        <v>1375467</v>
      </c>
      <c r="L7" s="66"/>
      <c r="N7" s="87">
        <f>G8-G7</f>
        <v>-500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1016254.65</v>
      </c>
      <c r="F8" s="95">
        <f>E8+27000</f>
        <v>1043254.65</v>
      </c>
      <c r="G8" s="115">
        <f>F8-E8</f>
        <v>27000</v>
      </c>
      <c r="H8" s="99">
        <f>G8+'13'!H8</f>
        <v>381465.65</v>
      </c>
      <c r="I8" s="116"/>
      <c r="J8" s="175">
        <f>H8/DAY(B2)</f>
        <v>27247.54642857143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3092961.9</v>
      </c>
      <c r="F9" s="469">
        <v>2664079</v>
      </c>
      <c r="G9" s="112">
        <f>F9-E9</f>
        <v>-428882.89999999991</v>
      </c>
      <c r="H9" s="99">
        <f>G9+'13'!H9</f>
        <v>-253570.10000000009</v>
      </c>
      <c r="I9" s="124">
        <f>I7-J7</f>
        <v>-14861.997857142855</v>
      </c>
      <c r="J9" s="175">
        <f>H9/DAY(B2)</f>
        <v>-18112.150000000005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1400037.7</v>
      </c>
      <c r="F10" s="353">
        <v>1060344</v>
      </c>
      <c r="G10" s="112">
        <f t="shared" ref="G10:G12" si="0">F10-E10</f>
        <v>-339693.69999999995</v>
      </c>
      <c r="H10" s="99">
        <f>G10+'13'!H10</f>
        <v>-175342.62999999989</v>
      </c>
      <c r="I10" s="282"/>
      <c r="J10" s="175">
        <f>H10/DAY(B2)</f>
        <v>-12524.473571428563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-768576.59999999986</v>
      </c>
      <c r="H13" s="99">
        <f>G13+'13'!H13</f>
        <v>-427183.79999999981</v>
      </c>
      <c r="I13" s="120">
        <f>G7-G13</f>
        <v>796076.59999999986</v>
      </c>
      <c r="J13" s="175">
        <f>H13/DAY(B2)</f>
        <v>-30513.128571428559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'13'!F15</f>
        <v>2081461.24</v>
      </c>
      <c r="F15" s="469">
        <f>E15+1000</f>
        <v>2082461.24</v>
      </c>
      <c r="G15" s="112">
        <f>(F15-E15)</f>
        <v>1000</v>
      </c>
      <c r="H15" s="99">
        <f>G15+'13'!H15</f>
        <v>14382.830000000075</v>
      </c>
      <c r="I15" s="113">
        <f>'1'!I15</f>
        <v>800</v>
      </c>
      <c r="J15" s="175">
        <f>H15/DAY(B2)</f>
        <v>1027.3450000000053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-227.34500000000526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'13'!F18</f>
        <v>12</v>
      </c>
      <c r="F18" s="122">
        <v>24</v>
      </c>
      <c r="G18" s="119">
        <f>F18*10</f>
        <v>240</v>
      </c>
      <c r="H18" s="99">
        <f>G18+'13'!H18</f>
        <v>2580</v>
      </c>
      <c r="I18" s="113">
        <f>'1'!I18</f>
        <v>65</v>
      </c>
      <c r="J18" s="175">
        <f>H18/DAY(B2)</f>
        <v>184.28571428571428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'13'!F19</f>
        <v>161463</v>
      </c>
      <c r="F19" s="122">
        <v>160835</v>
      </c>
      <c r="G19" s="112">
        <f t="shared" ref="G19" si="1">F19-E19</f>
        <v>-628</v>
      </c>
      <c r="H19" s="99">
        <f>G19+'13'!H19</f>
        <v>12</v>
      </c>
      <c r="I19" s="335"/>
      <c r="J19" s="175">
        <f>H19/DAY(B2)</f>
        <v>0.8571428571428571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-388</v>
      </c>
      <c r="H20" s="99">
        <f>G20+'13'!H20</f>
        <v>2592</v>
      </c>
      <c r="I20" s="336">
        <f>I18-J20</f>
        <v>-120.14285714285714</v>
      </c>
      <c r="J20" s="175">
        <f>H20/DAY(B2)</f>
        <v>185.14285714285714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4470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G27+'13'!H27</f>
        <v>3433190.85</v>
      </c>
      <c r="I27" s="138"/>
      <c r="J27" s="175">
        <f>H27/DAY(B2)</f>
        <v>245227.91785714286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G28+'13'!H28</f>
        <v>1006798.1000000052</v>
      </c>
      <c r="I28" s="140"/>
      <c r="J28" s="175">
        <f>H28/DAY(B2)</f>
        <v>71914.150000000373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-628</v>
      </c>
      <c r="F30" s="136">
        <v>151</v>
      </c>
      <c r="G30" s="137">
        <f>E30*F30</f>
        <v>-94828</v>
      </c>
      <c r="H30" s="99">
        <f>G30+'13'!H30</f>
        <v>1812</v>
      </c>
      <c r="I30" s="140"/>
      <c r="J30" s="175">
        <f>H30/DAY(B2)</f>
        <v>129.42857142857142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206400</v>
      </c>
      <c r="I31" s="140"/>
      <c r="J31" s="175">
        <f>H31/DAY(B2)</f>
        <v>14742.857142857143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237372</v>
      </c>
      <c r="H32" s="99">
        <f>G32+'13'!H32</f>
        <v>4648200.9500000058</v>
      </c>
      <c r="I32" s="144"/>
      <c r="J32" s="175">
        <f>H32/DAY(B2)</f>
        <v>332014.35357142898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238713</v>
      </c>
      <c r="F35" s="145">
        <v>238713</v>
      </c>
      <c r="G35" s="112">
        <f t="shared" ref="G35:G46" si="3">F35-E35</f>
        <v>0</v>
      </c>
      <c r="H35" s="99">
        <f>G35+'13'!H35</f>
        <v>-4.9999999988358468E-2</v>
      </c>
      <c r="I35" s="95"/>
      <c r="J35" s="175">
        <f>H35/DAY(B2)</f>
        <v>-3.5714285705970334E-3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198539.83</v>
      </c>
      <c r="F36" s="145">
        <v>172997</v>
      </c>
      <c r="G36" s="112">
        <f t="shared" si="3"/>
        <v>-25542.829999999987</v>
      </c>
      <c r="H36" s="99">
        <f>G36+'13'!H36</f>
        <v>-13923.23000000001</v>
      </c>
      <c r="I36" s="95"/>
      <c r="J36" s="175">
        <f>H36/DAY(B2)</f>
        <v>-994.51642857142929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307246.17</v>
      </c>
      <c r="F37" s="145">
        <v>260313</v>
      </c>
      <c r="G37" s="112">
        <f t="shared" si="3"/>
        <v>-46933.169999999984</v>
      </c>
      <c r="H37" s="99">
        <f>G37+'13'!H37</f>
        <v>-26405.989999999991</v>
      </c>
      <c r="I37" s="95"/>
      <c r="J37" s="175">
        <f>H37/DAY(B2)</f>
        <v>-1886.1421428571423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416043.11</v>
      </c>
      <c r="F38" s="108">
        <v>350444</v>
      </c>
      <c r="G38" s="112">
        <f t="shared" si="3"/>
        <v>-65599.109999999986</v>
      </c>
      <c r="H38" s="99">
        <f>G38+'13'!H38</f>
        <v>-36219.349999999977</v>
      </c>
      <c r="I38" s="95"/>
      <c r="J38" s="175">
        <f>H38/DAY(B2)</f>
        <v>-2587.0964285714267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561833.06999999995</v>
      </c>
      <c r="F39" s="145">
        <v>474677</v>
      </c>
      <c r="G39" s="112">
        <f t="shared" si="3"/>
        <v>-87156.069999999949</v>
      </c>
      <c r="H39" s="99">
        <f>G39+'13'!H39</f>
        <v>-48703.590000000026</v>
      </c>
      <c r="I39" s="95"/>
      <c r="J39" s="175">
        <f>H39/DAY(B2)</f>
        <v>-3478.8278571428591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92077.43</v>
      </c>
      <c r="F40" s="145">
        <v>77090</v>
      </c>
      <c r="G40" s="112">
        <f t="shared" si="3"/>
        <v>-14987.429999999993</v>
      </c>
      <c r="H40" s="99">
        <f>G40+'13'!H40</f>
        <v>-6581.0899999999965</v>
      </c>
      <c r="I40" s="95"/>
      <c r="J40" s="175">
        <f>H40/DAY(B2)</f>
        <v>-470.07785714285689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161659.39000000001</v>
      </c>
      <c r="F41" s="145">
        <v>98068</v>
      </c>
      <c r="G41" s="112">
        <f t="shared" si="3"/>
        <v>-63591.390000000014</v>
      </c>
      <c r="H41" s="99">
        <f>G41+'13'!H41</f>
        <v>-44750.399999999994</v>
      </c>
      <c r="I41" s="95"/>
      <c r="J41" s="175">
        <f>H41/DAY(B2)</f>
        <v>-3196.4571428571426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728113.99</v>
      </c>
      <c r="F42" s="145">
        <v>625476</v>
      </c>
      <c r="G42" s="112">
        <f t="shared" si="3"/>
        <v>-102637.98999999999</v>
      </c>
      <c r="H42" s="99">
        <f>G42+'13'!H42</f>
        <v>-63156.550000000047</v>
      </c>
      <c r="I42" s="95"/>
      <c r="J42" s="175">
        <f>H42/DAY(B2)</f>
        <v>-4511.1821428571466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-406447.98999999987</v>
      </c>
      <c r="H47" s="99">
        <f>G47+'13'!H47</f>
        <v>-239740.25</v>
      </c>
      <c r="I47" s="95"/>
      <c r="J47" s="175">
        <f>H47/DAY(B2)</f>
        <v>-17124.303571428572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414918.31</v>
      </c>
      <c r="F49" s="145">
        <v>310736</v>
      </c>
      <c r="G49" s="112">
        <f t="shared" ref="G49:G58" si="4">F49-E49</f>
        <v>-104182.31</v>
      </c>
      <c r="H49" s="99">
        <f>G49+'13'!H49</f>
        <v>-60035.75</v>
      </c>
      <c r="I49" s="95"/>
      <c r="J49" s="175">
        <f>H49/DAY(B2)</f>
        <v>-4288.2678571428569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258968.61</v>
      </c>
      <c r="F50" s="145">
        <v>225197</v>
      </c>
      <c r="G50" s="112">
        <f t="shared" si="4"/>
        <v>-33771.609999999986</v>
      </c>
      <c r="H50" s="99">
        <f>G50+'13'!H50</f>
        <v>-17908.399999999994</v>
      </c>
      <c r="I50" s="95"/>
      <c r="J50" s="175">
        <f>H50/DAY(B2)</f>
        <v>-1279.1714285714281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75.680000000000007</v>
      </c>
      <c r="F51" s="145">
        <v>76</v>
      </c>
      <c r="G51" s="112">
        <f t="shared" si="4"/>
        <v>0.31999999999999318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81608.070000000007</v>
      </c>
      <c r="F54" s="145">
        <v>71023</v>
      </c>
      <c r="G54" s="112">
        <f t="shared" si="4"/>
        <v>-10585.070000000007</v>
      </c>
      <c r="H54" s="99">
        <f>G54+'13'!H54</f>
        <v>-5994.5</v>
      </c>
      <c r="I54" s="95"/>
      <c r="J54" s="175">
        <f>H54/DAY(B2)</f>
        <v>-428.17857142857144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314366.78999999998</v>
      </c>
      <c r="F55" s="145">
        <v>254288</v>
      </c>
      <c r="G55" s="112">
        <f t="shared" si="4"/>
        <v>-60078.789999999979</v>
      </c>
      <c r="H55" s="99">
        <f>G55+'13'!H55</f>
        <v>-29794.929999999993</v>
      </c>
      <c r="I55" s="95"/>
      <c r="J55" s="175">
        <f>H55/DAY(B2)</f>
        <v>-2128.2092857142852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120880.14</v>
      </c>
      <c r="F56" s="145">
        <v>108586</v>
      </c>
      <c r="G56" s="112">
        <f t="shared" si="4"/>
        <v>-12294.14</v>
      </c>
      <c r="H56" s="99">
        <f>G56+'13'!H56</f>
        <v>-2657.1300000000047</v>
      </c>
      <c r="I56" s="95"/>
      <c r="J56" s="175">
        <f>H56/DAY(B2)</f>
        <v>-189.79500000000033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172222.77</v>
      </c>
      <c r="F57" s="145">
        <v>81643</v>
      </c>
      <c r="G57" s="112">
        <f t="shared" si="4"/>
        <v>-90579.76999999999</v>
      </c>
      <c r="H57" s="99">
        <f>G57+'13'!H57</f>
        <v>-50260.700000000012</v>
      </c>
      <c r="I57" s="95"/>
      <c r="J57" s="175">
        <f>H57/DAY(B2)</f>
        <v>-3590.0500000000006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44060.639999999999</v>
      </c>
      <c r="F58" s="145">
        <v>36075</v>
      </c>
      <c r="G58" s="112">
        <f t="shared" si="4"/>
        <v>-7985.6399999999994</v>
      </c>
      <c r="H58" s="99">
        <f>G58+'13'!H58</f>
        <v>-4205.1100000000006</v>
      </c>
      <c r="I58" s="95"/>
      <c r="J58" s="175">
        <f>H58/DAY(B2)</f>
        <v>-300.36500000000007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-319476.77</v>
      </c>
      <c r="H59" s="99">
        <f>G59+'13'!H59</f>
        <v>-170856.20000000007</v>
      </c>
      <c r="I59" s="95">
        <f>G7-G60</f>
        <v>753424.75999999989</v>
      </c>
      <c r="J59" s="175">
        <f>H59/DAY(B2)</f>
        <v>-12204.014285714291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-725924.75999999989</v>
      </c>
      <c r="H60" s="99">
        <f>G60+'13'!H60</f>
        <v>-410596.45000000007</v>
      </c>
      <c r="I60" s="95">
        <f>G13-G60</f>
        <v>-42651.839999999967</v>
      </c>
      <c r="J60" s="175">
        <f>H60/DAY(B2)</f>
        <v>-29328.317857142862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'13'!F62</f>
        <v>294042</v>
      </c>
      <c r="F62" s="122">
        <v>291000</v>
      </c>
      <c r="G62" s="112">
        <f t="shared" ref="G62:G63" si="5">F62-E62</f>
        <v>-3042</v>
      </c>
      <c r="H62" s="99">
        <f>G62+'13'!H62</f>
        <v>-1698</v>
      </c>
      <c r="I62" s="118"/>
      <c r="J62" s="175">
        <f>H62/DAY(B2)</f>
        <v>-121.28571428571429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'13'!F63</f>
        <v>236507</v>
      </c>
      <c r="F63" s="122">
        <v>232991</v>
      </c>
      <c r="G63" s="112">
        <f t="shared" si="5"/>
        <v>-3516</v>
      </c>
      <c r="H63" s="99">
        <f>G63+'13'!H63</f>
        <v>-2075</v>
      </c>
      <c r="I63" s="118"/>
      <c r="J63" s="175">
        <f>H63/DAY(B2)</f>
        <v>-148.21428571428572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'13'!F64</f>
        <v>0</v>
      </c>
      <c r="F64" s="122"/>
      <c r="G64" s="112">
        <f>G62+G63</f>
        <v>-6558</v>
      </c>
      <c r="H64" s="99">
        <f>G64+'13'!H64</f>
        <v>-3773</v>
      </c>
      <c r="I64" s="118"/>
      <c r="J64" s="175">
        <f>H64/DAY(B2)</f>
        <v>-269.5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'13'!F65</f>
        <v>452678</v>
      </c>
      <c r="F65" s="122">
        <v>449711</v>
      </c>
      <c r="G65" s="112">
        <f t="shared" ref="G65:G70" si="6">F65-E65</f>
        <v>-2967</v>
      </c>
      <c r="H65" s="99">
        <f>G65+'13'!H65</f>
        <v>-1678</v>
      </c>
      <c r="I65" s="118"/>
      <c r="J65" s="175">
        <f>H65/DAY(B2)</f>
        <v>-119.85714285714286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111278</v>
      </c>
      <c r="F66" s="122">
        <v>110714</v>
      </c>
      <c r="G66" s="112">
        <f t="shared" si="6"/>
        <v>-564</v>
      </c>
      <c r="H66" s="99">
        <f>G66+'13'!H66</f>
        <v>-313</v>
      </c>
      <c r="I66" s="118"/>
      <c r="J66" s="175">
        <f>H66/DAY(B2)</f>
        <v>-22.357142857142858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113680</v>
      </c>
      <c r="F67" s="122">
        <v>113681</v>
      </c>
      <c r="G67" s="112">
        <f t="shared" si="6"/>
        <v>1</v>
      </c>
      <c r="H67" s="99">
        <f>G67+'13'!H67</f>
        <v>1</v>
      </c>
      <c r="I67" s="118"/>
      <c r="J67" s="175">
        <f>H67/DAY(B2)</f>
        <v>7.1428571428571425E-2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164056</v>
      </c>
      <c r="F68" s="122">
        <v>162900</v>
      </c>
      <c r="G68" s="112">
        <f t="shared" si="6"/>
        <v>-1156</v>
      </c>
      <c r="H68" s="99">
        <f>G68+'13'!H68</f>
        <v>-626</v>
      </c>
      <c r="I68" s="118"/>
      <c r="J68" s="175">
        <f>H68/DAY(B2)</f>
        <v>-44.714285714285715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12188</v>
      </c>
      <c r="F69" s="122">
        <v>12020</v>
      </c>
      <c r="G69" s="112">
        <f t="shared" si="6"/>
        <v>-168</v>
      </c>
      <c r="H69" s="99">
        <f>G69+'13'!H69</f>
        <v>-108</v>
      </c>
      <c r="I69" s="118"/>
      <c r="J69" s="175">
        <f>H69/DAY(B2)</f>
        <v>-7.7142857142857144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9619</v>
      </c>
      <c r="F70" s="122">
        <v>9391</v>
      </c>
      <c r="G70" s="112">
        <f t="shared" si="6"/>
        <v>-228</v>
      </c>
      <c r="H70" s="99">
        <f>G70+'13'!H70</f>
        <v>-123</v>
      </c>
      <c r="I70" s="118"/>
      <c r="J70" s="175">
        <f>H70/DAY(B2)</f>
        <v>-8.7857142857142865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-5082</v>
      </c>
      <c r="H71" s="99">
        <f>G71+'13'!H71</f>
        <v>-2847</v>
      </c>
      <c r="I71" s="154"/>
      <c r="J71" s="175">
        <f>H71/DAY(B2)</f>
        <v>-203.35714285714286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'13'!F74</f>
        <v>951719.93</v>
      </c>
      <c r="F74" s="232">
        <v>943020</v>
      </c>
      <c r="G74" s="112">
        <f t="shared" ref="G74:G78" si="7">F74-E74</f>
        <v>-8699.9300000000512</v>
      </c>
      <c r="H74" s="99">
        <f>G74+'13'!H74</f>
        <v>-4687.1999999999534</v>
      </c>
      <c r="I74" s="154"/>
      <c r="J74" s="175">
        <f>H74/DAY(B2)</f>
        <v>-334.79999999999666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'13'!F76</f>
        <v>188259.94</v>
      </c>
      <c r="F76" s="123">
        <v>185287</v>
      </c>
      <c r="G76" s="112">
        <f t="shared" si="7"/>
        <v>-2972.9400000000023</v>
      </c>
      <c r="H76" s="99">
        <f>G76+'13'!H76</f>
        <v>-1604.2999999999884</v>
      </c>
      <c r="I76" s="154"/>
      <c r="J76" s="175">
        <f>H76/DAY(B2)</f>
        <v>-114.59285714285632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'13'!F77</f>
        <v>49365.5</v>
      </c>
      <c r="F77" s="123">
        <v>48018</v>
      </c>
      <c r="G77" s="112">
        <f t="shared" si="7"/>
        <v>-1347.5</v>
      </c>
      <c r="H77" s="99">
        <f>G77+'13'!H77</f>
        <v>-717.80000000000291</v>
      </c>
      <c r="I77" s="154"/>
      <c r="J77" s="175">
        <f>H77/DAY(B2)</f>
        <v>-51.271428571428778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-0.3999999999996362</v>
      </c>
      <c r="I78" s="118"/>
      <c r="J78" s="175">
        <f>H78/DAY(B2)</f>
        <v>-2.8571428571402584E-2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'13'!F79</f>
        <v>0</v>
      </c>
      <c r="F79" s="117"/>
      <c r="G79" s="112">
        <f>G15-SUM(G74:G78)</f>
        <v>14020.370000000054</v>
      </c>
      <c r="H79" s="99">
        <f>G79+'13'!H79</f>
        <v>21392.530000000021</v>
      </c>
      <c r="I79" s="118"/>
      <c r="J79" s="175">
        <f>H79/DAY(B2)</f>
        <v>1528.0378571428587</v>
      </c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42355.41</v>
      </c>
      <c r="F84" s="164">
        <v>42094</v>
      </c>
      <c r="G84" s="112">
        <f t="shared" si="8"/>
        <v>-261.41000000000349</v>
      </c>
      <c r="H84" s="99">
        <f>G84+'13'!H84</f>
        <v>-181</v>
      </c>
      <c r="I84" s="573"/>
      <c r="J84" s="175">
        <f>H84/DAY(B2)</f>
        <v>-12.928571428571429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5049.55</v>
      </c>
      <c r="F85" s="164">
        <v>4617</v>
      </c>
      <c r="G85" s="112">
        <f t="shared" si="8"/>
        <v>-432.55000000000018</v>
      </c>
      <c r="H85" s="99">
        <f>G85+'13'!H85</f>
        <v>-265.01000000000022</v>
      </c>
      <c r="I85" s="573"/>
      <c r="J85" s="175">
        <f>H85/DAY(B2)</f>
        <v>-18.929285714285729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45048.44</v>
      </c>
      <c r="F86" s="164">
        <v>44658</v>
      </c>
      <c r="G86" s="112">
        <f t="shared" si="8"/>
        <v>-390.44000000000233</v>
      </c>
      <c r="H86" s="99">
        <f>G86+'13'!H86</f>
        <v>-194.30000000000291</v>
      </c>
      <c r="I86" s="573"/>
      <c r="J86" s="175">
        <f>H86/DAY(B2)</f>
        <v>-13.878571428571636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35433.01</v>
      </c>
      <c r="F87" s="164">
        <v>35339</v>
      </c>
      <c r="G87" s="112">
        <f t="shared" si="8"/>
        <v>-94.010000000002037</v>
      </c>
      <c r="H87" s="99">
        <f>G87+'13'!H87</f>
        <v>-19.05000000000291</v>
      </c>
      <c r="I87" s="555">
        <f>G84+G85+G86+G87</f>
        <v>-1178.410000000008</v>
      </c>
      <c r="J87" s="175">
        <f>H87/DAY(B2)</f>
        <v>-1.3607142857144936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24293.88</v>
      </c>
      <c r="F88" s="164">
        <v>24276.95</v>
      </c>
      <c r="G88" s="112">
        <f t="shared" si="8"/>
        <v>-16.930000000000291</v>
      </c>
      <c r="H88" s="99">
        <f>G88+'13'!H88</f>
        <v>-0.25</v>
      </c>
      <c r="I88" s="555"/>
      <c r="J88" s="175">
        <f>H88/DAY(B2)</f>
        <v>-1.7857142857142856E-2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27402.42</v>
      </c>
      <c r="F89" s="164">
        <v>27136.799999999999</v>
      </c>
      <c r="G89" s="112">
        <f t="shared" si="8"/>
        <v>-265.61999999999898</v>
      </c>
      <c r="H89" s="99">
        <f>G89+'13'!H89</f>
        <v>-154.61999999999898</v>
      </c>
      <c r="I89" s="555">
        <f>G88+G89</f>
        <v>-282.54999999999927</v>
      </c>
      <c r="J89" s="175">
        <f>H89/DAY(B2)</f>
        <v>-11.044285714285641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72415.89</v>
      </c>
      <c r="F90" s="164">
        <v>72165.97</v>
      </c>
      <c r="G90" s="112">
        <f t="shared" si="8"/>
        <v>-249.91999999999825</v>
      </c>
      <c r="H90" s="99">
        <f>G90+'13'!H90</f>
        <v>-135.15999999998894</v>
      </c>
      <c r="I90" s="555">
        <f>G90</f>
        <v>-249.91999999999825</v>
      </c>
      <c r="J90" s="175">
        <f>H90/DAY(B2)</f>
        <v>-9.6542857142849243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4220.04</v>
      </c>
      <c r="F91" s="122">
        <v>4122</v>
      </c>
      <c r="G91" s="112">
        <f t="shared" si="8"/>
        <v>-98.039999999999964</v>
      </c>
      <c r="H91" s="99">
        <f>G91+'13'!H91</f>
        <v>-16.4399999999996</v>
      </c>
      <c r="I91" s="616"/>
      <c r="J91" s="175">
        <f>H91/DAY(B2)</f>
        <v>-1.1742857142856857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6577.87</v>
      </c>
      <c r="F92" s="122">
        <v>6369.12</v>
      </c>
      <c r="G92" s="112">
        <f t="shared" si="8"/>
        <v>-208.75</v>
      </c>
      <c r="H92" s="99">
        <f>G92+'13'!H92</f>
        <v>-146.22000000000025</v>
      </c>
      <c r="I92" s="617">
        <f>G91+G92</f>
        <v>-306.78999999999996</v>
      </c>
      <c r="J92" s="175">
        <f>H92/DAY(B2)</f>
        <v>-10.444285714285732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-194762.08</v>
      </c>
      <c r="H94" s="99">
        <f>G94+'13'!H94</f>
        <v>-110296.5</v>
      </c>
      <c r="I94" s="118"/>
      <c r="J94" s="175">
        <f>H94/DAY(B2)</f>
        <v>-7878.3214285714284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-7.082257454545454</v>
      </c>
      <c r="H95" s="99">
        <f>G95+'13'!H95</f>
        <v>-3.9238353628066984</v>
      </c>
      <c r="I95" s="167"/>
      <c r="J95" s="175">
        <f>H95/DAY(B2)</f>
        <v>-0.28027395448619274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-238602.31</v>
      </c>
      <c r="H96" s="99">
        <f>G96+'13'!H96</f>
        <v>-140359.01000000007</v>
      </c>
      <c r="I96" s="118"/>
      <c r="J96" s="175">
        <f>H96/DAY(B2)</f>
        <v>-10025.643571428576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-8.6764476363636369</v>
      </c>
      <c r="H97" s="99">
        <f>G97+'13'!H97</f>
        <v>-5.0261418821817756</v>
      </c>
      <c r="I97" s="167"/>
      <c r="J97" s="175">
        <f>H97/DAY(B2)</f>
        <v>-0.35901013444155538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-87156.069999999949</v>
      </c>
      <c r="H98" s="99">
        <f>G98+'13'!H98</f>
        <v>-48703.590000000026</v>
      </c>
      <c r="I98" s="168"/>
      <c r="J98" s="175">
        <f>H98/DAY(B2)</f>
        <v>-3478.8278571428591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-3.1693116363636347</v>
      </c>
      <c r="H99" s="99">
        <f>G99+'13'!H99</f>
        <v>-1.7332455171814762</v>
      </c>
      <c r="I99" s="168"/>
      <c r="J99" s="175">
        <f>H99/DAY(B2)</f>
        <v>-0.12380325122724831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-65598.869999999981</v>
      </c>
      <c r="H100" s="99">
        <f>G100+'13'!H100</f>
        <v>-36219.349999999969</v>
      </c>
      <c r="I100" s="118"/>
      <c r="J100" s="175">
        <f>H100/DAY(B2)</f>
        <v>-2587.0964285714263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-2.3854134545454539</v>
      </c>
      <c r="H101" s="99">
        <f>G101+'13'!H101</f>
        <v>-1.2882302895085278</v>
      </c>
      <c r="I101" s="168"/>
      <c r="J101" s="175">
        <f>H101/DAY(B2)</f>
        <v>-9.2016449250609131E-2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-59314.439999999973</v>
      </c>
      <c r="H102" s="99">
        <f>G102+'13'!H102</f>
        <v>-31831.630000000005</v>
      </c>
      <c r="I102" s="168"/>
      <c r="J102" s="175">
        <f>H102/DAY(B2)</f>
        <v>-2273.6878571428574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-2.1568887272727264</v>
      </c>
      <c r="H103" s="99">
        <f>G103+'13'!H103</f>
        <v>-1.1353449670301459</v>
      </c>
      <c r="I103" s="118"/>
      <c r="J103" s="175">
        <f>H103/DAY(B2)</f>
        <v>-8.1096069073581842E-2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-46932.849999999984</v>
      </c>
      <c r="H104" s="99">
        <f>G104+'13'!H104</f>
        <v>-26405.669999999991</v>
      </c>
      <c r="I104" s="118"/>
      <c r="J104" s="175">
        <f>H104/DAY(B2)</f>
        <v>-1886.1192857142851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-1.7066490909090903</v>
      </c>
      <c r="H105" s="99">
        <f>G105+'13'!H105</f>
        <v>-0.93941437071750844</v>
      </c>
      <c r="I105" s="187"/>
      <c r="J105" s="188">
        <f>H105/DAY(B2)</f>
        <v>-6.7101026479822037E-2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'13'!F112</f>
        <v>5908.57</v>
      </c>
      <c r="F112" s="237">
        <v>3740</v>
      </c>
      <c r="G112" s="112">
        <f t="shared" ref="G112:G123" si="9">F112-E112</f>
        <v>-2168.5699999999997</v>
      </c>
      <c r="H112" s="99">
        <f>G112+'13'!H112</f>
        <v>-1189.7399999999998</v>
      </c>
      <c r="I112" s="165"/>
      <c r="J112" s="328">
        <f>H112/DAY(B2)</f>
        <v>-84.981428571428552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'13'!F113</f>
        <v>12491.55</v>
      </c>
      <c r="F113" s="237">
        <v>8371</v>
      </c>
      <c r="G113" s="112">
        <f t="shared" si="9"/>
        <v>-4120.5499999999993</v>
      </c>
      <c r="H113" s="99">
        <f>G113+'13'!H113</f>
        <v>-2261.7199999999993</v>
      </c>
      <c r="I113" s="165"/>
      <c r="J113" s="328">
        <f>H113/DAY(B2)</f>
        <v>-161.55142857142852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'13'!F114</f>
        <v>17194.75</v>
      </c>
      <c r="F114" s="237">
        <v>10634</v>
      </c>
      <c r="G114" s="112">
        <f t="shared" si="9"/>
        <v>-6560.75</v>
      </c>
      <c r="H114" s="99">
        <f>G114+'13'!H114</f>
        <v>-3559.7999999999993</v>
      </c>
      <c r="I114" s="165"/>
      <c r="J114" s="328">
        <f>H114/DAY(B2)</f>
        <v>-254.27142857142852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'13'!F115</f>
        <v>10608.75</v>
      </c>
      <c r="F115" s="237">
        <v>6800</v>
      </c>
      <c r="G115" s="112">
        <f t="shared" si="9"/>
        <v>-3808.75</v>
      </c>
      <c r="H115" s="99">
        <f>G115+'13'!H115</f>
        <v>-2220.7800000000007</v>
      </c>
      <c r="I115" s="165"/>
      <c r="J115" s="328">
        <f>H115/DAY(B2)</f>
        <v>-158.6271428571429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'13'!F116</f>
        <v>64135.61</v>
      </c>
      <c r="F116" s="237">
        <v>52367</v>
      </c>
      <c r="G116" s="112">
        <f t="shared" si="9"/>
        <v>-11768.61</v>
      </c>
      <c r="H116" s="99">
        <f>G116+'13'!H116</f>
        <v>-6523.5500000000029</v>
      </c>
      <c r="I116" s="165"/>
      <c r="J116" s="328">
        <f>H116/DAY(B2)</f>
        <v>-465.96785714285733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'13'!F117</f>
        <v>36328.120000000003</v>
      </c>
      <c r="F117" s="237">
        <v>28446</v>
      </c>
      <c r="G117" s="112">
        <f t="shared" si="9"/>
        <v>-7882.1200000000026</v>
      </c>
      <c r="H117" s="99">
        <f>G117+'13'!H117</f>
        <v>-4442.4800000000032</v>
      </c>
      <c r="I117" s="165"/>
      <c r="J117" s="328">
        <f>H117/DAY(B2)</f>
        <v>-317.32000000000022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'13'!F118</f>
        <v>53240.51</v>
      </c>
      <c r="F118" s="237">
        <v>34475</v>
      </c>
      <c r="G118" s="112">
        <f t="shared" si="9"/>
        <v>-18765.510000000002</v>
      </c>
      <c r="H118" s="99">
        <f>G118+'13'!H118</f>
        <v>-10445.309999999998</v>
      </c>
      <c r="I118" s="165"/>
      <c r="J118" s="328">
        <f>H118/DAY(B2)</f>
        <v>-746.09357142857129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'13'!F119</f>
        <v>33362.99</v>
      </c>
      <c r="F119" s="237">
        <v>24978</v>
      </c>
      <c r="G119" s="112">
        <f t="shared" si="9"/>
        <v>-8384.989999999998</v>
      </c>
      <c r="H119" s="99">
        <f>G119+'13'!H119</f>
        <v>-5364.5999999999985</v>
      </c>
      <c r="I119" s="165"/>
      <c r="J119" s="328">
        <f>H119/DAY(B2)</f>
        <v>-383.1857142857142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'13'!F120</f>
        <v>38728.33</v>
      </c>
      <c r="F120" s="237">
        <v>26198</v>
      </c>
      <c r="G120" s="112">
        <f t="shared" si="9"/>
        <v>-12530.330000000002</v>
      </c>
      <c r="H120" s="99">
        <f>G120+'13'!H120</f>
        <v>-6907.5599999999977</v>
      </c>
      <c r="I120" s="165"/>
      <c r="J120" s="328">
        <f>H120/DAY(B2)</f>
        <v>-493.39714285714268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'13'!F121</f>
        <v>45432</v>
      </c>
      <c r="F121" s="237">
        <v>32368</v>
      </c>
      <c r="G121" s="112">
        <f t="shared" si="9"/>
        <v>-13064</v>
      </c>
      <c r="H121" s="99">
        <f>G121+'13'!H121</f>
        <v>-7219.9000000000015</v>
      </c>
      <c r="I121" s="165"/>
      <c r="J121" s="328">
        <f>H121/DAY(B2)</f>
        <v>-515.70714285714291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'13'!F122</f>
        <v>23748.22</v>
      </c>
      <c r="F122" s="237">
        <v>15438</v>
      </c>
      <c r="G122" s="112">
        <f t="shared" si="9"/>
        <v>-8310.2200000000012</v>
      </c>
      <c r="H122" s="99">
        <f>G122+'13'!H122</f>
        <v>-4527.880000000001</v>
      </c>
      <c r="I122" s="165"/>
      <c r="J122" s="328">
        <f>H122/DAY(B2)</f>
        <v>-323.42000000000007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'13'!F123</f>
        <v>24456.04</v>
      </c>
      <c r="F123" s="237">
        <v>15312</v>
      </c>
      <c r="G123" s="112">
        <f t="shared" si="9"/>
        <v>-9144.0400000000009</v>
      </c>
      <c r="H123" s="99">
        <f>G123+'13'!H123</f>
        <v>-5030</v>
      </c>
      <c r="I123" s="165"/>
      <c r="J123" s="328">
        <f>H123/DAY(B2)</f>
        <v>-359.28571428571428</v>
      </c>
    </row>
    <row r="124" spans="1:18" ht="27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-106508.44</v>
      </c>
      <c r="H125" s="156"/>
      <c r="I125" s="327">
        <f>G125-(G39+G53)</f>
        <v>-19352.370000000054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'13'!F128</f>
        <v>118617.57</v>
      </c>
      <c r="F128" s="165">
        <v>103045</v>
      </c>
      <c r="G128" s="112">
        <f t="shared" ref="G128:G134" si="10">F128-E128</f>
        <v>-15572.570000000007</v>
      </c>
      <c r="H128" s="99">
        <f>G128+'13'!H128</f>
        <v>-8830.86</v>
      </c>
      <c r="I128" s="165"/>
      <c r="J128" s="328">
        <f>H128/DAY(B2)</f>
        <v>-630.77571428571434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69317</v>
      </c>
      <c r="F129" s="165">
        <v>63614</v>
      </c>
      <c r="G129" s="112">
        <f t="shared" si="10"/>
        <v>-5703</v>
      </c>
      <c r="H129" s="99">
        <f>G129+'13'!H129</f>
        <v>-3087.7799999999988</v>
      </c>
      <c r="I129" s="165"/>
      <c r="J129" s="328">
        <f>H129/DAY(B2)</f>
        <v>-220.5557142857142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151595.98000000001</v>
      </c>
      <c r="F130" s="165">
        <v>129854</v>
      </c>
      <c r="G130" s="112">
        <f t="shared" si="10"/>
        <v>-21741.98000000001</v>
      </c>
      <c r="H130" s="99">
        <f>G130+'13'!H130</f>
        <v>-12443.919999999984</v>
      </c>
      <c r="I130" s="165"/>
      <c r="J130" s="328">
        <f>H130/DAY(B2)</f>
        <v>-888.85142857142739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'13'!F131</f>
        <v>44869.69</v>
      </c>
      <c r="F131" s="165">
        <v>39160</v>
      </c>
      <c r="G131" s="112">
        <f t="shared" si="10"/>
        <v>-5709.6900000000023</v>
      </c>
      <c r="H131" s="99">
        <f>G131+'13'!H131</f>
        <v>-3458.1999999999971</v>
      </c>
      <c r="I131" s="165"/>
      <c r="J131" s="328">
        <f>H131/DAY(B2)</f>
        <v>-247.01428571428551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'13'!F132</f>
        <v>121741.45</v>
      </c>
      <c r="F132" s="165">
        <v>109229</v>
      </c>
      <c r="G132" s="112">
        <f t="shared" si="10"/>
        <v>-12512.449999999997</v>
      </c>
      <c r="H132" s="99">
        <f>G132+'13'!H132</f>
        <v>-7062</v>
      </c>
      <c r="I132" s="165"/>
      <c r="J132" s="328">
        <f>H132/DAY(B2)</f>
        <v>-504.42857142857144</v>
      </c>
    </row>
    <row r="133" spans="1:15" ht="27.75" customHeight="1">
      <c r="A133" s="904" t="s">
        <v>341</v>
      </c>
      <c r="B133" s="905"/>
      <c r="C133" s="906"/>
      <c r="D133" s="151" t="s">
        <v>183</v>
      </c>
      <c r="E133" s="95">
        <f>'13'!F133</f>
        <v>223091.25</v>
      </c>
      <c r="F133" s="165">
        <v>213179</v>
      </c>
      <c r="G133" s="112">
        <f t="shared" si="10"/>
        <v>-9912.25</v>
      </c>
      <c r="H133" s="99">
        <f>G133+'13'!H133</f>
        <v>-2631.570000000007</v>
      </c>
      <c r="I133" s="165"/>
      <c r="J133" s="328">
        <f>H133/DAY(B2)</f>
        <v>-187.9692857142862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'13'!F134</f>
        <v>44968.21</v>
      </c>
      <c r="F134" s="165">
        <v>38270</v>
      </c>
      <c r="G134" s="112">
        <f t="shared" si="10"/>
        <v>-6698.2099999999991</v>
      </c>
      <c r="H134" s="99">
        <f>G134+'13'!H134</f>
        <v>-3475</v>
      </c>
      <c r="I134" s="165"/>
      <c r="J134" s="328">
        <f>H134/DAY(B2)</f>
        <v>-248.21428571428572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-77850.150000000023</v>
      </c>
      <c r="H135" s="119">
        <f>H128+H134</f>
        <v>-12305.86</v>
      </c>
      <c r="I135" s="327">
        <f>G135-(G35+G49)</f>
        <v>26332.159999999974</v>
      </c>
      <c r="J135" s="328">
        <f>H135/DAY(B2)</f>
        <v>-878.99</v>
      </c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'13'!F138</f>
        <v>888846</v>
      </c>
      <c r="F138" s="147">
        <v>885129</v>
      </c>
      <c r="G138" s="112">
        <f t="shared" ref="G138:G152" si="11">F138-E138</f>
        <v>-3717</v>
      </c>
      <c r="H138" s="99">
        <f>G138+'13'!H138</f>
        <v>-2095</v>
      </c>
      <c r="I138" s="118"/>
      <c r="J138" s="328">
        <f>H138/DAY(B2)</f>
        <v>-149.64285714285714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'13'!F139</f>
        <v>906162</v>
      </c>
      <c r="F139" s="148">
        <v>901589</v>
      </c>
      <c r="G139" s="112">
        <f t="shared" si="11"/>
        <v>-4573</v>
      </c>
      <c r="H139" s="99">
        <f>G139+'13'!H139</f>
        <v>-2501</v>
      </c>
      <c r="I139" s="118"/>
      <c r="J139" s="328">
        <f>H139/DAY(B2)</f>
        <v>-178.64285714285714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'13'!F140</f>
        <v>89803</v>
      </c>
      <c r="F140" s="149">
        <v>807</v>
      </c>
      <c r="G140" s="112">
        <f t="shared" si="11"/>
        <v>-88996</v>
      </c>
      <c r="H140" s="99">
        <f>G140+'13'!H140</f>
        <v>-88198.650000000009</v>
      </c>
      <c r="I140" s="118"/>
      <c r="J140" s="328">
        <f>H140/DAY(B2)</f>
        <v>-6299.9035714285719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'13'!F141</f>
        <v>86779.35</v>
      </c>
      <c r="F141" s="149">
        <v>80811</v>
      </c>
      <c r="G141" s="112">
        <f t="shared" si="11"/>
        <v>-5968.3500000000058</v>
      </c>
      <c r="H141" s="99">
        <f>G141+'13'!H141</f>
        <v>-3304.1999999999971</v>
      </c>
      <c r="I141" s="118"/>
      <c r="J141" s="328">
        <f>H141/DAY(B2)</f>
        <v>-236.01428571428551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'13'!F142</f>
        <v>35336.79</v>
      </c>
      <c r="F142" s="148">
        <v>32698</v>
      </c>
      <c r="G142" s="112">
        <f t="shared" si="11"/>
        <v>-2638.7900000000009</v>
      </c>
      <c r="H142" s="99">
        <f>G142+'13'!H142</f>
        <v>-1687.4700000000012</v>
      </c>
      <c r="I142" s="140"/>
      <c r="J142" s="328">
        <f>H142/DAY(B2)</f>
        <v>-120.53357142857151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'13'!F143</f>
        <v>8532.8799999999992</v>
      </c>
      <c r="F143" s="149">
        <v>7700</v>
      </c>
      <c r="G143" s="112">
        <f t="shared" si="11"/>
        <v>-832.8799999999992</v>
      </c>
      <c r="H143" s="99">
        <f>G143+'13'!H143</f>
        <v>-458.31999999999971</v>
      </c>
      <c r="I143" s="140"/>
      <c r="J143" s="328">
        <f>H143/DAY(B2)</f>
        <v>-32.737142857142835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'13'!F144</f>
        <v>915547</v>
      </c>
      <c r="F144" s="149">
        <v>908443</v>
      </c>
      <c r="G144" s="112">
        <f t="shared" si="11"/>
        <v>-7104</v>
      </c>
      <c r="H144" s="99">
        <f>G144+'13'!H144</f>
        <v>-3834</v>
      </c>
      <c r="I144" s="140"/>
      <c r="J144" s="328">
        <f>H144/DAY(B2)</f>
        <v>-273.85714285714283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'13'!F145</f>
        <v>5665</v>
      </c>
      <c r="F145" s="149">
        <v>5665</v>
      </c>
      <c r="G145" s="112">
        <f t="shared" si="11"/>
        <v>0</v>
      </c>
      <c r="H145" s="99">
        <f>G145+'13'!H145</f>
        <v>-1.5600000000004002</v>
      </c>
      <c r="I145" s="140"/>
      <c r="J145" s="328">
        <f>H145/DAY(B2)</f>
        <v>-0.11142857142860001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'13'!F146</f>
        <v>779888</v>
      </c>
      <c r="F146" s="148">
        <v>778593</v>
      </c>
      <c r="G146" s="112">
        <f t="shared" si="11"/>
        <v>-1295</v>
      </c>
      <c r="H146" s="99">
        <f>G146+'13'!H146</f>
        <v>-735</v>
      </c>
      <c r="I146" s="140"/>
      <c r="J146" s="328">
        <f>H146/DAY(B2)</f>
        <v>-52.5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'13'!F147</f>
        <v>692535</v>
      </c>
      <c r="F147" s="148">
        <v>681310</v>
      </c>
      <c r="G147" s="112">
        <f t="shared" si="11"/>
        <v>-11225</v>
      </c>
      <c r="H147" s="99">
        <f>G147+'13'!H147</f>
        <v>-6216.1600000000326</v>
      </c>
      <c r="I147" s="140"/>
      <c r="J147" s="328">
        <f>H147/DAY(B2)</f>
        <v>-444.01142857143088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'13'!F148</f>
        <v>742896</v>
      </c>
      <c r="F148" s="150">
        <v>733748</v>
      </c>
      <c r="G148" s="112">
        <f t="shared" si="11"/>
        <v>-9148</v>
      </c>
      <c r="H148" s="99">
        <f>G148+'13'!H148</f>
        <v>-5199.2800000000279</v>
      </c>
      <c r="I148" s="124"/>
      <c r="J148" s="328">
        <f>H148/DAY(B2)</f>
        <v>-371.37714285714486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'13'!F149</f>
        <v>123158.9</v>
      </c>
      <c r="F149" s="227">
        <v>108846</v>
      </c>
      <c r="G149" s="112">
        <f t="shared" si="11"/>
        <v>-14312.899999999994</v>
      </c>
      <c r="H149" s="99">
        <f>G149+'13'!H149</f>
        <v>-7686.8000000000029</v>
      </c>
      <c r="I149" s="119"/>
      <c r="J149" s="328">
        <f>H149/DAY(B2)</f>
        <v>-549.05714285714305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'13'!F150</f>
        <v>46623</v>
      </c>
      <c r="F150" s="233">
        <v>40273</v>
      </c>
      <c r="G150" s="112">
        <f t="shared" si="11"/>
        <v>-6350</v>
      </c>
      <c r="H150" s="99">
        <f>G150+'13'!H150</f>
        <v>-3452.1600000000035</v>
      </c>
      <c r="I150" s="119"/>
      <c r="J150" s="328">
        <f>H150/DAY(B2)</f>
        <v>-246.58285714285739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'13'!F151</f>
        <v>130066</v>
      </c>
      <c r="F151" s="233">
        <v>122205</v>
      </c>
      <c r="G151" s="112">
        <f t="shared" si="11"/>
        <v>-7861</v>
      </c>
      <c r="H151" s="99">
        <f>G151+'13'!H151</f>
        <v>-4398</v>
      </c>
      <c r="I151" s="119"/>
      <c r="J151" s="328">
        <f>H151/DAY(B2)</f>
        <v>-314.14285714285717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'13'!F152</f>
        <v>20941.62</v>
      </c>
      <c r="F152" s="233">
        <v>17240</v>
      </c>
      <c r="G152" s="112">
        <f t="shared" si="11"/>
        <v>-3701.619999999999</v>
      </c>
      <c r="H152" s="99">
        <f>G152+'13'!H152</f>
        <v>-2048.0800000000017</v>
      </c>
      <c r="I152" s="119"/>
      <c r="J152" s="328">
        <f>H152/DAY(B2)</f>
        <v>-146.2914285714287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-167723.54</v>
      </c>
      <c r="H153" s="363"/>
      <c r="I153" s="119">
        <f>G153-(G38+G52)</f>
        <v>-102124.67000000003</v>
      </c>
      <c r="J153" s="366"/>
    </row>
    <row r="154" spans="1:10" ht="27.75" customHeight="1">
      <c r="A154" s="936"/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374">
        <f>'13'!F155</f>
        <v>137657.68</v>
      </c>
      <c r="F155" s="374">
        <v>120658</v>
      </c>
      <c r="G155" s="112">
        <f t="shared" ref="G155:G158" si="12">F155-E155</f>
        <v>-16999.679999999993</v>
      </c>
      <c r="H155" s="99">
        <f>G155+'13'!H155</f>
        <v>-9583.3800000000047</v>
      </c>
      <c r="I155" s="364"/>
      <c r="J155" s="328">
        <f>H155/DAY(B2)</f>
        <v>-684.52714285714319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374">
        <f>'13'!F156</f>
        <v>13177.7</v>
      </c>
      <c r="F156" s="155">
        <v>10765</v>
      </c>
      <c r="G156" s="112">
        <f t="shared" si="12"/>
        <v>-2412.7000000000007</v>
      </c>
      <c r="H156" s="99">
        <f>G156+'13'!H156</f>
        <v>-1328.3600000000006</v>
      </c>
      <c r="I156" s="165"/>
      <c r="J156" s="328">
        <f>H156/DAY(B2)</f>
        <v>-94.882857142857191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374">
        <f>'13'!F157</f>
        <v>25005.85</v>
      </c>
      <c r="F157" s="155">
        <v>20553</v>
      </c>
      <c r="G157" s="112">
        <f t="shared" si="12"/>
        <v>-4452.8499999999985</v>
      </c>
      <c r="H157" s="99">
        <f>G157+'13'!H157</f>
        <v>-2643.7000000000007</v>
      </c>
      <c r="I157" s="165"/>
      <c r="J157" s="328">
        <f>H157/DAY(B2)</f>
        <v>-188.83571428571435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374">
        <f>'13'!F158</f>
        <v>225.71</v>
      </c>
      <c r="F158" s="155">
        <v>189</v>
      </c>
      <c r="G158" s="112">
        <f t="shared" si="12"/>
        <v>-36.710000000000008</v>
      </c>
      <c r="H158" s="99">
        <f>G158+'13'!H158</f>
        <v>101.30999999999997</v>
      </c>
      <c r="I158" s="165"/>
      <c r="J158" s="328">
        <f>H158/DAY(B2)</f>
        <v>7.2364285714285694</v>
      </c>
    </row>
    <row r="159" spans="1:10" ht="27.75" customHeight="1">
      <c r="A159" s="954"/>
      <c r="B159" s="955"/>
      <c r="C159" s="956"/>
      <c r="D159" s="117"/>
      <c r="E159" s="165"/>
      <c r="F159" s="165"/>
      <c r="G159" s="362">
        <f>SUM(G155:G158)</f>
        <v>-23901.939999999991</v>
      </c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479031.96</v>
      </c>
      <c r="F161" s="235">
        <v>476638</v>
      </c>
      <c r="G161" s="238">
        <f t="shared" ref="G161:G165" si="13">F161-E161</f>
        <v>-2393.960000000021</v>
      </c>
      <c r="H161" s="99">
        <f>G161+'13'!H161</f>
        <v>-1025</v>
      </c>
      <c r="I161" s="236"/>
      <c r="J161" s="239">
        <f>H161/DAY(B2)</f>
        <v>-73.214285714285708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94266</v>
      </c>
      <c r="F162" s="235">
        <v>93193</v>
      </c>
      <c r="G162" s="238">
        <f t="shared" si="13"/>
        <v>-1073</v>
      </c>
      <c r="H162" s="99">
        <f>G162+'13'!H162</f>
        <v>-612.30000000000291</v>
      </c>
      <c r="I162" s="236"/>
      <c r="J162" s="239">
        <f>H162/DAY(B2)</f>
        <v>-43.735714285714494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3952.2</v>
      </c>
      <c r="F163" s="235">
        <v>99411</v>
      </c>
      <c r="G163" s="238">
        <f t="shared" si="13"/>
        <v>95458.8</v>
      </c>
      <c r="H163" s="99">
        <f>G163+'13'!H163</f>
        <v>97384.900000000009</v>
      </c>
      <c r="I163" s="236"/>
      <c r="J163" s="239">
        <f>H163/DAY(B2)</f>
        <v>6956.0642857142866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6042.6</v>
      </c>
      <c r="F164" s="235">
        <v>5703</v>
      </c>
      <c r="G164" s="238">
        <f t="shared" si="13"/>
        <v>-339.60000000000036</v>
      </c>
      <c r="H164" s="99">
        <f>G164+'13'!H164</f>
        <v>-195.39999999999964</v>
      </c>
      <c r="I164" s="236"/>
      <c r="J164" s="239">
        <f>H164/DAY(B2)</f>
        <v>-13.957142857142831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31470.42</v>
      </c>
      <c r="F165" s="235">
        <v>31174</v>
      </c>
      <c r="G165" s="238">
        <f t="shared" si="13"/>
        <v>-296.41999999999825</v>
      </c>
      <c r="H165" s="99">
        <f>G165+'13'!H165</f>
        <v>-172.65000000000146</v>
      </c>
      <c r="I165" s="236"/>
      <c r="J165" s="239">
        <f>H165/DAY(B2)</f>
        <v>-12.33214285714296</v>
      </c>
    </row>
    <row r="166" spans="1:10" ht="27.75" customHeight="1">
      <c r="A166" s="935"/>
      <c r="B166" s="935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35"/>
      <c r="B167" s="935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35"/>
      <c r="B168" s="935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'13'!F173</f>
        <v>8276</v>
      </c>
      <c r="F173" s="155">
        <v>8276</v>
      </c>
      <c r="G173" s="155">
        <f>F173-E173</f>
        <v>0</v>
      </c>
      <c r="H173" s="99">
        <f>G173+'13'!H173</f>
        <v>47</v>
      </c>
      <c r="I173" s="155"/>
      <c r="J173" s="178">
        <f>H173/DAY(B2)</f>
        <v>3.3571428571428572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'13'!F174</f>
        <v>40953</v>
      </c>
      <c r="F174" s="157">
        <v>40538</v>
      </c>
      <c r="G174" s="155">
        <f t="shared" ref="G174:G175" si="14">F174-E174</f>
        <v>-415</v>
      </c>
      <c r="H174" s="99">
        <f>G174+'13'!H174</f>
        <v>-241</v>
      </c>
      <c r="I174" s="155"/>
      <c r="J174" s="178">
        <f>H174/DAY(B2)</f>
        <v>-17.214285714285715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'13'!F175</f>
        <v>23816</v>
      </c>
      <c r="F175" s="155">
        <v>23460</v>
      </c>
      <c r="G175" s="155">
        <f t="shared" si="14"/>
        <v>-356</v>
      </c>
      <c r="H175" s="99">
        <f>G175+'13'!H175</f>
        <v>-196</v>
      </c>
      <c r="I175" s="155"/>
      <c r="J175" s="178">
        <f>H175/DAY(B2)</f>
        <v>-14</v>
      </c>
    </row>
    <row r="176" spans="1:10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-771</v>
      </c>
      <c r="H176" s="99">
        <f>G176+'13'!H176</f>
        <v>-390</v>
      </c>
      <c r="I176" s="155"/>
      <c r="J176" s="178">
        <f>H176/DAY(B2)</f>
        <v>-27.857142857142858</v>
      </c>
    </row>
    <row r="177" spans="1:10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93" t="s">
        <v>210</v>
      </c>
      <c r="B178" s="894"/>
      <c r="C178" s="333"/>
      <c r="D178" s="228" t="s">
        <v>142</v>
      </c>
      <c r="E178" s="155">
        <v>93198</v>
      </c>
      <c r="F178" s="155">
        <v>93353</v>
      </c>
      <c r="G178" s="155">
        <f>F178-E178</f>
        <v>155</v>
      </c>
      <c r="H178" s="99">
        <f>G178+'13'!H178</f>
        <v>1267</v>
      </c>
      <c r="I178" s="155"/>
      <c r="J178" s="178">
        <f>H178/DAY(B2)</f>
        <v>90.5</v>
      </c>
    </row>
    <row r="179" spans="1:10" ht="27.75" customHeight="1">
      <c r="A179" s="893" t="s">
        <v>211</v>
      </c>
      <c r="B179" s="894"/>
      <c r="C179" s="333"/>
      <c r="D179" s="228" t="s">
        <v>142</v>
      </c>
      <c r="E179" s="95">
        <f>'13'!F179</f>
        <v>36002</v>
      </c>
      <c r="F179" s="155">
        <v>36002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893" t="s">
        <v>212</v>
      </c>
      <c r="B180" s="894"/>
      <c r="C180" s="333"/>
      <c r="D180" s="228" t="s">
        <v>142</v>
      </c>
      <c r="E180" s="95">
        <f>'13'!F180</f>
        <v>6982</v>
      </c>
      <c r="F180" s="155">
        <v>6807</v>
      </c>
      <c r="G180" s="155">
        <f t="shared" si="15"/>
        <v>-175</v>
      </c>
      <c r="H180" s="99">
        <f>G180+'13'!H180</f>
        <v>-75</v>
      </c>
      <c r="I180" s="155"/>
      <c r="J180" s="178">
        <f>H180/DAY(B2)</f>
        <v>-5.3571428571428568</v>
      </c>
    </row>
    <row r="181" spans="1:10" ht="27.75" customHeight="1">
      <c r="A181" s="939" t="s">
        <v>108</v>
      </c>
      <c r="B181" s="940"/>
      <c r="C181" s="401"/>
      <c r="D181" s="228" t="s">
        <v>142</v>
      </c>
      <c r="E181" s="95"/>
      <c r="F181" s="155" t="s">
        <v>207</v>
      </c>
      <c r="G181" s="155">
        <f>SUM(G178:G180)</f>
        <v>-20</v>
      </c>
      <c r="H181" s="99">
        <f>G181+'13'!H181</f>
        <v>1192</v>
      </c>
      <c r="I181" s="155"/>
      <c r="J181" s="178">
        <f>H181/DAY(B2)</f>
        <v>85.142857142857139</v>
      </c>
    </row>
    <row r="182" spans="1:10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93" t="s">
        <v>214</v>
      </c>
      <c r="B183" s="894"/>
      <c r="C183" s="334"/>
      <c r="D183" s="228" t="s">
        <v>142</v>
      </c>
      <c r="E183" s="95">
        <f>'13'!F183</f>
        <v>17361</v>
      </c>
      <c r="F183" s="157">
        <v>17139</v>
      </c>
      <c r="G183" s="157">
        <f>F183-E183</f>
        <v>-222</v>
      </c>
      <c r="H183" s="99">
        <f>G183+'13'!H183</f>
        <v>-136</v>
      </c>
      <c r="I183" s="155"/>
      <c r="J183" s="178">
        <f>H183/DAY(B2)</f>
        <v>-9.7142857142857135</v>
      </c>
    </row>
    <row r="184" spans="1:10" ht="27.75" customHeight="1">
      <c r="A184" s="893" t="s">
        <v>215</v>
      </c>
      <c r="B184" s="894"/>
      <c r="C184" s="334"/>
      <c r="D184" s="228" t="s">
        <v>142</v>
      </c>
      <c r="E184" s="95">
        <f>'13'!F184</f>
        <v>11773</v>
      </c>
      <c r="F184" s="157">
        <v>11586</v>
      </c>
      <c r="G184" s="157">
        <f t="shared" ref="G184:G185" si="16">F184-E184</f>
        <v>-187</v>
      </c>
      <c r="H184" s="99">
        <f>G184+'13'!H184</f>
        <v>-103</v>
      </c>
      <c r="I184" s="155"/>
      <c r="J184" s="178">
        <f>H184/DAY(B2)</f>
        <v>-7.3571428571428568</v>
      </c>
    </row>
    <row r="185" spans="1:10" ht="27.75" customHeight="1">
      <c r="A185" s="893" t="s">
        <v>216</v>
      </c>
      <c r="B185" s="894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-409</v>
      </c>
      <c r="H186" s="99">
        <f>G186+'13'!H186</f>
        <v>-239</v>
      </c>
      <c r="I186" s="157"/>
      <c r="J186" s="178">
        <f>H186/DAY(B2)</f>
        <v>-17.071428571428573</v>
      </c>
    </row>
    <row r="187" spans="1:10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-3670</v>
      </c>
      <c r="H187" s="99">
        <f>G187+'13'!H187</f>
        <v>-1686</v>
      </c>
      <c r="I187" s="158"/>
      <c r="J187" s="179">
        <f>H187/DAY(B2)</f>
        <v>-120.42857142857143</v>
      </c>
    </row>
    <row r="188" spans="1:10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-3926</v>
      </c>
      <c r="H188" s="99"/>
      <c r="I188" s="158"/>
      <c r="J188" s="405">
        <f>H188/DAY(B2)</f>
        <v>0</v>
      </c>
    </row>
    <row r="189" spans="1:10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-20</v>
      </c>
      <c r="H189" s="99">
        <f>G189+'13'!H189</f>
        <v>1192</v>
      </c>
      <c r="I189" s="158"/>
      <c r="J189" s="179">
        <f>H189/DAY(B2)</f>
        <v>85.142857142857139</v>
      </c>
    </row>
    <row r="190" spans="1:10" ht="27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2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44727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899032.47</v>
      </c>
      <c r="F7" s="95">
        <f>E7+27500</f>
        <v>926532.47</v>
      </c>
      <c r="G7" s="236">
        <f>F7-E7</f>
        <v>27500</v>
      </c>
      <c r="H7" s="99">
        <f>G7+'14'!H7</f>
        <v>403567.97</v>
      </c>
      <c r="I7" s="113">
        <f>'1'!I7</f>
        <v>12000</v>
      </c>
      <c r="J7" s="175">
        <f>H7/DAY(B2)</f>
        <v>26904.531333333332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1043254.65</v>
      </c>
      <c r="F8" s="95">
        <f>E8+27000</f>
        <v>1070254.6499999999</v>
      </c>
      <c r="G8" s="519">
        <f>F8-E8</f>
        <v>26999.999999999884</v>
      </c>
      <c r="H8" s="99">
        <f>G8+'14'!H8</f>
        <v>408465.64999999991</v>
      </c>
      <c r="I8" s="116"/>
      <c r="J8" s="175">
        <f>H8/DAY(B2)</f>
        <v>27231.043333333328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2664079</v>
      </c>
      <c r="F9" s="469">
        <v>2681680</v>
      </c>
      <c r="G9" s="112">
        <f>F9-E9</f>
        <v>17601</v>
      </c>
      <c r="H9" s="99">
        <f>G9+'14'!H9</f>
        <v>-235969.10000000009</v>
      </c>
      <c r="I9" s="124">
        <f>I7-J7</f>
        <v>-14904.531333333332</v>
      </c>
      <c r="J9" s="175">
        <f>H9/DAY(B2)</f>
        <v>-15731.27333333334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1060344</v>
      </c>
      <c r="F10" s="353">
        <v>1069535</v>
      </c>
      <c r="G10" s="112">
        <f>F10-E10</f>
        <v>9191</v>
      </c>
      <c r="H10" s="99">
        <f>G10+'14'!H10</f>
        <v>-166151.62999999989</v>
      </c>
      <c r="I10" s="282"/>
      <c r="J10" s="175">
        <f>H10/DAY(B2)</f>
        <v>-11076.775333333326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26792</v>
      </c>
      <c r="H13" s="99">
        <f>G13+'14'!H13</f>
        <v>-400391.79999999981</v>
      </c>
      <c r="I13" s="120">
        <f>G7-G13</f>
        <v>708</v>
      </c>
      <c r="J13" s="175">
        <f>H13/DAY(B2)</f>
        <v>-26692.786666666656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'14'!F15</f>
        <v>2082461.24</v>
      </c>
      <c r="F15" s="469">
        <f>E15+1000</f>
        <v>2083461.24</v>
      </c>
      <c r="G15" s="112">
        <f>(F15-E15)</f>
        <v>1000</v>
      </c>
      <c r="H15" s="99">
        <f>G15+'14'!H15</f>
        <v>15382.830000000075</v>
      </c>
      <c r="I15" s="113">
        <f>'1'!I15</f>
        <v>800</v>
      </c>
      <c r="J15" s="175">
        <f>H15/DAY(B2)</f>
        <v>1025.5220000000049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-225.52200000000494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'14'!F18</f>
        <v>24</v>
      </c>
      <c r="F18" s="122">
        <v>20</v>
      </c>
      <c r="G18" s="119">
        <f>F18*10</f>
        <v>200</v>
      </c>
      <c r="H18" s="99">
        <f>G18+'14'!H18</f>
        <v>2780</v>
      </c>
      <c r="I18" s="113">
        <f>'1'!I18</f>
        <v>65</v>
      </c>
      <c r="J18" s="175">
        <f>H18/DAY(B2)</f>
        <v>185.33333333333334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'14'!F19</f>
        <v>160835</v>
      </c>
      <c r="F19" s="122">
        <v>160885</v>
      </c>
      <c r="G19" s="112">
        <f t="shared" ref="G19" si="1">F19-E19</f>
        <v>50</v>
      </c>
      <c r="H19" s="99">
        <f>G19+'14'!H19</f>
        <v>62</v>
      </c>
      <c r="I19" s="335"/>
      <c r="J19" s="175">
        <f>H19/DAY(B2)</f>
        <v>4.1333333333333337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G20+'14'!H20</f>
        <v>2842</v>
      </c>
      <c r="I20" s="336">
        <f>I18-J20</f>
        <v>-124.46666666666667</v>
      </c>
      <c r="J20" s="175">
        <f>H20/DAY(B2)</f>
        <v>189.46666666666667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26999.999999999884</v>
      </c>
      <c r="F27" s="136">
        <v>9</v>
      </c>
      <c r="G27" s="137">
        <f>E27*F27</f>
        <v>242999.99999999895</v>
      </c>
      <c r="H27" s="99">
        <f>G27+'14'!H27</f>
        <v>3676190.8499999992</v>
      </c>
      <c r="I27" s="138"/>
      <c r="J27" s="175">
        <f>H27/DAY(B2)</f>
        <v>245079.38999999996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G28+'14'!H28</f>
        <v>1076798.1000000052</v>
      </c>
      <c r="I28" s="140"/>
      <c r="J28" s="175">
        <f>H28/DAY(B2)</f>
        <v>71786.540000000343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G30+'14'!H30</f>
        <v>9362</v>
      </c>
      <c r="I30" s="140"/>
      <c r="J30" s="175">
        <f>H30/DAY(B2)</f>
        <v>624.13333333333333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G31+'14'!H31</f>
        <v>222400</v>
      </c>
      <c r="I31" s="140"/>
      <c r="J31" s="175">
        <f>H31/DAY(B2)</f>
        <v>14826.666666666666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336549.99999999895</v>
      </c>
      <c r="H32" s="99">
        <f>G32+'14'!H32</f>
        <v>4984750.9500000048</v>
      </c>
      <c r="I32" s="144"/>
      <c r="J32" s="175">
        <f>H32/DAY(B2)</f>
        <v>332316.73000000033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238713</v>
      </c>
      <c r="F35" s="145">
        <v>238713</v>
      </c>
      <c r="G35" s="112">
        <f t="shared" ref="G35:G46" si="3">F35-E35</f>
        <v>0</v>
      </c>
      <c r="H35" s="99">
        <f>G35+'14'!H35</f>
        <v>-4.9999999988358468E-2</v>
      </c>
      <c r="I35" s="95"/>
      <c r="J35" s="175">
        <f>H35/DAY(B2)</f>
        <v>-3.3333333325572313E-3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172997</v>
      </c>
      <c r="F36" s="145">
        <v>173696</v>
      </c>
      <c r="G36" s="112">
        <f t="shared" si="3"/>
        <v>699</v>
      </c>
      <c r="H36" s="99">
        <f>G36+'14'!H36</f>
        <v>-13224.23000000001</v>
      </c>
      <c r="I36" s="95"/>
      <c r="J36" s="175">
        <f>H36/DAY(B2)</f>
        <v>-881.61533333333398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260313</v>
      </c>
      <c r="F37" s="145">
        <v>261968</v>
      </c>
      <c r="G37" s="112">
        <f t="shared" si="3"/>
        <v>1655</v>
      </c>
      <c r="H37" s="99">
        <f>G37+'14'!H37</f>
        <v>-24750.989999999991</v>
      </c>
      <c r="I37" s="95"/>
      <c r="J37" s="175">
        <f>H37/DAY(B2)</f>
        <v>-1650.0659999999993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350444</v>
      </c>
      <c r="F38" s="108">
        <v>352755</v>
      </c>
      <c r="G38" s="112">
        <f t="shared" si="3"/>
        <v>2311</v>
      </c>
      <c r="H38" s="99">
        <f>G38+'14'!H38</f>
        <v>-33908.349999999977</v>
      </c>
      <c r="I38" s="95"/>
      <c r="J38" s="175">
        <f>H38/DAY(B2)</f>
        <v>-2260.556666666665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474677</v>
      </c>
      <c r="F39" s="145">
        <v>477687</v>
      </c>
      <c r="G39" s="112">
        <f t="shared" si="3"/>
        <v>3010</v>
      </c>
      <c r="H39" s="99">
        <f>G39+'14'!H39</f>
        <v>-45693.590000000026</v>
      </c>
      <c r="I39" s="95"/>
      <c r="J39" s="175">
        <f>H39/DAY(B2)</f>
        <v>-3046.2393333333353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77090</v>
      </c>
      <c r="F40" s="145">
        <v>77478</v>
      </c>
      <c r="G40" s="112">
        <f t="shared" si="3"/>
        <v>388</v>
      </c>
      <c r="H40" s="99">
        <f>G40+'14'!H40</f>
        <v>-6193.0899999999965</v>
      </c>
      <c r="I40" s="95"/>
      <c r="J40" s="175">
        <f>H40/DAY(B2)</f>
        <v>-412.87266666666642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98068</v>
      </c>
      <c r="F41" s="145">
        <v>102530</v>
      </c>
      <c r="G41" s="112">
        <f t="shared" si="3"/>
        <v>4462</v>
      </c>
      <c r="H41" s="99">
        <f>G41+'14'!H41</f>
        <v>-40288.399999999994</v>
      </c>
      <c r="I41" s="95"/>
      <c r="J41" s="175">
        <f>H41/DAY(B2)</f>
        <v>-2685.893333333333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625476</v>
      </c>
      <c r="F42" s="145">
        <v>629764</v>
      </c>
      <c r="G42" s="112">
        <f t="shared" si="3"/>
        <v>4288</v>
      </c>
      <c r="H42" s="99">
        <f>G42+'14'!H42</f>
        <v>-58868.550000000047</v>
      </c>
      <c r="I42" s="95"/>
      <c r="J42" s="175">
        <f>H42/DAY(B2)</f>
        <v>-3924.5700000000029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16813</v>
      </c>
      <c r="H47" s="99">
        <f>G47+'14'!H47</f>
        <v>-222927.25</v>
      </c>
      <c r="I47" s="95"/>
      <c r="J47" s="175">
        <f>H47/DAY(B2)</f>
        <v>-14861.816666666668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310736</v>
      </c>
      <c r="F49" s="145">
        <v>314376</v>
      </c>
      <c r="G49" s="112">
        <f t="shared" ref="G49:G58" si="4">F49-E49</f>
        <v>3640</v>
      </c>
      <c r="H49" s="99">
        <f>G49+'14'!H49</f>
        <v>-56395.75</v>
      </c>
      <c r="I49" s="95"/>
      <c r="J49" s="175">
        <f>H49/DAY(B2)</f>
        <v>-3759.7166666666667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225197</v>
      </c>
      <c r="F50" s="145">
        <v>226174</v>
      </c>
      <c r="G50" s="112">
        <f t="shared" si="4"/>
        <v>977</v>
      </c>
      <c r="H50" s="99">
        <f>G50+'14'!H50</f>
        <v>-16931.399999999994</v>
      </c>
      <c r="I50" s="95"/>
      <c r="J50" s="175">
        <f>H50/DAY(B2)</f>
        <v>-1128.7599999999995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71023</v>
      </c>
      <c r="F54" s="145">
        <v>71489</v>
      </c>
      <c r="G54" s="112">
        <f t="shared" si="4"/>
        <v>466</v>
      </c>
      <c r="H54" s="99">
        <f>G54+'14'!H54</f>
        <v>-5528.5</v>
      </c>
      <c r="I54" s="95"/>
      <c r="J54" s="175">
        <f>H54/DAY(B2)</f>
        <v>-368.56666666666666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254288</v>
      </c>
      <c r="F55" s="145">
        <v>254288</v>
      </c>
      <c r="G55" s="112">
        <f t="shared" si="4"/>
        <v>0</v>
      </c>
      <c r="H55" s="99">
        <f>G55+'14'!H55</f>
        <v>-29794.929999999993</v>
      </c>
      <c r="I55" s="95"/>
      <c r="J55" s="175">
        <f>H55/DAY(B2)</f>
        <v>-1986.3286666666661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108586</v>
      </c>
      <c r="F56" s="145">
        <v>109347</v>
      </c>
      <c r="G56" s="112">
        <f t="shared" si="4"/>
        <v>761</v>
      </c>
      <c r="H56" s="99">
        <f>G56+'14'!H56</f>
        <v>-1896.1300000000047</v>
      </c>
      <c r="I56" s="95"/>
      <c r="J56" s="175">
        <f>H56/DAY(B2)</f>
        <v>-126.40866666666697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81643</v>
      </c>
      <c r="F57" s="145">
        <v>84867</v>
      </c>
      <c r="G57" s="112">
        <f t="shared" si="4"/>
        <v>3224</v>
      </c>
      <c r="H57" s="99">
        <f>G57+'14'!H57</f>
        <v>-47036.700000000012</v>
      </c>
      <c r="I57" s="95"/>
      <c r="J57" s="175">
        <f>H57/DAY(B2)</f>
        <v>-3135.7800000000007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36075</v>
      </c>
      <c r="F58" s="145">
        <v>36314</v>
      </c>
      <c r="G58" s="112">
        <f t="shared" si="4"/>
        <v>239</v>
      </c>
      <c r="H58" s="99">
        <f>G58+'14'!H58</f>
        <v>-3966.1100000000006</v>
      </c>
      <c r="I58" s="95"/>
      <c r="J58" s="175">
        <f>H58/DAY(B2)</f>
        <v>-264.40733333333338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9307</v>
      </c>
      <c r="H59" s="99">
        <f>G59+'14'!H59</f>
        <v>-161549.20000000007</v>
      </c>
      <c r="I59" s="95">
        <f>G7-G60</f>
        <v>1380</v>
      </c>
      <c r="J59" s="175">
        <f>H59/DAY(B2)</f>
        <v>-10769.946666666672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26120</v>
      </c>
      <c r="H60" s="99">
        <f>G60+'14'!H60</f>
        <v>-384476.45000000007</v>
      </c>
      <c r="I60" s="95">
        <f>G13-G60</f>
        <v>672</v>
      </c>
      <c r="J60" s="175">
        <f>H60/DAY(B2)</f>
        <v>-25631.76333333334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'14'!F62</f>
        <v>291000</v>
      </c>
      <c r="F62" s="122">
        <v>291132</v>
      </c>
      <c r="G62" s="112">
        <f t="shared" ref="G62:G63" si="5">F62-E62</f>
        <v>132</v>
      </c>
      <c r="H62" s="99">
        <f>G62+'14'!H62</f>
        <v>-1566</v>
      </c>
      <c r="I62" s="118"/>
      <c r="J62" s="175">
        <f>H62/DAY(B2)</f>
        <v>-104.4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'14'!F63</f>
        <v>232991</v>
      </c>
      <c r="F63" s="122">
        <v>233133</v>
      </c>
      <c r="G63" s="112">
        <f t="shared" si="5"/>
        <v>142</v>
      </c>
      <c r="H63" s="99">
        <f>G63+'14'!H63</f>
        <v>-1933</v>
      </c>
      <c r="I63" s="118"/>
      <c r="J63" s="175">
        <f>H63/DAY(B2)</f>
        <v>-128.86666666666667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/>
      <c r="F64" s="122"/>
      <c r="G64" s="112">
        <f>G62+G63</f>
        <v>274</v>
      </c>
      <c r="H64" s="99">
        <f>G64+'14'!H64</f>
        <v>-3499</v>
      </c>
      <c r="I64" s="118"/>
      <c r="J64" s="175">
        <f>H64/DAY(B2)</f>
        <v>-233.26666666666668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'14'!F65</f>
        <v>449711</v>
      </c>
      <c r="F65" s="122">
        <v>449818</v>
      </c>
      <c r="G65" s="112">
        <f t="shared" ref="G65:G70" si="6">F65-E65</f>
        <v>107</v>
      </c>
      <c r="H65" s="99">
        <f>G65+'14'!H65</f>
        <v>-1571</v>
      </c>
      <c r="I65" s="118"/>
      <c r="J65" s="175">
        <f>H65/DAY(B2)</f>
        <v>-104.73333333333333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110714</v>
      </c>
      <c r="F66" s="122">
        <v>110733</v>
      </c>
      <c r="G66" s="112">
        <f t="shared" si="6"/>
        <v>19</v>
      </c>
      <c r="H66" s="99">
        <f>G66+'14'!H66</f>
        <v>-294</v>
      </c>
      <c r="I66" s="118"/>
      <c r="J66" s="175">
        <f>H66/DAY(B2)</f>
        <v>-19.600000000000001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113681</v>
      </c>
      <c r="F67" s="122">
        <v>113681</v>
      </c>
      <c r="G67" s="112">
        <f t="shared" si="6"/>
        <v>0</v>
      </c>
      <c r="H67" s="99">
        <f>G67+'14'!H67</f>
        <v>1</v>
      </c>
      <c r="I67" s="118"/>
      <c r="J67" s="175">
        <f>H67/DAY(B2)</f>
        <v>6.6666666666666666E-2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162900</v>
      </c>
      <c r="F68" s="122">
        <v>162933</v>
      </c>
      <c r="G68" s="112">
        <f t="shared" si="6"/>
        <v>33</v>
      </c>
      <c r="H68" s="99">
        <f>G68+'14'!H68</f>
        <v>-593</v>
      </c>
      <c r="I68" s="118"/>
      <c r="J68" s="175">
        <f>H68/DAY(B2)</f>
        <v>-39.533333333333331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12020</v>
      </c>
      <c r="F69" s="122">
        <v>12042</v>
      </c>
      <c r="G69" s="112">
        <f t="shared" si="6"/>
        <v>22</v>
      </c>
      <c r="H69" s="99">
        <f>G69+'14'!H69</f>
        <v>-86</v>
      </c>
      <c r="I69" s="118"/>
      <c r="J69" s="175">
        <f>H69/DAY(B2)</f>
        <v>-5.7333333333333334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9391</v>
      </c>
      <c r="F70" s="122">
        <v>9396</v>
      </c>
      <c r="G70" s="112">
        <f t="shared" si="6"/>
        <v>5</v>
      </c>
      <c r="H70" s="99">
        <f>G70+'14'!H70</f>
        <v>-118</v>
      </c>
      <c r="I70" s="118"/>
      <c r="J70" s="175">
        <f>H70/DAY(B2)</f>
        <v>-7.8666666666666663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186</v>
      </c>
      <c r="H71" s="99">
        <f>G71+'14'!H71</f>
        <v>-2661</v>
      </c>
      <c r="I71" s="154"/>
      <c r="J71" s="175">
        <f>H71/DAY(B2)</f>
        <v>-177.4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'14'!F74</f>
        <v>943020</v>
      </c>
      <c r="F74" s="123">
        <v>943332</v>
      </c>
      <c r="G74" s="112">
        <f t="shared" ref="G74:G78" si="7">F74-E74</f>
        <v>312</v>
      </c>
      <c r="H74" s="99">
        <f>G74+'14'!H74</f>
        <v>-4375.1999999999534</v>
      </c>
      <c r="I74" s="154"/>
      <c r="J74" s="175">
        <f>H74/DAY(B2)</f>
        <v>-291.67999999999688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'14'!F76</f>
        <v>185287</v>
      </c>
      <c r="F76" s="123">
        <v>185401</v>
      </c>
      <c r="G76" s="112">
        <f t="shared" si="7"/>
        <v>114</v>
      </c>
      <c r="H76" s="99">
        <f>G76+'14'!H76</f>
        <v>-1490.2999999999884</v>
      </c>
      <c r="I76" s="154"/>
      <c r="J76" s="175">
        <f>H76/DAY(B2)</f>
        <v>-99.353333333332557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'14'!F77</f>
        <v>48018</v>
      </c>
      <c r="F77" s="123">
        <v>48070</v>
      </c>
      <c r="G77" s="112">
        <f t="shared" si="7"/>
        <v>52</v>
      </c>
      <c r="H77" s="99">
        <f>G77+'14'!H77</f>
        <v>-665.80000000000291</v>
      </c>
      <c r="I77" s="154"/>
      <c r="J77" s="175">
        <f>H77/DAY(B2)</f>
        <v>-44.386666666666862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-0.3999999999996362</v>
      </c>
      <c r="I78" s="118"/>
      <c r="J78" s="175">
        <f>H78/DAY(B2)</f>
        <v>-2.6666666666642413E-2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'14'!F79</f>
        <v>0</v>
      </c>
      <c r="F79" s="123"/>
      <c r="G79" s="112">
        <f>G15-SUM(G74:G78)</f>
        <v>522</v>
      </c>
      <c r="H79" s="99">
        <f>G79+'14'!H79</f>
        <v>21914.530000000021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42094</v>
      </c>
      <c r="F84" s="164">
        <v>42113</v>
      </c>
      <c r="G84" s="112">
        <f t="shared" si="8"/>
        <v>19</v>
      </c>
      <c r="H84" s="99">
        <f>G84+'14'!H84</f>
        <v>-162</v>
      </c>
      <c r="I84" s="573"/>
      <c r="J84" s="175">
        <f>H84/DAY(B2)</f>
        <v>-10.8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4617</v>
      </c>
      <c r="F85" s="164">
        <v>4635</v>
      </c>
      <c r="G85" s="112">
        <f t="shared" si="8"/>
        <v>18</v>
      </c>
      <c r="H85" s="99">
        <f>G85+'14'!H85</f>
        <v>-247.01000000000022</v>
      </c>
      <c r="I85" s="573"/>
      <c r="J85" s="175">
        <f>H85/DAY(B2)</f>
        <v>-16.467333333333347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44658</v>
      </c>
      <c r="F86" s="164">
        <v>44658</v>
      </c>
      <c r="G86" s="112">
        <f t="shared" si="8"/>
        <v>0</v>
      </c>
      <c r="H86" s="99">
        <f>G86+'14'!H86</f>
        <v>-194.30000000000291</v>
      </c>
      <c r="I86" s="573"/>
      <c r="J86" s="175">
        <f>H86/DAY(B2)</f>
        <v>-12.953333333333527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35339</v>
      </c>
      <c r="F87" s="164">
        <v>35345</v>
      </c>
      <c r="G87" s="112">
        <f t="shared" si="8"/>
        <v>6</v>
      </c>
      <c r="H87" s="99">
        <f>G87+'14'!H87</f>
        <v>-13.05000000000291</v>
      </c>
      <c r="I87" s="555">
        <f>G84+G85+G86+G87</f>
        <v>43</v>
      </c>
      <c r="J87" s="175">
        <f>H87/DAY(B2)</f>
        <v>-0.87000000000019406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24276.95</v>
      </c>
      <c r="F88" s="164">
        <v>24276.95</v>
      </c>
      <c r="G88" s="112">
        <f t="shared" si="8"/>
        <v>0</v>
      </c>
      <c r="H88" s="99">
        <f>G88+'14'!H88</f>
        <v>-0.25</v>
      </c>
      <c r="I88" s="555"/>
      <c r="J88" s="175">
        <f>H88/DAY(B2)</f>
        <v>-1.6666666666666666E-2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27136.799999999999</v>
      </c>
      <c r="F89" s="164">
        <v>27146</v>
      </c>
      <c r="G89" s="112">
        <f t="shared" si="8"/>
        <v>9.2000000000007276</v>
      </c>
      <c r="H89" s="99">
        <f>G89+'14'!H89</f>
        <v>-145.41999999999825</v>
      </c>
      <c r="I89" s="555">
        <f>G88+G89</f>
        <v>9.2000000000007276</v>
      </c>
      <c r="J89" s="175">
        <f>H89/DAY(B2)</f>
        <v>-9.6946666666665511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72165.97</v>
      </c>
      <c r="F90" s="164">
        <v>72178</v>
      </c>
      <c r="G90" s="112">
        <f t="shared" si="8"/>
        <v>12.029999999998836</v>
      </c>
      <c r="H90" s="99">
        <f>G90+'14'!H90</f>
        <v>-123.1299999999901</v>
      </c>
      <c r="I90" s="555">
        <f>G90</f>
        <v>12.029999999998836</v>
      </c>
      <c r="J90" s="175">
        <f>H90/DAY(B2)</f>
        <v>-8.2086666666660069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4122</v>
      </c>
      <c r="F91" s="122">
        <v>4122</v>
      </c>
      <c r="G91" s="112">
        <f t="shared" si="8"/>
        <v>0</v>
      </c>
      <c r="H91" s="99">
        <f>G91+'14'!H91</f>
        <v>-16.4399999999996</v>
      </c>
      <c r="I91" s="616"/>
      <c r="J91" s="175">
        <f>H91/DAY(B2)</f>
        <v>-1.0959999999999732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6369.12</v>
      </c>
      <c r="F92" s="122">
        <v>6380</v>
      </c>
      <c r="G92" s="112">
        <f t="shared" si="8"/>
        <v>10.880000000000109</v>
      </c>
      <c r="H92" s="99">
        <f>G92+'14'!H92</f>
        <v>-135.34000000000015</v>
      </c>
      <c r="I92" s="617">
        <f>G91+G92</f>
        <v>10.880000000000109</v>
      </c>
      <c r="J92" s="175">
        <f>H92/DAY(B2)</f>
        <v>-9.0226666666666766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6864</v>
      </c>
      <c r="H94" s="99">
        <f>G94+'14'!H94</f>
        <v>-103432.5</v>
      </c>
      <c r="I94" s="118"/>
      <c r="J94" s="175">
        <f>H94/DAY(B2)</f>
        <v>-6895.5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0.24959999999999999</v>
      </c>
      <c r="H95" s="99">
        <f>G95+'14'!H95</f>
        <v>-3.6742353628066984</v>
      </c>
      <c r="I95" s="167"/>
      <c r="J95" s="175">
        <f>H95/DAY(B2)</f>
        <v>-0.24494902418711323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9511</v>
      </c>
      <c r="H96" s="99">
        <f>G96+'14'!H96</f>
        <v>-130848.01000000007</v>
      </c>
      <c r="I96" s="118"/>
      <c r="J96" s="175">
        <f>H96/DAY(B2)</f>
        <v>-8723.2006666666712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0.34585454545454547</v>
      </c>
      <c r="H97" s="99">
        <f>G97+'14'!H97</f>
        <v>-4.68028733672723</v>
      </c>
      <c r="I97" s="167"/>
      <c r="J97" s="175">
        <f>H97/DAY(B2)</f>
        <v>-0.31201915578181533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3010</v>
      </c>
      <c r="H98" s="99">
        <f>G98+'14'!H98</f>
        <v>-45693.590000000026</v>
      </c>
      <c r="I98" s="168"/>
      <c r="J98" s="175">
        <f>H98/DAY(B2)</f>
        <v>-3046.2393333333353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0.10945454545454546</v>
      </c>
      <c r="H99" s="99">
        <f>G99+'14'!H99</f>
        <v>-1.6237909717269308</v>
      </c>
      <c r="I99" s="168"/>
      <c r="J99" s="175">
        <f>H99/DAY(B2)</f>
        <v>-0.10825273144846205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2311</v>
      </c>
      <c r="H100" s="99">
        <f>G100+'14'!H100</f>
        <v>-33908.349999999969</v>
      </c>
      <c r="I100" s="118"/>
      <c r="J100" s="175">
        <f>H100/DAY(B2)</f>
        <v>-2260.5566666666646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8.4036363636363631E-2</v>
      </c>
      <c r="H101" s="99">
        <f>G101+'14'!H101</f>
        <v>-1.2041939258721641</v>
      </c>
      <c r="I101" s="168"/>
      <c r="J101" s="175">
        <f>H101/DAY(B2)</f>
        <v>-8.0279595058144276E-2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1676</v>
      </c>
      <c r="H102" s="99">
        <f>G102+'14'!H102</f>
        <v>-30155.630000000005</v>
      </c>
      <c r="I102" s="168"/>
      <c r="J102" s="175">
        <f>H102/DAY(B2)</f>
        <v>-2010.3753333333336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6.0945454545454546E-2</v>
      </c>
      <c r="H103" s="99">
        <f>G103+'14'!H103</f>
        <v>-1.0743995124846912</v>
      </c>
      <c r="I103" s="118"/>
      <c r="J103" s="175">
        <f>H103/DAY(B2)</f>
        <v>-7.1626634165646089E-2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1655</v>
      </c>
      <c r="H104" s="99">
        <f>G104+'14'!H104</f>
        <v>-24750.669999999991</v>
      </c>
      <c r="I104" s="118"/>
      <c r="J104" s="175">
        <f>H104/DAY(B2)</f>
        <v>-1650.044666666666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6.0181818181818184E-2</v>
      </c>
      <c r="H105" s="99">
        <f>G105+'14'!H105</f>
        <v>-0.87923255253569021</v>
      </c>
      <c r="I105" s="187"/>
      <c r="J105" s="188">
        <f>H105/DAY(B2)</f>
        <v>-5.8615503502379346E-2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'14'!F112</f>
        <v>3740</v>
      </c>
      <c r="F112" s="237">
        <v>3814</v>
      </c>
      <c r="G112" s="112">
        <f t="shared" ref="G112:G123" si="9">F112-E112</f>
        <v>74</v>
      </c>
      <c r="H112" s="99">
        <f>G112+'14'!H112</f>
        <v>-1115.7399999999998</v>
      </c>
      <c r="I112" s="165"/>
      <c r="J112" s="328">
        <f>H112/DAY(B2)</f>
        <v>-74.382666666666651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'14'!F113</f>
        <v>8371</v>
      </c>
      <c r="F113" s="237">
        <v>8513</v>
      </c>
      <c r="G113" s="112">
        <f t="shared" si="9"/>
        <v>142</v>
      </c>
      <c r="H113" s="99">
        <f>G113+'14'!H113</f>
        <v>-2119.7199999999993</v>
      </c>
      <c r="I113" s="165"/>
      <c r="J113" s="328">
        <f>H113/DAY(B2)</f>
        <v>-141.31466666666662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'14'!F114</f>
        <v>10634</v>
      </c>
      <c r="F114" s="237">
        <v>10855</v>
      </c>
      <c r="G114" s="112">
        <f t="shared" si="9"/>
        <v>221</v>
      </c>
      <c r="H114" s="99">
        <f>G114+'14'!H114</f>
        <v>-3338.7999999999993</v>
      </c>
      <c r="I114" s="165"/>
      <c r="J114" s="328">
        <f>H114/DAY(B2)</f>
        <v>-222.58666666666662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'14'!F115</f>
        <v>6800</v>
      </c>
      <c r="F115" s="237">
        <v>6931</v>
      </c>
      <c r="G115" s="112">
        <f t="shared" si="9"/>
        <v>131</v>
      </c>
      <c r="H115" s="99">
        <f>G115+'14'!H115</f>
        <v>-2089.7800000000007</v>
      </c>
      <c r="I115" s="165"/>
      <c r="J115" s="328">
        <f>H115/DAY(B2)</f>
        <v>-139.3186666666667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'14'!F116</f>
        <v>52367</v>
      </c>
      <c r="F116" s="417">
        <v>52763</v>
      </c>
      <c r="G116" s="112">
        <f t="shared" si="9"/>
        <v>396</v>
      </c>
      <c r="H116" s="99">
        <f>G116+'14'!H116</f>
        <v>-6127.5500000000029</v>
      </c>
      <c r="I116" s="165"/>
      <c r="J116" s="328">
        <f>H116/DAY(B2)</f>
        <v>-408.5033333333335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'14'!F117</f>
        <v>28446</v>
      </c>
      <c r="F117" s="237">
        <v>28622</v>
      </c>
      <c r="G117" s="112">
        <f t="shared" si="9"/>
        <v>176</v>
      </c>
      <c r="H117" s="99">
        <f>G117+'14'!H117</f>
        <v>-4266.4800000000032</v>
      </c>
      <c r="I117" s="165"/>
      <c r="J117" s="328">
        <f>H117/DAY(B2)</f>
        <v>-284.43200000000019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'14'!F118</f>
        <v>34475</v>
      </c>
      <c r="F118" s="237">
        <v>35120</v>
      </c>
      <c r="G118" s="112">
        <f t="shared" si="9"/>
        <v>645</v>
      </c>
      <c r="H118" s="99">
        <f>G118+'14'!H118</f>
        <v>-9800.3099999999977</v>
      </c>
      <c r="I118" s="165"/>
      <c r="J118" s="328">
        <f>H118/DAY(B2)</f>
        <v>-653.35399999999981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'14'!F119</f>
        <v>24978</v>
      </c>
      <c r="F119" s="237">
        <v>25404</v>
      </c>
      <c r="G119" s="112">
        <f t="shared" si="9"/>
        <v>426</v>
      </c>
      <c r="H119" s="99">
        <f>G119+'14'!H119</f>
        <v>-4938.5999999999985</v>
      </c>
      <c r="I119" s="165"/>
      <c r="J119" s="328">
        <f>H119/DAY(B2)</f>
        <v>-329.2399999999999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'14'!F120</f>
        <v>26198</v>
      </c>
      <c r="F120" s="237">
        <v>26619</v>
      </c>
      <c r="G120" s="112">
        <f t="shared" si="9"/>
        <v>421</v>
      </c>
      <c r="H120" s="99">
        <f>G120+'14'!H120</f>
        <v>-6486.5599999999977</v>
      </c>
      <c r="I120" s="165"/>
      <c r="J120" s="328">
        <f>H120/DAY(B2)</f>
        <v>-432.43733333333319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'14'!F121</f>
        <v>32368</v>
      </c>
      <c r="F121" s="237">
        <v>32825</v>
      </c>
      <c r="G121" s="112">
        <f t="shared" si="9"/>
        <v>457</v>
      </c>
      <c r="H121" s="99">
        <f>G121+'14'!H121</f>
        <v>-6762.9000000000015</v>
      </c>
      <c r="I121" s="165"/>
      <c r="J121" s="328">
        <f>H121/DAY(B2)</f>
        <v>-450.86000000000007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'14'!F122</f>
        <v>15438</v>
      </c>
      <c r="F122" s="237">
        <v>15747</v>
      </c>
      <c r="G122" s="112">
        <f t="shared" si="9"/>
        <v>309</v>
      </c>
      <c r="H122" s="99">
        <f>G122+'14'!H122</f>
        <v>-4218.880000000001</v>
      </c>
      <c r="I122" s="165"/>
      <c r="J122" s="328">
        <f>H122/DAY(B2)</f>
        <v>-281.25866666666673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'14'!F123</f>
        <v>15312</v>
      </c>
      <c r="F123" s="237">
        <v>15635</v>
      </c>
      <c r="G123" s="112">
        <f t="shared" si="9"/>
        <v>323</v>
      </c>
      <c r="H123" s="99">
        <f>G123+'14'!H123</f>
        <v>-4707</v>
      </c>
      <c r="I123" s="165"/>
      <c r="J123" s="328">
        <f>H123/DAY(B2)</f>
        <v>-313.8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3721</v>
      </c>
      <c r="H125" s="156"/>
      <c r="I125" s="327">
        <f>G125-(G39+G53)</f>
        <v>711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'14'!F128</f>
        <v>103045</v>
      </c>
      <c r="F128" s="165">
        <v>103585</v>
      </c>
      <c r="G128" s="112">
        <f t="shared" ref="G128:G134" si="10">F128-E128</f>
        <v>540</v>
      </c>
      <c r="H128" s="99">
        <f>G128+'14'!H128</f>
        <v>-8290.86</v>
      </c>
      <c r="I128" s="165"/>
      <c r="J128" s="328">
        <f>H128/DAY(B2)</f>
        <v>-552.72400000000005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63614</v>
      </c>
      <c r="F129" s="165">
        <v>63895</v>
      </c>
      <c r="G129" s="112">
        <f t="shared" si="10"/>
        <v>281</v>
      </c>
      <c r="H129" s="99">
        <f>G129+'14'!H129</f>
        <v>-2806.7799999999988</v>
      </c>
      <c r="I129" s="165"/>
      <c r="J129" s="328">
        <f>H129/DAY(B2)</f>
        <v>-187.1186666666666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129854</v>
      </c>
      <c r="F130" s="165">
        <v>130669</v>
      </c>
      <c r="G130" s="112">
        <f t="shared" si="10"/>
        <v>815</v>
      </c>
      <c r="H130" s="99">
        <f>G130+'14'!H130</f>
        <v>-11628.919999999984</v>
      </c>
      <c r="I130" s="165"/>
      <c r="J130" s="328">
        <f>H130/DAY(B2)</f>
        <v>-775.26133333333223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'14'!F131</f>
        <v>39160</v>
      </c>
      <c r="F131" s="158">
        <v>39371</v>
      </c>
      <c r="G131" s="112">
        <f t="shared" si="10"/>
        <v>211</v>
      </c>
      <c r="H131" s="99">
        <f>G131+'14'!H131</f>
        <v>-3247.1999999999971</v>
      </c>
      <c r="I131" s="165"/>
      <c r="J131" s="328">
        <f>H131/DAY(B2)</f>
        <v>-216.47999999999982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'14'!F132</f>
        <v>109229</v>
      </c>
      <c r="F132" s="165">
        <v>109524</v>
      </c>
      <c r="G132" s="112">
        <f t="shared" si="10"/>
        <v>295</v>
      </c>
      <c r="H132" s="99">
        <f>G132+'14'!H132</f>
        <v>-6767</v>
      </c>
      <c r="I132" s="165"/>
      <c r="J132" s="328">
        <f>H132/DAY(B2)</f>
        <v>-451.13333333333333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'14'!F133</f>
        <v>213179</v>
      </c>
      <c r="F133" s="165">
        <v>213904</v>
      </c>
      <c r="G133" s="112">
        <f t="shared" si="10"/>
        <v>725</v>
      </c>
      <c r="H133" s="99">
        <f>G133+'14'!H133</f>
        <v>-1906.570000000007</v>
      </c>
      <c r="I133" s="165"/>
      <c r="J133" s="328">
        <f>H133/DAY(B2)</f>
        <v>-127.10466666666713</v>
      </c>
    </row>
    <row r="134" spans="1:15" s="409" customFormat="1" ht="25.5">
      <c r="A134" s="964" t="s">
        <v>340</v>
      </c>
      <c r="B134" s="965"/>
      <c r="C134" s="966"/>
      <c r="D134" s="233" t="s">
        <v>183</v>
      </c>
      <c r="E134" s="406">
        <f>'14'!F134</f>
        <v>38270</v>
      </c>
      <c r="F134" s="158">
        <v>38577</v>
      </c>
      <c r="G134" s="236">
        <f t="shared" si="10"/>
        <v>307</v>
      </c>
      <c r="H134" s="238">
        <f>G134+'14'!H134</f>
        <v>-3168</v>
      </c>
      <c r="I134" s="158"/>
      <c r="J134" s="408">
        <f>H134/DAY(B2)</f>
        <v>-211.2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3174</v>
      </c>
      <c r="H135" s="99">
        <f>G135+'10'!H135</f>
        <v>30738.699999999997</v>
      </c>
      <c r="I135" s="327">
        <f>G135-(G35+G49)</f>
        <v>-466</v>
      </c>
      <c r="J135" s="408">
        <f>H135/DAY(B2)</f>
        <v>2049.2466666666664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147">
        <v>885129</v>
      </c>
      <c r="F138" s="147">
        <v>885283</v>
      </c>
      <c r="G138" s="112">
        <f t="shared" ref="G138:G152" si="11">F138-E138</f>
        <v>154</v>
      </c>
      <c r="H138" s="99">
        <f>G138+'14'!H138</f>
        <v>-1941</v>
      </c>
      <c r="I138" s="118"/>
      <c r="J138" s="328">
        <f>H138/DAY(B2)</f>
        <v>-129.4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'14'!F139</f>
        <v>901589</v>
      </c>
      <c r="F139" s="148">
        <v>901721</v>
      </c>
      <c r="G139" s="112">
        <f t="shared" si="11"/>
        <v>132</v>
      </c>
      <c r="H139" s="99">
        <f>G139+'14'!H139</f>
        <v>-2369</v>
      </c>
      <c r="I139" s="118"/>
      <c r="J139" s="328">
        <f>H139/DAY(B2)</f>
        <v>-157.93333333333334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'14'!F140</f>
        <v>807</v>
      </c>
      <c r="F140" s="149">
        <v>823</v>
      </c>
      <c r="G140" s="112">
        <f t="shared" si="11"/>
        <v>16</v>
      </c>
      <c r="H140" s="99">
        <f>G140+'14'!H140</f>
        <v>-88182.650000000009</v>
      </c>
      <c r="I140" s="118"/>
      <c r="J140" s="328">
        <f>H140/DAY(B2)</f>
        <v>-5878.8433333333342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'14'!F141</f>
        <v>80811</v>
      </c>
      <c r="F141" s="149">
        <v>81012</v>
      </c>
      <c r="G141" s="112">
        <f t="shared" si="11"/>
        <v>201</v>
      </c>
      <c r="H141" s="99">
        <f>G141+'14'!H141</f>
        <v>-3103.1999999999971</v>
      </c>
      <c r="I141" s="118"/>
      <c r="J141" s="328">
        <f>H141/DAY(B2)</f>
        <v>-206.8799999999998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'14'!F142</f>
        <v>32698</v>
      </c>
      <c r="F142" s="148">
        <v>32816</v>
      </c>
      <c r="G142" s="112">
        <f t="shared" si="11"/>
        <v>118</v>
      </c>
      <c r="H142" s="99">
        <f>G142+'14'!H142</f>
        <v>-1569.4700000000012</v>
      </c>
      <c r="I142" s="140"/>
      <c r="J142" s="328">
        <f>H142/DAY(B2)</f>
        <v>-104.63133333333342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'14'!F143</f>
        <v>7700</v>
      </c>
      <c r="F143" s="149">
        <v>7730</v>
      </c>
      <c r="G143" s="112">
        <f t="shared" si="11"/>
        <v>30</v>
      </c>
      <c r="H143" s="99">
        <f>G143+'14'!H143</f>
        <v>-428.31999999999971</v>
      </c>
      <c r="I143" s="140"/>
      <c r="J143" s="328">
        <f>H143/DAY(B2)</f>
        <v>-28.554666666666648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'14'!F144</f>
        <v>908443</v>
      </c>
      <c r="F144" s="149">
        <v>908686</v>
      </c>
      <c r="G144" s="112">
        <f t="shared" si="11"/>
        <v>243</v>
      </c>
      <c r="H144" s="99">
        <f>G144+'14'!H144</f>
        <v>-3591</v>
      </c>
      <c r="I144" s="140"/>
      <c r="J144" s="328">
        <f>H144/DAY(B2)</f>
        <v>-239.4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'14'!F145</f>
        <v>5665</v>
      </c>
      <c r="F145" s="148">
        <v>5665</v>
      </c>
      <c r="G145" s="112">
        <f t="shared" si="11"/>
        <v>0</v>
      </c>
      <c r="H145" s="99">
        <f>G145+'14'!H145</f>
        <v>-1.5600000000004002</v>
      </c>
      <c r="I145" s="140"/>
      <c r="J145" s="328">
        <f>H145/DAY(B2)</f>
        <v>-0.10400000000002668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'14'!F146</f>
        <v>778593</v>
      </c>
      <c r="F146" s="148">
        <v>778633</v>
      </c>
      <c r="G146" s="112">
        <f t="shared" si="11"/>
        <v>40</v>
      </c>
      <c r="H146" s="99">
        <f>G146+'14'!H146</f>
        <v>-695</v>
      </c>
      <c r="I146" s="140"/>
      <c r="J146" s="328">
        <f>H146/DAY(B2)</f>
        <v>-46.333333333333336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'14'!F147</f>
        <v>681310</v>
      </c>
      <c r="F147" s="148">
        <v>681681</v>
      </c>
      <c r="G147" s="112">
        <f t="shared" si="11"/>
        <v>371</v>
      </c>
      <c r="H147" s="99">
        <f>G147+'14'!H147</f>
        <v>-5845.1600000000326</v>
      </c>
      <c r="I147" s="140"/>
      <c r="J147" s="328">
        <f>H147/DAY(B2)</f>
        <v>-389.67733333333553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'14'!F148</f>
        <v>733748</v>
      </c>
      <c r="F148" s="150">
        <v>734006</v>
      </c>
      <c r="G148" s="112">
        <f t="shared" si="11"/>
        <v>258</v>
      </c>
      <c r="H148" s="99">
        <f>G148+'14'!H148</f>
        <v>-4941.2800000000279</v>
      </c>
      <c r="I148" s="124"/>
      <c r="J148" s="328">
        <f>H148/DAY(B2)</f>
        <v>-329.41866666666851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'14'!F149</f>
        <v>108846</v>
      </c>
      <c r="F149" s="416">
        <v>109395</v>
      </c>
      <c r="G149" s="112">
        <f t="shared" si="11"/>
        <v>549</v>
      </c>
      <c r="H149" s="99">
        <f>G149+'14'!H149</f>
        <v>-7137.8000000000029</v>
      </c>
      <c r="I149" s="119"/>
      <c r="J149" s="328">
        <f>H149/DAY(B2)</f>
        <v>-475.85333333333352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'14'!F150</f>
        <v>40273</v>
      </c>
      <c r="F150" s="233">
        <v>40483</v>
      </c>
      <c r="G150" s="112">
        <f t="shared" si="11"/>
        <v>210</v>
      </c>
      <c r="H150" s="99">
        <f>G150+'14'!H150</f>
        <v>-3242.1600000000035</v>
      </c>
      <c r="I150" s="119"/>
      <c r="J150" s="328">
        <f>H150/DAY(B2)</f>
        <v>-216.14400000000023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'14'!F151</f>
        <v>122205</v>
      </c>
      <c r="F151" s="233">
        <v>122477</v>
      </c>
      <c r="G151" s="112">
        <f t="shared" si="11"/>
        <v>272</v>
      </c>
      <c r="H151" s="99">
        <f>G151+'14'!H151</f>
        <v>-4126</v>
      </c>
      <c r="I151" s="119"/>
      <c r="J151" s="328">
        <f>H151/DAY(B2)</f>
        <v>-275.06666666666666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'14'!F152</f>
        <v>17240</v>
      </c>
      <c r="F152" s="233">
        <v>17365</v>
      </c>
      <c r="G152" s="112">
        <f t="shared" si="11"/>
        <v>125</v>
      </c>
      <c r="H152" s="99">
        <f>G152+'14'!H152</f>
        <v>-1923.0800000000017</v>
      </c>
      <c r="I152" s="119"/>
      <c r="J152" s="328">
        <f>H152/DAY(B2)</f>
        <v>-128.20533333333344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2719</v>
      </c>
      <c r="H153" s="363"/>
      <c r="I153" s="119">
        <f>G153-(G38+G52)</f>
        <v>408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'14'!F155</f>
        <v>120658</v>
      </c>
      <c r="F155" s="157">
        <v>121255</v>
      </c>
      <c r="G155" s="112">
        <f t="shared" ref="G155:G158" si="12">F155-E155</f>
        <v>597</v>
      </c>
      <c r="H155" s="99">
        <f>G155+'14'!H155</f>
        <v>-8986.3800000000047</v>
      </c>
      <c r="I155" s="364"/>
      <c r="J155" s="328">
        <f>H155/DAY(B2)</f>
        <v>-599.09200000000033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'14'!F156</f>
        <v>10765</v>
      </c>
      <c r="F156" s="157">
        <v>10842</v>
      </c>
      <c r="G156" s="112">
        <f t="shared" si="12"/>
        <v>77</v>
      </c>
      <c r="H156" s="99">
        <f>G156+'14'!H156</f>
        <v>-1251.3600000000006</v>
      </c>
      <c r="I156" s="165"/>
      <c r="J156" s="328">
        <f>H156/DAY(B2)</f>
        <v>-83.424000000000035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'14'!F157</f>
        <v>20553</v>
      </c>
      <c r="F157" s="157">
        <v>20672</v>
      </c>
      <c r="G157" s="112">
        <f t="shared" si="12"/>
        <v>119</v>
      </c>
      <c r="H157" s="99">
        <f>G157+'14'!H157</f>
        <v>-2524.7000000000007</v>
      </c>
      <c r="I157" s="165"/>
      <c r="J157" s="328">
        <f>H157/DAY(B2)</f>
        <v>-168.31333333333339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'14'!F158</f>
        <v>189</v>
      </c>
      <c r="F158" s="157">
        <v>189</v>
      </c>
      <c r="G158" s="112">
        <f t="shared" si="12"/>
        <v>0</v>
      </c>
      <c r="H158" s="99">
        <f>G158+'14'!H158</f>
        <v>101.30999999999997</v>
      </c>
      <c r="I158" s="165"/>
      <c r="J158" s="328">
        <f>H158/DAY(B2)</f>
        <v>6.7539999999999987</v>
      </c>
    </row>
    <row r="159" spans="1:10" ht="25.5">
      <c r="A159" s="954"/>
      <c r="B159" s="955"/>
      <c r="C159" s="956"/>
      <c r="D159" s="117"/>
      <c r="E159" s="95"/>
      <c r="F159" s="165"/>
      <c r="G159" s="362">
        <f>SUM(G155:G158)</f>
        <v>793</v>
      </c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476638</v>
      </c>
      <c r="F161" s="235">
        <v>476645</v>
      </c>
      <c r="G161" s="238">
        <f t="shared" ref="G161:G165" si="13">F161-E161</f>
        <v>7</v>
      </c>
      <c r="H161" s="99">
        <f>G161+'14'!H161</f>
        <v>-1018</v>
      </c>
      <c r="I161" s="236"/>
      <c r="J161" s="239">
        <f>H161/DAY(B2)</f>
        <v>-67.86666666666666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93193</v>
      </c>
      <c r="F162" s="235">
        <v>93236</v>
      </c>
      <c r="G162" s="238">
        <f t="shared" si="13"/>
        <v>43</v>
      </c>
      <c r="H162" s="99">
        <f>G162+'14'!H162</f>
        <v>-569.30000000000291</v>
      </c>
      <c r="I162" s="236"/>
      <c r="J162" s="239">
        <f>H162/DAY(B2)</f>
        <v>-37.953333333333525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99411</v>
      </c>
      <c r="F163" s="235">
        <v>99552</v>
      </c>
      <c r="G163" s="238">
        <f t="shared" si="13"/>
        <v>141</v>
      </c>
      <c r="H163" s="99">
        <f>G163+'14'!H163</f>
        <v>97525.900000000009</v>
      </c>
      <c r="I163" s="236"/>
      <c r="J163" s="239">
        <f>H163/DAY(B2)</f>
        <v>6501.7266666666674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5703</v>
      </c>
      <c r="F164" s="235">
        <v>5713</v>
      </c>
      <c r="G164" s="238">
        <f t="shared" si="13"/>
        <v>10</v>
      </c>
      <c r="H164" s="99">
        <f>G164+'14'!H164</f>
        <v>-185.39999999999964</v>
      </c>
      <c r="I164" s="236"/>
      <c r="J164" s="239">
        <f>H164/DAY(B2)</f>
        <v>-12.359999999999976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31174</v>
      </c>
      <c r="F165" s="235">
        <v>31186</v>
      </c>
      <c r="G165" s="238">
        <f t="shared" si="13"/>
        <v>12</v>
      </c>
      <c r="H165" s="99">
        <f>G165+'14'!H165</f>
        <v>-160.65000000000146</v>
      </c>
      <c r="I165" s="236"/>
      <c r="J165" s="239">
        <f>H165/DAY(B2)</f>
        <v>-10.710000000000097</v>
      </c>
    </row>
    <row r="166" spans="1:10" ht="26.25">
      <c r="A166" s="935"/>
      <c r="B166" s="935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93" t="s">
        <v>209</v>
      </c>
      <c r="B173" s="894"/>
      <c r="C173" s="333"/>
      <c r="D173" s="228" t="s">
        <v>142</v>
      </c>
      <c r="E173" s="95">
        <f>'14'!F173</f>
        <v>8276</v>
      </c>
      <c r="F173" s="155">
        <v>8276</v>
      </c>
      <c r="G173" s="155">
        <f>F173-E173</f>
        <v>0</v>
      </c>
      <c r="H173" s="99">
        <f>G173+'14'!H173</f>
        <v>47</v>
      </c>
      <c r="I173" s="155"/>
      <c r="J173" s="178">
        <f>H173/DAY(B2)</f>
        <v>3.1333333333333333</v>
      </c>
    </row>
    <row r="174" spans="1:10" ht="21.75" customHeight="1">
      <c r="A174" s="893" t="s">
        <v>75</v>
      </c>
      <c r="B174" s="894"/>
      <c r="C174" s="333"/>
      <c r="D174" s="228" t="s">
        <v>142</v>
      </c>
      <c r="E174" s="95">
        <f>'14'!F174</f>
        <v>40538</v>
      </c>
      <c r="F174" s="157">
        <v>40552</v>
      </c>
      <c r="G174" s="155">
        <f t="shared" ref="G174:G175" si="14">F174-E174</f>
        <v>14</v>
      </c>
      <c r="H174" s="99">
        <f>G174+'14'!H174</f>
        <v>-227</v>
      </c>
      <c r="I174" s="155"/>
      <c r="J174" s="178">
        <f>H174/DAY(B2)</f>
        <v>-15.133333333333333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'14'!F175</f>
        <v>23460</v>
      </c>
      <c r="F175" s="155">
        <v>23474</v>
      </c>
      <c r="G175" s="155">
        <f t="shared" si="14"/>
        <v>14</v>
      </c>
      <c r="H175" s="99">
        <f>G175+'14'!H175</f>
        <v>-182</v>
      </c>
      <c r="I175" s="155"/>
      <c r="J175" s="178">
        <f>H175/DAY(B2)</f>
        <v>-12.133333333333333</v>
      </c>
    </row>
    <row r="176" spans="1:10" ht="21.75" customHeight="1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28</v>
      </c>
      <c r="H176" s="99">
        <f>G176+'14'!H176</f>
        <v>-362</v>
      </c>
      <c r="I176" s="155"/>
      <c r="J176" s="178">
        <f>H176/DAY(B2)</f>
        <v>-24.133333333333333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93" t="s">
        <v>210</v>
      </c>
      <c r="B178" s="894"/>
      <c r="C178" s="333"/>
      <c r="D178" s="228" t="s">
        <v>142</v>
      </c>
      <c r="E178" s="95">
        <f>'14'!F178</f>
        <v>93353</v>
      </c>
      <c r="F178" s="155">
        <v>93463</v>
      </c>
      <c r="G178" s="155">
        <f>F178-E178</f>
        <v>110</v>
      </c>
      <c r="H178" s="99">
        <f>G178+'14'!H178</f>
        <v>1377</v>
      </c>
      <c r="I178" s="155"/>
      <c r="J178" s="178">
        <f>H178/DAY(B2)</f>
        <v>91.8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'14'!F179</f>
        <v>36002</v>
      </c>
      <c r="F179" s="155">
        <v>36002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'14'!F180</f>
        <v>6807</v>
      </c>
      <c r="F180" s="155">
        <v>6808</v>
      </c>
      <c r="G180" s="155">
        <f t="shared" si="15"/>
        <v>1</v>
      </c>
      <c r="H180" s="99">
        <f>G180+'14'!H180</f>
        <v>-74</v>
      </c>
      <c r="I180" s="155"/>
      <c r="J180" s="178">
        <f>H180/DAY(B2)</f>
        <v>-4.9333333333333336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111</v>
      </c>
      <c r="H181" s="99">
        <f>G181+'14'!H181</f>
        <v>1303</v>
      </c>
      <c r="I181" s="155"/>
      <c r="J181" s="178">
        <f>H181/DAY(B2)</f>
        <v>86.86666666666666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'14'!F183</f>
        <v>17139</v>
      </c>
      <c r="F183" s="157">
        <v>17165</v>
      </c>
      <c r="G183" s="157">
        <f>F183-E183</f>
        <v>26</v>
      </c>
      <c r="H183" s="99">
        <f>G183+'14'!H183</f>
        <v>-110</v>
      </c>
      <c r="I183" s="155"/>
      <c r="J183" s="178">
        <f>H183/DAY(B2)</f>
        <v>-7.333333333333333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'14'!F184</f>
        <v>11586</v>
      </c>
      <c r="F184" s="157">
        <v>11592</v>
      </c>
      <c r="G184" s="157">
        <f t="shared" ref="G184:G185" si="16">F184-E184</f>
        <v>6</v>
      </c>
      <c r="H184" s="99">
        <f>G184+'14'!H184</f>
        <v>-97</v>
      </c>
      <c r="I184" s="155"/>
      <c r="J184" s="178">
        <f>H184/DAY(B2)</f>
        <v>-6.4666666666666668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32</v>
      </c>
      <c r="H186" s="99">
        <f>G186+'14'!H186</f>
        <v>-207</v>
      </c>
      <c r="I186" s="157"/>
      <c r="J186" s="178">
        <f>H186/DAY(B2)</f>
        <v>-13.8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182</v>
      </c>
      <c r="H187" s="99">
        <f>G187+'14'!H187</f>
        <v>-1504</v>
      </c>
      <c r="I187" s="158"/>
      <c r="J187" s="179">
        <f>H187/DAY(B2)</f>
        <v>-100.26666666666667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153</v>
      </c>
      <c r="H188" s="99">
        <f>G188+'14'!H188</f>
        <v>153</v>
      </c>
      <c r="I188" s="158"/>
      <c r="J188" s="179">
        <f>H188/DAY(B2)</f>
        <v>10.199999999999999</v>
      </c>
    </row>
    <row r="189" spans="1:10" ht="27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111</v>
      </c>
      <c r="H189" s="99">
        <f>G189+'14'!H189</f>
        <v>1303</v>
      </c>
      <c r="I189" s="158"/>
      <c r="J189" s="179">
        <f>H189/DAY(B2)</f>
        <v>86.86666666666666</v>
      </c>
    </row>
    <row r="190" spans="1:10" ht="27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24" zoomScale="55" zoomScaleNormal="90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303</v>
      </c>
      <c r="B2" s="262">
        <v>44728</v>
      </c>
      <c r="C2" s="348" t="s">
        <v>67</v>
      </c>
      <c r="D2" s="218">
        <v>0.6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926532.47</v>
      </c>
      <c r="F7" s="95">
        <f>E7+27500</f>
        <v>954032.47</v>
      </c>
      <c r="G7" s="112">
        <f>F7-E7</f>
        <v>27500</v>
      </c>
      <c r="H7" s="99">
        <f>G7+'15'!H7</f>
        <v>431067.97</v>
      </c>
      <c r="I7" s="113">
        <f>'1'!I7</f>
        <v>12000</v>
      </c>
      <c r="J7" s="175">
        <f>H7/DAY(B2)</f>
        <v>26941.748124999998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1070254.6499999999</v>
      </c>
      <c r="F8" s="95">
        <f>E8+27000</f>
        <v>1097254.6499999999</v>
      </c>
      <c r="G8" s="115">
        <f>F8-E8</f>
        <v>27000</v>
      </c>
      <c r="H8" s="99">
        <f>G8+'15'!H8</f>
        <v>435465.64999999991</v>
      </c>
      <c r="I8" s="116"/>
      <c r="J8" s="175">
        <f>H8/DAY(B2)</f>
        <v>27216.603124999994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2681680</v>
      </c>
      <c r="F9" s="469">
        <v>2701061</v>
      </c>
      <c r="G9" s="112">
        <f>F9-E9</f>
        <v>19381</v>
      </c>
      <c r="H9" s="99">
        <f>G9+'15'!H9</f>
        <v>-216588.10000000009</v>
      </c>
      <c r="I9" s="124">
        <f>I7-J7</f>
        <v>-14941.748124999998</v>
      </c>
      <c r="J9" s="175">
        <f>H9/DAY(B2)</f>
        <v>-13536.756250000006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1069535</v>
      </c>
      <c r="F10" s="353">
        <v>1077206</v>
      </c>
      <c r="G10" s="112">
        <f t="shared" ref="G10:G12" si="0">F10-E10</f>
        <v>7671</v>
      </c>
      <c r="H10" s="99">
        <f>G10+'15'!H10</f>
        <v>-158480.62999999989</v>
      </c>
      <c r="I10" s="282"/>
      <c r="J10" s="175">
        <f>H10/DAY(B2)</f>
        <v>-9905.039374999993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27052</v>
      </c>
      <c r="H13" s="99">
        <f>G13+'15'!H13</f>
        <v>-373339.79999999981</v>
      </c>
      <c r="I13" s="120">
        <f>G7-G13</f>
        <v>448</v>
      </c>
      <c r="J13" s="175">
        <f>H13/DAY(B2)</f>
        <v>-23333.737499999988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2083461.24</v>
      </c>
      <c r="F15" s="469">
        <f>E15+1000</f>
        <v>2084461.24</v>
      </c>
      <c r="G15" s="112">
        <f>(F15-E15)</f>
        <v>1000</v>
      </c>
      <c r="H15" s="99">
        <f>G15+'15'!H15</f>
        <v>16382.830000000075</v>
      </c>
      <c r="I15" s="113">
        <f>'1'!I15</f>
        <v>800</v>
      </c>
      <c r="J15" s="175">
        <f>H15/DAY(B2)</f>
        <v>1023.9268750000047</v>
      </c>
      <c r="K15" s="79"/>
      <c r="L15" s="66"/>
      <c r="N15" s="87">
        <v>735868</v>
      </c>
      <c r="O15" s="71">
        <v>719798</v>
      </c>
      <c r="P15" s="426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-223.92687500000466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'15'!F18</f>
        <v>20</v>
      </c>
      <c r="F18" s="164">
        <v>18</v>
      </c>
      <c r="G18" s="119">
        <f>F18*10</f>
        <v>180</v>
      </c>
      <c r="H18" s="99">
        <f>G18+'15'!H18</f>
        <v>2960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'15'!F19</f>
        <v>160885</v>
      </c>
      <c r="F19" s="122">
        <v>160935</v>
      </c>
      <c r="G19" s="112">
        <f t="shared" ref="G19" si="1">F19-E19</f>
        <v>50</v>
      </c>
      <c r="H19" s="99">
        <f>G19+'15'!H19</f>
        <v>112</v>
      </c>
      <c r="I19" s="335"/>
      <c r="J19" s="175">
        <f>H19/DAY(B2)</f>
        <v>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230</v>
      </c>
      <c r="H20" s="99">
        <f>G20+'15'!H20</f>
        <v>3072</v>
      </c>
      <c r="I20" s="336">
        <f>I18-J20</f>
        <v>-127</v>
      </c>
      <c r="J20" s="175">
        <f>H20/DAY(B2)</f>
        <v>192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G27+'15'!H27</f>
        <v>3919190.8499999992</v>
      </c>
      <c r="I27" s="138"/>
      <c r="J27" s="175">
        <f>H27/DAY(B2)</f>
        <v>244949.42812499995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G28+'15'!H28</f>
        <v>1146798.1000000052</v>
      </c>
      <c r="I28" s="140"/>
      <c r="J28" s="175">
        <f>H28/DAY(B2)</f>
        <v>71674.881250000326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G30+'15'!H30</f>
        <v>16912</v>
      </c>
      <c r="I30" s="140"/>
      <c r="J30" s="175">
        <f>H30/DAY(B2)</f>
        <v>1057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G31+'15'!H31</f>
        <v>236800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334950</v>
      </c>
      <c r="H32" s="99">
        <f>G32+'15'!H32</f>
        <v>5319700.9500000048</v>
      </c>
      <c r="I32" s="144"/>
      <c r="J32" s="175">
        <f>H32/DAY(B2)</f>
        <v>332481.3093750003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238713</v>
      </c>
      <c r="F35" s="117">
        <v>238713</v>
      </c>
      <c r="G35" s="112">
        <f t="shared" ref="G35:G46" si="3">F35-E35</f>
        <v>0</v>
      </c>
      <c r="H35" s="99">
        <f>G35+'15'!H35</f>
        <v>-4.9999999988358468E-2</v>
      </c>
      <c r="I35" s="95"/>
      <c r="J35" s="175">
        <f>H35/DAY(B2)</f>
        <v>-3.1249999992724042E-3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173696</v>
      </c>
      <c r="F36" s="117">
        <v>174330</v>
      </c>
      <c r="G36" s="112">
        <f t="shared" si="3"/>
        <v>634</v>
      </c>
      <c r="H36" s="99">
        <f>G36+'15'!H36</f>
        <v>-12590.23000000001</v>
      </c>
      <c r="I36" s="95"/>
      <c r="J36" s="175">
        <f>H36/DAY(B2)</f>
        <v>-786.88937500000065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261968</v>
      </c>
      <c r="F37" s="117">
        <v>263634</v>
      </c>
      <c r="G37" s="112">
        <f t="shared" si="3"/>
        <v>1666</v>
      </c>
      <c r="H37" s="99">
        <f>G37+'15'!H37</f>
        <v>-23084.989999999991</v>
      </c>
      <c r="I37" s="95"/>
      <c r="J37" s="175">
        <f>H37/DAY(B2)</f>
        <v>-1442.8118749999994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352755</v>
      </c>
      <c r="F38" s="95">
        <v>355121</v>
      </c>
      <c r="G38" s="112">
        <f t="shared" si="3"/>
        <v>2366</v>
      </c>
      <c r="H38" s="99">
        <f>G38+'15'!H38</f>
        <v>-31542.349999999977</v>
      </c>
      <c r="I38" s="95"/>
      <c r="J38" s="175">
        <f>H38/DAY(B2)</f>
        <v>-1971.3968749999985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477687</v>
      </c>
      <c r="F39" s="117">
        <v>480786</v>
      </c>
      <c r="G39" s="112">
        <f t="shared" si="3"/>
        <v>3099</v>
      </c>
      <c r="H39" s="99">
        <f>G39+'15'!H39</f>
        <v>-42594.590000000026</v>
      </c>
      <c r="I39" s="95"/>
      <c r="J39" s="175">
        <f>H39/DAY(B2)</f>
        <v>-2662.1618750000016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77478</v>
      </c>
      <c r="F40" s="117">
        <v>77708</v>
      </c>
      <c r="G40" s="112">
        <f t="shared" si="3"/>
        <v>230</v>
      </c>
      <c r="H40" s="99">
        <f>G40+'15'!H40</f>
        <v>-5963.0899999999965</v>
      </c>
      <c r="I40" s="95"/>
      <c r="J40" s="175">
        <f>H40/DAY(B2)</f>
        <v>-372.69312499999978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102530</v>
      </c>
      <c r="F41" s="117">
        <v>108348</v>
      </c>
      <c r="G41" s="112">
        <f t="shared" si="3"/>
        <v>5818</v>
      </c>
      <c r="H41" s="99">
        <f>G41+'15'!H41</f>
        <v>-34470.399999999994</v>
      </c>
      <c r="I41" s="95"/>
      <c r="J41" s="175">
        <f>H41/DAY(B2)</f>
        <v>-2154.3999999999996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629764</v>
      </c>
      <c r="F42" s="117">
        <v>634309</v>
      </c>
      <c r="G42" s="112">
        <f t="shared" si="3"/>
        <v>4545</v>
      </c>
      <c r="H42" s="99">
        <f>G42+'15'!H42</f>
        <v>-54323.550000000047</v>
      </c>
      <c r="I42" s="95"/>
      <c r="J42" s="175">
        <f>H42/DAY(B2)</f>
        <v>-3395.2218750000029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112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18358</v>
      </c>
      <c r="H47" s="99">
        <f>G47+'15'!H47</f>
        <v>-204569.25</v>
      </c>
      <c r="I47" s="95"/>
      <c r="J47" s="175">
        <f>H47/DAY(B2)</f>
        <v>-12785.578125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314376</v>
      </c>
      <c r="F49" s="117">
        <v>317736</v>
      </c>
      <c r="G49" s="112">
        <f t="shared" ref="G49:G58" si="4">F49-E49</f>
        <v>3360</v>
      </c>
      <c r="H49" s="99">
        <f>G49+'15'!H49</f>
        <v>-53035.75</v>
      </c>
      <c r="I49" s="95"/>
      <c r="J49" s="175">
        <f>H49/DAY(B2)</f>
        <v>-3314.734375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226174</v>
      </c>
      <c r="F50" s="117">
        <v>227035</v>
      </c>
      <c r="G50" s="112">
        <f t="shared" si="4"/>
        <v>861</v>
      </c>
      <c r="H50" s="99">
        <f>G50+'15'!H50</f>
        <v>-16070.399999999994</v>
      </c>
      <c r="I50" s="95"/>
      <c r="J50" s="175">
        <f>H50/DAY(B2)</f>
        <v>-1004.3999999999996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71489</v>
      </c>
      <c r="F54" s="410">
        <v>71957</v>
      </c>
      <c r="G54" s="236">
        <f t="shared" si="4"/>
        <v>468</v>
      </c>
      <c r="H54" s="99">
        <f>G54+'15'!H54</f>
        <v>-5060.5</v>
      </c>
      <c r="I54" s="95"/>
      <c r="J54" s="175">
        <f>H54/DAY(B2)</f>
        <v>-316.28125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254288</v>
      </c>
      <c r="F55" s="410">
        <v>254288</v>
      </c>
      <c r="G55" s="236">
        <f t="shared" si="4"/>
        <v>0</v>
      </c>
      <c r="H55" s="99">
        <f>G55+'15'!H55</f>
        <v>-29794.929999999993</v>
      </c>
      <c r="I55" s="95"/>
      <c r="J55" s="175">
        <f>H55/DAY(B2)</f>
        <v>-1862.1831249999996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109347</v>
      </c>
      <c r="F56" s="117">
        <v>109347</v>
      </c>
      <c r="G56" s="112">
        <f t="shared" si="4"/>
        <v>0</v>
      </c>
      <c r="H56" s="99">
        <f>G56+'15'!H56</f>
        <v>-1896.1300000000047</v>
      </c>
      <c r="I56" s="95"/>
      <c r="J56" s="175">
        <f>H56/DAY(B2)</f>
        <v>-118.50812500000029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84867</v>
      </c>
      <c r="F57" s="117">
        <v>88133</v>
      </c>
      <c r="G57" s="112">
        <f t="shared" si="4"/>
        <v>3266</v>
      </c>
      <c r="H57" s="99">
        <f>G57+'15'!H57</f>
        <v>-43770.700000000012</v>
      </c>
      <c r="I57" s="95"/>
      <c r="J57" s="175">
        <f>H57/DAY(B2)</f>
        <v>-2735.6687500000007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36314</v>
      </c>
      <c r="F58" s="117">
        <v>36562</v>
      </c>
      <c r="G58" s="112">
        <f t="shared" si="4"/>
        <v>248</v>
      </c>
      <c r="H58" s="99">
        <f>G58+'15'!H58</f>
        <v>-3718.1100000000006</v>
      </c>
      <c r="I58" s="95"/>
      <c r="J58" s="175">
        <f>H58/DAY(B2)</f>
        <v>-232.38187500000004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8203</v>
      </c>
      <c r="H59" s="99">
        <f>G59+'15'!H59</f>
        <v>-153346.20000000007</v>
      </c>
      <c r="I59" s="95">
        <f>G7-G60</f>
        <v>939</v>
      </c>
      <c r="J59" s="175">
        <f>H59/DAY(B2)</f>
        <v>-9584.1375000000044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26561</v>
      </c>
      <c r="H60" s="99">
        <f>G60+'15'!H60</f>
        <v>-357915.45000000007</v>
      </c>
      <c r="I60" s="95">
        <f>G13-G60</f>
        <v>491</v>
      </c>
      <c r="J60" s="175">
        <f>H60/DAY(B2)</f>
        <v>-22369.715625000004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'15'!F62</f>
        <v>291132</v>
      </c>
      <c r="F62" s="122">
        <v>291255</v>
      </c>
      <c r="G62" s="112">
        <f t="shared" ref="G62:G63" si="5">F62-E62</f>
        <v>123</v>
      </c>
      <c r="H62" s="99">
        <f>G62+'15'!H62</f>
        <v>-1443</v>
      </c>
      <c r="I62" s="118"/>
      <c r="J62" s="175">
        <f>H62/DAY(B2)</f>
        <v>-90.1875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'15'!F63</f>
        <v>233133</v>
      </c>
      <c r="F63" s="122">
        <v>233260</v>
      </c>
      <c r="G63" s="112">
        <f t="shared" si="5"/>
        <v>127</v>
      </c>
      <c r="H63" s="99">
        <f>G63+'15'!H63</f>
        <v>-1806</v>
      </c>
      <c r="I63" s="118"/>
      <c r="J63" s="175">
        <f>H63/DAY(B2)</f>
        <v>-112.875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v>0</v>
      </c>
      <c r="F64" s="122"/>
      <c r="G64" s="112">
        <f>G62+G63</f>
        <v>250</v>
      </c>
      <c r="H64" s="99">
        <f>G64+'15'!H64</f>
        <v>-3249</v>
      </c>
      <c r="I64" s="118"/>
      <c r="J64" s="175">
        <f>H64/DAY(B2)</f>
        <v>-203.0625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'15'!F65</f>
        <v>449818</v>
      </c>
      <c r="F65" s="150">
        <v>449941</v>
      </c>
      <c r="G65" s="112">
        <f t="shared" ref="G65:G70" si="6">F65-E65</f>
        <v>123</v>
      </c>
      <c r="H65" s="99">
        <f>G65+'15'!H65</f>
        <v>-1448</v>
      </c>
      <c r="I65" s="118"/>
      <c r="J65" s="175">
        <f>H65/DAY(B2)</f>
        <v>-90.5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110733</v>
      </c>
      <c r="F66" s="122">
        <v>110755</v>
      </c>
      <c r="G66" s="112">
        <f t="shared" si="6"/>
        <v>22</v>
      </c>
      <c r="H66" s="99">
        <f>G66+'15'!H66</f>
        <v>-272</v>
      </c>
      <c r="I66" s="118"/>
      <c r="J66" s="175">
        <f>H66/DAY(B2)</f>
        <v>-17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113681</v>
      </c>
      <c r="F67" s="122">
        <v>113681</v>
      </c>
      <c r="G67" s="112">
        <f t="shared" si="6"/>
        <v>0</v>
      </c>
      <c r="H67" s="99">
        <f>G67+'15'!H67</f>
        <v>1</v>
      </c>
      <c r="I67" s="118"/>
      <c r="J67" s="175">
        <f>H67/DAY(B2)</f>
        <v>6.25E-2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162933</v>
      </c>
      <c r="F68" s="122">
        <v>162957</v>
      </c>
      <c r="G68" s="112">
        <f t="shared" si="6"/>
        <v>24</v>
      </c>
      <c r="H68" s="99">
        <f>G68+'15'!H68</f>
        <v>-569</v>
      </c>
      <c r="I68" s="118"/>
      <c r="J68" s="175">
        <f>H68/DAY(B2)</f>
        <v>-35.5625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12042</v>
      </c>
      <c r="F69" s="122">
        <v>12048</v>
      </c>
      <c r="G69" s="112">
        <f t="shared" si="6"/>
        <v>6</v>
      </c>
      <c r="H69" s="99">
        <f>G69+'15'!H69</f>
        <v>-80</v>
      </c>
      <c r="I69" s="118"/>
      <c r="J69" s="175">
        <f>H69/DAY(B2)</f>
        <v>-5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9396</v>
      </c>
      <c r="F70" s="122">
        <v>9402</v>
      </c>
      <c r="G70" s="112">
        <f t="shared" si="6"/>
        <v>6</v>
      </c>
      <c r="H70" s="99">
        <f>G70+'15'!H70</f>
        <v>-112</v>
      </c>
      <c r="I70" s="118"/>
      <c r="J70" s="175">
        <f>H70/DAY(B2)</f>
        <v>-7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181</v>
      </c>
      <c r="H71" s="99">
        <f>G71+'15'!H71</f>
        <v>-2480</v>
      </c>
      <c r="I71" s="154"/>
      <c r="J71" s="175">
        <f>H71/DAY(B2)</f>
        <v>-155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'15'!F74</f>
        <v>943332</v>
      </c>
      <c r="F74" s="117">
        <v>943643</v>
      </c>
      <c r="G74" s="112">
        <f t="shared" ref="G74:G78" si="7">F74-E74</f>
        <v>311</v>
      </c>
      <c r="H74" s="99">
        <f>G74+'15'!H74</f>
        <v>-4064.1999999999534</v>
      </c>
      <c r="I74" s="154"/>
      <c r="J74" s="175">
        <f>H74/DAY(B2)</f>
        <v>-254.01249999999709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'15'!F76</f>
        <v>185401</v>
      </c>
      <c r="F76" s="123">
        <v>185464</v>
      </c>
      <c r="G76" s="112">
        <f t="shared" si="7"/>
        <v>63</v>
      </c>
      <c r="H76" s="99">
        <f>G76+'15'!H76</f>
        <v>-1427.2999999999884</v>
      </c>
      <c r="I76" s="154"/>
      <c r="J76" s="175">
        <f>H76/DAY(B2)</f>
        <v>-89.206249999999272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'15'!F77</f>
        <v>48070</v>
      </c>
      <c r="F77" s="123">
        <v>48113</v>
      </c>
      <c r="G77" s="112">
        <f t="shared" si="7"/>
        <v>43</v>
      </c>
      <c r="H77" s="99">
        <f>G77+'15'!H77</f>
        <v>-622.80000000000291</v>
      </c>
      <c r="I77" s="154"/>
      <c r="J77" s="175">
        <f>H77/DAY(B2)</f>
        <v>-38.925000000000182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-0.3999999999996362</v>
      </c>
      <c r="I78" s="118"/>
      <c r="J78" s="175">
        <f>H78/DAY(B2)</f>
        <v>-2.4999999999977263E-2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'15'!F79</f>
        <v>0</v>
      </c>
      <c r="F79" s="123"/>
      <c r="G79" s="112">
        <f>G15-SUM(G74:G78)</f>
        <v>583</v>
      </c>
      <c r="H79" s="99">
        <f>G79+'15'!H79</f>
        <v>22497.530000000021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>
        <f>G80+'15'!H80</f>
        <v>1000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42113</v>
      </c>
      <c r="F84" s="164">
        <v>42137</v>
      </c>
      <c r="G84" s="112">
        <f t="shared" si="8"/>
        <v>24</v>
      </c>
      <c r="H84" s="99">
        <f>G84+'15'!H84</f>
        <v>-138</v>
      </c>
      <c r="I84" s="573"/>
      <c r="J84" s="175">
        <f>H84/DAY(B2)</f>
        <v>-8.625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4635</v>
      </c>
      <c r="F85" s="164">
        <v>4654</v>
      </c>
      <c r="G85" s="112">
        <f t="shared" si="8"/>
        <v>19</v>
      </c>
      <c r="H85" s="99">
        <f>G85+'15'!H85</f>
        <v>-228.01000000000022</v>
      </c>
      <c r="I85" s="573"/>
      <c r="J85" s="175">
        <f>H85/DAY(B2)</f>
        <v>-14.250625000000014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44658</v>
      </c>
      <c r="F86" s="164">
        <v>44658</v>
      </c>
      <c r="G86" s="112">
        <f t="shared" si="8"/>
        <v>0</v>
      </c>
      <c r="H86" s="99">
        <f>G86+'15'!H86</f>
        <v>-194.30000000000291</v>
      </c>
      <c r="I86" s="573"/>
      <c r="J86" s="175">
        <f>H86/DAY(B2)</f>
        <v>-12.143750000000182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35345</v>
      </c>
      <c r="F87" s="164">
        <v>35345</v>
      </c>
      <c r="G87" s="112">
        <f t="shared" si="8"/>
        <v>0</v>
      </c>
      <c r="H87" s="99">
        <f>G87+'15'!H87</f>
        <v>-13.05000000000291</v>
      </c>
      <c r="I87" s="573">
        <f>G84+G85+G86+G87</f>
        <v>43</v>
      </c>
      <c r="J87" s="175">
        <f>H87/DAY(B2)</f>
        <v>-0.8156250000001819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24276.95</v>
      </c>
      <c r="F88" s="164">
        <v>24276.95</v>
      </c>
      <c r="G88" s="112">
        <f t="shared" si="8"/>
        <v>0</v>
      </c>
      <c r="H88" s="99">
        <f>G88+'15'!H88</f>
        <v>-0.25</v>
      </c>
      <c r="I88" s="573"/>
      <c r="J88" s="175">
        <f>H88/DAY(B2)</f>
        <v>-1.5625E-2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27146</v>
      </c>
      <c r="F89" s="164">
        <v>27156.89</v>
      </c>
      <c r="G89" s="112">
        <f t="shared" si="8"/>
        <v>10.889999999999418</v>
      </c>
      <c r="H89" s="99">
        <f>G89+'15'!H89</f>
        <v>-134.52999999999884</v>
      </c>
      <c r="I89" s="573">
        <f>G88+G89</f>
        <v>10.889999999999418</v>
      </c>
      <c r="J89" s="175">
        <f>H89/DAY(B2)</f>
        <v>-8.4081249999999272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72178</v>
      </c>
      <c r="F90" s="164">
        <v>72189.16</v>
      </c>
      <c r="G90" s="112">
        <f t="shared" si="8"/>
        <v>11.160000000003492</v>
      </c>
      <c r="H90" s="99">
        <f>G90+'15'!H90</f>
        <v>-111.96999999998661</v>
      </c>
      <c r="I90" s="573">
        <f>G90</f>
        <v>11.160000000003492</v>
      </c>
      <c r="J90" s="175">
        <f>H90/DAY(B2)</f>
        <v>-6.9981249999991633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4122</v>
      </c>
      <c r="F91" s="122">
        <v>4122</v>
      </c>
      <c r="G91" s="112">
        <f t="shared" si="8"/>
        <v>0</v>
      </c>
      <c r="H91" s="99">
        <f>G91+'15'!H91</f>
        <v>-16.4399999999996</v>
      </c>
      <c r="I91" s="592"/>
      <c r="J91" s="175">
        <f>H91/DAY(B2)</f>
        <v>-1.027499999999975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6380</v>
      </c>
      <c r="F92" s="122">
        <v>6390.61</v>
      </c>
      <c r="G92" s="112">
        <f t="shared" si="8"/>
        <v>10.609999999999673</v>
      </c>
      <c r="H92" s="99">
        <f>G92+'15'!H92</f>
        <v>-124.73000000000047</v>
      </c>
      <c r="I92" s="598">
        <f>G91+G92</f>
        <v>10.609999999999673</v>
      </c>
      <c r="J92" s="175">
        <f>H92/DAY(B2)</f>
        <v>-7.7956250000000296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6626</v>
      </c>
      <c r="H94" s="99">
        <f>G94+'15'!H94</f>
        <v>-96806.5</v>
      </c>
      <c r="I94" s="118"/>
      <c r="J94" s="175">
        <f>H94/DAY(B2)</f>
        <v>-6050.40625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51"/>
      <c r="G95" s="166">
        <f>G94/G7</f>
        <v>0.24094545454545455</v>
      </c>
      <c r="H95" s="99">
        <f>G95+'15'!H95</f>
        <v>-3.4332899082612438</v>
      </c>
      <c r="I95" s="167"/>
      <c r="J95" s="175">
        <f>H95/DAY(B2)</f>
        <v>-0.21458061926632774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10363</v>
      </c>
      <c r="H96" s="99">
        <f>G96+'15'!H96</f>
        <v>-120485.01000000007</v>
      </c>
      <c r="I96" s="118"/>
      <c r="J96" s="175">
        <f>H96/DAY(B2)</f>
        <v>-7530.3131250000042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0.37683636363636364</v>
      </c>
      <c r="H97" s="99">
        <f>G97+'15'!H97</f>
        <v>-4.3034509730908663</v>
      </c>
      <c r="I97" s="167"/>
      <c r="J97" s="175">
        <f>H97/DAY(B2)</f>
        <v>-0.26896568581817915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3099</v>
      </c>
      <c r="H98" s="99">
        <f>G98+'15'!H98</f>
        <v>-42594.590000000026</v>
      </c>
      <c r="I98" s="168"/>
      <c r="J98" s="175">
        <f>H98/DAY(B2)</f>
        <v>-2662.1618750000016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0.11269090909090909</v>
      </c>
      <c r="H99" s="99">
        <f>G99+'15'!H99</f>
        <v>-1.5111000626360216</v>
      </c>
      <c r="I99" s="168"/>
      <c r="J99" s="175">
        <f>H99/DAY(B2)</f>
        <v>-9.4443753914751349E-2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2366</v>
      </c>
      <c r="H100" s="99">
        <f>G100+'15'!H100</f>
        <v>-31542.349999999969</v>
      </c>
      <c r="I100" s="118"/>
      <c r="J100" s="175">
        <f>H100/DAY(B2)</f>
        <v>-1971.3968749999981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8.6036363636363633E-2</v>
      </c>
      <c r="H101" s="99">
        <f>G101+'15'!H101</f>
        <v>-1.1181575622358004</v>
      </c>
      <c r="I101" s="168"/>
      <c r="J101" s="175">
        <f>H101/DAY(B2)</f>
        <v>-6.9884847639737527E-2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1495</v>
      </c>
      <c r="H102" s="99">
        <f>G102+'15'!H102</f>
        <v>-28660.630000000005</v>
      </c>
      <c r="I102" s="168"/>
      <c r="J102" s="175">
        <f>H102/DAY(B2)</f>
        <v>-1791.2893750000003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5.4363636363636364E-2</v>
      </c>
      <c r="H103" s="99">
        <f>G103+'15'!H103</f>
        <v>-1.0200358761210548</v>
      </c>
      <c r="I103" s="118"/>
      <c r="J103" s="175">
        <f>H103/DAY(B2)</f>
        <v>-6.3752242257565928E-2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1666</v>
      </c>
      <c r="H104" s="99">
        <f>G104+'15'!H104</f>
        <v>-23084.669999999991</v>
      </c>
      <c r="I104" s="118"/>
      <c r="J104" s="175">
        <f>H104/DAY(B2)</f>
        <v>-1442.7918749999994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6.0581818181818181E-2</v>
      </c>
      <c r="H105" s="99">
        <f>G105+'15'!H105</f>
        <v>-0.81865073435387203</v>
      </c>
      <c r="I105" s="187"/>
      <c r="J105" s="188">
        <f>H105/DAY(B2)</f>
        <v>-5.1165670897117002E-2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5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'15'!F112</f>
        <v>3814</v>
      </c>
      <c r="F112" s="237">
        <v>3894</v>
      </c>
      <c r="G112" s="112">
        <f t="shared" ref="G112:G123" si="9">F112-E112</f>
        <v>80</v>
      </c>
      <c r="H112" s="99">
        <f>G112+'15'!H112</f>
        <v>-1035.7399999999998</v>
      </c>
      <c r="I112" s="165"/>
      <c r="J112" s="328">
        <f>H112/DAY(B2)</f>
        <v>-64.733749999999986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'15'!F113</f>
        <v>8513</v>
      </c>
      <c r="F113" s="237">
        <v>8653</v>
      </c>
      <c r="G113" s="112">
        <f t="shared" si="9"/>
        <v>140</v>
      </c>
      <c r="H113" s="99">
        <f>G113+'15'!H113</f>
        <v>-1979.7199999999993</v>
      </c>
      <c r="I113" s="165"/>
      <c r="J113" s="328">
        <f>H113/DAY(B2)</f>
        <v>-123.73249999999996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'15'!F114</f>
        <v>10855</v>
      </c>
      <c r="F114" s="417">
        <v>11075</v>
      </c>
      <c r="G114" s="112">
        <f t="shared" si="9"/>
        <v>220</v>
      </c>
      <c r="H114" s="99">
        <f>G114+'15'!H114</f>
        <v>-3118.7999999999993</v>
      </c>
      <c r="I114" s="165"/>
      <c r="J114" s="328">
        <f>H114/DAY(B2)</f>
        <v>-194.92499999999995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237">
        <v>6931</v>
      </c>
      <c r="F115" s="468">
        <v>7070</v>
      </c>
      <c r="G115" s="236">
        <f t="shared" si="9"/>
        <v>139</v>
      </c>
      <c r="H115" s="99">
        <f>G115+'15'!H115</f>
        <v>-1950.7800000000007</v>
      </c>
      <c r="I115" s="165"/>
      <c r="J115" s="328">
        <f>H115/DAY(B2)</f>
        <v>-121.92375000000004</v>
      </c>
      <c r="N115" s="470" t="s">
        <v>363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'15'!F116</f>
        <v>52763</v>
      </c>
      <c r="F116" s="237">
        <v>53158</v>
      </c>
      <c r="G116" s="112">
        <f t="shared" si="9"/>
        <v>395</v>
      </c>
      <c r="H116" s="99">
        <f>G116+'15'!H116</f>
        <v>-5732.5500000000029</v>
      </c>
      <c r="I116" s="165"/>
      <c r="J116" s="328">
        <f>H116/DAY(B2)</f>
        <v>-358.28437500000018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'15'!F117</f>
        <v>28622</v>
      </c>
      <c r="F117" s="237">
        <v>28842</v>
      </c>
      <c r="G117" s="112">
        <f t="shared" si="9"/>
        <v>220</v>
      </c>
      <c r="H117" s="99">
        <f>G117+'15'!H117</f>
        <v>-4046.4800000000032</v>
      </c>
      <c r="I117" s="165"/>
      <c r="J117" s="328">
        <f>H117/DAY(B2)</f>
        <v>-252.9050000000002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'15'!F118</f>
        <v>35120</v>
      </c>
      <c r="F118" s="237">
        <v>35787</v>
      </c>
      <c r="G118" s="112">
        <f t="shared" si="9"/>
        <v>667</v>
      </c>
      <c r="H118" s="99">
        <f>G118+'15'!H118</f>
        <v>-9133.3099999999977</v>
      </c>
      <c r="I118" s="165"/>
      <c r="J118" s="328">
        <f>H118/DAY(B2)</f>
        <v>-570.83187499999985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'15'!F119</f>
        <v>25404</v>
      </c>
      <c r="F119" s="468">
        <v>25839</v>
      </c>
      <c r="G119" s="112">
        <f t="shared" si="9"/>
        <v>435</v>
      </c>
      <c r="H119" s="99">
        <f>G119+'15'!H119</f>
        <v>-4503.5999999999985</v>
      </c>
      <c r="I119" s="165"/>
      <c r="J119" s="328">
        <f>H119/DAY(B2)</f>
        <v>-281.47499999999991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'15'!F120</f>
        <v>26619</v>
      </c>
      <c r="F120" s="237">
        <v>27050</v>
      </c>
      <c r="G120" s="112">
        <f t="shared" si="9"/>
        <v>431</v>
      </c>
      <c r="H120" s="99">
        <f>G120+'15'!H120</f>
        <v>-6055.5599999999977</v>
      </c>
      <c r="I120" s="165"/>
      <c r="J120" s="328">
        <f>H120/DAY(B2)</f>
        <v>-378.47249999999985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'15'!F121</f>
        <v>32825</v>
      </c>
      <c r="F121" s="237">
        <v>33273</v>
      </c>
      <c r="G121" s="112">
        <f t="shared" si="9"/>
        <v>448</v>
      </c>
      <c r="H121" s="99">
        <f>G121+'15'!H121</f>
        <v>-6314.9000000000015</v>
      </c>
      <c r="I121" s="165"/>
      <c r="J121" s="328">
        <f>H121/DAY(B2)</f>
        <v>-394.68125000000009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'15'!F122</f>
        <v>15747</v>
      </c>
      <c r="F122" s="237">
        <v>16049</v>
      </c>
      <c r="G122" s="112">
        <f t="shared" si="9"/>
        <v>302</v>
      </c>
      <c r="H122" s="99">
        <f>G122+'15'!H122</f>
        <v>-3916.880000000001</v>
      </c>
      <c r="I122" s="165"/>
      <c r="J122" s="328">
        <f>H122/DAY(B2)</f>
        <v>-244.80500000000006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'15'!F123</f>
        <v>15635</v>
      </c>
      <c r="F123" s="237">
        <v>15959</v>
      </c>
      <c r="G123" s="112">
        <f t="shared" si="9"/>
        <v>324</v>
      </c>
      <c r="H123" s="99">
        <f>G123+'15'!H123</f>
        <v>-4383</v>
      </c>
      <c r="I123" s="165"/>
      <c r="J123" s="328">
        <f>H123/DAY(B2)</f>
        <v>-273.9375</v>
      </c>
    </row>
    <row r="124" spans="1:18" ht="29.25" customHeight="1">
      <c r="A124" s="929"/>
      <c r="B124" s="930"/>
      <c r="C124" s="931"/>
      <c r="D124" s="165"/>
      <c r="E124" s="165"/>
      <c r="F124" s="15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3801</v>
      </c>
      <c r="H125" s="156"/>
      <c r="I125" s="327">
        <f>G125-(G39+G53)</f>
        <v>702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'15'!F128</f>
        <v>103585</v>
      </c>
      <c r="F128" s="155">
        <v>104139</v>
      </c>
      <c r="G128" s="112">
        <f t="shared" ref="G128:G134" si="10">F128-E128</f>
        <v>554</v>
      </c>
      <c r="H128" s="99">
        <f>G128+'15'!H128</f>
        <v>-7736.8600000000006</v>
      </c>
      <c r="I128" s="165"/>
      <c r="J128" s="328">
        <f>H128/DAY(B2)</f>
        <v>-483.55375000000004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63895</v>
      </c>
      <c r="F129" s="155">
        <v>64114</v>
      </c>
      <c r="G129" s="112">
        <f t="shared" si="10"/>
        <v>219</v>
      </c>
      <c r="H129" s="99">
        <f>G129+'15'!H129</f>
        <v>-2587.7799999999988</v>
      </c>
      <c r="I129" s="165"/>
      <c r="J129" s="328">
        <f>H129/DAY(B2)</f>
        <v>-161.73624999999993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130669</v>
      </c>
      <c r="F130" s="157">
        <v>131296</v>
      </c>
      <c r="G130" s="112">
        <f t="shared" si="10"/>
        <v>627</v>
      </c>
      <c r="H130" s="99">
        <f>G130+'15'!H130</f>
        <v>-11001.919999999984</v>
      </c>
      <c r="I130" s="165"/>
      <c r="J130" s="328">
        <f>H130/DAY(B2)</f>
        <v>-687.61999999999898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'15'!F131</f>
        <v>39371</v>
      </c>
      <c r="F131" s="155">
        <v>39600</v>
      </c>
      <c r="G131" s="112">
        <f t="shared" si="10"/>
        <v>229</v>
      </c>
      <c r="H131" s="99">
        <f>G131+'15'!H131</f>
        <v>-3018.1999999999971</v>
      </c>
      <c r="I131" s="165"/>
      <c r="J131" s="328">
        <f>H131/DAY(B2)</f>
        <v>-188.63749999999982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'15'!F132</f>
        <v>109524</v>
      </c>
      <c r="F132" s="155">
        <v>109834</v>
      </c>
      <c r="G132" s="112">
        <f t="shared" si="10"/>
        <v>310</v>
      </c>
      <c r="H132" s="99">
        <f>G132+'15'!H132</f>
        <v>-6457</v>
      </c>
      <c r="I132" s="165"/>
      <c r="J132" s="328">
        <f>H132/DAY(B2)</f>
        <v>-403.5625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'15'!F133</f>
        <v>213904</v>
      </c>
      <c r="F133" s="155">
        <v>214526</v>
      </c>
      <c r="G133" s="112">
        <f t="shared" si="10"/>
        <v>622</v>
      </c>
      <c r="H133" s="99">
        <f>G133+'15'!H133</f>
        <v>-1284.570000000007</v>
      </c>
      <c r="I133" s="165"/>
      <c r="J133" s="328">
        <f>H133/DAY(B2)</f>
        <v>-80.285625000000437</v>
      </c>
    </row>
    <row r="134" spans="1:15" s="409" customFormat="1" ht="25.5">
      <c r="A134" s="964" t="s">
        <v>340</v>
      </c>
      <c r="B134" s="965"/>
      <c r="C134" s="966"/>
      <c r="D134" s="233" t="s">
        <v>183</v>
      </c>
      <c r="E134" s="406">
        <f>'15'!F134</f>
        <v>38577</v>
      </c>
      <c r="F134" s="157">
        <v>38766</v>
      </c>
      <c r="G134" s="236">
        <f t="shared" si="10"/>
        <v>189</v>
      </c>
      <c r="H134" s="238">
        <f>G134+'15'!H134</f>
        <v>-2979</v>
      </c>
      <c r="I134" s="158"/>
      <c r="J134" s="408">
        <f>H134/DAY(B2)</f>
        <v>-186.1875</v>
      </c>
    </row>
    <row r="135" spans="1:15" ht="25.5">
      <c r="A135" s="932" t="s">
        <v>196</v>
      </c>
      <c r="B135" s="933"/>
      <c r="C135" s="331"/>
      <c r="D135" s="151"/>
      <c r="E135" s="95"/>
      <c r="F135" s="155"/>
      <c r="G135" s="112">
        <f>SUM(G128:G134)</f>
        <v>2750</v>
      </c>
      <c r="H135" s="99">
        <f>G135+'10'!H135</f>
        <v>30314.699999999997</v>
      </c>
      <c r="I135" s="327">
        <f>G135-(G35+G49)</f>
        <v>-610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67" t="s">
        <v>185</v>
      </c>
      <c r="B138" s="967"/>
      <c r="C138" s="967"/>
      <c r="D138" s="233" t="s">
        <v>183</v>
      </c>
      <c r="E138" s="406">
        <f>'15'!F138</f>
        <v>885283</v>
      </c>
      <c r="F138" s="148">
        <v>885429</v>
      </c>
      <c r="G138" s="236">
        <f t="shared" ref="G138:G152" si="11">F138-E138</f>
        <v>146</v>
      </c>
      <c r="H138" s="238">
        <f>G138+'15'!H138</f>
        <v>-1795</v>
      </c>
      <c r="I138" s="407"/>
      <c r="J138" s="408">
        <f>H138/DAY(B2)</f>
        <v>-112.1875</v>
      </c>
    </row>
    <row r="139" spans="1:15" ht="25.5">
      <c r="A139" s="899" t="s">
        <v>186</v>
      </c>
      <c r="B139" s="899"/>
      <c r="C139" s="899"/>
      <c r="D139" s="151" t="s">
        <v>183</v>
      </c>
      <c r="E139" s="120">
        <f>'15'!F139</f>
        <v>901721</v>
      </c>
      <c r="F139" s="147">
        <v>901845</v>
      </c>
      <c r="G139" s="112">
        <f t="shared" si="11"/>
        <v>124</v>
      </c>
      <c r="H139" s="99">
        <f>G139+'15'!H139</f>
        <v>-2245</v>
      </c>
      <c r="I139" s="118"/>
      <c r="J139" s="328">
        <f>H139/DAY(B2)</f>
        <v>-140.3125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'15'!F140</f>
        <v>823</v>
      </c>
      <c r="F140" s="149">
        <v>840</v>
      </c>
      <c r="G140" s="112">
        <f t="shared" si="11"/>
        <v>17</v>
      </c>
      <c r="H140" s="99">
        <f>G140+'15'!H140</f>
        <v>-88165.650000000009</v>
      </c>
      <c r="I140" s="118"/>
      <c r="J140" s="328">
        <f>H140/DAY(B2)</f>
        <v>-5510.3531250000005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'15'!F141</f>
        <v>81012</v>
      </c>
      <c r="F141" s="149">
        <v>81218</v>
      </c>
      <c r="G141" s="112">
        <f t="shared" si="11"/>
        <v>206</v>
      </c>
      <c r="H141" s="99">
        <f>G141+'15'!H141</f>
        <v>-2897.1999999999971</v>
      </c>
      <c r="I141" s="118"/>
      <c r="J141" s="328">
        <f>H141/DAY(B2)</f>
        <v>-181.07499999999982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'15'!F142</f>
        <v>32816</v>
      </c>
      <c r="F142" s="148">
        <v>32965</v>
      </c>
      <c r="G142" s="112">
        <f t="shared" si="11"/>
        <v>149</v>
      </c>
      <c r="H142" s="99">
        <f>G142+'15'!H142</f>
        <v>-1420.4700000000012</v>
      </c>
      <c r="I142" s="140"/>
      <c r="J142" s="328">
        <f>H142/DAY(B2)</f>
        <v>-88.779375000000073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'15'!F143</f>
        <v>7730</v>
      </c>
      <c r="F143" s="149">
        <v>7758</v>
      </c>
      <c r="G143" s="112">
        <f t="shared" si="11"/>
        <v>28</v>
      </c>
      <c r="H143" s="99">
        <f>G143+'15'!H143</f>
        <v>-400.31999999999971</v>
      </c>
      <c r="I143" s="140"/>
      <c r="J143" s="328">
        <f>H143/DAY(B2)</f>
        <v>-25.019999999999982</v>
      </c>
    </row>
    <row r="144" spans="1:15" ht="25.5">
      <c r="A144" s="903" t="s">
        <v>90</v>
      </c>
      <c r="B144" s="903"/>
      <c r="C144" s="903"/>
      <c r="D144" s="151" t="s">
        <v>183</v>
      </c>
      <c r="E144" s="120">
        <f>'15'!F144</f>
        <v>908686</v>
      </c>
      <c r="F144" s="147">
        <v>908923</v>
      </c>
      <c r="G144" s="112">
        <f t="shared" si="11"/>
        <v>237</v>
      </c>
      <c r="H144" s="99">
        <f>G144+'15'!H144</f>
        <v>-3354</v>
      </c>
      <c r="I144" s="140"/>
      <c r="J144" s="328">
        <f>H144/DAY(B2)</f>
        <v>-209.625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'15'!F145</f>
        <v>5665</v>
      </c>
      <c r="F145" s="148">
        <v>5665</v>
      </c>
      <c r="G145" s="112">
        <f t="shared" si="11"/>
        <v>0</v>
      </c>
      <c r="H145" s="99">
        <f>G145+'15'!H145</f>
        <v>-1.5600000000004002</v>
      </c>
      <c r="I145" s="140"/>
      <c r="J145" s="328">
        <f>H145/DAY(B2)</f>
        <v>-9.7500000000025011E-2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'15'!F146</f>
        <v>778633</v>
      </c>
      <c r="F146" s="148">
        <v>778678</v>
      </c>
      <c r="G146" s="112">
        <f t="shared" si="11"/>
        <v>45</v>
      </c>
      <c r="H146" s="99">
        <f>G146+'15'!H146</f>
        <v>-650</v>
      </c>
      <c r="I146" s="140"/>
      <c r="J146" s="328">
        <f>H146/DAY(B2)</f>
        <v>-40.625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'15'!F147</f>
        <v>681681</v>
      </c>
      <c r="F147" s="148">
        <v>682047</v>
      </c>
      <c r="G147" s="112">
        <f t="shared" si="11"/>
        <v>366</v>
      </c>
      <c r="H147" s="99">
        <f>G147+'15'!H147</f>
        <v>-5479.1600000000326</v>
      </c>
      <c r="I147" s="140"/>
      <c r="J147" s="328">
        <f>H147/DAY(B2)</f>
        <v>-342.44750000000204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'15'!F148</f>
        <v>734006</v>
      </c>
      <c r="F148" s="164">
        <v>734246</v>
      </c>
      <c r="G148" s="112">
        <f t="shared" si="11"/>
        <v>240</v>
      </c>
      <c r="H148" s="99">
        <f>G148+'15'!H148</f>
        <v>-4701.2800000000279</v>
      </c>
      <c r="I148" s="124"/>
      <c r="J148" s="328">
        <f>H148/DAY(B2)</f>
        <v>-293.83000000000175</v>
      </c>
    </row>
    <row r="149" spans="1:10" ht="25.5">
      <c r="A149" s="895" t="s">
        <v>336</v>
      </c>
      <c r="B149" s="896"/>
      <c r="C149" s="897"/>
      <c r="D149" s="227" t="s">
        <v>130</v>
      </c>
      <c r="E149" s="120">
        <f>'15'!F149</f>
        <v>109395</v>
      </c>
      <c r="F149" s="152">
        <v>109863</v>
      </c>
      <c r="G149" s="112">
        <f t="shared" si="11"/>
        <v>468</v>
      </c>
      <c r="H149" s="99">
        <f>G149+'15'!H149</f>
        <v>-6669.8000000000029</v>
      </c>
      <c r="I149" s="119"/>
      <c r="J149" s="328">
        <f>H149/DAY(B2)</f>
        <v>-416.86250000000018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'15'!F150</f>
        <v>40483</v>
      </c>
      <c r="F150" s="233">
        <v>40695</v>
      </c>
      <c r="G150" s="112">
        <f t="shared" si="11"/>
        <v>212</v>
      </c>
      <c r="H150" s="99">
        <f>G150+'15'!H150</f>
        <v>-3030.1600000000035</v>
      </c>
      <c r="I150" s="119"/>
      <c r="J150" s="328">
        <f>H150/DAY(B2)</f>
        <v>-189.38500000000022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'15'!F151</f>
        <v>122477</v>
      </c>
      <c r="F151" s="233">
        <v>122749</v>
      </c>
      <c r="G151" s="112">
        <f t="shared" si="11"/>
        <v>272</v>
      </c>
      <c r="H151" s="99">
        <f>G151+'15'!H151</f>
        <v>-3854</v>
      </c>
      <c r="I151" s="119"/>
      <c r="J151" s="328">
        <f>H151/DAY(B2)</f>
        <v>-240.875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'15'!F152</f>
        <v>17365</v>
      </c>
      <c r="F152" s="233">
        <v>17492</v>
      </c>
      <c r="G152" s="112">
        <f t="shared" si="11"/>
        <v>127</v>
      </c>
      <c r="H152" s="99">
        <f>G152+'15'!H152</f>
        <v>-1796.0800000000017</v>
      </c>
      <c r="I152" s="119"/>
      <c r="J152" s="328">
        <f>H152/DAY(B2)</f>
        <v>-112.25500000000011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2637</v>
      </c>
      <c r="H153" s="363"/>
      <c r="I153" s="119">
        <f>G153-(G38+G52)</f>
        <v>271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406">
        <f>'15'!F155</f>
        <v>121255</v>
      </c>
      <c r="F155" s="756">
        <v>121856</v>
      </c>
      <c r="G155" s="236">
        <f>F155-E155</f>
        <v>601</v>
      </c>
      <c r="H155" s="99">
        <f>G155+'15'!H155</f>
        <v>-8385.3800000000047</v>
      </c>
      <c r="I155" s="364"/>
      <c r="J155" s="328">
        <f>H155/DAY(B2)</f>
        <v>-524.08625000000029</v>
      </c>
    </row>
    <row r="156" spans="1:10" ht="25.5">
      <c r="A156" s="903" t="s">
        <v>347</v>
      </c>
      <c r="B156" s="903"/>
      <c r="C156" s="903"/>
      <c r="D156" s="117" t="s">
        <v>130</v>
      </c>
      <c r="E156" s="406">
        <f>'15'!F156</f>
        <v>10842</v>
      </c>
      <c r="F156" s="157">
        <v>10922</v>
      </c>
      <c r="G156" s="236">
        <f t="shared" ref="G156:G158" si="12">F156-E156</f>
        <v>80</v>
      </c>
      <c r="H156" s="99">
        <f>G156+'15'!H156</f>
        <v>-1171.3600000000006</v>
      </c>
      <c r="I156" s="165"/>
      <c r="J156" s="328">
        <f>H156/DAY(B2)</f>
        <v>-73.210000000000036</v>
      </c>
    </row>
    <row r="157" spans="1:10" ht="25.5">
      <c r="A157" s="895" t="s">
        <v>360</v>
      </c>
      <c r="B157" s="896"/>
      <c r="C157" s="897"/>
      <c r="D157" s="117" t="s">
        <v>130</v>
      </c>
      <c r="E157" s="406">
        <f>'15'!F157</f>
        <v>20672</v>
      </c>
      <c r="F157" s="157">
        <v>20853</v>
      </c>
      <c r="G157" s="236">
        <f t="shared" si="12"/>
        <v>181</v>
      </c>
      <c r="H157" s="99">
        <f>G157+'15'!H157</f>
        <v>-2343.7000000000007</v>
      </c>
      <c r="I157" s="165"/>
      <c r="J157" s="328">
        <f>H157/DAY(B2)</f>
        <v>-146.48125000000005</v>
      </c>
    </row>
    <row r="158" spans="1:10" ht="25.5">
      <c r="A158" s="895" t="s">
        <v>361</v>
      </c>
      <c r="B158" s="896"/>
      <c r="C158" s="897"/>
      <c r="D158" s="117" t="s">
        <v>130</v>
      </c>
      <c r="E158" s="406">
        <f>'15'!F158</f>
        <v>189</v>
      </c>
      <c r="F158" s="157">
        <v>189</v>
      </c>
      <c r="G158" s="236">
        <f t="shared" si="12"/>
        <v>0</v>
      </c>
      <c r="H158" s="99">
        <f>G158+'15'!H158</f>
        <v>101.30999999999997</v>
      </c>
      <c r="I158" s="165"/>
      <c r="J158" s="328">
        <f>H158/DAY(B2)</f>
        <v>6.3318749999999984</v>
      </c>
    </row>
    <row r="159" spans="1:10" ht="25.5">
      <c r="A159" s="954"/>
      <c r="B159" s="955"/>
      <c r="C159" s="956"/>
      <c r="D159" s="117"/>
      <c r="E159" s="95"/>
      <c r="F159" s="155"/>
      <c r="G159" s="362">
        <f>SUM(G155:G158)</f>
        <v>862</v>
      </c>
      <c r="H159" s="99">
        <f>G159+'15'!H159</f>
        <v>862</v>
      </c>
      <c r="I159" s="165"/>
      <c r="J159" s="328">
        <f>H159/DAY(B2)</f>
        <v>53.875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476645</v>
      </c>
      <c r="F161" s="235">
        <v>476651</v>
      </c>
      <c r="G161" s="238">
        <f t="shared" ref="G161:G165" si="13">F161-E161</f>
        <v>6</v>
      </c>
      <c r="H161" s="99">
        <f>G161+'15'!H161</f>
        <v>-1012</v>
      </c>
      <c r="I161" s="236"/>
      <c r="J161" s="239">
        <f>H161/DAY(B2)</f>
        <v>-63.25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93236</v>
      </c>
      <c r="F162" s="235">
        <v>93277</v>
      </c>
      <c r="G162" s="238">
        <f t="shared" si="13"/>
        <v>41</v>
      </c>
      <c r="H162" s="99">
        <f>G162+'15'!H162</f>
        <v>-528.30000000000291</v>
      </c>
      <c r="I162" s="236"/>
      <c r="J162" s="239">
        <f>H162/DAY(B2)</f>
        <v>-33.018750000000182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99552</v>
      </c>
      <c r="F163" s="235">
        <v>99737</v>
      </c>
      <c r="G163" s="238">
        <f t="shared" si="13"/>
        <v>185</v>
      </c>
      <c r="H163" s="99">
        <f>G163+'15'!H163</f>
        <v>97710.900000000009</v>
      </c>
      <c r="I163" s="236"/>
      <c r="J163" s="239">
        <f>H163/DAY(B2)</f>
        <v>6106.9312500000005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5713</v>
      </c>
      <c r="F164" s="235">
        <v>5725</v>
      </c>
      <c r="G164" s="238">
        <f t="shared" si="13"/>
        <v>12</v>
      </c>
      <c r="H164" s="99">
        <f>G164+'15'!H164</f>
        <v>-173.39999999999964</v>
      </c>
      <c r="I164" s="236"/>
      <c r="J164" s="239">
        <f>H164/DAY(B2)</f>
        <v>-10.837499999999977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31186</v>
      </c>
      <c r="F165" s="235">
        <v>31196</v>
      </c>
      <c r="G165" s="238">
        <f t="shared" si="13"/>
        <v>10</v>
      </c>
      <c r="H165" s="99">
        <f>G165+'15'!H165</f>
        <v>-150.65000000000146</v>
      </c>
      <c r="I165" s="236"/>
      <c r="J165" s="239">
        <f>H165/DAY(B2)</f>
        <v>-9.4156250000000909</v>
      </c>
    </row>
    <row r="166" spans="1:10" ht="26.25">
      <c r="A166" s="935"/>
      <c r="B166" s="935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'15'!F173</f>
        <v>8276</v>
      </c>
      <c r="F173" s="155">
        <v>8276</v>
      </c>
      <c r="G173" s="155">
        <f>F173-E173</f>
        <v>0</v>
      </c>
      <c r="H173" s="99">
        <f>G173+'15'!H173</f>
        <v>47</v>
      </c>
      <c r="I173" s="155"/>
      <c r="J173" s="178">
        <f>H173/DAY(B2)</f>
        <v>2.9375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'15'!F174</f>
        <v>40552</v>
      </c>
      <c r="F174" s="157">
        <v>40569</v>
      </c>
      <c r="G174" s="155">
        <f t="shared" ref="G174:G175" si="14">F174-E174</f>
        <v>17</v>
      </c>
      <c r="H174" s="99">
        <f>G174+'15'!H174</f>
        <v>-210</v>
      </c>
      <c r="I174" s="155"/>
      <c r="J174" s="178">
        <f>H174/DAY(B2)</f>
        <v>-13.125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'15'!F175</f>
        <v>23474</v>
      </c>
      <c r="F175" s="155">
        <v>23489</v>
      </c>
      <c r="G175" s="155">
        <f t="shared" si="14"/>
        <v>15</v>
      </c>
      <c r="H175" s="99">
        <f>G175+'15'!H175</f>
        <v>-167</v>
      </c>
      <c r="I175" s="155"/>
      <c r="J175" s="178">
        <f>H175/DAY(B2)</f>
        <v>-10.4375</v>
      </c>
    </row>
    <row r="176" spans="1:10" ht="25.5">
      <c r="A176" s="932" t="s">
        <v>196</v>
      </c>
      <c r="B176" s="933"/>
      <c r="C176" s="333"/>
      <c r="D176" s="228" t="s">
        <v>142</v>
      </c>
      <c r="E176" s="95">
        <f>'15'!F176</f>
        <v>0</v>
      </c>
      <c r="F176" s="155"/>
      <c r="G176" s="155">
        <f>SUM(G173:G175)</f>
        <v>32</v>
      </c>
      <c r="H176" s="99">
        <f>G176+'15'!H176</f>
        <v>-330</v>
      </c>
      <c r="I176" s="155"/>
      <c r="J176" s="178">
        <f>H176/DAY(B2)</f>
        <v>-20.625</v>
      </c>
    </row>
    <row r="177" spans="1:11" ht="25.5">
      <c r="A177" s="893" t="s">
        <v>77</v>
      </c>
      <c r="B177" s="894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93" t="s">
        <v>210</v>
      </c>
      <c r="B178" s="894"/>
      <c r="C178" s="333"/>
      <c r="D178" s="228" t="s">
        <v>142</v>
      </c>
      <c r="E178" s="95">
        <f>'15'!F178</f>
        <v>93463</v>
      </c>
      <c r="F178" s="155">
        <v>93550</v>
      </c>
      <c r="G178" s="155">
        <f>F178-E178</f>
        <v>87</v>
      </c>
      <c r="H178" s="99">
        <f>G178+'15'!H178</f>
        <v>1464</v>
      </c>
      <c r="I178" s="155"/>
      <c r="J178" s="178">
        <f>H178/DAY(B2)</f>
        <v>91.5</v>
      </c>
    </row>
    <row r="179" spans="1:11" ht="25.5">
      <c r="A179" s="893" t="s">
        <v>211</v>
      </c>
      <c r="B179" s="894"/>
      <c r="C179" s="333"/>
      <c r="D179" s="228" t="s">
        <v>142</v>
      </c>
      <c r="E179" s="95">
        <f>'15'!F179</f>
        <v>36002</v>
      </c>
      <c r="F179" s="155">
        <v>36002</v>
      </c>
      <c r="G179" s="155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893" t="s">
        <v>212</v>
      </c>
      <c r="B180" s="894"/>
      <c r="C180" s="333"/>
      <c r="D180" s="228" t="s">
        <v>142</v>
      </c>
      <c r="E180" s="95">
        <f>'15'!F180</f>
        <v>6808</v>
      </c>
      <c r="F180" s="155">
        <v>6809</v>
      </c>
      <c r="G180" s="155">
        <f t="shared" si="15"/>
        <v>1</v>
      </c>
      <c r="H180" s="99">
        <f>G180+'15'!H180</f>
        <v>-73</v>
      </c>
      <c r="I180" s="155"/>
      <c r="J180" s="178">
        <f>H180/DAY(B2)</f>
        <v>-4.5625</v>
      </c>
    </row>
    <row r="181" spans="1:11" ht="25.5">
      <c r="A181" s="939" t="s">
        <v>108</v>
      </c>
      <c r="B181" s="940"/>
      <c r="C181" s="333"/>
      <c r="D181" s="228" t="s">
        <v>142</v>
      </c>
      <c r="E181" s="95">
        <f>'15'!F181</f>
        <v>0</v>
      </c>
      <c r="F181" s="155"/>
      <c r="G181" s="155">
        <f>SUM(G178:G180)</f>
        <v>88</v>
      </c>
      <c r="H181" s="99">
        <f>G181+'15'!H181</f>
        <v>1391</v>
      </c>
      <c r="I181" s="155"/>
      <c r="J181" s="178">
        <f>H181/DAY(B2)</f>
        <v>86.9375</v>
      </c>
    </row>
    <row r="182" spans="1:11" ht="25.5">
      <c r="A182" s="893" t="s">
        <v>213</v>
      </c>
      <c r="B182" s="894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93" t="s">
        <v>214</v>
      </c>
      <c r="B183" s="894"/>
      <c r="C183" s="334"/>
      <c r="D183" s="228" t="s">
        <v>142</v>
      </c>
      <c r="E183" s="95">
        <f>'15'!F183</f>
        <v>17165</v>
      </c>
      <c r="F183" s="157">
        <v>17173</v>
      </c>
      <c r="G183" s="157">
        <f>F183-E183</f>
        <v>8</v>
      </c>
      <c r="H183" s="99">
        <f>G183+'15'!H183</f>
        <v>-102</v>
      </c>
      <c r="I183" s="155"/>
      <c r="J183" s="178">
        <f>H183/DAY(B2)</f>
        <v>-6.375</v>
      </c>
    </row>
    <row r="184" spans="1:11" ht="25.5">
      <c r="A184" s="893" t="s">
        <v>215</v>
      </c>
      <c r="B184" s="894"/>
      <c r="C184" s="334"/>
      <c r="D184" s="228" t="s">
        <v>142</v>
      </c>
      <c r="E184" s="95">
        <f>'15'!F184</f>
        <v>11592</v>
      </c>
      <c r="F184" s="157">
        <v>11597</v>
      </c>
      <c r="G184" s="157">
        <f t="shared" ref="G184:G185" si="16">F184-E184</f>
        <v>5</v>
      </c>
      <c r="H184" s="99">
        <f>G184+'15'!H184</f>
        <v>-92</v>
      </c>
      <c r="I184" s="155"/>
      <c r="J184" s="178">
        <f>H184/DAY(B2)</f>
        <v>-5.75</v>
      </c>
    </row>
    <row r="185" spans="1:11" ht="32.25" customHeight="1">
      <c r="A185" s="893" t="s">
        <v>216</v>
      </c>
      <c r="B185" s="894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932" t="s">
        <v>196</v>
      </c>
      <c r="B186" s="933"/>
      <c r="C186" s="334"/>
      <c r="D186" s="228" t="s">
        <v>142</v>
      </c>
      <c r="E186" s="95">
        <f>'15'!F186</f>
        <v>0</v>
      </c>
      <c r="F186" s="157"/>
      <c r="G186" s="157">
        <f>SUM(G183:G185)</f>
        <v>13</v>
      </c>
      <c r="H186" s="99">
        <f>G186+'15'!H186</f>
        <v>-194</v>
      </c>
      <c r="I186" s="157"/>
      <c r="J186" s="178">
        <f>H186/DAY(B2)</f>
        <v>-12.125</v>
      </c>
    </row>
    <row r="187" spans="1:11" ht="25.5">
      <c r="A187" s="943" t="s">
        <v>217</v>
      </c>
      <c r="B187" s="944"/>
      <c r="C187" s="333"/>
      <c r="D187" s="230" t="s">
        <v>142</v>
      </c>
      <c r="E187" s="95">
        <f>'15'!F187</f>
        <v>0</v>
      </c>
      <c r="F187" s="159"/>
      <c r="G187" s="159">
        <f>G62+G19</f>
        <v>173</v>
      </c>
      <c r="H187" s="99">
        <f>G187+'15'!H187</f>
        <v>-1331</v>
      </c>
      <c r="I187" s="158"/>
      <c r="J187" s="179">
        <f>H187/DAY(B2)</f>
        <v>-83.1875</v>
      </c>
    </row>
    <row r="188" spans="1:11" ht="25.5">
      <c r="A188" s="943" t="s">
        <v>218</v>
      </c>
      <c r="B188" s="944"/>
      <c r="C188" s="333"/>
      <c r="D188" s="230" t="s">
        <v>142</v>
      </c>
      <c r="E188" s="95">
        <f>'15'!F188</f>
        <v>0</v>
      </c>
      <c r="F188" s="159"/>
      <c r="G188" s="159">
        <f>G65+G66+G67+G69+G70</f>
        <v>157</v>
      </c>
      <c r="H188" s="99">
        <f>G188+'15'!H188</f>
        <v>310</v>
      </c>
      <c r="I188" s="158"/>
      <c r="J188" s="179">
        <f>H188/DAY(B2)</f>
        <v>19.375</v>
      </c>
    </row>
    <row r="189" spans="1:11" ht="23.25" customHeight="1">
      <c r="A189" s="943" t="s">
        <v>219</v>
      </c>
      <c r="B189" s="944"/>
      <c r="C189" s="333"/>
      <c r="D189" s="230" t="s">
        <v>142</v>
      </c>
      <c r="E189" s="95">
        <f>'15'!F189</f>
        <v>0</v>
      </c>
      <c r="F189" s="157"/>
      <c r="G189" s="157">
        <f>G181</f>
        <v>88</v>
      </c>
      <c r="H189" s="99">
        <f>G189+'15'!H189</f>
        <v>1391</v>
      </c>
      <c r="I189" s="158"/>
      <c r="J189" s="179">
        <f>H189/DAY(B2)</f>
        <v>86.9375</v>
      </c>
    </row>
    <row r="190" spans="1:11" ht="23.25" customHeight="1">
      <c r="A190" s="968"/>
      <c r="B190" s="969"/>
      <c r="C190" s="427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F15" sqref="F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355</v>
      </c>
      <c r="B2" s="262">
        <v>44729</v>
      </c>
      <c r="C2" s="348" t="s">
        <v>67</v>
      </c>
      <c r="D2" s="218">
        <v>0.91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3" t="s">
        <v>119</v>
      </c>
      <c r="F3" s="884"/>
      <c r="G3" s="472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2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954032.47</v>
      </c>
      <c r="F7" s="95">
        <f>E7+27500</f>
        <v>981532.47</v>
      </c>
      <c r="G7" s="475">
        <f>F7-E7</f>
        <v>27500</v>
      </c>
      <c r="H7" s="99">
        <f>G7+'16'!H7</f>
        <v>458567.97</v>
      </c>
      <c r="I7" s="113">
        <f>'1'!I7</f>
        <v>12000</v>
      </c>
      <c r="J7" s="175">
        <f>H7/DAY(B2)</f>
        <v>26974.586470588234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1097254.6499999999</v>
      </c>
      <c r="F8" s="95">
        <f>E8+27000</f>
        <v>1124254.6499999999</v>
      </c>
      <c r="G8" s="476">
        <f>F8-E8</f>
        <v>27000</v>
      </c>
      <c r="H8" s="99">
        <f>G8+'16'!H8</f>
        <v>462465.64999999991</v>
      </c>
      <c r="I8" s="116"/>
      <c r="J8" s="175">
        <f>H8/DAY(B2)</f>
        <v>27203.861764705878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500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2701061</v>
      </c>
      <c r="F9" s="469">
        <v>2720737</v>
      </c>
      <c r="G9" s="475">
        <f>F9-E9</f>
        <v>19676</v>
      </c>
      <c r="H9" s="99">
        <f>G9+'16'!H9</f>
        <v>-196912.10000000009</v>
      </c>
      <c r="I9" s="124">
        <f>I7-J7</f>
        <v>-14974.586470588234</v>
      </c>
      <c r="J9" s="175">
        <f>H9/DAY(B2)</f>
        <v>-11583.064705882358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1077206</v>
      </c>
      <c r="F10" s="353">
        <v>1085546</v>
      </c>
      <c r="G10" s="475">
        <f t="shared" ref="G10:G12" si="0">F10-E10</f>
        <v>8340</v>
      </c>
      <c r="H10" s="99">
        <f>G10+'16'!H10</f>
        <v>-150140.62999999989</v>
      </c>
      <c r="I10" s="282"/>
      <c r="J10" s="175">
        <f>H10/DAY(B2)</f>
        <v>-8831.801764705875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5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5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7">
        <f>G9+G10+G11+G12</f>
        <v>28016</v>
      </c>
      <c r="H13" s="99">
        <f>G13+'16'!H13</f>
        <v>-345323.79999999981</v>
      </c>
      <c r="I13" s="120">
        <f>G7-G13</f>
        <v>-516</v>
      </c>
      <c r="J13" s="175">
        <f>H13/DAY(B2)</f>
        <v>-20313.164705882344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'16'!F15</f>
        <v>2084461.24</v>
      </c>
      <c r="F15" s="469">
        <f>E15+1000</f>
        <v>2085461.24</v>
      </c>
      <c r="G15" s="475">
        <f>(F15-E15)</f>
        <v>1000</v>
      </c>
      <c r="H15" s="99">
        <f>G15+'16'!H15</f>
        <v>17382.830000000075</v>
      </c>
      <c r="I15" s="113">
        <f>'1'!I15</f>
        <v>800</v>
      </c>
      <c r="J15" s="175">
        <f>H15/DAY(B2)</f>
        <v>1022.5194117647103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5"/>
      <c r="H16" s="124"/>
      <c r="I16" s="120">
        <f>I15-J15</f>
        <v>-222.5194117647103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'16'!F18</f>
        <v>18</v>
      </c>
      <c r="F18" s="122">
        <v>23</v>
      </c>
      <c r="G18" s="477">
        <f>F18*10</f>
        <v>230</v>
      </c>
      <c r="H18" s="99">
        <f>G18+'16'!H18</f>
        <v>3190</v>
      </c>
      <c r="I18" s="113">
        <f>'1'!I18</f>
        <v>65</v>
      </c>
      <c r="J18" s="175">
        <f>H18/DAY(B2)</f>
        <v>187.64705882352942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'16'!F19</f>
        <v>160935</v>
      </c>
      <c r="F19" s="122">
        <v>160988</v>
      </c>
      <c r="G19" s="475">
        <f t="shared" ref="G19" si="1">F19-E19</f>
        <v>53</v>
      </c>
      <c r="H19" s="99">
        <f>G19+'16'!H19</f>
        <v>165</v>
      </c>
      <c r="I19" s="335"/>
      <c r="J19" s="175">
        <f>H19/DAY(B2)</f>
        <v>9.7058823529411757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9">
        <f>G18+G19</f>
        <v>283</v>
      </c>
      <c r="H20" s="99">
        <f>G20+'16'!H20</f>
        <v>3355</v>
      </c>
      <c r="I20" s="336">
        <f>I18-J20</f>
        <v>-132.35294117647058</v>
      </c>
      <c r="J20" s="175">
        <f>H20/DAY(B2)</f>
        <v>197.35294117647058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7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7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7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482">
        <f>E27*F27</f>
        <v>243000</v>
      </c>
      <c r="H27" s="99">
        <f>G27+'16'!H27</f>
        <v>4162190.8499999992</v>
      </c>
      <c r="I27" s="138"/>
      <c r="J27" s="175">
        <f>H27/DAY(B2)</f>
        <v>244834.75588235288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82">
        <f>E28*F28</f>
        <v>70000</v>
      </c>
      <c r="H28" s="99">
        <f>G28+'16'!H28</f>
        <v>1216798.1000000052</v>
      </c>
      <c r="I28" s="140"/>
      <c r="J28" s="175">
        <f>H28/DAY(B2)</f>
        <v>71576.358823529721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482">
        <f>E30*F30</f>
        <v>8003</v>
      </c>
      <c r="H30" s="99">
        <f>G30+'16'!H30</f>
        <v>24915</v>
      </c>
      <c r="I30" s="140"/>
      <c r="J30" s="175">
        <f>H30/DAY(B2)</f>
        <v>1465.5882352941176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82">
        <f>E31*F31</f>
        <v>18400</v>
      </c>
      <c r="H31" s="99">
        <f>G31+'16'!H31</f>
        <v>255200</v>
      </c>
      <c r="I31" s="140"/>
      <c r="J31" s="175">
        <f>H31/DAY(B2)</f>
        <v>15011.764705882353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3">
        <f>G27+G28+G29+G30+G31</f>
        <v>339403</v>
      </c>
      <c r="H32" s="99">
        <f>G32+'16'!H32</f>
        <v>5659103.9500000048</v>
      </c>
      <c r="I32" s="144"/>
      <c r="J32" s="175">
        <f>H32/DAY(B2)</f>
        <v>332888.46764705912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238713</v>
      </c>
      <c r="F35" s="145">
        <v>238713</v>
      </c>
      <c r="G35" s="475">
        <f t="shared" ref="G35:G46" si="3">F35-E35</f>
        <v>0</v>
      </c>
      <c r="H35" s="99">
        <f>G35+'16'!H35</f>
        <v>-4.9999999988358468E-2</v>
      </c>
      <c r="I35" s="95"/>
      <c r="J35" s="175">
        <f>H35/DAY(B2)</f>
        <v>-2.9411764699034393E-3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174330</v>
      </c>
      <c r="F36" s="145">
        <v>175051</v>
      </c>
      <c r="G36" s="475">
        <f t="shared" si="3"/>
        <v>721</v>
      </c>
      <c r="H36" s="99">
        <f>G36+'16'!H36</f>
        <v>-11869.23000000001</v>
      </c>
      <c r="I36" s="95"/>
      <c r="J36" s="175">
        <f>H36/DAY(B2)</f>
        <v>-698.19000000000062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263634</v>
      </c>
      <c r="F37" s="145">
        <v>265338</v>
      </c>
      <c r="G37" s="475">
        <f t="shared" si="3"/>
        <v>1704</v>
      </c>
      <c r="H37" s="99">
        <f>G37+'16'!H37</f>
        <v>-21380.989999999991</v>
      </c>
      <c r="I37" s="95"/>
      <c r="J37" s="175">
        <f>H37/DAY(B2)</f>
        <v>-1257.7052941176464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355121</v>
      </c>
      <c r="F38" s="108">
        <v>357476</v>
      </c>
      <c r="G38" s="475">
        <f t="shared" si="3"/>
        <v>2355</v>
      </c>
      <c r="H38" s="99">
        <f>G38+'16'!H38</f>
        <v>-29187.349999999977</v>
      </c>
      <c r="I38" s="95"/>
      <c r="J38" s="175">
        <f>H38/DAY(B2)</f>
        <v>-1716.9029411764693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480786</v>
      </c>
      <c r="F39" s="145">
        <v>483928</v>
      </c>
      <c r="G39" s="475">
        <f t="shared" si="3"/>
        <v>3142</v>
      </c>
      <c r="H39" s="99">
        <f>G39+'16'!H39</f>
        <v>-39452.590000000026</v>
      </c>
      <c r="I39" s="95"/>
      <c r="J39" s="175">
        <f>H39/DAY(B2)</f>
        <v>-2320.7405882352955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77708</v>
      </c>
      <c r="F40" s="423">
        <v>78169</v>
      </c>
      <c r="G40" s="475">
        <f t="shared" si="3"/>
        <v>461</v>
      </c>
      <c r="H40" s="99">
        <f>G40+'16'!H40</f>
        <v>-5502.0899999999965</v>
      </c>
      <c r="I40" s="95"/>
      <c r="J40" s="175">
        <f>H40/DAY(B2)</f>
        <v>-323.65235294117628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108348</v>
      </c>
      <c r="F41" s="145">
        <v>114414</v>
      </c>
      <c r="G41" s="475">
        <f t="shared" si="3"/>
        <v>6066</v>
      </c>
      <c r="H41" s="99">
        <f>G41+'16'!H41</f>
        <v>-28404.399999999994</v>
      </c>
      <c r="I41" s="95"/>
      <c r="J41" s="175">
        <f>H41/DAY(B2)</f>
        <v>-1670.8470588235291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634309</v>
      </c>
      <c r="F42" s="145">
        <v>638793</v>
      </c>
      <c r="G42" s="475">
        <f t="shared" si="3"/>
        <v>4484</v>
      </c>
      <c r="H42" s="99">
        <f>G42+'16'!H42</f>
        <v>-49839.550000000047</v>
      </c>
      <c r="I42" s="95"/>
      <c r="J42" s="175">
        <f>H42/DAY(B2)</f>
        <v>-2931.7382352941204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145">
        <v>407028</v>
      </c>
      <c r="G43" s="475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5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5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5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18933</v>
      </c>
      <c r="H47" s="99">
        <f>G47+'16'!H47</f>
        <v>-185636.25</v>
      </c>
      <c r="I47" s="95"/>
      <c r="J47" s="175">
        <f>H47/DAY(B2)</f>
        <v>-10919.779411764706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317736</v>
      </c>
      <c r="F49" s="145">
        <v>321230</v>
      </c>
      <c r="G49" s="475">
        <f t="shared" ref="G49:G58" si="4">F49-E49</f>
        <v>3494</v>
      </c>
      <c r="H49" s="99">
        <f>G49+'16'!H49</f>
        <v>-49541.75</v>
      </c>
      <c r="I49" s="95"/>
      <c r="J49" s="175">
        <f>H49/DAY(B2)</f>
        <v>-2914.2205882352941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227035</v>
      </c>
      <c r="F50" s="145">
        <v>228492</v>
      </c>
      <c r="G50" s="475">
        <f t="shared" si="4"/>
        <v>1457</v>
      </c>
      <c r="H50" s="99">
        <f>G50+'16'!H50</f>
        <v>-14613.399999999994</v>
      </c>
      <c r="I50" s="95"/>
      <c r="J50" s="175">
        <f>H50/DAY(B2)</f>
        <v>-859.61176470588202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5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145">
        <v>10</v>
      </c>
      <c r="G52" s="475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5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71957</v>
      </c>
      <c r="F54" s="145">
        <v>72394</v>
      </c>
      <c r="G54" s="475">
        <f t="shared" si="4"/>
        <v>437</v>
      </c>
      <c r="H54" s="99">
        <f>G54+'16'!H54</f>
        <v>-4623.5</v>
      </c>
      <c r="I54" s="95"/>
      <c r="J54" s="175">
        <f>H54/DAY(B2)</f>
        <v>-271.97058823529414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254288</v>
      </c>
      <c r="F55" s="145">
        <v>254288</v>
      </c>
      <c r="G55" s="475">
        <f t="shared" si="4"/>
        <v>0</v>
      </c>
      <c r="H55" s="99">
        <f>G55+'16'!H55</f>
        <v>-29794.929999999993</v>
      </c>
      <c r="I55" s="95"/>
      <c r="J55" s="175">
        <f>H55/DAY(B2)</f>
        <v>-1752.6429411764702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109347</v>
      </c>
      <c r="F56" s="145">
        <v>109347</v>
      </c>
      <c r="G56" s="475">
        <f t="shared" si="4"/>
        <v>0</v>
      </c>
      <c r="H56" s="99">
        <f>G56+'16'!H56</f>
        <v>-1896.1300000000047</v>
      </c>
      <c r="I56" s="95"/>
      <c r="J56" s="175">
        <f>H56/DAY(B2)</f>
        <v>-111.53705882352969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88133</v>
      </c>
      <c r="F57" s="145">
        <v>91359</v>
      </c>
      <c r="G57" s="475">
        <f t="shared" si="4"/>
        <v>3226</v>
      </c>
      <c r="H57" s="99">
        <f>G57+'16'!H57</f>
        <v>-40544.700000000012</v>
      </c>
      <c r="I57" s="95"/>
      <c r="J57" s="175">
        <f>H57/DAY(B2)</f>
        <v>-2384.9823529411769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36562</v>
      </c>
      <c r="F58" s="423">
        <v>36784</v>
      </c>
      <c r="G58" s="475">
        <f t="shared" si="4"/>
        <v>222</v>
      </c>
      <c r="H58" s="99">
        <f>G58+'16'!H58</f>
        <v>-3496.1100000000006</v>
      </c>
      <c r="I58" s="95"/>
      <c r="J58" s="175">
        <f>H58/DAY(B2)</f>
        <v>-205.65352941176474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8836</v>
      </c>
      <c r="H59" s="99">
        <f>G59+'16'!H59</f>
        <v>-144510.20000000007</v>
      </c>
      <c r="I59" s="95">
        <f>G7-G60</f>
        <v>-269</v>
      </c>
      <c r="J59" s="175">
        <f>H59/DAY(B2)</f>
        <v>-8500.600000000004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7">
        <f>G47+G59</f>
        <v>27769</v>
      </c>
      <c r="H60" s="99">
        <f>G60+'16'!H60</f>
        <v>-330146.45000000007</v>
      </c>
      <c r="I60" s="95">
        <f>G13-G60</f>
        <v>247</v>
      </c>
      <c r="J60" s="175">
        <f>H60/DAY(B2)</f>
        <v>-19420.379411764708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'16'!F62</f>
        <v>291255</v>
      </c>
      <c r="F62" s="122">
        <v>291372</v>
      </c>
      <c r="G62" s="475">
        <f t="shared" ref="G62:G63" si="5">F62-E62</f>
        <v>117</v>
      </c>
      <c r="H62" s="99">
        <f>G62+'16'!H62</f>
        <v>-1326</v>
      </c>
      <c r="I62" s="118"/>
      <c r="J62" s="175">
        <f>H62/DAY(B2)</f>
        <v>-78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'16'!F63</f>
        <v>233260</v>
      </c>
      <c r="F63" s="122">
        <v>233369</v>
      </c>
      <c r="G63" s="475">
        <f t="shared" si="5"/>
        <v>109</v>
      </c>
      <c r="H63" s="99">
        <f>G63+'16'!H63</f>
        <v>-1697</v>
      </c>
      <c r="I63" s="118"/>
      <c r="J63" s="175">
        <f>H63/DAY(B2)</f>
        <v>-99.82352941176471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'16'!F64</f>
        <v>0</v>
      </c>
      <c r="F64" s="122"/>
      <c r="G64" s="475">
        <f>G62+G63</f>
        <v>226</v>
      </c>
      <c r="H64" s="99">
        <f>G64+'16'!H64</f>
        <v>-3023</v>
      </c>
      <c r="I64" s="118"/>
      <c r="J64" s="175">
        <f>H64/DAY(B2)</f>
        <v>-177.8235294117647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'16'!F65</f>
        <v>449941</v>
      </c>
      <c r="F65" s="122">
        <v>450060</v>
      </c>
      <c r="G65" s="475">
        <f t="shared" ref="G65:G70" si="6">F65-E65</f>
        <v>119</v>
      </c>
      <c r="H65" s="99">
        <f>G65+'16'!H65</f>
        <v>-1329</v>
      </c>
      <c r="I65" s="118"/>
      <c r="J65" s="175">
        <f>H65/DAY(B2)</f>
        <v>-78.17647058823529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110755</v>
      </c>
      <c r="F66" s="122">
        <v>110775</v>
      </c>
      <c r="G66" s="475">
        <f t="shared" si="6"/>
        <v>20</v>
      </c>
      <c r="H66" s="99">
        <f>G66+'16'!H66</f>
        <v>-252</v>
      </c>
      <c r="I66" s="118"/>
      <c r="J66" s="175">
        <f>H66/DAY(B2)</f>
        <v>-14.823529411764707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113681</v>
      </c>
      <c r="F67" s="122">
        <v>113681</v>
      </c>
      <c r="G67" s="475">
        <f t="shared" si="6"/>
        <v>0</v>
      </c>
      <c r="H67" s="99">
        <f>G67+'16'!H67</f>
        <v>1</v>
      </c>
      <c r="I67" s="118"/>
      <c r="J67" s="175">
        <f>H67/DAY(B2)</f>
        <v>5.8823529411764705E-2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162957</v>
      </c>
      <c r="F68" s="122">
        <v>163023</v>
      </c>
      <c r="G68" s="475">
        <f t="shared" si="6"/>
        <v>66</v>
      </c>
      <c r="H68" s="99">
        <f>G68+'16'!H68</f>
        <v>-503</v>
      </c>
      <c r="I68" s="118"/>
      <c r="J68" s="175">
        <f>H68/DAY(B2)</f>
        <v>-29.588235294117649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12048</v>
      </c>
      <c r="F69" s="122">
        <v>12055</v>
      </c>
      <c r="G69" s="475">
        <f t="shared" si="6"/>
        <v>7</v>
      </c>
      <c r="H69" s="99">
        <f>G69+'16'!H69</f>
        <v>-73</v>
      </c>
      <c r="I69" s="118"/>
      <c r="J69" s="175">
        <f>H69/DAY(B2)</f>
        <v>-4.2941176470588234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9402</v>
      </c>
      <c r="F70" s="122">
        <v>9408</v>
      </c>
      <c r="G70" s="475">
        <f t="shared" si="6"/>
        <v>6</v>
      </c>
      <c r="H70" s="99">
        <f>G70+'16'!H70</f>
        <v>-106</v>
      </c>
      <c r="I70" s="118"/>
      <c r="J70" s="175">
        <f>H70/DAY(B2)</f>
        <v>-6.2352941176470589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487">
        <f>SUM(G65:G70)</f>
        <v>218</v>
      </c>
      <c r="H71" s="99">
        <f>G71+'16'!H71</f>
        <v>-2262</v>
      </c>
      <c r="I71" s="154"/>
      <c r="J71" s="175">
        <f>H71/DAY(B2)</f>
        <v>-133.05882352941177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'16'!F74</f>
        <v>943643</v>
      </c>
      <c r="F74" s="117">
        <v>943936.52</v>
      </c>
      <c r="G74" s="475">
        <f t="shared" ref="G74:G78" si="7">F74-E74</f>
        <v>293.52000000001863</v>
      </c>
      <c r="H74" s="99">
        <f>G74+'16'!H74</f>
        <v>-3770.6799999999348</v>
      </c>
      <c r="I74" s="154"/>
      <c r="J74" s="175">
        <f>H74/DAY(B2)</f>
        <v>-221.80470588234911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'16'!F75</f>
        <v>73586.8</v>
      </c>
      <c r="F75" s="123">
        <v>73586.8</v>
      </c>
      <c r="G75" s="475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'16'!F76</f>
        <v>185464</v>
      </c>
      <c r="F76" s="123">
        <v>185596</v>
      </c>
      <c r="G76" s="475">
        <f t="shared" si="7"/>
        <v>132</v>
      </c>
      <c r="H76" s="99">
        <f>G76+'16'!H76</f>
        <v>-1295.2999999999884</v>
      </c>
      <c r="I76" s="154"/>
      <c r="J76" s="175">
        <f>H76/DAY(B2)</f>
        <v>-76.194117647058135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'16'!F77</f>
        <v>48113</v>
      </c>
      <c r="F77" s="123">
        <v>48151</v>
      </c>
      <c r="G77" s="475">
        <f t="shared" si="7"/>
        <v>38</v>
      </c>
      <c r="H77" s="99">
        <f>G77+'16'!H77</f>
        <v>-584.80000000000291</v>
      </c>
      <c r="I77" s="154"/>
      <c r="J77" s="175">
        <f>H77/DAY(B2)</f>
        <v>-34.400000000000169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'16'!F78</f>
        <v>9564</v>
      </c>
      <c r="F78" s="123">
        <v>9564</v>
      </c>
      <c r="G78" s="475">
        <f t="shared" si="7"/>
        <v>0</v>
      </c>
      <c r="H78" s="99">
        <f>G78+'16'!H78</f>
        <v>-0.3999999999996362</v>
      </c>
      <c r="I78" s="118"/>
      <c r="J78" s="175">
        <f>H78/DAY(B2)</f>
        <v>-2.3529411764684482E-2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'16'!F79</f>
        <v>0</v>
      </c>
      <c r="F79" s="123"/>
      <c r="G79" s="475">
        <f>G15-SUM(G74:G78)</f>
        <v>536.47999999998137</v>
      </c>
      <c r="H79" s="99">
        <f>G79+'16'!H79</f>
        <v>23034.010000000002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475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489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5">
        <f t="shared" ref="G82:G92" si="8">F82-E82</f>
        <v>0</v>
      </c>
      <c r="H82" s="99">
        <f>G82+'16'!H82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5">
        <f t="shared" si="8"/>
        <v>0</v>
      </c>
      <c r="H83" s="99">
        <f>G83+'16'!H83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42137</v>
      </c>
      <c r="F84" s="164">
        <v>42161.440000000002</v>
      </c>
      <c r="G84" s="475">
        <f t="shared" si="8"/>
        <v>24.440000000002328</v>
      </c>
      <c r="H84" s="99">
        <f>G84+'16'!H84</f>
        <v>-113.55999999999767</v>
      </c>
      <c r="I84" s="573"/>
      <c r="J84" s="175">
        <f>H84/DAY(B2)</f>
        <v>-6.6799999999998629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4654</v>
      </c>
      <c r="F85" s="164">
        <v>4672.3900000000003</v>
      </c>
      <c r="G85" s="475">
        <f t="shared" si="8"/>
        <v>18.390000000000327</v>
      </c>
      <c r="H85" s="99">
        <f>G85+'16'!H85</f>
        <v>-209.61999999999989</v>
      </c>
      <c r="I85" s="573"/>
      <c r="J85" s="175">
        <f>H85/DAY(B2)</f>
        <v>-12.330588235294112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44658</v>
      </c>
      <c r="F86" s="164">
        <v>44658</v>
      </c>
      <c r="G86" s="475">
        <f t="shared" si="8"/>
        <v>0</v>
      </c>
      <c r="H86" s="99">
        <f>G86+'16'!H86</f>
        <v>-194.30000000000291</v>
      </c>
      <c r="I86" s="573"/>
      <c r="J86" s="175">
        <f>H86/DAY(B2)</f>
        <v>-11.429411764706053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35345</v>
      </c>
      <c r="F87" s="164">
        <v>35345</v>
      </c>
      <c r="G87" s="475">
        <f t="shared" si="8"/>
        <v>0</v>
      </c>
      <c r="H87" s="99">
        <f>G87+'16'!H87</f>
        <v>-13.05000000000291</v>
      </c>
      <c r="I87" s="573">
        <f>G84+G85+G86+G87</f>
        <v>42.830000000002656</v>
      </c>
      <c r="J87" s="175">
        <f>H87/DAY(B2)</f>
        <v>-0.76764705882370066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24276.95</v>
      </c>
      <c r="F88" s="164">
        <v>24277</v>
      </c>
      <c r="G88" s="475">
        <f t="shared" si="8"/>
        <v>4.9999999999272404E-2</v>
      </c>
      <c r="H88" s="99">
        <f>G88+'16'!H88</f>
        <v>-0.2000000000007276</v>
      </c>
      <c r="I88" s="573"/>
      <c r="J88" s="175">
        <f>H88/DAY(B2)</f>
        <v>-1.176470588239574E-2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27156.89</v>
      </c>
      <c r="F89" s="164">
        <v>27167</v>
      </c>
      <c r="G89" s="475">
        <f t="shared" si="8"/>
        <v>10.110000000000582</v>
      </c>
      <c r="H89" s="99">
        <f>G89+'16'!H89</f>
        <v>-124.41999999999825</v>
      </c>
      <c r="I89" s="573">
        <f>G88+G89</f>
        <v>10.159999999999854</v>
      </c>
      <c r="J89" s="175">
        <f>H89/DAY(B2)</f>
        <v>-7.3188235294116621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72189.16</v>
      </c>
      <c r="F90" s="164">
        <v>72199</v>
      </c>
      <c r="G90" s="475">
        <f t="shared" si="8"/>
        <v>9.8399999999965075</v>
      </c>
      <c r="H90" s="99">
        <f>G90+'16'!H90</f>
        <v>-102.1299999999901</v>
      </c>
      <c r="I90" s="573">
        <f>G90</f>
        <v>9.8399999999965075</v>
      </c>
      <c r="J90" s="175">
        <f>H90/DAY(B2)</f>
        <v>-6.0076470588229469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4122</v>
      </c>
      <c r="F91" s="122">
        <v>4122</v>
      </c>
      <c r="G91" s="475">
        <f t="shared" si="8"/>
        <v>0</v>
      </c>
      <c r="H91" s="99">
        <f>G91+'16'!H91</f>
        <v>-16.4399999999996</v>
      </c>
      <c r="I91" s="592"/>
      <c r="J91" s="175">
        <f>H91/DAY(B2)</f>
        <v>-0.96705882352938821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6390.61</v>
      </c>
      <c r="F92" s="122">
        <v>6401</v>
      </c>
      <c r="G92" s="475">
        <f t="shared" si="8"/>
        <v>10.390000000000327</v>
      </c>
      <c r="H92" s="99">
        <f>G92+'16'!H92</f>
        <v>-114.34000000000015</v>
      </c>
      <c r="I92" s="598">
        <f>G91+G92</f>
        <v>10.390000000000327</v>
      </c>
      <c r="J92" s="175">
        <f>H92/DAY(B2)</f>
        <v>-6.7258823529411851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490">
        <f>G35+G43+G49+G57</f>
        <v>6720</v>
      </c>
      <c r="H94" s="99">
        <f>G94+'16'!H94</f>
        <v>-90086.5</v>
      </c>
      <c r="I94" s="118"/>
      <c r="J94" s="175">
        <f>H94/DAY(B2)</f>
        <v>-5299.2058823529414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491">
        <f>G94/G7</f>
        <v>0.24436363636363637</v>
      </c>
      <c r="H95" s="99">
        <f>G95+'16'!H95</f>
        <v>-3.1889262718976075</v>
      </c>
      <c r="I95" s="167"/>
      <c r="J95" s="175">
        <f>H95/DAY(B2)</f>
        <v>-0.18758389834691808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490">
        <f>G41+G42+G55+G56</f>
        <v>10550</v>
      </c>
      <c r="H96" s="99">
        <f>G96+'16'!H96</f>
        <v>-109935.01000000007</v>
      </c>
      <c r="I96" s="118"/>
      <c r="J96" s="175">
        <f>H96/DAY(B2)</f>
        <v>-6466.7652941176511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491">
        <f>G96/G7</f>
        <v>0.38363636363636361</v>
      </c>
      <c r="H97" s="99">
        <f>G97+'16'!H97</f>
        <v>-3.9198146094545026</v>
      </c>
      <c r="I97" s="167"/>
      <c r="J97" s="175">
        <f>H97/DAY(B2)</f>
        <v>-0.23057732996791191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490">
        <f>G39+G53</f>
        <v>3142</v>
      </c>
      <c r="H98" s="99">
        <f>G98+'16'!H98</f>
        <v>-39452.590000000026</v>
      </c>
      <c r="I98" s="168"/>
      <c r="J98" s="175">
        <f>H98/DAY(B2)</f>
        <v>-2320.7405882352955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491">
        <f>G98/G7</f>
        <v>0.11425454545454546</v>
      </c>
      <c r="H99" s="99">
        <f>G99+'16'!H99</f>
        <v>-1.3968455171814762</v>
      </c>
      <c r="I99" s="168"/>
      <c r="J99" s="175">
        <f>H99/DAY(B2)</f>
        <v>-8.2167383363616245E-2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490">
        <f>G38+G52</f>
        <v>2355</v>
      </c>
      <c r="H100" s="99">
        <f>G100+'16'!H100</f>
        <v>-29187.349999999969</v>
      </c>
      <c r="I100" s="118"/>
      <c r="J100" s="175">
        <f>H100/DAY(B2)</f>
        <v>-1716.9029411764689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491">
        <f>G100/G7</f>
        <v>8.5636363636363635E-2</v>
      </c>
      <c r="H101" s="99">
        <f>G101+'16'!H101</f>
        <v>-1.0325211985994367</v>
      </c>
      <c r="I101" s="168"/>
      <c r="J101" s="175">
        <f>H101/DAY(B2)</f>
        <v>-6.0736541094084509E-2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490">
        <f>G36+G50</f>
        <v>2178</v>
      </c>
      <c r="H102" s="99">
        <f>G102+'16'!H102</f>
        <v>-26482.630000000005</v>
      </c>
      <c r="I102" s="168"/>
      <c r="J102" s="175">
        <f>H102/DAY(B2)</f>
        <v>-1557.8017647058825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491">
        <f>G102/G7</f>
        <v>7.9200000000000007E-2</v>
      </c>
      <c r="H103" s="99">
        <f>G103+'16'!H103</f>
        <v>-0.94083587612105479</v>
      </c>
      <c r="I103" s="118"/>
      <c r="J103" s="175">
        <f>H103/DAY(B2)</f>
        <v>-5.5343286830650283E-2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490">
        <f>G37+G51</f>
        <v>1704</v>
      </c>
      <c r="H104" s="99">
        <f>G104+'16'!H104</f>
        <v>-21380.669999999991</v>
      </c>
      <c r="I104" s="118"/>
      <c r="J104" s="175">
        <f>H104/DAY(B2)</f>
        <v>-1257.6864705882347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492">
        <f>G104/G7</f>
        <v>6.1963636363636367E-2</v>
      </c>
      <c r="H105" s="99">
        <f>G105+'16'!H105</f>
        <v>-0.7566870979902357</v>
      </c>
      <c r="I105" s="187"/>
      <c r="J105" s="188">
        <f>H105/DAY(B2)</f>
        <v>-4.4511005764131514E-2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49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'16'!F112</f>
        <v>3894</v>
      </c>
      <c r="F112" s="237">
        <v>3971</v>
      </c>
      <c r="G112" s="475">
        <f t="shared" ref="G112:G123" si="9">F112-E112</f>
        <v>77</v>
      </c>
      <c r="H112" s="99">
        <f>G112+'16'!H112</f>
        <v>-958.73999999999978</v>
      </c>
      <c r="I112" s="165"/>
      <c r="J112" s="328">
        <f>H112/DAY(B2)</f>
        <v>-56.396470588235282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'16'!F113</f>
        <v>8653</v>
      </c>
      <c r="F113" s="237">
        <v>8789</v>
      </c>
      <c r="G113" s="475">
        <f t="shared" si="9"/>
        <v>136</v>
      </c>
      <c r="H113" s="99">
        <f>G113+'16'!H113</f>
        <v>-1843.7199999999993</v>
      </c>
      <c r="I113" s="165"/>
      <c r="J113" s="328">
        <f>H113/DAY(B2)</f>
        <v>-108.45411764705878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'16'!F114</f>
        <v>11075</v>
      </c>
      <c r="F114" s="417">
        <v>11299</v>
      </c>
      <c r="G114" s="475">
        <f t="shared" si="9"/>
        <v>224</v>
      </c>
      <c r="H114" s="99">
        <f>G114+'16'!H114</f>
        <v>-2894.7999999999993</v>
      </c>
      <c r="I114" s="165"/>
      <c r="J114" s="328">
        <f>H114/DAY(B2)</f>
        <v>-170.28235294117644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'16'!F115</f>
        <v>7070</v>
      </c>
      <c r="F115" s="237">
        <v>7168</v>
      </c>
      <c r="G115" s="475">
        <f t="shared" si="9"/>
        <v>98</v>
      </c>
      <c r="H115" s="99">
        <f>G115+'16'!H115</f>
        <v>-1852.7800000000007</v>
      </c>
      <c r="I115" s="165"/>
      <c r="J115" s="328">
        <f>H115/DAY(B2)</f>
        <v>-108.98705882352945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'16'!F116</f>
        <v>53158</v>
      </c>
      <c r="F116" s="237">
        <v>53530</v>
      </c>
      <c r="G116" s="475">
        <f t="shared" si="9"/>
        <v>372</v>
      </c>
      <c r="H116" s="99">
        <f>G116+'16'!H116</f>
        <v>-5360.5500000000029</v>
      </c>
      <c r="I116" s="165"/>
      <c r="J116" s="328">
        <f>H116/DAY(B2)</f>
        <v>-315.32647058823545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'16'!F117</f>
        <v>28842</v>
      </c>
      <c r="F117" s="237">
        <v>29115</v>
      </c>
      <c r="G117" s="475">
        <f t="shared" si="9"/>
        <v>273</v>
      </c>
      <c r="H117" s="99">
        <f>G117+'16'!H117</f>
        <v>-3773.4800000000032</v>
      </c>
      <c r="I117" s="165"/>
      <c r="J117" s="328">
        <f>H117/DAY(B2)</f>
        <v>-221.96941176470608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'16'!F118</f>
        <v>35787</v>
      </c>
      <c r="F118" s="237">
        <v>36456</v>
      </c>
      <c r="G118" s="475">
        <f t="shared" si="9"/>
        <v>669</v>
      </c>
      <c r="H118" s="99">
        <f>G118+'16'!H118</f>
        <v>-8464.3099999999977</v>
      </c>
      <c r="I118" s="165"/>
      <c r="J118" s="328">
        <f>H118/DAY(B2)</f>
        <v>-497.90058823529398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'16'!F119</f>
        <v>25839</v>
      </c>
      <c r="F119" s="237">
        <v>26298</v>
      </c>
      <c r="G119" s="475">
        <f t="shared" si="9"/>
        <v>459</v>
      </c>
      <c r="H119" s="99">
        <f>G119+'16'!H119</f>
        <v>-4044.5999999999985</v>
      </c>
      <c r="I119" s="165"/>
      <c r="J119" s="328">
        <f>H119/DAY(B2)</f>
        <v>-237.91764705882343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'16'!F120</f>
        <v>27050</v>
      </c>
      <c r="F120" s="237">
        <v>27475</v>
      </c>
      <c r="G120" s="475">
        <f t="shared" si="9"/>
        <v>425</v>
      </c>
      <c r="H120" s="99">
        <f>G120+'16'!H120</f>
        <v>-5630.5599999999977</v>
      </c>
      <c r="I120" s="165"/>
      <c r="J120" s="328">
        <f>H120/DAY(B2)</f>
        <v>-331.20941176470575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'16'!F121</f>
        <v>33273</v>
      </c>
      <c r="F121" s="237">
        <v>33727</v>
      </c>
      <c r="G121" s="475">
        <f t="shared" si="9"/>
        <v>454</v>
      </c>
      <c r="H121" s="99">
        <f>G121+'16'!H121</f>
        <v>-5860.9000000000015</v>
      </c>
      <c r="I121" s="165"/>
      <c r="J121" s="328">
        <f>H121/DAY(B2)</f>
        <v>-344.75882352941187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'16'!F122</f>
        <v>16049</v>
      </c>
      <c r="F122" s="237">
        <v>16363</v>
      </c>
      <c r="G122" s="475">
        <f t="shared" si="9"/>
        <v>314</v>
      </c>
      <c r="H122" s="99">
        <f>G122+'16'!H122</f>
        <v>-3602.880000000001</v>
      </c>
      <c r="I122" s="165"/>
      <c r="J122" s="328">
        <f>H122/DAY(B2)</f>
        <v>-211.93411764705888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'16'!F123</f>
        <v>15959</v>
      </c>
      <c r="F123" s="237">
        <v>16276</v>
      </c>
      <c r="G123" s="475">
        <f t="shared" si="9"/>
        <v>317</v>
      </c>
      <c r="H123" s="99">
        <f>G123+'16'!H123</f>
        <v>-4066</v>
      </c>
      <c r="I123" s="165"/>
      <c r="J123" s="328">
        <f>H123/DAY(B2)</f>
        <v>-239.1764705882353</v>
      </c>
    </row>
    <row r="124" spans="1:18" ht="27.75" customHeight="1">
      <c r="A124" s="929"/>
      <c r="B124" s="930"/>
      <c r="C124" s="931"/>
      <c r="D124" s="165"/>
      <c r="E124" s="95">
        <f>'16'!F124</f>
        <v>0</v>
      </c>
      <c r="F124" s="165"/>
      <c r="G124" s="495"/>
      <c r="H124" s="99">
        <f>G124+'16'!H124</f>
        <v>0</v>
      </c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496">
        <f>SUM(G112:G124)</f>
        <v>3818</v>
      </c>
      <c r="H125" s="156"/>
      <c r="I125" s="327">
        <f>G125-(G39+G53)</f>
        <v>676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496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'16'!F128</f>
        <v>104139</v>
      </c>
      <c r="F128" s="165">
        <v>104688</v>
      </c>
      <c r="G128" s="475">
        <f t="shared" ref="G128:G133" si="10">F128-E128</f>
        <v>549</v>
      </c>
      <c r="H128" s="99">
        <f>G128+'16'!H128</f>
        <v>-7187.8600000000006</v>
      </c>
      <c r="I128" s="165"/>
      <c r="J128" s="328">
        <f>H128/DAY(B2)</f>
        <v>-422.81529411764711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64114</v>
      </c>
      <c r="F129" s="165">
        <v>64373</v>
      </c>
      <c r="G129" s="475">
        <f t="shared" si="10"/>
        <v>259</v>
      </c>
      <c r="H129" s="99">
        <f>G129+'16'!H129</f>
        <v>-2328.7799999999988</v>
      </c>
      <c r="I129" s="165"/>
      <c r="J129" s="328">
        <f>H129/DAY(B2)</f>
        <v>-136.98705882352934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131296</v>
      </c>
      <c r="F130" s="165">
        <v>131898</v>
      </c>
      <c r="G130" s="475">
        <f t="shared" si="10"/>
        <v>602</v>
      </c>
      <c r="H130" s="99">
        <f>G130+'16'!H130</f>
        <v>-10399.919999999984</v>
      </c>
      <c r="I130" s="165"/>
      <c r="J130" s="328">
        <f>H130/DAY(B2)</f>
        <v>-611.75999999999908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'16'!F131</f>
        <v>39600</v>
      </c>
      <c r="F131" s="165">
        <v>39790</v>
      </c>
      <c r="G131" s="475">
        <f t="shared" si="10"/>
        <v>190</v>
      </c>
      <c r="H131" s="99">
        <f>G131+'16'!H131</f>
        <v>-2828.1999999999971</v>
      </c>
      <c r="I131" s="165"/>
      <c r="J131" s="328">
        <f>H131/DAY(B2)</f>
        <v>-166.36470588235278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'16'!F132</f>
        <v>109834</v>
      </c>
      <c r="F132" s="165">
        <v>110223</v>
      </c>
      <c r="G132" s="475">
        <f t="shared" si="10"/>
        <v>389</v>
      </c>
      <c r="H132" s="99">
        <f>G132+'16'!H132</f>
        <v>-6068</v>
      </c>
      <c r="I132" s="165"/>
      <c r="J132" s="328">
        <f>H132/DAY(B2)</f>
        <v>-356.94117647058823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f>'16'!F133</f>
        <v>214526</v>
      </c>
      <c r="F133" s="165">
        <v>215135</v>
      </c>
      <c r="G133" s="475">
        <f t="shared" si="10"/>
        <v>609</v>
      </c>
      <c r="H133" s="99">
        <f>G133+'16'!H133</f>
        <v>-675.57000000000698</v>
      </c>
      <c r="I133" s="165"/>
      <c r="J133" s="328">
        <f>H133/DAY(B2)</f>
        <v>-39.73941176470629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'16'!F134</f>
        <v>38766</v>
      </c>
      <c r="F134" s="165">
        <v>39010</v>
      </c>
      <c r="G134" s="475">
        <f>F134-E134</f>
        <v>244</v>
      </c>
      <c r="H134" s="99">
        <f>G134+'16'!H134</f>
        <v>-2735</v>
      </c>
      <c r="I134" s="165"/>
      <c r="J134" s="328">
        <f>H134/DAY(B2)</f>
        <v>-160.88235294117646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475">
        <f>SUM(G128:G134)</f>
        <v>2842</v>
      </c>
      <c r="H135" s="99">
        <f>G135+'10'!H135</f>
        <v>30406.699999999997</v>
      </c>
      <c r="I135" s="327">
        <f>G135-(G35+G49)</f>
        <v>-652</v>
      </c>
      <c r="J135" s="328"/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7.75" customHeight="1">
      <c r="A138" s="967" t="s">
        <v>185</v>
      </c>
      <c r="B138" s="967"/>
      <c r="C138" s="967"/>
      <c r="D138" s="233" t="s">
        <v>183</v>
      </c>
      <c r="E138" s="406">
        <f>'16'!F138</f>
        <v>885429</v>
      </c>
      <c r="F138" s="518">
        <v>885598</v>
      </c>
      <c r="G138" s="608">
        <f t="shared" ref="G138:G152" si="11">F138-E138</f>
        <v>169</v>
      </c>
      <c r="H138" s="238">
        <f>G138+'16'!H138</f>
        <v>-1626</v>
      </c>
      <c r="I138" s="407"/>
      <c r="J138" s="408">
        <f>H138/DAY(B2)</f>
        <v>-95.647058823529406</v>
      </c>
    </row>
    <row r="139" spans="1:15" ht="27.75" customHeight="1">
      <c r="A139" s="967" t="s">
        <v>186</v>
      </c>
      <c r="B139" s="967"/>
      <c r="C139" s="967"/>
      <c r="D139" s="233" t="s">
        <v>183</v>
      </c>
      <c r="E139" s="406">
        <f>'16'!F139</f>
        <v>901845</v>
      </c>
      <c r="F139" s="518">
        <v>902055</v>
      </c>
      <c r="G139" s="608">
        <f t="shared" si="11"/>
        <v>210</v>
      </c>
      <c r="H139" s="238">
        <f>G139+'16'!H139</f>
        <v>-2035</v>
      </c>
      <c r="I139" s="407"/>
      <c r="J139" s="408">
        <f>H139/DAY(B2)</f>
        <v>-119.70588235294117</v>
      </c>
    </row>
    <row r="140" spans="1:15" ht="27.75" customHeight="1">
      <c r="A140" s="967" t="s">
        <v>187</v>
      </c>
      <c r="B140" s="967"/>
      <c r="C140" s="967"/>
      <c r="D140" s="233" t="s">
        <v>183</v>
      </c>
      <c r="E140" s="406">
        <f>'16'!F140</f>
        <v>840</v>
      </c>
      <c r="F140" s="148">
        <v>858</v>
      </c>
      <c r="G140" s="608">
        <f t="shared" si="11"/>
        <v>18</v>
      </c>
      <c r="H140" s="238">
        <f>G140+'16'!H140</f>
        <v>-88147.650000000009</v>
      </c>
      <c r="I140" s="407"/>
      <c r="J140" s="408">
        <f>H140/DAY(B2)</f>
        <v>-5185.1558823529413</v>
      </c>
    </row>
    <row r="141" spans="1:15" ht="27.75" customHeight="1">
      <c r="A141" s="974" t="s">
        <v>188</v>
      </c>
      <c r="B141" s="974"/>
      <c r="C141" s="974"/>
      <c r="D141" s="233" t="s">
        <v>183</v>
      </c>
      <c r="E141" s="406">
        <f>'16'!F141</f>
        <v>81218</v>
      </c>
      <c r="F141" s="148">
        <v>81435</v>
      </c>
      <c r="G141" s="608">
        <f t="shared" si="11"/>
        <v>217</v>
      </c>
      <c r="H141" s="238">
        <f>G141+'16'!H141</f>
        <v>-2680.1999999999971</v>
      </c>
      <c r="I141" s="407"/>
      <c r="J141" s="408">
        <f>H141/DAY(B2)</f>
        <v>-157.65882352941159</v>
      </c>
    </row>
    <row r="142" spans="1:15" ht="27.75" customHeight="1">
      <c r="A142" s="974" t="s">
        <v>189</v>
      </c>
      <c r="B142" s="974"/>
      <c r="C142" s="974"/>
      <c r="D142" s="233" t="s">
        <v>183</v>
      </c>
      <c r="E142" s="406">
        <f>'16'!F142</f>
        <v>32965</v>
      </c>
      <c r="F142" s="148">
        <v>33103</v>
      </c>
      <c r="G142" s="608">
        <f t="shared" si="11"/>
        <v>138</v>
      </c>
      <c r="H142" s="238">
        <f>G142+'16'!H142</f>
        <v>-1282.4700000000012</v>
      </c>
      <c r="I142" s="536"/>
      <c r="J142" s="408">
        <f>H142/DAY(B2)</f>
        <v>-75.439411764705952</v>
      </c>
    </row>
    <row r="143" spans="1:15" ht="27.75" customHeight="1">
      <c r="A143" s="967" t="s">
        <v>91</v>
      </c>
      <c r="B143" s="967"/>
      <c r="C143" s="967"/>
      <c r="D143" s="233" t="s">
        <v>183</v>
      </c>
      <c r="E143" s="406">
        <f>'16'!F143</f>
        <v>7758</v>
      </c>
      <c r="F143" s="148">
        <v>7790</v>
      </c>
      <c r="G143" s="608">
        <f t="shared" si="11"/>
        <v>32</v>
      </c>
      <c r="H143" s="238">
        <f>G143+'16'!H143</f>
        <v>-368.31999999999971</v>
      </c>
      <c r="I143" s="536"/>
      <c r="J143" s="408">
        <f>H143/DAY(B2)</f>
        <v>-21.665882352941161</v>
      </c>
    </row>
    <row r="144" spans="1:15" ht="27.75" customHeight="1">
      <c r="A144" s="974" t="s">
        <v>90</v>
      </c>
      <c r="B144" s="974"/>
      <c r="C144" s="974"/>
      <c r="D144" s="233" t="s">
        <v>183</v>
      </c>
      <c r="E144" s="406">
        <f>'16'!F144</f>
        <v>908923</v>
      </c>
      <c r="F144" s="148">
        <v>909167</v>
      </c>
      <c r="G144" s="608">
        <f t="shared" si="11"/>
        <v>244</v>
      </c>
      <c r="H144" s="238">
        <f>G144+'16'!H144</f>
        <v>-3110</v>
      </c>
      <c r="I144" s="536"/>
      <c r="J144" s="408">
        <f>H144/DAY(B2)</f>
        <v>-182.94117647058823</v>
      </c>
    </row>
    <row r="145" spans="1:10" ht="27.75" customHeight="1">
      <c r="A145" s="967" t="s">
        <v>190</v>
      </c>
      <c r="B145" s="967"/>
      <c r="C145" s="967"/>
      <c r="D145" s="233" t="s">
        <v>183</v>
      </c>
      <c r="E145" s="406">
        <f>'16'!F145</f>
        <v>5665</v>
      </c>
      <c r="F145" s="148">
        <v>5665</v>
      </c>
      <c r="G145" s="608">
        <f t="shared" si="11"/>
        <v>0</v>
      </c>
      <c r="H145" s="238">
        <f>G145+'16'!H145</f>
        <v>-1.5600000000004002</v>
      </c>
      <c r="I145" s="536"/>
      <c r="J145" s="408">
        <f>H145/DAY(B2)</f>
        <v>-9.1764705882376479E-2</v>
      </c>
    </row>
    <row r="146" spans="1:10" ht="27.75" customHeight="1">
      <c r="A146" s="980" t="s">
        <v>191</v>
      </c>
      <c r="B146" s="981"/>
      <c r="C146" s="982"/>
      <c r="D146" s="233" t="s">
        <v>183</v>
      </c>
      <c r="E146" s="406">
        <f>'16'!F146</f>
        <v>778678</v>
      </c>
      <c r="F146" s="148">
        <v>778722</v>
      </c>
      <c r="G146" s="608">
        <f t="shared" si="11"/>
        <v>44</v>
      </c>
      <c r="H146" s="238">
        <f>G146+'16'!H146</f>
        <v>-606</v>
      </c>
      <c r="I146" s="536"/>
      <c r="J146" s="408">
        <f>H146/DAY(B2)</f>
        <v>-35.647058823529413</v>
      </c>
    </row>
    <row r="147" spans="1:10" ht="27.75" customHeight="1">
      <c r="A147" s="974" t="s">
        <v>192</v>
      </c>
      <c r="B147" s="974"/>
      <c r="C147" s="974"/>
      <c r="D147" s="233" t="s">
        <v>183</v>
      </c>
      <c r="E147" s="406">
        <f>'16'!F147</f>
        <v>682047</v>
      </c>
      <c r="F147" s="518">
        <v>682458</v>
      </c>
      <c r="G147" s="608">
        <f t="shared" si="11"/>
        <v>411</v>
      </c>
      <c r="H147" s="238">
        <f>G147+'16'!H147</f>
        <v>-5068.1600000000326</v>
      </c>
      <c r="I147" s="536"/>
      <c r="J147" s="408">
        <f>H147/DAY(B2)</f>
        <v>-298.12705882353134</v>
      </c>
    </row>
    <row r="148" spans="1:10" ht="27.75" customHeight="1">
      <c r="A148" s="971" t="s">
        <v>193</v>
      </c>
      <c r="B148" s="972"/>
      <c r="C148" s="973"/>
      <c r="D148" s="410" t="s">
        <v>130</v>
      </c>
      <c r="E148" s="406">
        <f>'16'!F148</f>
        <v>734246</v>
      </c>
      <c r="F148" s="404">
        <v>734560</v>
      </c>
      <c r="G148" s="608">
        <f t="shared" si="11"/>
        <v>314</v>
      </c>
      <c r="H148" s="238">
        <f>G148+'16'!H148</f>
        <v>-4387.2800000000279</v>
      </c>
      <c r="I148" s="238"/>
      <c r="J148" s="408">
        <f>H148/DAY(B2)</f>
        <v>-258.0752941176487</v>
      </c>
    </row>
    <row r="149" spans="1:10" ht="27.75" customHeight="1">
      <c r="A149" s="971" t="s">
        <v>336</v>
      </c>
      <c r="B149" s="972"/>
      <c r="C149" s="973"/>
      <c r="D149" s="416" t="s">
        <v>130</v>
      </c>
      <c r="E149" s="406">
        <f>'16'!F149</f>
        <v>109863</v>
      </c>
      <c r="F149" s="416">
        <v>110354</v>
      </c>
      <c r="G149" s="608">
        <f t="shared" si="11"/>
        <v>491</v>
      </c>
      <c r="H149" s="238">
        <f>G149+'16'!H149</f>
        <v>-6178.8000000000029</v>
      </c>
      <c r="I149" s="236"/>
      <c r="J149" s="408">
        <f>H149/DAY(B2)</f>
        <v>-363.45882352941192</v>
      </c>
    </row>
    <row r="150" spans="1:10" ht="27.75" customHeight="1">
      <c r="A150" s="971" t="s">
        <v>337</v>
      </c>
      <c r="B150" s="972"/>
      <c r="C150" s="973"/>
      <c r="D150" s="410" t="s">
        <v>130</v>
      </c>
      <c r="E150" s="406">
        <f>'16'!F150</f>
        <v>40695</v>
      </c>
      <c r="F150" s="233">
        <v>40903</v>
      </c>
      <c r="G150" s="608">
        <f t="shared" si="11"/>
        <v>208</v>
      </c>
      <c r="H150" s="238">
        <f>G150+'16'!H150</f>
        <v>-2822.1600000000035</v>
      </c>
      <c r="I150" s="236"/>
      <c r="J150" s="408">
        <f>H150/DAY(B2)</f>
        <v>-166.0094117647061</v>
      </c>
    </row>
    <row r="151" spans="1:10" ht="27.75" customHeight="1">
      <c r="A151" s="971" t="s">
        <v>338</v>
      </c>
      <c r="B151" s="972"/>
      <c r="C151" s="973"/>
      <c r="D151" s="410" t="s">
        <v>130</v>
      </c>
      <c r="E151" s="406">
        <f>'16'!F151</f>
        <v>122749</v>
      </c>
      <c r="F151" s="233">
        <v>123011</v>
      </c>
      <c r="G151" s="608">
        <f t="shared" si="11"/>
        <v>262</v>
      </c>
      <c r="H151" s="238">
        <f>G151+'16'!H151</f>
        <v>-3592</v>
      </c>
      <c r="I151" s="236"/>
      <c r="J151" s="408">
        <f>H151/DAY(B2)</f>
        <v>-211.29411764705881</v>
      </c>
    </row>
    <row r="152" spans="1:10" ht="27.75" customHeight="1">
      <c r="A152" s="971" t="s">
        <v>339</v>
      </c>
      <c r="B152" s="972"/>
      <c r="C152" s="973"/>
      <c r="D152" s="410" t="s">
        <v>130</v>
      </c>
      <c r="E152" s="406">
        <f>'16'!F152</f>
        <v>17492</v>
      </c>
      <c r="F152" s="233">
        <v>17616</v>
      </c>
      <c r="G152" s="608">
        <f t="shared" si="11"/>
        <v>124</v>
      </c>
      <c r="H152" s="238">
        <f>G152+'16'!H152</f>
        <v>-1672.0800000000017</v>
      </c>
      <c r="I152" s="236"/>
      <c r="J152" s="408">
        <f>H152/DAY(B2)</f>
        <v>-98.35764705882363</v>
      </c>
    </row>
    <row r="153" spans="1:10" ht="27.75" customHeight="1">
      <c r="A153" s="975" t="s">
        <v>196</v>
      </c>
      <c r="B153" s="976"/>
      <c r="C153" s="537"/>
      <c r="D153" s="538"/>
      <c r="E153" s="539"/>
      <c r="F153" s="361"/>
      <c r="G153" s="609">
        <f>SUM(G138:G152)</f>
        <v>2882</v>
      </c>
      <c r="H153" s="540"/>
      <c r="I153" s="236">
        <f>G153-(G38+G52)</f>
        <v>527</v>
      </c>
      <c r="J153" s="541"/>
    </row>
    <row r="154" spans="1:10" ht="27.75" customHeight="1">
      <c r="A154" s="970" t="s">
        <v>344</v>
      </c>
      <c r="B154" s="970"/>
      <c r="C154" s="970"/>
      <c r="D154" s="970"/>
      <c r="E154" s="970"/>
      <c r="F154" s="970"/>
      <c r="G154" s="970"/>
      <c r="H154" s="970"/>
      <c r="I154" s="970"/>
      <c r="J154" s="970"/>
    </row>
    <row r="155" spans="1:10" ht="27.75" customHeight="1">
      <c r="A155" s="974" t="s">
        <v>345</v>
      </c>
      <c r="B155" s="974"/>
      <c r="C155" s="974"/>
      <c r="D155" s="410" t="s">
        <v>130</v>
      </c>
      <c r="E155" s="406">
        <f>'16'!F155</f>
        <v>121856</v>
      </c>
      <c r="F155" s="419">
        <v>122472</v>
      </c>
      <c r="G155" s="608">
        <f t="shared" ref="G155:G156" si="12">F155-E155</f>
        <v>616</v>
      </c>
      <c r="H155" s="238">
        <f>G155+'16'!H155</f>
        <v>-7769.3800000000047</v>
      </c>
      <c r="I155" s="542"/>
      <c r="J155" s="408">
        <f>H155/DAY(B2)</f>
        <v>-457.02235294117673</v>
      </c>
    </row>
    <row r="156" spans="1:10" ht="27.75" customHeight="1">
      <c r="A156" s="974" t="s">
        <v>347</v>
      </c>
      <c r="B156" s="974"/>
      <c r="C156" s="974"/>
      <c r="D156" s="410" t="s">
        <v>130</v>
      </c>
      <c r="E156" s="406">
        <f>'16'!F156</f>
        <v>10922</v>
      </c>
      <c r="F156" s="157">
        <v>10998</v>
      </c>
      <c r="G156" s="608">
        <f t="shared" si="12"/>
        <v>76</v>
      </c>
      <c r="H156" s="238">
        <f>G156+'16'!H156</f>
        <v>-1095.3600000000006</v>
      </c>
      <c r="I156" s="158"/>
      <c r="J156" s="408">
        <f>H156/DAY(B2)</f>
        <v>-64.432941176470621</v>
      </c>
    </row>
    <row r="157" spans="1:10" ht="27.75" customHeight="1">
      <c r="A157" s="971" t="s">
        <v>360</v>
      </c>
      <c r="B157" s="972"/>
      <c r="C157" s="973"/>
      <c r="D157" s="410" t="s">
        <v>130</v>
      </c>
      <c r="E157" s="406">
        <f>'16'!F157</f>
        <v>20853</v>
      </c>
      <c r="F157" s="157">
        <v>21026</v>
      </c>
      <c r="G157" s="608">
        <f>F157-E157</f>
        <v>173</v>
      </c>
      <c r="H157" s="238">
        <f>G157+'16'!H157</f>
        <v>-2170.7000000000007</v>
      </c>
      <c r="I157" s="158"/>
      <c r="J157" s="408">
        <f>H157/DAY(B2)</f>
        <v>-127.68823529411769</v>
      </c>
    </row>
    <row r="158" spans="1:10" ht="27.75" customHeight="1">
      <c r="A158" s="971" t="s">
        <v>361</v>
      </c>
      <c r="B158" s="972"/>
      <c r="C158" s="973"/>
      <c r="D158" s="410" t="s">
        <v>130</v>
      </c>
      <c r="E158" s="406">
        <f>'16'!F158</f>
        <v>189</v>
      </c>
      <c r="F158" s="158">
        <v>190</v>
      </c>
      <c r="G158" s="608">
        <f>F158-E158</f>
        <v>1</v>
      </c>
      <c r="H158" s="238">
        <f>G158+'16'!H158</f>
        <v>102.30999999999997</v>
      </c>
      <c r="I158" s="158"/>
      <c r="J158" s="408">
        <f>H158/DAY(B2)</f>
        <v>6.0182352941176456</v>
      </c>
    </row>
    <row r="159" spans="1:10" ht="27.75" customHeight="1">
      <c r="A159" s="977"/>
      <c r="B159" s="978"/>
      <c r="C159" s="979"/>
      <c r="D159" s="410"/>
      <c r="E159" s="406"/>
      <c r="F159" s="158"/>
      <c r="G159" s="608"/>
      <c r="H159" s="238"/>
      <c r="I159" s="158"/>
      <c r="J159" s="408"/>
    </row>
    <row r="160" spans="1:10" ht="27.75" customHeight="1">
      <c r="A160" s="970" t="s">
        <v>326</v>
      </c>
      <c r="B160" s="970"/>
      <c r="C160" s="970"/>
      <c r="D160" s="970"/>
      <c r="E160" s="970"/>
      <c r="F160" s="970"/>
      <c r="G160" s="970"/>
      <c r="H160" s="970"/>
      <c r="I160" s="970"/>
      <c r="J160" s="970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476651</v>
      </c>
      <c r="F161" s="760">
        <v>476666</v>
      </c>
      <c r="G161" s="498">
        <f t="shared" ref="G161:G165" si="13">F161-E161</f>
        <v>15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93277</v>
      </c>
      <c r="F162" s="235">
        <v>93316</v>
      </c>
      <c r="G162" s="498">
        <f t="shared" si="13"/>
        <v>39</v>
      </c>
      <c r="H162" s="99">
        <f>G162+'16'!H162</f>
        <v>-489.30000000000291</v>
      </c>
      <c r="I162" s="236"/>
      <c r="J162" s="239">
        <f>H162/DAY(B2)</f>
        <v>-28.78235294117664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99737</v>
      </c>
      <c r="F163" s="235">
        <v>99910</v>
      </c>
      <c r="G163" s="498">
        <f t="shared" si="13"/>
        <v>173</v>
      </c>
      <c r="H163" s="99">
        <f>G163+'16'!H163</f>
        <v>97883.900000000009</v>
      </c>
      <c r="I163" s="236"/>
      <c r="J163" s="239">
        <f>H163/DAY(B2)</f>
        <v>5757.8764705882359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5725</v>
      </c>
      <c r="F164" s="235">
        <v>5736</v>
      </c>
      <c r="G164" s="498">
        <f t="shared" si="13"/>
        <v>11</v>
      </c>
      <c r="H164" s="99">
        <f>G164+'16'!H164</f>
        <v>-162.39999999999964</v>
      </c>
      <c r="I164" s="236"/>
      <c r="J164" s="239">
        <f>H164/DAY(B2)</f>
        <v>-9.5529411764705667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31196</v>
      </c>
      <c r="F165" s="235">
        <v>31207</v>
      </c>
      <c r="G165" s="498">
        <f t="shared" si="13"/>
        <v>11</v>
      </c>
      <c r="H165" s="99">
        <f>G165+'16'!H165</f>
        <v>-139.65000000000146</v>
      </c>
      <c r="I165" s="236"/>
      <c r="J165" s="239">
        <f>H165/DAY(B2)</f>
        <v>-8.2147058823530266</v>
      </c>
    </row>
    <row r="166" spans="1:10" ht="27.75" customHeight="1">
      <c r="A166" s="935"/>
      <c r="B166" s="935"/>
      <c r="C166" s="246"/>
      <c r="D166" s="244"/>
      <c r="E166" s="95"/>
      <c r="F166" s="165"/>
      <c r="G166" s="495"/>
      <c r="H166" s="99"/>
      <c r="I166" s="165"/>
      <c r="J166" s="239"/>
    </row>
    <row r="167" spans="1:10" ht="27.75" customHeight="1">
      <c r="A167" s="935"/>
      <c r="B167" s="935"/>
      <c r="C167" s="246"/>
      <c r="D167" s="244"/>
      <c r="E167" s="95"/>
      <c r="F167" s="165"/>
      <c r="G167" s="495"/>
      <c r="H167" s="99"/>
      <c r="I167" s="165"/>
      <c r="J167" s="239"/>
    </row>
    <row r="168" spans="1:10" ht="27.75" customHeight="1">
      <c r="A168" s="935"/>
      <c r="B168" s="935"/>
      <c r="C168" s="246"/>
      <c r="D168" s="244"/>
      <c r="E168" s="95"/>
      <c r="F168" s="165"/>
      <c r="G168" s="495"/>
      <c r="H168" s="99"/>
      <c r="I168" s="165"/>
      <c r="J168" s="239"/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499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'16'!F173</f>
        <v>8276</v>
      </c>
      <c r="F173" s="157">
        <v>8276</v>
      </c>
      <c r="G173" s="499">
        <f>F173-E173</f>
        <v>0</v>
      </c>
      <c r="H173" s="99">
        <f>G173+'16'!H173</f>
        <v>47</v>
      </c>
      <c r="I173" s="155"/>
      <c r="J173" s="178">
        <f>H173/DAY(B2)</f>
        <v>2.7647058823529411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'16'!F174</f>
        <v>40569</v>
      </c>
      <c r="F174" s="157">
        <v>40583</v>
      </c>
      <c r="G174" s="499">
        <f t="shared" ref="G174:G175" si="14">F174-E174</f>
        <v>14</v>
      </c>
      <c r="H174" s="99">
        <f>G174+'16'!H174</f>
        <v>-196</v>
      </c>
      <c r="I174" s="155"/>
      <c r="J174" s="178">
        <f>H174/DAY(B2)</f>
        <v>-11.529411764705882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'16'!F175</f>
        <v>23489</v>
      </c>
      <c r="F175" s="155">
        <v>23501</v>
      </c>
      <c r="G175" s="499">
        <f t="shared" si="14"/>
        <v>12</v>
      </c>
      <c r="H175" s="99">
        <f>G175+'16'!H175</f>
        <v>-155</v>
      </c>
      <c r="I175" s="155"/>
      <c r="J175" s="178">
        <f>H175/DAY(B2)</f>
        <v>-9.117647058823529</v>
      </c>
    </row>
    <row r="176" spans="1:10" ht="27.75" customHeight="1">
      <c r="A176" s="932" t="s">
        <v>196</v>
      </c>
      <c r="B176" s="933"/>
      <c r="C176" s="333"/>
      <c r="D176" s="228" t="s">
        <v>142</v>
      </c>
      <c r="E176" s="95"/>
      <c r="F176" s="155"/>
      <c r="G176" s="499">
        <f>SUM(G173:G175)</f>
        <v>26</v>
      </c>
      <c r="H176" s="99">
        <f>G176+'16'!H176</f>
        <v>-304</v>
      </c>
      <c r="I176" s="155"/>
      <c r="J176" s="178">
        <f>H176/DAY(B2)</f>
        <v>-17.882352941176471</v>
      </c>
    </row>
    <row r="177" spans="1:11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499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93" t="s">
        <v>210</v>
      </c>
      <c r="B178" s="894"/>
      <c r="C178" s="333"/>
      <c r="D178" s="228" t="s">
        <v>142</v>
      </c>
      <c r="E178" s="95">
        <f>'16'!F178</f>
        <v>93550</v>
      </c>
      <c r="F178" s="155">
        <v>93614</v>
      </c>
      <c r="G178" s="499">
        <f>F178-E178</f>
        <v>64</v>
      </c>
      <c r="H178" s="99">
        <f>G178+'16'!H178</f>
        <v>1528</v>
      </c>
      <c r="I178" s="155"/>
      <c r="J178" s="178">
        <f>H178/DAY(B2)</f>
        <v>89.882352941176464</v>
      </c>
    </row>
    <row r="179" spans="1:11" ht="27.75" customHeight="1">
      <c r="A179" s="893" t="s">
        <v>211</v>
      </c>
      <c r="B179" s="894"/>
      <c r="C179" s="333"/>
      <c r="D179" s="228" t="s">
        <v>142</v>
      </c>
      <c r="E179" s="95">
        <f>'16'!F179</f>
        <v>36002</v>
      </c>
      <c r="F179" s="155">
        <v>36002</v>
      </c>
      <c r="G179" s="499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893" t="s">
        <v>212</v>
      </c>
      <c r="B180" s="894"/>
      <c r="C180" s="333"/>
      <c r="D180" s="228" t="s">
        <v>142</v>
      </c>
      <c r="E180" s="95">
        <f>'16'!F180</f>
        <v>6809</v>
      </c>
      <c r="F180" s="155">
        <v>6811</v>
      </c>
      <c r="G180" s="499">
        <f t="shared" si="15"/>
        <v>2</v>
      </c>
      <c r="H180" s="99">
        <f>G180+'16'!H180</f>
        <v>-71</v>
      </c>
      <c r="I180" s="155"/>
      <c r="J180" s="178">
        <f>H180/DAY(B2)</f>
        <v>-4.1764705882352944</v>
      </c>
    </row>
    <row r="181" spans="1:11" ht="27.75" customHeight="1">
      <c r="A181" s="939" t="s">
        <v>108</v>
      </c>
      <c r="B181" s="940"/>
      <c r="C181" s="333"/>
      <c r="D181" s="228" t="s">
        <v>142</v>
      </c>
      <c r="E181" s="95"/>
      <c r="F181" s="155"/>
      <c r="G181" s="499">
        <f>SUM(G178:G180)</f>
        <v>66</v>
      </c>
      <c r="H181" s="99">
        <f>G181+'16'!H181</f>
        <v>1457</v>
      </c>
      <c r="I181" s="155"/>
      <c r="J181" s="178">
        <f>H181/DAY(B2)</f>
        <v>85.705882352941174</v>
      </c>
    </row>
    <row r="182" spans="1:11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499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93" t="s">
        <v>214</v>
      </c>
      <c r="B183" s="894"/>
      <c r="C183" s="334"/>
      <c r="D183" s="228" t="s">
        <v>142</v>
      </c>
      <c r="E183" s="95">
        <f>'16'!F183</f>
        <v>17173</v>
      </c>
      <c r="F183" s="157">
        <v>17182</v>
      </c>
      <c r="G183" s="500">
        <f>F183-E183</f>
        <v>9</v>
      </c>
      <c r="H183" s="99">
        <f>G183+'16'!H183</f>
        <v>-93</v>
      </c>
      <c r="I183" s="155"/>
      <c r="J183" s="178">
        <f>H183/DAY(B2)</f>
        <v>-5.4705882352941178</v>
      </c>
    </row>
    <row r="184" spans="1:11" ht="27.75" customHeight="1">
      <c r="A184" s="893" t="s">
        <v>215</v>
      </c>
      <c r="B184" s="894"/>
      <c r="C184" s="334"/>
      <c r="D184" s="228" t="s">
        <v>142</v>
      </c>
      <c r="E184" s="95">
        <f>'16'!F184</f>
        <v>11597</v>
      </c>
      <c r="F184" s="157">
        <v>11602</v>
      </c>
      <c r="G184" s="500">
        <f t="shared" ref="G184:G185" si="16">F184-E184</f>
        <v>5</v>
      </c>
      <c r="H184" s="99">
        <f>G184+'16'!H184</f>
        <v>-87</v>
      </c>
      <c r="I184" s="155"/>
      <c r="J184" s="178">
        <f>H184/DAY(B2)</f>
        <v>-5.117647058823529</v>
      </c>
    </row>
    <row r="185" spans="1:11" ht="27.75" customHeight="1">
      <c r="A185" s="893" t="s">
        <v>216</v>
      </c>
      <c r="B185" s="894"/>
      <c r="C185" s="334"/>
      <c r="D185" s="228" t="s">
        <v>142</v>
      </c>
      <c r="E185" s="95">
        <f>'16'!F185</f>
        <v>0</v>
      </c>
      <c r="F185" s="157"/>
      <c r="G185" s="500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32" t="s">
        <v>196</v>
      </c>
      <c r="B186" s="933"/>
      <c r="C186" s="334"/>
      <c r="D186" s="228" t="s">
        <v>142</v>
      </c>
      <c r="E186" s="95"/>
      <c r="F186" s="157"/>
      <c r="G186" s="500">
        <f>SUM(G183:G185)</f>
        <v>14</v>
      </c>
      <c r="H186" s="99">
        <f>G186+'16'!H186</f>
        <v>-180</v>
      </c>
      <c r="I186" s="157"/>
      <c r="J186" s="178">
        <f>H186/DAY(B2)</f>
        <v>-10.588235294117647</v>
      </c>
    </row>
    <row r="187" spans="1:11" ht="27.75" customHeight="1">
      <c r="A187" s="943" t="s">
        <v>217</v>
      </c>
      <c r="B187" s="944"/>
      <c r="C187" s="333"/>
      <c r="D187" s="228" t="s">
        <v>142</v>
      </c>
      <c r="E187" s="95"/>
      <c r="F187" s="159"/>
      <c r="G187" s="501">
        <f>G62+G19</f>
        <v>170</v>
      </c>
      <c r="H187" s="99">
        <f>G187+'16'!H187</f>
        <v>-1161</v>
      </c>
      <c r="I187" s="158"/>
      <c r="J187" s="179">
        <f>H187/DAY(B2)</f>
        <v>-68.294117647058826</v>
      </c>
    </row>
    <row r="188" spans="1:11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501">
        <f>G65+G66+G67+G69+G70</f>
        <v>152</v>
      </c>
      <c r="H188" s="99">
        <f>G188+'16'!H188</f>
        <v>462</v>
      </c>
      <c r="I188" s="158"/>
      <c r="J188" s="179">
        <f>H188/DAY(B2)</f>
        <v>27.176470588235293</v>
      </c>
    </row>
    <row r="189" spans="1:11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501">
        <f>G181</f>
        <v>66</v>
      </c>
      <c r="H189" s="99">
        <f>G189+'16'!H189</f>
        <v>1457</v>
      </c>
      <c r="I189" s="158"/>
      <c r="J189" s="179">
        <f>H189/DAY(B2)</f>
        <v>85.705882352941174</v>
      </c>
    </row>
    <row r="190" spans="1:11" ht="27.75" customHeight="1">
      <c r="A190" s="937"/>
      <c r="B190" s="938"/>
      <c r="C190" s="399"/>
      <c r="D190" s="396"/>
      <c r="E190" s="396"/>
      <c r="F190" s="396"/>
      <c r="G190" s="610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5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33" zoomScale="55" zoomScaleNormal="68" zoomScaleSheetLayoutView="55" workbookViewId="0">
      <selection activeCell="F15" sqref="F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355</v>
      </c>
      <c r="B2" s="262">
        <v>44730</v>
      </c>
      <c r="C2" s="348" t="s">
        <v>67</v>
      </c>
      <c r="D2" s="218">
        <v>0.98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3" t="s">
        <v>119</v>
      </c>
      <c r="F3" s="884"/>
      <c r="G3" s="429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9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981532.47</v>
      </c>
      <c r="F7" s="95">
        <f>E7+27500</f>
        <v>1009032.47</v>
      </c>
      <c r="G7" s="432">
        <f>F7-E7</f>
        <v>27500</v>
      </c>
      <c r="H7" s="99">
        <f>G7+'17'!H7</f>
        <v>486067.97</v>
      </c>
      <c r="I7" s="113">
        <f>'1'!I7</f>
        <v>12000</v>
      </c>
      <c r="J7" s="175">
        <f>H7/DAY(B2)</f>
        <v>27003.77611111111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1124254.6499999999</v>
      </c>
      <c r="F8" s="95">
        <f>E8+27000</f>
        <v>1151254.6499999999</v>
      </c>
      <c r="G8" s="433">
        <f>F8-E8</f>
        <v>27000</v>
      </c>
      <c r="H8" s="99">
        <f>G8+'17'!H8</f>
        <v>489465.64999999991</v>
      </c>
      <c r="I8" s="116"/>
      <c r="J8" s="175">
        <f>H8/DAY(B2)</f>
        <v>27192.536111111105</v>
      </c>
      <c r="K8" s="172">
        <v>1715917</v>
      </c>
      <c r="L8" s="76">
        <v>1728480</v>
      </c>
      <c r="M8" s="87">
        <f>L8-K8</f>
        <v>12563</v>
      </c>
      <c r="N8" s="87">
        <f>G8-64</f>
        <v>26936</v>
      </c>
      <c r="O8" s="71">
        <f>G7-N8</f>
        <v>564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2720737</v>
      </c>
      <c r="F9" s="469">
        <v>2741072</v>
      </c>
      <c r="G9" s="432">
        <f>F9-E9</f>
        <v>20335</v>
      </c>
      <c r="H9" s="99">
        <f>G9+'17'!H9</f>
        <v>-176577.10000000009</v>
      </c>
      <c r="I9" s="124">
        <f>I7-J7</f>
        <v>-15003.77611111111</v>
      </c>
      <c r="J9" s="175">
        <f>H9/DAY(B2)</f>
        <v>-9809.8388888888949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1085546</v>
      </c>
      <c r="F10" s="353">
        <v>1093803</v>
      </c>
      <c r="G10" s="432">
        <f>F10-E10</f>
        <v>8257</v>
      </c>
      <c r="H10" s="99">
        <f>G10+'17'!H10</f>
        <v>-141883.62999999989</v>
      </c>
      <c r="I10" s="282"/>
      <c r="J10" s="175">
        <f>H10/DAY(B2)</f>
        <v>-7882.4238888888831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2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2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4">
        <f>G9+G10+G11+G12</f>
        <v>28592</v>
      </c>
      <c r="H13" s="99">
        <f>G13+'17'!H13</f>
        <v>-316731.79999999981</v>
      </c>
      <c r="I13" s="120">
        <f>G7-G13</f>
        <v>-1092</v>
      </c>
      <c r="J13" s="175">
        <f>H13/DAY(B2)</f>
        <v>-17596.211111111101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'17'!F15</f>
        <v>2085461.24</v>
      </c>
      <c r="F15" s="469">
        <f>E15+1000</f>
        <v>2086461.24</v>
      </c>
      <c r="G15" s="432">
        <f>(F15-E15)</f>
        <v>1000</v>
      </c>
      <c r="H15" s="99">
        <f>G15+'17'!H15</f>
        <v>18382.830000000075</v>
      </c>
      <c r="I15" s="113">
        <f>'1'!I15</f>
        <v>800</v>
      </c>
      <c r="J15" s="175">
        <f>H15/DAY(B2)</f>
        <v>1021.2683333333375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-221.26833333333752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'17'!F18</f>
        <v>23</v>
      </c>
      <c r="F18" s="122">
        <v>18</v>
      </c>
      <c r="G18" s="434">
        <f>F18*10</f>
        <v>180</v>
      </c>
      <c r="H18" s="99">
        <f>G18+'17'!H18</f>
        <v>3370</v>
      </c>
      <c r="I18" s="113">
        <f>'1'!I18</f>
        <v>65</v>
      </c>
      <c r="J18" s="175">
        <f>H18/DAY(B2)</f>
        <v>187.22222222222223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'17'!F19</f>
        <v>160988</v>
      </c>
      <c r="F19" s="122">
        <v>161040</v>
      </c>
      <c r="G19" s="432">
        <f t="shared" ref="G19" si="1">F19-E19</f>
        <v>52</v>
      </c>
      <c r="H19" s="99">
        <f>G19+'17'!H19</f>
        <v>217</v>
      </c>
      <c r="I19" s="335"/>
      <c r="J19" s="175">
        <f>H19/DAY(B2)</f>
        <v>12.055555555555555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6">
        <f>G18+G19</f>
        <v>232</v>
      </c>
      <c r="H20" s="99">
        <f>G20+'17'!H20</f>
        <v>3587</v>
      </c>
      <c r="I20" s="336">
        <f>I18-J20</f>
        <v>-134.27777777777777</v>
      </c>
      <c r="J20" s="175">
        <f>H20/DAY(B2)</f>
        <v>199.27777777777777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4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4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439">
        <f>E27*F27</f>
        <v>243000</v>
      </c>
      <c r="H27" s="99">
        <f>G27+'17'!H27</f>
        <v>4405190.8499999996</v>
      </c>
      <c r="I27" s="138"/>
      <c r="J27" s="175">
        <f>H27/DAY(B2)</f>
        <v>244732.82499999998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39">
        <f>E28*F28</f>
        <v>70000</v>
      </c>
      <c r="H28" s="99">
        <f>G28+'17'!H28</f>
        <v>1286798.1000000052</v>
      </c>
      <c r="I28" s="140"/>
      <c r="J28" s="175">
        <f>H28/DAY(B2)</f>
        <v>71488.783333333617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439">
        <f>E30*F30</f>
        <v>7852</v>
      </c>
      <c r="H30" s="99">
        <f>G30+'17'!H30</f>
        <v>32767</v>
      </c>
      <c r="I30" s="140"/>
      <c r="J30" s="175">
        <f>H30/DAY(B2)</f>
        <v>1820.3888888888889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39">
        <f>E31*F31</f>
        <v>14400</v>
      </c>
      <c r="H31" s="99">
        <f>G31+'17'!H31</f>
        <v>269600</v>
      </c>
      <c r="I31" s="140"/>
      <c r="J31" s="175">
        <f>H31/DAY(B2)</f>
        <v>14977.777777777777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0">
        <f>G27+G28+G29+G30+G31</f>
        <v>335252</v>
      </c>
      <c r="H32" s="99">
        <f>G32+'17'!H32</f>
        <v>5994355.9500000048</v>
      </c>
      <c r="I32" s="144"/>
      <c r="J32" s="175">
        <f>H32/DAY(B2)</f>
        <v>333019.77500000026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238713</v>
      </c>
      <c r="F35" s="145">
        <v>238714</v>
      </c>
      <c r="G35" s="432">
        <f t="shared" ref="G35:G46" si="2">F35-E35</f>
        <v>1</v>
      </c>
      <c r="H35" s="99">
        <f>G35+'17'!H35</f>
        <v>0.95000000001164153</v>
      </c>
      <c r="I35" s="95"/>
      <c r="J35" s="175">
        <f>H35/DAY(B2)</f>
        <v>5.2777777778424531E-2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175051</v>
      </c>
      <c r="F36" s="145">
        <v>176096</v>
      </c>
      <c r="G36" s="432">
        <f t="shared" si="2"/>
        <v>1045</v>
      </c>
      <c r="H36" s="99">
        <f>G36+'17'!H36</f>
        <v>-10824.23000000001</v>
      </c>
      <c r="I36" s="95"/>
      <c r="J36" s="175">
        <f>H36/DAY(B2)</f>
        <v>-601.34611111111167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265338</v>
      </c>
      <c r="F37" s="145">
        <v>267067</v>
      </c>
      <c r="G37" s="432">
        <f t="shared" si="2"/>
        <v>1729</v>
      </c>
      <c r="H37" s="99">
        <f>G37+'17'!H37</f>
        <v>-19651.989999999991</v>
      </c>
      <c r="I37" s="95"/>
      <c r="J37" s="175">
        <f>H37/DAY(B2)</f>
        <v>-1091.7772222222218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357476</v>
      </c>
      <c r="F38" s="108">
        <v>359873</v>
      </c>
      <c r="G38" s="432">
        <f t="shared" si="2"/>
        <v>2397</v>
      </c>
      <c r="H38" s="99">
        <f>G38+'17'!H38</f>
        <v>-26790.349999999977</v>
      </c>
      <c r="I38" s="95"/>
      <c r="J38" s="175">
        <f>H38/DAY(B2)</f>
        <v>-1488.3527777777765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483928</v>
      </c>
      <c r="F39" s="145">
        <v>487086</v>
      </c>
      <c r="G39" s="432">
        <f t="shared" si="2"/>
        <v>3158</v>
      </c>
      <c r="H39" s="99">
        <f>G39+'17'!H39</f>
        <v>-36294.590000000026</v>
      </c>
      <c r="I39" s="95"/>
      <c r="J39" s="175">
        <f>H39/DAY(B2)</f>
        <v>-2016.3661111111126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78169</v>
      </c>
      <c r="F40" s="423">
        <v>78998</v>
      </c>
      <c r="G40" s="520">
        <f t="shared" si="2"/>
        <v>829</v>
      </c>
      <c r="H40" s="99">
        <f>G40+'17'!H40</f>
        <v>-4673.0899999999965</v>
      </c>
      <c r="I40" s="95"/>
      <c r="J40" s="175">
        <f>H40/DAY(B2)</f>
        <v>-259.61611111111091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114414</v>
      </c>
      <c r="F41" s="145">
        <v>120664</v>
      </c>
      <c r="G41" s="432">
        <f t="shared" si="2"/>
        <v>6250</v>
      </c>
      <c r="H41" s="99">
        <f>G41+'17'!H41</f>
        <v>-22154.399999999994</v>
      </c>
      <c r="I41" s="95"/>
      <c r="J41" s="175">
        <f>H41/DAY(B2)</f>
        <v>-1230.7999999999997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638793</v>
      </c>
      <c r="F42" s="145">
        <v>643374</v>
      </c>
      <c r="G42" s="432">
        <f t="shared" si="2"/>
        <v>4581</v>
      </c>
      <c r="H42" s="99">
        <f>G42+'17'!H42</f>
        <v>-45258.550000000047</v>
      </c>
      <c r="I42" s="95"/>
      <c r="J42" s="175">
        <f>H42/DAY(B2)</f>
        <v>-2514.3638888888913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2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2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2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2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19990</v>
      </c>
      <c r="H47" s="99">
        <f>G47+'17'!H47</f>
        <v>-165646.25</v>
      </c>
      <c r="I47" s="95"/>
      <c r="J47" s="175">
        <f>H47/DAY(B2)</f>
        <v>-9202.5694444444453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321230</v>
      </c>
      <c r="F49" s="145">
        <v>324717</v>
      </c>
      <c r="G49" s="432">
        <f t="shared" ref="G49:G58" si="3">F49-E49</f>
        <v>3487</v>
      </c>
      <c r="H49" s="99">
        <f>G49+'17'!H49</f>
        <v>-46054.75</v>
      </c>
      <c r="I49" s="95"/>
      <c r="J49" s="175">
        <f>H49/DAY(B2)</f>
        <v>-2558.5972222222222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228492</v>
      </c>
      <c r="F50" s="145">
        <v>229995</v>
      </c>
      <c r="G50" s="432">
        <f t="shared" si="3"/>
        <v>1503</v>
      </c>
      <c r="H50" s="99">
        <f>G50+'17'!H50</f>
        <v>-13110.399999999994</v>
      </c>
      <c r="I50" s="95"/>
      <c r="J50" s="175">
        <f>H50/DAY(B2)</f>
        <v>-728.35555555555527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2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32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2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72394</v>
      </c>
      <c r="F54" s="145">
        <v>72761</v>
      </c>
      <c r="G54" s="432">
        <f t="shared" si="3"/>
        <v>367</v>
      </c>
      <c r="H54" s="99">
        <f>G54+'17'!H54</f>
        <v>-4256.5</v>
      </c>
      <c r="I54" s="95"/>
      <c r="J54" s="175">
        <f>H54/DAY(B2)</f>
        <v>-236.47222222222223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254288</v>
      </c>
      <c r="F55" s="145">
        <v>254288</v>
      </c>
      <c r="G55" s="432">
        <f t="shared" si="3"/>
        <v>0</v>
      </c>
      <c r="H55" s="99">
        <f>G55+'17'!H55</f>
        <v>-29794.929999999993</v>
      </c>
      <c r="I55" s="95"/>
      <c r="J55" s="175">
        <f>H55/DAY(B2)</f>
        <v>-1655.2738888888885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109347</v>
      </c>
      <c r="F56" s="145">
        <v>109347</v>
      </c>
      <c r="G56" s="432">
        <f t="shared" si="3"/>
        <v>0</v>
      </c>
      <c r="H56" s="99">
        <f>G56+'17'!H56</f>
        <v>-1896.1300000000047</v>
      </c>
      <c r="I56" s="95"/>
      <c r="J56" s="175">
        <f>H56/DAY(B2)</f>
        <v>-105.34055555555581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91359</v>
      </c>
      <c r="F57" s="145">
        <v>94457</v>
      </c>
      <c r="G57" s="432">
        <f t="shared" si="3"/>
        <v>3098</v>
      </c>
      <c r="H57" s="99">
        <f>G57+'17'!H57</f>
        <v>-37446.700000000012</v>
      </c>
      <c r="I57" s="95"/>
      <c r="J57" s="175">
        <f>H57/DAY(B2)</f>
        <v>-2080.3722222222227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36784</v>
      </c>
      <c r="F58" s="423">
        <v>37028</v>
      </c>
      <c r="G58" s="432">
        <f t="shared" si="3"/>
        <v>244</v>
      </c>
      <c r="H58" s="99">
        <f>G58+'17'!H58</f>
        <v>-3252.1100000000006</v>
      </c>
      <c r="I58" s="95"/>
      <c r="J58" s="175">
        <f>H58/DAY(B2)</f>
        <v>-180.67277777777781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8699</v>
      </c>
      <c r="H59" s="99">
        <f>G59+'17'!H59</f>
        <v>-135811.20000000007</v>
      </c>
      <c r="I59" s="95">
        <f>G7-G60</f>
        <v>-1189</v>
      </c>
      <c r="J59" s="175">
        <f>H59/DAY(B2)</f>
        <v>-7545.0666666666702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4">
        <f>G47+G59</f>
        <v>28689</v>
      </c>
      <c r="H60" s="99">
        <f>G60+'17'!H60</f>
        <v>-301457.45000000007</v>
      </c>
      <c r="I60" s="95">
        <f>G13-G60</f>
        <v>-97</v>
      </c>
      <c r="J60" s="175">
        <f>H60/DAY(B2)</f>
        <v>-16747.636111111115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'17'!F62</f>
        <v>291372</v>
      </c>
      <c r="F62" s="122">
        <v>291490</v>
      </c>
      <c r="G62" s="432">
        <f t="shared" ref="G62:G63" si="4">F62-E62</f>
        <v>118</v>
      </c>
      <c r="H62" s="99">
        <f>G62+'17'!H62</f>
        <v>-1208</v>
      </c>
      <c r="I62" s="118"/>
      <c r="J62" s="175">
        <f>H62/DAY(B2)</f>
        <v>-67.111111111111114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'17'!F63</f>
        <v>233369</v>
      </c>
      <c r="F63" s="122">
        <v>233537</v>
      </c>
      <c r="G63" s="432">
        <f t="shared" si="4"/>
        <v>168</v>
      </c>
      <c r="H63" s="99">
        <f>G63+'17'!H63</f>
        <v>-1529</v>
      </c>
      <c r="I63" s="118"/>
      <c r="J63" s="175">
        <f>H63/DAY(B2)</f>
        <v>-84.944444444444443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'17'!F64</f>
        <v>0</v>
      </c>
      <c r="F64" s="122"/>
      <c r="G64" s="432">
        <f>G62+G63</f>
        <v>286</v>
      </c>
      <c r="H64" s="99">
        <f>G64+'17'!H64</f>
        <v>-2737</v>
      </c>
      <c r="I64" s="118"/>
      <c r="J64" s="175">
        <f>H64/DAY(B2)</f>
        <v>-152.05555555555554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'17'!F65</f>
        <v>450060</v>
      </c>
      <c r="F65" s="122">
        <v>450172</v>
      </c>
      <c r="G65" s="432">
        <f t="shared" ref="G65:G70" si="5">F65-E65</f>
        <v>112</v>
      </c>
      <c r="H65" s="99">
        <f>G65+'17'!H65</f>
        <v>-1217</v>
      </c>
      <c r="I65" s="118"/>
      <c r="J65" s="175">
        <f>H65/DAY(B2)</f>
        <v>-67.611111111111114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110775</v>
      </c>
      <c r="F66" s="122">
        <v>110799</v>
      </c>
      <c r="G66" s="432">
        <f t="shared" si="5"/>
        <v>24</v>
      </c>
      <c r="H66" s="99">
        <f>G66+'17'!H66</f>
        <v>-228</v>
      </c>
      <c r="I66" s="118"/>
      <c r="J66" s="175">
        <f>H66/DAY(B2)</f>
        <v>-12.666666666666666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113681</v>
      </c>
      <c r="F67" s="122">
        <v>113681</v>
      </c>
      <c r="G67" s="432">
        <f t="shared" si="5"/>
        <v>0</v>
      </c>
      <c r="H67" s="99">
        <f>G67+'17'!H67</f>
        <v>1</v>
      </c>
      <c r="I67" s="118"/>
      <c r="J67" s="175">
        <f>H67/DAY(B2)</f>
        <v>5.5555555555555552E-2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163023</v>
      </c>
      <c r="F68" s="122">
        <v>163082</v>
      </c>
      <c r="G68" s="432">
        <f t="shared" si="5"/>
        <v>59</v>
      </c>
      <c r="H68" s="99">
        <f>G68+'17'!H68</f>
        <v>-444</v>
      </c>
      <c r="I68" s="118"/>
      <c r="J68" s="175">
        <f>H68/DAY(B2)</f>
        <v>-24.666666666666668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12055</v>
      </c>
      <c r="F69" s="122">
        <v>12064</v>
      </c>
      <c r="G69" s="432">
        <f t="shared" si="5"/>
        <v>9</v>
      </c>
      <c r="H69" s="99">
        <f>G69+'17'!H69</f>
        <v>-64</v>
      </c>
      <c r="I69" s="118"/>
      <c r="J69" s="175">
        <f>H69/DAY(B2)</f>
        <v>-3.5555555555555554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9408</v>
      </c>
      <c r="F70" s="122">
        <v>9415</v>
      </c>
      <c r="G70" s="432">
        <f t="shared" si="5"/>
        <v>7</v>
      </c>
      <c r="H70" s="99">
        <f>G70+'17'!H70</f>
        <v>-99</v>
      </c>
      <c r="I70" s="118"/>
      <c r="J70" s="175">
        <f>H70/DAY(B2)</f>
        <v>-5.5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444">
        <f>SUM(G65:G70)</f>
        <v>211</v>
      </c>
      <c r="H71" s="99">
        <f>G71+'17'!H71</f>
        <v>-2051</v>
      </c>
      <c r="I71" s="154"/>
      <c r="J71" s="175">
        <f>H71/DAY(B2)</f>
        <v>-113.94444444444444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'17'!F74</f>
        <v>943936.52</v>
      </c>
      <c r="F74" s="123">
        <v>944234</v>
      </c>
      <c r="G74" s="432">
        <f>F74-E74</f>
        <v>297.47999999998137</v>
      </c>
      <c r="H74" s="99">
        <f>G74+'17'!H74</f>
        <v>-3473.1999999999534</v>
      </c>
      <c r="I74" s="154"/>
      <c r="J74" s="175">
        <f>H74/DAY(B2)</f>
        <v>-192.95555555555296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'17'!F75</f>
        <v>73586.8</v>
      </c>
      <c r="F75" s="410">
        <v>73586.8</v>
      </c>
      <c r="G75" s="432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'17'!F76</f>
        <v>185596</v>
      </c>
      <c r="F76" s="123">
        <v>185707</v>
      </c>
      <c r="G76" s="432">
        <f>F76-E76</f>
        <v>111</v>
      </c>
      <c r="H76" s="99">
        <f>G76+'17'!H76</f>
        <v>-1184.2999999999884</v>
      </c>
      <c r="I76" s="154"/>
      <c r="J76" s="175">
        <f>H76/DAY(B2)</f>
        <v>-65.794444444443798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'17'!F77</f>
        <v>48151</v>
      </c>
      <c r="F77" s="123">
        <v>48201</v>
      </c>
      <c r="G77" s="432">
        <f t="shared" si="6"/>
        <v>50</v>
      </c>
      <c r="H77" s="99">
        <f>G77+'17'!H77</f>
        <v>-534.80000000000291</v>
      </c>
      <c r="I77" s="154"/>
      <c r="J77" s="175">
        <f>H77/DAY(B2)</f>
        <v>-29.711111111111272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'17'!F78</f>
        <v>9564</v>
      </c>
      <c r="F78" s="123">
        <v>9564</v>
      </c>
      <c r="G78" s="432">
        <f t="shared" si="6"/>
        <v>0</v>
      </c>
      <c r="H78" s="99">
        <f>G78+'17'!H78</f>
        <v>-0.3999999999996362</v>
      </c>
      <c r="I78" s="118"/>
      <c r="J78" s="175">
        <f>H78/DAY(B2)</f>
        <v>-2.222222222220201E-2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'17'!F79</f>
        <v>0</v>
      </c>
      <c r="F79" s="123">
        <v>0</v>
      </c>
      <c r="G79" s="432">
        <f>G15-SUM(G74:G78)</f>
        <v>541.52000000001863</v>
      </c>
      <c r="H79" s="99">
        <f>G79+'17'!H79</f>
        <v>23575.530000000021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432">
        <f>SUM(G74:G79)</f>
        <v>1000</v>
      </c>
      <c r="H80" s="99">
        <f>G80+'17'!H80</f>
        <v>1000</v>
      </c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446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2">
        <f t="shared" ref="G82:G92" si="7">F82-E82</f>
        <v>0</v>
      </c>
      <c r="H82" s="99">
        <f>G82+'17'!H82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2">
        <f t="shared" si="7"/>
        <v>0</v>
      </c>
      <c r="H83" s="99">
        <f>G83+'17'!H83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42161.440000000002</v>
      </c>
      <c r="F84" s="164">
        <v>42185.58</v>
      </c>
      <c r="G84" s="432">
        <f>F84-E84</f>
        <v>24.139999999999418</v>
      </c>
      <c r="H84" s="99">
        <f>G84+'17'!H84</f>
        <v>-89.419999999998254</v>
      </c>
      <c r="I84" s="573"/>
      <c r="J84" s="175">
        <f>H84/DAY(B2)</f>
        <v>-4.9677777777776804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4672.3900000000003</v>
      </c>
      <c r="F85" s="164">
        <v>4691.1499999999996</v>
      </c>
      <c r="G85" s="432">
        <f t="shared" si="7"/>
        <v>18.759999999999309</v>
      </c>
      <c r="H85" s="99">
        <f>G85+'17'!H85</f>
        <v>-190.86000000000058</v>
      </c>
      <c r="I85" s="573"/>
      <c r="J85" s="175">
        <f>H85/DAY(B2)</f>
        <v>-10.603333333333365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44658</v>
      </c>
      <c r="F86" s="164">
        <v>44658</v>
      </c>
      <c r="G86" s="432">
        <f t="shared" si="7"/>
        <v>0</v>
      </c>
      <c r="H86" s="99">
        <f>G86+'17'!H86</f>
        <v>-194.30000000000291</v>
      </c>
      <c r="I86" s="573"/>
      <c r="J86" s="175">
        <f>H86/DAY(B2)</f>
        <v>-10.794444444444606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35345</v>
      </c>
      <c r="F87" s="164">
        <v>35345</v>
      </c>
      <c r="G87" s="432">
        <f t="shared" si="7"/>
        <v>0</v>
      </c>
      <c r="H87" s="99">
        <f>G87+'17'!H87</f>
        <v>-13.05000000000291</v>
      </c>
      <c r="I87" s="573">
        <f>G84+G85+G86+G87</f>
        <v>42.899999999998727</v>
      </c>
      <c r="J87" s="175">
        <f>H87/DAY(B2)</f>
        <v>-0.72500000000016174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24277</v>
      </c>
      <c r="F88" s="164">
        <v>24277</v>
      </c>
      <c r="G88" s="432">
        <f t="shared" si="7"/>
        <v>0</v>
      </c>
      <c r="H88" s="99">
        <f>G88+'17'!H88</f>
        <v>-0.2000000000007276</v>
      </c>
      <c r="I88" s="573"/>
      <c r="J88" s="175">
        <f>H88/DAY(B2)</f>
        <v>-1.1111111111151532E-2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27167</v>
      </c>
      <c r="F89" s="164">
        <v>27177</v>
      </c>
      <c r="G89" s="432">
        <f t="shared" si="7"/>
        <v>10</v>
      </c>
      <c r="H89" s="99">
        <f>G89+'17'!H89</f>
        <v>-114.41999999999825</v>
      </c>
      <c r="I89" s="573">
        <f>G88+G89</f>
        <v>10</v>
      </c>
      <c r="J89" s="175">
        <f>H89/DAY(B2)</f>
        <v>-6.3566666666665697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72199</v>
      </c>
      <c r="F90" s="164">
        <v>72211</v>
      </c>
      <c r="G90" s="432">
        <f t="shared" si="7"/>
        <v>12</v>
      </c>
      <c r="H90" s="99">
        <f>G90+'17'!H90</f>
        <v>-90.129999999990105</v>
      </c>
      <c r="I90" s="573">
        <f>G90</f>
        <v>12</v>
      </c>
      <c r="J90" s="175">
        <f>H90/DAY(B2)</f>
        <v>-5.0072222222216727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4122</v>
      </c>
      <c r="F91" s="404">
        <v>4122</v>
      </c>
      <c r="G91" s="432">
        <f t="shared" si="7"/>
        <v>0</v>
      </c>
      <c r="H91" s="99">
        <f>G91+'17'!H91</f>
        <v>-16.4399999999996</v>
      </c>
      <c r="I91" s="592"/>
      <c r="J91" s="175">
        <f>H91/DAY(B2)</f>
        <v>-0.91333333333331113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6401</v>
      </c>
      <c r="F92" s="404">
        <v>6411</v>
      </c>
      <c r="G92" s="432">
        <f t="shared" si="7"/>
        <v>10</v>
      </c>
      <c r="H92" s="99">
        <f>G92+'17'!H92</f>
        <v>-104.34000000000015</v>
      </c>
      <c r="I92" s="598">
        <f>G91+G92</f>
        <v>10</v>
      </c>
      <c r="J92" s="175">
        <f>H92/DAY(B2)</f>
        <v>-5.7966666666666748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447">
        <f>G35+G43+G49+G57</f>
        <v>6586</v>
      </c>
      <c r="H94" s="99">
        <f>G94+'17'!H94</f>
        <v>-83500.5</v>
      </c>
      <c r="I94" s="118"/>
      <c r="J94" s="175">
        <f>H94/DAY(B2)</f>
        <v>-4638.916666666667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448">
        <f>G94/G7</f>
        <v>0.23949090909090909</v>
      </c>
      <c r="H95" s="99">
        <f>G95+'17'!H95</f>
        <v>-2.9494353628066983</v>
      </c>
      <c r="I95" s="167"/>
      <c r="J95" s="175">
        <f>H95/DAY(B2)</f>
        <v>-0.16385752015592769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447">
        <f>G41+G42+G55+G56</f>
        <v>10831</v>
      </c>
      <c r="H96" s="99">
        <f>G96+'17'!H96</f>
        <v>-99104.010000000068</v>
      </c>
      <c r="I96" s="118"/>
      <c r="J96" s="175">
        <f>H96/DAY(B2)</f>
        <v>-5505.7783333333373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448">
        <f>G96/G7</f>
        <v>0.39385454545454546</v>
      </c>
      <c r="H97" s="99">
        <f>G97+'17'!H97</f>
        <v>-3.5259600639999569</v>
      </c>
      <c r="I97" s="167"/>
      <c r="J97" s="175">
        <f>H97/DAY(B2)</f>
        <v>-0.19588667022221984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447">
        <f>G39+G53</f>
        <v>3158</v>
      </c>
      <c r="H98" s="99">
        <f>G98+'17'!H98</f>
        <v>-36294.590000000026</v>
      </c>
      <c r="I98" s="168"/>
      <c r="J98" s="175">
        <f>H98/DAY(B2)</f>
        <v>-2016.3661111111126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448">
        <f>G98/G7</f>
        <v>0.11483636363636364</v>
      </c>
      <c r="H99" s="99">
        <f>G99+'17'!H99</f>
        <v>-1.2820091535451126</v>
      </c>
      <c r="I99" s="168"/>
      <c r="J99" s="175">
        <f>H99/DAY(B2)</f>
        <v>-7.122273075250625E-2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447">
        <f>G38+G52</f>
        <v>2397</v>
      </c>
      <c r="H100" s="99">
        <f>G100+'17'!H100</f>
        <v>-26790.349999999969</v>
      </c>
      <c r="I100" s="118"/>
      <c r="J100" s="175">
        <f>H100/DAY(B2)</f>
        <v>-1488.3527777777761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448">
        <f>G100/G7</f>
        <v>8.716363636363636E-2</v>
      </c>
      <c r="H101" s="99">
        <f>G101+'17'!H101</f>
        <v>-0.94535756223580036</v>
      </c>
      <c r="I101" s="168"/>
      <c r="J101" s="175">
        <f>H101/DAY(B2)</f>
        <v>-5.2519864568655573E-2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447">
        <f>G36+G50</f>
        <v>2548</v>
      </c>
      <c r="H102" s="99">
        <f>G102+'17'!H102</f>
        <v>-23934.630000000005</v>
      </c>
      <c r="I102" s="168"/>
      <c r="J102" s="175">
        <f>H102/DAY(B2)</f>
        <v>-1329.7016666666668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448">
        <f>G102/G7</f>
        <v>9.2654545454545448E-2</v>
      </c>
      <c r="H103" s="99">
        <f>G103+'17'!H103</f>
        <v>-0.84818133066650936</v>
      </c>
      <c r="I103" s="118"/>
      <c r="J103" s="175">
        <f>H103/DAY(B2)</f>
        <v>-4.71211850370283E-2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447">
        <f>G37+G51</f>
        <v>1729</v>
      </c>
      <c r="H104" s="99">
        <f>G104+'17'!H104</f>
        <v>-19651.669999999991</v>
      </c>
      <c r="I104" s="118"/>
      <c r="J104" s="175">
        <f>H104/DAY(B2)</f>
        <v>-1091.7594444444439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449">
        <f>G104/G7</f>
        <v>6.2872727272727275E-2</v>
      </c>
      <c r="H105" s="99">
        <f>G105+'17'!H105</f>
        <v>-0.6938143707175084</v>
      </c>
      <c r="I105" s="187"/>
      <c r="J105" s="188">
        <f>H105/DAY(B2)</f>
        <v>-3.8545242817639352E-2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452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'17'!F112</f>
        <v>3971</v>
      </c>
      <c r="F112" s="237">
        <v>4048</v>
      </c>
      <c r="G112" s="432">
        <f t="shared" ref="G112:G123" si="8">F112-E112</f>
        <v>77</v>
      </c>
      <c r="H112" s="99">
        <f>G112+'17'!H112</f>
        <v>-881.73999999999978</v>
      </c>
      <c r="I112" s="165"/>
      <c r="J112" s="328">
        <f>H112/DAY(B2)</f>
        <v>-48.985555555555543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'17'!F113</f>
        <v>8789</v>
      </c>
      <c r="F113" s="237">
        <v>8930</v>
      </c>
      <c r="G113" s="432">
        <f t="shared" si="8"/>
        <v>141</v>
      </c>
      <c r="H113" s="99">
        <f>G113+'17'!H113</f>
        <v>-1702.7199999999993</v>
      </c>
      <c r="I113" s="165"/>
      <c r="J113" s="328">
        <f>H113/DAY(B2)</f>
        <v>-94.595555555555521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'17'!F114</f>
        <v>11299</v>
      </c>
      <c r="F114" s="237">
        <v>11520</v>
      </c>
      <c r="G114" s="432">
        <f t="shared" si="8"/>
        <v>221</v>
      </c>
      <c r="H114" s="99">
        <f>G114+'17'!H114</f>
        <v>-2673.7999999999993</v>
      </c>
      <c r="I114" s="165"/>
      <c r="J114" s="328">
        <f>H114/DAY(B2)</f>
        <v>-148.54444444444439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'17'!F115</f>
        <v>7168</v>
      </c>
      <c r="F115" s="237">
        <v>7305</v>
      </c>
      <c r="G115" s="432">
        <f t="shared" si="8"/>
        <v>137</v>
      </c>
      <c r="H115" s="99">
        <f>G115+'17'!H115</f>
        <v>-1715.7800000000007</v>
      </c>
      <c r="I115" s="165"/>
      <c r="J115" s="328">
        <f>H115/DAY(B2)</f>
        <v>-95.321111111111151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'17'!F116</f>
        <v>53530</v>
      </c>
      <c r="F116" s="237">
        <v>53939</v>
      </c>
      <c r="G116" s="432">
        <f t="shared" si="8"/>
        <v>409</v>
      </c>
      <c r="H116" s="99">
        <f>G116+'17'!H116</f>
        <v>-4951.5500000000029</v>
      </c>
      <c r="I116" s="165"/>
      <c r="J116" s="328">
        <f>H116/DAY(B2)</f>
        <v>-275.08611111111128</v>
      </c>
      <c r="Q116" s="904" t="s">
        <v>311</v>
      </c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'17'!F117</f>
        <v>29115</v>
      </c>
      <c r="F117" s="237">
        <v>29395</v>
      </c>
      <c r="G117" s="432">
        <f t="shared" si="8"/>
        <v>280</v>
      </c>
      <c r="H117" s="99">
        <f>G117+'17'!H117</f>
        <v>-3493.4800000000032</v>
      </c>
      <c r="I117" s="165"/>
      <c r="J117" s="328">
        <f>H117/DAY(B2)</f>
        <v>-194.08222222222241</v>
      </c>
      <c r="Q117" s="904" t="s">
        <v>312</v>
      </c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'17'!F118</f>
        <v>36456</v>
      </c>
      <c r="F118" s="237">
        <v>37106</v>
      </c>
      <c r="G118" s="432">
        <f t="shared" si="8"/>
        <v>650</v>
      </c>
      <c r="H118" s="99">
        <f>G118+'17'!H118</f>
        <v>-7814.3099999999977</v>
      </c>
      <c r="I118" s="165"/>
      <c r="J118" s="328">
        <f>H118/DAY(B2)</f>
        <v>-434.12833333333322</v>
      </c>
      <c r="Q118" s="904" t="s">
        <v>311</v>
      </c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'17'!F119</f>
        <v>26298</v>
      </c>
      <c r="F119" s="237">
        <v>26745</v>
      </c>
      <c r="G119" s="432">
        <f t="shared" si="8"/>
        <v>447</v>
      </c>
      <c r="H119" s="99">
        <f>G119+'17'!H119</f>
        <v>-3597.5999999999985</v>
      </c>
      <c r="I119" s="165"/>
      <c r="J119" s="328">
        <f>H119/DAY(B2)</f>
        <v>-199.86666666666659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'17'!F120</f>
        <v>27475</v>
      </c>
      <c r="F120" s="237">
        <v>27910</v>
      </c>
      <c r="G120" s="432">
        <f t="shared" si="8"/>
        <v>435</v>
      </c>
      <c r="H120" s="99">
        <f>G120+'17'!H120</f>
        <v>-5195.5599999999977</v>
      </c>
      <c r="I120" s="165"/>
      <c r="J120" s="328">
        <f>H120/DAY(B2)</f>
        <v>-288.64222222222207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'17'!F121</f>
        <v>33727</v>
      </c>
      <c r="F121" s="237">
        <v>34188</v>
      </c>
      <c r="G121" s="432">
        <f t="shared" si="8"/>
        <v>461</v>
      </c>
      <c r="H121" s="99">
        <f>G121+'17'!H121</f>
        <v>-5399.9000000000015</v>
      </c>
      <c r="I121" s="165"/>
      <c r="J121" s="328">
        <f>H121/DAY(B2)</f>
        <v>-299.99444444444453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'17'!F122</f>
        <v>16363</v>
      </c>
      <c r="F122" s="237">
        <v>16677</v>
      </c>
      <c r="G122" s="432">
        <f t="shared" si="8"/>
        <v>314</v>
      </c>
      <c r="H122" s="99">
        <f>G122+'17'!H122</f>
        <v>-3288.880000000001</v>
      </c>
      <c r="I122" s="165"/>
      <c r="J122" s="328">
        <f>H122/DAY(B2)</f>
        <v>-182.71555555555562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'17'!F123</f>
        <v>16276</v>
      </c>
      <c r="F123" s="237">
        <v>16590</v>
      </c>
      <c r="G123" s="432">
        <f t="shared" si="8"/>
        <v>314</v>
      </c>
      <c r="H123" s="99">
        <f>G123+'17'!H123</f>
        <v>-3752</v>
      </c>
      <c r="I123" s="165"/>
      <c r="J123" s="328">
        <f>H123/DAY(B2)</f>
        <v>-208.44444444444446</v>
      </c>
    </row>
    <row r="124" spans="1:18" ht="27.75" customHeight="1">
      <c r="A124" s="929"/>
      <c r="B124" s="930"/>
      <c r="C124" s="931"/>
      <c r="D124" s="165"/>
      <c r="E124" s="95">
        <f>'17'!F124</f>
        <v>0</v>
      </c>
      <c r="F124" s="165"/>
      <c r="G124" s="452"/>
      <c r="H124" s="99">
        <f>G124+'17'!H124</f>
        <v>0</v>
      </c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453">
        <f>SUM(G112:G124)</f>
        <v>3886</v>
      </c>
      <c r="H125" s="156"/>
      <c r="I125" s="327">
        <f>G125-(G39+G53)</f>
        <v>728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453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'17'!F128</f>
        <v>104688</v>
      </c>
      <c r="F128" s="165">
        <v>105235</v>
      </c>
      <c r="G128" s="432">
        <f t="shared" ref="G128:G134" si="9">F128-E128</f>
        <v>547</v>
      </c>
      <c r="H128" s="99">
        <f>G128+'17'!H128</f>
        <v>-6640.8600000000006</v>
      </c>
      <c r="I128" s="165"/>
      <c r="J128" s="328">
        <f>H128/DAY(B2)</f>
        <v>-368.93666666666672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64373</v>
      </c>
      <c r="F129" s="165">
        <v>64640</v>
      </c>
      <c r="G129" s="432">
        <f t="shared" si="9"/>
        <v>267</v>
      </c>
      <c r="H129" s="99">
        <f>G129+'17'!H129</f>
        <v>-2061.7799999999988</v>
      </c>
      <c r="I129" s="165"/>
      <c r="J129" s="328">
        <f>H129/DAY(B2)</f>
        <v>-114.54333333333327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131898</v>
      </c>
      <c r="F130" s="165">
        <v>132549</v>
      </c>
      <c r="G130" s="432">
        <f t="shared" si="9"/>
        <v>651</v>
      </c>
      <c r="H130" s="99">
        <f>G130+'17'!H130</f>
        <v>-9748.9199999999837</v>
      </c>
      <c r="I130" s="165"/>
      <c r="J130" s="328">
        <f>H130/DAY(B2)</f>
        <v>-541.60666666666577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'17'!F131</f>
        <v>39790</v>
      </c>
      <c r="F131" s="158">
        <v>40007</v>
      </c>
      <c r="G131" s="432">
        <f t="shared" si="9"/>
        <v>217</v>
      </c>
      <c r="H131" s="99">
        <f>G131+'17'!H131</f>
        <v>-2611.1999999999971</v>
      </c>
      <c r="I131" s="165"/>
      <c r="J131" s="328">
        <f>H131/DAY(B2)</f>
        <v>-145.06666666666649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'17'!F132</f>
        <v>110223</v>
      </c>
      <c r="F132" s="158">
        <v>110698</v>
      </c>
      <c r="G132" s="432">
        <f t="shared" si="9"/>
        <v>475</v>
      </c>
      <c r="H132" s="99">
        <f>G132+'17'!H132</f>
        <v>-5593</v>
      </c>
      <c r="I132" s="165"/>
      <c r="J132" s="328">
        <f>H132/DAY(B2)</f>
        <v>-310.72222222222223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f>'17'!F133</f>
        <v>215135</v>
      </c>
      <c r="F133" s="165">
        <v>215763</v>
      </c>
      <c r="G133" s="432">
        <f t="shared" si="9"/>
        <v>628</v>
      </c>
      <c r="H133" s="99">
        <f>G133+'17'!H133</f>
        <v>-47.570000000006985</v>
      </c>
      <c r="I133" s="165"/>
      <c r="J133" s="328">
        <f>H133/DAY(B2)</f>
        <v>-2.642777777778166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'17'!F134</f>
        <v>39010</v>
      </c>
      <c r="F134" s="158">
        <v>39249</v>
      </c>
      <c r="G134" s="432">
        <f t="shared" si="9"/>
        <v>239</v>
      </c>
      <c r="H134" s="99">
        <f>G134+'17'!H134</f>
        <v>-2496</v>
      </c>
      <c r="I134" s="165"/>
      <c r="J134" s="328">
        <f>H134/DAY(B2)</f>
        <v>-138.66666666666666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432">
        <f>SUM(G128:G134)</f>
        <v>3024</v>
      </c>
      <c r="H135" s="99">
        <f>G135+'10'!H135</f>
        <v>30588.699999999997</v>
      </c>
      <c r="I135" s="327">
        <f>G135-(G35+G49)</f>
        <v>-464</v>
      </c>
      <c r="J135" s="328"/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'17'!F138</f>
        <v>885598</v>
      </c>
      <c r="F138" s="147">
        <v>885732</v>
      </c>
      <c r="G138" s="432">
        <f t="shared" ref="G138:G152" si="10">F138-E138</f>
        <v>134</v>
      </c>
      <c r="H138" s="99">
        <f>G138+'17'!H138</f>
        <v>-1492</v>
      </c>
      <c r="I138" s="118"/>
      <c r="J138" s="328">
        <f>H138/DAY(B2)</f>
        <v>-82.888888888888886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'17'!F139</f>
        <v>902055</v>
      </c>
      <c r="F139" s="148">
        <v>902204</v>
      </c>
      <c r="G139" s="432">
        <f t="shared" si="10"/>
        <v>149</v>
      </c>
      <c r="H139" s="99">
        <f>G139+'17'!H139</f>
        <v>-1886</v>
      </c>
      <c r="I139" s="118"/>
      <c r="J139" s="328">
        <f>H139/DAY(B2)</f>
        <v>-104.77777777777777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'17'!F140</f>
        <v>858</v>
      </c>
      <c r="F140" s="149">
        <v>873</v>
      </c>
      <c r="G140" s="432">
        <f t="shared" si="10"/>
        <v>15</v>
      </c>
      <c r="H140" s="99">
        <f>G140+'17'!H140</f>
        <v>-88132.650000000009</v>
      </c>
      <c r="I140" s="118"/>
      <c r="J140" s="328">
        <f>H140/DAY(B2)</f>
        <v>-4896.2583333333341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'17'!F141</f>
        <v>81435</v>
      </c>
      <c r="F141" s="149">
        <v>81649</v>
      </c>
      <c r="G141" s="432">
        <f t="shared" si="10"/>
        <v>214</v>
      </c>
      <c r="H141" s="99">
        <f>G141+'17'!H141</f>
        <v>-2466.1999999999971</v>
      </c>
      <c r="I141" s="118"/>
      <c r="J141" s="328">
        <f>H141/DAY(B2)</f>
        <v>-137.01111111111095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'17'!F142</f>
        <v>33103</v>
      </c>
      <c r="F142" s="148">
        <v>33248</v>
      </c>
      <c r="G142" s="432">
        <f t="shared" si="10"/>
        <v>145</v>
      </c>
      <c r="H142" s="99">
        <f>G142+'17'!H142</f>
        <v>-1137.4700000000012</v>
      </c>
      <c r="I142" s="140"/>
      <c r="J142" s="328">
        <f>H142/DAY(B2)</f>
        <v>-63.192777777777842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'17'!F143</f>
        <v>7790</v>
      </c>
      <c r="F143" s="149">
        <v>7817</v>
      </c>
      <c r="G143" s="432">
        <f t="shared" si="10"/>
        <v>27</v>
      </c>
      <c r="H143" s="99">
        <f>G143+'17'!H143</f>
        <v>-341.31999999999971</v>
      </c>
      <c r="I143" s="140"/>
      <c r="J143" s="328">
        <f>H143/DAY(B2)</f>
        <v>-18.962222222222206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'17'!F144</f>
        <v>909167</v>
      </c>
      <c r="F144" s="148">
        <v>909398</v>
      </c>
      <c r="G144" s="432">
        <f t="shared" si="10"/>
        <v>231</v>
      </c>
      <c r="H144" s="99">
        <f>G144+'17'!H144</f>
        <v>-2879</v>
      </c>
      <c r="I144" s="140"/>
      <c r="J144" s="328">
        <f>H144/DAY(B2)</f>
        <v>-159.94444444444446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'17'!F145</f>
        <v>5665</v>
      </c>
      <c r="F145" s="149">
        <v>5665</v>
      </c>
      <c r="G145" s="432">
        <f t="shared" si="10"/>
        <v>0</v>
      </c>
      <c r="H145" s="99">
        <f>G145+'17'!H145</f>
        <v>-1.5600000000004002</v>
      </c>
      <c r="I145" s="140"/>
      <c r="J145" s="328">
        <f>H145/DAY(B2)</f>
        <v>-8.6666666666688902E-2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'17'!F146</f>
        <v>778722</v>
      </c>
      <c r="F146" s="148">
        <v>778767</v>
      </c>
      <c r="G146" s="432">
        <f t="shared" si="10"/>
        <v>45</v>
      </c>
      <c r="H146" s="99">
        <f>G146+'17'!H146</f>
        <v>-561</v>
      </c>
      <c r="I146" s="140"/>
      <c r="J146" s="328">
        <f>H146/DAY(B2)</f>
        <v>-31.166666666666668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'17'!F147</f>
        <v>682458</v>
      </c>
      <c r="F147" s="148">
        <v>682888</v>
      </c>
      <c r="G147" s="432">
        <f t="shared" si="10"/>
        <v>430</v>
      </c>
      <c r="H147" s="99">
        <f>G147+'17'!H147</f>
        <v>-4638.1600000000326</v>
      </c>
      <c r="I147" s="140"/>
      <c r="J147" s="328">
        <f>H147/DAY(B2)</f>
        <v>-257.67555555555737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'17'!F148</f>
        <v>734560</v>
      </c>
      <c r="F148" s="150">
        <v>734887</v>
      </c>
      <c r="G148" s="432">
        <f t="shared" si="10"/>
        <v>327</v>
      </c>
      <c r="H148" s="99">
        <f>G148+'17'!H148</f>
        <v>-4060.2800000000279</v>
      </c>
      <c r="I148" s="124"/>
      <c r="J148" s="328">
        <f>H148/DAY(B2)</f>
        <v>-225.57111111111266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'17'!F149</f>
        <v>110354</v>
      </c>
      <c r="F149" s="416">
        <v>110848</v>
      </c>
      <c r="G149" s="432">
        <f t="shared" si="10"/>
        <v>494</v>
      </c>
      <c r="H149" s="99">
        <f>G149+'17'!H149</f>
        <v>-5684.8000000000029</v>
      </c>
      <c r="I149" s="119"/>
      <c r="J149" s="328">
        <f>H149/DAY(B2)</f>
        <v>-315.82222222222236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'17'!F150</f>
        <v>40903</v>
      </c>
      <c r="F150" s="233">
        <v>41125</v>
      </c>
      <c r="G150" s="432">
        <f t="shared" si="10"/>
        <v>222</v>
      </c>
      <c r="H150" s="99">
        <f>G150+'17'!H150</f>
        <v>-2600.1600000000035</v>
      </c>
      <c r="I150" s="119"/>
      <c r="J150" s="328">
        <f>H150/DAY(B2)</f>
        <v>-144.45333333333352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'17'!F151</f>
        <v>123011</v>
      </c>
      <c r="F151" s="233">
        <v>123298</v>
      </c>
      <c r="G151" s="432">
        <f t="shared" si="10"/>
        <v>287</v>
      </c>
      <c r="H151" s="99">
        <f>G151+'17'!H151</f>
        <v>-3305</v>
      </c>
      <c r="I151" s="119"/>
      <c r="J151" s="328">
        <f>H151/DAY(B2)</f>
        <v>-183.61111111111111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'17'!F152</f>
        <v>17616</v>
      </c>
      <c r="F152" s="233">
        <v>17744</v>
      </c>
      <c r="G152" s="432">
        <f t="shared" si="10"/>
        <v>128</v>
      </c>
      <c r="H152" s="99">
        <f>G152+'17'!H152</f>
        <v>-1544.0800000000017</v>
      </c>
      <c r="I152" s="119"/>
      <c r="J152" s="328">
        <f>H152/DAY(B2)</f>
        <v>-85.782222222222316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454">
        <f>SUM(G138:G152)</f>
        <v>2848</v>
      </c>
      <c r="H153" s="363"/>
      <c r="I153" s="119">
        <f>G153-(G38+G52)</f>
        <v>451</v>
      </c>
      <c r="J153" s="366"/>
    </row>
    <row r="154" spans="1:10" ht="27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95">
        <f>'17'!F155</f>
        <v>122472</v>
      </c>
      <c r="F155" s="389">
        <v>123116</v>
      </c>
      <c r="G155" s="432">
        <f t="shared" ref="G155:G157" si="11">F155-E155</f>
        <v>644</v>
      </c>
      <c r="H155" s="99">
        <f>G155+'17'!H155</f>
        <v>-7125.3800000000047</v>
      </c>
      <c r="I155" s="364"/>
      <c r="J155" s="328">
        <f>H155/DAY(B2)</f>
        <v>-395.85444444444471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95">
        <f>'17'!F156</f>
        <v>10998</v>
      </c>
      <c r="F156" s="155">
        <v>11076</v>
      </c>
      <c r="G156" s="432">
        <f t="shared" si="11"/>
        <v>78</v>
      </c>
      <c r="H156" s="99">
        <f>G156+'17'!H156</f>
        <v>-1017.3600000000006</v>
      </c>
      <c r="I156" s="165"/>
      <c r="J156" s="328">
        <f>H156/DAY(B2)</f>
        <v>-56.520000000000032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95">
        <f>'17'!F157</f>
        <v>21026</v>
      </c>
      <c r="F157" s="155">
        <v>21208</v>
      </c>
      <c r="G157" s="432">
        <f t="shared" si="11"/>
        <v>182</v>
      </c>
      <c r="H157" s="99">
        <f>G157+'17'!H157</f>
        <v>-1988.7000000000007</v>
      </c>
      <c r="I157" s="165"/>
      <c r="J157" s="328">
        <f>H157/DAY(B2)</f>
        <v>-110.48333333333338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95">
        <f>'17'!F158</f>
        <v>190</v>
      </c>
      <c r="F158" s="155">
        <v>190</v>
      </c>
      <c r="G158" s="432">
        <f t="shared" ref="G158" si="12">F158-E158</f>
        <v>0</v>
      </c>
      <c r="H158" s="99">
        <f>G158+'17'!H158</f>
        <v>102.30999999999997</v>
      </c>
      <c r="I158" s="165"/>
      <c r="J158" s="328">
        <f>H158/DAY(B2)</f>
        <v>5.6838888888888874</v>
      </c>
    </row>
    <row r="159" spans="1:10" ht="27.75" customHeight="1">
      <c r="A159" s="954"/>
      <c r="B159" s="955"/>
      <c r="C159" s="956"/>
      <c r="D159" s="117"/>
      <c r="E159" s="95"/>
      <c r="F159" s="165"/>
      <c r="G159" s="432"/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476666</v>
      </c>
      <c r="F161" s="235">
        <v>476669</v>
      </c>
      <c r="G161" s="455">
        <f t="shared" ref="G161:G165" si="13">F161-E161</f>
        <v>3</v>
      </c>
      <c r="H161" s="99">
        <f>G161+'17'!H161</f>
        <v>3</v>
      </c>
      <c r="I161" s="236"/>
      <c r="J161" s="239">
        <f>H161/DAY(B2)</f>
        <v>0.16666666666666666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93316</v>
      </c>
      <c r="F162" s="235">
        <v>93358</v>
      </c>
      <c r="G162" s="455">
        <f t="shared" si="13"/>
        <v>42</v>
      </c>
      <c r="H162" s="99">
        <f>G162+'17'!H162</f>
        <v>-447.30000000000291</v>
      </c>
      <c r="I162" s="236"/>
      <c r="J162" s="239">
        <f>H162/DAY(B2)</f>
        <v>-24.850000000000161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99910</v>
      </c>
      <c r="F163" s="235">
        <v>100071</v>
      </c>
      <c r="G163" s="455">
        <f t="shared" si="13"/>
        <v>161</v>
      </c>
      <c r="H163" s="99">
        <f>G163+'17'!H163</f>
        <v>98044.900000000009</v>
      </c>
      <c r="I163" s="236"/>
      <c r="J163" s="239">
        <f>H163/DAY(B2)</f>
        <v>5446.9388888888898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5736</v>
      </c>
      <c r="F164" s="235">
        <v>5747</v>
      </c>
      <c r="G164" s="455">
        <f t="shared" si="13"/>
        <v>11</v>
      </c>
      <c r="H164" s="99">
        <f>G164+'17'!H164</f>
        <v>-151.39999999999964</v>
      </c>
      <c r="I164" s="236"/>
      <c r="J164" s="239">
        <f>H164/DAY(B2)</f>
        <v>-8.4111111111110901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31207</v>
      </c>
      <c r="F165" s="235">
        <v>31217</v>
      </c>
      <c r="G165" s="455">
        <f t="shared" si="13"/>
        <v>10</v>
      </c>
      <c r="H165" s="99">
        <f>G165+'17'!H165</f>
        <v>-129.65000000000146</v>
      </c>
      <c r="I165" s="236"/>
      <c r="J165" s="239">
        <f>H165/DAY(B2)</f>
        <v>-7.2027777777778583</v>
      </c>
    </row>
    <row r="166" spans="1:10" ht="27.75" customHeight="1">
      <c r="A166" s="935"/>
      <c r="B166" s="935"/>
      <c r="C166" s="246"/>
      <c r="D166" s="244" t="s">
        <v>180</v>
      </c>
      <c r="E166" s="95">
        <f>'17'!F166</f>
        <v>0</v>
      </c>
      <c r="F166" s="165"/>
      <c r="G166" s="452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935"/>
      <c r="B167" s="935"/>
      <c r="C167" s="246"/>
      <c r="D167" s="244" t="s">
        <v>180</v>
      </c>
      <c r="E167" s="95">
        <f>'17'!F167</f>
        <v>0</v>
      </c>
      <c r="F167" s="165"/>
      <c r="G167" s="452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935"/>
      <c r="B168" s="935"/>
      <c r="C168" s="246"/>
      <c r="D168" s="244" t="s">
        <v>180</v>
      </c>
      <c r="E168" s="95">
        <f>'17'!F168</f>
        <v>0</v>
      </c>
      <c r="F168" s="165"/>
      <c r="G168" s="452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456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'17'!F173</f>
        <v>8276</v>
      </c>
      <c r="F173" s="155">
        <v>8276</v>
      </c>
      <c r="G173" s="456">
        <f>F173-E173</f>
        <v>0</v>
      </c>
      <c r="H173" s="99">
        <f>G173+'17'!H173</f>
        <v>47</v>
      </c>
      <c r="I173" s="155"/>
      <c r="J173" s="178">
        <f>H173/DAY(B2)</f>
        <v>2.6111111111111112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'17'!F174</f>
        <v>40583</v>
      </c>
      <c r="F174" s="157">
        <v>40598</v>
      </c>
      <c r="G174" s="456">
        <f t="shared" ref="G174:G175" si="14">F174-E174</f>
        <v>15</v>
      </c>
      <c r="H174" s="99">
        <f>G174+'17'!H174</f>
        <v>-181</v>
      </c>
      <c r="I174" s="155"/>
      <c r="J174" s="178">
        <f>H174/DAY(B2)</f>
        <v>-10.055555555555555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'17'!F175</f>
        <v>23501</v>
      </c>
      <c r="F175" s="155">
        <v>23515</v>
      </c>
      <c r="G175" s="456">
        <f t="shared" si="14"/>
        <v>14</v>
      </c>
      <c r="H175" s="99">
        <f>G175+'17'!H175</f>
        <v>-141</v>
      </c>
      <c r="I175" s="155"/>
      <c r="J175" s="178">
        <f>H175/DAY(B2)</f>
        <v>-7.833333333333333</v>
      </c>
    </row>
    <row r="176" spans="1:10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456">
        <f>SUM(G173:G175)</f>
        <v>29</v>
      </c>
      <c r="H176" s="99">
        <f>G176+'17'!H176</f>
        <v>-275</v>
      </c>
      <c r="I176" s="155"/>
      <c r="J176" s="178">
        <f>H176/DAY(B2)</f>
        <v>-15.277777777777779</v>
      </c>
    </row>
    <row r="177" spans="1:11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456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93" t="s">
        <v>210</v>
      </c>
      <c r="B178" s="894"/>
      <c r="C178" s="333"/>
      <c r="D178" s="228" t="s">
        <v>142</v>
      </c>
      <c r="E178" s="95">
        <f>'17'!F178</f>
        <v>93614</v>
      </c>
      <c r="F178" s="155">
        <v>93722</v>
      </c>
      <c r="G178" s="456">
        <f>F178-E178</f>
        <v>108</v>
      </c>
      <c r="H178" s="99">
        <f>G178+'17'!H178</f>
        <v>1636</v>
      </c>
      <c r="I178" s="155"/>
      <c r="J178" s="178">
        <f>H178/DAY(B2)</f>
        <v>90.888888888888886</v>
      </c>
    </row>
    <row r="179" spans="1:11" ht="27.75" customHeight="1">
      <c r="A179" s="893" t="s">
        <v>211</v>
      </c>
      <c r="B179" s="894"/>
      <c r="C179" s="333"/>
      <c r="D179" s="228" t="s">
        <v>142</v>
      </c>
      <c r="E179" s="95">
        <f>'17'!F179</f>
        <v>36002</v>
      </c>
      <c r="F179" s="155">
        <v>36002</v>
      </c>
      <c r="G179" s="456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893" t="s">
        <v>212</v>
      </c>
      <c r="B180" s="894"/>
      <c r="C180" s="333"/>
      <c r="D180" s="228" t="s">
        <v>142</v>
      </c>
      <c r="E180" s="95">
        <f>'17'!F180</f>
        <v>6811</v>
      </c>
      <c r="F180" s="155">
        <v>6814</v>
      </c>
      <c r="G180" s="456">
        <f t="shared" si="15"/>
        <v>3</v>
      </c>
      <c r="H180" s="99">
        <f>G180+'17'!H180</f>
        <v>-68</v>
      </c>
      <c r="I180" s="155"/>
      <c r="J180" s="178">
        <f>H180/DAY(B2)</f>
        <v>-3.7777777777777777</v>
      </c>
    </row>
    <row r="181" spans="1:11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456">
        <f>SUM(G178:G180)</f>
        <v>111</v>
      </c>
      <c r="H181" s="99">
        <f>G181+'17'!H181</f>
        <v>1568</v>
      </c>
      <c r="I181" s="155"/>
      <c r="J181" s="178">
        <f>H181/DAY(B2)</f>
        <v>87.111111111111114</v>
      </c>
    </row>
    <row r="182" spans="1:11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456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93" t="s">
        <v>214</v>
      </c>
      <c r="B183" s="894"/>
      <c r="C183" s="334"/>
      <c r="D183" s="228" t="s">
        <v>142</v>
      </c>
      <c r="E183" s="95">
        <f>'17'!F183</f>
        <v>17182</v>
      </c>
      <c r="F183" s="157">
        <v>17192</v>
      </c>
      <c r="G183" s="457">
        <f>F183-E183</f>
        <v>10</v>
      </c>
      <c r="H183" s="99">
        <f>G183+'17'!H183</f>
        <v>-83</v>
      </c>
      <c r="I183" s="155"/>
      <c r="J183" s="178">
        <f>H183/DAY(B2)</f>
        <v>-4.6111111111111107</v>
      </c>
    </row>
    <row r="184" spans="1:11" ht="27.75" customHeight="1">
      <c r="A184" s="893" t="s">
        <v>215</v>
      </c>
      <c r="B184" s="894"/>
      <c r="C184" s="334"/>
      <c r="D184" s="228" t="s">
        <v>142</v>
      </c>
      <c r="E184" s="95">
        <f>'17'!F184</f>
        <v>11602</v>
      </c>
      <c r="F184" s="157">
        <v>11608</v>
      </c>
      <c r="G184" s="457">
        <f t="shared" ref="G184:G185" si="16">F184-E184</f>
        <v>6</v>
      </c>
      <c r="H184" s="99">
        <f>G184+'17'!H184</f>
        <v>-81</v>
      </c>
      <c r="I184" s="155"/>
      <c r="J184" s="178">
        <f>H184/DAY(B2)</f>
        <v>-4.5</v>
      </c>
    </row>
    <row r="185" spans="1:11" ht="27.75" customHeight="1">
      <c r="A185" s="893" t="s">
        <v>216</v>
      </c>
      <c r="B185" s="894"/>
      <c r="C185" s="334"/>
      <c r="D185" s="228" t="s">
        <v>142</v>
      </c>
      <c r="E185" s="95">
        <f>'17'!F185</f>
        <v>0</v>
      </c>
      <c r="F185" s="157"/>
      <c r="G185" s="457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457">
        <f>SUM(G183:G185)</f>
        <v>16</v>
      </c>
      <c r="H186" s="99">
        <f>G186+'17'!H186</f>
        <v>-164</v>
      </c>
      <c r="I186" s="157"/>
      <c r="J186" s="178">
        <f>H186/DAY(B2)</f>
        <v>-9.1111111111111107</v>
      </c>
    </row>
    <row r="187" spans="1:11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458">
        <f>G62+G19</f>
        <v>170</v>
      </c>
      <c r="H187" s="99">
        <f>G187+'17'!H187</f>
        <v>-991</v>
      </c>
      <c r="I187" s="158"/>
      <c r="J187" s="179">
        <f>H187/DAY(B2)</f>
        <v>-55.055555555555557</v>
      </c>
    </row>
    <row r="188" spans="1:11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458">
        <f>G65+G66+G67+G69+G70</f>
        <v>152</v>
      </c>
      <c r="H188" s="99">
        <f>G188+'17'!H188</f>
        <v>614</v>
      </c>
      <c r="I188" s="158"/>
      <c r="J188" s="179">
        <f>H188/DAY(B2)</f>
        <v>34.111111111111114</v>
      </c>
    </row>
    <row r="189" spans="1:11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458">
        <f>G181</f>
        <v>111</v>
      </c>
      <c r="H189" s="99">
        <f>G189+'17'!H189</f>
        <v>1568</v>
      </c>
      <c r="I189" s="158"/>
      <c r="J189" s="179">
        <f>H189/DAY(B2)</f>
        <v>87.111111111111114</v>
      </c>
    </row>
    <row r="190" spans="1:11" ht="23.25" customHeight="1">
      <c r="A190" s="245"/>
      <c r="B190" s="246"/>
      <c r="C190" s="246"/>
      <c r="D190" s="165"/>
      <c r="E190" s="165"/>
      <c r="F190" s="155"/>
      <c r="G190" s="452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33" zoomScale="55" zoomScaleNormal="40" zoomScaleSheetLayoutView="55" zoomScalePageLayoutView="60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355</v>
      </c>
      <c r="B2" s="262">
        <v>44731</v>
      </c>
      <c r="C2" s="348" t="s">
        <v>67</v>
      </c>
      <c r="D2" s="218">
        <v>0.94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472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72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1009032.47</v>
      </c>
      <c r="F7" s="95">
        <f>E7+27500</f>
        <v>1036532.47</v>
      </c>
      <c r="G7" s="475">
        <f>F7-E7</f>
        <v>27500</v>
      </c>
      <c r="H7" s="99">
        <f>G7+'18 '!H7</f>
        <v>513567.97</v>
      </c>
      <c r="I7" s="113">
        <f>'1'!I7</f>
        <v>12000</v>
      </c>
      <c r="J7" s="175">
        <f>H7/DAY(B2)</f>
        <v>27029.893157894734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1151254.6499999999</v>
      </c>
      <c r="F8" s="95">
        <f>E8+27000</f>
        <v>1178254.6499999999</v>
      </c>
      <c r="G8" s="476">
        <f>F8-E8</f>
        <v>27000</v>
      </c>
      <c r="H8" s="99">
        <f>G8+'18 '!H8</f>
        <v>516465.64999999991</v>
      </c>
      <c r="I8" s="116"/>
      <c r="J8" s="175">
        <f>H8/DAY(B2)</f>
        <v>27182.402631578942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2741072</v>
      </c>
      <c r="F9" s="469">
        <v>2761210</v>
      </c>
      <c r="G9" s="475">
        <f>F9-E9</f>
        <v>20138</v>
      </c>
      <c r="H9" s="99">
        <f>G9+'18 '!H9</f>
        <v>-156439.10000000009</v>
      </c>
      <c r="I9" s="124">
        <f>I7-J7</f>
        <v>-15029.893157894734</v>
      </c>
      <c r="J9" s="175">
        <f>H9/DAY(B2)</f>
        <v>-8233.6368421052684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1093803</v>
      </c>
      <c r="F10" s="353">
        <v>1101605</v>
      </c>
      <c r="G10" s="475">
        <f t="shared" ref="G10:G12" si="0">F10-E10</f>
        <v>7802</v>
      </c>
      <c r="H10" s="99">
        <f>G10+'18 '!H10</f>
        <v>-134081.62999999989</v>
      </c>
      <c r="I10" s="282"/>
      <c r="J10" s="175">
        <f>H10/DAY(B2)</f>
        <v>-7056.9278947368366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7">
        <f>G9+G10+G11+G12</f>
        <v>27940</v>
      </c>
      <c r="H13" s="99">
        <f>G13+'18 '!H13</f>
        <v>-288791.79999999981</v>
      </c>
      <c r="I13" s="120">
        <f>G7-G13</f>
        <v>-440</v>
      </c>
      <c r="J13" s="175">
        <f>H13/DAY(B2)</f>
        <v>-15199.568421052621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'18 '!F15</f>
        <v>2086461.24</v>
      </c>
      <c r="F15" s="469">
        <f>E15+1000</f>
        <v>2087461.24</v>
      </c>
      <c r="G15" s="475">
        <f>(F15-E15)</f>
        <v>1000</v>
      </c>
      <c r="H15" s="99">
        <f>G15+'18 '!H15</f>
        <v>19382.830000000075</v>
      </c>
      <c r="I15" s="113">
        <f>'1'!I15</f>
        <v>800</v>
      </c>
      <c r="J15" s="175">
        <f>H15/DAY(B2)</f>
        <v>1020.148947368425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5" t="s">
        <v>207</v>
      </c>
      <c r="H16" s="124"/>
      <c r="I16" s="120">
        <f>I15-J15</f>
        <v>-220.14894736842496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'18 '!F18</f>
        <v>18</v>
      </c>
      <c r="F18" s="122">
        <v>16</v>
      </c>
      <c r="G18" s="477">
        <f>F18*10</f>
        <v>160</v>
      </c>
      <c r="H18" s="99">
        <f>G18+'18 '!H18</f>
        <v>3530</v>
      </c>
      <c r="I18" s="113">
        <f>'1'!I18</f>
        <v>65</v>
      </c>
      <c r="J18" s="175">
        <f>H18/DAY(B2)</f>
        <v>185.78947368421052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'18 '!F19</f>
        <v>161040</v>
      </c>
      <c r="F19" s="612">
        <v>161092</v>
      </c>
      <c r="G19" s="475">
        <f t="shared" ref="G19" si="1">F19-E19</f>
        <v>52</v>
      </c>
      <c r="H19" s="99">
        <f>G19+'18 '!H19</f>
        <v>269</v>
      </c>
      <c r="I19" s="335"/>
      <c r="J19" s="175">
        <f>H19/DAY(B2)</f>
        <v>14.157894736842104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9">
        <f>G18+G19</f>
        <v>212</v>
      </c>
      <c r="H20" s="99">
        <f>G20+'18 '!H20</f>
        <v>3799</v>
      </c>
      <c r="I20" s="336">
        <f>I18-J20</f>
        <v>-134.94736842105263</v>
      </c>
      <c r="J20" s="175">
        <f>H20/DAY(B2)</f>
        <v>199.94736842105263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482">
        <f>E27*F27</f>
        <v>243000</v>
      </c>
      <c r="H27" s="99">
        <f>G27+'18 '!H27</f>
        <v>4648190.8499999996</v>
      </c>
      <c r="I27" s="138"/>
      <c r="J27" s="175">
        <f>H27/DAY(B2)</f>
        <v>244641.6236842105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82">
        <f>E28*F28</f>
        <v>70000</v>
      </c>
      <c r="H28" s="99">
        <f>G28+'18 '!H28</f>
        <v>1356798.1000000052</v>
      </c>
      <c r="I28" s="140"/>
      <c r="J28" s="175">
        <f>H28/DAY(B2)</f>
        <v>71410.426315789751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482">
        <f>E30*F30</f>
        <v>7852</v>
      </c>
      <c r="H30" s="99">
        <f>G30+'18 '!H30</f>
        <v>40619</v>
      </c>
      <c r="I30" s="140"/>
      <c r="J30" s="175">
        <f>H30/DAY(B2)</f>
        <v>2137.8421052631579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482">
        <f>E31*F31</f>
        <v>12800</v>
      </c>
      <c r="H31" s="99">
        <f>G31+'18 '!H31</f>
        <v>282400</v>
      </c>
      <c r="I31" s="140"/>
      <c r="J31" s="175">
        <f>H31/DAY(B2)</f>
        <v>14863.157894736842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3">
        <f>G27+G28+G29+G30+G31</f>
        <v>333652</v>
      </c>
      <c r="H32" s="99">
        <f>G32+'18 '!H32</f>
        <v>6328007.9500000048</v>
      </c>
      <c r="I32" s="144"/>
      <c r="J32" s="175">
        <f>H32/DAY(B2)</f>
        <v>333053.05000000028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238714</v>
      </c>
      <c r="F35" s="145">
        <v>238714</v>
      </c>
      <c r="G35" s="475">
        <f t="shared" ref="G35:G46" si="3">F35-E35</f>
        <v>0</v>
      </c>
      <c r="H35" s="99">
        <f>G35+'18 '!H35</f>
        <v>0.95000000001164153</v>
      </c>
      <c r="I35" s="95"/>
      <c r="J35" s="175">
        <f>H35/DAY(B2)</f>
        <v>5.0000000000612714E-2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176096</v>
      </c>
      <c r="F36" s="145">
        <v>177417</v>
      </c>
      <c r="G36" s="475">
        <f t="shared" si="3"/>
        <v>1321</v>
      </c>
      <c r="H36" s="99">
        <f>G36+'18 '!H36</f>
        <v>-9503.2300000000105</v>
      </c>
      <c r="I36" s="95"/>
      <c r="J36" s="175">
        <f>H36/DAY(B2)</f>
        <v>-500.17000000000053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267067</v>
      </c>
      <c r="F37" s="145">
        <v>268801</v>
      </c>
      <c r="G37" s="475">
        <f t="shared" si="3"/>
        <v>1734</v>
      </c>
      <c r="H37" s="99">
        <f>G37+'18 '!H37</f>
        <v>-17917.989999999991</v>
      </c>
      <c r="I37" s="95"/>
      <c r="J37" s="175">
        <f>H37/DAY(B2)</f>
        <v>-943.05210526315739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359873</v>
      </c>
      <c r="F38" s="108">
        <v>362215</v>
      </c>
      <c r="G38" s="475">
        <f t="shared" si="3"/>
        <v>2342</v>
      </c>
      <c r="H38" s="99">
        <f>G38+'18 '!H38</f>
        <v>-24448.349999999977</v>
      </c>
      <c r="I38" s="95"/>
      <c r="J38" s="175">
        <f>H38/DAY(B2)</f>
        <v>-1286.7552631578935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487086</v>
      </c>
      <c r="F39" s="145">
        <v>490261</v>
      </c>
      <c r="G39" s="475">
        <f t="shared" si="3"/>
        <v>3175</v>
      </c>
      <c r="H39" s="99">
        <f>G39+'18 '!H39</f>
        <v>-33119.590000000026</v>
      </c>
      <c r="I39" s="95"/>
      <c r="J39" s="175">
        <f>H39/DAY(B2)</f>
        <v>-1743.136315789475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78998</v>
      </c>
      <c r="F40" s="418">
        <v>79325</v>
      </c>
      <c r="G40" s="475">
        <f t="shared" si="3"/>
        <v>327</v>
      </c>
      <c r="H40" s="99">
        <f>G40+'18 '!H40</f>
        <v>-4346.0899999999965</v>
      </c>
      <c r="I40" s="95"/>
      <c r="J40" s="175">
        <f>H40/DAY(B2)</f>
        <v>-228.74157894736823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120664</v>
      </c>
      <c r="F41" s="145">
        <v>126681</v>
      </c>
      <c r="G41" s="475">
        <f t="shared" si="3"/>
        <v>6017</v>
      </c>
      <c r="H41" s="99">
        <f>G41+'18 '!H41</f>
        <v>-16137.399999999994</v>
      </c>
      <c r="I41" s="95"/>
      <c r="J41" s="175">
        <f>H41/DAY(B2)</f>
        <v>-849.3368421052628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643374</v>
      </c>
      <c r="F42" s="145">
        <v>647711</v>
      </c>
      <c r="G42" s="475">
        <f t="shared" si="3"/>
        <v>4337</v>
      </c>
      <c r="H42" s="99">
        <f>G42+'18 '!H42</f>
        <v>-40921.550000000047</v>
      </c>
      <c r="I42" s="95"/>
      <c r="J42" s="175">
        <f>H42/DAY(B2)</f>
        <v>-2153.7657894736867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5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19253</v>
      </c>
      <c r="H47" s="99">
        <f>G47+'18 '!H47</f>
        <v>-146393.25</v>
      </c>
      <c r="I47" s="95"/>
      <c r="J47" s="175">
        <f>H47/DAY(B2)</f>
        <v>-7704.9078947368425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324717</v>
      </c>
      <c r="F49" s="145">
        <v>328274</v>
      </c>
      <c r="G49" s="475">
        <f t="shared" ref="G49:G58" si="4">F49-E49</f>
        <v>3557</v>
      </c>
      <c r="H49" s="99">
        <f>G49+'18 '!H49</f>
        <v>-42497.75</v>
      </c>
      <c r="I49" s="95"/>
      <c r="J49" s="175">
        <f>H49/DAY(B2)</f>
        <v>-2236.7236842105262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229995</v>
      </c>
      <c r="F50" s="145">
        <v>230953</v>
      </c>
      <c r="G50" s="475">
        <f t="shared" si="4"/>
        <v>958</v>
      </c>
      <c r="H50" s="99">
        <f>G50+'18 '!H50</f>
        <v>-12152.399999999994</v>
      </c>
      <c r="I50" s="95"/>
      <c r="J50" s="175">
        <f>H50/DAY(B2)</f>
        <v>-639.59999999999968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5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7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5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72761</v>
      </c>
      <c r="F54" s="145">
        <v>73128</v>
      </c>
      <c r="G54" s="475">
        <f t="shared" si="4"/>
        <v>367</v>
      </c>
      <c r="H54" s="99">
        <f>G54+'18 '!H54</f>
        <v>-3889.5</v>
      </c>
      <c r="I54" s="95"/>
      <c r="J54" s="175">
        <f>H54/DAY(B2)</f>
        <v>-204.71052631578948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254288</v>
      </c>
      <c r="F55" s="145">
        <v>254288</v>
      </c>
      <c r="G55" s="475">
        <f t="shared" si="4"/>
        <v>0</v>
      </c>
      <c r="H55" s="99">
        <f>G55+'18 '!H55</f>
        <v>-29794.929999999993</v>
      </c>
      <c r="I55" s="95"/>
      <c r="J55" s="175">
        <f>H55/DAY(B2)</f>
        <v>-1568.1542105263154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109347</v>
      </c>
      <c r="F56" s="145">
        <v>109347</v>
      </c>
      <c r="G56" s="475">
        <f t="shared" si="4"/>
        <v>0</v>
      </c>
      <c r="H56" s="99">
        <f>G56+'18 '!H56</f>
        <v>-1896.1300000000047</v>
      </c>
      <c r="I56" s="95"/>
      <c r="J56" s="175">
        <f>H56/DAY(B2)</f>
        <v>-99.796315789473923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94457</v>
      </c>
      <c r="F57" s="145">
        <v>97587</v>
      </c>
      <c r="G57" s="475">
        <f t="shared" si="4"/>
        <v>3130</v>
      </c>
      <c r="H57" s="99">
        <f>G57+'18 '!H57</f>
        <v>-34316.700000000012</v>
      </c>
      <c r="I57" s="95"/>
      <c r="J57" s="175">
        <f>H57/DAY(B2)</f>
        <v>-1806.1421052631586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37028</v>
      </c>
      <c r="F58" s="145">
        <v>37244</v>
      </c>
      <c r="G58" s="475">
        <f t="shared" si="4"/>
        <v>216</v>
      </c>
      <c r="H58" s="99">
        <f>G58+'18 '!H58</f>
        <v>-3036.1100000000006</v>
      </c>
      <c r="I58" s="95"/>
      <c r="J58" s="175">
        <f>H58/DAY(B2)</f>
        <v>-159.79526315789477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8228</v>
      </c>
      <c r="H59" s="99">
        <f>G59+'18 '!H59</f>
        <v>-127583.20000000007</v>
      </c>
      <c r="I59" s="95">
        <f>G7-G60</f>
        <v>19</v>
      </c>
      <c r="J59" s="175">
        <f>H59/DAY(B2)</f>
        <v>-6714.9052631578988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7">
        <f>G47+G59</f>
        <v>27481</v>
      </c>
      <c r="H60" s="99">
        <f>G60+'18 '!H60</f>
        <v>-273976.45000000007</v>
      </c>
      <c r="I60" s="95">
        <f>G13-G60</f>
        <v>459</v>
      </c>
      <c r="J60" s="175">
        <f>H60/DAY(B2)</f>
        <v>-14419.813157894741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'18 '!F62</f>
        <v>291490</v>
      </c>
      <c r="F62" s="122">
        <v>291606</v>
      </c>
      <c r="G62" s="475">
        <f t="shared" ref="G62:G63" si="5">F62-E62</f>
        <v>116</v>
      </c>
      <c r="H62" s="99">
        <f>G62+'18 '!H62</f>
        <v>-1092</v>
      </c>
      <c r="I62" s="118"/>
      <c r="J62" s="175">
        <f>H62/DAY(B2)</f>
        <v>-57.473684210526315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'18 '!F63</f>
        <v>233537</v>
      </c>
      <c r="F63" s="122">
        <v>233694</v>
      </c>
      <c r="G63" s="475">
        <f t="shared" si="5"/>
        <v>157</v>
      </c>
      <c r="H63" s="99">
        <f>G63+'18 '!H63</f>
        <v>-1372</v>
      </c>
      <c r="I63" s="118"/>
      <c r="J63" s="175">
        <f>H63/DAY(B2)</f>
        <v>-72.21052631578948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'18 '!F64</f>
        <v>0</v>
      </c>
      <c r="F64" s="122"/>
      <c r="G64" s="475">
        <f>G62+G63</f>
        <v>273</v>
      </c>
      <c r="H64" s="99">
        <f>G64+'18 '!H64</f>
        <v>-2464</v>
      </c>
      <c r="I64" s="118"/>
      <c r="J64" s="175">
        <f>H64/DAY(B2)</f>
        <v>-129.68421052631578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'18 '!F65</f>
        <v>450172</v>
      </c>
      <c r="F65" s="122">
        <v>450282</v>
      </c>
      <c r="G65" s="475">
        <f t="shared" ref="G65:G70" si="6">F65-E65</f>
        <v>110</v>
      </c>
      <c r="H65" s="99">
        <f>G65+'18 '!H65</f>
        <v>-1107</v>
      </c>
      <c r="I65" s="118"/>
      <c r="J65" s="175">
        <f>H65/DAY(B2)</f>
        <v>-58.263157894736842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110799</v>
      </c>
      <c r="F66" s="122">
        <v>110822</v>
      </c>
      <c r="G66" s="475">
        <f t="shared" si="6"/>
        <v>23</v>
      </c>
      <c r="H66" s="99">
        <f>G66+'18 '!H66</f>
        <v>-205</v>
      </c>
      <c r="I66" s="118"/>
      <c r="J66" s="175">
        <f>H66/DAY(B2)</f>
        <v>-10.789473684210526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113681</v>
      </c>
      <c r="F67" s="122">
        <v>113681</v>
      </c>
      <c r="G67" s="475">
        <f t="shared" si="6"/>
        <v>0</v>
      </c>
      <c r="H67" s="99">
        <f>G67+'18 '!H67</f>
        <v>1</v>
      </c>
      <c r="I67" s="118"/>
      <c r="J67" s="175">
        <f>H67/DAY(B2)</f>
        <v>5.2631578947368418E-2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163082</v>
      </c>
      <c r="F68" s="122">
        <v>163127</v>
      </c>
      <c r="G68" s="475">
        <f t="shared" si="6"/>
        <v>45</v>
      </c>
      <c r="H68" s="99">
        <f>G68+'18 '!H68</f>
        <v>-399</v>
      </c>
      <c r="I68" s="118"/>
      <c r="J68" s="175">
        <f>H68/DAY(B2)</f>
        <v>-21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12064</v>
      </c>
      <c r="F69" s="122">
        <v>12075</v>
      </c>
      <c r="G69" s="475">
        <f t="shared" si="6"/>
        <v>11</v>
      </c>
      <c r="H69" s="99">
        <f>G69+'18 '!H69</f>
        <v>-53</v>
      </c>
      <c r="I69" s="118"/>
      <c r="J69" s="175">
        <f>H69/DAY(B2)</f>
        <v>-2.7894736842105261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9415</v>
      </c>
      <c r="F70" s="122">
        <v>9423</v>
      </c>
      <c r="G70" s="475">
        <f t="shared" si="6"/>
        <v>8</v>
      </c>
      <c r="H70" s="99">
        <f>G70+'18 '!H70</f>
        <v>-91</v>
      </c>
      <c r="I70" s="118"/>
      <c r="J70" s="175">
        <f>H70/DAY(B2)</f>
        <v>-4.7894736842105265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95">
        <f>'18 '!F71</f>
        <v>0</v>
      </c>
      <c r="F71" s="152"/>
      <c r="G71" s="487">
        <f>SUM(G65:G70)</f>
        <v>197</v>
      </c>
      <c r="H71" s="99">
        <f>G71+'18 '!H71</f>
        <v>-1854</v>
      </c>
      <c r="I71" s="154"/>
      <c r="J71" s="175">
        <f>H71/DAY(B2)</f>
        <v>-97.578947368421055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'18 '!F74</f>
        <v>944234</v>
      </c>
      <c r="F74" s="117">
        <v>944534</v>
      </c>
      <c r="G74" s="475">
        <f t="shared" ref="G74:G78" si="7">F74-E74</f>
        <v>300</v>
      </c>
      <c r="H74" s="99">
        <f>G74+'18 '!H74</f>
        <v>-3173.1999999999534</v>
      </c>
      <c r="I74" s="154"/>
      <c r="J74" s="175">
        <f>H74/DAY(B2)</f>
        <v>-167.01052631578702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'18 '!F75</f>
        <v>73586.8</v>
      </c>
      <c r="F75" s="123">
        <v>73586.8</v>
      </c>
      <c r="G75" s="475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'18 '!F76</f>
        <v>185707</v>
      </c>
      <c r="F76" s="123">
        <v>185825</v>
      </c>
      <c r="G76" s="475">
        <f t="shared" si="7"/>
        <v>118</v>
      </c>
      <c r="H76" s="99">
        <f>G76+'18 '!H76</f>
        <v>-1066.2999999999884</v>
      </c>
      <c r="I76" s="154"/>
      <c r="J76" s="175">
        <f>H76/DAY(B2)</f>
        <v>-56.121052631578337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'18 '!F77</f>
        <v>48201</v>
      </c>
      <c r="F77" s="123">
        <v>48264</v>
      </c>
      <c r="G77" s="475">
        <f t="shared" si="7"/>
        <v>63</v>
      </c>
      <c r="H77" s="99">
        <f>G77+'18 '!H77</f>
        <v>-471.80000000000291</v>
      </c>
      <c r="I77" s="154"/>
      <c r="J77" s="175">
        <f>H77/DAY(B2)</f>
        <v>-24.831578947368573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'18 '!F78</f>
        <v>9564</v>
      </c>
      <c r="F78" s="123">
        <v>9564</v>
      </c>
      <c r="G78" s="475">
        <f t="shared" si="7"/>
        <v>0</v>
      </c>
      <c r="H78" s="99">
        <f>G78+'18 '!H78</f>
        <v>-0.3999999999996362</v>
      </c>
      <c r="I78" s="118"/>
      <c r="J78" s="175">
        <f>H78/DAY(B2)</f>
        <v>-2.105263157892822E-2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'18 '!F79</f>
        <v>0</v>
      </c>
      <c r="F79" s="123"/>
      <c r="G79" s="475">
        <f>G15-SUM(G74:G78)</f>
        <v>519</v>
      </c>
      <c r="H79" s="99">
        <f>G79+'18 '!H79</f>
        <v>24094.530000000021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475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489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5">
        <f t="shared" ref="G82:G92" si="8">F82-E82</f>
        <v>0</v>
      </c>
      <c r="H82" s="99">
        <f>G82+'18 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5">
        <f t="shared" si="8"/>
        <v>0</v>
      </c>
      <c r="H83" s="99">
        <f>G83+'18 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42185.58</v>
      </c>
      <c r="F84" s="164">
        <v>42209.53</v>
      </c>
      <c r="G84" s="475">
        <f t="shared" si="8"/>
        <v>23.94999999999709</v>
      </c>
      <c r="H84" s="99">
        <f>G84+'18 '!H84</f>
        <v>-65.470000000001164</v>
      </c>
      <c r="I84" s="573"/>
      <c r="J84" s="175">
        <f>H84/DAY(B2)</f>
        <v>-3.4457894736842718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4691.1499999999996</v>
      </c>
      <c r="F85" s="164">
        <v>4708.54</v>
      </c>
      <c r="G85" s="475">
        <f t="shared" si="8"/>
        <v>17.390000000000327</v>
      </c>
      <c r="H85" s="99">
        <f>G85+'18 '!H85</f>
        <v>-173.47000000000025</v>
      </c>
      <c r="I85" s="573"/>
      <c r="J85" s="175">
        <f>H85/DAY(B2)</f>
        <v>-9.1300000000000132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44658</v>
      </c>
      <c r="F86" s="164">
        <v>44658</v>
      </c>
      <c r="G86" s="475">
        <f t="shared" si="8"/>
        <v>0</v>
      </c>
      <c r="H86" s="99">
        <f>G86+'18 '!H86</f>
        <v>-194.30000000000291</v>
      </c>
      <c r="I86" s="573"/>
      <c r="J86" s="175">
        <f>H86/DAY(B2)</f>
        <v>-10.226315789473837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35345</v>
      </c>
      <c r="F87" s="164">
        <v>35345</v>
      </c>
      <c r="G87" s="475">
        <f t="shared" si="8"/>
        <v>0</v>
      </c>
      <c r="H87" s="99">
        <f>G87+'18 '!H87</f>
        <v>-13.05000000000291</v>
      </c>
      <c r="I87" s="573">
        <f>G84+G85+G86+G87</f>
        <v>41.339999999997417</v>
      </c>
      <c r="J87" s="175">
        <f>H87/DAY(B2)</f>
        <v>-0.68684210526331102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24277</v>
      </c>
      <c r="F88" s="164">
        <v>24277</v>
      </c>
      <c r="G88" s="475">
        <f t="shared" si="8"/>
        <v>0</v>
      </c>
      <c r="H88" s="99">
        <f>G88+'18 '!H88</f>
        <v>-0.2000000000007276</v>
      </c>
      <c r="I88" s="573"/>
      <c r="J88" s="175">
        <f>H88/DAY(B2)</f>
        <v>-1.0526315789511978E-2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27177</v>
      </c>
      <c r="F89" s="164">
        <v>27186.47</v>
      </c>
      <c r="G89" s="475">
        <f t="shared" si="8"/>
        <v>9.4700000000011642</v>
      </c>
      <c r="H89" s="99">
        <f>G89+'18 '!H89</f>
        <v>-104.94999999999709</v>
      </c>
      <c r="I89" s="573">
        <f>G88+G89</f>
        <v>9.4700000000011642</v>
      </c>
      <c r="J89" s="175">
        <f>H89/DAY(B2)</f>
        <v>-5.523684210526163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72211</v>
      </c>
      <c r="F90" s="164">
        <v>72220</v>
      </c>
      <c r="G90" s="475">
        <f t="shared" si="8"/>
        <v>9</v>
      </c>
      <c r="H90" s="99">
        <f>G90+'18 '!H90</f>
        <v>-81.129999999990105</v>
      </c>
      <c r="I90" s="573">
        <f>G90</f>
        <v>9</v>
      </c>
      <c r="J90" s="175">
        <f>H90/DAY(B2)</f>
        <v>-4.2699999999994791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4122</v>
      </c>
      <c r="F91" s="122">
        <v>4122</v>
      </c>
      <c r="G91" s="475">
        <f t="shared" si="8"/>
        <v>0</v>
      </c>
      <c r="H91" s="99">
        <f>G91+'18 '!H91</f>
        <v>-16.4399999999996</v>
      </c>
      <c r="I91" s="592"/>
      <c r="J91" s="175">
        <f>H91/DAY(B2)</f>
        <v>-0.86526315789471575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6411</v>
      </c>
      <c r="F92" s="122">
        <v>6421</v>
      </c>
      <c r="G92" s="475">
        <f t="shared" si="8"/>
        <v>10</v>
      </c>
      <c r="H92" s="99">
        <f>G92+'18 '!H92</f>
        <v>-94.340000000000146</v>
      </c>
      <c r="I92" s="598">
        <f>G91+G92</f>
        <v>10</v>
      </c>
      <c r="J92" s="175">
        <f>H92/DAY(B2)</f>
        <v>-4.9652631578947446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490">
        <f>G35+G43+G49+G57</f>
        <v>6687</v>
      </c>
      <c r="H94" s="99">
        <f>G94+'18 '!H94</f>
        <v>-76813.5</v>
      </c>
      <c r="I94" s="118"/>
      <c r="J94" s="175">
        <f>H94/DAY(B2)</f>
        <v>-4042.8157894736842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491">
        <f>G94/G7</f>
        <v>0.24316363636363636</v>
      </c>
      <c r="H95" s="99">
        <f>G95+'18 '!H95</f>
        <v>-2.7062717264430618</v>
      </c>
      <c r="I95" s="167"/>
      <c r="J95" s="175">
        <f>H95/DAY(B2)</f>
        <v>-0.14243535402331906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490">
        <f>G41+G42+G55+G56</f>
        <v>10354</v>
      </c>
      <c r="H96" s="99">
        <f>G96+'18 '!H96</f>
        <v>-88750.010000000068</v>
      </c>
      <c r="I96" s="118"/>
      <c r="J96" s="175">
        <f>H96/DAY(B2)</f>
        <v>-4671.0531578947403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491">
        <f>G96/G7</f>
        <v>0.3765090909090909</v>
      </c>
      <c r="H97" s="99">
        <f>G97+'18 '!H97</f>
        <v>-3.149450973090866</v>
      </c>
      <c r="I97" s="167"/>
      <c r="J97" s="175">
        <f>H97/DAY(B2)</f>
        <v>-0.16576057753109821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490">
        <f>G39+G53</f>
        <v>3175</v>
      </c>
      <c r="H98" s="99">
        <f>G98+'18 '!H98</f>
        <v>-33119.590000000026</v>
      </c>
      <c r="I98" s="168"/>
      <c r="J98" s="175">
        <f>H98/DAY(B2)</f>
        <v>-1743.136315789475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491">
        <f>G98/G7</f>
        <v>0.11545454545454545</v>
      </c>
      <c r="H99" s="99">
        <f>G99+'18 '!H99</f>
        <v>-1.1665546080905671</v>
      </c>
      <c r="I99" s="168"/>
      <c r="J99" s="175">
        <f>H99/DAY(B2)</f>
        <v>-6.1397610952135112E-2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490">
        <f>G38+G52</f>
        <v>2342</v>
      </c>
      <c r="H100" s="99">
        <f>G100+'18 '!H100</f>
        <v>-24448.349999999969</v>
      </c>
      <c r="I100" s="118"/>
      <c r="J100" s="175">
        <f>H100/DAY(B2)</f>
        <v>-1286.7552631578931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491">
        <f>G100/G7</f>
        <v>8.5163636363636358E-2</v>
      </c>
      <c r="H101" s="99">
        <f>G101+'18 '!H101</f>
        <v>-0.86019392587216403</v>
      </c>
      <c r="I101" s="168"/>
      <c r="J101" s="175">
        <f>H101/DAY(B2)</f>
        <v>-4.5273364519587578E-2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490">
        <f>G36+G50</f>
        <v>2279</v>
      </c>
      <c r="H102" s="99">
        <f>G102+'18 '!H102</f>
        <v>-21655.630000000005</v>
      </c>
      <c r="I102" s="168"/>
      <c r="J102" s="175">
        <f>H102/DAY(B2)</f>
        <v>-1139.7700000000002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491">
        <f>G102/G7</f>
        <v>8.2872727272727278E-2</v>
      </c>
      <c r="H103" s="99">
        <f>G103+'18 '!H103</f>
        <v>-0.76530860339378204</v>
      </c>
      <c r="I103" s="118"/>
      <c r="J103" s="175">
        <f>H103/DAY(B2)</f>
        <v>-4.0279400178620105E-2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490">
        <f>G37+G51</f>
        <v>1734</v>
      </c>
      <c r="H104" s="99">
        <f>G104+'18 '!H104</f>
        <v>-17917.669999999991</v>
      </c>
      <c r="I104" s="118"/>
      <c r="J104" s="175">
        <f>H104/DAY(B2)</f>
        <v>-943.03526315789429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492">
        <f>G104/G7</f>
        <v>6.305454545454546E-2</v>
      </c>
      <c r="H105" s="99">
        <f>G105+'18 '!H105</f>
        <v>-0.63075982526296293</v>
      </c>
      <c r="I105" s="187"/>
      <c r="J105" s="188">
        <f>H105/DAY(B2)</f>
        <v>-3.3197885540155944E-2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49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'18 '!F112</f>
        <v>4048</v>
      </c>
      <c r="F112" s="237">
        <v>4123</v>
      </c>
      <c r="G112" s="475">
        <f t="shared" ref="G112:G123" si="9">F112-E112</f>
        <v>75</v>
      </c>
      <c r="H112" s="99">
        <f>G112+'18 '!H112</f>
        <v>-806.73999999999978</v>
      </c>
      <c r="I112" s="165"/>
      <c r="J112" s="328">
        <f>H112/DAY(B2)</f>
        <v>-42.459999999999987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'18 '!F113</f>
        <v>8930</v>
      </c>
      <c r="F113" s="237">
        <v>9068</v>
      </c>
      <c r="G113" s="475">
        <f t="shared" si="9"/>
        <v>138</v>
      </c>
      <c r="H113" s="99">
        <f>G113+'18 '!H113</f>
        <v>-1564.7199999999993</v>
      </c>
      <c r="I113" s="165"/>
      <c r="J113" s="328">
        <f>H113/DAY(B2)</f>
        <v>-82.353684210526282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'18 '!F114</f>
        <v>11520</v>
      </c>
      <c r="F114" s="237">
        <v>11735</v>
      </c>
      <c r="G114" s="475">
        <f t="shared" si="9"/>
        <v>215</v>
      </c>
      <c r="H114" s="99">
        <f>G114+'18 '!H114</f>
        <v>-2458.7999999999993</v>
      </c>
      <c r="I114" s="165"/>
      <c r="J114" s="328">
        <f>H114/DAY(B2)</f>
        <v>-129.41052631578944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'18 '!F115</f>
        <v>7305</v>
      </c>
      <c r="F115" s="237">
        <v>7435</v>
      </c>
      <c r="G115" s="475">
        <f t="shared" si="9"/>
        <v>130</v>
      </c>
      <c r="H115" s="99">
        <f>G115+'18 '!H115</f>
        <v>-1585.7800000000007</v>
      </c>
      <c r="I115" s="165"/>
      <c r="J115" s="328">
        <f>H115/DAY(B2)</f>
        <v>-83.462105263157923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'18 '!F116</f>
        <v>53939</v>
      </c>
      <c r="F116" s="237">
        <v>54421</v>
      </c>
      <c r="G116" s="475">
        <f t="shared" si="9"/>
        <v>482</v>
      </c>
      <c r="H116" s="99">
        <f>G116+'18 '!H116</f>
        <v>-4469.5500000000029</v>
      </c>
      <c r="I116" s="165"/>
      <c r="J116" s="328">
        <f>H116/DAY(B2)</f>
        <v>-235.23947368421068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'18 '!F117</f>
        <v>29395</v>
      </c>
      <c r="F117" s="237">
        <v>29680</v>
      </c>
      <c r="G117" s="475">
        <f t="shared" si="9"/>
        <v>285</v>
      </c>
      <c r="H117" s="99">
        <f>G117+'18 '!H117</f>
        <v>-3208.4800000000032</v>
      </c>
      <c r="I117" s="165"/>
      <c r="J117" s="328">
        <f>H117/DAY(B2)</f>
        <v>-168.86736842105279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'18 '!F118</f>
        <v>37106</v>
      </c>
      <c r="F118" s="237">
        <v>37749</v>
      </c>
      <c r="G118" s="475">
        <f t="shared" si="9"/>
        <v>643</v>
      </c>
      <c r="H118" s="99">
        <f>G118+'18 '!H118</f>
        <v>-7171.3099999999977</v>
      </c>
      <c r="I118" s="165"/>
      <c r="J118" s="328">
        <f>H118/DAY(B2)</f>
        <v>-377.4373684210525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'18 '!F119</f>
        <v>26745</v>
      </c>
      <c r="F119" s="237">
        <v>27206</v>
      </c>
      <c r="G119" s="475">
        <f t="shared" si="9"/>
        <v>461</v>
      </c>
      <c r="H119" s="99">
        <f>G119+'18 '!H119</f>
        <v>-3136.5999999999985</v>
      </c>
      <c r="I119" s="165"/>
      <c r="J119" s="328">
        <f>H119/DAY(B2)</f>
        <v>-165.0842105263157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'18 '!F120</f>
        <v>27910</v>
      </c>
      <c r="F120" s="237">
        <v>28341</v>
      </c>
      <c r="G120" s="475">
        <f t="shared" si="9"/>
        <v>431</v>
      </c>
      <c r="H120" s="99">
        <f>G120+'18 '!H120</f>
        <v>-4764.5599999999977</v>
      </c>
      <c r="I120" s="165"/>
      <c r="J120" s="328">
        <f>H120/DAY(B2)</f>
        <v>-250.76631578947357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'18 '!F121</f>
        <v>34188</v>
      </c>
      <c r="F121" s="237">
        <v>34643</v>
      </c>
      <c r="G121" s="475">
        <f t="shared" si="9"/>
        <v>455</v>
      </c>
      <c r="H121" s="99">
        <f>G121+'18 '!H121</f>
        <v>-4944.9000000000015</v>
      </c>
      <c r="I121" s="165"/>
      <c r="J121" s="328">
        <f>H121/DAY(B2)</f>
        <v>-260.25789473684216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'18 '!F122</f>
        <v>16677</v>
      </c>
      <c r="F122" s="237">
        <v>16954</v>
      </c>
      <c r="G122" s="475">
        <f t="shared" si="9"/>
        <v>277</v>
      </c>
      <c r="H122" s="99">
        <f>G122+'18 '!H122</f>
        <v>-3011.880000000001</v>
      </c>
      <c r="I122" s="165"/>
      <c r="J122" s="328">
        <f>H122/DAY(B2)</f>
        <v>-158.52000000000007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'18 '!F123</f>
        <v>16590</v>
      </c>
      <c r="F123" s="237">
        <v>16904</v>
      </c>
      <c r="G123" s="475">
        <f t="shared" si="9"/>
        <v>314</v>
      </c>
      <c r="H123" s="99">
        <f>G123+'18 '!H123</f>
        <v>-3438</v>
      </c>
      <c r="I123" s="165"/>
      <c r="J123" s="328">
        <f>H123/DAY(B2)</f>
        <v>-180.94736842105263</v>
      </c>
    </row>
    <row r="124" spans="1:18" ht="29.25" customHeight="1">
      <c r="A124" s="929"/>
      <c r="B124" s="930"/>
      <c r="C124" s="931"/>
      <c r="D124" s="165"/>
      <c r="E124" s="95">
        <f>'18 '!F124</f>
        <v>0</v>
      </c>
      <c r="F124" s="165"/>
      <c r="G124" s="495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496">
        <f>SUM(G112:G124)</f>
        <v>3906</v>
      </c>
      <c r="H125" s="156"/>
      <c r="I125" s="327">
        <f>G125-(G39+G53)</f>
        <v>731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496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'18 '!F128</f>
        <v>105235</v>
      </c>
      <c r="F128" s="165">
        <v>105754</v>
      </c>
      <c r="G128" s="475">
        <f t="shared" ref="G128:G134" si="10">F128-E128</f>
        <v>519</v>
      </c>
      <c r="H128" s="99">
        <f>G128+'18 '!H128</f>
        <v>-6121.8600000000006</v>
      </c>
      <c r="I128" s="165"/>
      <c r="J128" s="328">
        <f>H128/DAY(B2)</f>
        <v>-322.20315789473688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64640</v>
      </c>
      <c r="F129" s="165">
        <v>64752</v>
      </c>
      <c r="G129" s="475">
        <f t="shared" si="10"/>
        <v>112</v>
      </c>
      <c r="H129" s="99">
        <f>G129+'18 '!H129</f>
        <v>-1949.7799999999988</v>
      </c>
      <c r="I129" s="165"/>
      <c r="J129" s="328">
        <f>H129/DAY(B2)</f>
        <v>-102.61999999999993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132549</v>
      </c>
      <c r="F130" s="158">
        <v>133331</v>
      </c>
      <c r="G130" s="475">
        <f t="shared" si="10"/>
        <v>782</v>
      </c>
      <c r="H130" s="99">
        <f>G130+'18 '!H130</f>
        <v>-8966.9199999999837</v>
      </c>
      <c r="I130" s="165"/>
      <c r="J130" s="328">
        <f>H130/DAY(B2)</f>
        <v>-471.94315789473598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'18 '!F131</f>
        <v>40007</v>
      </c>
      <c r="F131" s="165">
        <v>40186</v>
      </c>
      <c r="G131" s="475">
        <f t="shared" si="10"/>
        <v>179</v>
      </c>
      <c r="H131" s="99">
        <f>G131+'18 '!H131</f>
        <v>-2432.1999999999971</v>
      </c>
      <c r="I131" s="165"/>
      <c r="J131" s="328">
        <f>H131/DAY(B2)</f>
        <v>-128.01052631578932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'18 '!F132</f>
        <v>110698</v>
      </c>
      <c r="F132" s="165">
        <v>111171</v>
      </c>
      <c r="G132" s="475">
        <f t="shared" si="10"/>
        <v>473</v>
      </c>
      <c r="H132" s="99">
        <f>G132+'18 '!H132</f>
        <v>-5120</v>
      </c>
      <c r="I132" s="165"/>
      <c r="J132" s="328">
        <f>H132/DAY(B2)</f>
        <v>-269.4736842105263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'18 '!F133</f>
        <v>215763</v>
      </c>
      <c r="F133" s="165">
        <v>216386</v>
      </c>
      <c r="G133" s="475">
        <f t="shared" si="10"/>
        <v>623</v>
      </c>
      <c r="H133" s="99">
        <f>G133+'18 '!H133</f>
        <v>575.42999999999302</v>
      </c>
      <c r="I133" s="165"/>
      <c r="J133" s="328">
        <f>H133/DAY(B2)</f>
        <v>30.285789473683842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'18 '!F134</f>
        <v>39249</v>
      </c>
      <c r="F134" s="165">
        <v>39467</v>
      </c>
      <c r="G134" s="475">
        <f t="shared" si="10"/>
        <v>218</v>
      </c>
      <c r="H134" s="99">
        <f>G134+'18 '!H134</f>
        <v>-2278</v>
      </c>
      <c r="I134" s="165"/>
      <c r="J134" s="328">
        <f>H134/DAY(B2)</f>
        <v>-119.89473684210526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475">
        <f>SUM(G128:G134)</f>
        <v>2906</v>
      </c>
      <c r="H135" s="99">
        <f>G135+'10'!H135</f>
        <v>30470.699999999997</v>
      </c>
      <c r="I135" s="327">
        <f>G135-(G35+G49)</f>
        <v>-651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'18 '!F138</f>
        <v>885732</v>
      </c>
      <c r="F138" s="147">
        <v>885869</v>
      </c>
      <c r="G138" s="475">
        <f t="shared" ref="G138:G152" si="11">F138-E138</f>
        <v>137</v>
      </c>
      <c r="H138" s="99">
        <f>G138+'18 '!H138</f>
        <v>-1355</v>
      </c>
      <c r="I138" s="118"/>
      <c r="J138" s="328">
        <f>H138/DAY(B2)</f>
        <v>-71.315789473684205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'18 '!F139</f>
        <v>902204</v>
      </c>
      <c r="F139" s="148">
        <v>902354</v>
      </c>
      <c r="G139" s="475">
        <f t="shared" si="11"/>
        <v>150</v>
      </c>
      <c r="H139" s="99">
        <f>G139+'18 '!H139</f>
        <v>-1736</v>
      </c>
      <c r="I139" s="118"/>
      <c r="J139" s="328">
        <f>H139/DAY(B2)</f>
        <v>-91.368421052631575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'18 '!F140</f>
        <v>873</v>
      </c>
      <c r="F140" s="149">
        <v>887</v>
      </c>
      <c r="G140" s="475">
        <f t="shared" si="11"/>
        <v>14</v>
      </c>
      <c r="H140" s="99">
        <f>G140+'18 '!H140</f>
        <v>-88118.650000000009</v>
      </c>
      <c r="I140" s="118"/>
      <c r="J140" s="328">
        <f>H140/DAY(B2)</f>
        <v>-4637.8236842105271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'18 '!F141</f>
        <v>81649</v>
      </c>
      <c r="F141" s="149">
        <v>81870</v>
      </c>
      <c r="G141" s="475">
        <f t="shared" si="11"/>
        <v>221</v>
      </c>
      <c r="H141" s="99">
        <f>G141+'18 '!H141</f>
        <v>-2245.1999999999971</v>
      </c>
      <c r="I141" s="118"/>
      <c r="J141" s="328">
        <f>H141/DAY(B2)</f>
        <v>-118.16842105263143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'18 '!F142</f>
        <v>33248</v>
      </c>
      <c r="F142" s="148">
        <v>33396</v>
      </c>
      <c r="G142" s="475">
        <f t="shared" si="11"/>
        <v>148</v>
      </c>
      <c r="H142" s="99">
        <f>G142+'18 '!H142</f>
        <v>-989.47000000000116</v>
      </c>
      <c r="I142" s="140"/>
      <c r="J142" s="328">
        <f>H142/DAY(B2)</f>
        <v>-52.077368421052689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'18 '!F143</f>
        <v>7817</v>
      </c>
      <c r="F143" s="149">
        <v>7845</v>
      </c>
      <c r="G143" s="475">
        <f t="shared" si="11"/>
        <v>28</v>
      </c>
      <c r="H143" s="99">
        <f>G143+'18 '!H143</f>
        <v>-313.31999999999971</v>
      </c>
      <c r="I143" s="140"/>
      <c r="J143" s="328">
        <f>H143/DAY(B2)</f>
        <v>-16.490526315789459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'18 '!F144</f>
        <v>909398</v>
      </c>
      <c r="F144" s="149">
        <v>909648</v>
      </c>
      <c r="G144" s="475">
        <f t="shared" si="11"/>
        <v>250</v>
      </c>
      <c r="H144" s="99">
        <f>G144+'18 '!H144</f>
        <v>-2629</v>
      </c>
      <c r="I144" s="140"/>
      <c r="J144" s="328">
        <f>H144/DAY(B2)</f>
        <v>-138.36842105263159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'18 '!F145</f>
        <v>5665</v>
      </c>
      <c r="F145" s="149">
        <v>5665</v>
      </c>
      <c r="G145" s="475">
        <f t="shared" si="11"/>
        <v>0</v>
      </c>
      <c r="H145" s="99">
        <f>G145+'18 '!H145</f>
        <v>-1.5600000000004002</v>
      </c>
      <c r="I145" s="140"/>
      <c r="J145" s="328">
        <f>H145/DAY(B2)</f>
        <v>-8.2105263157915803E-2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'18 '!F146</f>
        <v>778767</v>
      </c>
      <c r="F146" s="148">
        <v>778805</v>
      </c>
      <c r="G146" s="475">
        <f t="shared" si="11"/>
        <v>38</v>
      </c>
      <c r="H146" s="99">
        <f>G146+'18 '!H146</f>
        <v>-523</v>
      </c>
      <c r="I146" s="140"/>
      <c r="J146" s="328">
        <f>H146/DAY(B2)</f>
        <v>-27.526315789473685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'18 '!F147</f>
        <v>682888</v>
      </c>
      <c r="F147" s="148">
        <v>683269</v>
      </c>
      <c r="G147" s="475">
        <f t="shared" si="11"/>
        <v>381</v>
      </c>
      <c r="H147" s="99">
        <f>G147+'18 '!H147</f>
        <v>-4257.1600000000326</v>
      </c>
      <c r="I147" s="140"/>
      <c r="J147" s="328">
        <f>H147/DAY(B2)</f>
        <v>-224.06105263158065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'18 '!F148</f>
        <v>734887</v>
      </c>
      <c r="F148" s="150">
        <v>735404</v>
      </c>
      <c r="G148" s="475">
        <f t="shared" si="11"/>
        <v>517</v>
      </c>
      <c r="H148" s="99">
        <f>G148+'18 '!H148</f>
        <v>-3543.2800000000279</v>
      </c>
      <c r="I148" s="124"/>
      <c r="J148" s="328">
        <f>H148/DAY(B2)</f>
        <v>-186.48842105263304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'18 '!F149</f>
        <v>110848</v>
      </c>
      <c r="F149" s="416">
        <v>111327</v>
      </c>
      <c r="G149" s="475">
        <f t="shared" si="11"/>
        <v>479</v>
      </c>
      <c r="H149" s="99">
        <f>G149+'18 '!H149</f>
        <v>-5205.8000000000029</v>
      </c>
      <c r="I149" s="119"/>
      <c r="J149" s="328">
        <f>H149/DAY(B2)</f>
        <v>-273.98947368421068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'18 '!F150</f>
        <v>41125</v>
      </c>
      <c r="F150" s="233">
        <v>41346</v>
      </c>
      <c r="G150" s="475">
        <f t="shared" si="11"/>
        <v>221</v>
      </c>
      <c r="H150" s="99">
        <f>G150+'18 '!H150</f>
        <v>-2379.1600000000035</v>
      </c>
      <c r="I150" s="119"/>
      <c r="J150" s="328">
        <f>H150/DAY(B2)</f>
        <v>-125.21894736842124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'18 '!F151</f>
        <v>123298</v>
      </c>
      <c r="F151" s="233">
        <v>123589</v>
      </c>
      <c r="G151" s="475">
        <f t="shared" si="11"/>
        <v>291</v>
      </c>
      <c r="H151" s="99">
        <f>G151+'18 '!H151</f>
        <v>-3014</v>
      </c>
      <c r="I151" s="119"/>
      <c r="J151" s="328">
        <f>H151/DAY(B2)</f>
        <v>-158.63157894736841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'18 '!F152</f>
        <v>17744</v>
      </c>
      <c r="F152" s="233">
        <v>17874</v>
      </c>
      <c r="G152" s="475">
        <f t="shared" si="11"/>
        <v>130</v>
      </c>
      <c r="H152" s="99">
        <f>G152+'18 '!H152</f>
        <v>-1414.0800000000017</v>
      </c>
      <c r="I152" s="119"/>
      <c r="J152" s="328">
        <f>H152/DAY(B2)</f>
        <v>-74.425263157894832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497">
        <f>SUM(G138:G152)</f>
        <v>3005</v>
      </c>
      <c r="H153" s="363"/>
      <c r="I153" s="119">
        <f>G153-(G38+G52)</f>
        <v>663</v>
      </c>
      <c r="J153" s="366"/>
    </row>
    <row r="154" spans="1:10" ht="27.75">
      <c r="A154" s="936" t="s">
        <v>207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'18 '!F155</f>
        <v>123116</v>
      </c>
      <c r="F155" s="157">
        <v>123763</v>
      </c>
      <c r="G155" s="475">
        <f t="shared" ref="G155:G158" si="12">F155-E155</f>
        <v>647</v>
      </c>
      <c r="H155" s="99">
        <f>G155+'18 '!H155</f>
        <v>-6478.3800000000047</v>
      </c>
      <c r="I155" s="364"/>
      <c r="J155" s="328">
        <f>H155/DAY(B2)</f>
        <v>-340.96736842105287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'18 '!F156</f>
        <v>11076</v>
      </c>
      <c r="F156" s="157">
        <v>11156</v>
      </c>
      <c r="G156" s="475">
        <f t="shared" si="12"/>
        <v>80</v>
      </c>
      <c r="H156" s="99">
        <f>G156+'18 '!H156</f>
        <v>-937.36000000000058</v>
      </c>
      <c r="I156" s="165"/>
      <c r="J156" s="328">
        <f>H156/DAY(B2)</f>
        <v>-49.334736842105293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'18 '!F157</f>
        <v>21208</v>
      </c>
      <c r="F157" s="374">
        <v>21391</v>
      </c>
      <c r="G157" s="475">
        <f t="shared" si="12"/>
        <v>183</v>
      </c>
      <c r="H157" s="99"/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'18 '!F158</f>
        <v>190</v>
      </c>
      <c r="F158" s="374">
        <v>190</v>
      </c>
      <c r="G158" s="475">
        <f t="shared" si="12"/>
        <v>0</v>
      </c>
      <c r="H158" s="99"/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475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476669</v>
      </c>
      <c r="F161" s="235">
        <v>476679</v>
      </c>
      <c r="G161" s="498">
        <f t="shared" ref="G161:G165" si="13">F161-E161</f>
        <v>10</v>
      </c>
      <c r="H161" s="99">
        <f>G161+'18 '!H161</f>
        <v>13</v>
      </c>
      <c r="I161" s="236"/>
      <c r="J161" s="239">
        <f>H161/DAY(B2)</f>
        <v>0.68421052631578949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93358</v>
      </c>
      <c r="F162" s="235">
        <v>93374</v>
      </c>
      <c r="G162" s="498">
        <f t="shared" si="13"/>
        <v>16</v>
      </c>
      <c r="H162" s="99">
        <f>G162+'18 '!H162</f>
        <v>-431.30000000000291</v>
      </c>
      <c r="I162" s="236"/>
      <c r="J162" s="239">
        <f>H162/DAY(B2)</f>
        <v>-22.700000000000152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100071</v>
      </c>
      <c r="F163" s="235">
        <v>100226</v>
      </c>
      <c r="G163" s="498">
        <f t="shared" si="13"/>
        <v>155</v>
      </c>
      <c r="H163" s="99">
        <f>G163+'18 '!H163</f>
        <v>98199.900000000009</v>
      </c>
      <c r="I163" s="236"/>
      <c r="J163" s="239">
        <f>H163/DAY(B2)</f>
        <v>5168.4157894736845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5747</v>
      </c>
      <c r="F164" s="235">
        <v>5756</v>
      </c>
      <c r="G164" s="498">
        <f t="shared" si="13"/>
        <v>9</v>
      </c>
      <c r="H164" s="99">
        <f>G164+'18 '!H164</f>
        <v>-142.39999999999964</v>
      </c>
      <c r="I164" s="236"/>
      <c r="J164" s="239">
        <f>H164/DAY(B2)</f>
        <v>-7.4947368421052438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31217</v>
      </c>
      <c r="F165" s="235">
        <v>31223</v>
      </c>
      <c r="G165" s="498">
        <f t="shared" si="13"/>
        <v>6</v>
      </c>
      <c r="H165" s="99">
        <f>G165+'18 '!H165</f>
        <v>-123.65000000000146</v>
      </c>
      <c r="I165" s="236"/>
      <c r="J165" s="239">
        <f>H165/DAY(B2)</f>
        <v>-6.5078947368421822</v>
      </c>
    </row>
    <row r="166" spans="1:10" ht="26.25">
      <c r="A166" s="935"/>
      <c r="B166" s="935"/>
      <c r="C166" s="246"/>
      <c r="D166" s="244"/>
      <c r="E166" s="95"/>
      <c r="F166" s="165"/>
      <c r="G166" s="495"/>
      <c r="H166" s="99"/>
      <c r="I166" s="165"/>
      <c r="J166" s="239"/>
    </row>
    <row r="167" spans="1:10" ht="26.25">
      <c r="A167" s="935"/>
      <c r="B167" s="935"/>
      <c r="C167" s="246"/>
      <c r="D167" s="244"/>
      <c r="E167" s="95"/>
      <c r="F167" s="165"/>
      <c r="G167" s="495"/>
      <c r="H167" s="99"/>
      <c r="I167" s="165"/>
      <c r="J167" s="239"/>
    </row>
    <row r="168" spans="1:10" ht="26.25">
      <c r="A168" s="935"/>
      <c r="B168" s="935"/>
      <c r="C168" s="246"/>
      <c r="D168" s="244"/>
      <c r="E168" s="95"/>
      <c r="F168" s="165"/>
      <c r="G168" s="495"/>
      <c r="H168" s="99"/>
      <c r="I168" s="165"/>
      <c r="J168" s="239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499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'18 '!F173</f>
        <v>8276</v>
      </c>
      <c r="F173" s="157">
        <v>8276</v>
      </c>
      <c r="G173" s="499">
        <f>F173-E173</f>
        <v>0</v>
      </c>
      <c r="H173" s="99">
        <f>G173+'18 '!H173</f>
        <v>47</v>
      </c>
      <c r="I173" s="155"/>
      <c r="J173" s="178">
        <f>H173/DAY(B2)</f>
        <v>2.4736842105263159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'18 '!F174</f>
        <v>40598</v>
      </c>
      <c r="F174" s="157">
        <v>40614</v>
      </c>
      <c r="G174" s="499">
        <f t="shared" ref="G174:G175" si="14">F174-E174</f>
        <v>16</v>
      </c>
      <c r="H174" s="99">
        <f>G174+'18 '!H174</f>
        <v>-165</v>
      </c>
      <c r="I174" s="155"/>
      <c r="J174" s="178">
        <f>H174/DAY(B2)</f>
        <v>-8.6842105263157894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'18 '!F175</f>
        <v>23515</v>
      </c>
      <c r="F175" s="155">
        <v>23526</v>
      </c>
      <c r="G175" s="499">
        <f t="shared" si="14"/>
        <v>11</v>
      </c>
      <c r="H175" s="99">
        <f>G175+'18 '!H175</f>
        <v>-130</v>
      </c>
      <c r="I175" s="155"/>
      <c r="J175" s="178">
        <f>H175/DAY(B2)</f>
        <v>-6.8421052631578947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499">
        <f>SUM(G173:G175)</f>
        <v>27</v>
      </c>
      <c r="H176" s="99">
        <f>G176+'18 '!H176</f>
        <v>-248</v>
      </c>
      <c r="I176" s="155"/>
      <c r="J176" s="178">
        <f>H176/DAY(B2)</f>
        <v>-13.052631578947368</v>
      </c>
    </row>
    <row r="177" spans="1:11" ht="25.5">
      <c r="A177" s="893" t="s">
        <v>77</v>
      </c>
      <c r="B177" s="894"/>
      <c r="C177" s="333"/>
      <c r="D177" s="228" t="s">
        <v>142</v>
      </c>
      <c r="E177" s="95"/>
      <c r="F177" s="155"/>
      <c r="G177" s="499"/>
      <c r="H177" s="99">
        <f>G177+'18 '!H177</f>
        <v>0</v>
      </c>
      <c r="I177" s="155"/>
      <c r="J177" s="178">
        <f>H177/DAY(B2)</f>
        <v>0</v>
      </c>
    </row>
    <row r="178" spans="1:11" ht="25.5">
      <c r="A178" s="893" t="s">
        <v>210</v>
      </c>
      <c r="B178" s="894"/>
      <c r="C178" s="333"/>
      <c r="D178" s="228" t="s">
        <v>142</v>
      </c>
      <c r="E178" s="95">
        <f>'18 '!F178</f>
        <v>93722</v>
      </c>
      <c r="F178" s="155">
        <v>93833</v>
      </c>
      <c r="G178" s="499">
        <f>F178-E178</f>
        <v>111</v>
      </c>
      <c r="H178" s="99">
        <f>G178+'18 '!H178</f>
        <v>1747</v>
      </c>
      <c r="I178" s="155"/>
      <c r="J178" s="178">
        <f>H178/DAY(B2)</f>
        <v>91.94736842105263</v>
      </c>
    </row>
    <row r="179" spans="1:11" ht="25.5">
      <c r="A179" s="893" t="s">
        <v>211</v>
      </c>
      <c r="B179" s="894"/>
      <c r="C179" s="333"/>
      <c r="D179" s="228" t="s">
        <v>142</v>
      </c>
      <c r="E179" s="95">
        <f>'18 '!F179</f>
        <v>36002</v>
      </c>
      <c r="F179" s="155">
        <v>36002</v>
      </c>
      <c r="G179" s="499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893" t="s">
        <v>212</v>
      </c>
      <c r="B180" s="894"/>
      <c r="C180" s="333"/>
      <c r="D180" s="228" t="s">
        <v>142</v>
      </c>
      <c r="E180" s="95">
        <f>'18 '!F180</f>
        <v>6814</v>
      </c>
      <c r="F180" s="155">
        <v>6816</v>
      </c>
      <c r="G180" s="499">
        <f t="shared" si="15"/>
        <v>2</v>
      </c>
      <c r="H180" s="99">
        <f>G180+'18 '!H180</f>
        <v>-66</v>
      </c>
      <c r="I180" s="155"/>
      <c r="J180" s="178">
        <f>H180/DAY(B2)</f>
        <v>-3.4736842105263159</v>
      </c>
    </row>
    <row r="181" spans="1:11" ht="25.5">
      <c r="A181" s="939" t="s">
        <v>108</v>
      </c>
      <c r="B181" s="940"/>
      <c r="C181" s="401"/>
      <c r="D181" s="228" t="s">
        <v>142</v>
      </c>
      <c r="E181" s="95"/>
      <c r="F181" s="155"/>
      <c r="G181" s="499">
        <f>SUM(G178:G180)</f>
        <v>113</v>
      </c>
      <c r="H181" s="99">
        <f>G181+'18 '!H181</f>
        <v>1681</v>
      </c>
      <c r="I181" s="155"/>
      <c r="J181" s="178">
        <f>H181/DAY(B2)</f>
        <v>88.473684210526315</v>
      </c>
    </row>
    <row r="182" spans="1:11" ht="25.5">
      <c r="A182" s="893" t="s">
        <v>213</v>
      </c>
      <c r="B182" s="894"/>
      <c r="C182" s="333"/>
      <c r="D182" s="228" t="s">
        <v>142</v>
      </c>
      <c r="E182" s="95"/>
      <c r="F182" s="155"/>
      <c r="G182" s="499"/>
      <c r="H182" s="99">
        <f>G182+'18 '!H182</f>
        <v>0</v>
      </c>
      <c r="I182" s="155"/>
      <c r="J182" s="178">
        <f>H182/DAY(B2)</f>
        <v>0</v>
      </c>
    </row>
    <row r="183" spans="1:11" ht="25.5">
      <c r="A183" s="893" t="s">
        <v>214</v>
      </c>
      <c r="B183" s="894"/>
      <c r="C183" s="334"/>
      <c r="D183" s="228" t="s">
        <v>142</v>
      </c>
      <c r="E183" s="95">
        <f>'18 '!F183</f>
        <v>17192</v>
      </c>
      <c r="F183" s="157">
        <v>17206</v>
      </c>
      <c r="G183" s="500">
        <f>F183-E183</f>
        <v>14</v>
      </c>
      <c r="H183" s="99">
        <f>G183+'18 '!H183</f>
        <v>-69</v>
      </c>
      <c r="I183" s="155"/>
      <c r="J183" s="178">
        <f>H183/DAY(B2)</f>
        <v>-3.6315789473684212</v>
      </c>
    </row>
    <row r="184" spans="1:11" ht="25.5">
      <c r="A184" s="893" t="s">
        <v>215</v>
      </c>
      <c r="B184" s="894"/>
      <c r="C184" s="334"/>
      <c r="D184" s="228" t="s">
        <v>142</v>
      </c>
      <c r="E184" s="95">
        <f>'18 '!F184</f>
        <v>11608</v>
      </c>
      <c r="F184" s="157">
        <v>11615</v>
      </c>
      <c r="G184" s="500">
        <f t="shared" ref="G184:G185" si="16">F184-E184</f>
        <v>7</v>
      </c>
      <c r="H184" s="99">
        <f>G184+'18 '!H184</f>
        <v>-74</v>
      </c>
      <c r="I184" s="155"/>
      <c r="J184" s="178">
        <f>H184/DAY(B2)</f>
        <v>-3.8947368421052633</v>
      </c>
    </row>
    <row r="185" spans="1:11" ht="30.75" customHeight="1">
      <c r="A185" s="893" t="s">
        <v>216</v>
      </c>
      <c r="B185" s="894"/>
      <c r="C185" s="334"/>
      <c r="D185" s="228" t="s">
        <v>142</v>
      </c>
      <c r="E185" s="95">
        <f>'18 '!F185</f>
        <v>0</v>
      </c>
      <c r="F185" s="157"/>
      <c r="G185" s="500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932" t="s">
        <v>196</v>
      </c>
      <c r="B186" s="933"/>
      <c r="C186" s="400"/>
      <c r="D186" s="228" t="s">
        <v>142</v>
      </c>
      <c r="E186" s="95"/>
      <c r="F186" s="157"/>
      <c r="G186" s="500">
        <f>SUM(G183:G185)</f>
        <v>21</v>
      </c>
      <c r="H186" s="99">
        <f>G186+'18 '!H186</f>
        <v>-143</v>
      </c>
      <c r="I186" s="157"/>
      <c r="J186" s="178">
        <f>H186/DAY(B2)</f>
        <v>-7.5263157894736841</v>
      </c>
    </row>
    <row r="187" spans="1:11" ht="25.5">
      <c r="A187" s="943" t="s">
        <v>217</v>
      </c>
      <c r="B187" s="944"/>
      <c r="C187" s="333"/>
      <c r="D187" s="230" t="s">
        <v>142</v>
      </c>
      <c r="E187" s="95"/>
      <c r="F187" s="159"/>
      <c r="G187" s="501">
        <f>G62+G19</f>
        <v>168</v>
      </c>
      <c r="H187" s="99">
        <f>G187+'18 '!H187</f>
        <v>-823</v>
      </c>
      <c r="I187" s="158"/>
      <c r="J187" s="179">
        <f>H187/DAY(B2)</f>
        <v>-43.315789473684212</v>
      </c>
    </row>
    <row r="188" spans="1:11" ht="25.5">
      <c r="A188" s="943" t="s">
        <v>218</v>
      </c>
      <c r="B188" s="944"/>
      <c r="C188" s="333"/>
      <c r="D188" s="230" t="s">
        <v>142</v>
      </c>
      <c r="E188" s="95"/>
      <c r="F188" s="159"/>
      <c r="G188" s="501">
        <f>G65+G66+G67+G69+G70</f>
        <v>152</v>
      </c>
      <c r="H188" s="99">
        <f>G188+'18 '!H188</f>
        <v>766</v>
      </c>
      <c r="I188" s="158"/>
      <c r="J188" s="179">
        <f>H188/DAY(B2)</f>
        <v>40.315789473684212</v>
      </c>
    </row>
    <row r="189" spans="1:11" ht="25.5">
      <c r="A189" s="943" t="s">
        <v>219</v>
      </c>
      <c r="B189" s="944"/>
      <c r="C189" s="333"/>
      <c r="D189" s="230" t="s">
        <v>142</v>
      </c>
      <c r="E189" s="95"/>
      <c r="F189" s="157"/>
      <c r="G189" s="501">
        <f>G181</f>
        <v>113</v>
      </c>
      <c r="H189" s="99">
        <f>G189+'30'!H238</f>
        <v>113</v>
      </c>
      <c r="I189" s="158"/>
      <c r="J189" s="179">
        <f>H189/DAY(B2)</f>
        <v>5.9473684210526319</v>
      </c>
    </row>
    <row r="190" spans="1:11" ht="23.25" customHeight="1">
      <c r="A190" s="245"/>
      <c r="B190" s="246"/>
      <c r="C190" s="246"/>
      <c r="D190" s="165"/>
      <c r="E190" s="165"/>
      <c r="F190" s="456"/>
      <c r="G190" s="495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355</v>
      </c>
      <c r="B2" s="262">
        <v>44732</v>
      </c>
      <c r="C2" s="348" t="s">
        <v>67</v>
      </c>
      <c r="D2" s="218">
        <v>0.94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1036532.47</v>
      </c>
      <c r="F7" s="95">
        <f>E7+27500</f>
        <v>1064032.47</v>
      </c>
      <c r="G7" s="112">
        <f>F7-E7</f>
        <v>27500</v>
      </c>
      <c r="H7" s="99">
        <f>G7+'19'!H7</f>
        <v>541067.97</v>
      </c>
      <c r="I7" s="113">
        <v>24000</v>
      </c>
      <c r="J7" s="175">
        <f>H7/DAY(B2)</f>
        <v>27053.398499999999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1178254.6499999999</v>
      </c>
      <c r="F8" s="95">
        <f>E8+27000</f>
        <v>1205254.6499999999</v>
      </c>
      <c r="G8" s="115">
        <f>F8-E8</f>
        <v>27000</v>
      </c>
      <c r="H8" s="99">
        <f>G8+'19'!H8</f>
        <v>543465.64999999991</v>
      </c>
      <c r="I8" s="116"/>
      <c r="J8" s="175">
        <f>H8/DAY(B2)</f>
        <v>27173.282499999994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2761210</v>
      </c>
      <c r="F9" s="469">
        <v>2780874</v>
      </c>
      <c r="G9" s="112">
        <f>F9-E9</f>
        <v>19664</v>
      </c>
      <c r="H9" s="99">
        <f>G9+'19'!H9</f>
        <v>-136775.10000000009</v>
      </c>
      <c r="I9" s="124">
        <f>I7-J7</f>
        <v>-3053.3984999999993</v>
      </c>
      <c r="J9" s="175">
        <f>H9/DAY(B2)</f>
        <v>-6838.7550000000047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1101605</v>
      </c>
      <c r="F10" s="353">
        <v>1109606</v>
      </c>
      <c r="G10" s="112">
        <f t="shared" ref="G10:G12" si="0">F10-E10</f>
        <v>8001</v>
      </c>
      <c r="H10" s="99">
        <f>G10+'19'!H10</f>
        <v>-126080.62999999989</v>
      </c>
      <c r="I10" s="282"/>
      <c r="J10" s="175">
        <f>H10/DAY(B2)</f>
        <v>-6304.0314999999946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27665</v>
      </c>
      <c r="H13" s="99">
        <f>G13+'19'!H13</f>
        <v>-261126.79999999981</v>
      </c>
      <c r="I13" s="120">
        <f>G7-G13</f>
        <v>-165</v>
      </c>
      <c r="J13" s="175">
        <f>H13/DAY(B2)</f>
        <v>-13056.339999999991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'19'!F15</f>
        <v>2087461.24</v>
      </c>
      <c r="F15" s="469">
        <f>E15+1000</f>
        <v>2088461.24</v>
      </c>
      <c r="G15" s="112">
        <f>(F15-E15)</f>
        <v>1000</v>
      </c>
      <c r="H15" s="99">
        <f>G15+'19'!H15</f>
        <v>20382.830000000075</v>
      </c>
      <c r="I15" s="113">
        <f>'1'!I15</f>
        <v>800</v>
      </c>
      <c r="J15" s="175">
        <f>H15/DAY(B2)</f>
        <v>1019.1415000000037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-219.1415000000037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'19'!F18</f>
        <v>16</v>
      </c>
      <c r="F18" s="122">
        <v>20</v>
      </c>
      <c r="G18" s="119">
        <f>F18*10</f>
        <v>200</v>
      </c>
      <c r="H18" s="99">
        <f>G18+'19'!H18</f>
        <v>3730</v>
      </c>
      <c r="I18" s="113">
        <f>'1'!I18</f>
        <v>65</v>
      </c>
      <c r="J18" s="175">
        <f>H18/DAY(B2)</f>
        <v>186.5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'19'!F19</f>
        <v>161092</v>
      </c>
      <c r="F19" s="543">
        <v>161145</v>
      </c>
      <c r="G19" s="112">
        <f t="shared" ref="G19" si="1">F19-E19</f>
        <v>53</v>
      </c>
      <c r="H19" s="99">
        <f>G19+'19'!H19</f>
        <v>322</v>
      </c>
      <c r="I19" s="335"/>
      <c r="J19" s="175">
        <f>H19/DAY(B2)</f>
        <v>16.100000000000001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G20+'19'!H20</f>
        <v>4052</v>
      </c>
      <c r="I20" s="336">
        <f>I18-J20</f>
        <v>-137.6</v>
      </c>
      <c r="J20" s="175">
        <f>H20/DAY(B2)</f>
        <v>202.6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G27+'19'!H27</f>
        <v>4891190.8499999996</v>
      </c>
      <c r="I27" s="138"/>
      <c r="J27" s="175">
        <f>H27/DAY(B2)</f>
        <v>244559.54249999998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G28+'19'!H28</f>
        <v>1426798.1000000052</v>
      </c>
      <c r="I28" s="140"/>
      <c r="J28" s="175">
        <f>H28/DAY(B2)</f>
        <v>71339.905000000261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G30+'19'!H30</f>
        <v>48622</v>
      </c>
      <c r="I30" s="140"/>
      <c r="J30" s="175">
        <f>H30/DAY(B2)</f>
        <v>2431.1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G31+'19'!H31</f>
        <v>298400</v>
      </c>
      <c r="I31" s="140"/>
      <c r="J31" s="175">
        <f>H31/DAY(B2)</f>
        <v>14920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337003</v>
      </c>
      <c r="H32" s="99">
        <f>G32+'19'!H32</f>
        <v>6665010.9500000048</v>
      </c>
      <c r="I32" s="144"/>
      <c r="J32" s="175">
        <f>H32/DAY(B2)</f>
        <v>333250.54750000022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238714</v>
      </c>
      <c r="F35" s="145">
        <v>238714</v>
      </c>
      <c r="G35" s="112">
        <f t="shared" ref="G35:G46" si="3">F35-E35</f>
        <v>0</v>
      </c>
      <c r="H35" s="99">
        <f>G35+'19'!H35</f>
        <v>0.95000000001164153</v>
      </c>
      <c r="I35" s="95"/>
      <c r="J35" s="175">
        <f>H35/DAY(B2)</f>
        <v>4.7500000000582077E-2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177417</v>
      </c>
      <c r="F36" s="145">
        <v>178616</v>
      </c>
      <c r="G36" s="112">
        <f t="shared" si="3"/>
        <v>1199</v>
      </c>
      <c r="H36" s="99">
        <f>G36+'19'!H36</f>
        <v>-8304.2300000000105</v>
      </c>
      <c r="I36" s="95"/>
      <c r="J36" s="175">
        <f>H36/DAY(B2)</f>
        <v>-415.21150000000051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268801</v>
      </c>
      <c r="F37" s="418">
        <v>270470</v>
      </c>
      <c r="G37" s="112">
        <f t="shared" si="3"/>
        <v>1669</v>
      </c>
      <c r="H37" s="99">
        <f>G37+'19'!H37</f>
        <v>-16248.989999999991</v>
      </c>
      <c r="I37" s="95"/>
      <c r="J37" s="175">
        <f>H37/DAY(B2)</f>
        <v>-812.44949999999949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362215</v>
      </c>
      <c r="F38" s="106">
        <v>364556</v>
      </c>
      <c r="G38" s="112">
        <f t="shared" si="3"/>
        <v>2341</v>
      </c>
      <c r="H38" s="99">
        <f>G38+'19'!H38</f>
        <v>-22107.349999999977</v>
      </c>
      <c r="I38" s="95"/>
      <c r="J38" s="175">
        <f>H38/DAY(B2)</f>
        <v>-1105.3674999999989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490261</v>
      </c>
      <c r="F39" s="418">
        <v>493474</v>
      </c>
      <c r="G39" s="112">
        <f t="shared" si="3"/>
        <v>3213</v>
      </c>
      <c r="H39" s="99">
        <f>G39+'19'!H39</f>
        <v>-29906.590000000026</v>
      </c>
      <c r="I39" s="95"/>
      <c r="J39" s="175">
        <f>H39/DAY(B2)</f>
        <v>-1495.3295000000012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79325</v>
      </c>
      <c r="F40" s="145">
        <v>79975</v>
      </c>
      <c r="G40" s="112">
        <f t="shared" si="3"/>
        <v>650</v>
      </c>
      <c r="H40" s="99">
        <f>G40+'19'!H40</f>
        <v>-3696.0899999999965</v>
      </c>
      <c r="I40" s="95"/>
      <c r="J40" s="175">
        <f>H40/DAY(B2)</f>
        <v>-184.80449999999982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126681</v>
      </c>
      <c r="F41" s="145">
        <v>130870</v>
      </c>
      <c r="G41" s="112">
        <f t="shared" si="3"/>
        <v>4189</v>
      </c>
      <c r="H41" s="99">
        <f>G41+'19'!H41</f>
        <v>-11948.399999999994</v>
      </c>
      <c r="I41" s="95"/>
      <c r="J41" s="175">
        <f>H41/DAY(B2)</f>
        <v>-597.41999999999973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647711</v>
      </c>
      <c r="F42" s="145">
        <v>653515</v>
      </c>
      <c r="G42" s="112">
        <f t="shared" si="3"/>
        <v>5804</v>
      </c>
      <c r="H42" s="99">
        <f>G42+'19'!H42</f>
        <v>-35117.550000000047</v>
      </c>
      <c r="I42" s="95"/>
      <c r="J42" s="175">
        <f>H42/DAY(B2)</f>
        <v>-1755.8775000000023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19065</v>
      </c>
      <c r="H47" s="99">
        <f>G47+'19'!H47</f>
        <v>-127328.25</v>
      </c>
      <c r="I47" s="95"/>
      <c r="J47" s="175">
        <f>H47/DAY(B2)</f>
        <v>-6366.4125000000004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328274</v>
      </c>
      <c r="F49" s="145">
        <v>331865</v>
      </c>
      <c r="G49" s="112">
        <f t="shared" ref="G49:G58" si="4">F49-E49</f>
        <v>3591</v>
      </c>
      <c r="H49" s="99">
        <f>G49+'19'!H49</f>
        <v>-38906.75</v>
      </c>
      <c r="I49" s="95"/>
      <c r="J49" s="175">
        <f>H49/DAY(B2)</f>
        <v>-1945.3375000000001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230953</v>
      </c>
      <c r="F50" s="145">
        <v>232086</v>
      </c>
      <c r="G50" s="112">
        <f t="shared" si="4"/>
        <v>1133</v>
      </c>
      <c r="H50" s="99">
        <f>G50+'19'!H50</f>
        <v>-11019.399999999994</v>
      </c>
      <c r="I50" s="95"/>
      <c r="J50" s="175">
        <f>H50/DAY(B2)</f>
        <v>-550.96999999999969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145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73128</v>
      </c>
      <c r="F54" s="145">
        <v>73494</v>
      </c>
      <c r="G54" s="112">
        <f t="shared" si="4"/>
        <v>366</v>
      </c>
      <c r="H54" s="99">
        <f>G54+'19'!H54</f>
        <v>-3523.5</v>
      </c>
      <c r="I54" s="95"/>
      <c r="J54" s="175">
        <f>H54/DAY(B2)</f>
        <v>-176.17500000000001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254288</v>
      </c>
      <c r="F55" s="145">
        <v>254288</v>
      </c>
      <c r="G55" s="112">
        <f t="shared" si="4"/>
        <v>0</v>
      </c>
      <c r="H55" s="99">
        <f>G55+'19'!H55</f>
        <v>-29794.929999999993</v>
      </c>
      <c r="I55" s="95"/>
      <c r="J55" s="175">
        <f>H55/DAY(B2)</f>
        <v>-1489.7464999999997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109347</v>
      </c>
      <c r="F56" s="145">
        <v>109347</v>
      </c>
      <c r="G56" s="112">
        <f t="shared" si="4"/>
        <v>0</v>
      </c>
      <c r="H56" s="99">
        <f>G56+'19'!H56</f>
        <v>-1896.1300000000047</v>
      </c>
      <c r="I56" s="95"/>
      <c r="J56" s="175">
        <f>H56/DAY(B2)</f>
        <v>-94.806500000000227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97587</v>
      </c>
      <c r="F57" s="145">
        <v>100679</v>
      </c>
      <c r="G57" s="112">
        <f t="shared" si="4"/>
        <v>3092</v>
      </c>
      <c r="H57" s="99">
        <f>G57+'19'!H57</f>
        <v>-31224.700000000012</v>
      </c>
      <c r="I57" s="95"/>
      <c r="J57" s="175">
        <f>H57/DAY(B2)</f>
        <v>-1561.2350000000006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37244</v>
      </c>
      <c r="F58" s="145">
        <v>37498</v>
      </c>
      <c r="G58" s="112">
        <f t="shared" si="4"/>
        <v>254</v>
      </c>
      <c r="H58" s="99">
        <f>G58+'19'!H58</f>
        <v>-2782.1100000000006</v>
      </c>
      <c r="I58" s="95"/>
      <c r="J58" s="175">
        <f>H58/DAY(B2)</f>
        <v>-139.10550000000003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8436</v>
      </c>
      <c r="H59" s="99">
        <f>G59+'19'!H59</f>
        <v>-119147.20000000007</v>
      </c>
      <c r="I59" s="95">
        <f>G7-G60</f>
        <v>-1</v>
      </c>
      <c r="J59" s="175">
        <f>H59/DAY(B2)</f>
        <v>-5957.3600000000033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27501</v>
      </c>
      <c r="H60" s="99">
        <f>G60+'19'!H60</f>
        <v>-246475.45000000007</v>
      </c>
      <c r="I60" s="95">
        <f>G13-G60</f>
        <v>164</v>
      </c>
      <c r="J60" s="175">
        <f>H60/DAY(B2)</f>
        <v>-12323.772500000003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'19'!F62</f>
        <v>291606</v>
      </c>
      <c r="F62" s="122">
        <v>291731</v>
      </c>
      <c r="G62" s="112">
        <f t="shared" ref="G62:G63" si="5">F62-E62</f>
        <v>125</v>
      </c>
      <c r="H62" s="99">
        <f>G62+'19'!H62</f>
        <v>-967</v>
      </c>
      <c r="I62" s="118"/>
      <c r="J62" s="175">
        <f>H62/DAY(B2)</f>
        <v>-48.35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'19'!F63</f>
        <v>233694</v>
      </c>
      <c r="F63" s="122">
        <v>233839</v>
      </c>
      <c r="G63" s="112">
        <f t="shared" si="5"/>
        <v>145</v>
      </c>
      <c r="H63" s="99">
        <f>G63+'19'!H63</f>
        <v>-1227</v>
      </c>
      <c r="I63" s="118"/>
      <c r="J63" s="175">
        <f>H63/DAY(B2)</f>
        <v>-61.35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'19'!F64</f>
        <v>0</v>
      </c>
      <c r="F64" s="122"/>
      <c r="G64" s="112">
        <f>G62+G63</f>
        <v>270</v>
      </c>
      <c r="H64" s="99">
        <f>G64+'19'!H64</f>
        <v>-2194</v>
      </c>
      <c r="I64" s="118"/>
      <c r="J64" s="175">
        <f>H64/DAY(B2)</f>
        <v>-109.7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'19'!F65</f>
        <v>450282</v>
      </c>
      <c r="F65" s="122">
        <v>450399</v>
      </c>
      <c r="G65" s="112">
        <f t="shared" ref="G65:G70" si="6">F65-E65</f>
        <v>117</v>
      </c>
      <c r="H65" s="99">
        <f>G65+'19'!H65</f>
        <v>-990</v>
      </c>
      <c r="I65" s="118"/>
      <c r="J65" s="175">
        <f>H65/DAY(B2)</f>
        <v>-49.5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110822</v>
      </c>
      <c r="F66" s="122">
        <v>110845</v>
      </c>
      <c r="G66" s="112">
        <f t="shared" si="6"/>
        <v>23</v>
      </c>
      <c r="H66" s="99">
        <f>G66+'19'!H66</f>
        <v>-182</v>
      </c>
      <c r="I66" s="118"/>
      <c r="J66" s="175">
        <f>H66/DAY(B2)</f>
        <v>-9.1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113681</v>
      </c>
      <c r="F67" s="122">
        <v>113681</v>
      </c>
      <c r="G67" s="112">
        <f t="shared" si="6"/>
        <v>0</v>
      </c>
      <c r="H67" s="99">
        <f>G67+'19'!H67</f>
        <v>1</v>
      </c>
      <c r="I67" s="118"/>
      <c r="J67" s="175">
        <f>H67/DAY(B2)</f>
        <v>0.05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163127</v>
      </c>
      <c r="F68" s="122">
        <v>163163</v>
      </c>
      <c r="G68" s="112">
        <f t="shared" si="6"/>
        <v>36</v>
      </c>
      <c r="H68" s="99">
        <f>G68+'19'!H68</f>
        <v>-363</v>
      </c>
      <c r="I68" s="118"/>
      <c r="J68" s="175">
        <f>H68/DAY(B2)</f>
        <v>-18.149999999999999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12075</v>
      </c>
      <c r="F69" s="122">
        <v>12082</v>
      </c>
      <c r="G69" s="112">
        <f t="shared" si="6"/>
        <v>7</v>
      </c>
      <c r="H69" s="99">
        <f>G69+'19'!H69</f>
        <v>-46</v>
      </c>
      <c r="I69" s="118"/>
      <c r="J69" s="175">
        <f>H69/DAY(B2)</f>
        <v>-2.2999999999999998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9423</v>
      </c>
      <c r="F70" s="122">
        <v>9443</v>
      </c>
      <c r="G70" s="112">
        <f t="shared" si="6"/>
        <v>20</v>
      </c>
      <c r="H70" s="99">
        <f>G70+'19'!H70</f>
        <v>-71</v>
      </c>
      <c r="I70" s="118"/>
      <c r="J70" s="175">
        <f>H70/DAY(B2)</f>
        <v>-3.55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203</v>
      </c>
      <c r="H71" s="99">
        <f>G71+'19'!H71</f>
        <v>-1651</v>
      </c>
      <c r="I71" s="154"/>
      <c r="J71" s="175">
        <f>H71/DAY(B2)</f>
        <v>-82.55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'19'!F74</f>
        <v>944534</v>
      </c>
      <c r="F74" s="117">
        <v>944830</v>
      </c>
      <c r="G74" s="112">
        <f t="shared" ref="G74:G78" si="7">F74-E74</f>
        <v>296</v>
      </c>
      <c r="H74" s="99">
        <f>G74+'19'!H74</f>
        <v>-2877.1999999999534</v>
      </c>
      <c r="I74" s="154"/>
      <c r="J74" s="175">
        <f>H74/DAY(B2)</f>
        <v>-143.85999999999768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'19'!F76</f>
        <v>185825</v>
      </c>
      <c r="F76" s="123">
        <v>185928</v>
      </c>
      <c r="G76" s="112">
        <f t="shared" si="7"/>
        <v>103</v>
      </c>
      <c r="H76" s="99">
        <f>G76+'19'!H76</f>
        <v>-963.29999999998836</v>
      </c>
      <c r="I76" s="154"/>
      <c r="J76" s="175">
        <f>H76/DAY(B2)</f>
        <v>-48.164999999999417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'19'!F77</f>
        <v>48264</v>
      </c>
      <c r="F77" s="123">
        <v>48306</v>
      </c>
      <c r="G77" s="112">
        <f t="shared" si="7"/>
        <v>42</v>
      </c>
      <c r="H77" s="99">
        <f>G77+'19'!H77</f>
        <v>-429.80000000000291</v>
      </c>
      <c r="I77" s="154"/>
      <c r="J77" s="175">
        <f>H77/DAY(B2)</f>
        <v>-21.490000000000144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-0.3999999999996362</v>
      </c>
      <c r="I78" s="118"/>
      <c r="J78" s="175">
        <f>H78/DAY(B2)</f>
        <v>-1.999999999998181E-2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'19'!F79</f>
        <v>0</v>
      </c>
      <c r="F79" s="117"/>
      <c r="G79" s="112">
        <f>G15-SUM(G74:G78)</f>
        <v>559</v>
      </c>
      <c r="H79" s="99">
        <f>G79+'19'!H79</f>
        <v>24653.530000000021</v>
      </c>
      <c r="I79" s="118"/>
      <c r="J79" s="175"/>
      <c r="K79" s="59"/>
      <c r="L79" s="58"/>
      <c r="N79" s="87"/>
      <c r="O79" s="71"/>
    </row>
    <row r="80" spans="1:15" s="57" customFormat="1" ht="26.25">
      <c r="A80" s="983" t="s">
        <v>329</v>
      </c>
      <c r="B80" s="984"/>
      <c r="C80" s="985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42209.53</v>
      </c>
      <c r="F84" s="164">
        <v>42227</v>
      </c>
      <c r="G84" s="112">
        <f t="shared" si="8"/>
        <v>17.470000000001164</v>
      </c>
      <c r="H84" s="99">
        <f>G84+'19'!H84</f>
        <v>-48</v>
      </c>
      <c r="I84" s="573"/>
      <c r="J84" s="175">
        <f>H84/DAY(B2)</f>
        <v>-2.4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4708.54</v>
      </c>
      <c r="F85" s="164">
        <v>4732.55</v>
      </c>
      <c r="G85" s="112">
        <f t="shared" si="8"/>
        <v>24.010000000000218</v>
      </c>
      <c r="H85" s="99">
        <f>G85+'19'!H85</f>
        <v>-149.46000000000004</v>
      </c>
      <c r="I85" s="573"/>
      <c r="J85" s="175">
        <f>H85/DAY(B2)</f>
        <v>-7.4730000000000016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44658</v>
      </c>
      <c r="F86" s="164">
        <v>44658</v>
      </c>
      <c r="G86" s="112">
        <f t="shared" si="8"/>
        <v>0</v>
      </c>
      <c r="H86" s="99">
        <f>G86+'19'!H86</f>
        <v>-194.30000000000291</v>
      </c>
      <c r="I86" s="573"/>
      <c r="J86" s="175">
        <f>H86/DAY(B2)</f>
        <v>-9.7150000000001455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35345</v>
      </c>
      <c r="F87" s="164">
        <v>35345</v>
      </c>
      <c r="G87" s="112">
        <f t="shared" si="8"/>
        <v>0</v>
      </c>
      <c r="H87" s="99">
        <f>G87+'19'!H87</f>
        <v>-13.05000000000291</v>
      </c>
      <c r="I87" s="573">
        <f>G84+G85+G86+G87</f>
        <v>41.480000000001382</v>
      </c>
      <c r="J87" s="175">
        <f>H87/DAY(B2)</f>
        <v>-0.65250000000014552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24277</v>
      </c>
      <c r="F88" s="164">
        <v>24277</v>
      </c>
      <c r="G88" s="112">
        <f t="shared" si="8"/>
        <v>0</v>
      </c>
      <c r="H88" s="99">
        <f>G88+'19'!H88</f>
        <v>-0.2000000000007276</v>
      </c>
      <c r="I88" s="573"/>
      <c r="J88" s="175">
        <f>H88/DAY(B2)</f>
        <v>-1.0000000000036379E-2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27186.47</v>
      </c>
      <c r="F89" s="164">
        <v>27197</v>
      </c>
      <c r="G89" s="112">
        <f t="shared" si="8"/>
        <v>10.529999999998836</v>
      </c>
      <c r="H89" s="99">
        <f>G89+'19'!H89</f>
        <v>-94.419999999998254</v>
      </c>
      <c r="I89" s="573">
        <f>G88+G89</f>
        <v>10.529999999998836</v>
      </c>
      <c r="J89" s="175">
        <f>H89/DAY(B2)</f>
        <v>-4.720999999999913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72220</v>
      </c>
      <c r="F90" s="164">
        <v>72230</v>
      </c>
      <c r="G90" s="112">
        <f t="shared" si="8"/>
        <v>10</v>
      </c>
      <c r="H90" s="99">
        <f>G90+'19'!H90</f>
        <v>-71.129999999990105</v>
      </c>
      <c r="I90" s="573">
        <f>G90</f>
        <v>10</v>
      </c>
      <c r="J90" s="175">
        <f>H90/DAY(B2)</f>
        <v>-3.5564999999995051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4122</v>
      </c>
      <c r="F91" s="122">
        <v>4122</v>
      </c>
      <c r="G91" s="112">
        <f t="shared" si="8"/>
        <v>0</v>
      </c>
      <c r="H91" s="99">
        <f>G91+'19'!H91</f>
        <v>-16.4399999999996</v>
      </c>
      <c r="I91" s="592"/>
      <c r="J91" s="175">
        <f>H91/DAY(B2)</f>
        <v>-0.82199999999997997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6421</v>
      </c>
      <c r="F92" s="122">
        <v>6432</v>
      </c>
      <c r="G92" s="112">
        <f t="shared" si="8"/>
        <v>11</v>
      </c>
      <c r="H92" s="99">
        <f>G92+'19'!H92</f>
        <v>-83.340000000000146</v>
      </c>
      <c r="I92" s="598">
        <f>G91+G92</f>
        <v>11</v>
      </c>
      <c r="J92" s="175">
        <f>H92/DAY(B2)</f>
        <v>-4.1670000000000069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6683</v>
      </c>
      <c r="H94" s="99">
        <f>G94+'19'!H94</f>
        <v>-70130.5</v>
      </c>
      <c r="I94" s="118"/>
      <c r="J94" s="175">
        <f>H94/DAY(B2)</f>
        <v>-3506.5250000000001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0.24301818181818183</v>
      </c>
      <c r="H95" s="99">
        <f>G95+'19'!H95</f>
        <v>-2.4632535446248798</v>
      </c>
      <c r="I95" s="167"/>
      <c r="J95" s="175">
        <f>H95/DAY(B2)</f>
        <v>-0.12316267723124399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9993</v>
      </c>
      <c r="H96" s="99">
        <f>G96+'19'!H96</f>
        <v>-78757.010000000068</v>
      </c>
      <c r="I96" s="118"/>
      <c r="J96" s="175">
        <f>H96/DAY(B2)</f>
        <v>-3937.8505000000032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0.36338181818181819</v>
      </c>
      <c r="H97" s="99">
        <f>G97+'19'!H97</f>
        <v>-2.7860691549090477</v>
      </c>
      <c r="I97" s="167"/>
      <c r="J97" s="175">
        <f>H97/DAY(B2)</f>
        <v>-0.13930345774545239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3213</v>
      </c>
      <c r="H98" s="99">
        <f>G98+'19'!H98</f>
        <v>-29906.590000000026</v>
      </c>
      <c r="I98" s="168"/>
      <c r="J98" s="175">
        <f>H98/DAY(B2)</f>
        <v>-1495.3295000000012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0.11683636363636364</v>
      </c>
      <c r="H99" s="99">
        <f>G99+'19'!H99</f>
        <v>-1.0497182444542035</v>
      </c>
      <c r="I99" s="168"/>
      <c r="J99" s="175">
        <f>H99/DAY(B2)</f>
        <v>-5.2485912222710172E-2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2341</v>
      </c>
      <c r="H100" s="99">
        <f>G100+'19'!H100</f>
        <v>-22107.349999999969</v>
      </c>
      <c r="I100" s="118"/>
      <c r="J100" s="175">
        <f>H100/DAY(B2)</f>
        <v>-1105.3674999999985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8.5127272727272732E-2</v>
      </c>
      <c r="H101" s="99">
        <f>G101+'19'!H101</f>
        <v>-0.77506665314489132</v>
      </c>
      <c r="I101" s="168"/>
      <c r="J101" s="175">
        <f>H101/DAY(B2)</f>
        <v>-3.8753332657244566E-2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2332</v>
      </c>
      <c r="H102" s="99">
        <f>G102+'19'!H102</f>
        <v>-19323.630000000005</v>
      </c>
      <c r="I102" s="168"/>
      <c r="J102" s="175">
        <f>H102/DAY(B2)</f>
        <v>-966.18150000000026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8.48E-2</v>
      </c>
      <c r="H103" s="99">
        <f>G103+'19'!H103</f>
        <v>-0.68050860339378205</v>
      </c>
      <c r="I103" s="118"/>
      <c r="J103" s="175">
        <f>H103/DAY(B2)</f>
        <v>-3.4025430169689105E-2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1669</v>
      </c>
      <c r="H104" s="99">
        <f>G104+'19'!H104</f>
        <v>-16248.669999999991</v>
      </c>
      <c r="I104" s="118"/>
      <c r="J104" s="175">
        <f>H104/DAY(B2)</f>
        <v>-812.43349999999953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6.0690909090909094E-2</v>
      </c>
      <c r="H105" s="99">
        <f>G105+'19'!H105</f>
        <v>-0.5700689161720538</v>
      </c>
      <c r="I105" s="187"/>
      <c r="J105" s="188">
        <f>H105/DAY(B2)</f>
        <v>-2.8503445808602691E-2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'19'!F112</f>
        <v>4123</v>
      </c>
      <c r="F112" s="237">
        <v>4197</v>
      </c>
      <c r="G112" s="112">
        <f t="shared" ref="G112:G123" si="9">F112-E112</f>
        <v>74</v>
      </c>
      <c r="H112" s="99">
        <f>G112+'19'!H112</f>
        <v>-732.73999999999978</v>
      </c>
      <c r="I112" s="165"/>
      <c r="J112" s="328">
        <f>H112/DAY(B2)</f>
        <v>-36.636999999999986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'19'!F113</f>
        <v>9068</v>
      </c>
      <c r="F113" s="237">
        <v>9207</v>
      </c>
      <c r="G113" s="112">
        <f t="shared" si="9"/>
        <v>139</v>
      </c>
      <c r="H113" s="99">
        <f>G113+'19'!H113</f>
        <v>-1425.7199999999993</v>
      </c>
      <c r="I113" s="165"/>
      <c r="J113" s="328">
        <f>H113/DAY(B2)</f>
        <v>-71.285999999999973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'19'!F114</f>
        <v>11735</v>
      </c>
      <c r="F114" s="237">
        <v>11956</v>
      </c>
      <c r="G114" s="112">
        <f t="shared" si="9"/>
        <v>221</v>
      </c>
      <c r="H114" s="99">
        <f>G114+'19'!H114</f>
        <v>-2237.7999999999993</v>
      </c>
      <c r="I114" s="165"/>
      <c r="J114" s="328">
        <f>H114/DAY(B2)</f>
        <v>-111.88999999999996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'19'!F115</f>
        <v>7435</v>
      </c>
      <c r="F115" s="237">
        <v>7600</v>
      </c>
      <c r="G115" s="112">
        <f t="shared" si="9"/>
        <v>165</v>
      </c>
      <c r="H115" s="99">
        <f>G115+'19'!H115</f>
        <v>-1420.7800000000007</v>
      </c>
      <c r="I115" s="165"/>
      <c r="J115" s="328">
        <f>H115/DAY(B2)</f>
        <v>-71.03900000000003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'19'!F116</f>
        <v>54421</v>
      </c>
      <c r="F116" s="237">
        <v>54876</v>
      </c>
      <c r="G116" s="112">
        <f t="shared" si="9"/>
        <v>455</v>
      </c>
      <c r="H116" s="99">
        <f>G116+'19'!H116</f>
        <v>-4014.5500000000029</v>
      </c>
      <c r="I116" s="165"/>
      <c r="J116" s="328">
        <f>H116/DAY(B2)</f>
        <v>-200.72750000000013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'19'!F117</f>
        <v>29680</v>
      </c>
      <c r="F117" s="237">
        <v>29972</v>
      </c>
      <c r="G117" s="112">
        <f t="shared" si="9"/>
        <v>292</v>
      </c>
      <c r="H117" s="99">
        <f>G117+'19'!H117</f>
        <v>-2916.4800000000032</v>
      </c>
      <c r="I117" s="165"/>
      <c r="J117" s="328">
        <f>H117/DAY(B2)</f>
        <v>-145.82400000000015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'19'!F118</f>
        <v>37749</v>
      </c>
      <c r="F118" s="237">
        <v>38388</v>
      </c>
      <c r="G118" s="112">
        <f t="shared" si="9"/>
        <v>639</v>
      </c>
      <c r="H118" s="99">
        <f>G118+'19'!H118</f>
        <v>-6532.3099999999977</v>
      </c>
      <c r="I118" s="165"/>
      <c r="J118" s="328">
        <f>H118/DAY(B2)</f>
        <v>-326.61549999999988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'19'!F119</f>
        <v>27206</v>
      </c>
      <c r="F119" s="237">
        <v>27674</v>
      </c>
      <c r="G119" s="112">
        <f t="shared" si="9"/>
        <v>468</v>
      </c>
      <c r="H119" s="99">
        <f>G119+'19'!H119</f>
        <v>-2668.5999999999985</v>
      </c>
      <c r="I119" s="165"/>
      <c r="J119" s="328">
        <f>H119/DAY(B2)</f>
        <v>-133.42999999999992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'19'!F120</f>
        <v>28341</v>
      </c>
      <c r="F120" s="237">
        <v>28769</v>
      </c>
      <c r="G120" s="112">
        <f t="shared" si="9"/>
        <v>428</v>
      </c>
      <c r="H120" s="99">
        <f>G120+'19'!H120</f>
        <v>-4336.5599999999977</v>
      </c>
      <c r="I120" s="165"/>
      <c r="J120" s="328">
        <f>H120/DAY(B2)</f>
        <v>-216.82799999999989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'19'!F121</f>
        <v>34643</v>
      </c>
      <c r="F121" s="237">
        <v>35116</v>
      </c>
      <c r="G121" s="112">
        <f t="shared" si="9"/>
        <v>473</v>
      </c>
      <c r="H121" s="99">
        <f>G121+'19'!H121</f>
        <v>-4471.9000000000015</v>
      </c>
      <c r="I121" s="165"/>
      <c r="J121" s="328">
        <f>H121/DAY(B2)</f>
        <v>-223.59500000000008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'19'!F122</f>
        <v>16954</v>
      </c>
      <c r="F122" s="237">
        <v>17234</v>
      </c>
      <c r="G122" s="112">
        <f t="shared" si="9"/>
        <v>280</v>
      </c>
      <c r="H122" s="99">
        <f>G122+'19'!H122</f>
        <v>-2731.880000000001</v>
      </c>
      <c r="I122" s="165"/>
      <c r="J122" s="328">
        <f>H122/DAY(B2)</f>
        <v>-136.59400000000005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'19'!F123</f>
        <v>16904</v>
      </c>
      <c r="F123" s="237">
        <v>17217</v>
      </c>
      <c r="G123" s="112">
        <f t="shared" si="9"/>
        <v>313</v>
      </c>
      <c r="H123" s="99">
        <f>G123+'19'!H123</f>
        <v>-3125</v>
      </c>
      <c r="I123" s="165"/>
      <c r="J123" s="328">
        <f>H123/DAY(B2)</f>
        <v>-156.25</v>
      </c>
    </row>
    <row r="124" spans="1:18" ht="29.25" customHeight="1">
      <c r="A124" s="929"/>
      <c r="B124" s="930"/>
      <c r="C124" s="931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62" t="s">
        <v>108</v>
      </c>
      <c r="B125" s="962"/>
      <c r="C125" s="245"/>
      <c r="D125" s="307"/>
      <c r="E125" s="308"/>
      <c r="F125" s="308"/>
      <c r="G125" s="309">
        <f>SUM(G112:G124)</f>
        <v>3947</v>
      </c>
      <c r="H125" s="156"/>
      <c r="I125" s="327">
        <f>G125-(G39+G53)</f>
        <v>734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'19'!F128</f>
        <v>105754</v>
      </c>
      <c r="F128" s="165">
        <v>106283</v>
      </c>
      <c r="G128" s="112">
        <f t="shared" ref="G128:G134" si="10">F128-E128</f>
        <v>529</v>
      </c>
      <c r="H128" s="99">
        <f>G128+'19'!H128</f>
        <v>-5592.8600000000006</v>
      </c>
      <c r="I128" s="165"/>
      <c r="J128" s="328">
        <f>H128/DAY(B2)</f>
        <v>-279.64300000000003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64752</v>
      </c>
      <c r="F129" s="165">
        <v>64918</v>
      </c>
      <c r="G129" s="112">
        <f t="shared" si="10"/>
        <v>166</v>
      </c>
      <c r="H129" s="99">
        <f>G129+'19'!H129</f>
        <v>-1783.7799999999988</v>
      </c>
      <c r="I129" s="165"/>
      <c r="J129" s="328">
        <f>H129/DAY(B2)</f>
        <v>-89.188999999999936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133331</v>
      </c>
      <c r="F130" s="165">
        <v>134094</v>
      </c>
      <c r="G130" s="112">
        <f t="shared" si="10"/>
        <v>763</v>
      </c>
      <c r="H130" s="99">
        <f>G130+'19'!H130</f>
        <v>-8203.9199999999837</v>
      </c>
      <c r="I130" s="165"/>
      <c r="J130" s="328">
        <f>H130/DAY(B2)</f>
        <v>-410.19599999999917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'19'!F131</f>
        <v>40186</v>
      </c>
      <c r="F131" s="165">
        <v>40412</v>
      </c>
      <c r="G131" s="112">
        <f t="shared" si="10"/>
        <v>226</v>
      </c>
      <c r="H131" s="99">
        <f>G131+'19'!H131</f>
        <v>-2206.1999999999971</v>
      </c>
      <c r="I131" s="165"/>
      <c r="J131" s="328">
        <f>H131/DAY(B2)</f>
        <v>-110.30999999999986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'19'!F132</f>
        <v>111171</v>
      </c>
      <c r="F132" s="165">
        <v>111643</v>
      </c>
      <c r="G132" s="112">
        <f t="shared" si="10"/>
        <v>472</v>
      </c>
      <c r="H132" s="99">
        <f>G132+'19'!H132</f>
        <v>-4648</v>
      </c>
      <c r="I132" s="165"/>
      <c r="J132" s="328">
        <f>H132/DAY(B2)</f>
        <v>-232.4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'19'!F133</f>
        <v>216386</v>
      </c>
      <c r="F133" s="165">
        <v>217005</v>
      </c>
      <c r="G133" s="112">
        <f t="shared" si="10"/>
        <v>619</v>
      </c>
      <c r="H133" s="99">
        <f>G133+'19'!H133</f>
        <v>1194.429999999993</v>
      </c>
      <c r="I133" s="165"/>
      <c r="J133" s="328">
        <f>H133/DAY(B2)</f>
        <v>59.721499999999651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'19'!F134</f>
        <v>39467</v>
      </c>
      <c r="F134" s="465">
        <v>39684</v>
      </c>
      <c r="G134" s="112">
        <f t="shared" si="10"/>
        <v>217</v>
      </c>
      <c r="H134" s="99">
        <f>G134+'19'!H134</f>
        <v>-2061</v>
      </c>
      <c r="I134" s="165"/>
      <c r="J134" s="328">
        <f>H134/DAY(B2)</f>
        <v>-103.05</v>
      </c>
    </row>
    <row r="135" spans="1:15" ht="25.5">
      <c r="A135" s="986" t="s">
        <v>108</v>
      </c>
      <c r="B135" s="987"/>
      <c r="C135" s="940"/>
      <c r="D135" s="151"/>
      <c r="E135" s="95"/>
      <c r="F135" s="165"/>
      <c r="G135" s="112">
        <f>SUM(G128:G134)</f>
        <v>2992</v>
      </c>
      <c r="H135" s="99"/>
      <c r="I135" s="327">
        <f>G135-(G35+G49)</f>
        <v>-599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'19'!F138</f>
        <v>885869</v>
      </c>
      <c r="F138" s="147">
        <v>886016</v>
      </c>
      <c r="G138" s="112">
        <f t="shared" ref="G138:G152" si="11">F138-E138</f>
        <v>147</v>
      </c>
      <c r="H138" s="99">
        <f>G138+'19'!H138</f>
        <v>-1208</v>
      </c>
      <c r="I138" s="118"/>
      <c r="J138" s="328">
        <f>H138/DAY(B2)</f>
        <v>-60.4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'19'!F139</f>
        <v>902354</v>
      </c>
      <c r="F139" s="148">
        <v>902506</v>
      </c>
      <c r="G139" s="112">
        <f t="shared" si="11"/>
        <v>152</v>
      </c>
      <c r="H139" s="99">
        <f>G139+'19'!H139</f>
        <v>-1584</v>
      </c>
      <c r="I139" s="118"/>
      <c r="J139" s="328">
        <f>H139/DAY(B2)</f>
        <v>-79.2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'19'!F140</f>
        <v>887</v>
      </c>
      <c r="F140" s="149">
        <v>903</v>
      </c>
      <c r="G140" s="112">
        <f>F140-E140</f>
        <v>16</v>
      </c>
      <c r="H140" s="99">
        <f>G140+'19'!H140</f>
        <v>-88102.650000000009</v>
      </c>
      <c r="I140" s="118"/>
      <c r="J140" s="328">
        <f>H140/DAY(B2)</f>
        <v>-4405.1325000000006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'19'!F141</f>
        <v>81870</v>
      </c>
      <c r="F141" s="149">
        <v>82073</v>
      </c>
      <c r="G141" s="112">
        <f t="shared" si="11"/>
        <v>203</v>
      </c>
      <c r="H141" s="99">
        <f>G141+'19'!H141</f>
        <v>-2042.1999999999971</v>
      </c>
      <c r="I141" s="118"/>
      <c r="J141" s="328">
        <f>H141/DAY(B2)</f>
        <v>-102.10999999999986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'19'!F142</f>
        <v>33396</v>
      </c>
      <c r="F142" s="148">
        <v>33510</v>
      </c>
      <c r="G142" s="112">
        <f t="shared" si="11"/>
        <v>114</v>
      </c>
      <c r="H142" s="99">
        <f>G142+'19'!H142</f>
        <v>-875.47000000000116</v>
      </c>
      <c r="I142" s="140"/>
      <c r="J142" s="328">
        <f>H142/DAY(B2)</f>
        <v>-43.773500000000055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'19'!F143</f>
        <v>7845</v>
      </c>
      <c r="F143" s="149">
        <v>7874</v>
      </c>
      <c r="G143" s="112">
        <f t="shared" si="11"/>
        <v>29</v>
      </c>
      <c r="H143" s="99">
        <f>G143+'19'!H143</f>
        <v>-284.31999999999971</v>
      </c>
      <c r="I143" s="140"/>
      <c r="J143" s="328">
        <f>H143/DAY(B2)</f>
        <v>-14.215999999999985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'19'!F144</f>
        <v>909648</v>
      </c>
      <c r="F144" s="518">
        <v>909887</v>
      </c>
      <c r="G144" s="112">
        <f t="shared" si="11"/>
        <v>239</v>
      </c>
      <c r="H144" s="99">
        <f>G144+'19'!H144</f>
        <v>-2390</v>
      </c>
      <c r="I144" s="140"/>
      <c r="J144" s="328">
        <f>H144/DAY(B2)</f>
        <v>-119.5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'19'!F145</f>
        <v>5665</v>
      </c>
      <c r="F145" s="149">
        <v>5665</v>
      </c>
      <c r="G145" s="112">
        <f t="shared" si="11"/>
        <v>0</v>
      </c>
      <c r="H145" s="99">
        <f>G145+'19'!H145</f>
        <v>-1.5600000000004002</v>
      </c>
      <c r="I145" s="140"/>
      <c r="J145" s="328">
        <f>H145/DAY(B2)</f>
        <v>-7.8000000000020012E-2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'19'!F146</f>
        <v>778805</v>
      </c>
      <c r="F146" s="148">
        <v>778852</v>
      </c>
      <c r="G146" s="112">
        <f t="shared" si="11"/>
        <v>47</v>
      </c>
      <c r="H146" s="99">
        <f>G146+'19'!H146</f>
        <v>-476</v>
      </c>
      <c r="I146" s="140"/>
      <c r="J146" s="328">
        <f>H146/DAY(B2)</f>
        <v>-23.8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'19'!F147</f>
        <v>683269</v>
      </c>
      <c r="F147" s="148">
        <v>683679</v>
      </c>
      <c r="G147" s="112">
        <f t="shared" si="11"/>
        <v>410</v>
      </c>
      <c r="H147" s="99">
        <f>G147+'19'!H147</f>
        <v>-3847.1600000000326</v>
      </c>
      <c r="I147" s="140"/>
      <c r="J147" s="328">
        <f>H147/DAY(B2)</f>
        <v>-192.35800000000162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'19'!F148</f>
        <v>735404</v>
      </c>
      <c r="F148" s="150">
        <v>735964</v>
      </c>
      <c r="G148" s="112">
        <f t="shared" si="11"/>
        <v>560</v>
      </c>
      <c r="H148" s="99">
        <f>G148+'19'!H148</f>
        <v>-2983.2800000000279</v>
      </c>
      <c r="I148" s="124"/>
      <c r="J148" s="328">
        <f>H148/DAY(B2)</f>
        <v>-149.16400000000141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'19'!F149</f>
        <v>111327</v>
      </c>
      <c r="F149" s="146">
        <v>111852</v>
      </c>
      <c r="G149" s="112">
        <f t="shared" si="11"/>
        <v>525</v>
      </c>
      <c r="H149" s="99">
        <f>G149+'19'!H149</f>
        <v>-4680.8000000000029</v>
      </c>
      <c r="I149" s="119"/>
      <c r="J149" s="328">
        <f>H149/DAY(B2)</f>
        <v>-234.04000000000013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'19'!F150</f>
        <v>41346</v>
      </c>
      <c r="F150" s="233">
        <v>41565</v>
      </c>
      <c r="G150" s="112">
        <f t="shared" si="11"/>
        <v>219</v>
      </c>
      <c r="H150" s="99">
        <f>G150+'19'!H150</f>
        <v>-2160.1600000000035</v>
      </c>
      <c r="I150" s="119"/>
      <c r="J150" s="328">
        <f>H150/DAY(B2)</f>
        <v>-108.00800000000018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'19'!F151</f>
        <v>123589</v>
      </c>
      <c r="F151" s="233">
        <v>123883</v>
      </c>
      <c r="G151" s="112">
        <f t="shared" si="11"/>
        <v>294</v>
      </c>
      <c r="H151" s="99">
        <f>G151+'19'!H151</f>
        <v>-2720</v>
      </c>
      <c r="I151" s="119"/>
      <c r="J151" s="328">
        <f>H151/DAY(B2)</f>
        <v>-136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'19'!F152</f>
        <v>17874</v>
      </c>
      <c r="F152" s="233">
        <v>18008</v>
      </c>
      <c r="G152" s="112">
        <f t="shared" si="11"/>
        <v>134</v>
      </c>
      <c r="H152" s="99">
        <f>G152+'19'!H152</f>
        <v>-1280.0800000000017</v>
      </c>
      <c r="I152" s="119"/>
      <c r="J152" s="328">
        <f>H152/DAY(B2)</f>
        <v>-64.00400000000009</v>
      </c>
    </row>
    <row r="153" spans="1:10" ht="25.5">
      <c r="A153" s="459" t="s">
        <v>108</v>
      </c>
      <c r="B153" s="365"/>
      <c r="C153" s="365"/>
      <c r="D153" s="117"/>
      <c r="E153" s="95"/>
      <c r="F153" s="233"/>
      <c r="G153" s="112">
        <f>SUM(G138:G152)</f>
        <v>3089</v>
      </c>
      <c r="H153" s="99"/>
      <c r="I153" s="119">
        <f>G153-(G38+G52)</f>
        <v>748</v>
      </c>
      <c r="J153" s="328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'19'!F155</f>
        <v>123763</v>
      </c>
      <c r="F155" s="374">
        <v>124370</v>
      </c>
      <c r="G155" s="112">
        <f t="shared" ref="G155:G158" si="12">F155-E155</f>
        <v>607</v>
      </c>
      <c r="H155" s="99">
        <f>G155+'19'!H155</f>
        <v>-5871.3800000000047</v>
      </c>
      <c r="I155" s="364"/>
      <c r="J155" s="328">
        <f>H155/DAY(B2)</f>
        <v>-293.56900000000024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'19'!F156</f>
        <v>11156</v>
      </c>
      <c r="F156" s="155">
        <v>11232</v>
      </c>
      <c r="G156" s="112">
        <f t="shared" si="12"/>
        <v>76</v>
      </c>
      <c r="H156" s="99">
        <f>G156+'19'!H156</f>
        <v>-861.36000000000058</v>
      </c>
      <c r="I156" s="165"/>
      <c r="J156" s="328">
        <f>H156/DAY(B2)</f>
        <v>-43.068000000000026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'19'!F157</f>
        <v>21391</v>
      </c>
      <c r="F157" s="155">
        <v>21544</v>
      </c>
      <c r="G157" s="112">
        <f t="shared" si="12"/>
        <v>153</v>
      </c>
      <c r="H157" s="99">
        <f>G157+'19'!H157</f>
        <v>153</v>
      </c>
      <c r="I157" s="165"/>
      <c r="J157" s="328">
        <f>H157/DAY(B2)</f>
        <v>7.65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'19'!F158</f>
        <v>190</v>
      </c>
      <c r="F158" s="155">
        <v>190</v>
      </c>
      <c r="G158" s="112">
        <f t="shared" si="12"/>
        <v>0</v>
      </c>
      <c r="H158" s="99">
        <f>G158+'19'!H158</f>
        <v>0</v>
      </c>
      <c r="I158" s="165"/>
      <c r="J158" s="328">
        <f>H158/DAY(B2)</f>
        <v>0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476679</v>
      </c>
      <c r="F161" s="235">
        <v>476923</v>
      </c>
      <c r="G161" s="238">
        <f t="shared" ref="G161:G166" si="13">F161-E161</f>
        <v>244</v>
      </c>
      <c r="H161" s="99">
        <f>G161+'19'!H161</f>
        <v>257</v>
      </c>
      <c r="I161" s="236"/>
      <c r="J161" s="239">
        <f>H161/DAY(B2)</f>
        <v>12.85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93374</v>
      </c>
      <c r="F162" s="235">
        <v>93415</v>
      </c>
      <c r="G162" s="238">
        <f t="shared" si="13"/>
        <v>41</v>
      </c>
      <c r="H162" s="99">
        <f>G162+'19'!H162</f>
        <v>-390.30000000000291</v>
      </c>
      <c r="I162" s="236"/>
      <c r="J162" s="239">
        <f>H162/DAY(B2)</f>
        <v>-19.515000000000146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v>231</v>
      </c>
      <c r="F163" s="235">
        <v>391</v>
      </c>
      <c r="G163" s="238">
        <f t="shared" si="13"/>
        <v>160</v>
      </c>
      <c r="H163" s="99">
        <f>G163+'19'!H163</f>
        <v>98359.900000000009</v>
      </c>
      <c r="I163" s="236"/>
      <c r="J163" s="239">
        <f>H163/DAY(B2)</f>
        <v>4917.9950000000008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5756</v>
      </c>
      <c r="F164" s="235">
        <v>5770</v>
      </c>
      <c r="G164" s="238">
        <f t="shared" si="13"/>
        <v>14</v>
      </c>
      <c r="H164" s="99">
        <f>G164+'19'!H164</f>
        <v>-128.39999999999964</v>
      </c>
      <c r="I164" s="236"/>
      <c r="J164" s="239">
        <f>H164/DAY(B2)</f>
        <v>-6.4199999999999822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31223</v>
      </c>
      <c r="F165" s="235">
        <v>31235</v>
      </c>
      <c r="G165" s="238">
        <f t="shared" si="13"/>
        <v>12</v>
      </c>
      <c r="H165" s="99">
        <f>G165+'19'!H165</f>
        <v>-111.65000000000146</v>
      </c>
      <c r="I165" s="236"/>
      <c r="J165" s="239">
        <f>H165/DAY(B2)</f>
        <v>-5.5825000000000724</v>
      </c>
    </row>
    <row r="166" spans="1:10" ht="26.25">
      <c r="A166" s="935"/>
      <c r="B166" s="935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'19'!F173</f>
        <v>8276</v>
      </c>
      <c r="F173" s="155">
        <v>8276</v>
      </c>
      <c r="G173" s="155">
        <f>F173-E173</f>
        <v>0</v>
      </c>
      <c r="H173" s="99">
        <f>G173+'19'!H173</f>
        <v>47</v>
      </c>
      <c r="I173" s="155"/>
      <c r="J173" s="178">
        <f>H173/DAY(B2)</f>
        <v>2.35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'19'!F174</f>
        <v>40614</v>
      </c>
      <c r="F174" s="157">
        <v>40628</v>
      </c>
      <c r="G174" s="155">
        <f t="shared" ref="G174:G175" si="14">F174-E174</f>
        <v>14</v>
      </c>
      <c r="H174" s="99">
        <f>G174+'19'!H174</f>
        <v>-151</v>
      </c>
      <c r="I174" s="155"/>
      <c r="J174" s="178">
        <f>H174/DAY(B2)</f>
        <v>-7.55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'19'!F175</f>
        <v>23526</v>
      </c>
      <c r="F175" s="155">
        <v>23537</v>
      </c>
      <c r="G175" s="155">
        <f t="shared" si="14"/>
        <v>11</v>
      </c>
      <c r="H175" s="99">
        <f>G175+'19'!H175</f>
        <v>-119</v>
      </c>
      <c r="I175" s="155"/>
      <c r="J175" s="178">
        <f>H175/DAY(B2)</f>
        <v>-5.95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25</v>
      </c>
      <c r="H176" s="99">
        <f>G176+'19'!H176</f>
        <v>-223</v>
      </c>
      <c r="I176" s="155"/>
      <c r="J176" s="178">
        <f>H176/DAY(B2)</f>
        <v>-11.15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'19'!F178</f>
        <v>93833</v>
      </c>
      <c r="F178" s="155">
        <v>93943</v>
      </c>
      <c r="G178" s="155">
        <f>F178-E178</f>
        <v>110</v>
      </c>
      <c r="H178" s="99">
        <f>G178+'19'!H178</f>
        <v>1857</v>
      </c>
      <c r="I178" s="155"/>
      <c r="J178" s="178">
        <f>H178/DAY(B2)</f>
        <v>92.85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'19'!F179</f>
        <v>36002</v>
      </c>
      <c r="F179" s="155">
        <v>36002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'19'!F180</f>
        <v>6816</v>
      </c>
      <c r="F180" s="155">
        <v>6818</v>
      </c>
      <c r="G180" s="155">
        <f t="shared" si="15"/>
        <v>2</v>
      </c>
      <c r="H180" s="99">
        <f>G180+'19'!H180</f>
        <v>-64</v>
      </c>
      <c r="I180" s="155"/>
      <c r="J180" s="178">
        <f>H180/DAY(B2)</f>
        <v>-3.2</v>
      </c>
    </row>
    <row r="181" spans="1:10" ht="24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112</v>
      </c>
      <c r="H181" s="99">
        <f>G181+'19'!H181</f>
        <v>1793</v>
      </c>
      <c r="I181" s="155"/>
      <c r="J181" s="178">
        <f>H181/DAY(B2)</f>
        <v>89.65</v>
      </c>
    </row>
    <row r="182" spans="1:10" ht="24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93" t="s">
        <v>214</v>
      </c>
      <c r="B183" s="894"/>
      <c r="C183" s="334"/>
      <c r="D183" s="228" t="s">
        <v>142</v>
      </c>
      <c r="E183" s="95">
        <f>'19'!F183</f>
        <v>17206</v>
      </c>
      <c r="F183" s="157">
        <v>17215</v>
      </c>
      <c r="G183" s="157">
        <f>F183-E183</f>
        <v>9</v>
      </c>
      <c r="H183" s="99">
        <f>G183+'19'!H183</f>
        <v>-60</v>
      </c>
      <c r="I183" s="155"/>
      <c r="J183" s="178">
        <f>H183/DAY(B2)</f>
        <v>-3</v>
      </c>
    </row>
    <row r="184" spans="1:10" ht="24.75" customHeight="1">
      <c r="A184" s="893" t="s">
        <v>215</v>
      </c>
      <c r="B184" s="894"/>
      <c r="C184" s="334"/>
      <c r="D184" s="228" t="s">
        <v>142</v>
      </c>
      <c r="E184" s="95">
        <f>'19'!F184</f>
        <v>11615</v>
      </c>
      <c r="F184" s="157">
        <v>11630</v>
      </c>
      <c r="G184" s="157">
        <f t="shared" ref="G184:G185" si="16">F184-E184</f>
        <v>15</v>
      </c>
      <c r="H184" s="99">
        <f>G184+'19'!H184</f>
        <v>-59</v>
      </c>
      <c r="I184" s="155"/>
      <c r="J184" s="178">
        <f>H184/DAY(B2)</f>
        <v>-2.95</v>
      </c>
    </row>
    <row r="185" spans="1:10" ht="24.75" customHeight="1">
      <c r="A185" s="893" t="s">
        <v>216</v>
      </c>
      <c r="B185" s="894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24</v>
      </c>
      <c r="H186" s="99">
        <f>G186+'19'!H186</f>
        <v>-119</v>
      </c>
      <c r="I186" s="157"/>
      <c r="J186" s="178">
        <f>H186/DAY(B2)</f>
        <v>-5.95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178</v>
      </c>
      <c r="H187" s="99">
        <f>G187+'19'!H187</f>
        <v>-645</v>
      </c>
      <c r="I187" s="158"/>
      <c r="J187" s="179">
        <f>H187/DAY(B2)</f>
        <v>-32.25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167</v>
      </c>
      <c r="H188" s="99">
        <f>G188+'19'!H188</f>
        <v>933</v>
      </c>
      <c r="I188" s="158"/>
      <c r="J188" s="179">
        <f>H188/DAY(B2)</f>
        <v>46.65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112</v>
      </c>
      <c r="H189" s="99">
        <f>G189+'19'!H189</f>
        <v>225</v>
      </c>
      <c r="I189" s="158"/>
      <c r="J189" s="179">
        <f>H189/DAY(B2)</f>
        <v>11.25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44733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1064032.47</v>
      </c>
      <c r="F7" s="95">
        <f>E7+27500</f>
        <v>1091532.47</v>
      </c>
      <c r="G7" s="112">
        <f>F7-E7</f>
        <v>27500</v>
      </c>
      <c r="H7" s="99">
        <f>G7+'20'!H7</f>
        <v>568567.97</v>
      </c>
      <c r="I7" s="113">
        <f>'1'!I7</f>
        <v>12000</v>
      </c>
      <c r="J7" s="175">
        <f>H7/DAY(B2)</f>
        <v>27074.665238095236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1205254.6499999999</v>
      </c>
      <c r="F8" s="95">
        <f>E8+27000</f>
        <v>1232254.6499999999</v>
      </c>
      <c r="G8" s="115">
        <f>F8-E8</f>
        <v>27000</v>
      </c>
      <c r="H8" s="99">
        <f>G8+'20'!H8</f>
        <v>570465.64999999991</v>
      </c>
      <c r="I8" s="116"/>
      <c r="J8" s="175">
        <f>H8/DAY(B2)</f>
        <v>27165.030952380948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2780874</v>
      </c>
      <c r="F9" s="469">
        <v>2796075.3</v>
      </c>
      <c r="G9" s="112">
        <f>F9-E9</f>
        <v>15201.299999999814</v>
      </c>
      <c r="H9" s="99">
        <f>G9+'20'!H9</f>
        <v>-121573.80000000028</v>
      </c>
      <c r="I9" s="124">
        <f>I7-J7</f>
        <v>-15074.665238095236</v>
      </c>
      <c r="J9" s="175">
        <f>H9/DAY(B2)</f>
        <v>-5789.2285714285845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1109606</v>
      </c>
      <c r="F10" s="353">
        <v>1120396.6000000001</v>
      </c>
      <c r="G10" s="112">
        <f t="shared" ref="G10:G12" si="0">F10-E10</f>
        <v>10790.600000000093</v>
      </c>
      <c r="H10" s="99">
        <f>G10+'20'!H10</f>
        <v>-115290.0299999998</v>
      </c>
      <c r="I10" s="282"/>
      <c r="J10" s="175">
        <f>H10/DAY(B2)</f>
        <v>-5490.0014285714187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25991.899999999907</v>
      </c>
      <c r="H13" s="99">
        <f>G13+'20'!H13</f>
        <v>-235134.89999999991</v>
      </c>
      <c r="I13" s="120">
        <f>G7-G13</f>
        <v>1508.1000000000931</v>
      </c>
      <c r="J13" s="175">
        <f>H13/DAY(B2)</f>
        <v>-11196.899999999996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2088461.24</v>
      </c>
      <c r="F15" s="469">
        <f>E15+1000</f>
        <v>2089461.24</v>
      </c>
      <c r="G15" s="112">
        <f>(F15-E15)</f>
        <v>1000</v>
      </c>
      <c r="H15" s="99">
        <f>G15+'20'!H15</f>
        <v>21382.830000000075</v>
      </c>
      <c r="I15" s="113">
        <f>'1'!I15</f>
        <v>800</v>
      </c>
      <c r="J15" s="175">
        <f>H15/DAY(B2)</f>
        <v>1018.2300000000035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-218.23000000000354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'20'!F18</f>
        <v>20</v>
      </c>
      <c r="F18" s="122">
        <v>21</v>
      </c>
      <c r="G18" s="119">
        <f>F18*10</f>
        <v>210</v>
      </c>
      <c r="H18" s="99">
        <f>G18+'20'!H18</f>
        <v>3940</v>
      </c>
      <c r="I18" s="113">
        <f>'1'!I18</f>
        <v>65</v>
      </c>
      <c r="J18" s="175">
        <f>H18/DAY(B2)</f>
        <v>187.61904761904762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'20'!F19</f>
        <v>161145</v>
      </c>
      <c r="F19" s="122">
        <v>161198</v>
      </c>
      <c r="G19" s="112">
        <f t="shared" ref="G19" si="1">F19-E19</f>
        <v>53</v>
      </c>
      <c r="H19" s="99">
        <f>G19+'20'!H19</f>
        <v>375</v>
      </c>
      <c r="I19" s="335"/>
      <c r="J19" s="175">
        <f>H19/DAY(B2)</f>
        <v>17.857142857142858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263</v>
      </c>
      <c r="H20" s="99">
        <f>G20+'20'!H20</f>
        <v>4315</v>
      </c>
      <c r="I20" s="336">
        <f>I18-J20</f>
        <v>-140.47619047619048</v>
      </c>
      <c r="J20" s="175">
        <f>H20/DAY(B2)</f>
        <v>205.47619047619048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G27+'20'!H27</f>
        <v>5134190.8499999996</v>
      </c>
      <c r="I27" s="138"/>
      <c r="J27" s="175">
        <f>H27/DAY(B2)</f>
        <v>244485.27857142856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G28+'20'!H28</f>
        <v>1496798.1000000052</v>
      </c>
      <c r="I28" s="140"/>
      <c r="J28" s="175">
        <f>H28/DAY(B2)</f>
        <v>71276.100000000253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G30+'20'!H30</f>
        <v>56625</v>
      </c>
      <c r="I30" s="140"/>
      <c r="J30" s="175">
        <f>H30/DAY(B2)</f>
        <v>2696.4285714285716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G31+'20'!H31</f>
        <v>315200</v>
      </c>
      <c r="I31" s="140"/>
      <c r="J31" s="175">
        <f>H31/DAY(B2)</f>
        <v>15009.523809523809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337803</v>
      </c>
      <c r="H32" s="99">
        <f>G32+'20'!H32</f>
        <v>7002813.9500000048</v>
      </c>
      <c r="I32" s="144"/>
      <c r="J32" s="175">
        <f>H32/DAY(B2)</f>
        <v>333467.33095238119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238714</v>
      </c>
      <c r="F35" s="145">
        <v>238714</v>
      </c>
      <c r="G35" s="112">
        <f t="shared" ref="G35:G46" si="3">F35-E35</f>
        <v>0</v>
      </c>
      <c r="H35" s="99">
        <f>G35+'20'!H35</f>
        <v>0.95000000001164153</v>
      </c>
      <c r="I35" s="95"/>
      <c r="J35" s="175">
        <f>H35/DAY(B2)</f>
        <v>4.5238095238649599E-2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178616</v>
      </c>
      <c r="F36" s="145">
        <v>179427.33</v>
      </c>
      <c r="G36" s="112">
        <f t="shared" si="3"/>
        <v>811.32999999998719</v>
      </c>
      <c r="H36" s="99">
        <f>G36+'20'!H36</f>
        <v>-7492.9000000000233</v>
      </c>
      <c r="I36" s="95"/>
      <c r="J36" s="175">
        <f>H36/DAY(B2)</f>
        <v>-356.80476190476304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270470</v>
      </c>
      <c r="F37" s="418">
        <v>272131.05</v>
      </c>
      <c r="G37" s="112">
        <f t="shared" si="3"/>
        <v>1661.0499999999884</v>
      </c>
      <c r="H37" s="99">
        <f>G37+'20'!H37</f>
        <v>-14587.940000000002</v>
      </c>
      <c r="I37" s="95"/>
      <c r="J37" s="175">
        <f>H37/DAY(B2)</f>
        <v>-694.66380952380962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364556</v>
      </c>
      <c r="F38" s="108">
        <v>366939.15</v>
      </c>
      <c r="G38" s="112">
        <f t="shared" si="3"/>
        <v>2383.1500000000233</v>
      </c>
      <c r="H38" s="99">
        <f>G38+'20'!H38</f>
        <v>-19724.199999999953</v>
      </c>
      <c r="I38" s="95"/>
      <c r="J38" s="175">
        <f>H38/DAY(B2)</f>
        <v>-939.24761904761681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493474</v>
      </c>
      <c r="F39" s="418">
        <v>496597.91</v>
      </c>
      <c r="G39" s="112">
        <f t="shared" si="3"/>
        <v>3123.9099999999744</v>
      </c>
      <c r="H39" s="99">
        <f>G39+'20'!H39</f>
        <v>-26782.680000000051</v>
      </c>
      <c r="I39" s="95"/>
      <c r="J39" s="175">
        <f>H39/DAY(B2)</f>
        <v>-1275.3657142857166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79975</v>
      </c>
      <c r="F40" s="145">
        <v>80362.59</v>
      </c>
      <c r="G40" s="112">
        <f t="shared" si="3"/>
        <v>387.58999999999651</v>
      </c>
      <c r="H40" s="99">
        <f>G40+'20'!H40</f>
        <v>-3308.5</v>
      </c>
      <c r="I40" s="95"/>
      <c r="J40" s="175">
        <f>H40/DAY(B2)</f>
        <v>-157.54761904761904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130870</v>
      </c>
      <c r="F41" s="145">
        <v>136730.97</v>
      </c>
      <c r="G41" s="112">
        <f t="shared" si="3"/>
        <v>5860.9700000000012</v>
      </c>
      <c r="H41" s="99">
        <f>G41+'20'!H41</f>
        <v>-6087.429999999993</v>
      </c>
      <c r="I41" s="95"/>
      <c r="J41" s="175">
        <f>H41/DAY(B2)</f>
        <v>-289.87761904761874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653515</v>
      </c>
      <c r="F42" s="145">
        <v>653540.03</v>
      </c>
      <c r="G42" s="112">
        <f t="shared" si="3"/>
        <v>25.03000000002794</v>
      </c>
      <c r="H42" s="99">
        <f>G42+'20'!H42</f>
        <v>-35092.520000000019</v>
      </c>
      <c r="I42" s="95"/>
      <c r="J42" s="175">
        <f>H42/DAY(B2)</f>
        <v>-1671.0723809523818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14253.029999999999</v>
      </c>
      <c r="H47" s="99">
        <f>G47+'20'!H47</f>
        <v>-113075.22</v>
      </c>
      <c r="I47" s="95"/>
      <c r="J47" s="175">
        <f>H47/DAY(B2)</f>
        <v>-5384.5342857142859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331865</v>
      </c>
      <c r="F49" s="145">
        <v>335497.07</v>
      </c>
      <c r="G49" s="112">
        <f t="shared" ref="G49:G58" si="4">F49-E49</f>
        <v>3632.070000000007</v>
      </c>
      <c r="H49" s="99">
        <f>G49+'20'!H49</f>
        <v>-35274.679999999993</v>
      </c>
      <c r="I49" s="95"/>
      <c r="J49" s="175">
        <f>H49/DAY(B2)</f>
        <v>-1679.7466666666664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232086</v>
      </c>
      <c r="F50" s="145">
        <v>233218.41</v>
      </c>
      <c r="G50" s="112">
        <f t="shared" si="4"/>
        <v>1132.4100000000035</v>
      </c>
      <c r="H50" s="99">
        <f>G50+'20'!H50</f>
        <v>-9886.9899999999907</v>
      </c>
      <c r="I50" s="95"/>
      <c r="J50" s="175">
        <f>H50/DAY(B2)</f>
        <v>-470.80904761904719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73494</v>
      </c>
      <c r="F54" s="145">
        <v>73852.429999999993</v>
      </c>
      <c r="G54" s="112">
        <f t="shared" si="4"/>
        <v>358.42999999999302</v>
      </c>
      <c r="H54" s="99">
        <f>G54+'20'!H54</f>
        <v>-3165.070000000007</v>
      </c>
      <c r="I54" s="95"/>
      <c r="J54" s="175">
        <f>H54/DAY(B2)</f>
        <v>-150.71761904761939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254288</v>
      </c>
      <c r="F55" s="145">
        <v>254287.51</v>
      </c>
      <c r="G55" s="112">
        <f t="shared" si="4"/>
        <v>-0.48999999999068677</v>
      </c>
      <c r="H55" s="99">
        <f>G55+'20'!H55</f>
        <v>-29795.419999999984</v>
      </c>
      <c r="I55" s="95"/>
      <c r="J55" s="175">
        <f>H55/DAY(B2)</f>
        <v>-1418.8295238095229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109347</v>
      </c>
      <c r="F56" s="418">
        <v>111208.75</v>
      </c>
      <c r="G56" s="112">
        <f t="shared" si="4"/>
        <v>1861.75</v>
      </c>
      <c r="H56" s="99">
        <f>G56+'20'!H56</f>
        <v>-34.380000000004657</v>
      </c>
      <c r="I56" s="95"/>
      <c r="J56" s="175">
        <f>H56/DAY(B2)</f>
        <v>-1.6371428571430788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100679</v>
      </c>
      <c r="F57" s="145">
        <v>103719.23</v>
      </c>
      <c r="G57" s="112">
        <f t="shared" si="4"/>
        <v>3040.2299999999959</v>
      </c>
      <c r="H57" s="99">
        <f>G57+'20'!H57</f>
        <v>-28184.470000000016</v>
      </c>
      <c r="I57" s="95"/>
      <c r="J57" s="175">
        <f>H57/DAY(B2)</f>
        <v>-1342.1176190476199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37498</v>
      </c>
      <c r="F58" s="145">
        <v>37738.400000000001</v>
      </c>
      <c r="G58" s="112">
        <f t="shared" si="4"/>
        <v>240.40000000000146</v>
      </c>
      <c r="H58" s="99">
        <f>G58+'20'!H58</f>
        <v>-2541.7099999999991</v>
      </c>
      <c r="I58" s="95"/>
      <c r="J58" s="175">
        <f>H58/DAY(B2)</f>
        <v>-121.03380952380948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10264.80000000001</v>
      </c>
      <c r="H59" s="99">
        <f>G59+'20'!H59</f>
        <v>-108882.40000000005</v>
      </c>
      <c r="I59" s="95">
        <f>G7-G60</f>
        <v>2982.169999999991</v>
      </c>
      <c r="J59" s="175">
        <f>H59/DAY(B2)</f>
        <v>-5184.8761904761932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24517.830000000009</v>
      </c>
      <c r="H60" s="99">
        <f>G60+'20'!H60</f>
        <v>-221957.62000000005</v>
      </c>
      <c r="I60" s="95">
        <f>G13-G60</f>
        <v>1474.0699999998978</v>
      </c>
      <c r="J60" s="175">
        <f>H60/DAY(B2)</f>
        <v>-10569.410476190478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'20'!F62</f>
        <v>291731</v>
      </c>
      <c r="F62" s="122">
        <v>291834</v>
      </c>
      <c r="G62" s="112">
        <f t="shared" ref="G62:G63" si="5">F62-E62</f>
        <v>103</v>
      </c>
      <c r="H62" s="99">
        <f>G62+'20'!H62</f>
        <v>-864</v>
      </c>
      <c r="I62" s="118"/>
      <c r="J62" s="175">
        <f>H62/DAY(B2)</f>
        <v>-41.142857142857146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'20'!F63</f>
        <v>233839</v>
      </c>
      <c r="F63" s="150">
        <v>233954</v>
      </c>
      <c r="G63" s="112">
        <f t="shared" si="5"/>
        <v>115</v>
      </c>
      <c r="H63" s="99">
        <f>G63+'20'!H63</f>
        <v>-1112</v>
      </c>
      <c r="I63" s="118"/>
      <c r="J63" s="175">
        <f>H63/DAY(B2)</f>
        <v>-52.952380952380949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'20'!F64</f>
        <v>0</v>
      </c>
      <c r="F64" s="122"/>
      <c r="G64" s="112">
        <f>G62+G63</f>
        <v>218</v>
      </c>
      <c r="H64" s="99">
        <f>G64+'20'!H64</f>
        <v>-1976</v>
      </c>
      <c r="I64" s="118"/>
      <c r="J64" s="175">
        <f>H64/DAY(B2)</f>
        <v>-94.095238095238102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'20'!F65</f>
        <v>450399</v>
      </c>
      <c r="F65" s="122">
        <v>450501</v>
      </c>
      <c r="G65" s="112">
        <f t="shared" ref="G65:G70" si="6">F65-E65</f>
        <v>102</v>
      </c>
      <c r="H65" s="99">
        <f>G65+'20'!H65</f>
        <v>-888</v>
      </c>
      <c r="I65" s="118"/>
      <c r="J65" s="175">
        <f>H65/DAY(B2)</f>
        <v>-42.285714285714285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110845</v>
      </c>
      <c r="F66" s="122">
        <v>110860</v>
      </c>
      <c r="G66" s="112">
        <f t="shared" si="6"/>
        <v>15</v>
      </c>
      <c r="H66" s="99">
        <f>G66+'20'!H66</f>
        <v>-167</v>
      </c>
      <c r="I66" s="118"/>
      <c r="J66" s="175">
        <f>H66/DAY(B2)</f>
        <v>-7.9523809523809526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113681</v>
      </c>
      <c r="F67" s="122">
        <v>113681</v>
      </c>
      <c r="G67" s="112">
        <f t="shared" si="6"/>
        <v>0</v>
      </c>
      <c r="H67" s="99">
        <f>G67+'20'!H67</f>
        <v>1</v>
      </c>
      <c r="I67" s="118"/>
      <c r="J67" s="175">
        <f>H67/DAY(B2)</f>
        <v>4.7619047619047616E-2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163163</v>
      </c>
      <c r="F68" s="122">
        <v>163196</v>
      </c>
      <c r="G68" s="112">
        <f t="shared" si="6"/>
        <v>33</v>
      </c>
      <c r="H68" s="99">
        <f>G68+'20'!H68</f>
        <v>-330</v>
      </c>
      <c r="I68" s="118"/>
      <c r="J68" s="175">
        <f>H68/DAY(B2)</f>
        <v>-15.714285714285714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12082</v>
      </c>
      <c r="F69" s="122">
        <v>12085</v>
      </c>
      <c r="G69" s="112">
        <f t="shared" si="6"/>
        <v>3</v>
      </c>
      <c r="H69" s="99">
        <f>G69+'20'!H69</f>
        <v>-43</v>
      </c>
      <c r="I69" s="118"/>
      <c r="J69" s="175">
        <f>H69/DAY(B2)</f>
        <v>-2.0476190476190474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9443</v>
      </c>
      <c r="F70" s="122">
        <v>9448</v>
      </c>
      <c r="G70" s="112">
        <f t="shared" si="6"/>
        <v>5</v>
      </c>
      <c r="H70" s="99">
        <f>G70+'20'!H70</f>
        <v>-66</v>
      </c>
      <c r="I70" s="118"/>
      <c r="J70" s="175">
        <f>H70/DAY(B2)</f>
        <v>-3.1428571428571428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158</v>
      </c>
      <c r="H71" s="99">
        <f>G71+'20'!H71</f>
        <v>-1493</v>
      </c>
      <c r="I71" s="154"/>
      <c r="J71" s="175">
        <f>H71/DAY(B2)</f>
        <v>-71.095238095238102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'20'!F74</f>
        <v>944830</v>
      </c>
      <c r="F74" s="123">
        <v>945123.62</v>
      </c>
      <c r="G74" s="112">
        <f t="shared" ref="G74:G78" si="7">F74-E74</f>
        <v>293.61999999999534</v>
      </c>
      <c r="H74" s="99">
        <f>G74+'20'!H74</f>
        <v>-2583.5799999999581</v>
      </c>
      <c r="I74" s="154"/>
      <c r="J74" s="175">
        <f>H74/DAY(B2)</f>
        <v>-123.02761904761705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'20'!F76</f>
        <v>185928</v>
      </c>
      <c r="F76" s="123">
        <v>186041.63</v>
      </c>
      <c r="G76" s="112">
        <f t="shared" si="7"/>
        <v>113.63000000000466</v>
      </c>
      <c r="H76" s="99">
        <f>G76+'20'!H76</f>
        <v>-849.6699999999837</v>
      </c>
      <c r="I76" s="154"/>
      <c r="J76" s="175">
        <f>H76/DAY(B2)</f>
        <v>-40.460476190475411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'20'!F77</f>
        <v>48306</v>
      </c>
      <c r="F77" s="123">
        <v>48351.4</v>
      </c>
      <c r="G77" s="112">
        <f t="shared" si="7"/>
        <v>45.400000000001455</v>
      </c>
      <c r="H77" s="99">
        <f>G77+'20'!H77</f>
        <v>-384.40000000000146</v>
      </c>
      <c r="I77" s="154"/>
      <c r="J77" s="175">
        <f>H77/DAY(B2)</f>
        <v>-18.304761904761975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-0.3999999999996362</v>
      </c>
      <c r="I78" s="118"/>
      <c r="J78" s="175">
        <f>H78/DAY(B2)</f>
        <v>-1.9047619047601723E-2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'20'!F79</f>
        <v>0</v>
      </c>
      <c r="F79" s="123"/>
      <c r="G79" s="112">
        <f>G15-SUM(G74:G78)</f>
        <v>547.34999999999854</v>
      </c>
      <c r="H79" s="99">
        <f>G79+'20'!H79</f>
        <v>25200.880000000019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42227</v>
      </c>
      <c r="F84" s="164">
        <v>42251.24</v>
      </c>
      <c r="G84" s="112">
        <f t="shared" si="8"/>
        <v>24.239999999997963</v>
      </c>
      <c r="H84" s="99">
        <f>G84+'20'!H84</f>
        <v>-23.760000000002037</v>
      </c>
      <c r="I84" s="573"/>
      <c r="J84" s="175">
        <f>H84/DAY(B2)</f>
        <v>-1.1314285714286685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4732.55</v>
      </c>
      <c r="F85" s="164">
        <v>4732.5600000000004</v>
      </c>
      <c r="G85" s="112">
        <f t="shared" si="8"/>
        <v>1.0000000000218279E-2</v>
      </c>
      <c r="H85" s="99">
        <f>G85+'20'!H85</f>
        <v>-149.44999999999982</v>
      </c>
      <c r="I85" s="573"/>
      <c r="J85" s="175">
        <f>H85/DAY(B2)</f>
        <v>-7.1166666666666583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44658</v>
      </c>
      <c r="F86" s="164">
        <v>44660.15</v>
      </c>
      <c r="G86" s="112">
        <f t="shared" si="8"/>
        <v>2.1500000000014552</v>
      </c>
      <c r="H86" s="99">
        <f>G86+'20'!H86</f>
        <v>-192.15000000000146</v>
      </c>
      <c r="I86" s="573"/>
      <c r="J86" s="175">
        <f>H86/DAY(B2)</f>
        <v>-9.1500000000000696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35345</v>
      </c>
      <c r="F87" s="164">
        <v>35357.440000000002</v>
      </c>
      <c r="G87" s="112">
        <f t="shared" si="8"/>
        <v>12.440000000002328</v>
      </c>
      <c r="H87" s="99">
        <f>G87+'20'!H87</f>
        <v>-0.61000000000058208</v>
      </c>
      <c r="I87" s="573">
        <f>G84+G85+G86+G87</f>
        <v>38.840000000001965</v>
      </c>
      <c r="J87" s="175">
        <f>H87/DAY(B2)</f>
        <v>-2.9047619047646765E-2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24277</v>
      </c>
      <c r="F88" s="164">
        <v>24276.95</v>
      </c>
      <c r="G88" s="112">
        <f t="shared" si="8"/>
        <v>-4.9999999999272404E-2</v>
      </c>
      <c r="H88" s="99">
        <f>G88+'20'!H88</f>
        <v>-0.25</v>
      </c>
      <c r="I88" s="573"/>
      <c r="J88" s="175">
        <f>H88/DAY(B2)</f>
        <v>-1.1904761904761904E-2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27197</v>
      </c>
      <c r="F89" s="164">
        <v>27206.95</v>
      </c>
      <c r="G89" s="112">
        <f t="shared" si="8"/>
        <v>9.9500000000007276</v>
      </c>
      <c r="H89" s="99">
        <f>G89+'20'!H89</f>
        <v>-84.469999999997526</v>
      </c>
      <c r="I89" s="573">
        <f>G88+G89</f>
        <v>9.9000000000014552</v>
      </c>
      <c r="J89" s="175">
        <f>H89/DAY(B2)</f>
        <v>-4.0223809523808347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72230</v>
      </c>
      <c r="F90" s="164">
        <v>72240.52</v>
      </c>
      <c r="G90" s="112">
        <f t="shared" si="8"/>
        <v>10.520000000004075</v>
      </c>
      <c r="H90" s="99">
        <f>G90+'20'!H90</f>
        <v>-60.60999999998603</v>
      </c>
      <c r="I90" s="573">
        <f>G90</f>
        <v>10.520000000004075</v>
      </c>
      <c r="J90" s="175">
        <f>H90/DAY(B2)</f>
        <v>-2.8861904761898112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4122</v>
      </c>
      <c r="F91" s="122">
        <v>4122</v>
      </c>
      <c r="G91" s="112">
        <f t="shared" si="8"/>
        <v>0</v>
      </c>
      <c r="H91" s="99">
        <f>G91+'20'!H91</f>
        <v>-16.4399999999996</v>
      </c>
      <c r="I91" s="592"/>
      <c r="J91" s="175">
        <f>H91/DAY(B2)</f>
        <v>-0.78285714285712382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6432</v>
      </c>
      <c r="F92" s="122">
        <v>6441.64</v>
      </c>
      <c r="G92" s="112">
        <f t="shared" si="8"/>
        <v>9.6400000000003274</v>
      </c>
      <c r="H92" s="99">
        <f>G92+'20'!H92</f>
        <v>-73.699999999999818</v>
      </c>
      <c r="I92" s="598">
        <f>G91+G92</f>
        <v>9.6400000000003274</v>
      </c>
      <c r="J92" s="175">
        <f>H92/DAY(B2)</f>
        <v>-3.5095238095238011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6672.3000000000029</v>
      </c>
      <c r="H94" s="99">
        <f>G94+'20'!H94</f>
        <v>-63458.2</v>
      </c>
      <c r="I94" s="118"/>
      <c r="J94" s="175">
        <f>H94/DAY(B2)</f>
        <v>-3021.8190476190475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0.24262909090909102</v>
      </c>
      <c r="H95" s="99">
        <f>G95+'20'!H95</f>
        <v>-2.2206244537157889</v>
      </c>
      <c r="I95" s="167"/>
      <c r="J95" s="175">
        <f>H95/DAY(B2)</f>
        <v>-0.10574402160551376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7747.2600000000384</v>
      </c>
      <c r="H96" s="99">
        <f>G96+'20'!H96</f>
        <v>-71009.750000000029</v>
      </c>
      <c r="I96" s="118"/>
      <c r="J96" s="175">
        <f>H96/DAY(B2)</f>
        <v>-3381.4166666666679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0.28171854545454683</v>
      </c>
      <c r="H97" s="99">
        <f>G97+'20'!H97</f>
        <v>-2.5043506094545007</v>
      </c>
      <c r="I97" s="167"/>
      <c r="J97" s="175">
        <f>H97/DAY(B2)</f>
        <v>-0.1192547909264048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3123.9099999999744</v>
      </c>
      <c r="H98" s="99">
        <f>G98+'20'!H98</f>
        <v>-26782.680000000051</v>
      </c>
      <c r="I98" s="168"/>
      <c r="J98" s="175">
        <f>H98/DAY(B2)</f>
        <v>-1275.3657142857166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0.11359672727272634</v>
      </c>
      <c r="H99" s="99">
        <f>G99+'20'!H99</f>
        <v>-0.93612151718147718</v>
      </c>
      <c r="I99" s="168"/>
      <c r="J99" s="175">
        <f>H99/DAY(B2)</f>
        <v>-4.4577215103879866E-2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2383.1500000000233</v>
      </c>
      <c r="H100" s="99">
        <f>G100+'20'!H100</f>
        <v>-19724.199999999946</v>
      </c>
      <c r="I100" s="118"/>
      <c r="J100" s="175">
        <f>H100/DAY(B2)</f>
        <v>-939.24761904761647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8.6660000000000847E-2</v>
      </c>
      <c r="H101" s="99">
        <f>G101+'20'!H101</f>
        <v>-0.68840665314489047</v>
      </c>
      <c r="I101" s="168"/>
      <c r="J101" s="175">
        <f>H101/DAY(B2)</f>
        <v>-3.2781269197375736E-2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1943.7399999999907</v>
      </c>
      <c r="H102" s="99">
        <f>G102+'20'!H102</f>
        <v>-17379.890000000014</v>
      </c>
      <c r="I102" s="168"/>
      <c r="J102" s="175">
        <f>H102/DAY(B2)</f>
        <v>-827.61380952381023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7.06814545454542E-2</v>
      </c>
      <c r="H103" s="99">
        <f>G103+'20'!H103</f>
        <v>-0.60982714884832789</v>
      </c>
      <c r="I103" s="118"/>
      <c r="J103" s="175">
        <f>H103/DAY(B2)</f>
        <v>-2.9039388040396567E-2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1661.0499999999884</v>
      </c>
      <c r="H104" s="99">
        <f>G104+'20'!H104</f>
        <v>-14587.620000000003</v>
      </c>
      <c r="I104" s="118"/>
      <c r="J104" s="175">
        <f>H104/DAY(B2)</f>
        <v>-694.64857142857159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6.0401818181817758E-2</v>
      </c>
      <c r="H105" s="99">
        <f>G105+'20'!H105</f>
        <v>-0.50966709799023602</v>
      </c>
      <c r="I105" s="187"/>
      <c r="J105" s="188">
        <f>H105/DAY(B2)</f>
        <v>-2.4269861809058858E-2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'20'!F112</f>
        <v>4197</v>
      </c>
      <c r="F112" s="237">
        <v>4271.32</v>
      </c>
      <c r="G112" s="112">
        <f t="shared" ref="G112:G123" si="9">F112-E112</f>
        <v>74.319999999999709</v>
      </c>
      <c r="H112" s="99">
        <f>G112+'20'!H112</f>
        <v>-658.42000000000007</v>
      </c>
      <c r="I112" s="165"/>
      <c r="J112" s="328">
        <f>H112/DAY(B2)</f>
        <v>-31.353333333333335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'20'!F113</f>
        <v>9207</v>
      </c>
      <c r="F113" s="468">
        <v>9348.15</v>
      </c>
      <c r="G113" s="112">
        <f t="shared" si="9"/>
        <v>141.14999999999964</v>
      </c>
      <c r="H113" s="99">
        <f>G113+'20'!H113</f>
        <v>-1284.5699999999997</v>
      </c>
      <c r="I113" s="165"/>
      <c r="J113" s="328">
        <f>H113/DAY(B2)</f>
        <v>-61.169999999999987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'20'!F114</f>
        <v>11956</v>
      </c>
      <c r="F114" s="237">
        <v>12181.13</v>
      </c>
      <c r="G114" s="112">
        <f t="shared" si="9"/>
        <v>225.1299999999992</v>
      </c>
      <c r="H114" s="99">
        <f>G114+'20'!H114</f>
        <v>-2012.67</v>
      </c>
      <c r="I114" s="165"/>
      <c r="J114" s="328">
        <f>H114/DAY(B2)</f>
        <v>-95.84142857142858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'20'!F115</f>
        <v>7600</v>
      </c>
      <c r="F115" s="237">
        <v>7753.23</v>
      </c>
      <c r="G115" s="112">
        <f t="shared" si="9"/>
        <v>153.22999999999956</v>
      </c>
      <c r="H115" s="99">
        <f>G115+'20'!H115</f>
        <v>-1267.5500000000011</v>
      </c>
      <c r="I115" s="165"/>
      <c r="J115" s="328">
        <f>H115/DAY(B2)</f>
        <v>-60.359523809523864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'20'!F116</f>
        <v>54876</v>
      </c>
      <c r="F116" s="237">
        <v>55295.19</v>
      </c>
      <c r="G116" s="112">
        <f t="shared" si="9"/>
        <v>419.19000000000233</v>
      </c>
      <c r="H116" s="99">
        <f>G116+'20'!H116</f>
        <v>-3595.3600000000006</v>
      </c>
      <c r="I116" s="165"/>
      <c r="J116" s="328">
        <f>H116/DAY(B2)</f>
        <v>-171.20761904761906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'20'!F117</f>
        <v>29972</v>
      </c>
      <c r="F117" s="237">
        <v>30311.56</v>
      </c>
      <c r="G117" s="112">
        <f t="shared" si="9"/>
        <v>339.56000000000131</v>
      </c>
      <c r="H117" s="99">
        <f>G117+'20'!H117</f>
        <v>-2576.9200000000019</v>
      </c>
      <c r="I117" s="165"/>
      <c r="J117" s="328">
        <f>H117/DAY(B2)</f>
        <v>-122.71047619047629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'20'!F118</f>
        <v>38388</v>
      </c>
      <c r="F118" s="237">
        <v>39056.65</v>
      </c>
      <c r="G118" s="112">
        <f t="shared" si="9"/>
        <v>668.65000000000146</v>
      </c>
      <c r="H118" s="99">
        <f>G118+'20'!H118</f>
        <v>-5863.6599999999962</v>
      </c>
      <c r="I118" s="165"/>
      <c r="J118" s="328">
        <f>H118/DAY(B2)</f>
        <v>-279.22190476190457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'20'!F119</f>
        <v>27674</v>
      </c>
      <c r="F119" s="237">
        <v>28066.15</v>
      </c>
      <c r="G119" s="112">
        <f t="shared" si="9"/>
        <v>392.15000000000146</v>
      </c>
      <c r="H119" s="99">
        <f>G119+'20'!H119</f>
        <v>-2276.4499999999971</v>
      </c>
      <c r="I119" s="165"/>
      <c r="J119" s="328">
        <f>H119/DAY(B2)</f>
        <v>-108.40238095238081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'20'!F120</f>
        <v>28769</v>
      </c>
      <c r="F120" s="468">
        <v>29195.56</v>
      </c>
      <c r="G120" s="112">
        <f t="shared" si="9"/>
        <v>426.56000000000131</v>
      </c>
      <c r="H120" s="99">
        <f>G120+'20'!H120</f>
        <v>-3909.9999999999964</v>
      </c>
      <c r="I120" s="165"/>
      <c r="J120" s="328">
        <f>H120/DAY(B2)</f>
        <v>-186.19047619047601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'20'!F121</f>
        <v>35116</v>
      </c>
      <c r="F121" s="237">
        <v>35577.21</v>
      </c>
      <c r="G121" s="112">
        <f t="shared" si="9"/>
        <v>461.20999999999913</v>
      </c>
      <c r="H121" s="99">
        <f>G121+'20'!H121</f>
        <v>-4010.6900000000023</v>
      </c>
      <c r="I121" s="165"/>
      <c r="J121" s="328">
        <f>H121/DAY(B2)</f>
        <v>-190.9852380952382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'20'!F122</f>
        <v>17234</v>
      </c>
      <c r="F122" s="237">
        <v>17470.02</v>
      </c>
      <c r="G122" s="112">
        <f t="shared" si="9"/>
        <v>236.02000000000044</v>
      </c>
      <c r="H122" s="99">
        <f>G122+'20'!H122</f>
        <v>-2495.8600000000006</v>
      </c>
      <c r="I122" s="165"/>
      <c r="J122" s="328">
        <f>H122/DAY(B2)</f>
        <v>-118.85047619047621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'20'!F123</f>
        <v>17217</v>
      </c>
      <c r="F123" s="237">
        <v>17532.310000000001</v>
      </c>
      <c r="G123" s="112">
        <f t="shared" si="9"/>
        <v>315.31000000000131</v>
      </c>
      <c r="H123" s="99">
        <f>G123+'20'!H123</f>
        <v>-2809.6899999999987</v>
      </c>
      <c r="I123" s="165"/>
      <c r="J123" s="328">
        <f>H123/DAY(B2)</f>
        <v>-133.79476190476186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3852.4800000000068</v>
      </c>
      <c r="H125" s="156"/>
      <c r="I125" s="327">
        <f>G125-(G39+G53)</f>
        <v>728.57000000003245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'20'!F128</f>
        <v>106283</v>
      </c>
      <c r="F128" s="165">
        <v>106866.64</v>
      </c>
      <c r="G128" s="112">
        <f t="shared" ref="G128:G134" si="10">F128-E128</f>
        <v>583.63999999999942</v>
      </c>
      <c r="H128" s="99">
        <f>G128+'20'!H128</f>
        <v>-5009.2200000000012</v>
      </c>
      <c r="I128" s="165"/>
      <c r="J128" s="328">
        <f>H128/DAY(B2)</f>
        <v>-238.53428571428577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64918</v>
      </c>
      <c r="F129" s="165">
        <v>65103.33</v>
      </c>
      <c r="G129" s="112">
        <f t="shared" si="10"/>
        <v>185.33000000000175</v>
      </c>
      <c r="H129" s="99">
        <f>G129+'20'!H129</f>
        <v>-1598.4499999999971</v>
      </c>
      <c r="I129" s="165"/>
      <c r="J129" s="328">
        <f>H129/DAY(B2)</f>
        <v>-76.116666666666532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134094</v>
      </c>
      <c r="F130" s="465">
        <v>134866.97</v>
      </c>
      <c r="G130" s="112">
        <f t="shared" si="10"/>
        <v>772.97000000000116</v>
      </c>
      <c r="H130" s="99">
        <f>G130+'20'!H130</f>
        <v>-7430.9499999999825</v>
      </c>
      <c r="I130" s="165"/>
      <c r="J130" s="328">
        <f>H130/DAY(B2)</f>
        <v>-353.85476190476106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'20'!F131</f>
        <v>40412</v>
      </c>
      <c r="F131" s="165">
        <v>40614.97</v>
      </c>
      <c r="G131" s="112">
        <f t="shared" si="10"/>
        <v>202.97000000000116</v>
      </c>
      <c r="H131" s="99">
        <f>G131+'20'!H131</f>
        <v>-2003.2299999999959</v>
      </c>
      <c r="I131" s="165"/>
      <c r="J131" s="328">
        <f>H131/DAY(B2)</f>
        <v>-95.39190476190457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'20'!F132</f>
        <v>111643</v>
      </c>
      <c r="F132" s="165">
        <v>112121.35</v>
      </c>
      <c r="G132" s="112">
        <f t="shared" si="10"/>
        <v>478.35000000000582</v>
      </c>
      <c r="H132" s="99">
        <f>G132+'20'!H132</f>
        <v>-4169.6499999999942</v>
      </c>
      <c r="I132" s="165"/>
      <c r="J132" s="328">
        <f>H132/DAY(B2)</f>
        <v>-198.55476190476162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'20'!F133</f>
        <v>217005</v>
      </c>
      <c r="F133" s="165">
        <v>217628.91</v>
      </c>
      <c r="G133" s="112">
        <f t="shared" si="10"/>
        <v>623.91000000000349</v>
      </c>
      <c r="H133" s="99">
        <f>G133+'20'!H133</f>
        <v>1818.3399999999965</v>
      </c>
      <c r="I133" s="165"/>
      <c r="J133" s="328">
        <f>H133/DAY(B2)</f>
        <v>86.587619047618887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'20'!F134</f>
        <v>39684</v>
      </c>
      <c r="F134" s="165">
        <v>39900.949999999997</v>
      </c>
      <c r="G134" s="112">
        <f t="shared" si="10"/>
        <v>216.94999999999709</v>
      </c>
      <c r="H134" s="99">
        <f>G134+'20'!H134</f>
        <v>-1844.0500000000029</v>
      </c>
      <c r="I134" s="165"/>
      <c r="J134" s="328">
        <f>H134/DAY(B2)</f>
        <v>-87.811904761904898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3064.1200000000099</v>
      </c>
      <c r="H135" s="99">
        <f>G135+'10'!H135</f>
        <v>30628.820000000007</v>
      </c>
      <c r="I135" s="327">
        <f>G135-(G35+G49)</f>
        <v>-567.94999999999709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'20'!F138</f>
        <v>886016</v>
      </c>
      <c r="F138" s="147">
        <v>886154</v>
      </c>
      <c r="G138" s="112">
        <f t="shared" ref="G138:G152" si="11">F138-E138</f>
        <v>138</v>
      </c>
      <c r="H138" s="99">
        <f>G138+'20'!H138</f>
        <v>-1070</v>
      </c>
      <c r="I138" s="118"/>
      <c r="J138" s="328">
        <f>H138/DAY(B2)</f>
        <v>-50.952380952380949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'20'!F139</f>
        <v>902506</v>
      </c>
      <c r="F139" s="148">
        <v>902676</v>
      </c>
      <c r="G139" s="112">
        <f t="shared" si="11"/>
        <v>170</v>
      </c>
      <c r="H139" s="99">
        <f>G139+'20'!H139</f>
        <v>-1414</v>
      </c>
      <c r="I139" s="118"/>
      <c r="J139" s="328">
        <f>H139/DAY(B2)</f>
        <v>-67.333333333333329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'20'!F140</f>
        <v>903</v>
      </c>
      <c r="F140" s="149">
        <v>921.09</v>
      </c>
      <c r="G140" s="112">
        <f t="shared" si="11"/>
        <v>18.090000000000032</v>
      </c>
      <c r="H140" s="99">
        <f>G140+'20'!H140</f>
        <v>-88084.560000000012</v>
      </c>
      <c r="I140" s="118"/>
      <c r="J140" s="328">
        <f>H140/DAY(B2)</f>
        <v>-4194.5028571428575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'20'!F141</f>
        <v>82073</v>
      </c>
      <c r="F141" s="149">
        <v>82294.75</v>
      </c>
      <c r="G141" s="112">
        <f t="shared" si="11"/>
        <v>221.75</v>
      </c>
      <c r="H141" s="99">
        <f>G141+'20'!H141</f>
        <v>-1820.4499999999971</v>
      </c>
      <c r="I141" s="118"/>
      <c r="J141" s="328">
        <f>H141/DAY(B2)</f>
        <v>-86.688095238095102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'20'!F142</f>
        <v>33510</v>
      </c>
      <c r="F142" s="148">
        <v>33647.79</v>
      </c>
      <c r="G142" s="112">
        <f t="shared" si="11"/>
        <v>137.79000000000087</v>
      </c>
      <c r="H142" s="99">
        <f>G142+'20'!H142</f>
        <v>-737.68000000000029</v>
      </c>
      <c r="I142" s="140"/>
      <c r="J142" s="328">
        <f>H142/DAY(B2)</f>
        <v>-35.127619047619064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'20'!F143</f>
        <v>7874</v>
      </c>
      <c r="F143" s="149">
        <v>7906.19</v>
      </c>
      <c r="G143" s="112">
        <f t="shared" si="11"/>
        <v>32.1899999999996</v>
      </c>
      <c r="H143" s="99">
        <f>G143+'20'!H143</f>
        <v>-252.13000000000011</v>
      </c>
      <c r="I143" s="140"/>
      <c r="J143" s="328">
        <f>H143/DAY(B2)</f>
        <v>-12.006190476190481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'20'!F144</f>
        <v>909887</v>
      </c>
      <c r="F144" s="147">
        <v>910142</v>
      </c>
      <c r="G144" s="112">
        <f t="shared" si="11"/>
        <v>255</v>
      </c>
      <c r="H144" s="99">
        <f>G144+'20'!H144</f>
        <v>-2135</v>
      </c>
      <c r="I144" s="140"/>
      <c r="J144" s="328">
        <f>H144/DAY(B2)</f>
        <v>-101.66666666666667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'20'!F145</f>
        <v>5665</v>
      </c>
      <c r="F145" s="147">
        <v>5665</v>
      </c>
      <c r="G145" s="112">
        <f t="shared" si="11"/>
        <v>0</v>
      </c>
      <c r="H145" s="99">
        <f>G145+'20'!H145</f>
        <v>-1.5600000000004002</v>
      </c>
      <c r="I145" s="140"/>
      <c r="J145" s="328">
        <f>H145/DAY(B2)</f>
        <v>-7.4285714285733342E-2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'20'!F146</f>
        <v>778852</v>
      </c>
      <c r="F146" s="148">
        <v>778897</v>
      </c>
      <c r="G146" s="112">
        <f t="shared" si="11"/>
        <v>45</v>
      </c>
      <c r="H146" s="99">
        <f>G146+'20'!H146</f>
        <v>-431</v>
      </c>
      <c r="I146" s="140"/>
      <c r="J146" s="328">
        <f>H146/DAY(B2)</f>
        <v>-20.523809523809526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'20'!F147</f>
        <v>683679</v>
      </c>
      <c r="F147" s="148">
        <v>684059.44</v>
      </c>
      <c r="G147" s="112">
        <f t="shared" si="11"/>
        <v>380.43999999994412</v>
      </c>
      <c r="H147" s="99">
        <f>G147+'20'!H147</f>
        <v>-3466.7200000000885</v>
      </c>
      <c r="I147" s="140"/>
      <c r="J147" s="328">
        <f>H147/DAY(B2)</f>
        <v>-165.08190476190899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'20'!F148</f>
        <v>735964</v>
      </c>
      <c r="F148" s="150">
        <v>736256.08</v>
      </c>
      <c r="G148" s="112">
        <f t="shared" si="11"/>
        <v>292.07999999995809</v>
      </c>
      <c r="H148" s="99">
        <f>G148+'20'!H148</f>
        <v>-2691.2000000000698</v>
      </c>
      <c r="I148" s="124"/>
      <c r="J148" s="328">
        <f>H148/DAY(B2)</f>
        <v>-128.15238095238428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'20'!F149</f>
        <v>111852</v>
      </c>
      <c r="F149" s="146">
        <v>112337.11</v>
      </c>
      <c r="G149" s="112">
        <f t="shared" si="11"/>
        <v>485.11000000000058</v>
      </c>
      <c r="H149" s="99">
        <f>G149+'20'!H149</f>
        <v>-4195.6900000000023</v>
      </c>
      <c r="I149" s="119"/>
      <c r="J149" s="328">
        <f>H149/DAY(B2)</f>
        <v>-199.79476190476203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'20'!F150</f>
        <v>41565</v>
      </c>
      <c r="F150" s="233">
        <v>41786.120000000003</v>
      </c>
      <c r="G150" s="112">
        <f t="shared" si="11"/>
        <v>221.12000000000262</v>
      </c>
      <c r="H150" s="99">
        <f>G150+'20'!H150</f>
        <v>-1939.0400000000009</v>
      </c>
      <c r="I150" s="119"/>
      <c r="J150" s="328">
        <f>H150/DAY(B2)</f>
        <v>-92.33523809523814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'20'!F151</f>
        <v>123883</v>
      </c>
      <c r="F151" s="152">
        <v>124166</v>
      </c>
      <c r="G151" s="112">
        <f t="shared" si="11"/>
        <v>283</v>
      </c>
      <c r="H151" s="99">
        <f>G151+'20'!H151</f>
        <v>-2437</v>
      </c>
      <c r="I151" s="119"/>
      <c r="J151" s="328">
        <f>H151/DAY(B2)</f>
        <v>-116.04761904761905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'20'!F152</f>
        <v>18008</v>
      </c>
      <c r="F152" s="233">
        <v>18141.07</v>
      </c>
      <c r="G152" s="112">
        <f t="shared" si="11"/>
        <v>133.06999999999971</v>
      </c>
      <c r="H152" s="99">
        <f>G152+'20'!H152</f>
        <v>-1147.010000000002</v>
      </c>
      <c r="I152" s="119"/>
      <c r="J152" s="328">
        <f>H152/DAY(B2)</f>
        <v>-54.619523809523905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2812.6399999999057</v>
      </c>
      <c r="H153" s="363"/>
      <c r="I153" s="119">
        <f>G153-(G38+G52)</f>
        <v>429.48999999988246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'20'!F155</f>
        <v>124370</v>
      </c>
      <c r="F155" s="374">
        <v>124977.22</v>
      </c>
      <c r="G155" s="112">
        <f t="shared" ref="G155:G158" si="12">F155-E155</f>
        <v>607.22000000000116</v>
      </c>
      <c r="H155" s="99">
        <f>G155+'20'!H155</f>
        <v>-5264.1600000000035</v>
      </c>
      <c r="I155" s="364"/>
      <c r="J155" s="328">
        <f>H155/DAY(B2)</f>
        <v>-250.67428571428587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'20'!F156</f>
        <v>11232</v>
      </c>
      <c r="F156" s="155">
        <v>11321.37</v>
      </c>
      <c r="G156" s="112">
        <f t="shared" si="12"/>
        <v>89.3700000000008</v>
      </c>
      <c r="H156" s="99">
        <f>G156+'20'!H156</f>
        <v>-771.98999999999978</v>
      </c>
      <c r="I156" s="165"/>
      <c r="J156" s="328">
        <f>H156/DAY(B2)</f>
        <v>-36.76142857142856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'20'!F157</f>
        <v>21544</v>
      </c>
      <c r="F157" s="155">
        <v>21705.88</v>
      </c>
      <c r="G157" s="112">
        <f t="shared" si="12"/>
        <v>161.88000000000102</v>
      </c>
      <c r="H157" s="99">
        <f>G157+'20'!H157</f>
        <v>314.88000000000102</v>
      </c>
      <c r="I157" s="165"/>
      <c r="J157" s="328">
        <f>H157/DAY(B2)</f>
        <v>14.994285714285763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'20'!F158</f>
        <v>190</v>
      </c>
      <c r="F158" s="155">
        <v>190.23</v>
      </c>
      <c r="G158" s="112">
        <f t="shared" si="12"/>
        <v>0.22999999999998977</v>
      </c>
      <c r="H158" s="99">
        <f>G158+'20'!H158</f>
        <v>0.22999999999998977</v>
      </c>
      <c r="I158" s="165"/>
      <c r="J158" s="328">
        <f>H158/DAY(B2)</f>
        <v>1.0952380952380466E-2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476923</v>
      </c>
      <c r="F161" s="235">
        <v>477148.24</v>
      </c>
      <c r="G161" s="238">
        <f t="shared" ref="G161:G165" si="13">F161-E161</f>
        <v>225.23999999999069</v>
      </c>
      <c r="H161" s="99">
        <f>G161+'20'!H161</f>
        <v>482.23999999999069</v>
      </c>
      <c r="I161" s="236"/>
      <c r="J161" s="239">
        <f>H161/DAY(B2)</f>
        <v>22.963809523809079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93415</v>
      </c>
      <c r="F162" s="235">
        <v>93455.2</v>
      </c>
      <c r="G162" s="238">
        <f t="shared" si="13"/>
        <v>40.19999999999709</v>
      </c>
      <c r="H162" s="99">
        <f>G162+'20'!H162</f>
        <v>-350.10000000000582</v>
      </c>
      <c r="I162" s="236"/>
      <c r="J162" s="239">
        <f>H162/DAY(B2)</f>
        <v>-16.671428571428848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391</v>
      </c>
      <c r="F163" s="502">
        <v>552.6</v>
      </c>
      <c r="G163" s="238">
        <f t="shared" si="13"/>
        <v>161.60000000000002</v>
      </c>
      <c r="H163" s="99">
        <f>G163+'20'!H163</f>
        <v>98521.500000000015</v>
      </c>
      <c r="I163" s="236"/>
      <c r="J163" s="239">
        <f>H163/DAY(B2)</f>
        <v>4691.5000000000009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5770</v>
      </c>
      <c r="F164" s="502">
        <v>5786.5</v>
      </c>
      <c r="G164" s="238">
        <f t="shared" si="13"/>
        <v>16.5</v>
      </c>
      <c r="H164" s="99">
        <f>G164+'20'!H164</f>
        <v>-111.89999999999964</v>
      </c>
      <c r="I164" s="236"/>
      <c r="J164" s="239">
        <f>H164/DAY(B2)</f>
        <v>-5.3285714285714114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31235</v>
      </c>
      <c r="F165" s="235">
        <v>31247.39</v>
      </c>
      <c r="G165" s="238">
        <f t="shared" si="13"/>
        <v>12.389999999999418</v>
      </c>
      <c r="H165" s="99">
        <f>G165+'20'!H165</f>
        <v>-99.260000000002037</v>
      </c>
      <c r="I165" s="236"/>
      <c r="J165" s="239">
        <f>H165/DAY(B2)</f>
        <v>-4.7266666666667634</v>
      </c>
    </row>
    <row r="166" spans="1:10" ht="26.25">
      <c r="A166" s="935"/>
      <c r="B166" s="935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'20'!F173</f>
        <v>8276</v>
      </c>
      <c r="F173" s="155">
        <v>8276</v>
      </c>
      <c r="G173" s="155">
        <f>F173-E173</f>
        <v>0</v>
      </c>
      <c r="H173" s="99">
        <f>G173+'20'!H173</f>
        <v>47</v>
      </c>
      <c r="I173" s="155"/>
      <c r="J173" s="178">
        <f>H173/DAY(B2)</f>
        <v>2.2380952380952381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'20'!F174</f>
        <v>40628</v>
      </c>
      <c r="F174" s="157">
        <v>40645</v>
      </c>
      <c r="G174" s="155">
        <f t="shared" ref="G174:G175" si="14">F174-E174</f>
        <v>17</v>
      </c>
      <c r="H174" s="99">
        <f>G174+'20'!H174</f>
        <v>-134</v>
      </c>
      <c r="I174" s="155"/>
      <c r="J174" s="178">
        <f>H174/DAY(B2)</f>
        <v>-6.3809523809523814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'20'!F175</f>
        <v>23537</v>
      </c>
      <c r="F175" s="155">
        <v>23550</v>
      </c>
      <c r="G175" s="155">
        <f t="shared" si="14"/>
        <v>13</v>
      </c>
      <c r="H175" s="99">
        <f>G175+'20'!H175</f>
        <v>-106</v>
      </c>
      <c r="I175" s="155"/>
      <c r="J175" s="178">
        <f>H175/DAY(B2)</f>
        <v>-5.0476190476190474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G176+'20'!H176</f>
        <v>-193</v>
      </c>
      <c r="I176" s="155"/>
      <c r="J176" s="178">
        <f>H176/DAY(B2)</f>
        <v>-9.1904761904761898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'20'!F178</f>
        <v>93943</v>
      </c>
      <c r="F178" s="155">
        <v>94059</v>
      </c>
      <c r="G178" s="155">
        <f>F178-E178</f>
        <v>116</v>
      </c>
      <c r="H178" s="99">
        <f>G178+'20'!H178</f>
        <v>1973</v>
      </c>
      <c r="I178" s="155"/>
      <c r="J178" s="178">
        <f>H178/DAY(B2)</f>
        <v>93.952380952380949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'20'!F179</f>
        <v>36002</v>
      </c>
      <c r="F179" s="155">
        <v>36002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'20'!F180</f>
        <v>6818</v>
      </c>
      <c r="F180" s="155">
        <v>6818</v>
      </c>
      <c r="G180" s="155">
        <f t="shared" si="15"/>
        <v>0</v>
      </c>
      <c r="H180" s="99">
        <f>G180+'20'!H180</f>
        <v>-64</v>
      </c>
      <c r="I180" s="155"/>
      <c r="J180" s="178">
        <f>H180/DAY(B2)</f>
        <v>-3.0476190476190474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116</v>
      </c>
      <c r="H181" s="99">
        <f>G181+'20'!H181</f>
        <v>1909</v>
      </c>
      <c r="I181" s="155"/>
      <c r="J181" s="178">
        <f>H181/DAY(B2)</f>
        <v>90.904761904761898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'20'!F183</f>
        <v>17215</v>
      </c>
      <c r="F183" s="157">
        <v>17219</v>
      </c>
      <c r="G183" s="157">
        <f>F183-E183</f>
        <v>4</v>
      </c>
      <c r="H183" s="99">
        <f>G183+'20'!H183</f>
        <v>-56</v>
      </c>
      <c r="I183" s="155"/>
      <c r="J183" s="178">
        <f>H183/DAY(B2)</f>
        <v>-2.6666666666666665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'20'!F184</f>
        <v>11630</v>
      </c>
      <c r="F184" s="157">
        <v>11635</v>
      </c>
      <c r="G184" s="157">
        <f t="shared" ref="G184:G185" si="16">F184-E184</f>
        <v>5</v>
      </c>
      <c r="H184" s="99">
        <f>G184+'20'!H184</f>
        <v>-54</v>
      </c>
      <c r="I184" s="155"/>
      <c r="J184" s="178">
        <f>H184/DAY(B2)</f>
        <v>-2.5714285714285716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9</v>
      </c>
      <c r="H186" s="99">
        <f>G186+'20'!H186</f>
        <v>-110</v>
      </c>
      <c r="I186" s="157"/>
      <c r="J186" s="178">
        <f>H186/DAY(B2)</f>
        <v>-5.2380952380952381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156</v>
      </c>
      <c r="H187" s="99">
        <f>G187+'20'!H187</f>
        <v>-489</v>
      </c>
      <c r="I187" s="158"/>
      <c r="J187" s="179">
        <f>H187/DAY(B2)</f>
        <v>-23.285714285714285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125</v>
      </c>
      <c r="H188" s="99">
        <f>G188+'20'!H188</f>
        <v>1058</v>
      </c>
      <c r="I188" s="158"/>
      <c r="J188" s="179">
        <f>H188/DAY(B2)</f>
        <v>50.38095238095238</v>
      </c>
    </row>
    <row r="189" spans="1:10" ht="21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116</v>
      </c>
      <c r="H189" s="99">
        <f>G189+'20'!H189</f>
        <v>341</v>
      </c>
      <c r="I189" s="158"/>
      <c r="J189" s="179">
        <f>H189/DAY(B2)</f>
        <v>16.238095238095237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9" zoomScale="60" zoomScaleNormal="71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44734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1091532.47</v>
      </c>
      <c r="F7" s="95">
        <f>E7+27500</f>
        <v>1119032.47</v>
      </c>
      <c r="G7" s="112">
        <f>F7-E7</f>
        <v>27500</v>
      </c>
      <c r="H7" s="99">
        <f>G7+'21'!H7</f>
        <v>596067.97</v>
      </c>
      <c r="I7" s="113">
        <f>'1'!I7</f>
        <v>12000</v>
      </c>
      <c r="J7" s="175">
        <f>H7/DAY(B2)</f>
        <v>27093.998636363634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1232254.6499999999</v>
      </c>
      <c r="F8" s="95">
        <f>E8+27000</f>
        <v>1259254.6499999999</v>
      </c>
      <c r="G8" s="115">
        <f>F8-E8</f>
        <v>27000</v>
      </c>
      <c r="H8" s="99">
        <f>G8+'21'!H8</f>
        <v>597465.64999999991</v>
      </c>
      <c r="I8" s="116"/>
      <c r="J8" s="175">
        <f>H8/DAY(B2)</f>
        <v>27157.529545454541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2796075.3</v>
      </c>
      <c r="F9" s="469">
        <v>2811127.9</v>
      </c>
      <c r="G9" s="112">
        <f>F9-E9</f>
        <v>15052.600000000093</v>
      </c>
      <c r="H9" s="99">
        <f>G9+'21'!H9</f>
        <v>-106521.20000000019</v>
      </c>
      <c r="I9" s="124">
        <f>I7-J7</f>
        <v>-15093.998636363634</v>
      </c>
      <c r="J9" s="175">
        <f>H9/DAY(B2)</f>
        <v>-4841.8727272727356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1120396.6000000001</v>
      </c>
      <c r="F10" s="353">
        <v>1132277.1000000001</v>
      </c>
      <c r="G10" s="112">
        <f t="shared" ref="G10:G12" si="0">F10-E10</f>
        <v>11880.5</v>
      </c>
      <c r="H10" s="99">
        <f>G10+'21'!H10</f>
        <v>-103409.5299999998</v>
      </c>
      <c r="I10" s="282"/>
      <c r="J10" s="175">
        <f>H10/DAY(B2)</f>
        <v>-4700.4331818181727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26933.100000000093</v>
      </c>
      <c r="H13" s="99">
        <f>G13+'21'!H13</f>
        <v>-208201.79999999981</v>
      </c>
      <c r="I13" s="120">
        <f>G7-G13</f>
        <v>566.89999999990687</v>
      </c>
      <c r="J13" s="175">
        <f>H13/DAY(B2)</f>
        <v>-9463.7181818181725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2089461.24</v>
      </c>
      <c r="F15" s="469">
        <f>E15+1000</f>
        <v>2090461.24</v>
      </c>
      <c r="G15" s="112">
        <f>(F15-E15)</f>
        <v>1000</v>
      </c>
      <c r="H15" s="99">
        <f>G15+'21'!H15</f>
        <v>22382.830000000075</v>
      </c>
      <c r="I15" s="113">
        <f>'1'!I15</f>
        <v>800</v>
      </c>
      <c r="J15" s="175">
        <f>H15/DAY(B2)</f>
        <v>1017.401363636367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-217.40136363636702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'21'!F18</f>
        <v>21</v>
      </c>
      <c r="F18" s="122">
        <v>19</v>
      </c>
      <c r="G18" s="119">
        <f>F18*10</f>
        <v>190</v>
      </c>
      <c r="H18" s="99">
        <f>G18+'21'!H18</f>
        <v>4130</v>
      </c>
      <c r="I18" s="113">
        <f>'1'!I18</f>
        <v>65</v>
      </c>
      <c r="J18" s="175">
        <f>H18/DAY(B2)</f>
        <v>187.72727272727272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'21'!F19</f>
        <v>161198</v>
      </c>
      <c r="F19" s="122">
        <v>161251</v>
      </c>
      <c r="G19" s="112">
        <f t="shared" ref="G19" si="1">F19-E19</f>
        <v>53</v>
      </c>
      <c r="H19" s="99">
        <f>G19+'21'!H19</f>
        <v>428</v>
      </c>
      <c r="I19" s="335"/>
      <c r="J19" s="175">
        <f>H19/DAY(B2)</f>
        <v>19.454545454545453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G20+'21'!H20</f>
        <v>4558</v>
      </c>
      <c r="I20" s="336">
        <f>I18-J20</f>
        <v>-142.18181818181819</v>
      </c>
      <c r="J20" s="175">
        <f>H20/DAY(B2)</f>
        <v>207.18181818181819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G27+'21'!H27</f>
        <v>5377190.8499999996</v>
      </c>
      <c r="I27" s="138"/>
      <c r="J27" s="175">
        <f>H27/DAY(B2)</f>
        <v>244417.7659090909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G28+'21'!H28</f>
        <v>1566798.1000000052</v>
      </c>
      <c r="I28" s="140"/>
      <c r="J28" s="175">
        <f>H28/DAY(B2)</f>
        <v>71218.095454545692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G30+'21'!H30</f>
        <v>64628</v>
      </c>
      <c r="I30" s="140"/>
      <c r="J30" s="175">
        <f>H30/DAY(B2)</f>
        <v>2937.6363636363635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G31+'21'!H31</f>
        <v>330400</v>
      </c>
      <c r="I31" s="140"/>
      <c r="J31" s="175">
        <f>H31/DAY(B2)</f>
        <v>15018.181818181818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336203</v>
      </c>
      <c r="H32" s="99">
        <f>G32+'21'!H32</f>
        <v>7339016.9500000048</v>
      </c>
      <c r="I32" s="144"/>
      <c r="J32" s="175">
        <f>H32/DAY(B2)</f>
        <v>333591.67954545474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238714</v>
      </c>
      <c r="F35" s="418">
        <v>238714</v>
      </c>
      <c r="G35" s="112">
        <f t="shared" ref="G35:G46" si="3">F35-E35</f>
        <v>0</v>
      </c>
      <c r="H35" s="99">
        <f>G35+'21'!H35</f>
        <v>0.95000000001164153</v>
      </c>
      <c r="I35" s="95"/>
      <c r="J35" s="175">
        <f>H35/DAY(B2)</f>
        <v>4.3181818182347342E-2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179427.33</v>
      </c>
      <c r="F36" s="145">
        <v>180147.25</v>
      </c>
      <c r="G36" s="112">
        <f t="shared" si="3"/>
        <v>719.92000000001281</v>
      </c>
      <c r="H36" s="99">
        <f>G36+'21'!H36</f>
        <v>-6772.9800000000105</v>
      </c>
      <c r="I36" s="95"/>
      <c r="J36" s="175">
        <f>H36/DAY(B2)</f>
        <v>-307.86272727272774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272131.05</v>
      </c>
      <c r="F37" s="418">
        <v>273789.78999999998</v>
      </c>
      <c r="G37" s="112">
        <f t="shared" si="3"/>
        <v>1658.7399999999907</v>
      </c>
      <c r="H37" s="99">
        <f>G37+'21'!H37</f>
        <v>-12929.200000000012</v>
      </c>
      <c r="I37" s="95"/>
      <c r="J37" s="175">
        <f>H37/DAY(B2)</f>
        <v>-587.6909090909096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366939.15</v>
      </c>
      <c r="F38" s="108">
        <v>369225.55</v>
      </c>
      <c r="G38" s="112">
        <f t="shared" si="3"/>
        <v>2286.3999999999651</v>
      </c>
      <c r="H38" s="99">
        <f>G38+'21'!H38</f>
        <v>-17437.799999999988</v>
      </c>
      <c r="I38" s="95"/>
      <c r="J38" s="175">
        <f>H38/DAY(B2)</f>
        <v>-792.62727272727216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496597.91</v>
      </c>
      <c r="F39" s="418">
        <v>499638.15</v>
      </c>
      <c r="G39" s="112">
        <f t="shared" si="3"/>
        <v>3040.2400000000489</v>
      </c>
      <c r="H39" s="99">
        <f>G39+'21'!H39</f>
        <v>-23742.440000000002</v>
      </c>
      <c r="I39" s="95"/>
      <c r="J39" s="175">
        <f>H39/DAY(B2)</f>
        <v>-1079.2018181818182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80362.59</v>
      </c>
      <c r="F40" s="145">
        <v>80690.009999999995</v>
      </c>
      <c r="G40" s="112">
        <f t="shared" si="3"/>
        <v>327.41999999999825</v>
      </c>
      <c r="H40" s="99">
        <f>G40+'21'!H40</f>
        <v>-2981.0800000000017</v>
      </c>
      <c r="I40" s="95"/>
      <c r="J40" s="175">
        <f>H40/DAY(B2)</f>
        <v>-135.50363636363645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136730.97</v>
      </c>
      <c r="F41" s="145">
        <v>142727.24</v>
      </c>
      <c r="G41" s="112">
        <f t="shared" si="3"/>
        <v>5996.2699999999895</v>
      </c>
      <c r="H41" s="99">
        <f>G41+'21'!H41</f>
        <v>-91.160000000003492</v>
      </c>
      <c r="I41" s="95"/>
      <c r="J41" s="175">
        <f>H41/DAY(B2)</f>
        <v>-4.1436363636365225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653540.03</v>
      </c>
      <c r="F42" s="145">
        <v>653540.03</v>
      </c>
      <c r="G42" s="112">
        <f t="shared" si="3"/>
        <v>0</v>
      </c>
      <c r="H42" s="99">
        <f>G42+'21'!H42</f>
        <v>-35092.520000000019</v>
      </c>
      <c r="I42" s="95"/>
      <c r="J42" s="175">
        <f>H42/DAY(B2)</f>
        <v>-1595.1145454545463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407028.03</v>
      </c>
      <c r="G43" s="112">
        <f t="shared" si="3"/>
        <v>3.0000000027939677E-2</v>
      </c>
      <c r="H43" s="99">
        <f>G43+'21'!H43</f>
        <v>3.0000000027939677E-2</v>
      </c>
      <c r="I43" s="95"/>
      <c r="J43" s="175">
        <f>H43/DAY(B2)</f>
        <v>1.3636363649063489E-3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14029.020000000033</v>
      </c>
      <c r="H47" s="99">
        <f>G47+'21'!H47</f>
        <v>-99046.199999999968</v>
      </c>
      <c r="I47" s="95"/>
      <c r="J47" s="175">
        <f>H47/DAY(B2)</f>
        <v>-4502.0999999999985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335497.07</v>
      </c>
      <c r="F49" s="145">
        <v>339027.51</v>
      </c>
      <c r="G49" s="112">
        <f t="shared" ref="G49:G58" si="4">F49-E49</f>
        <v>3530.4400000000023</v>
      </c>
      <c r="H49" s="99">
        <f>G49+'21'!H49</f>
        <v>-31744.239999999991</v>
      </c>
      <c r="I49" s="95"/>
      <c r="J49" s="175">
        <f>H49/DAY(B2)</f>
        <v>-1442.9199999999996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233218.41</v>
      </c>
      <c r="F50" s="145">
        <v>234360.91</v>
      </c>
      <c r="G50" s="112">
        <f t="shared" si="4"/>
        <v>1142.5</v>
      </c>
      <c r="H50" s="99">
        <f>G50+'21'!H50</f>
        <v>-8744.4899999999907</v>
      </c>
      <c r="I50" s="95"/>
      <c r="J50" s="175">
        <f>H50/DAY(B2)</f>
        <v>-397.47681818181775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0.31999999999999318</v>
      </c>
      <c r="I51" s="95"/>
      <c r="J51" s="175">
        <f>H51/DAY(B2)</f>
        <v>1.4545454545454235E-2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73852.429999999993</v>
      </c>
      <c r="F54" s="145">
        <v>74204.649999999994</v>
      </c>
      <c r="G54" s="112">
        <f t="shared" si="4"/>
        <v>352.22000000000116</v>
      </c>
      <c r="H54" s="99">
        <f>G54+'21'!H54</f>
        <v>-2812.8500000000058</v>
      </c>
      <c r="I54" s="95"/>
      <c r="J54" s="175">
        <f>H54/DAY(B2)</f>
        <v>-127.85681818181844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254287.51</v>
      </c>
      <c r="F55" s="418">
        <v>256950.75</v>
      </c>
      <c r="G55" s="112">
        <f t="shared" si="4"/>
        <v>2663.2399999999907</v>
      </c>
      <c r="H55" s="99">
        <f>G55+'21'!H55</f>
        <v>-27132.179999999993</v>
      </c>
      <c r="I55" s="95"/>
      <c r="J55" s="175">
        <f>H55/DAY(B2)</f>
        <v>-1233.2809090909088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111208.75</v>
      </c>
      <c r="F56" s="418">
        <v>111241.95</v>
      </c>
      <c r="G56" s="112">
        <f>F56-E56</f>
        <v>33.19999999999709</v>
      </c>
      <c r="H56" s="99">
        <f>G56+'21'!H56</f>
        <v>-1.180000000007567</v>
      </c>
      <c r="I56" s="95"/>
      <c r="J56" s="175">
        <f>H56/DAY(B2)</f>
        <v>-5.3636363636707589E-2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103719.23</v>
      </c>
      <c r="F57" s="145">
        <v>106769.26</v>
      </c>
      <c r="G57" s="112">
        <f t="shared" si="4"/>
        <v>3050.0299999999988</v>
      </c>
      <c r="H57" s="99">
        <f>G57+'21'!H57</f>
        <v>-25134.440000000017</v>
      </c>
      <c r="I57" s="95"/>
      <c r="J57" s="175">
        <f>H57/DAY(B2)</f>
        <v>-1142.4745454545462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37738.400000000001</v>
      </c>
      <c r="F58" s="145">
        <v>38013.53</v>
      </c>
      <c r="G58" s="112">
        <f t="shared" si="4"/>
        <v>275.12999999999738</v>
      </c>
      <c r="H58" s="99">
        <f>G58+'21'!H58</f>
        <v>-2266.5800000000017</v>
      </c>
      <c r="I58" s="95"/>
      <c r="J58" s="175">
        <f>H58/DAY(B2)</f>
        <v>-103.02636363636371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11046.759999999987</v>
      </c>
      <c r="H59" s="99">
        <f>G59+'21'!H59</f>
        <v>-97835.640000000072</v>
      </c>
      <c r="I59" s="95">
        <f>G7-G60</f>
        <v>2424.2199999999793</v>
      </c>
      <c r="J59" s="175">
        <f>H59/DAY(B2)</f>
        <v>-4447.0745454545486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25075.780000000021</v>
      </c>
      <c r="H60" s="99">
        <f>G60+'21'!H60</f>
        <v>-196881.84000000003</v>
      </c>
      <c r="I60" s="95">
        <f>G13-G60</f>
        <v>1857.3200000000725</v>
      </c>
      <c r="J60" s="175">
        <f>H60/DAY(B2)</f>
        <v>-8949.1745454545471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'21'!F62</f>
        <v>291834</v>
      </c>
      <c r="F62" s="122">
        <v>291929</v>
      </c>
      <c r="G62" s="112">
        <f t="shared" ref="G62:G63" si="5">F62-E62</f>
        <v>95</v>
      </c>
      <c r="H62" s="99">
        <f>G62+'21'!H62</f>
        <v>-769</v>
      </c>
      <c r="I62" s="118"/>
      <c r="J62" s="175">
        <f>H62/DAY(B2)</f>
        <v>-34.954545454545453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'21'!F63</f>
        <v>233954</v>
      </c>
      <c r="F63" s="122">
        <v>234087</v>
      </c>
      <c r="G63" s="112">
        <f t="shared" si="5"/>
        <v>133</v>
      </c>
      <c r="H63" s="99">
        <f>G63+'21'!H63</f>
        <v>-979</v>
      </c>
      <c r="I63" s="118"/>
      <c r="J63" s="175">
        <f>H63/DAY(B2)</f>
        <v>-44.5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'21'!F64</f>
        <v>0</v>
      </c>
      <c r="F64" s="122"/>
      <c r="G64" s="112">
        <f>G62+G63</f>
        <v>228</v>
      </c>
      <c r="H64" s="99">
        <f>G64+'21'!H64</f>
        <v>-1748</v>
      </c>
      <c r="I64" s="118"/>
      <c r="J64" s="175">
        <f>H64/DAY(B2)</f>
        <v>-79.454545454545453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'21'!F65</f>
        <v>450501</v>
      </c>
      <c r="F65" s="122">
        <v>450601</v>
      </c>
      <c r="G65" s="112">
        <f t="shared" ref="G65:G70" si="6">F65-E65</f>
        <v>100</v>
      </c>
      <c r="H65" s="99">
        <f>G65+'21'!H65</f>
        <v>-788</v>
      </c>
      <c r="I65" s="118"/>
      <c r="J65" s="175">
        <f>H65/DAY(B2)</f>
        <v>-35.81818181818182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110860</v>
      </c>
      <c r="F66" s="122">
        <v>110879</v>
      </c>
      <c r="G66" s="112">
        <f t="shared" si="6"/>
        <v>19</v>
      </c>
      <c r="H66" s="99">
        <f>G66+'21'!H66</f>
        <v>-148</v>
      </c>
      <c r="I66" s="118"/>
      <c r="J66" s="175">
        <f>H66/DAY(B2)</f>
        <v>-6.7272727272727275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113681</v>
      </c>
      <c r="F67" s="122">
        <v>113681</v>
      </c>
      <c r="G67" s="112">
        <f t="shared" si="6"/>
        <v>0</v>
      </c>
      <c r="H67" s="99">
        <f>G67+'21'!H67</f>
        <v>1</v>
      </c>
      <c r="I67" s="118"/>
      <c r="J67" s="175">
        <f>H67/DAY(B2)</f>
        <v>4.5454545454545456E-2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163196</v>
      </c>
      <c r="F68" s="122">
        <v>163247</v>
      </c>
      <c r="G68" s="112">
        <f t="shared" si="6"/>
        <v>51</v>
      </c>
      <c r="H68" s="99">
        <f>G68+'21'!H68</f>
        <v>-279</v>
      </c>
      <c r="I68" s="118"/>
      <c r="J68" s="175">
        <f>H68/DAY(B2)</f>
        <v>-12.681818181818182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12085</v>
      </c>
      <c r="F69" s="122">
        <v>12090</v>
      </c>
      <c r="G69" s="112">
        <f t="shared" si="6"/>
        <v>5</v>
      </c>
      <c r="H69" s="99">
        <f>G69+'21'!H69</f>
        <v>-38</v>
      </c>
      <c r="I69" s="118"/>
      <c r="J69" s="175">
        <f>H69/DAY(B2)</f>
        <v>-1.7272727272727273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9448</v>
      </c>
      <c r="F70" s="122">
        <v>9454</v>
      </c>
      <c r="G70" s="112">
        <f t="shared" si="6"/>
        <v>6</v>
      </c>
      <c r="H70" s="99">
        <f>G70+'21'!H70</f>
        <v>-60</v>
      </c>
      <c r="I70" s="118"/>
      <c r="J70" s="175">
        <f>H70/DAY(B2)</f>
        <v>-2.7272727272727271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181</v>
      </c>
      <c r="H71" s="99">
        <f>G71+'21'!H71</f>
        <v>-1312</v>
      </c>
      <c r="I71" s="154"/>
      <c r="J71" s="175">
        <f>H71/DAY(B2)</f>
        <v>-59.636363636363633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'21'!F74</f>
        <v>945123.62</v>
      </c>
      <c r="F74" s="123">
        <v>945423.5</v>
      </c>
      <c r="G74" s="112">
        <f t="shared" ref="G74:G78" si="7">F74-E74</f>
        <v>299.88000000000466</v>
      </c>
      <c r="H74" s="99">
        <f>G74+'21'!H74</f>
        <v>-2283.6999999999534</v>
      </c>
      <c r="I74" s="154"/>
      <c r="J74" s="175">
        <f>H74/DAY(B2)</f>
        <v>-103.80454545454334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'21'!F76</f>
        <v>186041.63</v>
      </c>
      <c r="F76" s="123">
        <v>186139.5</v>
      </c>
      <c r="G76" s="112">
        <f t="shared" si="7"/>
        <v>97.869999999995343</v>
      </c>
      <c r="H76" s="99">
        <f>G76+'21'!H76</f>
        <v>-751.79999999998836</v>
      </c>
      <c r="I76" s="154"/>
      <c r="J76" s="175">
        <f>H76/DAY(B2)</f>
        <v>-34.172727272726746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'21'!F77</f>
        <v>48351.4</v>
      </c>
      <c r="F77" s="123">
        <v>48386.2</v>
      </c>
      <c r="G77" s="112">
        <f t="shared" si="7"/>
        <v>34.799999999995634</v>
      </c>
      <c r="H77" s="99">
        <f>G77+'21'!H77</f>
        <v>-349.60000000000582</v>
      </c>
      <c r="I77" s="154"/>
      <c r="J77" s="175">
        <f>H77/DAY(B2)</f>
        <v>-15.890909090909355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-0.3999999999996362</v>
      </c>
      <c r="I78" s="118"/>
      <c r="J78" s="175">
        <f>H78/DAY(B2)</f>
        <v>-1.8181818181801646E-2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'21'!F79</f>
        <v>0</v>
      </c>
      <c r="F79" s="123"/>
      <c r="G79" s="112">
        <f>G15-SUM(G74:G78)</f>
        <v>567.45000000000437</v>
      </c>
      <c r="H79" s="99">
        <f>G79+'21'!H79</f>
        <v>25768.330000000024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42251.24</v>
      </c>
      <c r="F84" s="164">
        <v>42275.23</v>
      </c>
      <c r="G84" s="112">
        <f t="shared" si="8"/>
        <v>23.990000000005239</v>
      </c>
      <c r="H84" s="99">
        <f>G84+'21'!H84</f>
        <v>0.23000000000320142</v>
      </c>
      <c r="I84" s="573"/>
      <c r="J84" s="175">
        <f>H84/DAY(B2)</f>
        <v>1.0454545454690973E-2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4732.5600000000004</v>
      </c>
      <c r="F85" s="164">
        <v>4732.1499999999996</v>
      </c>
      <c r="G85" s="112">
        <f t="shared" si="8"/>
        <v>-0.41000000000076398</v>
      </c>
      <c r="H85" s="99">
        <f>G85+'21'!H85</f>
        <v>-149.86000000000058</v>
      </c>
      <c r="I85" s="573"/>
      <c r="J85" s="175">
        <f>H85/DAY(B2)</f>
        <v>-6.8118181818182082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44660.15</v>
      </c>
      <c r="F86" s="164">
        <v>44677.14</v>
      </c>
      <c r="G86" s="112">
        <f t="shared" si="8"/>
        <v>16.989999999997963</v>
      </c>
      <c r="H86" s="99">
        <f>G86+'21'!H86</f>
        <v>-175.16000000000349</v>
      </c>
      <c r="I86" s="573"/>
      <c r="J86" s="175">
        <f>H86/DAY(B2)</f>
        <v>-7.9618181818183409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35357.440000000002</v>
      </c>
      <c r="F87" s="164">
        <v>35358.04</v>
      </c>
      <c r="G87" s="112">
        <f t="shared" si="8"/>
        <v>0.59999999999854481</v>
      </c>
      <c r="H87" s="99">
        <f>G87+'21'!H87</f>
        <v>-1.0000000002037268E-2</v>
      </c>
      <c r="I87" s="573">
        <f>G84+G85+G86+G87</f>
        <v>41.170000000000982</v>
      </c>
      <c r="J87" s="175">
        <f>H87/DAY(B2)</f>
        <v>-4.5454545463805766E-4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24276.95</v>
      </c>
      <c r="F88" s="164">
        <v>24277.14</v>
      </c>
      <c r="G88" s="112">
        <f t="shared" si="8"/>
        <v>0.18999999999869033</v>
      </c>
      <c r="H88" s="99">
        <f>G88+'21'!H88</f>
        <v>-6.0000000001309672E-2</v>
      </c>
      <c r="I88" s="573"/>
      <c r="J88" s="175">
        <f>H88/DAY(B2)</f>
        <v>-2.727272727332258E-3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27206.95</v>
      </c>
      <c r="F89" s="164">
        <v>27215.93</v>
      </c>
      <c r="G89" s="112">
        <f t="shared" si="8"/>
        <v>8.9799999999995634</v>
      </c>
      <c r="H89" s="99">
        <f>G89+'21'!H89</f>
        <v>-75.489999999997963</v>
      </c>
      <c r="I89" s="573">
        <f>G88+G89</f>
        <v>9.1699999999982538</v>
      </c>
      <c r="J89" s="175">
        <f>H89/DAY(B2)</f>
        <v>-3.4313636363635438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72240.52</v>
      </c>
      <c r="F90" s="164">
        <v>72250.17</v>
      </c>
      <c r="G90" s="112">
        <f t="shared" si="8"/>
        <v>9.6499999999941792</v>
      </c>
      <c r="H90" s="99">
        <f>G90+'21'!H90</f>
        <v>-50.959999999991851</v>
      </c>
      <c r="I90" s="573">
        <f>G90</f>
        <v>9.6499999999941792</v>
      </c>
      <c r="J90" s="175">
        <f>H90/DAY(B2)</f>
        <v>-2.316363636363266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4122</v>
      </c>
      <c r="F91" s="122">
        <v>4122</v>
      </c>
      <c r="G91" s="112">
        <f t="shared" si="8"/>
        <v>0</v>
      </c>
      <c r="H91" s="99">
        <f>G91+'21'!H91</f>
        <v>-16.4399999999996</v>
      </c>
      <c r="I91" s="592"/>
      <c r="J91" s="175">
        <f>H91/DAY(B2)</f>
        <v>-0.7472727272727091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6441.64</v>
      </c>
      <c r="F92" s="122">
        <v>6451.96</v>
      </c>
      <c r="G92" s="112">
        <f t="shared" si="8"/>
        <v>10.319999999999709</v>
      </c>
      <c r="H92" s="99">
        <f>G92+'21'!H92</f>
        <v>-63.380000000000109</v>
      </c>
      <c r="I92" s="598">
        <f>G91+G92</f>
        <v>10.319999999999709</v>
      </c>
      <c r="J92" s="175">
        <f>H92/DAY(B2)</f>
        <v>-2.8809090909090957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6580.5000000000291</v>
      </c>
      <c r="H94" s="99">
        <f>G94+'21'!H94</f>
        <v>-56877.699999999968</v>
      </c>
      <c r="I94" s="118"/>
      <c r="J94" s="175">
        <f>H94/DAY(B2)</f>
        <v>-2585.3499999999985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0.23929090909091014</v>
      </c>
      <c r="H95" s="99">
        <f>G95+'21'!H95</f>
        <v>-1.9813335446248788</v>
      </c>
      <c r="I95" s="167"/>
      <c r="J95" s="175">
        <f>H95/DAY(B2)</f>
        <v>-9.006061566476721E-2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8692.7099999999773</v>
      </c>
      <c r="H96" s="99">
        <f>G96+'21'!H96</f>
        <v>-62317.040000000052</v>
      </c>
      <c r="I96" s="118"/>
      <c r="J96" s="175">
        <f>H96/DAY(B2)</f>
        <v>-2832.5927272727295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0.31609854545454463</v>
      </c>
      <c r="H97" s="99">
        <f>G97+'21'!H97</f>
        <v>-2.1882520639999559</v>
      </c>
      <c r="I97" s="167"/>
      <c r="J97" s="175">
        <f>H97/DAY(B2)</f>
        <v>-9.9466002909088899E-2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3040.2400000000489</v>
      </c>
      <c r="H98" s="99">
        <f>G98+'21'!H98</f>
        <v>-23742.440000000002</v>
      </c>
      <c r="I98" s="168"/>
      <c r="J98" s="175">
        <f>H98/DAY(B2)</f>
        <v>-1079.2018181818182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0.11055418181818359</v>
      </c>
      <c r="H99" s="99">
        <f>G99+'21'!H99</f>
        <v>-0.82556733536329363</v>
      </c>
      <c r="I99" s="168"/>
      <c r="J99" s="175">
        <f>H99/DAY(B2)</f>
        <v>-3.7525787971058801E-2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2286.3999999999651</v>
      </c>
      <c r="H100" s="99">
        <f>G100+'21'!H100</f>
        <v>-17437.799999999981</v>
      </c>
      <c r="I100" s="118"/>
      <c r="J100" s="175">
        <f>H100/DAY(B2)</f>
        <v>-792.62727272727182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8.3141818181816915E-2</v>
      </c>
      <c r="H101" s="99">
        <f>G101+'21'!H101</f>
        <v>-0.60526483496307359</v>
      </c>
      <c r="I101" s="168"/>
      <c r="J101" s="175">
        <f>H101/DAY(B2)</f>
        <v>-2.7512037952866983E-2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1862.4200000000128</v>
      </c>
      <c r="H102" s="99">
        <f>G102+'21'!H102</f>
        <v>-15517.470000000001</v>
      </c>
      <c r="I102" s="168"/>
      <c r="J102" s="175">
        <f>H102/DAY(B2)</f>
        <v>-705.33954545454549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6.7724363636364096E-2</v>
      </c>
      <c r="H103" s="99">
        <f>G103+'21'!H103</f>
        <v>-0.54210278521196376</v>
      </c>
      <c r="I103" s="118"/>
      <c r="J103" s="175">
        <f>H103/DAY(B2)</f>
        <v>-2.4641035691452897E-2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1658.7399999999907</v>
      </c>
      <c r="H104" s="99">
        <f>G104+'21'!H104</f>
        <v>-12928.880000000012</v>
      </c>
      <c r="I104" s="118"/>
      <c r="J104" s="175">
        <f>H104/DAY(B2)</f>
        <v>-587.67636363636416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6.0317818181817841E-2</v>
      </c>
      <c r="H105" s="99">
        <f>G105+'21'!H105</f>
        <v>-0.44934927980841816</v>
      </c>
      <c r="I105" s="187"/>
      <c r="J105" s="188">
        <f>H105/DAY(B2)</f>
        <v>-2.0424967264019007E-2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'21'!F112</f>
        <v>4271.32</v>
      </c>
      <c r="F112" s="237">
        <v>4344.38</v>
      </c>
      <c r="G112" s="112">
        <f t="shared" ref="G112:G123" si="9">F112-E112</f>
        <v>73.0600000000004</v>
      </c>
      <c r="H112" s="99">
        <f>G112+'21'!H112</f>
        <v>-585.35999999999967</v>
      </c>
      <c r="I112" s="165"/>
      <c r="J112" s="328">
        <f>H112/DAY(B2)</f>
        <v>-26.607272727272711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'21'!F113</f>
        <v>9348.15</v>
      </c>
      <c r="F113" s="237">
        <v>9486.23</v>
      </c>
      <c r="G113" s="112">
        <f t="shared" si="9"/>
        <v>138.07999999999993</v>
      </c>
      <c r="H113" s="99">
        <f>G113+'21'!H113</f>
        <v>-1146.4899999999998</v>
      </c>
      <c r="I113" s="165"/>
      <c r="J113" s="328">
        <f>H113/DAY(B2)</f>
        <v>-52.113181818181808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'21'!F114</f>
        <v>12181.13</v>
      </c>
      <c r="F114" s="237">
        <v>12402.32</v>
      </c>
      <c r="G114" s="112">
        <f t="shared" si="9"/>
        <v>221.19000000000051</v>
      </c>
      <c r="H114" s="99">
        <f>G114+'21'!H114</f>
        <v>-1791.4799999999996</v>
      </c>
      <c r="I114" s="165"/>
      <c r="J114" s="328">
        <f>H114/DAY(B2)</f>
        <v>-81.430909090909068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'21'!F115</f>
        <v>7753.23</v>
      </c>
      <c r="F115" s="237">
        <v>7884.61</v>
      </c>
      <c r="G115" s="112">
        <f t="shared" si="9"/>
        <v>131.38000000000011</v>
      </c>
      <c r="H115" s="99">
        <f>G115+'21'!H115</f>
        <v>-1136.170000000001</v>
      </c>
      <c r="I115" s="165"/>
      <c r="J115" s="328">
        <f>H115/DAY(B2)</f>
        <v>-51.644090909090956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'21'!F116</f>
        <v>55295.19</v>
      </c>
      <c r="F116" s="237">
        <v>55701.99</v>
      </c>
      <c r="G116" s="112">
        <f t="shared" si="9"/>
        <v>406.79999999999563</v>
      </c>
      <c r="H116" s="99">
        <f>G116+'21'!H116</f>
        <v>-3188.5600000000049</v>
      </c>
      <c r="I116" s="165"/>
      <c r="J116" s="328">
        <f>H116/DAY(B2)</f>
        <v>-144.93454545454568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'21'!F117</f>
        <v>30311.56</v>
      </c>
      <c r="F117" s="237">
        <v>30589.97</v>
      </c>
      <c r="G117" s="112">
        <f t="shared" si="9"/>
        <v>278.40999999999985</v>
      </c>
      <c r="H117" s="99">
        <f>G117+'21'!H117</f>
        <v>-2298.510000000002</v>
      </c>
      <c r="I117" s="165"/>
      <c r="J117" s="328">
        <f>H117/DAY(B2)</f>
        <v>-104.47772727272736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'21'!F118</f>
        <v>39056.65</v>
      </c>
      <c r="F118" s="237">
        <v>39714.81</v>
      </c>
      <c r="G118" s="112">
        <f t="shared" si="9"/>
        <v>658.15999999999622</v>
      </c>
      <c r="H118" s="99">
        <f>G118+'21'!H118</f>
        <v>-5205.5</v>
      </c>
      <c r="I118" s="165"/>
      <c r="J118" s="328">
        <f>H118/DAY(B2)</f>
        <v>-236.61363636363637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'21'!F119</f>
        <v>28066.15</v>
      </c>
      <c r="F119" s="237">
        <v>28362.78</v>
      </c>
      <c r="G119" s="112">
        <f t="shared" si="9"/>
        <v>296.62999999999738</v>
      </c>
      <c r="H119" s="99">
        <f>G119+'21'!H119</f>
        <v>-1979.8199999999997</v>
      </c>
      <c r="I119" s="165"/>
      <c r="J119" s="328">
        <f>H119/DAY(B2)</f>
        <v>-89.991818181818175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'21'!F120</f>
        <v>29195.56</v>
      </c>
      <c r="F120" s="237">
        <v>29629.119999999999</v>
      </c>
      <c r="G120" s="112">
        <f t="shared" si="9"/>
        <v>433.55999999999767</v>
      </c>
      <c r="H120" s="99">
        <f>G120+'21'!H120</f>
        <v>-3476.4399999999987</v>
      </c>
      <c r="I120" s="165"/>
      <c r="J120" s="328">
        <f>H120/DAY(B2)</f>
        <v>-158.01999999999995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'21'!F121</f>
        <v>35577.21</v>
      </c>
      <c r="F121" s="237">
        <v>36048.81</v>
      </c>
      <c r="G121" s="112">
        <f t="shared" si="9"/>
        <v>471.59999999999854</v>
      </c>
      <c r="H121" s="99">
        <f>G121+'21'!H121</f>
        <v>-3539.0900000000038</v>
      </c>
      <c r="I121" s="165"/>
      <c r="J121" s="328">
        <f>H121/DAY(B2)</f>
        <v>-160.86772727272745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'21'!F122</f>
        <v>17470.02</v>
      </c>
      <c r="F122" s="237">
        <v>17765.34</v>
      </c>
      <c r="G122" s="112">
        <f t="shared" si="9"/>
        <v>295.31999999999971</v>
      </c>
      <c r="H122" s="99">
        <f>G122+'21'!H122</f>
        <v>-2200.5400000000009</v>
      </c>
      <c r="I122" s="165"/>
      <c r="J122" s="328">
        <f>H122/DAY(B2)</f>
        <v>-100.02454545454549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'21'!F123</f>
        <v>17532.310000000001</v>
      </c>
      <c r="F123" s="237">
        <v>17844.72</v>
      </c>
      <c r="G123" s="112">
        <f t="shared" si="9"/>
        <v>312.40999999999985</v>
      </c>
      <c r="H123" s="99">
        <f>G123+'21'!H123</f>
        <v>-2497.2799999999988</v>
      </c>
      <c r="I123" s="165"/>
      <c r="J123" s="328">
        <f>H123/DAY(B2)</f>
        <v>-113.51272727272722</v>
      </c>
    </row>
    <row r="124" spans="1:18" ht="29.25" customHeight="1">
      <c r="A124" s="929"/>
      <c r="B124" s="930"/>
      <c r="C124" s="931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3716.5999999999858</v>
      </c>
      <c r="H125" s="156"/>
      <c r="I125" s="327">
        <f>G125-(G39+G53)</f>
        <v>676.35999999993692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'21'!F128</f>
        <v>106866.64</v>
      </c>
      <c r="F128" s="165">
        <v>107442.18</v>
      </c>
      <c r="G128" s="112">
        <f t="shared" ref="G128:G134" si="10">F128-E128</f>
        <v>575.5399999999936</v>
      </c>
      <c r="H128" s="99">
        <f>G128+'21'!H128</f>
        <v>-4433.6800000000076</v>
      </c>
      <c r="I128" s="165"/>
      <c r="J128" s="328">
        <f>H128/DAY(B2)</f>
        <v>-201.53090909090943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65103.33</v>
      </c>
      <c r="F129" s="165">
        <v>65222.47</v>
      </c>
      <c r="G129" s="112">
        <f t="shared" si="10"/>
        <v>119.13999999999942</v>
      </c>
      <c r="H129" s="99">
        <f>G129+'21'!H129</f>
        <v>-1479.3099999999977</v>
      </c>
      <c r="I129" s="165"/>
      <c r="J129" s="328">
        <f>H129/DAY(B2)</f>
        <v>-67.241363636363531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134866.97</v>
      </c>
      <c r="F130" s="165">
        <v>135578.57</v>
      </c>
      <c r="G130" s="112">
        <f t="shared" si="10"/>
        <v>711.60000000000582</v>
      </c>
      <c r="H130" s="99">
        <f>G130+'21'!H130</f>
        <v>-6719.3499999999767</v>
      </c>
      <c r="I130" s="165"/>
      <c r="J130" s="328">
        <f>H130/DAY(B2)</f>
        <v>-305.42499999999893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'21'!F131</f>
        <v>40614.97</v>
      </c>
      <c r="F131" s="165">
        <v>40841.440000000002</v>
      </c>
      <c r="G131" s="112">
        <f t="shared" si="10"/>
        <v>226.47000000000116</v>
      </c>
      <c r="H131" s="99">
        <f>G131+'21'!H131</f>
        <v>-1776.7599999999948</v>
      </c>
      <c r="I131" s="165"/>
      <c r="J131" s="328">
        <f>H131/DAY(B2)</f>
        <v>-80.761818181817944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'21'!F132</f>
        <v>112121.35</v>
      </c>
      <c r="F132" s="165">
        <v>112591.36</v>
      </c>
      <c r="G132" s="112">
        <f t="shared" si="10"/>
        <v>470.00999999999476</v>
      </c>
      <c r="H132" s="99">
        <f>G132+'21'!H132</f>
        <v>-3699.6399999999994</v>
      </c>
      <c r="I132" s="165"/>
      <c r="J132" s="328">
        <f>H132/DAY(B2)</f>
        <v>-168.16545454545451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'21'!F133</f>
        <v>217628.91</v>
      </c>
      <c r="F133" s="165">
        <v>218234.05</v>
      </c>
      <c r="G133" s="112">
        <f t="shared" si="10"/>
        <v>605.13999999998487</v>
      </c>
      <c r="H133" s="99">
        <f>G133+'21'!H133</f>
        <v>2423.4799999999814</v>
      </c>
      <c r="I133" s="165"/>
      <c r="J133" s="328">
        <f>H133/DAY(B2)</f>
        <v>110.15818181818098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'21'!F134</f>
        <v>39900.949999999997</v>
      </c>
      <c r="F134" s="165">
        <v>40114.58</v>
      </c>
      <c r="G134" s="112">
        <f t="shared" si="10"/>
        <v>213.63000000000466</v>
      </c>
      <c r="H134" s="99">
        <f>G134+'21'!H134</f>
        <v>-1630.4199999999983</v>
      </c>
      <c r="I134" s="165"/>
      <c r="J134" s="328">
        <f>H134/DAY(B2)</f>
        <v>-74.109999999999914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2921.5299999999843</v>
      </c>
      <c r="H135" s="99">
        <f>G135+'10'!H135</f>
        <v>30486.229999999981</v>
      </c>
      <c r="I135" s="327">
        <f>G135-(G35+G49)</f>
        <v>-608.91000000001804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'21'!F138</f>
        <v>886154</v>
      </c>
      <c r="F138" s="147">
        <v>886283</v>
      </c>
      <c r="G138" s="112">
        <f t="shared" ref="G138:G152" si="11">F138-E138</f>
        <v>129</v>
      </c>
      <c r="H138" s="99">
        <f>G138+'21'!H138</f>
        <v>-941</v>
      </c>
      <c r="I138" s="118"/>
      <c r="J138" s="328">
        <f>H138/DAY(B2)</f>
        <v>-42.772727272727273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'21'!F139</f>
        <v>902676</v>
      </c>
      <c r="F139" s="148">
        <v>902848</v>
      </c>
      <c r="G139" s="112">
        <f t="shared" si="11"/>
        <v>172</v>
      </c>
      <c r="H139" s="99">
        <f>G139+'21'!H139</f>
        <v>-1242</v>
      </c>
      <c r="I139" s="118"/>
      <c r="J139" s="328">
        <f>H139/DAY(B2)</f>
        <v>-56.454545454545453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'21'!F140</f>
        <v>921.09</v>
      </c>
      <c r="F140" s="149">
        <v>938.16</v>
      </c>
      <c r="G140" s="112">
        <f t="shared" si="11"/>
        <v>17.069999999999936</v>
      </c>
      <c r="H140" s="99">
        <f>G140+'21'!H140</f>
        <v>-88067.49</v>
      </c>
      <c r="I140" s="118"/>
      <c r="J140" s="328">
        <f>H140/DAY(B2)</f>
        <v>-4003.0677272727276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'21'!F141</f>
        <v>82294.75</v>
      </c>
      <c r="F141" s="149">
        <v>82494.98</v>
      </c>
      <c r="G141" s="112">
        <f t="shared" si="11"/>
        <v>200.22999999999593</v>
      </c>
      <c r="H141" s="99">
        <f>G141+'21'!H141</f>
        <v>-1620.2200000000012</v>
      </c>
      <c r="I141" s="118"/>
      <c r="J141" s="328">
        <f>H141/DAY(B2)</f>
        <v>-73.646363636363688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'21'!F142</f>
        <v>33647.79</v>
      </c>
      <c r="F142" s="148">
        <v>33750.75</v>
      </c>
      <c r="G142" s="112">
        <f t="shared" si="11"/>
        <v>102.95999999999913</v>
      </c>
      <c r="H142" s="99">
        <f>G142+'21'!H142</f>
        <v>-634.72000000000116</v>
      </c>
      <c r="I142" s="140"/>
      <c r="J142" s="328">
        <f>H142/DAY(B2)</f>
        <v>-28.850909090909145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'21'!F143</f>
        <v>7906.19</v>
      </c>
      <c r="F143" s="149">
        <v>7934.61</v>
      </c>
      <c r="G143" s="112">
        <f t="shared" si="11"/>
        <v>28.420000000000073</v>
      </c>
      <c r="H143" s="99">
        <f>G143+'21'!H143</f>
        <v>-223.71000000000004</v>
      </c>
      <c r="I143" s="140"/>
      <c r="J143" s="328">
        <f>H143/DAY(B2)</f>
        <v>-10.168636363636365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'21'!F144</f>
        <v>910142</v>
      </c>
      <c r="F144" s="149">
        <v>910395</v>
      </c>
      <c r="G144" s="112">
        <f t="shared" si="11"/>
        <v>253</v>
      </c>
      <c r="H144" s="99">
        <f>G144+'21'!H144</f>
        <v>-1882</v>
      </c>
      <c r="I144" s="140"/>
      <c r="J144" s="328">
        <f>H144/DAY(B2)</f>
        <v>-85.545454545454547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'21'!F145</f>
        <v>5665</v>
      </c>
      <c r="F145" s="149">
        <v>5665</v>
      </c>
      <c r="G145" s="112">
        <f t="shared" si="11"/>
        <v>0</v>
      </c>
      <c r="H145" s="99">
        <f>G145+'21'!H145</f>
        <v>-1.5600000000004002</v>
      </c>
      <c r="I145" s="140"/>
      <c r="J145" s="328">
        <f>H145/DAY(B2)</f>
        <v>-7.0909090909109102E-2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'21'!F146</f>
        <v>778897</v>
      </c>
      <c r="F146" s="148">
        <v>778943</v>
      </c>
      <c r="G146" s="112">
        <f t="shared" si="11"/>
        <v>46</v>
      </c>
      <c r="H146" s="99">
        <f>G146+'21'!H146</f>
        <v>-385</v>
      </c>
      <c r="I146" s="140"/>
      <c r="J146" s="328">
        <f>H146/DAY(B2)</f>
        <v>-17.5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'21'!F147</f>
        <v>684059.44</v>
      </c>
      <c r="F147" s="148">
        <v>684424.88</v>
      </c>
      <c r="G147" s="112">
        <f t="shared" si="11"/>
        <v>365.44000000006054</v>
      </c>
      <c r="H147" s="99">
        <f>G147+'21'!H147</f>
        <v>-3101.2800000000279</v>
      </c>
      <c r="I147" s="140"/>
      <c r="J147" s="328">
        <f>H147/DAY(B2)</f>
        <v>-140.96727272727401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'21'!F148</f>
        <v>736256.08</v>
      </c>
      <c r="F148" s="150">
        <v>736571.6</v>
      </c>
      <c r="G148" s="112">
        <f t="shared" si="11"/>
        <v>315.52000000001863</v>
      </c>
      <c r="H148" s="99">
        <f>G148+'21'!H148</f>
        <v>-2375.6800000000512</v>
      </c>
      <c r="I148" s="124"/>
      <c r="J148" s="328">
        <f>H148/DAY(B2)</f>
        <v>-107.98545454545688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'21'!F149</f>
        <v>112337.11</v>
      </c>
      <c r="F149" s="146">
        <v>112834.58</v>
      </c>
      <c r="G149" s="112">
        <f t="shared" si="11"/>
        <v>497.47000000000116</v>
      </c>
      <c r="H149" s="99">
        <f>G149+'21'!H149</f>
        <v>-3698.2200000000012</v>
      </c>
      <c r="I149" s="119"/>
      <c r="J149" s="328">
        <f>H149/DAY(B2)</f>
        <v>-168.10090909090914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'21'!F150</f>
        <v>41786.120000000003</v>
      </c>
      <c r="F150" s="233">
        <v>41997.440000000002</v>
      </c>
      <c r="G150" s="112">
        <f t="shared" si="11"/>
        <v>211.31999999999971</v>
      </c>
      <c r="H150" s="99">
        <f>G150+'21'!H150</f>
        <v>-1727.7200000000012</v>
      </c>
      <c r="I150" s="119"/>
      <c r="J150" s="328">
        <f>H150/DAY(B2)</f>
        <v>-78.532727272727328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'21'!F151</f>
        <v>124166</v>
      </c>
      <c r="F151" s="233">
        <v>124450</v>
      </c>
      <c r="G151" s="112">
        <f t="shared" si="11"/>
        <v>284</v>
      </c>
      <c r="H151" s="99">
        <f>G151+'21'!H151</f>
        <v>-2153</v>
      </c>
      <c r="I151" s="119"/>
      <c r="J151" s="328">
        <f>H151/DAY(B2)</f>
        <v>-97.86363636363636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'21'!F152</f>
        <v>18141.07</v>
      </c>
      <c r="F152" s="233">
        <v>18269.59</v>
      </c>
      <c r="G152" s="112">
        <f t="shared" si="11"/>
        <v>128.52000000000044</v>
      </c>
      <c r="H152" s="99">
        <f>G152+'21'!H152</f>
        <v>-1018.4900000000016</v>
      </c>
      <c r="I152" s="119"/>
      <c r="J152" s="328">
        <f>H152/DAY(B2)</f>
        <v>-46.295000000000073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2750.9500000000753</v>
      </c>
      <c r="H153" s="363"/>
      <c r="I153" s="119">
        <f>G153-(G38+G52)</f>
        <v>464.55000000011023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'21'!F155</f>
        <v>124977.22</v>
      </c>
      <c r="F155" s="374">
        <v>125599.51</v>
      </c>
      <c r="G155" s="112">
        <f t="shared" ref="G155:G158" si="12">F155-E155</f>
        <v>622.2899999999936</v>
      </c>
      <c r="H155" s="99">
        <f>G155+'21'!H155</f>
        <v>-4641.8700000000099</v>
      </c>
      <c r="I155" s="364"/>
      <c r="J155" s="328">
        <f>H155/DAY(B2)</f>
        <v>-210.99409090909137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'21'!F156</f>
        <v>11321.37</v>
      </c>
      <c r="F156" s="155">
        <v>11426.68</v>
      </c>
      <c r="G156" s="112">
        <f t="shared" si="12"/>
        <v>105.30999999999949</v>
      </c>
      <c r="H156" s="99">
        <f>G156+'21'!H156</f>
        <v>-666.68000000000029</v>
      </c>
      <c r="I156" s="165"/>
      <c r="J156" s="328">
        <f>H156/DAY(B2)</f>
        <v>-30.303636363636375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'21'!F157</f>
        <v>21705.88</v>
      </c>
      <c r="F157" s="155">
        <v>21862.76</v>
      </c>
      <c r="G157" s="112">
        <f t="shared" si="12"/>
        <v>156.87999999999738</v>
      </c>
      <c r="H157" s="99">
        <f>G157+'21'!H157</f>
        <v>471.7599999999984</v>
      </c>
      <c r="I157" s="165"/>
      <c r="J157" s="328">
        <f>H157/DAY(B2)</f>
        <v>21.443636363636291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'21'!F158</f>
        <v>190.23</v>
      </c>
      <c r="F158" s="155">
        <v>191.81</v>
      </c>
      <c r="G158" s="112">
        <f t="shared" si="12"/>
        <v>1.5800000000000125</v>
      </c>
      <c r="H158" s="99">
        <f>G158+'21'!H158</f>
        <v>1.8100000000000023</v>
      </c>
      <c r="I158" s="165"/>
      <c r="J158" s="328">
        <f>H158/DAY(B2)</f>
        <v>8.2272727272727372E-2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477148.24</v>
      </c>
      <c r="F161" s="235">
        <v>477330</v>
      </c>
      <c r="G161" s="238">
        <f t="shared" ref="G161:G165" si="13">F161-E161</f>
        <v>181.76000000000931</v>
      </c>
      <c r="H161" s="99">
        <f>G161+'21'!H161</f>
        <v>664</v>
      </c>
      <c r="I161" s="236"/>
      <c r="J161" s="239">
        <f>H161/DAY(B2)</f>
        <v>30.181818181818183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93455.2</v>
      </c>
      <c r="F162" s="235">
        <v>93498.5</v>
      </c>
      <c r="G162" s="238">
        <f t="shared" si="13"/>
        <v>43.30000000000291</v>
      </c>
      <c r="H162" s="99">
        <f>G162+'21'!H162</f>
        <v>-306.80000000000291</v>
      </c>
      <c r="I162" s="236"/>
      <c r="J162" s="239">
        <f>H162/DAY(B2)</f>
        <v>-13.945454545454679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552.6</v>
      </c>
      <c r="F163" s="235">
        <v>702.8</v>
      </c>
      <c r="G163" s="238">
        <f t="shared" si="13"/>
        <v>150.19999999999993</v>
      </c>
      <c r="H163" s="99">
        <f>G163+'21'!H163</f>
        <v>98671.700000000012</v>
      </c>
      <c r="I163" s="236"/>
      <c r="J163" s="239">
        <f>H163/DAY(B2)</f>
        <v>4485.0772727272733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5786.5</v>
      </c>
      <c r="F164" s="235">
        <v>5799.9</v>
      </c>
      <c r="G164" s="238">
        <f t="shared" si="13"/>
        <v>13.399999999999636</v>
      </c>
      <c r="H164" s="99">
        <f>G164+'21'!H164</f>
        <v>-98.5</v>
      </c>
      <c r="I164" s="236"/>
      <c r="J164" s="239">
        <f>H164/DAY(B2)</f>
        <v>-4.4772727272727275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31247.39</v>
      </c>
      <c r="F165" s="235">
        <v>31257.38</v>
      </c>
      <c r="G165" s="238">
        <f t="shared" si="13"/>
        <v>9.9900000000016007</v>
      </c>
      <c r="H165" s="99">
        <f>G165+'21'!H165</f>
        <v>-89.270000000000437</v>
      </c>
      <c r="I165" s="236"/>
      <c r="J165" s="239">
        <f>H165/DAY(B2)</f>
        <v>-4.0577272727272922</v>
      </c>
    </row>
    <row r="166" spans="1:10" ht="21.95" customHeight="1">
      <c r="A166" s="935"/>
      <c r="B166" s="935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35"/>
      <c r="B167" s="935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35"/>
      <c r="B168" s="935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'21'!F173</f>
        <v>8276</v>
      </c>
      <c r="F173" s="155">
        <v>8276</v>
      </c>
      <c r="G173" s="155">
        <f>F173-E173</f>
        <v>0</v>
      </c>
      <c r="H173" s="99">
        <f>G173+'21'!H173</f>
        <v>47</v>
      </c>
      <c r="I173" s="155"/>
      <c r="J173" s="178">
        <f>H173/DAY(B2)</f>
        <v>2.1363636363636362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'21'!F174</f>
        <v>40645</v>
      </c>
      <c r="F174" s="157">
        <v>40661</v>
      </c>
      <c r="G174" s="155">
        <f t="shared" ref="G174:G175" si="14">F174-E174</f>
        <v>16</v>
      </c>
      <c r="H174" s="99">
        <f>G174+'21'!H174</f>
        <v>-118</v>
      </c>
      <c r="I174" s="155"/>
      <c r="J174" s="178">
        <f>H174/DAY(B2)</f>
        <v>-5.3636363636363633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'21'!F175</f>
        <v>23550</v>
      </c>
      <c r="F175" s="155">
        <v>23561</v>
      </c>
      <c r="G175" s="155">
        <f t="shared" si="14"/>
        <v>11</v>
      </c>
      <c r="H175" s="99">
        <f>G175+'21'!H175</f>
        <v>-95</v>
      </c>
      <c r="I175" s="155"/>
      <c r="J175" s="178">
        <f>H175/DAY(B2)</f>
        <v>-4.3181818181818183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27</v>
      </c>
      <c r="H176" s="99">
        <f>G176+'21'!H176</f>
        <v>-166</v>
      </c>
      <c r="I176" s="155"/>
      <c r="J176" s="178">
        <f>H176/DAY(B2)</f>
        <v>-7.5454545454545459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'21'!F178</f>
        <v>94059</v>
      </c>
      <c r="F178" s="155">
        <v>94174</v>
      </c>
      <c r="G178" s="155">
        <f>F178-E178</f>
        <v>115</v>
      </c>
      <c r="H178" s="99">
        <f>G178+'21'!H178</f>
        <v>2088</v>
      </c>
      <c r="I178" s="155"/>
      <c r="J178" s="178">
        <f>H178/DAY(B2)</f>
        <v>94.909090909090907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'21'!F179</f>
        <v>36002</v>
      </c>
      <c r="F179" s="155">
        <v>36002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'21'!F180</f>
        <v>6818</v>
      </c>
      <c r="F180" s="155">
        <v>6821</v>
      </c>
      <c r="G180" s="374">
        <f t="shared" si="15"/>
        <v>3</v>
      </c>
      <c r="H180" s="99">
        <f>G180+'21'!H180</f>
        <v>-61</v>
      </c>
      <c r="I180" s="155"/>
      <c r="J180" s="178">
        <f>H180/DAY(B2)</f>
        <v>-2.7727272727272729</v>
      </c>
    </row>
    <row r="181" spans="1:10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118</v>
      </c>
      <c r="H181" s="99">
        <f>G181+'21'!H181</f>
        <v>2027</v>
      </c>
      <c r="I181" s="155"/>
      <c r="J181" s="178">
        <f>H181/DAY(B2)</f>
        <v>92.13636363636364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'21'!F183</f>
        <v>17219</v>
      </c>
      <c r="F183" s="157">
        <v>17225</v>
      </c>
      <c r="G183" s="157">
        <f>F183-E183</f>
        <v>6</v>
      </c>
      <c r="H183" s="99">
        <f>G183+'21'!H183</f>
        <v>-50</v>
      </c>
      <c r="I183" s="155"/>
      <c r="J183" s="178">
        <f>H183/DAY(B2)</f>
        <v>-2.2727272727272729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'21'!F184</f>
        <v>11635</v>
      </c>
      <c r="F184" s="157">
        <v>11639</v>
      </c>
      <c r="G184" s="157">
        <f t="shared" ref="G184:G185" si="16">F184-E184</f>
        <v>4</v>
      </c>
      <c r="H184" s="99">
        <f>G184+'21'!H184</f>
        <v>-50</v>
      </c>
      <c r="I184" s="155"/>
      <c r="J184" s="178">
        <f>H184/DAY(B2)</f>
        <v>-2.2727272727272729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10</v>
      </c>
      <c r="H186" s="99">
        <f>G186+'21'!H186</f>
        <v>-100</v>
      </c>
      <c r="I186" s="157"/>
      <c r="J186" s="178">
        <f>H186/DAY(B2)</f>
        <v>-4.5454545454545459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148</v>
      </c>
      <c r="H187" s="99">
        <f>G187+'21'!H187</f>
        <v>-341</v>
      </c>
      <c r="I187" s="158"/>
      <c r="J187" s="179">
        <f>H187/DAY(B2)</f>
        <v>-15.5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130</v>
      </c>
      <c r="H188" s="99">
        <f>G188+'21'!H188</f>
        <v>1188</v>
      </c>
      <c r="I188" s="158"/>
      <c r="J188" s="179">
        <f>H188/DAY(B2)</f>
        <v>54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118</v>
      </c>
      <c r="H189" s="99">
        <f>G189+'21'!H189</f>
        <v>459</v>
      </c>
      <c r="I189" s="158"/>
      <c r="J189" s="179">
        <f>H189/DAY(B2)</f>
        <v>20.863636363636363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>
      <c r="A2" s="191" t="s">
        <v>354</v>
      </c>
      <c r="B2" s="262">
        <v>44735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1119032.47</v>
      </c>
      <c r="F7" s="95">
        <f>E7+27500</f>
        <v>1146532.47</v>
      </c>
      <c r="G7" s="112">
        <f>F7-E7</f>
        <v>27500</v>
      </c>
      <c r="H7" s="99">
        <f>G7+'22'!H7</f>
        <v>623567.97</v>
      </c>
      <c r="I7" s="113">
        <f>'1'!I7</f>
        <v>12000</v>
      </c>
      <c r="J7" s="175">
        <f>H7/DAY(B2)</f>
        <v>27111.650869565216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1259254.6499999999</v>
      </c>
      <c r="F8" s="95">
        <f>E8+27000</f>
        <v>1286254.6499999999</v>
      </c>
      <c r="G8" s="115">
        <f>F8-E8</f>
        <v>27000</v>
      </c>
      <c r="H8" s="99">
        <f>G8+'22'!H8</f>
        <v>624465.64999999991</v>
      </c>
      <c r="I8" s="116"/>
      <c r="J8" s="175">
        <f>H8/DAY(B2)</f>
        <v>27150.680434782604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2811127.9</v>
      </c>
      <c r="F9" s="469">
        <v>2823549.1</v>
      </c>
      <c r="G9" s="112">
        <f>F9-E9</f>
        <v>12421.200000000186</v>
      </c>
      <c r="H9" s="99">
        <f>G9+'22'!H9</f>
        <v>-94100</v>
      </c>
      <c r="I9" s="124">
        <f>I7-J7</f>
        <v>-15111.650869565216</v>
      </c>
      <c r="J9" s="175">
        <f>H9/DAY(B2)</f>
        <v>-4091.304347826087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1132277.1000000001</v>
      </c>
      <c r="F10" s="353">
        <v>1146187.2</v>
      </c>
      <c r="G10" s="112">
        <f t="shared" ref="G10:G11" si="0">F10-E10</f>
        <v>13910.09999999986</v>
      </c>
      <c r="H10" s="99">
        <f>G10+'22'!H10</f>
        <v>-89499.429999999935</v>
      </c>
      <c r="I10" s="282"/>
      <c r="J10" s="175">
        <f>H10/DAY(B2)</f>
        <v>-3891.2795652173886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26331.300000000047</v>
      </c>
      <c r="H13" s="99">
        <f>G13+'22'!H13</f>
        <v>-181870.49999999977</v>
      </c>
      <c r="I13" s="120">
        <f>G7-G13</f>
        <v>1168.6999999999534</v>
      </c>
      <c r="J13" s="175">
        <f>H13/DAY(B2)</f>
        <v>-7907.413043478251</v>
      </c>
      <c r="K13" s="79"/>
      <c r="L13" s="66"/>
      <c r="N13" s="87"/>
      <c r="O13" s="71"/>
    </row>
    <row r="14" spans="1:15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2090461.24</v>
      </c>
      <c r="F15" s="469">
        <f>E15+1000</f>
        <v>2091461.24</v>
      </c>
      <c r="G15" s="112">
        <f>(F15-E15)</f>
        <v>1000</v>
      </c>
      <c r="H15" s="99">
        <f>G15+'22'!H15</f>
        <v>23382.830000000075</v>
      </c>
      <c r="I15" s="113">
        <f>'1'!I15</f>
        <v>800</v>
      </c>
      <c r="J15" s="175">
        <f>H15/DAY(B2)</f>
        <v>1016.6447826086988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-216.64478260869885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'22'!F18</f>
        <v>19</v>
      </c>
      <c r="F18" s="122">
        <v>13</v>
      </c>
      <c r="G18" s="119">
        <f>F18*10</f>
        <v>130</v>
      </c>
      <c r="H18" s="99">
        <f>G18+'22'!H18</f>
        <v>4260</v>
      </c>
      <c r="I18" s="113">
        <f>'1'!I18</f>
        <v>65</v>
      </c>
      <c r="J18" s="175">
        <f>H18/DAY(B2)</f>
        <v>185.21739130434781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'22'!F19</f>
        <v>161251</v>
      </c>
      <c r="F19" s="122">
        <v>161303</v>
      </c>
      <c r="G19" s="112">
        <f t="shared" ref="G19" si="1">F19-E19</f>
        <v>52</v>
      </c>
      <c r="H19" s="99">
        <f>G19+'22'!H19</f>
        <v>480</v>
      </c>
      <c r="I19" s="335"/>
      <c r="J19" s="175">
        <f>H19/DAY(B2)</f>
        <v>20.869565217391305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182</v>
      </c>
      <c r="H20" s="99">
        <f>G20+'22'!H20</f>
        <v>4740</v>
      </c>
      <c r="I20" s="336">
        <f>I18-J20</f>
        <v>-141.08695652173913</v>
      </c>
      <c r="J20" s="175">
        <f>H20/DAY(B2)</f>
        <v>206.08695652173913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G27+'22'!H27</f>
        <v>5620190.8499999996</v>
      </c>
      <c r="I27" s="138"/>
      <c r="J27" s="175">
        <f>H27/DAY(B2)</f>
        <v>244356.12391304347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G28+'22'!H28</f>
        <v>1636798.1000000052</v>
      </c>
      <c r="I28" s="140"/>
      <c r="J28" s="175">
        <f>H28/DAY(B2)</f>
        <v>71165.134782608919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G30+'22'!H30</f>
        <v>72480</v>
      </c>
      <c r="I30" s="140"/>
      <c r="J30" s="175">
        <f>H30/DAY(B2)</f>
        <v>3151.304347826087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G31+'22'!H31</f>
        <v>340800</v>
      </c>
      <c r="I31" s="140"/>
      <c r="J31" s="175">
        <f>H31/DAY(B2)</f>
        <v>14817.391304347826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331252</v>
      </c>
      <c r="H32" s="99">
        <f>G32+'22'!H32</f>
        <v>7670268.9500000048</v>
      </c>
      <c r="I32" s="144"/>
      <c r="J32" s="175">
        <f>H32/DAY(B2)</f>
        <v>333489.95434782631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238714</v>
      </c>
      <c r="F35" s="145">
        <v>238714</v>
      </c>
      <c r="G35" s="112">
        <f t="shared" ref="G35:G46" si="3">F35-E35</f>
        <v>0</v>
      </c>
      <c r="H35" s="99">
        <f>G35+'22'!H35</f>
        <v>0.95000000001164153</v>
      </c>
      <c r="I35" s="95"/>
      <c r="J35" s="175">
        <f>H35/DAY(B2)</f>
        <v>4.1304347826593112E-2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180147.25</v>
      </c>
      <c r="F36" s="145">
        <v>180922.33</v>
      </c>
      <c r="G36" s="112">
        <f t="shared" si="3"/>
        <v>775.07999999998719</v>
      </c>
      <c r="H36" s="99">
        <f>G36+'22'!H36</f>
        <v>-5997.9000000000233</v>
      </c>
      <c r="I36" s="95"/>
      <c r="J36" s="175">
        <f>H36/DAY(B2)</f>
        <v>-260.77826086956622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273789.78999999998</v>
      </c>
      <c r="F37" s="145">
        <v>275426.90000000002</v>
      </c>
      <c r="G37" s="112">
        <f t="shared" si="3"/>
        <v>1637.1100000000442</v>
      </c>
      <c r="H37" s="99">
        <f>G37+'22'!H37</f>
        <v>-11292.089999999967</v>
      </c>
      <c r="I37" s="95"/>
      <c r="J37" s="175">
        <f>H37/DAY(B2)</f>
        <v>-490.96043478260725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369225.55</v>
      </c>
      <c r="F38" s="108">
        <v>371505.39</v>
      </c>
      <c r="G38" s="112">
        <f t="shared" si="3"/>
        <v>2279.8400000000256</v>
      </c>
      <c r="H38" s="99">
        <f>G38+'22'!H38</f>
        <v>-15157.959999999963</v>
      </c>
      <c r="I38" s="95"/>
      <c r="J38" s="175">
        <f>H38/DAY(B2)</f>
        <v>-659.04173913043314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499638.15</v>
      </c>
      <c r="F39" s="145">
        <v>502666.27</v>
      </c>
      <c r="G39" s="112">
        <f t="shared" si="3"/>
        <v>3028.1199999999953</v>
      </c>
      <c r="H39" s="99">
        <f>G39+'22'!H39</f>
        <v>-20714.320000000007</v>
      </c>
      <c r="I39" s="95"/>
      <c r="J39" s="175">
        <f>H39/DAY(B2)</f>
        <v>-900.6226086956525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80690.009999999995</v>
      </c>
      <c r="F40" s="145">
        <v>81009.039999999994</v>
      </c>
      <c r="G40" s="112">
        <f t="shared" si="3"/>
        <v>319.02999999999884</v>
      </c>
      <c r="H40" s="99">
        <f>G40+'22'!H40</f>
        <v>-2662.0500000000029</v>
      </c>
      <c r="I40" s="95"/>
      <c r="J40" s="175">
        <f>H40/DAY(B2)</f>
        <v>-115.74130434782622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142727.24</v>
      </c>
      <c r="F41" s="145">
        <v>142818.41</v>
      </c>
      <c r="G41" s="112">
        <f t="shared" si="3"/>
        <v>91.170000000012806</v>
      </c>
      <c r="H41" s="99">
        <f>G41+'22'!H41</f>
        <v>1.0000000009313226E-2</v>
      </c>
      <c r="I41" s="95"/>
      <c r="J41" s="175">
        <f>H41/DAY(B2)</f>
        <v>4.3478260910057503E-4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653540.03</v>
      </c>
      <c r="F42" s="145">
        <v>656780.75</v>
      </c>
      <c r="G42" s="112">
        <f t="shared" si="3"/>
        <v>3240.7199999999721</v>
      </c>
      <c r="H42" s="99">
        <f>G42+'22'!H42</f>
        <v>-31851.800000000047</v>
      </c>
      <c r="I42" s="95"/>
      <c r="J42" s="175">
        <f>H42/DAY(B2)</f>
        <v>-1384.8608695652194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407028.03</v>
      </c>
      <c r="F43" s="145">
        <v>407028.03</v>
      </c>
      <c r="G43" s="112">
        <f t="shared" si="3"/>
        <v>0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11371.070000000036</v>
      </c>
      <c r="H47" s="99">
        <f>G47+'22'!H47</f>
        <v>-87675.129999999932</v>
      </c>
      <c r="I47" s="95"/>
      <c r="J47" s="175">
        <f>H47/DAY(B2)</f>
        <v>-3811.9621739130407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339027.51</v>
      </c>
      <c r="F49" s="145">
        <v>342702.67</v>
      </c>
      <c r="G49" s="112">
        <f t="shared" ref="G49:G58" si="4">F49-E49</f>
        <v>3675.1599999999744</v>
      </c>
      <c r="H49" s="99">
        <f>G49+'22'!H49</f>
        <v>-28069.080000000016</v>
      </c>
      <c r="I49" s="95"/>
      <c r="J49" s="175">
        <f>H49/DAY(B2)</f>
        <v>-1220.3947826086965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234360.91</v>
      </c>
      <c r="F50" s="145">
        <v>235549.19</v>
      </c>
      <c r="G50" s="112">
        <f t="shared" si="4"/>
        <v>1188.2799999999988</v>
      </c>
      <c r="H50" s="99">
        <f>G50+'22'!H50</f>
        <v>-7556.2099999999919</v>
      </c>
      <c r="I50" s="95"/>
      <c r="J50" s="175">
        <f>H50/DAY(B2)</f>
        <v>-328.53086956521702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0.31999999999999318</v>
      </c>
      <c r="I51" s="95"/>
      <c r="J51" s="175">
        <f>H51/DAY(B2)</f>
        <v>1.3913043478260573E-2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74204.649999999994</v>
      </c>
      <c r="F54" s="145">
        <v>74554.87</v>
      </c>
      <c r="G54" s="112">
        <f t="shared" si="4"/>
        <v>350.22000000000116</v>
      </c>
      <c r="H54" s="99">
        <f>G54+'22'!H54</f>
        <v>-2462.6300000000047</v>
      </c>
      <c r="I54" s="95"/>
      <c r="J54" s="175">
        <f>H54/DAY(B2)</f>
        <v>-107.07086956521759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256950.75</v>
      </c>
      <c r="F55" s="145">
        <v>260896.35</v>
      </c>
      <c r="G55" s="112">
        <f t="shared" si="4"/>
        <v>3945.6000000000058</v>
      </c>
      <c r="H55" s="99">
        <f>G55+'22'!H55</f>
        <v>-23186.579999999987</v>
      </c>
      <c r="I55" s="95"/>
      <c r="J55" s="175">
        <f>H55/DAY(B2)</f>
        <v>-1008.112173913043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111241.95</v>
      </c>
      <c r="F56" s="145">
        <v>111243.13</v>
      </c>
      <c r="G56" s="112">
        <f t="shared" si="4"/>
        <v>1.180000000007567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106769.26</v>
      </c>
      <c r="F57" s="145">
        <v>109785.89</v>
      </c>
      <c r="G57" s="112">
        <f t="shared" si="4"/>
        <v>3016.6300000000047</v>
      </c>
      <c r="H57" s="99">
        <f>G57+'22'!H57</f>
        <v>-22117.810000000012</v>
      </c>
      <c r="I57" s="95"/>
      <c r="J57" s="175">
        <f>H57/DAY(B2)</f>
        <v>-961.64391304347885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38013.53</v>
      </c>
      <c r="F58" s="145">
        <v>38309.42</v>
      </c>
      <c r="G58" s="112">
        <f t="shared" si="4"/>
        <v>295.88999999999942</v>
      </c>
      <c r="H58" s="99">
        <f>G58+'22'!H58</f>
        <v>-1970.6900000000023</v>
      </c>
      <c r="I58" s="95"/>
      <c r="J58" s="175">
        <f>H58/DAY(B2)</f>
        <v>-85.682173913043584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12472.959999999992</v>
      </c>
      <c r="H59" s="99">
        <f>G59+'22'!H59</f>
        <v>-85362.68000000008</v>
      </c>
      <c r="I59" s="95">
        <f>G7-G60</f>
        <v>3655.9699999999721</v>
      </c>
      <c r="J59" s="175">
        <f>H59/DAY(B2)</f>
        <v>-3711.420869565221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23844.030000000028</v>
      </c>
      <c r="H60" s="99">
        <f>G60+'22'!H60</f>
        <v>-173037.81</v>
      </c>
      <c r="I60" s="95">
        <f>G13-G60</f>
        <v>2487.2700000000186</v>
      </c>
      <c r="J60" s="175">
        <f>H60/DAY(B2)</f>
        <v>-7523.3830434782603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'22'!F62</f>
        <v>291929</v>
      </c>
      <c r="F62" s="122">
        <v>292038</v>
      </c>
      <c r="G62" s="112">
        <f t="shared" ref="G62:G63" si="5">F62-E62</f>
        <v>109</v>
      </c>
      <c r="H62" s="99">
        <f>G62+'22'!H62</f>
        <v>-660</v>
      </c>
      <c r="I62" s="118"/>
      <c r="J62" s="175">
        <f>H62/DAY(B2)</f>
        <v>-28.695652173913043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'22'!F63</f>
        <v>234087</v>
      </c>
      <c r="F63" s="122">
        <v>234223</v>
      </c>
      <c r="G63" s="112">
        <f t="shared" si="5"/>
        <v>136</v>
      </c>
      <c r="H63" s="99">
        <f>G63+'22'!H63</f>
        <v>-843</v>
      </c>
      <c r="I63" s="118"/>
      <c r="J63" s="175">
        <f>H63/DAY(B2)</f>
        <v>-36.652173913043477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'22'!F64</f>
        <v>0</v>
      </c>
      <c r="F64" s="122"/>
      <c r="G64" s="112">
        <f>G62+G63</f>
        <v>245</v>
      </c>
      <c r="H64" s="99">
        <f>G64+'22'!H64</f>
        <v>-1503</v>
      </c>
      <c r="I64" s="118"/>
      <c r="J64" s="175">
        <f>H64/DAY(B2)</f>
        <v>-65.347826086956516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'22'!F65</f>
        <v>450601</v>
      </c>
      <c r="F65" s="122">
        <v>450720</v>
      </c>
      <c r="G65" s="112">
        <f t="shared" ref="G65:G70" si="6">F65-E65</f>
        <v>119</v>
      </c>
      <c r="H65" s="99">
        <f>G65+'22'!H65</f>
        <v>-669</v>
      </c>
      <c r="I65" s="118"/>
      <c r="J65" s="175">
        <f>H65/DAY(B2)</f>
        <v>-29.086956521739129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110879</v>
      </c>
      <c r="F66" s="122">
        <v>110899</v>
      </c>
      <c r="G66" s="112">
        <f t="shared" si="6"/>
        <v>20</v>
      </c>
      <c r="H66" s="99">
        <f>G66+'22'!H66</f>
        <v>-128</v>
      </c>
      <c r="I66" s="118"/>
      <c r="J66" s="175">
        <f>H66/DAY(B2)</f>
        <v>-5.5652173913043477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113681</v>
      </c>
      <c r="F67" s="150">
        <v>113681</v>
      </c>
      <c r="G67" s="112">
        <f t="shared" si="6"/>
        <v>0</v>
      </c>
      <c r="H67" s="99">
        <f>G67+'22'!H67</f>
        <v>1</v>
      </c>
      <c r="I67" s="118"/>
      <c r="J67" s="175">
        <f>H67/DAY(B2)</f>
        <v>4.3478260869565216E-2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163247</v>
      </c>
      <c r="F68" s="122">
        <v>163279</v>
      </c>
      <c r="G68" s="112">
        <f t="shared" si="6"/>
        <v>32</v>
      </c>
      <c r="H68" s="99">
        <f>G68+'22'!H68</f>
        <v>-247</v>
      </c>
      <c r="I68" s="118"/>
      <c r="J68" s="175">
        <f>H68/DAY(B2)</f>
        <v>-10.739130434782609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12090</v>
      </c>
      <c r="F69" s="122">
        <v>12095</v>
      </c>
      <c r="G69" s="112">
        <f t="shared" si="6"/>
        <v>5</v>
      </c>
      <c r="H69" s="99">
        <f>G69+'22'!H69</f>
        <v>-33</v>
      </c>
      <c r="I69" s="118"/>
      <c r="J69" s="175">
        <f>H69/DAY(B2)</f>
        <v>-1.4347826086956521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9454</v>
      </c>
      <c r="F70" s="150">
        <v>9464</v>
      </c>
      <c r="G70" s="112">
        <f t="shared" si="6"/>
        <v>10</v>
      </c>
      <c r="H70" s="99">
        <f>G70+'22'!H70</f>
        <v>-50</v>
      </c>
      <c r="I70" s="118"/>
      <c r="J70" s="175">
        <f>H70/DAY(B2)</f>
        <v>-2.1739130434782608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186</v>
      </c>
      <c r="H71" s="99">
        <f>G71+'22'!H71</f>
        <v>-1126</v>
      </c>
      <c r="I71" s="154"/>
      <c r="J71" s="175">
        <f>H71/DAY(B2)</f>
        <v>-48.956521739130437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'22'!F74</f>
        <v>945423.5</v>
      </c>
      <c r="F74" s="117">
        <v>945711.89</v>
      </c>
      <c r="G74" s="112">
        <f t="shared" ref="G74:G78" si="7">F74-E74</f>
        <v>288.39000000001397</v>
      </c>
      <c r="H74" s="99">
        <f>G74+'22'!H74</f>
        <v>-1995.3099999999395</v>
      </c>
      <c r="I74" s="154"/>
      <c r="J74" s="175">
        <f>H74/DAY(B2)</f>
        <v>-86.752608695649542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'22'!F76</f>
        <v>186139.5</v>
      </c>
      <c r="F76" s="123">
        <v>186235.77</v>
      </c>
      <c r="G76" s="112">
        <f t="shared" si="7"/>
        <v>96.269999999989523</v>
      </c>
      <c r="H76" s="99">
        <f>G76+'22'!H76</f>
        <v>-655.52999999999884</v>
      </c>
      <c r="I76" s="154"/>
      <c r="J76" s="175">
        <f>H76/DAY(B2)</f>
        <v>-28.501304347826036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'22'!F77</f>
        <v>48386.2</v>
      </c>
      <c r="F77" s="123">
        <v>48423.8</v>
      </c>
      <c r="G77" s="112">
        <f t="shared" si="7"/>
        <v>37.600000000005821</v>
      </c>
      <c r="H77" s="99">
        <f>G77+'22'!H77</f>
        <v>-312</v>
      </c>
      <c r="I77" s="154"/>
      <c r="J77" s="175">
        <f>H77/DAY(B2)</f>
        <v>-13.565217391304348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-0.3999999999996362</v>
      </c>
      <c r="I78" s="118"/>
      <c r="J78" s="175">
        <f>H78/DAY(B2)</f>
        <v>-1.739130434781027E-2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'22'!F79</f>
        <v>0</v>
      </c>
      <c r="F79" s="123"/>
      <c r="G79" s="112">
        <f>G15-SUM(G74:G78)</f>
        <v>577.73999999999069</v>
      </c>
      <c r="H79" s="99">
        <f>G79+'22'!H79</f>
        <v>26346.070000000014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42275.23</v>
      </c>
      <c r="F84" s="164">
        <v>42275</v>
      </c>
      <c r="G84" s="112">
        <f t="shared" si="8"/>
        <v>-0.23000000000320142</v>
      </c>
      <c r="H84" s="99">
        <f>G84+'22'!H84</f>
        <v>0</v>
      </c>
      <c r="I84" s="573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4732.1499999999996</v>
      </c>
      <c r="F85" s="164">
        <v>4746.25</v>
      </c>
      <c r="G85" s="112">
        <f t="shared" si="8"/>
        <v>14.100000000000364</v>
      </c>
      <c r="H85" s="99">
        <f>G85+'22'!H85</f>
        <v>-135.76000000000022</v>
      </c>
      <c r="I85" s="573"/>
      <c r="J85" s="175">
        <f>H85/DAY(B2)</f>
        <v>-5.9026086956521837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44677.14</v>
      </c>
      <c r="F86" s="164">
        <v>44701.21</v>
      </c>
      <c r="G86" s="112">
        <f t="shared" si="8"/>
        <v>24.069999999999709</v>
      </c>
      <c r="H86" s="99">
        <f>G86+'22'!H86</f>
        <v>-151.09000000000378</v>
      </c>
      <c r="I86" s="573"/>
      <c r="J86" s="175">
        <f>H86/DAY(B2)</f>
        <v>-6.5691304347827728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35358.04</v>
      </c>
      <c r="F87" s="164">
        <v>35358</v>
      </c>
      <c r="G87" s="112">
        <f t="shared" si="8"/>
        <v>-4.0000000000873115E-2</v>
      </c>
      <c r="H87" s="99">
        <f>G87+'22'!H87</f>
        <v>-5.0000000002910383E-2</v>
      </c>
      <c r="I87" s="573">
        <f>G84+G85+G86+G87</f>
        <v>37.899999999995998</v>
      </c>
      <c r="J87" s="175">
        <f>H87/DAY(B2)</f>
        <v>-2.1739130436047994E-3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24277.14</v>
      </c>
      <c r="F88" s="164">
        <v>24277.14</v>
      </c>
      <c r="G88" s="112">
        <f t="shared" si="8"/>
        <v>0</v>
      </c>
      <c r="H88" s="99">
        <f>G88+'22'!H88</f>
        <v>-6.0000000001309672E-2</v>
      </c>
      <c r="I88" s="573"/>
      <c r="J88" s="175">
        <f>H88/DAY(B2)</f>
        <v>-2.6086956522308551E-3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27215.93</v>
      </c>
      <c r="F89" s="164">
        <v>27225.58</v>
      </c>
      <c r="G89" s="112">
        <f t="shared" si="8"/>
        <v>9.6500000000014552</v>
      </c>
      <c r="H89" s="99">
        <f>G89+'22'!H89</f>
        <v>-65.839999999996508</v>
      </c>
      <c r="I89" s="573">
        <f>G88+G89</f>
        <v>9.6500000000014552</v>
      </c>
      <c r="J89" s="175">
        <f>H89/DAY(B2)</f>
        <v>-2.862608695652022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72250.17</v>
      </c>
      <c r="F90" s="164">
        <v>72260.55</v>
      </c>
      <c r="G90" s="112">
        <f t="shared" si="8"/>
        <v>10.380000000004657</v>
      </c>
      <c r="H90" s="99">
        <f>G90+'22'!H90</f>
        <v>-40.579999999987194</v>
      </c>
      <c r="I90" s="573">
        <f>G90</f>
        <v>10.380000000004657</v>
      </c>
      <c r="J90" s="175">
        <f>H90/DAY(B2)</f>
        <v>-1.7643478260863998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4122</v>
      </c>
      <c r="F91" s="122">
        <v>4122</v>
      </c>
      <c r="G91" s="112">
        <f t="shared" si="8"/>
        <v>0</v>
      </c>
      <c r="H91" s="99">
        <f>G91+'22'!H91</f>
        <v>-16.4399999999996</v>
      </c>
      <c r="I91" s="592"/>
      <c r="J91" s="175">
        <f>H91/DAY(B2)</f>
        <v>-0.71478260869563481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6451.96</v>
      </c>
      <c r="F92" s="122">
        <v>6462</v>
      </c>
      <c r="G92" s="112">
        <f t="shared" si="8"/>
        <v>10.039999999999964</v>
      </c>
      <c r="H92" s="99">
        <f>G92+'22'!H92</f>
        <v>-53.340000000000146</v>
      </c>
      <c r="I92" s="598">
        <f>G91+G92</f>
        <v>10.039999999999964</v>
      </c>
      <c r="J92" s="175">
        <f>H92/DAY(B2)</f>
        <v>-2.3191304347826152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6691.789999999979</v>
      </c>
      <c r="H94" s="99">
        <f>G94+'22'!H94</f>
        <v>-50185.909999999989</v>
      </c>
      <c r="I94" s="118"/>
      <c r="J94" s="175">
        <f>H94/DAY(B2)</f>
        <v>-2181.9960869565211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0.24333781818181743</v>
      </c>
      <c r="H95" s="99">
        <f>G95+'22'!H95</f>
        <v>-1.7379957264430614</v>
      </c>
      <c r="I95" s="167"/>
      <c r="J95" s="175">
        <f>H95/DAY(B2)</f>
        <v>-7.5565031584480927E-2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7278.6699999999983</v>
      </c>
      <c r="H96" s="99">
        <f>G96+'22'!H96</f>
        <v>-55038.370000000054</v>
      </c>
      <c r="I96" s="118"/>
      <c r="J96" s="175">
        <f>H96/DAY(B2)</f>
        <v>-2392.9726086956543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0.26467890909090902</v>
      </c>
      <c r="H97" s="99">
        <f>G97+'22'!H97</f>
        <v>-1.9235731549090469</v>
      </c>
      <c r="I97" s="167"/>
      <c r="J97" s="175">
        <f>H97/DAY(B2)</f>
        <v>-8.3633615430828132E-2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3028.1199999999953</v>
      </c>
      <c r="H98" s="99">
        <f>G98+'22'!H98</f>
        <v>-20714.320000000007</v>
      </c>
      <c r="I98" s="168"/>
      <c r="J98" s="175">
        <f>H98/DAY(B2)</f>
        <v>-900.6226086956525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0.11011345454545438</v>
      </c>
      <c r="H99" s="99">
        <f>G99+'22'!H99</f>
        <v>-0.71545388081783923</v>
      </c>
      <c r="I99" s="168"/>
      <c r="J99" s="175">
        <f>H99/DAY(B2)</f>
        <v>-3.1106690470340835E-2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2279.8400000000256</v>
      </c>
      <c r="H100" s="99">
        <f>G100+'22'!H100</f>
        <v>-15157.959999999955</v>
      </c>
      <c r="I100" s="118"/>
      <c r="J100" s="175">
        <f>H100/DAY(B2)</f>
        <v>-659.0417391304328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8.2903272727273658E-2</v>
      </c>
      <c r="H101" s="99">
        <f>G101+'22'!H101</f>
        <v>-0.52236156223579999</v>
      </c>
      <c r="I101" s="168"/>
      <c r="J101" s="175">
        <f>H101/DAY(B2)</f>
        <v>-2.271137227112174E-2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1963.359999999986</v>
      </c>
      <c r="H102" s="99">
        <f>G102+'22'!H102</f>
        <v>-13554.110000000015</v>
      </c>
      <c r="I102" s="168"/>
      <c r="J102" s="175">
        <f>H102/DAY(B2)</f>
        <v>-589.30913043478324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7.1394909090908579E-2</v>
      </c>
      <c r="H103" s="99">
        <f>G103+'22'!H103</f>
        <v>-0.47070787612105519</v>
      </c>
      <c r="I103" s="118"/>
      <c r="J103" s="175">
        <f>H103/DAY(B2)</f>
        <v>-2.0465559831350226E-2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1637.1100000000442</v>
      </c>
      <c r="H104" s="99">
        <f>G104+'22'!H104</f>
        <v>-11291.769999999968</v>
      </c>
      <c r="I104" s="118"/>
      <c r="J104" s="175">
        <f>H104/DAY(B2)</f>
        <v>-490.94652173912903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5.9531272727274334E-2</v>
      </c>
      <c r="H105" s="99">
        <f>G105+'22'!H105</f>
        <v>-0.38981800708114384</v>
      </c>
      <c r="I105" s="187"/>
      <c r="J105" s="188">
        <f>H105/DAY(B2)</f>
        <v>-1.6948609003527994E-2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'22'!F112</f>
        <v>4344.38</v>
      </c>
      <c r="F112" s="237">
        <v>4419.18</v>
      </c>
      <c r="G112" s="112">
        <f t="shared" ref="G112:G123" si="9">F112-E112</f>
        <v>74.800000000000182</v>
      </c>
      <c r="H112" s="99">
        <f>G112+'22'!H112</f>
        <v>-510.55999999999949</v>
      </c>
      <c r="I112" s="165"/>
      <c r="J112" s="328">
        <f>H112/DAY(B2)</f>
        <v>-22.198260869565196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'22'!F113</f>
        <v>9486.23</v>
      </c>
      <c r="F113" s="237">
        <v>9631.57</v>
      </c>
      <c r="G113" s="112">
        <f t="shared" si="9"/>
        <v>145.34000000000015</v>
      </c>
      <c r="H113" s="99">
        <f>G113+'22'!H113</f>
        <v>-1001.1499999999996</v>
      </c>
      <c r="I113" s="165"/>
      <c r="J113" s="328">
        <f>H113/DAY(B2)</f>
        <v>-43.528260869565202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'22'!F114</f>
        <v>12402.32</v>
      </c>
      <c r="F114" s="237">
        <v>12623.84</v>
      </c>
      <c r="G114" s="112">
        <f t="shared" si="9"/>
        <v>221.52000000000044</v>
      </c>
      <c r="H114" s="99">
        <f>G114+'22'!H114</f>
        <v>-1569.9599999999991</v>
      </c>
      <c r="I114" s="165"/>
      <c r="J114" s="328">
        <f>H114/DAY(B2)</f>
        <v>-68.259130434782577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'22'!F115</f>
        <v>7884.61</v>
      </c>
      <c r="F115" s="237">
        <v>8013.19</v>
      </c>
      <c r="G115" s="112">
        <f t="shared" si="9"/>
        <v>128.57999999999993</v>
      </c>
      <c r="H115" s="99">
        <f>G115+'22'!H115</f>
        <v>-1007.5900000000011</v>
      </c>
      <c r="I115" s="165"/>
      <c r="J115" s="328">
        <f>H115/DAY(B2)</f>
        <v>-43.808260869565267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'22'!F116</f>
        <v>55701.99</v>
      </c>
      <c r="F116" s="237">
        <v>56100.76</v>
      </c>
      <c r="G116" s="112">
        <f t="shared" si="9"/>
        <v>398.77000000000407</v>
      </c>
      <c r="H116" s="99">
        <f>G116+'22'!H116</f>
        <v>-2789.7900000000009</v>
      </c>
      <c r="I116" s="165"/>
      <c r="J116" s="328">
        <f>H116/DAY(B2)</f>
        <v>-121.29521739130439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'22'!F117</f>
        <v>30589.97</v>
      </c>
      <c r="F117" s="237">
        <v>30894.99</v>
      </c>
      <c r="G117" s="112">
        <f t="shared" si="9"/>
        <v>305.02000000000044</v>
      </c>
      <c r="H117" s="99">
        <f>G117+'22'!H117</f>
        <v>-1993.4900000000016</v>
      </c>
      <c r="I117" s="165"/>
      <c r="J117" s="328">
        <f>H117/DAY(B2)</f>
        <v>-86.673478260869629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'22'!F118</f>
        <v>39714.81</v>
      </c>
      <c r="F118" s="237">
        <v>40382.199999999997</v>
      </c>
      <c r="G118" s="112">
        <f t="shared" si="9"/>
        <v>667.38999999999942</v>
      </c>
      <c r="H118" s="99">
        <f>G118+'22'!H118</f>
        <v>-4538.1100000000006</v>
      </c>
      <c r="I118" s="165"/>
      <c r="J118" s="328">
        <f>H118/DAY(B2)</f>
        <v>-197.30913043478265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'22'!F119</f>
        <v>28362.78</v>
      </c>
      <c r="F119" s="237">
        <v>28635.66</v>
      </c>
      <c r="G119" s="112">
        <f t="shared" si="9"/>
        <v>272.88000000000102</v>
      </c>
      <c r="H119" s="99">
        <f>G119+'22'!H119</f>
        <v>-1706.9399999999987</v>
      </c>
      <c r="I119" s="165"/>
      <c r="J119" s="328">
        <f>H119/DAY(B2)</f>
        <v>-74.2147826086956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'22'!F120</f>
        <v>29629.119999999999</v>
      </c>
      <c r="F120" s="237">
        <v>30065.23</v>
      </c>
      <c r="G120" s="112">
        <f t="shared" si="9"/>
        <v>436.11000000000058</v>
      </c>
      <c r="H120" s="99">
        <f>G120+'22'!H120</f>
        <v>-3040.3299999999981</v>
      </c>
      <c r="I120" s="165"/>
      <c r="J120" s="328">
        <f>H120/DAY(B2)</f>
        <v>-132.18826086956514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'22'!F121</f>
        <v>36048.81</v>
      </c>
      <c r="F121" s="237">
        <v>36514</v>
      </c>
      <c r="G121" s="112">
        <f t="shared" si="9"/>
        <v>465.19000000000233</v>
      </c>
      <c r="H121" s="99">
        <f>G121+'22'!H121</f>
        <v>-3073.9000000000015</v>
      </c>
      <c r="I121" s="165"/>
      <c r="J121" s="328">
        <f>H121/DAY(B2)</f>
        <v>-133.6478260869566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'22'!F122</f>
        <v>17765.34</v>
      </c>
      <c r="F122" s="237">
        <v>18040.96</v>
      </c>
      <c r="G122" s="112">
        <f t="shared" si="9"/>
        <v>275.61999999999898</v>
      </c>
      <c r="H122" s="99">
        <f>G122+'22'!H122</f>
        <v>-1924.9200000000019</v>
      </c>
      <c r="I122" s="165"/>
      <c r="J122" s="328">
        <f>H122/DAY(B2)</f>
        <v>-83.692173913043561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'22'!F123</f>
        <v>17844.72</v>
      </c>
      <c r="F123" s="237">
        <v>18158.169999999998</v>
      </c>
      <c r="G123" s="112">
        <f t="shared" si="9"/>
        <v>313.44999999999709</v>
      </c>
      <c r="H123" s="99">
        <f>G123+'22'!H123</f>
        <v>-2183.8300000000017</v>
      </c>
      <c r="I123" s="165"/>
      <c r="J123" s="328">
        <f>H123/DAY(B2)</f>
        <v>-94.949130434782688</v>
      </c>
    </row>
    <row r="124" spans="1:18" ht="30.75" customHeight="1">
      <c r="A124" s="929"/>
      <c r="B124" s="930"/>
      <c r="C124" s="931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3704.6700000000046</v>
      </c>
      <c r="H125" s="156"/>
      <c r="I125" s="327">
        <f>G125-(G39+G53)</f>
        <v>676.55000000000928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'22'!F128</f>
        <v>107442.18</v>
      </c>
      <c r="F128" s="155">
        <v>108007.89</v>
      </c>
      <c r="G128" s="112">
        <f t="shared" ref="G128:G134" si="10">F128-E128</f>
        <v>565.7100000000064</v>
      </c>
      <c r="H128" s="99">
        <f>G128+'22'!H128</f>
        <v>-3867.9700000000012</v>
      </c>
      <c r="I128" s="165"/>
      <c r="J128" s="328">
        <f>H128/DAY(B2)</f>
        <v>-168.17260869565223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65222.47</v>
      </c>
      <c r="F129" s="155">
        <v>65421.46</v>
      </c>
      <c r="G129" s="112">
        <f t="shared" si="10"/>
        <v>198.98999999999796</v>
      </c>
      <c r="H129" s="99">
        <f>G129+'22'!H129</f>
        <v>-1280.3199999999997</v>
      </c>
      <c r="I129" s="165"/>
      <c r="J129" s="328">
        <f>H129/DAY(B2)</f>
        <v>-55.666086956521724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135578.57</v>
      </c>
      <c r="F130" s="155">
        <v>136346.54999999999</v>
      </c>
      <c r="G130" s="112">
        <f t="shared" si="10"/>
        <v>767.97999999998137</v>
      </c>
      <c r="H130" s="99">
        <f>G130+'22'!H130</f>
        <v>-5951.3699999999953</v>
      </c>
      <c r="I130" s="165"/>
      <c r="J130" s="328">
        <f>H130/DAY(B2)</f>
        <v>-258.75521739130414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'22'!F131</f>
        <v>40841.440000000002</v>
      </c>
      <c r="F131" s="155">
        <v>41080.19</v>
      </c>
      <c r="G131" s="112">
        <f t="shared" si="10"/>
        <v>238.75</v>
      </c>
      <c r="H131" s="99">
        <f>G131+'22'!H131</f>
        <v>-1538.0099999999948</v>
      </c>
      <c r="I131" s="165"/>
      <c r="J131" s="328">
        <f>H131/DAY(B2)</f>
        <v>-66.869999999999777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95">
        <f>'22'!F132</f>
        <v>112591.36</v>
      </c>
      <c r="F132" s="155">
        <v>113062.21</v>
      </c>
      <c r="G132" s="112">
        <f t="shared" si="10"/>
        <v>470.85000000000582</v>
      </c>
      <c r="H132" s="99">
        <f>G132+'22'!H132</f>
        <v>-3228.7899999999936</v>
      </c>
      <c r="I132" s="165"/>
      <c r="J132" s="328">
        <f>H132/DAY(B2)</f>
        <v>-140.3821739130432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'22'!F133</f>
        <v>218234.05</v>
      </c>
      <c r="F133" s="155">
        <v>218841.49</v>
      </c>
      <c r="G133" s="112">
        <f t="shared" si="10"/>
        <v>607.44000000000233</v>
      </c>
      <c r="H133" s="99">
        <f>G133+'22'!H133</f>
        <v>3030.9199999999837</v>
      </c>
      <c r="I133" s="165"/>
      <c r="J133" s="328">
        <f>H133/DAY(B2)</f>
        <v>131.77913043478191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'22'!F134</f>
        <v>40114.58</v>
      </c>
      <c r="F134" s="374">
        <v>40325.360000000001</v>
      </c>
      <c r="G134" s="112">
        <f t="shared" si="10"/>
        <v>210.77999999999884</v>
      </c>
      <c r="H134" s="99">
        <f>G134+'22'!H134</f>
        <v>-1419.6399999999994</v>
      </c>
      <c r="I134" s="165"/>
      <c r="J134" s="328">
        <f>H134/DAY(B2)</f>
        <v>-61.723478260869541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465"/>
      <c r="G135" s="112">
        <f>SUM(G128:G134)</f>
        <v>3060.4999999999927</v>
      </c>
      <c r="H135" s="99">
        <f>G135+'10'!H135</f>
        <v>30625.19999999999</v>
      </c>
      <c r="I135" s="327">
        <f>G135-(G35+G49)</f>
        <v>-614.65999999998166</v>
      </c>
      <c r="J135" s="328"/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'22'!F138</f>
        <v>886283</v>
      </c>
      <c r="F138" s="147">
        <v>886418</v>
      </c>
      <c r="G138" s="112">
        <f t="shared" ref="G138:G152" si="11">F138-E138</f>
        <v>135</v>
      </c>
      <c r="H138" s="99">
        <f>G138+'22'!H138</f>
        <v>-806</v>
      </c>
      <c r="I138" s="118"/>
      <c r="J138" s="328">
        <f>H138/DAY(B2)</f>
        <v>-35.043478260869563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'22'!F139</f>
        <v>902848</v>
      </c>
      <c r="F139" s="148">
        <v>902998</v>
      </c>
      <c r="G139" s="112">
        <f t="shared" si="11"/>
        <v>150</v>
      </c>
      <c r="H139" s="99">
        <f>G139+'22'!H139</f>
        <v>-1092</v>
      </c>
      <c r="I139" s="118"/>
      <c r="J139" s="328">
        <f>H139/DAY(B2)</f>
        <v>-47.478260869565219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'22'!F140</f>
        <v>938.16</v>
      </c>
      <c r="F140" s="149">
        <v>955.13</v>
      </c>
      <c r="G140" s="112">
        <f t="shared" si="11"/>
        <v>16.970000000000027</v>
      </c>
      <c r="H140" s="99">
        <f>G140+'22'!H140</f>
        <v>-88050.52</v>
      </c>
      <c r="I140" s="118"/>
      <c r="J140" s="328">
        <f>H140/DAY(B2)</f>
        <v>-3828.2834782608697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'22'!F141</f>
        <v>82494.98</v>
      </c>
      <c r="F141" s="149">
        <v>82712.28</v>
      </c>
      <c r="G141" s="112">
        <f t="shared" si="11"/>
        <v>217.30000000000291</v>
      </c>
      <c r="H141" s="99">
        <f>G141+'22'!H141</f>
        <v>-1402.9199999999983</v>
      </c>
      <c r="I141" s="118"/>
      <c r="J141" s="328">
        <f>H141/DAY(B2)</f>
        <v>-60.996521739130358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'22'!F142</f>
        <v>33750.75</v>
      </c>
      <c r="F142" s="148">
        <v>33844.15</v>
      </c>
      <c r="G142" s="112">
        <f t="shared" si="11"/>
        <v>93.400000000001455</v>
      </c>
      <c r="H142" s="99">
        <f>G142+'22'!H142</f>
        <v>-541.31999999999971</v>
      </c>
      <c r="I142" s="140"/>
      <c r="J142" s="328">
        <f>H142/DAY(B2)</f>
        <v>-23.535652173913032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'22'!F143</f>
        <v>7934.61</v>
      </c>
      <c r="F143" s="149">
        <v>7963.14</v>
      </c>
      <c r="G143" s="112">
        <f t="shared" si="11"/>
        <v>28.530000000000655</v>
      </c>
      <c r="H143" s="99">
        <f>G143+'22'!H143</f>
        <v>-195.17999999999938</v>
      </c>
      <c r="I143" s="140"/>
      <c r="J143" s="328">
        <f>H143/DAY(B2)</f>
        <v>-8.4860869565217119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'22'!F144</f>
        <v>910395</v>
      </c>
      <c r="F144" s="149">
        <v>910626</v>
      </c>
      <c r="G144" s="112">
        <f t="shared" si="11"/>
        <v>231</v>
      </c>
      <c r="H144" s="99">
        <f>G144+'22'!H144</f>
        <v>-1651</v>
      </c>
      <c r="I144" s="140"/>
      <c r="J144" s="328">
        <f>H144/DAY(B2)</f>
        <v>-71.782608695652172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'22'!F145</f>
        <v>5665</v>
      </c>
      <c r="F145" s="149">
        <v>5665.31</v>
      </c>
      <c r="G145" s="112">
        <f t="shared" si="11"/>
        <v>0.31000000000040018</v>
      </c>
      <c r="H145" s="99">
        <f>G145+'22'!H145</f>
        <v>-1.25</v>
      </c>
      <c r="I145" s="140"/>
      <c r="J145" s="328">
        <f>H145/DAY(B2)</f>
        <v>-5.434782608695652E-2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'22'!F146</f>
        <v>778943</v>
      </c>
      <c r="F146" s="148">
        <v>779015</v>
      </c>
      <c r="G146" s="112">
        <f t="shared" si="11"/>
        <v>72</v>
      </c>
      <c r="H146" s="99">
        <f>G146+'22'!H146</f>
        <v>-313</v>
      </c>
      <c r="I146" s="140"/>
      <c r="J146" s="328">
        <f>H146/DAY(B2)</f>
        <v>-13.608695652173912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'22'!F147</f>
        <v>684424.88</v>
      </c>
      <c r="F147" s="148">
        <v>684789</v>
      </c>
      <c r="G147" s="112">
        <f t="shared" si="11"/>
        <v>364.11999999999534</v>
      </c>
      <c r="H147" s="99">
        <f>G147+'22'!H147</f>
        <v>-2737.1600000000326</v>
      </c>
      <c r="I147" s="140"/>
      <c r="J147" s="328">
        <f>H147/DAY(B2)</f>
        <v>-119.00695652174055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'22'!F148</f>
        <v>736571.6</v>
      </c>
      <c r="F148" s="150">
        <v>736878.64</v>
      </c>
      <c r="G148" s="112">
        <f t="shared" si="11"/>
        <v>307.04000000003725</v>
      </c>
      <c r="H148" s="99">
        <f>G148+'22'!H148</f>
        <v>-2068.640000000014</v>
      </c>
      <c r="I148" s="124"/>
      <c r="J148" s="328">
        <f>H148/DAY(B2)</f>
        <v>-89.940869565217994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'22'!F149</f>
        <v>112834.58</v>
      </c>
      <c r="F149" s="227">
        <v>113370.66</v>
      </c>
      <c r="G149" s="112">
        <f t="shared" si="11"/>
        <v>536.08000000000175</v>
      </c>
      <c r="H149" s="99">
        <f>G149+'22'!H149</f>
        <v>-3162.1399999999994</v>
      </c>
      <c r="I149" s="119"/>
      <c r="J149" s="328">
        <f>H149/DAY(B2)</f>
        <v>-137.48434782608692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'22'!F150</f>
        <v>41997.440000000002</v>
      </c>
      <c r="F150" s="233">
        <v>42210.78</v>
      </c>
      <c r="G150" s="112">
        <f t="shared" si="11"/>
        <v>213.33999999999651</v>
      </c>
      <c r="H150" s="99">
        <f>G150+'22'!H150</f>
        <v>-1514.3800000000047</v>
      </c>
      <c r="I150" s="119"/>
      <c r="J150" s="328">
        <f>H150/DAY(B2)</f>
        <v>-65.842608695652373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'22'!F151</f>
        <v>124450</v>
      </c>
      <c r="F151" s="233">
        <v>124693</v>
      </c>
      <c r="G151" s="112">
        <f t="shared" si="11"/>
        <v>243</v>
      </c>
      <c r="H151" s="99">
        <f>G151+'22'!H151</f>
        <v>-1910</v>
      </c>
      <c r="I151" s="119"/>
      <c r="J151" s="328">
        <f>H151/DAY(B2)</f>
        <v>-83.043478260869563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'22'!F152</f>
        <v>18269.59</v>
      </c>
      <c r="F152" s="233">
        <v>18398.14</v>
      </c>
      <c r="G152" s="112">
        <f t="shared" si="11"/>
        <v>128.54999999999927</v>
      </c>
      <c r="H152" s="99">
        <f>G152+'22'!H152</f>
        <v>-889.94000000000233</v>
      </c>
      <c r="I152" s="119"/>
      <c r="J152" s="328">
        <f>H152/DAY(B2)</f>
        <v>-38.693043478260968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2736.6400000000358</v>
      </c>
      <c r="H153" s="363"/>
      <c r="I153" s="119">
        <f>G153-(G38+G52)</f>
        <v>456.80000000001019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'22'!F155</f>
        <v>125599.51</v>
      </c>
      <c r="F155" s="374">
        <v>126223.69</v>
      </c>
      <c r="G155" s="112">
        <f t="shared" ref="G155:G158" si="12">F155-E155</f>
        <v>624.18000000000757</v>
      </c>
      <c r="H155" s="99">
        <f>G155+'22'!H155</f>
        <v>-4017.6900000000023</v>
      </c>
      <c r="I155" s="364"/>
      <c r="J155" s="161">
        <v>329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'22'!F156</f>
        <v>11426.68</v>
      </c>
      <c r="F156" s="374">
        <v>11522.38</v>
      </c>
      <c r="G156" s="112">
        <f t="shared" si="12"/>
        <v>95.699999999998909</v>
      </c>
      <c r="H156" s="99">
        <f>G156+'22'!H156</f>
        <v>-570.98000000000138</v>
      </c>
      <c r="I156" s="165"/>
      <c r="J156" s="328">
        <f>H156/DAY(B2)</f>
        <v>-24.82521739130441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'22'!F157</f>
        <v>21862.76</v>
      </c>
      <c r="F157" s="95">
        <v>22022.66</v>
      </c>
      <c r="G157" s="112">
        <f t="shared" si="12"/>
        <v>159.90000000000146</v>
      </c>
      <c r="H157" s="99">
        <f>G157+'22'!H157</f>
        <v>631.65999999999985</v>
      </c>
      <c r="I157" s="165"/>
      <c r="J157" s="328">
        <f>H157/DAY(B2)</f>
        <v>27.463478260869557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'22'!F158</f>
        <v>191.81</v>
      </c>
      <c r="F158" s="95">
        <v>191.87</v>
      </c>
      <c r="G158" s="112">
        <f t="shared" si="12"/>
        <v>6.0000000000002274E-2</v>
      </c>
      <c r="H158" s="99">
        <f>G158+'22'!H158</f>
        <v>1.8700000000000045</v>
      </c>
      <c r="I158" s="165"/>
      <c r="J158" s="328">
        <f>H158/DAY(B2)</f>
        <v>8.1304347826087156E-2</v>
      </c>
    </row>
    <row r="159" spans="1:10" ht="30.75" customHeight="1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477330</v>
      </c>
      <c r="F161" s="235">
        <v>477524.52</v>
      </c>
      <c r="G161" s="238">
        <f t="shared" ref="G161:G165" si="13">F161-E161</f>
        <v>194.52000000001863</v>
      </c>
      <c r="H161" s="99">
        <f>G161+'22'!H161</f>
        <v>858.52000000001863</v>
      </c>
      <c r="I161" s="236"/>
      <c r="J161" s="239">
        <f>H161/DAY(B2)</f>
        <v>37.326956521739938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93498.5</v>
      </c>
      <c r="F162" s="235">
        <v>93545.4</v>
      </c>
      <c r="G162" s="238">
        <f t="shared" si="13"/>
        <v>46.899999999994179</v>
      </c>
      <c r="H162" s="99">
        <f>G162+'22'!H162</f>
        <v>-259.90000000000873</v>
      </c>
      <c r="I162" s="236"/>
      <c r="J162" s="239">
        <f>H162/DAY(B2)</f>
        <v>-11.300000000000379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702.8</v>
      </c>
      <c r="F163" s="235">
        <v>883</v>
      </c>
      <c r="G163" s="238">
        <f t="shared" si="13"/>
        <v>180.20000000000005</v>
      </c>
      <c r="H163" s="99">
        <f>G163+'22'!H163</f>
        <v>98851.900000000009</v>
      </c>
      <c r="I163" s="236"/>
      <c r="J163" s="239">
        <f>H163/DAY(B2)</f>
        <v>4297.9086956521742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5799.9</v>
      </c>
      <c r="F164" s="235">
        <v>5811.9</v>
      </c>
      <c r="G164" s="238">
        <f t="shared" si="13"/>
        <v>12</v>
      </c>
      <c r="H164" s="99">
        <f>G164+'22'!H164</f>
        <v>-86.5</v>
      </c>
      <c r="I164" s="236"/>
      <c r="J164" s="239">
        <f>H164/DAY(B2)</f>
        <v>-3.7608695652173911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31257.38</v>
      </c>
      <c r="F165" s="235">
        <v>31267.56</v>
      </c>
      <c r="G165" s="238">
        <f t="shared" si="13"/>
        <v>10.180000000000291</v>
      </c>
      <c r="H165" s="99">
        <f>G165+'22'!H165</f>
        <v>-79.090000000000146</v>
      </c>
      <c r="I165" s="236"/>
      <c r="J165" s="239">
        <f>H165/DAY(B2)</f>
        <v>-3.4386956521739194</v>
      </c>
    </row>
    <row r="166" spans="1:10" ht="30.75" customHeight="1">
      <c r="A166" s="935"/>
      <c r="B166" s="935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47</v>
      </c>
      <c r="I173" s="155"/>
      <c r="J173" s="178">
        <f>H173/DAY(B2)</f>
        <v>2.0434782608695654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'22'!F174</f>
        <v>40661</v>
      </c>
      <c r="F174" s="157">
        <v>40677</v>
      </c>
      <c r="G174" s="155">
        <f t="shared" ref="G174:G175" si="14">F174-E174</f>
        <v>16</v>
      </c>
      <c r="H174" s="99">
        <f>G174+'22'!H174</f>
        <v>-102</v>
      </c>
      <c r="I174" s="155"/>
      <c r="J174" s="178">
        <f>H174/DAY(B2)</f>
        <v>-4.4347826086956523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'22'!F175</f>
        <v>23561</v>
      </c>
      <c r="F175" s="155">
        <v>23574</v>
      </c>
      <c r="G175" s="155">
        <f t="shared" si="14"/>
        <v>13</v>
      </c>
      <c r="H175" s="99">
        <f>G175+'22'!H175</f>
        <v>-82</v>
      </c>
      <c r="I175" s="155"/>
      <c r="J175" s="178">
        <f>H175/DAY(B2)</f>
        <v>-3.5652173913043477</v>
      </c>
    </row>
    <row r="176" spans="1:10" ht="30.75" customHeight="1">
      <c r="A176" s="932" t="s">
        <v>196</v>
      </c>
      <c r="B176" s="933"/>
      <c r="C176" s="401"/>
      <c r="D176" s="228"/>
      <c r="E176" s="95"/>
      <c r="F176" s="155"/>
      <c r="G176" s="155">
        <f>SUM(G173:G175)</f>
        <v>29</v>
      </c>
      <c r="H176" s="99">
        <f>G176+'22'!H176</f>
        <v>-137</v>
      </c>
      <c r="I176" s="155"/>
      <c r="J176" s="178">
        <f>H176/DAY(B2)</f>
        <v>-5.9565217391304346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'22'!F178</f>
        <v>94174</v>
      </c>
      <c r="F178" s="155">
        <v>94187</v>
      </c>
      <c r="G178" s="155">
        <f>F178-E178</f>
        <v>13</v>
      </c>
      <c r="H178" s="99">
        <f>G178+'22'!H178</f>
        <v>2101</v>
      </c>
      <c r="I178" s="155"/>
      <c r="J178" s="178">
        <f>H178/DAY(B2)</f>
        <v>91.347826086956516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'22'!F179</f>
        <v>36002</v>
      </c>
      <c r="F179" s="155">
        <v>36002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'22'!F180</f>
        <v>6821</v>
      </c>
      <c r="F180" s="155">
        <v>6826</v>
      </c>
      <c r="G180" s="155">
        <f t="shared" si="15"/>
        <v>5</v>
      </c>
      <c r="H180" s="99">
        <f>G180+'22'!H180</f>
        <v>-56</v>
      </c>
      <c r="I180" s="155"/>
      <c r="J180" s="178">
        <f>H180/DAY(B2)</f>
        <v>-2.4347826086956523</v>
      </c>
    </row>
    <row r="181" spans="1:10" ht="30.75" customHeight="1">
      <c r="A181" s="939" t="s">
        <v>108</v>
      </c>
      <c r="B181" s="940"/>
      <c r="C181" s="401"/>
      <c r="D181" s="228"/>
      <c r="E181" s="95"/>
      <c r="F181" s="155"/>
      <c r="G181" s="155">
        <f>SUM(G178:G180)</f>
        <v>18</v>
      </c>
      <c r="H181" s="99">
        <f>G181+'22'!H181</f>
        <v>2045</v>
      </c>
      <c r="I181" s="155"/>
      <c r="J181" s="178">
        <f>H181/DAY(B2)</f>
        <v>88.913043478260875</v>
      </c>
    </row>
    <row r="182" spans="1:10" ht="30.7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95">
        <f>'22'!F183</f>
        <v>17225</v>
      </c>
      <c r="F183" s="157">
        <v>17232</v>
      </c>
      <c r="G183" s="157">
        <f>F183-E183</f>
        <v>7</v>
      </c>
      <c r="H183" s="99">
        <f>G183+'22'!H183</f>
        <v>-43</v>
      </c>
      <c r="I183" s="155"/>
      <c r="J183" s="178">
        <f>H183/DAY(B2)</f>
        <v>-1.8695652173913044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'22'!F184</f>
        <v>11639</v>
      </c>
      <c r="F184" s="157">
        <v>11646</v>
      </c>
      <c r="G184" s="157">
        <f t="shared" ref="G184:G185" si="16">F184-E184</f>
        <v>7</v>
      </c>
      <c r="H184" s="99">
        <f>G184+'22'!H184</f>
        <v>-43</v>
      </c>
      <c r="I184" s="155"/>
      <c r="J184" s="178">
        <f>H184/DAY(B2)</f>
        <v>-1.8695652173913044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9"/>
      <c r="E186" s="95"/>
      <c r="F186" s="157"/>
      <c r="G186" s="157">
        <f>SUM(G183:G185)</f>
        <v>14</v>
      </c>
      <c r="H186" s="99">
        <f>G186+'22'!H186</f>
        <v>-86</v>
      </c>
      <c r="I186" s="157"/>
      <c r="J186" s="178">
        <f>H186/DAY(B2)</f>
        <v>-3.7391304347826089</v>
      </c>
    </row>
    <row r="187" spans="1:10" ht="30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161</v>
      </c>
      <c r="H187" s="99">
        <f>G187+'22'!H187</f>
        <v>-180</v>
      </c>
      <c r="I187" s="158"/>
      <c r="J187" s="179">
        <f>H187/DAY(B2)</f>
        <v>-7.8260869565217392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154</v>
      </c>
      <c r="H188" s="99">
        <f>G188+'22'!H188</f>
        <v>1342</v>
      </c>
      <c r="I188" s="158"/>
      <c r="J188" s="179">
        <f>H188/DAY(B2)</f>
        <v>58.347826086956523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18</v>
      </c>
      <c r="H189" s="99">
        <f>G189+'22'!H189</f>
        <v>477</v>
      </c>
      <c r="I189" s="158"/>
      <c r="J189" s="179">
        <f>H189/DAY(B2)</f>
        <v>20.739130434782609</v>
      </c>
    </row>
    <row r="190" spans="1:10" ht="30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27" zoomScale="55" zoomScaleNormal="44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44736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1146532.47</v>
      </c>
      <c r="F7" s="95">
        <f>E7+27500</f>
        <v>1174032.47</v>
      </c>
      <c r="G7" s="112">
        <f>F7-E7</f>
        <v>27500</v>
      </c>
      <c r="H7" s="99">
        <f>G7+'23'!H7</f>
        <v>651067.97</v>
      </c>
      <c r="I7" s="113">
        <f>'1'!I7</f>
        <v>12000</v>
      </c>
      <c r="J7" s="175">
        <f>H7/DAY(B2)</f>
        <v>27127.832083333331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1286254.6499999999</v>
      </c>
      <c r="F8" s="95">
        <f>E8+27000</f>
        <v>1313254.6499999999</v>
      </c>
      <c r="G8" s="115">
        <f>F8-E8</f>
        <v>27000</v>
      </c>
      <c r="H8" s="99">
        <f>G8+'23'!H8</f>
        <v>651465.64999999991</v>
      </c>
      <c r="I8" s="116"/>
      <c r="J8" s="175">
        <f>H8/DAY(B2)</f>
        <v>27144.402083333331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2823549.1</v>
      </c>
      <c r="F9" s="469">
        <v>2838366.3</v>
      </c>
      <c r="G9" s="112">
        <f>F9-E9</f>
        <v>14817.199999999721</v>
      </c>
      <c r="H9" s="99">
        <f>G9+'23'!H9</f>
        <v>-79282.800000000279</v>
      </c>
      <c r="I9" s="124">
        <f>I7-J7</f>
        <v>-15127.832083333331</v>
      </c>
      <c r="J9" s="175">
        <f>H9/DAY(B2)</f>
        <v>-3303.4500000000116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1146187.2</v>
      </c>
      <c r="F10" s="353">
        <v>1158177.8</v>
      </c>
      <c r="G10" s="112">
        <f t="shared" ref="G10:G12" si="0">F10-E10</f>
        <v>11990.600000000093</v>
      </c>
      <c r="H10" s="99">
        <f>G10+'23'!H10</f>
        <v>-77508.829999999842</v>
      </c>
      <c r="I10" s="282"/>
      <c r="J10" s="175">
        <f>H10/DAY(B2)</f>
        <v>-3229.5345833333267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26807.799999999814</v>
      </c>
      <c r="H13" s="99">
        <f>G13+'23'!H13</f>
        <v>-155062.69999999995</v>
      </c>
      <c r="I13" s="120">
        <f>G7-G13</f>
        <v>692.20000000018626</v>
      </c>
      <c r="J13" s="175">
        <f>H13/DAY(B2)</f>
        <v>-6460.9458333333314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2091461.24</v>
      </c>
      <c r="F15" s="469">
        <f>E15+1000</f>
        <v>2092461.24</v>
      </c>
      <c r="G15" s="112">
        <f>(F15-E15)</f>
        <v>1000</v>
      </c>
      <c r="H15" s="99">
        <f>G15+'23'!H15</f>
        <v>24382.830000000075</v>
      </c>
      <c r="I15" s="113">
        <f>'1'!I15</f>
        <v>800</v>
      </c>
      <c r="J15" s="175">
        <f>H15/DAY(B2)</f>
        <v>1015.9512500000031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-215.95125000000314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'23'!F18</f>
        <v>13</v>
      </c>
      <c r="F18" s="122">
        <v>18</v>
      </c>
      <c r="G18" s="119">
        <f>F18*10</f>
        <v>180</v>
      </c>
      <c r="H18" s="99">
        <f>G18+'23'!H18</f>
        <v>4440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'23'!F19</f>
        <v>161303</v>
      </c>
      <c r="F19" s="122">
        <v>161356</v>
      </c>
      <c r="G19" s="112">
        <f t="shared" ref="G19" si="1">F19-E19</f>
        <v>53</v>
      </c>
      <c r="H19" s="99">
        <f>G19+'23'!H19</f>
        <v>533</v>
      </c>
      <c r="I19" s="335"/>
      <c r="J19" s="175">
        <f>H19/DAY(B2)</f>
        <v>22.208333333333332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G20+'23'!H20</f>
        <v>4973</v>
      </c>
      <c r="I20" s="336">
        <f>I18-J20</f>
        <v>-142.20833333333334</v>
      </c>
      <c r="J20" s="175">
        <f>H20/DAY(B2)</f>
        <v>207.20833333333334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G27+'23'!H27</f>
        <v>5863190.8499999996</v>
      </c>
      <c r="I27" s="138"/>
      <c r="J27" s="175">
        <f>H27/DAY(B2)</f>
        <v>244299.61874999999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52</v>
      </c>
      <c r="G28" s="137">
        <f>E28*F28</f>
        <v>52000</v>
      </c>
      <c r="H28" s="99">
        <f>G28+'23'!H28</f>
        <v>1688798.1000000052</v>
      </c>
      <c r="I28" s="140"/>
      <c r="J28" s="175">
        <f>H28/DAY(B2)</f>
        <v>70366.587500000212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G30+'23'!H30</f>
        <v>80218</v>
      </c>
      <c r="I30" s="140"/>
      <c r="J30" s="175">
        <f>H30/DAY(B2)</f>
        <v>3342.4166666666665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G31+'23'!H31</f>
        <v>355200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317138</v>
      </c>
      <c r="H32" s="99">
        <f>G32+'23'!H32</f>
        <v>7987406.9500000048</v>
      </c>
      <c r="I32" s="144"/>
      <c r="J32" s="175">
        <f>H32/DAY(B2)</f>
        <v>332808.62291666685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238714</v>
      </c>
      <c r="F35" s="145">
        <v>238714</v>
      </c>
      <c r="G35" s="112">
        <f t="shared" ref="G35:G46" si="3">F35-E35</f>
        <v>0</v>
      </c>
      <c r="H35" s="99">
        <f>G35+'23'!H35</f>
        <v>0.95000000001164153</v>
      </c>
      <c r="I35" s="95"/>
      <c r="J35" s="175">
        <f>H35/DAY(B2)</f>
        <v>3.9583333333818395E-2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180922.33</v>
      </c>
      <c r="F36" s="145">
        <v>181742.95</v>
      </c>
      <c r="G36" s="112">
        <f t="shared" si="3"/>
        <v>820.62000000002445</v>
      </c>
      <c r="H36" s="99">
        <f>G36+'23'!H36</f>
        <v>-5177.2799999999988</v>
      </c>
      <c r="I36" s="95"/>
      <c r="J36" s="175">
        <f>H36/DAY(B2)</f>
        <v>-215.71999999999994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275426.90000000002</v>
      </c>
      <c r="F37" s="145">
        <v>277054.95</v>
      </c>
      <c r="G37" s="112">
        <f t="shared" si="3"/>
        <v>1628.0499999999884</v>
      </c>
      <c r="H37" s="99">
        <f>G37+'23'!H37</f>
        <v>-9664.039999999979</v>
      </c>
      <c r="I37" s="95"/>
      <c r="J37" s="175">
        <f>H37/DAY(B2)</f>
        <v>-402.66833333333244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371505.39</v>
      </c>
      <c r="F38" s="108">
        <v>373753.91</v>
      </c>
      <c r="G38" s="112">
        <f t="shared" si="3"/>
        <v>2248.5199999999604</v>
      </c>
      <c r="H38" s="99">
        <f>G38+'23'!H38</f>
        <v>-12909.440000000002</v>
      </c>
      <c r="I38" s="95"/>
      <c r="J38" s="175">
        <f>H38/DAY(B2)</f>
        <v>-537.89333333333343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502666.27</v>
      </c>
      <c r="F39" s="145">
        <v>505659.71</v>
      </c>
      <c r="G39" s="112">
        <f t="shared" si="3"/>
        <v>2993.4400000000023</v>
      </c>
      <c r="H39" s="99">
        <f>G39+'23'!H39</f>
        <v>-17720.880000000005</v>
      </c>
      <c r="I39" s="95"/>
      <c r="J39" s="175">
        <f>H39/DAY(B2)</f>
        <v>-738.37000000000023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81009.039999999994</v>
      </c>
      <c r="F40" s="145">
        <v>81307.820000000007</v>
      </c>
      <c r="G40" s="112">
        <f t="shared" si="3"/>
        <v>298.78000000001339</v>
      </c>
      <c r="H40" s="99">
        <f>G40+'23'!H40</f>
        <v>-2363.2699999999895</v>
      </c>
      <c r="I40" s="95"/>
      <c r="J40" s="175">
        <f>H40/DAY(B2)</f>
        <v>-98.469583333332892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142818.41</v>
      </c>
      <c r="F41" s="145">
        <v>142818.41</v>
      </c>
      <c r="G41" s="112">
        <f t="shared" si="3"/>
        <v>0</v>
      </c>
      <c r="H41" s="99">
        <f>G41+'23'!H41</f>
        <v>1.0000000009313226E-2</v>
      </c>
      <c r="I41" s="95"/>
      <c r="J41" s="175">
        <f>H41/DAY(B2)</f>
        <v>4.1666666705471772E-4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656780.75</v>
      </c>
      <c r="F42" s="145">
        <v>662595.55000000005</v>
      </c>
      <c r="G42" s="112">
        <f t="shared" si="3"/>
        <v>5814.8000000000466</v>
      </c>
      <c r="H42" s="99">
        <f>G42+'23'!H42</f>
        <v>-26037</v>
      </c>
      <c r="I42" s="95"/>
      <c r="J42" s="175">
        <f>H42/DAY(B2)</f>
        <v>-1084.875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13804.210000000036</v>
      </c>
      <c r="H47" s="99">
        <f>G47+'23'!H47</f>
        <v>-73870.919999999896</v>
      </c>
      <c r="I47" s="95"/>
      <c r="J47" s="175">
        <f>H47/DAY(B2)</f>
        <v>-3077.9549999999958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342702.67</v>
      </c>
      <c r="F49" s="145">
        <v>346373.83</v>
      </c>
      <c r="G49" s="112">
        <f t="shared" ref="G49:G58" si="4">F49-E49</f>
        <v>3671.1600000000326</v>
      </c>
      <c r="H49" s="99">
        <f>G49+'23'!H49</f>
        <v>-24397.919999999984</v>
      </c>
      <c r="I49" s="95"/>
      <c r="J49" s="175">
        <f>H49/DAY(B2)</f>
        <v>-1016.5799999999994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235549.19</v>
      </c>
      <c r="F50" s="145">
        <v>236571.91</v>
      </c>
      <c r="G50" s="112">
        <f t="shared" si="4"/>
        <v>1022.7200000000012</v>
      </c>
      <c r="H50" s="99">
        <f>G50+'23'!H50</f>
        <v>-6533.4899999999907</v>
      </c>
      <c r="I50" s="95"/>
      <c r="J50" s="175">
        <f>H50/DAY(B2)</f>
        <v>-272.22874999999959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76</v>
      </c>
      <c r="G51" s="112">
        <f t="shared" si="4"/>
        <v>0</v>
      </c>
      <c r="H51" s="99">
        <f>G51+'23'!H51</f>
        <v>0.31999999999999318</v>
      </c>
      <c r="I51" s="95"/>
      <c r="J51" s="175">
        <f>H51/DAY(B2)</f>
        <v>1.333333333333305E-2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74554.87</v>
      </c>
      <c r="F54" s="145">
        <v>74910.48</v>
      </c>
      <c r="G54" s="112">
        <f t="shared" si="4"/>
        <v>355.61000000000058</v>
      </c>
      <c r="H54" s="99">
        <f>G54+'23'!H54</f>
        <v>-2107.0200000000041</v>
      </c>
      <c r="I54" s="95"/>
      <c r="J54" s="175">
        <f>H54/DAY(B2)</f>
        <v>-87.792500000000175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260896.35</v>
      </c>
      <c r="F55" s="145">
        <v>263552.81</v>
      </c>
      <c r="G55" s="112">
        <f t="shared" si="4"/>
        <v>2656.4599999999919</v>
      </c>
      <c r="H55" s="99">
        <f>G55+'23'!H55</f>
        <v>-20530.119999999995</v>
      </c>
      <c r="I55" s="95"/>
      <c r="J55" s="175">
        <f>H55/DAY(B2)</f>
        <v>-855.42166666666651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111243.13</v>
      </c>
      <c r="F56" s="145">
        <v>111243.13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109785.89</v>
      </c>
      <c r="F57" s="145">
        <v>113016.03</v>
      </c>
      <c r="G57" s="112">
        <f t="shared" si="4"/>
        <v>3230.1399999999994</v>
      </c>
      <c r="H57" s="99">
        <f>G57+'23'!H57</f>
        <v>-18887.670000000013</v>
      </c>
      <c r="I57" s="95"/>
      <c r="J57" s="175">
        <f>H57/DAY(B2)</f>
        <v>-786.9862500000005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38309.42</v>
      </c>
      <c r="F58" s="145">
        <v>38598.43</v>
      </c>
      <c r="G58" s="112">
        <f t="shared" si="4"/>
        <v>289.01000000000204</v>
      </c>
      <c r="H58" s="99">
        <f>G58+'23'!H58</f>
        <v>-1681.6800000000003</v>
      </c>
      <c r="I58" s="95"/>
      <c r="J58" s="175">
        <f>H58/DAY(B2)</f>
        <v>-70.070000000000007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11225.100000000028</v>
      </c>
      <c r="H59" s="99">
        <f>G59+'23'!H59</f>
        <v>-74137.580000000045</v>
      </c>
      <c r="I59" s="95">
        <f>G7-G60</f>
        <v>2470.6899999999368</v>
      </c>
      <c r="J59" s="175">
        <f>H59/DAY(B2)</f>
        <v>-3089.0658333333354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25029.310000000063</v>
      </c>
      <c r="H60" s="99">
        <f>G60+'23'!H60</f>
        <v>-148008.49999999994</v>
      </c>
      <c r="I60" s="95">
        <f>G13-G60</f>
        <v>1778.4899999997506</v>
      </c>
      <c r="J60" s="175">
        <f>H60/DAY(B2)</f>
        <v>-6167.0208333333312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'23'!F62</f>
        <v>292038</v>
      </c>
      <c r="F62" s="122">
        <v>292141</v>
      </c>
      <c r="G62" s="112">
        <f t="shared" ref="G62:G63" si="5">F62-E62</f>
        <v>103</v>
      </c>
      <c r="H62" s="99">
        <f>G62+'23'!H62</f>
        <v>-557</v>
      </c>
      <c r="I62" s="118"/>
      <c r="J62" s="175">
        <f>H62/DAY(B2)</f>
        <v>-23.208333333333332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'23'!F63</f>
        <v>234223</v>
      </c>
      <c r="F63" s="122">
        <v>234289</v>
      </c>
      <c r="G63" s="112">
        <f t="shared" si="5"/>
        <v>66</v>
      </c>
      <c r="H63" s="99">
        <f>G63+'23'!H63</f>
        <v>-777</v>
      </c>
      <c r="I63" s="118"/>
      <c r="J63" s="175">
        <f>H63/DAY(B2)</f>
        <v>-32.375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'23'!F64</f>
        <v>0</v>
      </c>
      <c r="F64" s="122"/>
      <c r="G64" s="112">
        <f>G62+G63</f>
        <v>169</v>
      </c>
      <c r="H64" s="99">
        <f>G64+'23'!H64</f>
        <v>-1334</v>
      </c>
      <c r="I64" s="118"/>
      <c r="J64" s="175">
        <f>H64/DAY(B2)</f>
        <v>-55.583333333333336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'23'!F65</f>
        <v>450720</v>
      </c>
      <c r="F65" s="122">
        <v>450817</v>
      </c>
      <c r="G65" s="112">
        <f t="shared" ref="G65:G70" si="6">F65-E65</f>
        <v>97</v>
      </c>
      <c r="H65" s="99">
        <f>G65+'23'!H65</f>
        <v>-572</v>
      </c>
      <c r="I65" s="118"/>
      <c r="J65" s="175">
        <f>H65/DAY(B2)</f>
        <v>-23.833333333333332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110899</v>
      </c>
      <c r="F66" s="122">
        <v>110918</v>
      </c>
      <c r="G66" s="112">
        <f t="shared" si="6"/>
        <v>19</v>
      </c>
      <c r="H66" s="99">
        <f>G66+'23'!H66</f>
        <v>-109</v>
      </c>
      <c r="I66" s="118"/>
      <c r="J66" s="175">
        <f>H66/DAY(B2)</f>
        <v>-4.541666666666667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113681</v>
      </c>
      <c r="F67" s="122">
        <v>113681</v>
      </c>
      <c r="G67" s="112">
        <f t="shared" si="6"/>
        <v>0</v>
      </c>
      <c r="H67" s="99">
        <f>G67+'23'!H67</f>
        <v>1</v>
      </c>
      <c r="I67" s="118"/>
      <c r="J67" s="175">
        <f>H67/DAY(B2)</f>
        <v>4.1666666666666664E-2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163279</v>
      </c>
      <c r="F68" s="122">
        <v>163317</v>
      </c>
      <c r="G68" s="112">
        <f t="shared" si="6"/>
        <v>38</v>
      </c>
      <c r="H68" s="99">
        <f>G68+'23'!H68</f>
        <v>-209</v>
      </c>
      <c r="I68" s="118"/>
      <c r="J68" s="175">
        <f>H68/DAY(B2)</f>
        <v>-8.7083333333333339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12095</v>
      </c>
      <c r="F69" s="122">
        <v>12099</v>
      </c>
      <c r="G69" s="112">
        <f t="shared" si="6"/>
        <v>4</v>
      </c>
      <c r="H69" s="99">
        <f>G69+'23'!H69</f>
        <v>-29</v>
      </c>
      <c r="I69" s="118"/>
      <c r="J69" s="175">
        <f>H69/DAY(B2)</f>
        <v>-1.2083333333333333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9464</v>
      </c>
      <c r="F70" s="122">
        <v>9472</v>
      </c>
      <c r="G70" s="112">
        <f t="shared" si="6"/>
        <v>8</v>
      </c>
      <c r="H70" s="99">
        <f>G70+'23'!H70</f>
        <v>-42</v>
      </c>
      <c r="I70" s="118"/>
      <c r="J70" s="175">
        <f>H70/DAY(B2)</f>
        <v>-1.75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166</v>
      </c>
      <c r="H71" s="99">
        <f>G71+'23'!H71</f>
        <v>-960</v>
      </c>
      <c r="I71" s="154"/>
      <c r="J71" s="175">
        <f>H71/DAY(B2)</f>
        <v>-40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'23'!F74</f>
        <v>945711.89</v>
      </c>
      <c r="F74" s="117">
        <v>946000.38</v>
      </c>
      <c r="G74" s="112">
        <f t="shared" ref="G74:G78" si="7">F74-E74</f>
        <v>288.48999999999069</v>
      </c>
      <c r="H74" s="99">
        <f>G74+'23'!H74</f>
        <v>-1706.8199999999488</v>
      </c>
      <c r="I74" s="154"/>
      <c r="J74" s="175">
        <f>H74/DAY(B2)</f>
        <v>-71.117499999997861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'23'!F76</f>
        <v>186235.77</v>
      </c>
      <c r="F76" s="123">
        <v>186317.65</v>
      </c>
      <c r="G76" s="112">
        <f t="shared" si="7"/>
        <v>81.880000000004657</v>
      </c>
      <c r="H76" s="99">
        <f>G76+'23'!H76</f>
        <v>-573.64999999999418</v>
      </c>
      <c r="I76" s="154"/>
      <c r="J76" s="175">
        <f>H76/DAY(B2)</f>
        <v>-23.902083333333092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'23'!F77</f>
        <v>48423.8</v>
      </c>
      <c r="F77" s="123">
        <v>48466.7</v>
      </c>
      <c r="G77" s="112">
        <f t="shared" si="7"/>
        <v>42.899999999994179</v>
      </c>
      <c r="H77" s="99">
        <f>G77+'23'!H77</f>
        <v>-269.10000000000582</v>
      </c>
      <c r="I77" s="154"/>
      <c r="J77" s="175">
        <f>H77/DAY(B2)</f>
        <v>-11.212500000000242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-0.3999999999996362</v>
      </c>
      <c r="I78" s="118"/>
      <c r="J78" s="175">
        <f>H78/DAY(B2)</f>
        <v>-1.6666666666651508E-2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'23'!F79</f>
        <v>0</v>
      </c>
      <c r="F79" s="117"/>
      <c r="G79" s="112">
        <f>G15-SUM(G74:G78)</f>
        <v>586.73000000001048</v>
      </c>
      <c r="H79" s="99">
        <f>G79+'23'!H79</f>
        <v>26932.800000000025</v>
      </c>
      <c r="I79" s="118"/>
      <c r="J79" s="175">
        <f>H79/DAY(B2)</f>
        <v>1122.200000000001</v>
      </c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42275</v>
      </c>
      <c r="F84" s="164">
        <v>42275</v>
      </c>
      <c r="G84" s="112">
        <f t="shared" si="8"/>
        <v>0</v>
      </c>
      <c r="H84" s="99">
        <f>G84+'23'!H84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4746.25</v>
      </c>
      <c r="F85" s="164">
        <v>4770.32</v>
      </c>
      <c r="G85" s="112">
        <f t="shared" si="8"/>
        <v>24.069999999999709</v>
      </c>
      <c r="H85" s="99">
        <f>G85+'23'!H85</f>
        <v>-111.69000000000051</v>
      </c>
      <c r="I85" s="573"/>
      <c r="J85" s="175">
        <f>H85/DAY(B2)</f>
        <v>-4.6537500000000209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44701.21</v>
      </c>
      <c r="F86" s="164">
        <v>44718.32</v>
      </c>
      <c r="G86" s="112">
        <f t="shared" si="8"/>
        <v>17.110000000000582</v>
      </c>
      <c r="H86" s="99">
        <f>G86+'23'!H86</f>
        <v>-133.9800000000032</v>
      </c>
      <c r="I86" s="573"/>
      <c r="J86" s="175">
        <f>H86/DAY(B2)</f>
        <v>-5.5825000000001337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35358</v>
      </c>
      <c r="F87" s="164">
        <v>35358.050000000003</v>
      </c>
      <c r="G87" s="112">
        <f t="shared" si="8"/>
        <v>5.0000000002910383E-2</v>
      </c>
      <c r="H87" s="99">
        <f>G87+'23'!H87</f>
        <v>0</v>
      </c>
      <c r="I87" s="573">
        <f>G84+G85+G86+G87</f>
        <v>41.230000000003201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24277.14</v>
      </c>
      <c r="F88" s="164">
        <v>24277.14</v>
      </c>
      <c r="G88" s="112">
        <f t="shared" si="8"/>
        <v>0</v>
      </c>
      <c r="H88" s="99">
        <f>G88+'23'!H88</f>
        <v>-6.0000000001309672E-2</v>
      </c>
      <c r="I88" s="573"/>
      <c r="J88" s="175">
        <f>H88/DAY(B2)</f>
        <v>-2.5000000000545697E-3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27225.58</v>
      </c>
      <c r="F89" s="164">
        <v>27235.34</v>
      </c>
      <c r="G89" s="112">
        <f t="shared" si="8"/>
        <v>9.7599999999983993</v>
      </c>
      <c r="H89" s="99">
        <f>G89+'23'!H89</f>
        <v>-56.079999999998108</v>
      </c>
      <c r="I89" s="573">
        <f>G88+G89</f>
        <v>9.7599999999983993</v>
      </c>
      <c r="J89" s="175">
        <f>H89/DAY(B2)</f>
        <v>-2.3366666666665878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72260.55</v>
      </c>
      <c r="F90" s="164">
        <v>72271.149999999994</v>
      </c>
      <c r="G90" s="112">
        <f t="shared" si="8"/>
        <v>10.599999999991269</v>
      </c>
      <c r="H90" s="99">
        <f>G90+'23'!H90</f>
        <v>-29.979999999995925</v>
      </c>
      <c r="I90" s="573">
        <f>G90</f>
        <v>10.599999999991269</v>
      </c>
      <c r="J90" s="175">
        <f>H90/DAY(B2)</f>
        <v>-1.2491666666664969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4122</v>
      </c>
      <c r="F91" s="122">
        <v>4122</v>
      </c>
      <c r="G91" s="112">
        <f t="shared" si="8"/>
        <v>0</v>
      </c>
      <c r="H91" s="99">
        <f>G91+'23'!H91</f>
        <v>-16.4399999999996</v>
      </c>
      <c r="I91" s="592"/>
      <c r="J91" s="175">
        <f>H91/DAY(B2)</f>
        <v>-0.68499999999998329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6462</v>
      </c>
      <c r="F92" s="122">
        <v>6472.05</v>
      </c>
      <c r="G92" s="112">
        <f t="shared" si="8"/>
        <v>10.050000000000182</v>
      </c>
      <c r="H92" s="99">
        <f>G92+'23'!H92</f>
        <v>-43.289999999999964</v>
      </c>
      <c r="I92" s="598">
        <f>G91+G92</f>
        <v>10.050000000000182</v>
      </c>
      <c r="J92" s="175">
        <f>H92/DAY(B2)</f>
        <v>-1.8037499999999984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6901.300000000032</v>
      </c>
      <c r="H94" s="99">
        <f>G94+'23'!H94</f>
        <v>-43284.609999999957</v>
      </c>
      <c r="I94" s="118"/>
      <c r="J94" s="175">
        <f>H94/DAY(B2)</f>
        <v>-1803.5254166666648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0.25095636363636481</v>
      </c>
      <c r="H95" s="99">
        <f>G95+'23'!H95</f>
        <v>-1.4870393628066967</v>
      </c>
      <c r="I95" s="167"/>
      <c r="J95" s="175">
        <f>H95/DAY(B2)</f>
        <v>-6.1959973450279031E-2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8471.2600000000384</v>
      </c>
      <c r="H96" s="99">
        <f>G96+'23'!H96</f>
        <v>-46567.110000000015</v>
      </c>
      <c r="I96" s="118"/>
      <c r="J96" s="175">
        <f>H96/DAY(B2)</f>
        <v>-1940.2962500000006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0.30804581818181959</v>
      </c>
      <c r="H97" s="99">
        <f>G97+'23'!H97</f>
        <v>-1.6155273367272274</v>
      </c>
      <c r="I97" s="167"/>
      <c r="J97" s="175">
        <f>H97/DAY(B2)</f>
        <v>-6.7313639030301145E-2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2993.4400000000023</v>
      </c>
      <c r="H98" s="99">
        <f>G98+'23'!H98</f>
        <v>-17720.880000000005</v>
      </c>
      <c r="I98" s="168"/>
      <c r="J98" s="175">
        <f>H98/DAY(B2)</f>
        <v>-738.37000000000023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0.10885236363636372</v>
      </c>
      <c r="H99" s="99">
        <f>G99+'23'!H99</f>
        <v>-0.60660151718147548</v>
      </c>
      <c r="I99" s="168"/>
      <c r="J99" s="175">
        <f>H99/DAY(B2)</f>
        <v>-2.5275063215894813E-2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2248.5199999999604</v>
      </c>
      <c r="H100" s="99">
        <f>G100+'23'!H100</f>
        <v>-12909.439999999995</v>
      </c>
      <c r="I100" s="118"/>
      <c r="J100" s="175">
        <f>H100/DAY(B2)</f>
        <v>-537.89333333333309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8.1764363636362192E-2</v>
      </c>
      <c r="H101" s="99">
        <f>G101+'23'!H101</f>
        <v>-0.4405971985994378</v>
      </c>
      <c r="I101" s="168"/>
      <c r="J101" s="175">
        <f>H101/DAY(B2)</f>
        <v>-1.835821660830991E-2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1843.3400000000256</v>
      </c>
      <c r="H102" s="99">
        <f>G102+'23'!H102</f>
        <v>-11710.76999999999</v>
      </c>
      <c r="I102" s="168"/>
      <c r="J102" s="175">
        <f>H102/DAY(B2)</f>
        <v>-487.94874999999956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6.7030545454546384E-2</v>
      </c>
      <c r="H103" s="99">
        <f>G103+'23'!H103</f>
        <v>-0.40367733066650879</v>
      </c>
      <c r="I103" s="118"/>
      <c r="J103" s="175">
        <f>H103/DAY(B2)</f>
        <v>-1.68198887777712E-2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1628.0499999999884</v>
      </c>
      <c r="H104" s="99">
        <f>G104+'23'!H104</f>
        <v>-9663.7199999999793</v>
      </c>
      <c r="I104" s="118"/>
      <c r="J104" s="175">
        <f>H104/DAY(B2)</f>
        <v>-402.65499999999912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5.9201818181817759E-2</v>
      </c>
      <c r="H105" s="99">
        <f>G105+'23'!H105</f>
        <v>-0.33061618889932609</v>
      </c>
      <c r="I105" s="187"/>
      <c r="J105" s="188">
        <f>H105/DAY(B2)</f>
        <v>-1.3775674537471921E-2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'23'!F112</f>
        <v>4419.18</v>
      </c>
      <c r="F112" s="237">
        <v>4494.51</v>
      </c>
      <c r="G112" s="112">
        <f t="shared" ref="G112:G123" si="9">F112-E112</f>
        <v>75.329999999999927</v>
      </c>
      <c r="H112" s="99">
        <f>G112+'23'!H112</f>
        <v>-435.22999999999956</v>
      </c>
      <c r="I112" s="165"/>
      <c r="J112" s="328">
        <f>H112/DAY(B2)</f>
        <v>-18.134583333333314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'23'!F113</f>
        <v>9631.57</v>
      </c>
      <c r="F113" s="237">
        <v>9778.8799999999992</v>
      </c>
      <c r="G113" s="112">
        <f t="shared" si="9"/>
        <v>147.30999999999949</v>
      </c>
      <c r="H113" s="99">
        <f>G113+'23'!H113</f>
        <v>-853.84000000000015</v>
      </c>
      <c r="I113" s="165"/>
      <c r="J113" s="328">
        <f>H113/DAY(B2)</f>
        <v>-35.576666666666675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'23'!F114</f>
        <v>12623.84</v>
      </c>
      <c r="F114" s="237">
        <v>12849.96</v>
      </c>
      <c r="G114" s="112">
        <f t="shared" si="9"/>
        <v>226.11999999999898</v>
      </c>
      <c r="H114" s="99">
        <f>G114+'23'!H114</f>
        <v>-1343.8400000000001</v>
      </c>
      <c r="I114" s="165"/>
      <c r="J114" s="328">
        <f>H114/DAY(B2)</f>
        <v>-55.993333333333339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'23'!F115</f>
        <v>8013.19</v>
      </c>
      <c r="F115" s="237">
        <v>8149.36</v>
      </c>
      <c r="G115" s="112">
        <f t="shared" si="9"/>
        <v>136.17000000000007</v>
      </c>
      <c r="H115" s="99">
        <f>G115+'23'!H115</f>
        <v>-871.42000000000098</v>
      </c>
      <c r="I115" s="165"/>
      <c r="J115" s="328">
        <f>H115/DAY(B2)</f>
        <v>-36.309166666666705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'23'!F116</f>
        <v>56100.76</v>
      </c>
      <c r="F116" s="417">
        <v>56496.11</v>
      </c>
      <c r="G116" s="112">
        <f t="shared" si="9"/>
        <v>395.34999999999854</v>
      </c>
      <c r="H116" s="99">
        <f>G116+'23'!H116</f>
        <v>-2394.4400000000023</v>
      </c>
      <c r="I116" s="165"/>
      <c r="J116" s="328">
        <f>H116/DAY(B2)</f>
        <v>-99.76833333333343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'23'!F117</f>
        <v>30894.99</v>
      </c>
      <c r="F117" s="237">
        <v>31192.57</v>
      </c>
      <c r="G117" s="112">
        <f t="shared" si="9"/>
        <v>297.57999999999811</v>
      </c>
      <c r="H117" s="99">
        <f>G117+'23'!H117</f>
        <v>-1695.9100000000035</v>
      </c>
      <c r="I117" s="165"/>
      <c r="J117" s="328">
        <f>H117/DAY(B2)</f>
        <v>-70.662916666666817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'23'!F118</f>
        <v>40382.199999999997</v>
      </c>
      <c r="F118" s="237">
        <v>41018.79</v>
      </c>
      <c r="G118" s="112">
        <f t="shared" si="9"/>
        <v>636.59000000000378</v>
      </c>
      <c r="H118" s="99">
        <f>G118+'23'!H118</f>
        <v>-3901.5199999999968</v>
      </c>
      <c r="I118" s="165"/>
      <c r="J118" s="328">
        <f>H118/DAY(B2)</f>
        <v>-162.56333333333319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'23'!F119</f>
        <v>28635.66</v>
      </c>
      <c r="F119" s="237">
        <v>28887.06</v>
      </c>
      <c r="G119" s="112">
        <f t="shared" si="9"/>
        <v>251.40000000000146</v>
      </c>
      <c r="H119" s="99">
        <f>G119+'23'!H119</f>
        <v>-1455.5399999999972</v>
      </c>
      <c r="I119" s="165"/>
      <c r="J119" s="328">
        <f>H119/DAY(B2)</f>
        <v>-60.647499999999887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'23'!F120</f>
        <v>30065.23</v>
      </c>
      <c r="F120" s="237">
        <v>30519.919999999998</v>
      </c>
      <c r="G120" s="112">
        <f t="shared" si="9"/>
        <v>454.68999999999869</v>
      </c>
      <c r="H120" s="99">
        <f>G120+'23'!H120</f>
        <v>-2585.6399999999994</v>
      </c>
      <c r="I120" s="165"/>
      <c r="J120" s="328">
        <f>H120/DAY(B2)</f>
        <v>-107.73499999999997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'23'!F121</f>
        <v>36514</v>
      </c>
      <c r="F121" s="237">
        <v>36965.53</v>
      </c>
      <c r="G121" s="112">
        <f t="shared" si="9"/>
        <v>451.52999999999884</v>
      </c>
      <c r="H121" s="99">
        <f>G121+'23'!H121</f>
        <v>-2622.3700000000026</v>
      </c>
      <c r="I121" s="165"/>
      <c r="J121" s="328">
        <f>H121/DAY(B2)</f>
        <v>-109.26541666666678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'23'!F122</f>
        <v>18040.96</v>
      </c>
      <c r="F122" s="237">
        <v>18317.28</v>
      </c>
      <c r="G122" s="112">
        <f t="shared" si="9"/>
        <v>276.31999999999971</v>
      </c>
      <c r="H122" s="99">
        <f>G122+'23'!H122</f>
        <v>-1648.6000000000022</v>
      </c>
      <c r="I122" s="165"/>
      <c r="J122" s="328">
        <f>H122/DAY(B2)</f>
        <v>-68.691666666666762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'23'!F123</f>
        <v>18158.169999999998</v>
      </c>
      <c r="F123" s="237">
        <v>18472.32</v>
      </c>
      <c r="G123" s="112">
        <f t="shared" si="9"/>
        <v>314.15000000000146</v>
      </c>
      <c r="H123" s="99">
        <f>G123+'23'!H123</f>
        <v>-1869.6800000000003</v>
      </c>
      <c r="I123" s="165"/>
      <c r="J123" s="328">
        <f>H123/DAY(B2)</f>
        <v>-77.90333333333335</v>
      </c>
    </row>
    <row r="124" spans="1:18" ht="29.25" customHeight="1">
      <c r="A124" s="929"/>
      <c r="B124" s="930"/>
      <c r="C124" s="931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3662.5399999999991</v>
      </c>
      <c r="H125" s="156"/>
      <c r="I125" s="327">
        <f>G125-(G39+G53)</f>
        <v>669.09999999999673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'23'!F128</f>
        <v>108007.89</v>
      </c>
      <c r="F128" s="165">
        <v>108582.65</v>
      </c>
      <c r="G128" s="112">
        <f t="shared" ref="G128:G134" si="10">F128-E128</f>
        <v>574.75999999999476</v>
      </c>
      <c r="H128" s="99">
        <f>G128+'23'!H128</f>
        <v>-3293.2100000000064</v>
      </c>
      <c r="I128" s="165"/>
      <c r="J128" s="328">
        <f>H128/DAY(B2)</f>
        <v>-137.21708333333359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65421.46</v>
      </c>
      <c r="F129" s="165">
        <v>65615.91</v>
      </c>
      <c r="G129" s="112">
        <f t="shared" si="10"/>
        <v>194.45000000000437</v>
      </c>
      <c r="H129" s="99">
        <f>G129+'23'!H129</f>
        <v>-1085.8699999999953</v>
      </c>
      <c r="I129" s="165"/>
      <c r="J129" s="328">
        <f>H129/DAY(B2)</f>
        <v>-45.244583333333139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136346.54999999999</v>
      </c>
      <c r="F130" s="165">
        <v>137120.15</v>
      </c>
      <c r="G130" s="112">
        <f t="shared" si="10"/>
        <v>773.60000000000582</v>
      </c>
      <c r="H130" s="99">
        <f>G130+'23'!H130</f>
        <v>-5177.7699999999895</v>
      </c>
      <c r="I130" s="165"/>
      <c r="J130" s="328">
        <f>H130/DAY(B2)</f>
        <v>-215.74041666666622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'23'!F131</f>
        <v>41080.19</v>
      </c>
      <c r="F131" s="165">
        <v>41295.15</v>
      </c>
      <c r="G131" s="112">
        <f t="shared" si="10"/>
        <v>214.95999999999913</v>
      </c>
      <c r="H131" s="99">
        <f>G131+'23'!H131</f>
        <v>-1323.0499999999956</v>
      </c>
      <c r="I131" s="165"/>
      <c r="J131" s="328">
        <f>H131/DAY(B2)</f>
        <v>-55.127083333333154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'23'!F132</f>
        <v>113062.21</v>
      </c>
      <c r="F132" s="165">
        <v>113536.27</v>
      </c>
      <c r="G132" s="112">
        <f t="shared" si="10"/>
        <v>474.05999999999767</v>
      </c>
      <c r="H132" s="99">
        <f>G132+'23'!H132</f>
        <v>-2754.7299999999959</v>
      </c>
      <c r="I132" s="165"/>
      <c r="J132" s="328">
        <f>H132/DAY(B2)</f>
        <v>-114.7804166666665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'23'!F133</f>
        <v>218841.49</v>
      </c>
      <c r="F133" s="165">
        <v>219453.95</v>
      </c>
      <c r="G133" s="112">
        <f t="shared" si="10"/>
        <v>612.46000000002095</v>
      </c>
      <c r="H133" s="99">
        <f>G133+'23'!H133</f>
        <v>3643.3800000000047</v>
      </c>
      <c r="I133" s="165"/>
      <c r="J133" s="328">
        <f>H133/DAY(B2)</f>
        <v>151.8075000000002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'23'!F134</f>
        <v>40325.360000000001</v>
      </c>
      <c r="F134" s="158">
        <v>40535.79</v>
      </c>
      <c r="G134" s="112">
        <f t="shared" si="10"/>
        <v>210.43000000000029</v>
      </c>
      <c r="H134" s="99">
        <f>G134+'23'!H134</f>
        <v>-1209.2099999999991</v>
      </c>
      <c r="I134" s="165"/>
      <c r="J134" s="328">
        <f>H134/DAY(B2)</f>
        <v>-50.383749999999964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3054.720000000023</v>
      </c>
      <c r="H135" s="99">
        <f>G135+'23'!H135</f>
        <v>33679.920000000013</v>
      </c>
      <c r="I135" s="327">
        <f>G135-(G35+G49)</f>
        <v>-616.4400000000096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'23'!F138</f>
        <v>886418</v>
      </c>
      <c r="F138" s="147">
        <v>886548</v>
      </c>
      <c r="G138" s="112">
        <f t="shared" ref="G138:G152" si="11">F138-E138</f>
        <v>130</v>
      </c>
      <c r="H138" s="99">
        <f>G138+'23'!H138</f>
        <v>-676</v>
      </c>
      <c r="I138" s="118"/>
      <c r="J138" s="328">
        <f>H138/DAY(B2)</f>
        <v>-28.166666666666668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'23'!F139</f>
        <v>902998</v>
      </c>
      <c r="F139" s="148">
        <v>903145</v>
      </c>
      <c r="G139" s="112">
        <f t="shared" si="11"/>
        <v>147</v>
      </c>
      <c r="H139" s="99">
        <f>G139+'23'!H139</f>
        <v>-945</v>
      </c>
      <c r="I139" s="118"/>
      <c r="J139" s="328">
        <f>H139/DAY(B2)</f>
        <v>-39.375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'23'!F140</f>
        <v>955.13</v>
      </c>
      <c r="F140" s="149">
        <v>970.7</v>
      </c>
      <c r="G140" s="112">
        <f t="shared" si="11"/>
        <v>15.57000000000005</v>
      </c>
      <c r="H140" s="99">
        <f>G140+'23'!H140</f>
        <v>-88034.95</v>
      </c>
      <c r="I140" s="118"/>
      <c r="J140" s="328">
        <f>H140/DAY(B2)</f>
        <v>-3668.1229166666667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'23'!F141</f>
        <v>82712.28</v>
      </c>
      <c r="F141" s="149">
        <v>82911.39</v>
      </c>
      <c r="G141" s="112">
        <f t="shared" si="11"/>
        <v>199.11000000000058</v>
      </c>
      <c r="H141" s="99">
        <f>G141+'23'!H141</f>
        <v>-1203.8099999999977</v>
      </c>
      <c r="I141" s="118"/>
      <c r="J141" s="328">
        <f>H141/DAY(B2)</f>
        <v>-50.158749999999905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'23'!F142</f>
        <v>33844.15</v>
      </c>
      <c r="F142" s="148">
        <v>33928.639999999999</v>
      </c>
      <c r="G142" s="112">
        <f t="shared" si="11"/>
        <v>84.489999999997963</v>
      </c>
      <c r="H142" s="99">
        <f>G142+'23'!H142</f>
        <v>-456.83000000000175</v>
      </c>
      <c r="I142" s="140"/>
      <c r="J142" s="328">
        <f>H142/DAY(B2)</f>
        <v>-19.034583333333405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'23'!F143</f>
        <v>7963.14</v>
      </c>
      <c r="F143" s="149">
        <v>7990.73</v>
      </c>
      <c r="G143" s="112">
        <f t="shared" si="11"/>
        <v>27.589999999999236</v>
      </c>
      <c r="H143" s="99">
        <f>G143+'23'!H143</f>
        <v>-167.59000000000015</v>
      </c>
      <c r="I143" s="140"/>
      <c r="J143" s="328">
        <f>H143/DAY(B2)</f>
        <v>-6.9829166666666724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'23'!F144</f>
        <v>910626</v>
      </c>
      <c r="F144" s="149">
        <v>910857</v>
      </c>
      <c r="G144" s="112">
        <f t="shared" si="11"/>
        <v>231</v>
      </c>
      <c r="H144" s="99">
        <f>G144+'23'!H144</f>
        <v>-1420</v>
      </c>
      <c r="I144" s="140"/>
      <c r="J144" s="328">
        <f>H144/DAY(B2)</f>
        <v>-59.166666666666664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'23'!F145</f>
        <v>5665.31</v>
      </c>
      <c r="F145" s="149">
        <v>5665.31</v>
      </c>
      <c r="G145" s="112">
        <f t="shared" si="11"/>
        <v>0</v>
      </c>
      <c r="H145" s="99">
        <f>G145+'23'!H145</f>
        <v>-1.25</v>
      </c>
      <c r="I145" s="140"/>
      <c r="J145" s="328">
        <f>H145/DAY(B2)</f>
        <v>-5.2083333333333336E-2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'23'!F146</f>
        <v>779015</v>
      </c>
      <c r="F146" s="148">
        <v>779065</v>
      </c>
      <c r="G146" s="112">
        <f t="shared" si="11"/>
        <v>50</v>
      </c>
      <c r="H146" s="99">
        <f>G146+'23'!H146</f>
        <v>-263</v>
      </c>
      <c r="I146" s="140"/>
      <c r="J146" s="328">
        <f>H146/DAY(B2)</f>
        <v>-10.958333333333334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'23'!F147</f>
        <v>684789</v>
      </c>
      <c r="F147" s="148">
        <v>685159.28</v>
      </c>
      <c r="G147" s="112">
        <f t="shared" si="11"/>
        <v>370.28000000002794</v>
      </c>
      <c r="H147" s="99">
        <f>G147+'23'!H147</f>
        <v>-2366.8800000000047</v>
      </c>
      <c r="I147" s="140"/>
      <c r="J147" s="328">
        <f>H147/DAY(B2)</f>
        <v>-98.620000000000189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'23'!F148</f>
        <v>736878.64</v>
      </c>
      <c r="F148" s="150">
        <v>737141.52</v>
      </c>
      <c r="G148" s="112">
        <f t="shared" si="11"/>
        <v>262.88000000000466</v>
      </c>
      <c r="H148" s="99">
        <f>G148+'23'!H148</f>
        <v>-1805.7600000000093</v>
      </c>
      <c r="I148" s="124"/>
      <c r="J148" s="328">
        <f>H148/DAY(B2)</f>
        <v>-75.240000000000393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'23'!F149</f>
        <v>113370.66</v>
      </c>
      <c r="F149" s="146">
        <v>113864.68</v>
      </c>
      <c r="G149" s="112">
        <f t="shared" si="11"/>
        <v>494.01999999998952</v>
      </c>
      <c r="H149" s="99">
        <f>G149+'23'!H149</f>
        <v>-2668.1200000000099</v>
      </c>
      <c r="I149" s="119"/>
      <c r="J149" s="328">
        <f>H149/DAY(B2)</f>
        <v>-111.17166666666708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'23'!F150</f>
        <v>42210.78</v>
      </c>
      <c r="F150" s="233">
        <v>42433.81</v>
      </c>
      <c r="G150" s="112">
        <f t="shared" si="11"/>
        <v>223.02999999999884</v>
      </c>
      <c r="H150" s="99">
        <f>G150+'23'!H150</f>
        <v>-1291.3500000000058</v>
      </c>
      <c r="I150" s="119"/>
      <c r="J150" s="328">
        <f>H150/DAY(B2)</f>
        <v>-53.80625000000024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'23'!F151</f>
        <v>124693</v>
      </c>
      <c r="F151" s="233">
        <v>124947</v>
      </c>
      <c r="G151" s="112">
        <f t="shared" si="11"/>
        <v>254</v>
      </c>
      <c r="H151" s="99">
        <f>G151+'23'!H151</f>
        <v>-1656</v>
      </c>
      <c r="I151" s="119"/>
      <c r="J151" s="328">
        <f>H151/DAY(B2)</f>
        <v>-69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'23'!F152</f>
        <v>18398.14</v>
      </c>
      <c r="F152" s="233">
        <v>18527.150000000001</v>
      </c>
      <c r="G152" s="112">
        <f t="shared" si="11"/>
        <v>129.01000000000204</v>
      </c>
      <c r="H152" s="99">
        <f>G152+'23'!H152</f>
        <v>-760.93000000000029</v>
      </c>
      <c r="I152" s="119"/>
      <c r="J152" s="328">
        <f>H152/DAY(B2)</f>
        <v>-31.705416666666679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2617.9800000000209</v>
      </c>
      <c r="H153" s="363"/>
      <c r="I153" s="119">
        <f>G153-(G38+G52)</f>
        <v>369.46000000006052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'23'!F155</f>
        <v>126223.69</v>
      </c>
      <c r="F155" s="757">
        <v>126849</v>
      </c>
      <c r="G155" s="112">
        <f t="shared" ref="G155:G158" si="12">F155-E155</f>
        <v>625.30999999999767</v>
      </c>
      <c r="H155" s="99">
        <f>G155+'23'!H155</f>
        <v>-3392.3800000000047</v>
      </c>
      <c r="I155" s="364"/>
      <c r="J155" s="328">
        <f>H155/DAY(B2)</f>
        <v>-141.34916666666686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'23'!F156</f>
        <v>11522.38</v>
      </c>
      <c r="F156" s="155">
        <v>11606.73</v>
      </c>
      <c r="G156" s="112">
        <f t="shared" si="12"/>
        <v>84.350000000000364</v>
      </c>
      <c r="H156" s="99">
        <f>G156+'23'!H156</f>
        <v>-486.63000000000102</v>
      </c>
      <c r="I156" s="165"/>
      <c r="J156" s="328">
        <f>H156/DAY(B2)</f>
        <v>-20.276250000000044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'23'!F157</f>
        <v>22022.66</v>
      </c>
      <c r="F157" s="155">
        <v>22190.99</v>
      </c>
      <c r="G157" s="112">
        <f t="shared" si="12"/>
        <v>168.33000000000175</v>
      </c>
      <c r="H157" s="99">
        <f>G157+'23'!H157</f>
        <v>799.9900000000016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'23'!F158</f>
        <v>191.87</v>
      </c>
      <c r="F158" s="155">
        <v>191.98</v>
      </c>
      <c r="G158" s="112">
        <f t="shared" si="12"/>
        <v>0.10999999999998522</v>
      </c>
      <c r="H158" s="99">
        <f>G158+'23'!H158</f>
        <v>1.9799999999999898</v>
      </c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477524.52</v>
      </c>
      <c r="F161" s="235">
        <v>477558.52</v>
      </c>
      <c r="G161" s="238">
        <f t="shared" ref="G161:G165" si="13">F161-E161</f>
        <v>34</v>
      </c>
      <c r="H161" s="99">
        <f>G161+'23'!H161</f>
        <v>892.52000000001863</v>
      </c>
      <c r="I161" s="236"/>
      <c r="J161" s="239">
        <f>H161/DAY(B2)</f>
        <v>37.188333333334107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93545.4</v>
      </c>
      <c r="F162" s="235">
        <v>93585.9</v>
      </c>
      <c r="G162" s="238">
        <f t="shared" si="13"/>
        <v>40.5</v>
      </c>
      <c r="H162" s="99">
        <f>G162+'23'!H162</f>
        <v>-219.40000000000873</v>
      </c>
      <c r="I162" s="236"/>
      <c r="J162" s="239">
        <f>H162/DAY(B2)</f>
        <v>-9.1416666666670299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883</v>
      </c>
      <c r="F163" s="235">
        <v>1021.8</v>
      </c>
      <c r="G163" s="238">
        <f t="shared" si="13"/>
        <v>138.79999999999995</v>
      </c>
      <c r="H163" s="99">
        <f>G163+'23'!H163</f>
        <v>98990.700000000012</v>
      </c>
      <c r="I163" s="236"/>
      <c r="J163" s="239">
        <f>H163/DAY(B2)</f>
        <v>4124.6125000000002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5811.9</v>
      </c>
      <c r="F164" s="235">
        <v>5825.4</v>
      </c>
      <c r="G164" s="238">
        <f t="shared" si="13"/>
        <v>13.5</v>
      </c>
      <c r="H164" s="99">
        <f>G164+'23'!H164</f>
        <v>-73</v>
      </c>
      <c r="I164" s="236"/>
      <c r="J164" s="239">
        <f>H164/DAY(B2)</f>
        <v>-3.0416666666666665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31267.56</v>
      </c>
      <c r="F165" s="235">
        <v>31278.42</v>
      </c>
      <c r="G165" s="238">
        <f t="shared" si="13"/>
        <v>10.859999999996944</v>
      </c>
      <c r="H165" s="99">
        <f>G165+'23'!H165</f>
        <v>-68.230000000003201</v>
      </c>
      <c r="I165" s="236"/>
      <c r="J165" s="239">
        <f>H165/DAY(B2)</f>
        <v>-2.8429166666668002</v>
      </c>
    </row>
    <row r="166" spans="1:10" ht="26.25">
      <c r="A166" s="935"/>
      <c r="B166" s="935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93" t="s">
        <v>209</v>
      </c>
      <c r="B173" s="894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47</v>
      </c>
      <c r="I173" s="155"/>
      <c r="J173" s="178">
        <f>H173/DAY(B2)</f>
        <v>1.9583333333333333</v>
      </c>
    </row>
    <row r="174" spans="1:10" ht="27" customHeight="1">
      <c r="A174" s="893" t="s">
        <v>75</v>
      </c>
      <c r="B174" s="894"/>
      <c r="C174" s="333"/>
      <c r="D174" s="228" t="s">
        <v>142</v>
      </c>
      <c r="E174" s="95">
        <f>'23'!F174</f>
        <v>40677</v>
      </c>
      <c r="F174" s="157">
        <v>40692</v>
      </c>
      <c r="G174" s="155">
        <f t="shared" ref="G174:G175" si="14">F174-E174</f>
        <v>15</v>
      </c>
      <c r="H174" s="99">
        <f>G174+'23'!H174</f>
        <v>-87</v>
      </c>
      <c r="I174" s="155"/>
      <c r="J174" s="178">
        <f>H174/DAY(B2)</f>
        <v>-3.625</v>
      </c>
    </row>
    <row r="175" spans="1:10" ht="27" customHeight="1">
      <c r="A175" s="893" t="s">
        <v>76</v>
      </c>
      <c r="B175" s="898"/>
      <c r="C175" s="894"/>
      <c r="D175" s="228" t="s">
        <v>142</v>
      </c>
      <c r="E175" s="95">
        <f>'23'!F175</f>
        <v>23574</v>
      </c>
      <c r="F175" s="155">
        <v>23587</v>
      </c>
      <c r="G175" s="155">
        <f t="shared" si="14"/>
        <v>13</v>
      </c>
      <c r="H175" s="99">
        <f>G175+'23'!H175</f>
        <v>-69</v>
      </c>
      <c r="I175" s="155"/>
      <c r="J175" s="178">
        <f>H175/DAY(B2)</f>
        <v>-2.875</v>
      </c>
    </row>
    <row r="176" spans="1:10" ht="21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G176+'23'!H176</f>
        <v>-109</v>
      </c>
      <c r="I176" s="155"/>
      <c r="J176" s="178">
        <f>H176/DAY(B2)</f>
        <v>-4.541666666666667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'23'!F178</f>
        <v>94187</v>
      </c>
      <c r="F178" s="155">
        <v>94273</v>
      </c>
      <c r="G178" s="155">
        <f>F178-E178</f>
        <v>86</v>
      </c>
      <c r="H178" s="99">
        <f>G178+'23'!H178</f>
        <v>2187</v>
      </c>
      <c r="I178" s="155"/>
      <c r="J178" s="178">
        <f>H178/DAY(B2)</f>
        <v>91.125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'23'!F179</f>
        <v>36002</v>
      </c>
      <c r="F179" s="155">
        <v>36002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'23'!F180</f>
        <v>6826</v>
      </c>
      <c r="F180" s="155">
        <v>6833</v>
      </c>
      <c r="G180" s="155">
        <f t="shared" si="15"/>
        <v>7</v>
      </c>
      <c r="H180" s="99">
        <f>G180+'23'!H180</f>
        <v>-49</v>
      </c>
      <c r="I180" s="155"/>
      <c r="J180" s="178">
        <f>H180/DAY(B2)</f>
        <v>-2.0416666666666665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93</v>
      </c>
      <c r="H181" s="99">
        <f>G181+'23'!H181</f>
        <v>2138</v>
      </c>
      <c r="I181" s="155"/>
      <c r="J181" s="178">
        <f>H181/DAY(B2)</f>
        <v>89.083333333333329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'23'!F183</f>
        <v>17232</v>
      </c>
      <c r="F183" s="157">
        <v>17237</v>
      </c>
      <c r="G183" s="157">
        <f>F183-E183</f>
        <v>5</v>
      </c>
      <c r="H183" s="99">
        <f>G183+'23'!H183</f>
        <v>-38</v>
      </c>
      <c r="I183" s="155"/>
      <c r="J183" s="178">
        <f>H183/DAY(B2)</f>
        <v>-1.5833333333333333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'23'!F184</f>
        <v>11646</v>
      </c>
      <c r="F184" s="157">
        <v>11653</v>
      </c>
      <c r="G184" s="157">
        <f t="shared" ref="G184:G185" si="16">F184-E184</f>
        <v>7</v>
      </c>
      <c r="H184" s="99">
        <f>G184+'23'!H184</f>
        <v>-36</v>
      </c>
      <c r="I184" s="155"/>
      <c r="J184" s="178">
        <f>H184/DAY(B2)</f>
        <v>-1.5</v>
      </c>
    </row>
    <row r="185" spans="1:10" ht="26.25" customHeight="1">
      <c r="A185" s="893" t="s">
        <v>216</v>
      </c>
      <c r="B185" s="894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12</v>
      </c>
      <c r="H186" s="99">
        <f>G186+'23'!H186</f>
        <v>-74</v>
      </c>
      <c r="I186" s="157"/>
      <c r="J186" s="178">
        <f>H186/DAY(B2)</f>
        <v>-3.0833333333333335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'23'!F187</f>
        <v>0</v>
      </c>
      <c r="F187" s="159"/>
      <c r="G187" s="378">
        <f>G62+G19</f>
        <v>156</v>
      </c>
      <c r="H187" s="99">
        <f>G187+'23'!H187</f>
        <v>-24</v>
      </c>
      <c r="I187" s="158"/>
      <c r="J187" s="179">
        <f>H187/DAY(B2)</f>
        <v>-1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'23'!F188</f>
        <v>0</v>
      </c>
      <c r="F188" s="159"/>
      <c r="G188" s="378">
        <f>G65+G66+G67+G69+G70</f>
        <v>128</v>
      </c>
      <c r="H188" s="99">
        <f>G188+'23'!H188</f>
        <v>1470</v>
      </c>
      <c r="I188" s="158"/>
      <c r="J188" s="179">
        <f>H188/DAY(B2)</f>
        <v>61.25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'23'!F189</f>
        <v>0</v>
      </c>
      <c r="F189" s="157"/>
      <c r="G189" s="377">
        <f>G181</f>
        <v>93</v>
      </c>
      <c r="H189" s="99">
        <f>G189+'23'!H189</f>
        <v>570</v>
      </c>
      <c r="I189" s="158"/>
      <c r="J189" s="179">
        <f>H189/DAY(B2)</f>
        <v>23.75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3" zoomScale="55" zoomScaleNormal="49" zoomScaleSheetLayoutView="55" workbookViewId="0">
      <selection activeCell="F15" sqref="F15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349</v>
      </c>
      <c r="B2" s="262">
        <v>44737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1174032.47</v>
      </c>
      <c r="F7" s="95">
        <f>E7+27500</f>
        <v>1201532.47</v>
      </c>
      <c r="G7" s="112">
        <f>F7-E7</f>
        <v>27500</v>
      </c>
      <c r="H7" s="99">
        <f>G7+'24'!H7</f>
        <v>678567.97</v>
      </c>
      <c r="I7" s="113">
        <f>'1'!I7</f>
        <v>12000</v>
      </c>
      <c r="J7" s="175">
        <f>H7/DAY(B2)</f>
        <v>27142.718799999999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1313254.6499999999</v>
      </c>
      <c r="F8" s="95">
        <f>E8+27000</f>
        <v>1340254.6499999999</v>
      </c>
      <c r="G8" s="115">
        <f>F8-E8</f>
        <v>27000</v>
      </c>
      <c r="H8" s="99">
        <f>G8+'24'!H8</f>
        <v>678465.64999999991</v>
      </c>
      <c r="I8" s="116"/>
      <c r="J8" s="175">
        <f>H8/DAY(B2)</f>
        <v>27138.625999999997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2838366.3</v>
      </c>
      <c r="F9" s="469">
        <v>2851604.3</v>
      </c>
      <c r="G9" s="112">
        <f>F9-E9</f>
        <v>13238</v>
      </c>
      <c r="H9" s="99">
        <f>G9+'24'!H9</f>
        <v>-66044.800000000279</v>
      </c>
      <c r="I9" s="124">
        <f>I7-J7</f>
        <v>-15142.718799999999</v>
      </c>
      <c r="J9" s="175">
        <f>H9/DAY(B2)</f>
        <v>-2641.7920000000113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1158177.8</v>
      </c>
      <c r="F10" s="353">
        <v>1171828.6000000001</v>
      </c>
      <c r="G10" s="112">
        <f t="shared" ref="G10:G12" si="0">F10-E10</f>
        <v>13650.800000000047</v>
      </c>
      <c r="H10" s="99">
        <f>G10+'24'!H10</f>
        <v>-63858.029999999795</v>
      </c>
      <c r="I10" s="282"/>
      <c r="J10" s="175">
        <f>H10/DAY(B2)</f>
        <v>-2554.3211999999917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26888.800000000047</v>
      </c>
      <c r="H13" s="99">
        <f>G13+'24'!H13</f>
        <v>-128173.89999999991</v>
      </c>
      <c r="I13" s="120">
        <f>G7-G13</f>
        <v>611.19999999995343</v>
      </c>
      <c r="J13" s="175">
        <f>H13/DAY(B2)</f>
        <v>-5126.9559999999965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2092461.24</v>
      </c>
      <c r="F15" s="469">
        <f>E15+1000</f>
        <v>2093461.24</v>
      </c>
      <c r="G15" s="112">
        <f>(F15-E15)</f>
        <v>1000</v>
      </c>
      <c r="H15" s="99">
        <f>G15+'24'!H15</f>
        <v>25382.830000000075</v>
      </c>
      <c r="I15" s="113">
        <f>'1'!I15</f>
        <v>800</v>
      </c>
      <c r="J15" s="175">
        <f>H15/DAY(B2)</f>
        <v>1015.313200000003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-215.31320000000301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'24'!F18</f>
        <v>18</v>
      </c>
      <c r="F18" s="122">
        <v>21</v>
      </c>
      <c r="G18" s="119">
        <f>F18*10</f>
        <v>210</v>
      </c>
      <c r="H18" s="99">
        <f>G18+'24'!H18</f>
        <v>4650</v>
      </c>
      <c r="I18" s="113">
        <f>'1'!I18</f>
        <v>65</v>
      </c>
      <c r="J18" s="175">
        <f>H18/DAY(B2)</f>
        <v>186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761">
        <v>160587</v>
      </c>
      <c r="F19" s="404">
        <v>160587</v>
      </c>
      <c r="G19" s="112">
        <f t="shared" ref="G19" si="1">F19-E19</f>
        <v>0</v>
      </c>
      <c r="H19" s="99">
        <f>G19+'24'!H19</f>
        <v>533</v>
      </c>
      <c r="I19" s="335"/>
      <c r="J19" s="175">
        <f>H19/DAY(B2)</f>
        <v>21.32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210</v>
      </c>
      <c r="H20" s="99">
        <f>G20+'24'!H20</f>
        <v>5183</v>
      </c>
      <c r="I20" s="336">
        <f>I18-J20</f>
        <v>-142.32</v>
      </c>
      <c r="J20" s="175">
        <f>H20/DAY(B2)</f>
        <v>207.32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G27+'24'!H27</f>
        <v>6106190.8499999996</v>
      </c>
      <c r="I27" s="138"/>
      <c r="J27" s="175">
        <f>H27/DAY(B2)</f>
        <v>244247.63399999999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52</v>
      </c>
      <c r="G28" s="137">
        <f>E28*F28</f>
        <v>52000</v>
      </c>
      <c r="H28" s="99">
        <f>G28+'24'!H28</f>
        <v>1740798.1000000052</v>
      </c>
      <c r="I28" s="140"/>
      <c r="J28" s="175">
        <f>H28/DAY(B2)</f>
        <v>69631.924000000203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0</v>
      </c>
      <c r="F30" s="136">
        <v>146</v>
      </c>
      <c r="G30" s="137">
        <f>E30*F30</f>
        <v>0</v>
      </c>
      <c r="H30" s="99">
        <f>G30+'24'!H30</f>
        <v>80218</v>
      </c>
      <c r="I30" s="140"/>
      <c r="J30" s="175">
        <f>H30/DAY(B2)</f>
        <v>3208.72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G31+'24'!H31</f>
        <v>372000</v>
      </c>
      <c r="I31" s="140"/>
      <c r="J31" s="175">
        <f>H31/DAY(B2)</f>
        <v>14880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311800</v>
      </c>
      <c r="H32" s="99">
        <f>G32+'24'!H32</f>
        <v>8299206.9500000048</v>
      </c>
      <c r="I32" s="144"/>
      <c r="J32" s="175">
        <f>H32/DAY(B2)</f>
        <v>331968.27800000017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238714</v>
      </c>
      <c r="F35" s="145">
        <v>238713.05</v>
      </c>
      <c r="G35" s="112">
        <f t="shared" ref="G35:G46" si="3">F35-E35</f>
        <v>-0.95000000001164153</v>
      </c>
      <c r="H35" s="99">
        <f>G35+'24'!H35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181742.95</v>
      </c>
      <c r="F36" s="145">
        <v>182724.91</v>
      </c>
      <c r="G36" s="112">
        <f t="shared" si="3"/>
        <v>981.95999999999185</v>
      </c>
      <c r="H36" s="99">
        <f>G36+'24'!H36</f>
        <v>-4195.320000000007</v>
      </c>
      <c r="I36" s="95"/>
      <c r="J36" s="175">
        <f>H36/DAY(B2)</f>
        <v>-167.81280000000027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277054.95</v>
      </c>
      <c r="F37" s="145">
        <v>278655.55</v>
      </c>
      <c r="G37" s="112">
        <f t="shared" si="3"/>
        <v>1600.5999999999767</v>
      </c>
      <c r="H37" s="99">
        <f>G37+'24'!H37</f>
        <v>-8063.4400000000023</v>
      </c>
      <c r="I37" s="95"/>
      <c r="J37" s="175">
        <f>H37/DAY(B2)</f>
        <v>-322.53760000000011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373753.91</v>
      </c>
      <c r="F38" s="108">
        <v>375941.55</v>
      </c>
      <c r="G38" s="112">
        <f t="shared" si="3"/>
        <v>2187.640000000014</v>
      </c>
      <c r="H38" s="99">
        <f>G38+'24'!H38</f>
        <v>-10721.799999999988</v>
      </c>
      <c r="I38" s="95"/>
      <c r="J38" s="175">
        <f>H38/DAY(B2)</f>
        <v>-428.87199999999956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505659.71</v>
      </c>
      <c r="F39" s="145">
        <v>508619.87</v>
      </c>
      <c r="G39" s="112">
        <f t="shared" si="3"/>
        <v>2960.1599999999744</v>
      </c>
      <c r="H39" s="99">
        <f>G39+'24'!H39</f>
        <v>-14760.72000000003</v>
      </c>
      <c r="I39" s="95"/>
      <c r="J39" s="175">
        <f>H39/DAY(B2)</f>
        <v>-590.42880000000116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81307.820000000007</v>
      </c>
      <c r="F40" s="145">
        <v>81601.7</v>
      </c>
      <c r="G40" s="112">
        <f t="shared" si="3"/>
        <v>293.8799999999901</v>
      </c>
      <c r="H40" s="99">
        <f>G40+'24'!H40</f>
        <v>-2069.3899999999994</v>
      </c>
      <c r="I40" s="95"/>
      <c r="J40" s="175">
        <f>H40/DAY(B2)</f>
        <v>-82.775599999999983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142818.41</v>
      </c>
      <c r="F41" s="145">
        <v>142818.41</v>
      </c>
      <c r="G41" s="112">
        <f t="shared" si="3"/>
        <v>0</v>
      </c>
      <c r="H41" s="99">
        <f>G41+'24'!H41</f>
        <v>1.0000000009313226E-2</v>
      </c>
      <c r="I41" s="95"/>
      <c r="J41" s="175">
        <f>H41/DAY(B2)</f>
        <v>4.0000000037252901E-4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662595.55000000005</v>
      </c>
      <c r="F42" s="145">
        <v>666778.06999999995</v>
      </c>
      <c r="G42" s="112">
        <f t="shared" si="3"/>
        <v>4182.5199999999022</v>
      </c>
      <c r="H42" s="99">
        <f>G42+'24'!H42</f>
        <v>-21854.480000000098</v>
      </c>
      <c r="I42" s="95"/>
      <c r="J42" s="175">
        <f>H42/DAY(B2)</f>
        <v>-874.1792000000039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12205.809999999838</v>
      </c>
      <c r="H47" s="99">
        <f>G47+'24'!H47</f>
        <v>-61665.110000000059</v>
      </c>
      <c r="I47" s="95"/>
      <c r="J47" s="175">
        <f>H47/DAY(B2)</f>
        <v>-2466.6044000000024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346373.83</v>
      </c>
      <c r="F49" s="145">
        <v>349982.55</v>
      </c>
      <c r="G49" s="112">
        <f t="shared" ref="G49:G58" si="4">F49-E49</f>
        <v>3608.7199999999721</v>
      </c>
      <c r="H49" s="99">
        <f>G49+'24'!H49</f>
        <v>-20789.200000000012</v>
      </c>
      <c r="I49" s="95"/>
      <c r="J49" s="175">
        <f>H49/DAY(B2)</f>
        <v>-831.56800000000044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236571.91</v>
      </c>
      <c r="F50" s="145">
        <v>237587.47</v>
      </c>
      <c r="G50" s="112">
        <f t="shared" si="4"/>
        <v>1015.5599999999977</v>
      </c>
      <c r="H50" s="99">
        <f>G50+'24'!H50</f>
        <v>-5517.929999999993</v>
      </c>
      <c r="I50" s="95"/>
      <c r="J50" s="175">
        <f>H50/DAY(B2)</f>
        <v>-220.71719999999971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76</v>
      </c>
      <c r="F51" s="145">
        <v>76</v>
      </c>
      <c r="G51" s="112">
        <f t="shared" si="4"/>
        <v>0</v>
      </c>
      <c r="H51" s="99">
        <f>G51+'24'!H51</f>
        <v>0.31999999999999318</v>
      </c>
      <c r="I51" s="95"/>
      <c r="J51" s="175">
        <f>H51/DAY(B2)</f>
        <v>1.2799999999999727E-2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74910.48</v>
      </c>
      <c r="F54" s="145">
        <v>75257.8</v>
      </c>
      <c r="G54" s="112">
        <f t="shared" si="4"/>
        <v>347.32000000000698</v>
      </c>
      <c r="H54" s="99">
        <f>G54+'24'!H54</f>
        <v>-1759.6999999999971</v>
      </c>
      <c r="I54" s="95"/>
      <c r="J54" s="175">
        <f>H54/DAY(B2)</f>
        <v>-70.387999999999877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263552.81</v>
      </c>
      <c r="F55" s="145">
        <v>267317.93</v>
      </c>
      <c r="G55" s="112">
        <f t="shared" si="4"/>
        <v>3765.1199999999953</v>
      </c>
      <c r="H55" s="99">
        <f>G55+'24'!H55</f>
        <v>-16765</v>
      </c>
      <c r="I55" s="95"/>
      <c r="J55" s="175">
        <f>H55/DAY(B2)</f>
        <v>-670.6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111243.13</v>
      </c>
      <c r="F56" s="145">
        <v>111243.13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113016.03</v>
      </c>
      <c r="F57" s="145">
        <v>116350.14</v>
      </c>
      <c r="G57" s="112">
        <f t="shared" si="4"/>
        <v>3334.1100000000006</v>
      </c>
      <c r="H57" s="99">
        <f>G57+'24'!H57</f>
        <v>-15553.560000000012</v>
      </c>
      <c r="I57" s="95"/>
      <c r="J57" s="175">
        <f>H57/DAY(B2)</f>
        <v>-622.14240000000052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38598.43</v>
      </c>
      <c r="F58" s="145">
        <v>38871.1</v>
      </c>
      <c r="G58" s="112">
        <f t="shared" si="4"/>
        <v>272.66999999999825</v>
      </c>
      <c r="H58" s="99">
        <f>G58+'24'!H58</f>
        <v>-1409.010000000002</v>
      </c>
      <c r="I58" s="95"/>
      <c r="J58" s="175">
        <f>H58/DAY(B2)</f>
        <v>-56.360400000000084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12343.499999999971</v>
      </c>
      <c r="H59" s="99">
        <f>G59+'24'!H59</f>
        <v>-61794.080000000075</v>
      </c>
      <c r="I59" s="95">
        <f>G7-G60</f>
        <v>2950.6900000001915</v>
      </c>
      <c r="J59" s="175">
        <f>H59/DAY(B2)</f>
        <v>-2471.7632000000031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24549.309999999808</v>
      </c>
      <c r="H60" s="99">
        <f>G60+'24'!H60</f>
        <v>-123459.19000000013</v>
      </c>
      <c r="I60" s="95">
        <f>G13-G60</f>
        <v>2339.4900000002381</v>
      </c>
      <c r="J60" s="175">
        <f>H60/DAY(B2)</f>
        <v>-4938.367600000005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'24'!F62</f>
        <v>292141</v>
      </c>
      <c r="F62" s="122">
        <v>292249</v>
      </c>
      <c r="G62" s="112">
        <f t="shared" ref="G62:G63" si="5">F62-E62</f>
        <v>108</v>
      </c>
      <c r="H62" s="99">
        <f>G62+'24'!H62</f>
        <v>-449</v>
      </c>
      <c r="I62" s="118"/>
      <c r="J62" s="175">
        <f>H62/DAY(B2)</f>
        <v>-17.96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'24'!F63</f>
        <v>234289</v>
      </c>
      <c r="F63" s="122">
        <v>234403</v>
      </c>
      <c r="G63" s="112">
        <f t="shared" si="5"/>
        <v>114</v>
      </c>
      <c r="H63" s="99">
        <f>G63+'24'!H63</f>
        <v>-663</v>
      </c>
      <c r="I63" s="118"/>
      <c r="J63" s="175">
        <f>H63/DAY(B2)</f>
        <v>-26.52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'24'!F64</f>
        <v>0</v>
      </c>
      <c r="F64" s="122"/>
      <c r="G64" s="112">
        <f>G62+G63</f>
        <v>222</v>
      </c>
      <c r="H64" s="99">
        <f>G64+'24'!H64</f>
        <v>-1112</v>
      </c>
      <c r="I64" s="118"/>
      <c r="J64" s="175">
        <f>H64/DAY(B2)</f>
        <v>-44.48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'24'!F65</f>
        <v>450817</v>
      </c>
      <c r="F65" s="122">
        <v>450920</v>
      </c>
      <c r="G65" s="112">
        <f t="shared" ref="G65:G70" si="6">F65-E65</f>
        <v>103</v>
      </c>
      <c r="H65" s="99">
        <f>G65+'24'!H65</f>
        <v>-469</v>
      </c>
      <c r="I65" s="118"/>
      <c r="J65" s="175">
        <f>H65/DAY(B2)</f>
        <v>-18.760000000000002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110918</v>
      </c>
      <c r="F66" s="122">
        <v>110934</v>
      </c>
      <c r="G66" s="112">
        <f t="shared" si="6"/>
        <v>16</v>
      </c>
      <c r="H66" s="99">
        <f>G66+'24'!H66</f>
        <v>-93</v>
      </c>
      <c r="I66" s="118"/>
      <c r="J66" s="175">
        <f>H66/DAY(B2)</f>
        <v>-3.72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113681</v>
      </c>
      <c r="F67" s="122">
        <v>113680</v>
      </c>
      <c r="G67" s="112">
        <f t="shared" si="6"/>
        <v>-1</v>
      </c>
      <c r="H67" s="99">
        <f>G67+'24'!H67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163317</v>
      </c>
      <c r="F68" s="122">
        <v>163354</v>
      </c>
      <c r="G68" s="112">
        <f t="shared" si="6"/>
        <v>37</v>
      </c>
      <c r="H68" s="99">
        <f>G68+'24'!H68</f>
        <v>-172</v>
      </c>
      <c r="I68" s="118"/>
      <c r="J68" s="175">
        <f>H68/DAY(B2)</f>
        <v>-6.88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12099</v>
      </c>
      <c r="F69" s="122">
        <v>12102</v>
      </c>
      <c r="G69" s="112">
        <f t="shared" si="6"/>
        <v>3</v>
      </c>
      <c r="H69" s="99">
        <f>G69+'24'!H69</f>
        <v>-26</v>
      </c>
      <c r="I69" s="118"/>
      <c r="J69" s="175">
        <f>H69/DAY(B2)</f>
        <v>-1.04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9472</v>
      </c>
      <c r="F70" s="122">
        <v>9479</v>
      </c>
      <c r="G70" s="112">
        <f t="shared" si="6"/>
        <v>7</v>
      </c>
      <c r="H70" s="99">
        <f>G70+'24'!H70</f>
        <v>-35</v>
      </c>
      <c r="I70" s="118"/>
      <c r="J70" s="175">
        <f>H70/DAY(B2)</f>
        <v>-1.4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165</v>
      </c>
      <c r="H71" s="99">
        <f>G71+'24'!H71</f>
        <v>-795</v>
      </c>
      <c r="I71" s="154"/>
      <c r="J71" s="175">
        <f>H71/DAY(B2)</f>
        <v>-31.8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'24'!F74</f>
        <v>946000.38</v>
      </c>
      <c r="F74" s="410">
        <v>946282.7</v>
      </c>
      <c r="G74" s="236">
        <f t="shared" ref="G74:G78" si="7">F74-E74</f>
        <v>282.31999999994878</v>
      </c>
      <c r="H74" s="99">
        <f>G74+'24'!H74</f>
        <v>-1424.5</v>
      </c>
      <c r="I74" s="154"/>
      <c r="J74" s="175">
        <f>H74/DAY(B2)</f>
        <v>-56.98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'24'!F76</f>
        <v>186317.65</v>
      </c>
      <c r="F76" s="410">
        <v>186410</v>
      </c>
      <c r="G76" s="236">
        <f t="shared" si="7"/>
        <v>92.350000000005821</v>
      </c>
      <c r="H76" s="99">
        <f>G76+'24'!H76</f>
        <v>-481.29999999998836</v>
      </c>
      <c r="I76" s="154"/>
      <c r="J76" s="175">
        <f>H76/DAY(B2)</f>
        <v>-19.251999999999533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'24'!F77</f>
        <v>48466.7</v>
      </c>
      <c r="F77" s="410">
        <v>48507</v>
      </c>
      <c r="G77" s="236">
        <f t="shared" si="7"/>
        <v>40.30000000000291</v>
      </c>
      <c r="H77" s="99">
        <f>G77+'24'!H77</f>
        <v>-228.80000000000291</v>
      </c>
      <c r="I77" s="154"/>
      <c r="J77" s="175">
        <f>H77/DAY(B2)</f>
        <v>-9.1520000000001165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'24'!F78</f>
        <v>9564</v>
      </c>
      <c r="F78" s="410">
        <v>9564</v>
      </c>
      <c r="G78" s="236">
        <f t="shared" si="7"/>
        <v>0</v>
      </c>
      <c r="H78" s="99">
        <f>G78+'24'!H78</f>
        <v>-0.3999999999996362</v>
      </c>
      <c r="I78" s="118"/>
      <c r="J78" s="175">
        <f>H78/DAY(B2)</f>
        <v>-1.5999999999985449E-2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'24'!F79</f>
        <v>0</v>
      </c>
      <c r="F79" s="117"/>
      <c r="G79" s="112">
        <f>G15-SUM(G74:G78)</f>
        <v>585.03000000004249</v>
      </c>
      <c r="H79" s="99">
        <f>G79+'24'!H79</f>
        <v>27517.830000000067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42275</v>
      </c>
      <c r="F84" s="164">
        <v>42275</v>
      </c>
      <c r="G84" s="236">
        <f t="shared" si="8"/>
        <v>0</v>
      </c>
      <c r="H84" s="99">
        <f>G84+'24'!H84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4770.32</v>
      </c>
      <c r="F85" s="164">
        <v>4787</v>
      </c>
      <c r="G85" s="112">
        <f t="shared" si="8"/>
        <v>16.680000000000291</v>
      </c>
      <c r="H85" s="99">
        <f>G85+'24'!H85</f>
        <v>-95.010000000000218</v>
      </c>
      <c r="I85" s="573"/>
      <c r="J85" s="175">
        <f>H85/DAY(B2)</f>
        <v>-3.8004000000000087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44718.32</v>
      </c>
      <c r="F86" s="164">
        <v>44742</v>
      </c>
      <c r="G86" s="112">
        <f t="shared" si="8"/>
        <v>23.680000000000291</v>
      </c>
      <c r="H86" s="99">
        <f>G86+'24'!H86</f>
        <v>-110.30000000000291</v>
      </c>
      <c r="I86" s="573"/>
      <c r="J86" s="175">
        <f>H86/DAY(B2)</f>
        <v>-4.4120000000001163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35358.050000000003</v>
      </c>
      <c r="F87" s="164">
        <v>35358.050000000003</v>
      </c>
      <c r="G87" s="112">
        <f t="shared" si="8"/>
        <v>0</v>
      </c>
      <c r="H87" s="99">
        <f>G87+'24'!H87</f>
        <v>0</v>
      </c>
      <c r="I87" s="573">
        <f>G84+G85+G86+G87</f>
        <v>40.360000000000582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24277.14</v>
      </c>
      <c r="F88" s="164">
        <v>24277.14</v>
      </c>
      <c r="G88" s="112">
        <f t="shared" si="8"/>
        <v>0</v>
      </c>
      <c r="H88" s="99">
        <f>G88+'24'!H88</f>
        <v>-6.0000000001309672E-2</v>
      </c>
      <c r="I88" s="573"/>
      <c r="J88" s="175">
        <f>H88/DAY(B2)</f>
        <v>-2.4000000000523867E-3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27235.34</v>
      </c>
      <c r="F89" s="164">
        <v>27245.4</v>
      </c>
      <c r="G89" s="112">
        <f t="shared" si="8"/>
        <v>10.06000000000131</v>
      </c>
      <c r="H89" s="99">
        <f>G89+'24'!H89</f>
        <v>-46.019999999996799</v>
      </c>
      <c r="I89" s="573">
        <f>G88+G89</f>
        <v>10.06000000000131</v>
      </c>
      <c r="J89" s="175">
        <f>H89/DAY(B2)</f>
        <v>-1.8407999999998719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72271.149999999994</v>
      </c>
      <c r="F90" s="164">
        <v>72281.91</v>
      </c>
      <c r="G90" s="112">
        <f t="shared" si="8"/>
        <v>10.760000000009313</v>
      </c>
      <c r="H90" s="99">
        <f>G90+'24'!H90</f>
        <v>-19.219999999986612</v>
      </c>
      <c r="I90" s="573">
        <f>G90</f>
        <v>10.760000000009313</v>
      </c>
      <c r="J90" s="175">
        <f>H90/DAY(B2)</f>
        <v>-0.76879999999946447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4122</v>
      </c>
      <c r="F91" s="122">
        <v>4122</v>
      </c>
      <c r="G91" s="112">
        <f t="shared" si="8"/>
        <v>0</v>
      </c>
      <c r="H91" s="99">
        <f>G91+'24'!H91</f>
        <v>-16.4399999999996</v>
      </c>
      <c r="I91" s="592"/>
      <c r="J91" s="175">
        <f>H91/DAY(B2)</f>
        <v>-0.65759999999998398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6472.05</v>
      </c>
      <c r="F92" s="164">
        <v>6483</v>
      </c>
      <c r="G92" s="112">
        <f t="shared" si="8"/>
        <v>10.949999999999818</v>
      </c>
      <c r="H92" s="99">
        <f>G92+'24'!H92</f>
        <v>-32.340000000000146</v>
      </c>
      <c r="I92" s="598">
        <f>G91+G92</f>
        <v>10.949999999999818</v>
      </c>
      <c r="J92" s="175">
        <f>H92/DAY(B2)</f>
        <v>-1.2936000000000059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6941.879999999961</v>
      </c>
      <c r="H94" s="99">
        <f>G94+'24'!H94</f>
        <v>-36342.729999999996</v>
      </c>
      <c r="I94" s="118"/>
      <c r="J94" s="175">
        <f>H94/DAY(B2)</f>
        <v>-1453.7091999999998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0.2524319999999986</v>
      </c>
      <c r="H95" s="99">
        <f>G95+'24'!H95</f>
        <v>-1.234607362806698</v>
      </c>
      <c r="I95" s="167"/>
      <c r="J95" s="175">
        <f>H95/DAY(B2)</f>
        <v>-4.9384294512267918E-2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7947.6399999998976</v>
      </c>
      <c r="H96" s="99">
        <f>G96+'24'!H96</f>
        <v>-38619.470000000118</v>
      </c>
      <c r="I96" s="118"/>
      <c r="J96" s="175">
        <f>H96/DAY(B2)</f>
        <v>-1544.7788000000046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0.28900509090908716</v>
      </c>
      <c r="H97" s="99">
        <f>G97+'24'!H97</f>
        <v>-1.3265222458181403</v>
      </c>
      <c r="I97" s="167"/>
      <c r="J97" s="175">
        <f>H97/DAY(B2)</f>
        <v>-5.3060889832725611E-2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2960.1599999999744</v>
      </c>
      <c r="H98" s="99">
        <f>G98+'24'!H98</f>
        <v>-14760.72000000003</v>
      </c>
      <c r="I98" s="168"/>
      <c r="J98" s="175">
        <f>H98/DAY(B2)</f>
        <v>-590.42880000000116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0.10764218181818089</v>
      </c>
      <c r="H99" s="99">
        <f>G99+'24'!H99</f>
        <v>-0.49895933536329462</v>
      </c>
      <c r="I99" s="168"/>
      <c r="J99" s="175">
        <f>H99/DAY(B2)</f>
        <v>-1.9958373414531785E-2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2187.640000000014</v>
      </c>
      <c r="H100" s="99">
        <f>G100+'24'!H100</f>
        <v>-10721.799999999981</v>
      </c>
      <c r="I100" s="118"/>
      <c r="J100" s="175">
        <f>H100/DAY(B2)</f>
        <v>-428.87199999999922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7.9550545454545957E-2</v>
      </c>
      <c r="H101" s="99">
        <f>G101+'24'!H101</f>
        <v>-0.36104665314489182</v>
      </c>
      <c r="I101" s="168"/>
      <c r="J101" s="175">
        <f>H101/DAY(B2)</f>
        <v>-1.4441866125795672E-2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1997.5199999999895</v>
      </c>
      <c r="H102" s="99">
        <f>G102+'24'!H102</f>
        <v>-9713.25</v>
      </c>
      <c r="I102" s="168"/>
      <c r="J102" s="175">
        <f>H102/DAY(B2)</f>
        <v>-388.53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7.2637090909090526E-2</v>
      </c>
      <c r="H103" s="99">
        <f>G103+'24'!H103</f>
        <v>-0.33104023975741825</v>
      </c>
      <c r="I103" s="118"/>
      <c r="J103" s="175">
        <f>H103/DAY(B2)</f>
        <v>-1.324160959029673E-2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1600.5999999999767</v>
      </c>
      <c r="H104" s="99">
        <f>G104+'24'!H104</f>
        <v>-8063.1200000000026</v>
      </c>
      <c r="I104" s="118"/>
      <c r="J104" s="175">
        <f>H104/DAY(B2)</f>
        <v>-322.52480000000008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5.8203636363635514E-2</v>
      </c>
      <c r="H105" s="99">
        <f>G105+'24'!H105</f>
        <v>-0.27241255253569058</v>
      </c>
      <c r="I105" s="187"/>
      <c r="J105" s="188">
        <f>H105/DAY(B2)</f>
        <v>-1.0896502101427624E-2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'24'!F112</f>
        <v>4494.51</v>
      </c>
      <c r="F112" s="237">
        <v>4568.13</v>
      </c>
      <c r="G112" s="112">
        <f t="shared" ref="G112:G123" si="9">F112-E112</f>
        <v>73.619999999999891</v>
      </c>
      <c r="H112" s="99">
        <f>G112+'24'!H112</f>
        <v>-361.60999999999967</v>
      </c>
      <c r="I112" s="165"/>
      <c r="J112" s="328">
        <f>H112/DAY(B2)</f>
        <v>-14.464399999999987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'24'!F113</f>
        <v>9778.8799999999992</v>
      </c>
      <c r="F113" s="237">
        <v>9919.6</v>
      </c>
      <c r="G113" s="112">
        <f t="shared" si="9"/>
        <v>140.72000000000116</v>
      </c>
      <c r="H113" s="99">
        <f>G113+'24'!H113</f>
        <v>-713.11999999999898</v>
      </c>
      <c r="I113" s="165"/>
      <c r="J113" s="328">
        <f>H113/DAY(B2)</f>
        <v>-28.52479999999996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'24'!F114</f>
        <v>12849.96</v>
      </c>
      <c r="F114" s="237">
        <v>13075.99</v>
      </c>
      <c r="G114" s="112">
        <f t="shared" si="9"/>
        <v>226.03000000000065</v>
      </c>
      <c r="H114" s="99">
        <f>G114+'24'!H114</f>
        <v>-1117.8099999999995</v>
      </c>
      <c r="I114" s="165"/>
      <c r="J114" s="328">
        <f>H114/DAY(B2)</f>
        <v>-44.712399999999981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'24'!F115</f>
        <v>8149.36</v>
      </c>
      <c r="F115" s="237">
        <v>8264.26</v>
      </c>
      <c r="G115" s="112">
        <f t="shared" si="9"/>
        <v>114.90000000000055</v>
      </c>
      <c r="H115" s="99">
        <f>G115+'24'!H115</f>
        <v>-756.52000000000044</v>
      </c>
      <c r="I115" s="165"/>
      <c r="J115" s="328">
        <f>H115/DAY(B2)</f>
        <v>-30.260800000000017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'24'!F116</f>
        <v>56496.11</v>
      </c>
      <c r="F116" s="237">
        <v>56932.74</v>
      </c>
      <c r="G116" s="112">
        <f t="shared" si="9"/>
        <v>436.62999999999738</v>
      </c>
      <c r="H116" s="99">
        <f>G116+'24'!H116</f>
        <v>-1957.8100000000049</v>
      </c>
      <c r="I116" s="165"/>
      <c r="J116" s="328">
        <f>H116/DAY(B2)</f>
        <v>-78.312400000000196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'24'!F117</f>
        <v>31192.57</v>
      </c>
      <c r="F117" s="237">
        <v>31469.8</v>
      </c>
      <c r="G117" s="112">
        <f t="shared" si="9"/>
        <v>277.22999999999956</v>
      </c>
      <c r="H117" s="99">
        <f>G117+'24'!H117</f>
        <v>-1418.6800000000039</v>
      </c>
      <c r="I117" s="165"/>
      <c r="J117" s="328">
        <f>H117/DAY(B2)</f>
        <v>-56.747200000000156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'24'!F118</f>
        <v>41018.79</v>
      </c>
      <c r="F118" s="237">
        <v>41672.81</v>
      </c>
      <c r="G118" s="112">
        <f t="shared" si="9"/>
        <v>654.0199999999968</v>
      </c>
      <c r="H118" s="99">
        <f>G118+'24'!H118</f>
        <v>-3247.5</v>
      </c>
      <c r="I118" s="165"/>
      <c r="J118" s="328">
        <f>H118/DAY(B2)</f>
        <v>-129.9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'24'!F119</f>
        <v>28887.06</v>
      </c>
      <c r="F119" s="237">
        <v>29131.29</v>
      </c>
      <c r="G119" s="112">
        <f t="shared" si="9"/>
        <v>244.22999999999956</v>
      </c>
      <c r="H119" s="99">
        <f>G119+'24'!H119</f>
        <v>-1211.3099999999977</v>
      </c>
      <c r="I119" s="165"/>
      <c r="J119" s="328">
        <f>H119/DAY(B2)</f>
        <v>-48.452399999999905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'24'!F120</f>
        <v>30519.919999999998</v>
      </c>
      <c r="F120" s="237">
        <v>30963.06</v>
      </c>
      <c r="G120" s="112">
        <f t="shared" si="9"/>
        <v>443.14000000000306</v>
      </c>
      <c r="H120" s="99">
        <f>G120+'24'!H120</f>
        <v>-2142.4999999999964</v>
      </c>
      <c r="I120" s="165"/>
      <c r="J120" s="328">
        <f>H120/DAY(B2)</f>
        <v>-85.699999999999861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'24'!F121</f>
        <v>36965.53</v>
      </c>
      <c r="F121" s="237">
        <v>37404.68</v>
      </c>
      <c r="G121" s="112">
        <f t="shared" si="9"/>
        <v>439.15000000000146</v>
      </c>
      <c r="H121" s="99">
        <f>G121+'24'!H121</f>
        <v>-2183.2200000000012</v>
      </c>
      <c r="I121" s="165"/>
      <c r="J121" s="328">
        <f>H121/DAY(B2)</f>
        <v>-87.328800000000044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'24'!F122</f>
        <v>18317.28</v>
      </c>
      <c r="F122" s="237">
        <v>18571.52</v>
      </c>
      <c r="G122" s="112">
        <f t="shared" si="9"/>
        <v>254.2400000000016</v>
      </c>
      <c r="H122" s="99">
        <f>G122+'24'!H122</f>
        <v>-1394.3600000000006</v>
      </c>
      <c r="I122" s="165"/>
      <c r="J122" s="328">
        <f>H122/DAY(B2)</f>
        <v>-55.774400000000021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'24'!F123</f>
        <v>18472.32</v>
      </c>
      <c r="F123" s="237">
        <v>18784.82</v>
      </c>
      <c r="G123" s="112">
        <f t="shared" si="9"/>
        <v>312.5</v>
      </c>
      <c r="H123" s="99">
        <f>G123+'24'!H123</f>
        <v>-1557.1800000000003</v>
      </c>
      <c r="I123" s="165"/>
      <c r="J123" s="328">
        <f>H123/DAY(B2)</f>
        <v>-62.287200000000013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3616.4100000000017</v>
      </c>
      <c r="H125" s="156"/>
      <c r="I125" s="327">
        <f>G125-(G39+G53)</f>
        <v>656.25000000002728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'24'!F128</f>
        <v>108582.65</v>
      </c>
      <c r="F128" s="155">
        <v>109145.44</v>
      </c>
      <c r="G128" s="112">
        <f t="shared" ref="G128:G134" si="10">F128-E128</f>
        <v>562.79000000000815</v>
      </c>
      <c r="H128" s="99">
        <f>G128+'24'!H128</f>
        <v>-2730.4199999999983</v>
      </c>
      <c r="I128" s="165"/>
      <c r="J128" s="328">
        <f>H128/DAY(B2)</f>
        <v>-109.21679999999994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65615.91</v>
      </c>
      <c r="F129" s="155">
        <v>65785.759999999995</v>
      </c>
      <c r="G129" s="112">
        <f t="shared" si="10"/>
        <v>169.84999999999127</v>
      </c>
      <c r="H129" s="99">
        <f>G129+'24'!H129</f>
        <v>-916.02000000000407</v>
      </c>
      <c r="I129" s="165"/>
      <c r="J129" s="328">
        <f>H129/DAY(B2)</f>
        <v>-36.640800000000162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137120.15</v>
      </c>
      <c r="F130" s="155">
        <v>137869.28</v>
      </c>
      <c r="G130" s="112">
        <f t="shared" si="10"/>
        <v>749.13000000000466</v>
      </c>
      <c r="H130" s="99">
        <f>G130+'24'!H130</f>
        <v>-4428.6399999999849</v>
      </c>
      <c r="I130" s="165"/>
      <c r="J130" s="328">
        <f>H130/DAY(B2)</f>
        <v>-177.1455999999994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'24'!F131</f>
        <v>41295.15</v>
      </c>
      <c r="F131" s="155">
        <v>41525.49</v>
      </c>
      <c r="G131" s="112">
        <f t="shared" si="10"/>
        <v>230.33999999999651</v>
      </c>
      <c r="H131" s="99">
        <f>G131+'24'!H131</f>
        <v>-1092.7099999999991</v>
      </c>
      <c r="I131" s="165"/>
      <c r="J131" s="328">
        <f>H131/DAY(B2)</f>
        <v>-43.708399999999962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'24'!F132</f>
        <v>113536.27</v>
      </c>
      <c r="F132" s="155">
        <v>114003.1</v>
      </c>
      <c r="G132" s="112">
        <f t="shared" si="10"/>
        <v>466.83000000000175</v>
      </c>
      <c r="H132" s="99">
        <f>G132+'24'!H132</f>
        <v>-2287.8999999999942</v>
      </c>
      <c r="I132" s="165"/>
      <c r="J132" s="328">
        <f>H132/DAY(B2)</f>
        <v>-91.515999999999764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'24'!F133</f>
        <v>219453.95</v>
      </c>
      <c r="F133" s="155">
        <v>220058.21</v>
      </c>
      <c r="G133" s="112">
        <f t="shared" si="10"/>
        <v>604.25999999998021</v>
      </c>
      <c r="H133" s="99">
        <f>G133+'24'!H133</f>
        <v>4247.6399999999849</v>
      </c>
      <c r="I133" s="165"/>
      <c r="J133" s="328">
        <f>H133/DAY(B2)</f>
        <v>169.9055999999994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'24'!F134</f>
        <v>40535.79</v>
      </c>
      <c r="F134" s="157">
        <v>40742.9</v>
      </c>
      <c r="G134" s="112">
        <f t="shared" si="10"/>
        <v>207.11000000000058</v>
      </c>
      <c r="H134" s="99">
        <f>G134+'24'!H134</f>
        <v>-1002.0999999999985</v>
      </c>
      <c r="I134" s="165"/>
      <c r="J134" s="328">
        <f>H134/DAY(B2)</f>
        <v>-40.083999999999939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2990.3099999999831</v>
      </c>
      <c r="H135" s="99">
        <f>G135+'23'!H135</f>
        <v>33615.509999999973</v>
      </c>
      <c r="I135" s="327">
        <f>G135-(G35+G49)</f>
        <v>-617.4599999999773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'24'!F138</f>
        <v>886548</v>
      </c>
      <c r="F138" s="147">
        <v>886673</v>
      </c>
      <c r="G138" s="112">
        <f t="shared" ref="G138:G152" si="11">F138-E138</f>
        <v>125</v>
      </c>
      <c r="H138" s="99">
        <f>G138+'24'!H138</f>
        <v>-551</v>
      </c>
      <c r="I138" s="118"/>
      <c r="J138" s="328">
        <f>H138/DAY(B2)</f>
        <v>-22.04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'24'!F139</f>
        <v>903145</v>
      </c>
      <c r="F139" s="148">
        <v>903293</v>
      </c>
      <c r="G139" s="112">
        <f t="shared" si="11"/>
        <v>148</v>
      </c>
      <c r="H139" s="99">
        <f>G139+'24'!H139</f>
        <v>-797</v>
      </c>
      <c r="I139" s="118"/>
      <c r="J139" s="328">
        <f>H139/DAY(B2)</f>
        <v>-31.88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'24'!F140</f>
        <v>970.7</v>
      </c>
      <c r="F140" s="149">
        <v>987.95</v>
      </c>
      <c r="G140" s="112">
        <f t="shared" si="11"/>
        <v>17.25</v>
      </c>
      <c r="H140" s="99">
        <f>G140+'24'!H140</f>
        <v>-88017.7</v>
      </c>
      <c r="I140" s="118"/>
      <c r="J140" s="328">
        <f>H140/DAY(B2)</f>
        <v>-3520.7080000000001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'24'!F141</f>
        <v>82911.39</v>
      </c>
      <c r="F141" s="149">
        <v>83101.39</v>
      </c>
      <c r="G141" s="112">
        <f t="shared" si="11"/>
        <v>190</v>
      </c>
      <c r="H141" s="99">
        <f>G141+'24'!H141</f>
        <v>-1013.8099999999977</v>
      </c>
      <c r="I141" s="118"/>
      <c r="J141" s="328">
        <f>H141/DAY(B2)</f>
        <v>-40.552399999999906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'24'!F142</f>
        <v>33928.639999999999</v>
      </c>
      <c r="F142" s="148">
        <v>34003.023000000001</v>
      </c>
      <c r="G142" s="112">
        <f t="shared" si="11"/>
        <v>74.38300000000163</v>
      </c>
      <c r="H142" s="99">
        <f>G142+'24'!H142</f>
        <v>-382.44700000000012</v>
      </c>
      <c r="I142" s="140"/>
      <c r="J142" s="328">
        <f>H142/DAY(B2)</f>
        <v>-15.297880000000005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'24'!F143</f>
        <v>7990.73</v>
      </c>
      <c r="F143" s="149">
        <v>8017.53</v>
      </c>
      <c r="G143" s="112">
        <f t="shared" si="11"/>
        <v>26.800000000000182</v>
      </c>
      <c r="H143" s="99">
        <f>G143+'24'!H143</f>
        <v>-140.78999999999996</v>
      </c>
      <c r="I143" s="140"/>
      <c r="J143" s="328">
        <f>H143/DAY(B2)</f>
        <v>-5.6315999999999988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'24'!F144</f>
        <v>910857</v>
      </c>
      <c r="F144" s="149">
        <v>911086</v>
      </c>
      <c r="G144" s="112">
        <f t="shared" si="11"/>
        <v>229</v>
      </c>
      <c r="H144" s="99">
        <f>G144+'24'!H144</f>
        <v>-1191</v>
      </c>
      <c r="I144" s="140"/>
      <c r="J144" s="328">
        <f>H144/DAY(B2)</f>
        <v>-47.64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'24'!F145</f>
        <v>5665.31</v>
      </c>
      <c r="F145" s="149">
        <v>5666.07</v>
      </c>
      <c r="G145" s="112">
        <f t="shared" si="11"/>
        <v>0.75999999999930878</v>
      </c>
      <c r="H145" s="99">
        <f>G145+'24'!H145</f>
        <v>-0.49000000000069122</v>
      </c>
      <c r="I145" s="140"/>
      <c r="J145" s="328">
        <f>H145/DAY(B2)</f>
        <v>-1.9600000000027647E-2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'24'!F146</f>
        <v>779065</v>
      </c>
      <c r="F146" s="148">
        <v>779107</v>
      </c>
      <c r="G146" s="112">
        <f t="shared" si="11"/>
        <v>42</v>
      </c>
      <c r="H146" s="99">
        <f>G146+'24'!H146</f>
        <v>-221</v>
      </c>
      <c r="I146" s="140"/>
      <c r="J146" s="328">
        <f>H146/DAY(B2)</f>
        <v>-8.84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'24'!F147</f>
        <v>685159.28</v>
      </c>
      <c r="F147" s="148">
        <v>685552.48</v>
      </c>
      <c r="G147" s="112">
        <f t="shared" si="11"/>
        <v>393.19999999995343</v>
      </c>
      <c r="H147" s="99">
        <f>G147+'24'!H147</f>
        <v>-1973.6800000000512</v>
      </c>
      <c r="I147" s="140"/>
      <c r="J147" s="328">
        <f>H147/DAY(B2)</f>
        <v>-78.947200000002056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'24'!F148</f>
        <v>737141.52</v>
      </c>
      <c r="F148" s="164">
        <v>737457.04</v>
      </c>
      <c r="G148" s="112">
        <f t="shared" si="11"/>
        <v>315.52000000001863</v>
      </c>
      <c r="H148" s="99">
        <f>G148+'24'!H148</f>
        <v>-1490.2399999999907</v>
      </c>
      <c r="I148" s="124"/>
      <c r="J148" s="328">
        <f>H148/DAY(B2)</f>
        <v>-59.609599999999631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'24'!F149</f>
        <v>113864.68</v>
      </c>
      <c r="F149" s="146">
        <v>114339.8</v>
      </c>
      <c r="G149" s="112">
        <f t="shared" si="11"/>
        <v>475.1200000000099</v>
      </c>
      <c r="H149" s="99">
        <f>G149+'24'!H149</f>
        <v>-2193</v>
      </c>
      <c r="I149" s="119"/>
      <c r="J149" s="328">
        <f>H149/DAY(B2)</f>
        <v>-87.72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'24'!F150</f>
        <v>42433.81</v>
      </c>
      <c r="F150" s="233">
        <v>42655.1</v>
      </c>
      <c r="G150" s="112">
        <f t="shared" si="11"/>
        <v>221.29000000000087</v>
      </c>
      <c r="H150" s="99">
        <f>G150+'24'!H150</f>
        <v>-1070.0600000000049</v>
      </c>
      <c r="I150" s="119"/>
      <c r="J150" s="328">
        <f>H150/DAY(B2)</f>
        <v>-42.802400000000198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'24'!F151</f>
        <v>124947</v>
      </c>
      <c r="F151" s="233">
        <v>125221</v>
      </c>
      <c r="G151" s="112">
        <f t="shared" si="11"/>
        <v>274</v>
      </c>
      <c r="H151" s="99">
        <f>G151+'24'!H151</f>
        <v>-1382</v>
      </c>
      <c r="I151" s="119"/>
      <c r="J151" s="328">
        <f>H151/DAY(B2)</f>
        <v>-55.28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'24'!F152</f>
        <v>18527.150000000001</v>
      </c>
      <c r="F152" s="233">
        <v>18653.919999999998</v>
      </c>
      <c r="G152" s="112">
        <f t="shared" si="11"/>
        <v>126.7699999999968</v>
      </c>
      <c r="H152" s="99">
        <f>G152+'24'!H152</f>
        <v>-634.16000000000349</v>
      </c>
      <c r="I152" s="119"/>
      <c r="J152" s="328">
        <f>H152/DAY(B2)</f>
        <v>-25.366400000000141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2659.0929999999807</v>
      </c>
      <c r="H153" s="363"/>
      <c r="I153" s="119">
        <f>G153-(G38+G52)</f>
        <v>471.45299999996678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'24'!F155</f>
        <v>126849</v>
      </c>
      <c r="F155" s="157">
        <v>127473</v>
      </c>
      <c r="G155" s="112">
        <f t="shared" ref="G155:G158" si="12">F155-E155</f>
        <v>624</v>
      </c>
      <c r="H155" s="99">
        <f>G155+'24'!H155</f>
        <v>-2768.3800000000047</v>
      </c>
      <c r="I155" s="364"/>
      <c r="J155" s="328">
        <f>H155/DAY(B2)</f>
        <v>-110.73520000000019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'24'!F156</f>
        <v>11606.73</v>
      </c>
      <c r="F156" s="157">
        <v>11688.7</v>
      </c>
      <c r="G156" s="112">
        <f t="shared" si="12"/>
        <v>81.970000000001164</v>
      </c>
      <c r="H156" s="99">
        <f>G156+'24'!H156</f>
        <v>-404.65999999999985</v>
      </c>
      <c r="I156" s="165"/>
      <c r="J156" s="328">
        <f>H156/DAY(B2)</f>
        <v>-16.186399999999995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'24'!F157</f>
        <v>22190.99</v>
      </c>
      <c r="F157" s="157">
        <v>22349.5</v>
      </c>
      <c r="G157" s="112">
        <f t="shared" si="12"/>
        <v>158.5099999999984</v>
      </c>
      <c r="H157" s="99">
        <f>G157+'24'!H157</f>
        <v>958.5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'24'!F158</f>
        <v>191.98</v>
      </c>
      <c r="F158" s="157">
        <v>192</v>
      </c>
      <c r="G158" s="112">
        <f t="shared" si="12"/>
        <v>2.0000000000010232E-2</v>
      </c>
      <c r="H158" s="99">
        <f>G158+'24'!H158</f>
        <v>2</v>
      </c>
      <c r="I158" s="165"/>
      <c r="J158" s="328"/>
    </row>
    <row r="159" spans="1:10" ht="25.5">
      <c r="A159" s="954"/>
      <c r="B159" s="955"/>
      <c r="C159" s="956"/>
      <c r="D159" s="117"/>
      <c r="E159" s="95"/>
      <c r="F159" s="158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477558.52</v>
      </c>
      <c r="F161" s="235">
        <v>477561.16</v>
      </c>
      <c r="G161" s="238">
        <f t="shared" ref="G161:G165" si="13">F161-E161</f>
        <v>2.6399999999557622</v>
      </c>
      <c r="H161" s="99">
        <f>G161+'24'!H161</f>
        <v>895.15999999997439</v>
      </c>
      <c r="I161" s="236"/>
      <c r="J161" s="239">
        <f>H161/DAY(B2)</f>
        <v>35.806399999998973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93585.9</v>
      </c>
      <c r="F162" s="235">
        <v>93609.8</v>
      </c>
      <c r="G162" s="238">
        <f t="shared" si="13"/>
        <v>23.900000000008731</v>
      </c>
      <c r="H162" s="99">
        <f>G162+'24'!H162</f>
        <v>-195.5</v>
      </c>
      <c r="I162" s="236"/>
      <c r="J162" s="239">
        <f>H162/DAY(B2)</f>
        <v>-7.82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1021.8</v>
      </c>
      <c r="F163" s="235">
        <v>1186.5999999999999</v>
      </c>
      <c r="G163" s="238">
        <f t="shared" si="13"/>
        <v>164.79999999999995</v>
      </c>
      <c r="H163" s="99">
        <f>G163+'24'!H163</f>
        <v>99155.500000000015</v>
      </c>
      <c r="I163" s="236"/>
      <c r="J163" s="239">
        <f>H163/DAY(B2)</f>
        <v>3966.2200000000007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5825.4</v>
      </c>
      <c r="F164" s="235">
        <v>5838.7</v>
      </c>
      <c r="G164" s="238">
        <f t="shared" si="13"/>
        <v>13.300000000000182</v>
      </c>
      <c r="H164" s="99">
        <f>G164+'24'!H164</f>
        <v>-59.699999999999818</v>
      </c>
      <c r="I164" s="236"/>
      <c r="J164" s="239">
        <f>H164/DAY(B2)</f>
        <v>-2.3879999999999928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31278.42</v>
      </c>
      <c r="F165" s="235">
        <v>31288.39</v>
      </c>
      <c r="G165" s="238">
        <f t="shared" si="13"/>
        <v>9.9700000000011642</v>
      </c>
      <c r="H165" s="99">
        <f>G165+'24'!H165</f>
        <v>-58.260000000002037</v>
      </c>
      <c r="I165" s="236"/>
      <c r="J165" s="239">
        <f>H165/DAY(B2)</f>
        <v>-2.3304000000000813</v>
      </c>
    </row>
    <row r="166" spans="1:10" ht="26.25">
      <c r="A166" s="935"/>
      <c r="B166" s="935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93" t="s">
        <v>209</v>
      </c>
      <c r="B173" s="894"/>
      <c r="C173" s="333"/>
      <c r="D173" s="228" t="s">
        <v>142</v>
      </c>
      <c r="E173" s="95">
        <f>'24'!F173</f>
        <v>8229</v>
      </c>
      <c r="F173" s="155">
        <v>8229</v>
      </c>
      <c r="G173" s="155">
        <f>F173-E173</f>
        <v>0</v>
      </c>
      <c r="H173" s="99">
        <f>G173+'24'!H173</f>
        <v>47</v>
      </c>
      <c r="I173" s="155"/>
      <c r="J173" s="178">
        <f>H173/DAY(B2)</f>
        <v>1.88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'24'!F174</f>
        <v>40692</v>
      </c>
      <c r="F174" s="157">
        <v>40708</v>
      </c>
      <c r="G174" s="155">
        <f t="shared" ref="G174:G175" si="14">F174-E174</f>
        <v>16</v>
      </c>
      <c r="H174" s="99">
        <f>G174+'24'!H174</f>
        <v>-71</v>
      </c>
      <c r="I174" s="155"/>
      <c r="J174" s="178">
        <f>H174/DAY(B2)</f>
        <v>-2.84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'24'!F175</f>
        <v>23587</v>
      </c>
      <c r="F175" s="155">
        <v>23598</v>
      </c>
      <c r="G175" s="155">
        <f t="shared" si="14"/>
        <v>11</v>
      </c>
      <c r="H175" s="99">
        <f>G175+'24'!H175</f>
        <v>-58</v>
      </c>
      <c r="I175" s="155"/>
      <c r="J175" s="178">
        <f>H175/DAY(B2)</f>
        <v>-2.3199999999999998</v>
      </c>
    </row>
    <row r="176" spans="1:10" ht="23.2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27</v>
      </c>
      <c r="H176" s="99">
        <f>G176+'24'!H176</f>
        <v>-82</v>
      </c>
      <c r="I176" s="155"/>
      <c r="J176" s="178">
        <f>H176/DAY(B2)</f>
        <v>-3.28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'24'!F178</f>
        <v>94273</v>
      </c>
      <c r="F178" s="155">
        <v>94377</v>
      </c>
      <c r="G178" s="155">
        <f>F178-E178</f>
        <v>104</v>
      </c>
      <c r="H178" s="99">
        <f>G178+'24'!H178</f>
        <v>2291</v>
      </c>
      <c r="I178" s="155"/>
      <c r="J178" s="178">
        <f>H178/DAY(B2)</f>
        <v>91.64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'24'!F179</f>
        <v>36002</v>
      </c>
      <c r="F179" s="155">
        <v>36002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'24'!F180</f>
        <v>6833</v>
      </c>
      <c r="F180" s="155">
        <v>6841</v>
      </c>
      <c r="G180" s="155">
        <f t="shared" si="15"/>
        <v>8</v>
      </c>
      <c r="H180" s="99">
        <f>G180+'24'!H180</f>
        <v>-41</v>
      </c>
      <c r="I180" s="155"/>
      <c r="J180" s="178">
        <f>H180/DAY(B2)</f>
        <v>-1.64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112</v>
      </c>
      <c r="H181" s="99">
        <f>G181+'24'!H181</f>
        <v>2250</v>
      </c>
      <c r="I181" s="155"/>
      <c r="J181" s="178">
        <f>H181/DAY(B2)</f>
        <v>90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'24'!F183</f>
        <v>17237</v>
      </c>
      <c r="F183" s="157">
        <v>17242</v>
      </c>
      <c r="G183" s="157">
        <f>F183-E183</f>
        <v>5</v>
      </c>
      <c r="H183" s="99">
        <f>G183+'24'!H183</f>
        <v>-33</v>
      </c>
      <c r="I183" s="155"/>
      <c r="J183" s="178">
        <f>H183/DAY(B2)</f>
        <v>-1.32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'24'!F184</f>
        <v>11653</v>
      </c>
      <c r="F184" s="157">
        <v>11659</v>
      </c>
      <c r="G184" s="157">
        <f t="shared" ref="G184:G185" si="16">F184-E184</f>
        <v>6</v>
      </c>
      <c r="H184" s="99">
        <f>G184+'24'!H184</f>
        <v>-30</v>
      </c>
      <c r="I184" s="155"/>
      <c r="J184" s="178">
        <f>H184/DAY(B2)</f>
        <v>-1.2</v>
      </c>
    </row>
    <row r="185" spans="1:10" ht="23.25" customHeight="1">
      <c r="A185" s="893" t="s">
        <v>216</v>
      </c>
      <c r="B185" s="894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>
        <v>0</v>
      </c>
      <c r="G186" s="157">
        <f>SUM(G183:G185)</f>
        <v>11</v>
      </c>
      <c r="H186" s="99">
        <f>G186+'24'!H186</f>
        <v>-63</v>
      </c>
      <c r="I186" s="157"/>
      <c r="J186" s="178">
        <f>H186/DAY(B2)</f>
        <v>-2.52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'24'!F187</f>
        <v>0</v>
      </c>
      <c r="F187" s="159"/>
      <c r="G187" s="378">
        <f>G62+G19</f>
        <v>108</v>
      </c>
      <c r="H187" s="99">
        <f>G187+'24'!H187</f>
        <v>84</v>
      </c>
      <c r="I187" s="158"/>
      <c r="J187" s="179">
        <f>H187/DAY(B2)</f>
        <v>3.36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'24'!F188</f>
        <v>0</v>
      </c>
      <c r="F188" s="159"/>
      <c r="G188" s="378">
        <f>G65+G66+G67+G69+G70</f>
        <v>128</v>
      </c>
      <c r="H188" s="99">
        <f>G188+'24'!H188</f>
        <v>1598</v>
      </c>
      <c r="I188" s="158"/>
      <c r="J188" s="179">
        <f>H188/DAY(B2)</f>
        <v>63.92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'24'!F189</f>
        <v>0</v>
      </c>
      <c r="F189" s="157"/>
      <c r="G189" s="377">
        <f>G181</f>
        <v>112</v>
      </c>
      <c r="H189" s="99">
        <f>G189+'24'!H189</f>
        <v>682</v>
      </c>
      <c r="I189" s="158"/>
      <c r="J189" s="179">
        <f>H189/DAY(B2)</f>
        <v>27.28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1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349</v>
      </c>
      <c r="B2" s="262">
        <v>44738</v>
      </c>
      <c r="C2" s="348" t="s">
        <v>67</v>
      </c>
      <c r="D2" s="218">
        <v>1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429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9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1201532.47</v>
      </c>
      <c r="F7" s="95">
        <f>E7+27500</f>
        <v>1229032.47</v>
      </c>
      <c r="G7" s="432">
        <f>F7-E7</f>
        <v>27500</v>
      </c>
      <c r="H7" s="99">
        <f>G7+'25'!H7</f>
        <v>706067.97</v>
      </c>
      <c r="I7" s="113">
        <f>'1'!I7</f>
        <v>12000</v>
      </c>
      <c r="J7" s="175">
        <f>H7/DAY(B2)</f>
        <v>27156.460384615384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1340254.6499999999</v>
      </c>
      <c r="F8" s="95">
        <f>E8+27000</f>
        <v>1367254.65</v>
      </c>
      <c r="G8" s="433">
        <f>F8-E8</f>
        <v>27000</v>
      </c>
      <c r="H8" s="99">
        <f>G8+'25'!H8</f>
        <v>705465.64999999991</v>
      </c>
      <c r="I8" s="116"/>
      <c r="J8" s="175">
        <f>H8/DAY(B2)</f>
        <v>27133.294230769228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2851604.3</v>
      </c>
      <c r="F9" s="469">
        <v>2865816.5</v>
      </c>
      <c r="G9" s="432">
        <f>F9-E9</f>
        <v>14212.200000000186</v>
      </c>
      <c r="H9" s="99">
        <f>G9+'25'!H9</f>
        <v>-51832.600000000093</v>
      </c>
      <c r="I9" s="124">
        <f>I7-J7</f>
        <v>-15156.460384615384</v>
      </c>
      <c r="J9" s="175">
        <f>H9/DAY(B2)</f>
        <v>-1993.5615384615421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1171828.6000000001</v>
      </c>
      <c r="F10" s="353">
        <v>1183807.5</v>
      </c>
      <c r="G10" s="432">
        <f t="shared" ref="G10:G12" si="0">F10-E10</f>
        <v>11978.899999999907</v>
      </c>
      <c r="H10" s="99">
        <f>G10+'25'!H10</f>
        <v>-51879.129999999888</v>
      </c>
      <c r="I10" s="282"/>
      <c r="J10" s="175">
        <f>H10/DAY(B2)</f>
        <v>-1995.3511538461496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4">
        <f>G9+G10+G11+G12</f>
        <v>26191.100000000093</v>
      </c>
      <c r="H13" s="99">
        <f>G13+'25'!H13</f>
        <v>-101982.79999999981</v>
      </c>
      <c r="I13" s="120">
        <f>G7-G13</f>
        <v>1308.8999999999069</v>
      </c>
      <c r="J13" s="175">
        <f>H13/DAY(B2)</f>
        <v>-3922.4153846153777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'25'!F15</f>
        <v>2093461.24</v>
      </c>
      <c r="F15" s="469">
        <f>E15+1000</f>
        <v>2094461.24</v>
      </c>
      <c r="G15" s="432">
        <f>(F15-E15)</f>
        <v>1000</v>
      </c>
      <c r="H15" s="99">
        <f>G15+'25'!H15</f>
        <v>26382.830000000075</v>
      </c>
      <c r="I15" s="113">
        <f>'1'!I15</f>
        <v>800</v>
      </c>
      <c r="J15" s="175">
        <f>H15/DAY(B2)</f>
        <v>1014.7242307692336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-214.7242307692336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'25'!F18</f>
        <v>21</v>
      </c>
      <c r="F18" s="164">
        <v>16</v>
      </c>
      <c r="G18" s="434">
        <f>F18*10</f>
        <v>160</v>
      </c>
      <c r="H18" s="99">
        <f>G18+'25'!H18</f>
        <v>4810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'25'!F19</f>
        <v>160587</v>
      </c>
      <c r="F19" s="122">
        <v>160639</v>
      </c>
      <c r="G19" s="432">
        <f t="shared" ref="G19" si="1">F19-E19</f>
        <v>52</v>
      </c>
      <c r="H19" s="99">
        <f>G19+'25'!H19</f>
        <v>585</v>
      </c>
      <c r="I19" s="335"/>
      <c r="J19" s="175">
        <f>H19/DAY(B2)</f>
        <v>22.5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6">
        <f>G18+G19</f>
        <v>212</v>
      </c>
      <c r="H20" s="99">
        <f>G20+'25'!H20</f>
        <v>5395</v>
      </c>
      <c r="I20" s="336">
        <f>I18-J20</f>
        <v>-142.5</v>
      </c>
      <c r="J20" s="175">
        <f>H20/DAY(B2)</f>
        <v>207.5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4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4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4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439">
        <f>E27*F27</f>
        <v>243000</v>
      </c>
      <c r="H27" s="99">
        <f>G27+'25'!H27</f>
        <v>6349190.8499999996</v>
      </c>
      <c r="I27" s="138"/>
      <c r="J27" s="175">
        <f>H27/DAY(B2)</f>
        <v>244199.64807692307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39">
        <f>E28*F28</f>
        <v>70000</v>
      </c>
      <c r="H28" s="99">
        <f>G28+'25'!H28</f>
        <v>1810798.1000000052</v>
      </c>
      <c r="I28" s="140"/>
      <c r="J28" s="175">
        <f>H28/DAY(B2)</f>
        <v>69646.080769230975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439">
        <f>E30*F30</f>
        <v>7852</v>
      </c>
      <c r="H30" s="99">
        <f>G30+'25'!H30</f>
        <v>88070</v>
      </c>
      <c r="I30" s="140"/>
      <c r="J30" s="175">
        <f>H30/DAY(B2)</f>
        <v>3387.3076923076924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439">
        <f>E31*F31</f>
        <v>12800</v>
      </c>
      <c r="H31" s="99">
        <f>G31+'25'!H31</f>
        <v>384800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0">
        <f>G27+G28+G29+G30+G31</f>
        <v>333652</v>
      </c>
      <c r="H32" s="99">
        <f>G32+'25'!H32</f>
        <v>8632858.9500000048</v>
      </c>
      <c r="I32" s="144"/>
      <c r="J32" s="175">
        <f>H32/DAY(B2)</f>
        <v>332033.03653846175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238713.05</v>
      </c>
      <c r="F35" s="145">
        <v>238713.05</v>
      </c>
      <c r="G35" s="432">
        <f t="shared" ref="G35:G46" si="3">F35-E35</f>
        <v>0</v>
      </c>
      <c r="H35" s="99">
        <f>G35+'25'!H35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182724.91</v>
      </c>
      <c r="F36" s="145">
        <v>183452.49</v>
      </c>
      <c r="G36" s="432">
        <f t="shared" si="3"/>
        <v>727.57999999998719</v>
      </c>
      <c r="H36" s="99">
        <f>G36+'25'!H36</f>
        <v>-3467.7400000000198</v>
      </c>
      <c r="I36" s="95"/>
      <c r="J36" s="175">
        <f>H36/DAY(B2)</f>
        <v>-133.37461538461613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278655.55</v>
      </c>
      <c r="F37" s="145">
        <v>280176.61</v>
      </c>
      <c r="G37" s="432">
        <f t="shared" si="3"/>
        <v>1521.0599999999977</v>
      </c>
      <c r="H37" s="99">
        <f>G37+'25'!H37</f>
        <v>-6542.3800000000047</v>
      </c>
      <c r="I37" s="95"/>
      <c r="J37" s="175">
        <f>H37/DAY(B2)</f>
        <v>-251.63000000000017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375941.55</v>
      </c>
      <c r="F38" s="108">
        <v>378078.43</v>
      </c>
      <c r="G38" s="432">
        <f t="shared" si="3"/>
        <v>2136.8800000000047</v>
      </c>
      <c r="H38" s="99">
        <f>G38+'25'!H38</f>
        <v>-8584.9199999999837</v>
      </c>
      <c r="I38" s="95"/>
      <c r="J38" s="175">
        <f>H38/DAY(B2)</f>
        <v>-330.18923076923016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508619.87</v>
      </c>
      <c r="F39" s="145">
        <v>511647.19</v>
      </c>
      <c r="G39" s="432">
        <f t="shared" si="3"/>
        <v>3027.320000000007</v>
      </c>
      <c r="H39" s="99">
        <f>G39+'25'!H39</f>
        <v>-11733.400000000023</v>
      </c>
      <c r="I39" s="95"/>
      <c r="J39" s="175">
        <f>H39/DAY(B2)</f>
        <v>-451.2846153846163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81601.7</v>
      </c>
      <c r="F40" s="145">
        <v>81908.5</v>
      </c>
      <c r="G40" s="432">
        <f t="shared" si="3"/>
        <v>306.80000000000291</v>
      </c>
      <c r="H40" s="99">
        <f>G40+'25'!H40</f>
        <v>-1762.5899999999965</v>
      </c>
      <c r="I40" s="95"/>
      <c r="J40" s="175">
        <f>H40/DAY(B2)</f>
        <v>-67.791923076922942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142818.41</v>
      </c>
      <c r="F41" s="145">
        <v>142818.41</v>
      </c>
      <c r="G41" s="432">
        <f t="shared" si="3"/>
        <v>0</v>
      </c>
      <c r="H41" s="99">
        <f>G41+'25'!H41</f>
        <v>1.0000000009313226E-2</v>
      </c>
      <c r="I41" s="95"/>
      <c r="J41" s="175">
        <f>H41/DAY(B2)</f>
        <v>3.8461538497358561E-4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666778.06999999995</v>
      </c>
      <c r="F42" s="145">
        <v>672312.07</v>
      </c>
      <c r="G42" s="432">
        <f t="shared" si="3"/>
        <v>5534</v>
      </c>
      <c r="H42" s="99">
        <f>G42+'25'!H42</f>
        <v>-16320.480000000098</v>
      </c>
      <c r="I42" s="95"/>
      <c r="J42" s="175">
        <f>H42/DAY(B2)</f>
        <v>-627.71076923077294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2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13253.64</v>
      </c>
      <c r="H47" s="99">
        <f>G47+'25'!H47</f>
        <v>-48411.470000000059</v>
      </c>
      <c r="I47" s="95"/>
      <c r="J47" s="175">
        <f>H47/DAY(B2)</f>
        <v>-1861.9796153846178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349982.55</v>
      </c>
      <c r="F49" s="145">
        <v>353652.63</v>
      </c>
      <c r="G49" s="432">
        <f t="shared" ref="G49:G58" si="4">F49-E49</f>
        <v>3670.0800000000163</v>
      </c>
      <c r="H49" s="99">
        <f>G49+'25'!H49</f>
        <v>-17119.119999999995</v>
      </c>
      <c r="I49" s="95"/>
      <c r="J49" s="175">
        <f>H49/DAY(B2)</f>
        <v>-658.42769230769215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237587.47</v>
      </c>
      <c r="F50" s="145">
        <v>238570.11</v>
      </c>
      <c r="G50" s="432">
        <f t="shared" si="4"/>
        <v>982.63999999998487</v>
      </c>
      <c r="H50" s="99">
        <f>G50+'25'!H50</f>
        <v>-4535.2900000000081</v>
      </c>
      <c r="I50" s="95"/>
      <c r="J50" s="175">
        <f>H50/DAY(B2)</f>
        <v>-174.43423076923108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76</v>
      </c>
      <c r="F51" s="145">
        <v>76</v>
      </c>
      <c r="G51" s="432">
        <f t="shared" si="4"/>
        <v>0</v>
      </c>
      <c r="H51" s="99">
        <f>G51+'25'!H51</f>
        <v>0.31999999999999318</v>
      </c>
      <c r="I51" s="95"/>
      <c r="J51" s="175">
        <f>H51/DAY(B2)</f>
        <v>1.2307692307692046E-2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43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75257.8</v>
      </c>
      <c r="F54" s="423">
        <v>75611.210000000006</v>
      </c>
      <c r="G54" s="432">
        <f t="shared" si="4"/>
        <v>353.41000000000349</v>
      </c>
      <c r="H54" s="99">
        <f>G54+'25'!H54</f>
        <v>-1406.2899999999936</v>
      </c>
      <c r="I54" s="95"/>
      <c r="J54" s="175">
        <f>H54/DAY(B2)</f>
        <v>-54.088076923076677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267317.93</v>
      </c>
      <c r="F55" s="145">
        <v>270106.71000000002</v>
      </c>
      <c r="G55" s="432">
        <f t="shared" si="4"/>
        <v>2788.7800000000279</v>
      </c>
      <c r="H55" s="99">
        <f>G55+'25'!H55</f>
        <v>-13976.219999999972</v>
      </c>
      <c r="I55" s="95"/>
      <c r="J55" s="175">
        <f>H55/DAY(B2)</f>
        <v>-537.54692307692198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111243.13</v>
      </c>
      <c r="F56" s="145">
        <v>111243.13</v>
      </c>
      <c r="G56" s="43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116350.14</v>
      </c>
      <c r="F57" s="145">
        <v>119597.13</v>
      </c>
      <c r="G57" s="432">
        <f t="shared" si="4"/>
        <v>3246.9900000000052</v>
      </c>
      <c r="H57" s="99">
        <f>G57+'25'!H57</f>
        <v>-12306.570000000007</v>
      </c>
      <c r="I57" s="95"/>
      <c r="J57" s="175">
        <f>H57/DAY(B2)</f>
        <v>-473.32961538461564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38871.1</v>
      </c>
      <c r="F58" s="145">
        <v>39150.35</v>
      </c>
      <c r="G58" s="432">
        <f t="shared" si="4"/>
        <v>279.25</v>
      </c>
      <c r="H58" s="99">
        <f>G58+'25'!H58</f>
        <v>-1129.760000000002</v>
      </c>
      <c r="I58" s="95"/>
      <c r="J58" s="175">
        <f>H58/DAY(B2)</f>
        <v>-43.45230769230777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11321.150000000038</v>
      </c>
      <c r="H59" s="99">
        <f>G59+'25'!H59</f>
        <v>-50472.930000000037</v>
      </c>
      <c r="I59" s="95">
        <f>G7-G60</f>
        <v>2925.2099999999627</v>
      </c>
      <c r="J59" s="175">
        <f>H59/DAY(B2)</f>
        <v>-1941.2665384615398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4">
        <f>G47+G59</f>
        <v>24574.790000000037</v>
      </c>
      <c r="H60" s="99">
        <f>G60+'25'!H60</f>
        <v>-98884.400000000096</v>
      </c>
      <c r="I60" s="95">
        <f>G13-G60</f>
        <v>1616.3100000000559</v>
      </c>
      <c r="J60" s="175">
        <f>H60/DAY(B2)</f>
        <v>-3803.2461538461575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'25'!F62</f>
        <v>292249</v>
      </c>
      <c r="F62" s="122">
        <v>292331</v>
      </c>
      <c r="G62" s="432">
        <f t="shared" ref="G62:G63" si="5">F62-E62</f>
        <v>82</v>
      </c>
      <c r="H62" s="99">
        <f>G62+'25'!H62</f>
        <v>-367</v>
      </c>
      <c r="I62" s="118"/>
      <c r="J62" s="175">
        <f>H62/DAY(B2)</f>
        <v>-14.115384615384615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'25'!F63</f>
        <v>234403</v>
      </c>
      <c r="F63" s="122">
        <v>234552</v>
      </c>
      <c r="G63" s="432">
        <f t="shared" si="5"/>
        <v>149</v>
      </c>
      <c r="H63" s="99">
        <f>G63+'25'!H63</f>
        <v>-514</v>
      </c>
      <c r="I63" s="118"/>
      <c r="J63" s="175">
        <f>H63/DAY(B2)</f>
        <v>-19.76923076923077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'25'!F64</f>
        <v>0</v>
      </c>
      <c r="F64" s="122"/>
      <c r="G64" s="432">
        <f>G62+G63</f>
        <v>231</v>
      </c>
      <c r="H64" s="99">
        <f>G64+'25'!H64</f>
        <v>-881</v>
      </c>
      <c r="I64" s="118"/>
      <c r="J64" s="175">
        <f>H64/DAY(B2)</f>
        <v>-33.884615384615387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'25'!F65</f>
        <v>450920</v>
      </c>
      <c r="F65" s="122">
        <v>451018</v>
      </c>
      <c r="G65" s="432">
        <f t="shared" ref="G65:G70" si="6">F65-E65</f>
        <v>98</v>
      </c>
      <c r="H65" s="99">
        <f>G65+'25'!H65</f>
        <v>-371</v>
      </c>
      <c r="I65" s="118"/>
      <c r="J65" s="175">
        <f>H65/DAY(B2)</f>
        <v>-14.26923076923077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110934</v>
      </c>
      <c r="F66" s="122">
        <v>110955</v>
      </c>
      <c r="G66" s="432">
        <f t="shared" si="6"/>
        <v>21</v>
      </c>
      <c r="H66" s="99">
        <f>G66+'25'!H66</f>
        <v>-72</v>
      </c>
      <c r="I66" s="118"/>
      <c r="J66" s="175">
        <f>H66/DAY(B2)</f>
        <v>-2.7692307692307692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113680</v>
      </c>
      <c r="F67" s="164">
        <v>113680</v>
      </c>
      <c r="G67" s="432">
        <f t="shared" si="6"/>
        <v>0</v>
      </c>
      <c r="H67" s="99">
        <f>G67+'25'!H67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163354</v>
      </c>
      <c r="F68" s="122">
        <v>163409</v>
      </c>
      <c r="G68" s="432">
        <f>F68-E68</f>
        <v>55</v>
      </c>
      <c r="H68" s="99">
        <f>G68+'25'!H68</f>
        <v>-117</v>
      </c>
      <c r="I68" s="118"/>
      <c r="J68" s="175">
        <f>H68/DAY(B2)</f>
        <v>-4.5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12102</v>
      </c>
      <c r="F69" s="122">
        <v>12108</v>
      </c>
      <c r="G69" s="432">
        <f t="shared" si="6"/>
        <v>6</v>
      </c>
      <c r="H69" s="99">
        <f>G69+'25'!H69</f>
        <v>-20</v>
      </c>
      <c r="I69" s="118"/>
      <c r="J69" s="175">
        <f>H69/DAY(B2)</f>
        <v>-0.76923076923076927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9479</v>
      </c>
      <c r="F70" s="122">
        <v>9484</v>
      </c>
      <c r="G70" s="432">
        <f t="shared" si="6"/>
        <v>5</v>
      </c>
      <c r="H70" s="99">
        <f>G70+'25'!H70</f>
        <v>-30</v>
      </c>
      <c r="I70" s="118"/>
      <c r="J70" s="175">
        <f>H70/DAY(B2)</f>
        <v>-1.1538461538461537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444">
        <f>SUM(G65:G70)</f>
        <v>185</v>
      </c>
      <c r="H71" s="99">
        <f>G71+'25'!H71</f>
        <v>-610</v>
      </c>
      <c r="I71" s="154"/>
      <c r="J71" s="175">
        <f>H71/DAY(B2)</f>
        <v>-23.46153846153846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'25'!F74</f>
        <v>946282.7</v>
      </c>
      <c r="F74" s="123">
        <v>946572.64</v>
      </c>
      <c r="G74" s="432">
        <f t="shared" ref="G74:G78" si="7">F74-E74</f>
        <v>289.94000000006054</v>
      </c>
      <c r="H74" s="99">
        <f>G74+'25'!H74</f>
        <v>-1134.5599999999395</v>
      </c>
      <c r="I74" s="154"/>
      <c r="J74" s="175">
        <f>H74/DAY(B2)</f>
        <v>-43.636923076920752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'25'!F75</f>
        <v>73586.8</v>
      </c>
      <c r="F75" s="123">
        <v>73586.8</v>
      </c>
      <c r="G75" s="43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'25'!F76</f>
        <v>186410</v>
      </c>
      <c r="F76" s="123">
        <v>186517</v>
      </c>
      <c r="G76" s="432">
        <f t="shared" si="7"/>
        <v>107</v>
      </c>
      <c r="H76" s="99">
        <f>G76+'25'!H76</f>
        <v>-374.29999999998836</v>
      </c>
      <c r="I76" s="154"/>
      <c r="J76" s="175">
        <f>H76/DAY(B2)</f>
        <v>-14.396153846153398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'25'!F77</f>
        <v>48507</v>
      </c>
      <c r="F77" s="123">
        <v>48544</v>
      </c>
      <c r="G77" s="432">
        <f t="shared" si="7"/>
        <v>37</v>
      </c>
      <c r="H77" s="99">
        <f>G77+'25'!H77</f>
        <v>-191.80000000000291</v>
      </c>
      <c r="I77" s="154"/>
      <c r="J77" s="175">
        <f>H77/DAY(B2)</f>
        <v>-7.3769230769231893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'25'!F78</f>
        <v>9564</v>
      </c>
      <c r="F78" s="123">
        <v>9564</v>
      </c>
      <c r="G78" s="432">
        <f t="shared" si="7"/>
        <v>0</v>
      </c>
      <c r="H78" s="99">
        <f>G78+'25'!H78</f>
        <v>-0.3999999999996362</v>
      </c>
      <c r="I78" s="118"/>
      <c r="J78" s="175">
        <f>H78/DAY(B2)</f>
        <v>-1.5384615384601393E-2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'25'!F79</f>
        <v>0</v>
      </c>
      <c r="F79" s="117"/>
      <c r="G79" s="432">
        <f>G15-SUM(G74:G78)</f>
        <v>566.05999999993946</v>
      </c>
      <c r="H79" s="99">
        <f>G79+'25'!H79</f>
        <v>28083.890000000007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43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446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2">
        <f t="shared" ref="G82:G92" si="8">F82-E82</f>
        <v>0</v>
      </c>
      <c r="H82" s="99">
        <f>G82+'25'!H82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2">
        <f t="shared" si="8"/>
        <v>0</v>
      </c>
      <c r="H83" s="99">
        <f>G83+'25'!H83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42275</v>
      </c>
      <c r="F84" s="164">
        <v>42275</v>
      </c>
      <c r="G84" s="432">
        <f t="shared" si="8"/>
        <v>0</v>
      </c>
      <c r="H84" s="99">
        <f>G84+'25'!H84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4787</v>
      </c>
      <c r="F85" s="164">
        <v>4811.3</v>
      </c>
      <c r="G85" s="432">
        <f t="shared" si="8"/>
        <v>24.300000000000182</v>
      </c>
      <c r="H85" s="99">
        <f>G85+'25'!H85</f>
        <v>-70.710000000000036</v>
      </c>
      <c r="I85" s="573"/>
      <c r="J85" s="175">
        <f>H85/DAY(B2)</f>
        <v>-2.7196153846153859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44742</v>
      </c>
      <c r="F86" s="164">
        <v>44761.4</v>
      </c>
      <c r="G86" s="432">
        <f t="shared" si="8"/>
        <v>19.400000000001455</v>
      </c>
      <c r="H86" s="99">
        <f>G86+'25'!H86</f>
        <v>-90.900000000001455</v>
      </c>
      <c r="I86" s="573"/>
      <c r="J86" s="175">
        <f>H86/DAY(B2)</f>
        <v>-3.4961538461539021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35358.050000000003</v>
      </c>
      <c r="F87" s="164">
        <v>35358.050000000003</v>
      </c>
      <c r="G87" s="432">
        <f t="shared" si="8"/>
        <v>0</v>
      </c>
      <c r="H87" s="99">
        <f>G87+'25'!H87</f>
        <v>0</v>
      </c>
      <c r="I87" s="573">
        <f>G84+G85+G86+G87</f>
        <v>43.700000000001637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24277.14</v>
      </c>
      <c r="F88" s="164">
        <v>24277.14</v>
      </c>
      <c r="G88" s="432">
        <f t="shared" si="8"/>
        <v>0</v>
      </c>
      <c r="H88" s="99">
        <f>G88+'25'!H88</f>
        <v>-6.0000000001309672E-2</v>
      </c>
      <c r="I88" s="573"/>
      <c r="J88" s="175">
        <f>H88/DAY(B2)</f>
        <v>-2.3076923077426795E-3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27245.4</v>
      </c>
      <c r="F89" s="164">
        <v>27255.38</v>
      </c>
      <c r="G89" s="432">
        <f t="shared" si="8"/>
        <v>9.9799999999995634</v>
      </c>
      <c r="H89" s="99">
        <f>G89+'25'!H89</f>
        <v>-36.039999999997235</v>
      </c>
      <c r="I89" s="573">
        <f>G88+G89</f>
        <v>9.9799999999995634</v>
      </c>
      <c r="J89" s="175">
        <f>H89/DAY(B2)</f>
        <v>-1.3861538461537397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72281.91</v>
      </c>
      <c r="F90" s="164">
        <v>72284.789999999994</v>
      </c>
      <c r="G90" s="432">
        <f t="shared" si="8"/>
        <v>2.8799999999901047</v>
      </c>
      <c r="H90" s="99">
        <f>G90+'25'!H90</f>
        <v>-16.339999999996508</v>
      </c>
      <c r="I90" s="573">
        <f>G90</f>
        <v>2.8799999999901047</v>
      </c>
      <c r="J90" s="175">
        <f>H90/DAY(B2)</f>
        <v>-0.62846153846140418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4122</v>
      </c>
      <c r="F91" s="122">
        <v>4122</v>
      </c>
      <c r="G91" s="432">
        <f t="shared" si="8"/>
        <v>0</v>
      </c>
      <c r="H91" s="99">
        <f>G91+'25'!H91</f>
        <v>-16.4399999999996</v>
      </c>
      <c r="I91" s="592"/>
      <c r="J91" s="175">
        <f>H91/DAY(B2)</f>
        <v>-0.63230769230767692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6483</v>
      </c>
      <c r="F92" s="122">
        <v>6491.76</v>
      </c>
      <c r="G92" s="432">
        <f t="shared" si="8"/>
        <v>8.7600000000002183</v>
      </c>
      <c r="H92" s="99">
        <f>G92+'25'!H92</f>
        <v>-23.579999999999927</v>
      </c>
      <c r="I92" s="598">
        <f>G91+G92</f>
        <v>8.7600000000002183</v>
      </c>
      <c r="J92" s="175">
        <f>H92/DAY(B2)</f>
        <v>-0.90692307692307417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447">
        <f>G35+G43+G49+G57</f>
        <v>6917.0700000000215</v>
      </c>
      <c r="H94" s="99">
        <f>G94+'25'!H94</f>
        <v>-29425.659999999974</v>
      </c>
      <c r="I94" s="118"/>
      <c r="J94" s="175">
        <f>H94/DAY(B2)</f>
        <v>-1131.7561538461528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448">
        <f>G94/G7</f>
        <v>0.25152981818181896</v>
      </c>
      <c r="H95" s="99">
        <f>G95+'25'!H95</f>
        <v>-0.98307754462487906</v>
      </c>
      <c r="I95" s="167"/>
      <c r="J95" s="175">
        <f>H95/DAY(B2)</f>
        <v>-3.7810674793264581E-2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447">
        <f>G41+G42+G55+G56</f>
        <v>8322.7800000000279</v>
      </c>
      <c r="H96" s="99">
        <f>G96+'25'!H96</f>
        <v>-30296.69000000009</v>
      </c>
      <c r="I96" s="118"/>
      <c r="J96" s="175">
        <f>H96/DAY(B2)</f>
        <v>-1165.2573076923111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448">
        <f>G96/G7</f>
        <v>0.30264654545454645</v>
      </c>
      <c r="H97" s="99">
        <f>G97+'25'!H97</f>
        <v>-1.0238757003635939</v>
      </c>
      <c r="I97" s="167"/>
      <c r="J97" s="175">
        <f>H97/DAY(B2)</f>
        <v>-3.9379834629368997E-2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447">
        <f>G39+G53</f>
        <v>3027.320000000007</v>
      </c>
      <c r="H98" s="99">
        <f>G98+'25'!H98</f>
        <v>-11733.400000000023</v>
      </c>
      <c r="I98" s="168"/>
      <c r="J98" s="175">
        <f>H98/DAY(B2)</f>
        <v>-451.2846153846163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448">
        <f>G98/G7</f>
        <v>0.1100843636363639</v>
      </c>
      <c r="H99" s="99">
        <f>G99+'25'!H99</f>
        <v>-0.38887497172693075</v>
      </c>
      <c r="I99" s="168"/>
      <c r="J99" s="175">
        <f>H99/DAY(B2)</f>
        <v>-1.4956729681805029E-2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447">
        <f>G38+G52</f>
        <v>2136.8800000000047</v>
      </c>
      <c r="H100" s="99">
        <f>G100+'25'!H100</f>
        <v>-8584.9199999999764</v>
      </c>
      <c r="I100" s="118"/>
      <c r="J100" s="175">
        <f>H100/DAY(B2)</f>
        <v>-330.18923076922988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448">
        <f>G100/G7</f>
        <v>7.7704727272727439E-2</v>
      </c>
      <c r="H101" s="99">
        <f>G101+'25'!H101</f>
        <v>-0.28334192587216439</v>
      </c>
      <c r="I101" s="168"/>
      <c r="J101" s="175">
        <f>H101/DAY(B2)</f>
        <v>-1.089776637969863E-2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447">
        <f>G36+G50</f>
        <v>1710.2199999999721</v>
      </c>
      <c r="H102" s="99">
        <f>G102+'25'!H102</f>
        <v>-8003.0300000000279</v>
      </c>
      <c r="I102" s="168"/>
      <c r="J102" s="175">
        <f>H102/DAY(B2)</f>
        <v>-307.80884615384724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448">
        <f>G102/G7</f>
        <v>6.2189818181817166E-2</v>
      </c>
      <c r="H103" s="99">
        <f>G103+'25'!H103</f>
        <v>-0.26885042157560107</v>
      </c>
      <c r="I103" s="118"/>
      <c r="J103" s="175">
        <f>H103/DAY(B2)</f>
        <v>-1.0340400829830811E-2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447">
        <f>G37+G51</f>
        <v>1521.0599999999977</v>
      </c>
      <c r="H104" s="99">
        <f>G104+'25'!H104</f>
        <v>-6542.0600000000049</v>
      </c>
      <c r="I104" s="118"/>
      <c r="J104" s="175">
        <f>H104/DAY(B2)</f>
        <v>-251.61769230769249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449">
        <f>G104/G7</f>
        <v>5.531127272727264E-2</v>
      </c>
      <c r="H105" s="99">
        <f>G105+'25'!H105</f>
        <v>-0.21710127980841792</v>
      </c>
      <c r="I105" s="187"/>
      <c r="J105" s="188">
        <f>H105/DAY(B2)</f>
        <v>-8.3500492234006886E-3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452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'25'!F112</f>
        <v>4568.13</v>
      </c>
      <c r="F112" s="237">
        <v>4641.3900000000003</v>
      </c>
      <c r="G112" s="432">
        <f t="shared" ref="G112:G123" si="9">F112-E112</f>
        <v>73.260000000000218</v>
      </c>
      <c r="H112" s="99">
        <f>G112+'25'!H112</f>
        <v>-288.34999999999945</v>
      </c>
      <c r="I112" s="165"/>
      <c r="J112" s="328">
        <f>H112/DAY(B2)</f>
        <v>-11.090384615384595</v>
      </c>
    </row>
    <row r="113" spans="1:18" ht="25.5">
      <c r="A113" s="904" t="s">
        <v>253</v>
      </c>
      <c r="B113" s="905"/>
      <c r="C113" s="906"/>
      <c r="D113" s="146" t="s">
        <v>183</v>
      </c>
      <c r="E113" s="95">
        <f>'25'!F113</f>
        <v>9919.6</v>
      </c>
      <c r="F113" s="237">
        <v>10064.280000000001</v>
      </c>
      <c r="G113" s="432">
        <f t="shared" si="9"/>
        <v>144.68000000000029</v>
      </c>
      <c r="H113" s="99">
        <f>G113+'25'!H113</f>
        <v>-568.43999999999869</v>
      </c>
      <c r="I113" s="165"/>
      <c r="J113" s="328">
        <f>H113/DAY(B2)</f>
        <v>-21.863076923076871</v>
      </c>
    </row>
    <row r="114" spans="1:18" ht="25.5">
      <c r="A114" s="904" t="s">
        <v>254</v>
      </c>
      <c r="B114" s="905"/>
      <c r="C114" s="906"/>
      <c r="D114" s="146" t="s">
        <v>183</v>
      </c>
      <c r="E114" s="95">
        <f>'25'!F114</f>
        <v>13075.99</v>
      </c>
      <c r="F114" s="237">
        <v>13297</v>
      </c>
      <c r="G114" s="432">
        <f t="shared" si="9"/>
        <v>221.01000000000022</v>
      </c>
      <c r="H114" s="99">
        <f>G114+'25'!H114</f>
        <v>-896.79999999999927</v>
      </c>
      <c r="I114" s="165"/>
      <c r="J114" s="328">
        <f>H114/DAY(B2)</f>
        <v>-34.492307692307662</v>
      </c>
    </row>
    <row r="115" spans="1:18" ht="25.5">
      <c r="A115" s="904" t="s">
        <v>255</v>
      </c>
      <c r="B115" s="905"/>
      <c r="C115" s="906"/>
      <c r="D115" s="146" t="s">
        <v>183</v>
      </c>
      <c r="E115" s="95">
        <f>'25'!F115</f>
        <v>8264.26</v>
      </c>
      <c r="F115" s="237">
        <v>8381.52</v>
      </c>
      <c r="G115" s="432">
        <f t="shared" si="9"/>
        <v>117.26000000000022</v>
      </c>
      <c r="H115" s="99">
        <f>G115+'25'!H115</f>
        <v>-639.26000000000022</v>
      </c>
      <c r="I115" s="165"/>
      <c r="J115" s="328">
        <f>H115/DAY(B2)</f>
        <v>-24.586923076923085</v>
      </c>
    </row>
    <row r="116" spans="1:18" ht="25.5">
      <c r="A116" s="922" t="s">
        <v>96</v>
      </c>
      <c r="B116" s="923"/>
      <c r="C116" s="924"/>
      <c r="D116" s="146" t="s">
        <v>183</v>
      </c>
      <c r="E116" s="95">
        <f>'25'!F116</f>
        <v>56932.74</v>
      </c>
      <c r="F116" s="237">
        <v>57384</v>
      </c>
      <c r="G116" s="432">
        <f t="shared" si="9"/>
        <v>451.26000000000204</v>
      </c>
      <c r="H116" s="99">
        <f>G116+'25'!H116</f>
        <v>-1506.5500000000029</v>
      </c>
      <c r="I116" s="165"/>
      <c r="J116" s="328">
        <f>H116/DAY(B2)</f>
        <v>-57.944230769230884</v>
      </c>
      <c r="Q116" s="904" t="s">
        <v>311</v>
      </c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406">
        <f>'25'!F117</f>
        <v>31469.8</v>
      </c>
      <c r="F117" s="417">
        <v>31793</v>
      </c>
      <c r="G117" s="520">
        <f t="shared" si="9"/>
        <v>323.20000000000073</v>
      </c>
      <c r="H117" s="99">
        <f>G117+'25'!H117</f>
        <v>-1095.4800000000032</v>
      </c>
      <c r="I117" s="165"/>
      <c r="J117" s="328">
        <f>H117/DAY(B2)</f>
        <v>-42.133846153846278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'25'!F118</f>
        <v>41672.81</v>
      </c>
      <c r="F118" s="237">
        <v>42317.29</v>
      </c>
      <c r="G118" s="432">
        <f t="shared" si="9"/>
        <v>644.4800000000032</v>
      </c>
      <c r="H118" s="99">
        <f>G118+'25'!H118</f>
        <v>-2603.0199999999968</v>
      </c>
      <c r="I118" s="165"/>
      <c r="J118" s="328">
        <f>H118/DAY(B2)</f>
        <v>-100.11615384615372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'25'!F119</f>
        <v>29131.29</v>
      </c>
      <c r="F119" s="237">
        <v>29378.54</v>
      </c>
      <c r="G119" s="432">
        <f t="shared" si="9"/>
        <v>247.25</v>
      </c>
      <c r="H119" s="99">
        <f>G119+'25'!H119</f>
        <v>-964.05999999999767</v>
      </c>
      <c r="I119" s="165"/>
      <c r="J119" s="328">
        <f>H119/DAY(B2)</f>
        <v>-37.079230769230676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'25'!F120</f>
        <v>30963.06</v>
      </c>
      <c r="F120" s="237">
        <v>31404.7</v>
      </c>
      <c r="G120" s="432">
        <f t="shared" si="9"/>
        <v>441.63999999999942</v>
      </c>
      <c r="H120" s="99">
        <f>G120+'25'!H120</f>
        <v>-1700.8599999999969</v>
      </c>
      <c r="I120" s="165"/>
      <c r="J120" s="328">
        <f>H120/DAY(B2)</f>
        <v>-65.417692307692192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'25'!F121</f>
        <v>37404.68</v>
      </c>
      <c r="F121" s="237">
        <v>37848.230000000003</v>
      </c>
      <c r="G121" s="432">
        <f t="shared" si="9"/>
        <v>443.55000000000291</v>
      </c>
      <c r="H121" s="99">
        <f>G121+'25'!H121</f>
        <v>-1739.6699999999983</v>
      </c>
      <c r="I121" s="165"/>
      <c r="J121" s="328">
        <f>H121/DAY(B2)</f>
        <v>-66.910384615384544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'25'!F122</f>
        <v>18571.52</v>
      </c>
      <c r="F122" s="237">
        <v>18824.38</v>
      </c>
      <c r="G122" s="432">
        <f t="shared" si="9"/>
        <v>252.86000000000058</v>
      </c>
      <c r="H122" s="99">
        <f>G122+'25'!H122</f>
        <v>-1141.5</v>
      </c>
      <c r="I122" s="165"/>
      <c r="J122" s="328">
        <f>H122/DAY(B2)</f>
        <v>-43.903846153846153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'25'!F123</f>
        <v>18784.82</v>
      </c>
      <c r="F123" s="237">
        <v>19098.97</v>
      </c>
      <c r="G123" s="432">
        <f t="shared" si="9"/>
        <v>314.15000000000146</v>
      </c>
      <c r="H123" s="99">
        <f>G123+'25'!H123</f>
        <v>-1243.0299999999988</v>
      </c>
      <c r="I123" s="165"/>
      <c r="J123" s="328">
        <f>H123/DAY(B2)</f>
        <v>-47.808846153846112</v>
      </c>
    </row>
    <row r="124" spans="1:18" ht="25.5">
      <c r="A124" s="929"/>
      <c r="B124" s="930"/>
      <c r="C124" s="931"/>
      <c r="D124" s="165"/>
      <c r="E124" s="95">
        <f>'25'!F124</f>
        <v>0</v>
      </c>
      <c r="F124" s="165"/>
      <c r="G124" s="452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453">
        <f>SUM(G112:G124)</f>
        <v>3674.6000000000113</v>
      </c>
      <c r="H125" s="156"/>
      <c r="I125" s="327">
        <f>G125-(G39+G53)</f>
        <v>647.28000000000429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453"/>
      <c r="H127" s="99">
        <f>G127+'25'!H127</f>
        <v>0</v>
      </c>
      <c r="I127" s="16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95">
        <f>'25'!F128</f>
        <v>109145.44</v>
      </c>
      <c r="F128" s="165">
        <v>109696.97</v>
      </c>
      <c r="G128" s="432">
        <f t="shared" ref="G128:G134" si="10">F128-E128</f>
        <v>551.52999999999884</v>
      </c>
      <c r="H128" s="99">
        <f>G128+'25'!H128</f>
        <v>-2178.8899999999994</v>
      </c>
      <c r="I128" s="165"/>
      <c r="J128" s="328">
        <f>H128/DAY(B2)</f>
        <v>-83.803461538461519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65785.759999999995</v>
      </c>
      <c r="F129" s="165">
        <v>65969</v>
      </c>
      <c r="G129" s="432">
        <f t="shared" si="10"/>
        <v>183.24000000000524</v>
      </c>
      <c r="H129" s="99">
        <f>G129+'25'!H129</f>
        <v>-732.77999999999884</v>
      </c>
      <c r="I129" s="165"/>
      <c r="J129" s="328">
        <f>H129/DAY(B2)</f>
        <v>-28.183846153846108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137869.28</v>
      </c>
      <c r="F130" s="165">
        <v>138682.12</v>
      </c>
      <c r="G130" s="432">
        <f t="shared" si="10"/>
        <v>812.83999999999651</v>
      </c>
      <c r="H130" s="99">
        <f>G130+'25'!H130</f>
        <v>-3615.7999999999884</v>
      </c>
      <c r="I130" s="165"/>
      <c r="J130" s="328">
        <f>H130/DAY(B2)</f>
        <v>-139.06923076923033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'25'!F131</f>
        <v>41525.49</v>
      </c>
      <c r="F131" s="165">
        <v>41749.199999999997</v>
      </c>
      <c r="G131" s="432">
        <f t="shared" si="10"/>
        <v>223.70999999999913</v>
      </c>
      <c r="H131" s="99">
        <f>G131+'25'!H131</f>
        <v>-869</v>
      </c>
      <c r="I131" s="165"/>
      <c r="J131" s="328">
        <f>H131/DAY(B2)</f>
        <v>-33.42307692307692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'25'!F132</f>
        <v>114003.1</v>
      </c>
      <c r="F132" s="165">
        <v>114475.89</v>
      </c>
      <c r="G132" s="432">
        <f t="shared" si="10"/>
        <v>472.7899999999936</v>
      </c>
      <c r="H132" s="99">
        <f>G132+'25'!H132</f>
        <v>-1815.1100000000006</v>
      </c>
      <c r="I132" s="165"/>
      <c r="J132" s="328">
        <f>H132/DAY(B2)</f>
        <v>-69.811923076923094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'25'!F133</f>
        <v>220058.21</v>
      </c>
      <c r="F133" s="165">
        <v>220668.99</v>
      </c>
      <c r="G133" s="432">
        <f t="shared" si="10"/>
        <v>610.77999999999884</v>
      </c>
      <c r="H133" s="99">
        <f>G133+'25'!H133</f>
        <v>4858.4199999999837</v>
      </c>
      <c r="I133" s="165"/>
      <c r="J133" s="328">
        <f>H133/DAY(B2)</f>
        <v>186.86230769230707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'25'!F134</f>
        <v>40742.9</v>
      </c>
      <c r="F134" s="165">
        <v>40956.47</v>
      </c>
      <c r="G134" s="432">
        <f t="shared" si="10"/>
        <v>213.56999999999971</v>
      </c>
      <c r="H134" s="99">
        <f>G134+'25'!H134</f>
        <v>-788.52999999999884</v>
      </c>
      <c r="I134" s="165"/>
      <c r="J134" s="328">
        <f>H134/DAY(B2)</f>
        <v>-30.328076923076878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432">
        <f>SUM(G128:G134)</f>
        <v>3068.4599999999919</v>
      </c>
      <c r="H135" s="99">
        <f>G135+'23'!H135</f>
        <v>33693.659999999982</v>
      </c>
      <c r="I135" s="327">
        <f>G135-(G35+G49)</f>
        <v>-601.62000000002445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'25'!F138</f>
        <v>886673</v>
      </c>
      <c r="F138" s="147">
        <v>886769</v>
      </c>
      <c r="G138" s="432">
        <f t="shared" ref="G138:G152" si="11">F138-E138</f>
        <v>96</v>
      </c>
      <c r="H138" s="99">
        <f>G138+'25'!H138</f>
        <v>-455</v>
      </c>
      <c r="I138" s="118"/>
      <c r="J138" s="328">
        <f>H138/DAY(B2)</f>
        <v>-17.5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'25'!F139</f>
        <v>903293</v>
      </c>
      <c r="F139" s="148">
        <v>903435</v>
      </c>
      <c r="G139" s="432">
        <f t="shared" si="11"/>
        <v>142</v>
      </c>
      <c r="H139" s="99">
        <f>G139+'25'!H139</f>
        <v>-655</v>
      </c>
      <c r="I139" s="118"/>
      <c r="J139" s="328">
        <f>H139/DAY(B2)</f>
        <v>-25.192307692307693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'25'!F140</f>
        <v>987.95</v>
      </c>
      <c r="F140" s="148">
        <v>1003.8</v>
      </c>
      <c r="G140" s="432">
        <f t="shared" si="11"/>
        <v>15.849999999999909</v>
      </c>
      <c r="H140" s="99">
        <f>G140+'25'!H140</f>
        <v>-88001.849999999991</v>
      </c>
      <c r="I140" s="118"/>
      <c r="J140" s="328">
        <f>H140/DAY(B2)</f>
        <v>-3384.686538461538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'25'!F141</f>
        <v>83101.39</v>
      </c>
      <c r="F141" s="148">
        <v>83291.710000000006</v>
      </c>
      <c r="G141" s="432">
        <f t="shared" si="11"/>
        <v>190.32000000000698</v>
      </c>
      <c r="H141" s="99">
        <f>G141+'25'!H141</f>
        <v>-823.48999999999069</v>
      </c>
      <c r="I141" s="118"/>
      <c r="J141" s="328">
        <f>H141/DAY(B2)</f>
        <v>-31.67269230769195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'25'!F142</f>
        <v>34003.023000000001</v>
      </c>
      <c r="F142" s="148">
        <v>34076.699999999997</v>
      </c>
      <c r="G142" s="432">
        <f t="shared" si="11"/>
        <v>73.676999999996042</v>
      </c>
      <c r="H142" s="99">
        <f>G142+'25'!H142</f>
        <v>-308.77000000000407</v>
      </c>
      <c r="I142" s="140"/>
      <c r="J142" s="328">
        <f>H142/DAY(B2)</f>
        <v>-11.875769230769388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'25'!F143</f>
        <v>8017.53</v>
      </c>
      <c r="F143" s="148">
        <v>8044.2</v>
      </c>
      <c r="G143" s="432">
        <f t="shared" si="11"/>
        <v>26.670000000000073</v>
      </c>
      <c r="H143" s="99">
        <f>G143+'25'!H143</f>
        <v>-114.11999999999989</v>
      </c>
      <c r="I143" s="140"/>
      <c r="J143" s="328">
        <f>H143/DAY(B2)</f>
        <v>-4.3892307692307648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'25'!F144</f>
        <v>911086</v>
      </c>
      <c r="F144" s="148">
        <v>911321</v>
      </c>
      <c r="G144" s="432">
        <f t="shared" si="11"/>
        <v>235</v>
      </c>
      <c r="H144" s="99">
        <f>G144+'25'!H144</f>
        <v>-956</v>
      </c>
      <c r="I144" s="140"/>
      <c r="J144" s="328">
        <f>H144/DAY(B2)</f>
        <v>-36.769230769230766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'25'!F145</f>
        <v>5666.07</v>
      </c>
      <c r="F145" s="148">
        <v>5666.55</v>
      </c>
      <c r="G145" s="432">
        <f t="shared" si="11"/>
        <v>0.48000000000047294</v>
      </c>
      <c r="H145" s="99">
        <f>G145+'25'!H145</f>
        <v>-1.0000000000218279E-2</v>
      </c>
      <c r="I145" s="140"/>
      <c r="J145" s="328">
        <f>H145/DAY(B2)</f>
        <v>-3.8461538462377997E-4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'25'!F146</f>
        <v>779107</v>
      </c>
      <c r="F146" s="148">
        <v>779151</v>
      </c>
      <c r="G146" s="432">
        <f t="shared" si="11"/>
        <v>44</v>
      </c>
      <c r="H146" s="99">
        <f>G146+'25'!H146</f>
        <v>-177</v>
      </c>
      <c r="I146" s="140"/>
      <c r="J146" s="328">
        <f>H146/DAY(B2)</f>
        <v>-6.8076923076923075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'25'!F147</f>
        <v>685552.48</v>
      </c>
      <c r="F147" s="148">
        <f>685557+368</f>
        <v>685925</v>
      </c>
      <c r="G147" s="432">
        <f t="shared" si="11"/>
        <v>372.52000000001863</v>
      </c>
      <c r="H147" s="99">
        <f>G147+'25'!H147</f>
        <v>-1601.1600000000326</v>
      </c>
      <c r="I147" s="140"/>
      <c r="J147" s="328">
        <f>H147/DAY(B2)</f>
        <v>-61.583076923078174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'25'!F148</f>
        <v>737457.04</v>
      </c>
      <c r="F148" s="164">
        <v>737763.04</v>
      </c>
      <c r="G148" s="432">
        <f t="shared" si="11"/>
        <v>306</v>
      </c>
      <c r="H148" s="99">
        <f>G148+'25'!H148</f>
        <v>-1184.2399999999907</v>
      </c>
      <c r="I148" s="124"/>
      <c r="J148" s="328">
        <f>H148/DAY(B2)</f>
        <v>-45.547692307691946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'25'!F149</f>
        <v>114339.8</v>
      </c>
      <c r="F149" s="416">
        <v>114805.65</v>
      </c>
      <c r="G149" s="432">
        <f t="shared" si="11"/>
        <v>465.84999999999127</v>
      </c>
      <c r="H149" s="99">
        <f>G149+'25'!H149</f>
        <v>-1727.1500000000087</v>
      </c>
      <c r="I149" s="119"/>
      <c r="J149" s="328">
        <f>H149/DAY(B2)</f>
        <v>-66.428846153846493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'25'!F150</f>
        <v>42655.1</v>
      </c>
      <c r="F150" s="233">
        <v>42866.9</v>
      </c>
      <c r="G150" s="432">
        <f t="shared" si="11"/>
        <v>211.80000000000291</v>
      </c>
      <c r="H150" s="99">
        <f>G150+'25'!H150</f>
        <v>-858.26000000000204</v>
      </c>
      <c r="I150" s="119"/>
      <c r="J150" s="328">
        <f>H150/DAY(B2)</f>
        <v>-33.010000000000076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'25'!F151</f>
        <v>125221</v>
      </c>
      <c r="F151" s="233">
        <v>125511</v>
      </c>
      <c r="G151" s="432">
        <f t="shared" si="11"/>
        <v>290</v>
      </c>
      <c r="H151" s="99">
        <f>G151+'25'!H151</f>
        <v>-1092</v>
      </c>
      <c r="I151" s="119"/>
      <c r="J151" s="328">
        <f>H151/DAY(B2)</f>
        <v>-42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'25'!F152</f>
        <v>18653.919999999998</v>
      </c>
      <c r="F152" s="233">
        <v>18783.3</v>
      </c>
      <c r="G152" s="432">
        <f t="shared" si="11"/>
        <v>129.38000000000102</v>
      </c>
      <c r="H152" s="99">
        <f>G152+'25'!H152</f>
        <v>-504.78000000000247</v>
      </c>
      <c r="I152" s="119"/>
      <c r="J152" s="328">
        <f>H152/DAY(B2)</f>
        <v>-19.41461538461548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454">
        <f>SUM(G138:G152)</f>
        <v>2599.5470000000173</v>
      </c>
      <c r="H153" s="363"/>
      <c r="I153" s="119">
        <f>G153-(G38+G52)</f>
        <v>462.66700000001265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'25'!F155</f>
        <v>127473</v>
      </c>
      <c r="F155" s="614">
        <v>127996.4</v>
      </c>
      <c r="G155" s="432">
        <f t="shared" ref="G155:G158" si="12">F155-E155</f>
        <v>523.39999999999418</v>
      </c>
      <c r="H155" s="99">
        <f>G155+'25'!H155</f>
        <v>-2244.9800000000105</v>
      </c>
      <c r="I155" s="364"/>
      <c r="J155" s="328">
        <f>H155/DAY(B2)</f>
        <v>-86.345384615385015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'25'!F156</f>
        <v>11688.7</v>
      </c>
      <c r="F156" s="157">
        <v>11764.33</v>
      </c>
      <c r="G156" s="432">
        <f t="shared" si="12"/>
        <v>75.6299999999992</v>
      </c>
      <c r="H156" s="99">
        <f>G156+'25'!H156</f>
        <v>-329.03000000000065</v>
      </c>
      <c r="I156" s="165"/>
      <c r="J156" s="328">
        <f>H156/DAY(B2)</f>
        <v>-12.655000000000026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'25'!F157</f>
        <v>22349.5</v>
      </c>
      <c r="F157" s="155">
        <v>22493</v>
      </c>
      <c r="G157" s="432">
        <f t="shared" si="12"/>
        <v>143.5</v>
      </c>
      <c r="H157" s="99">
        <f>G157+'25'!H157</f>
        <v>1102</v>
      </c>
      <c r="I157" s="165"/>
      <c r="J157" s="328">
        <f>H157/DAY(B2)</f>
        <v>42.384615384615387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'25'!F158</f>
        <v>192</v>
      </c>
      <c r="F158" s="155">
        <v>192.23</v>
      </c>
      <c r="G158" s="432">
        <f t="shared" si="12"/>
        <v>0.22999999999998977</v>
      </c>
      <c r="H158" s="99">
        <f>G158+'25'!H158</f>
        <v>2.2299999999999898</v>
      </c>
      <c r="I158" s="165"/>
      <c r="J158" s="328">
        <f>H158/DAY(B2)</f>
        <v>8.5769230769230376E-2</v>
      </c>
    </row>
    <row r="159" spans="1:10" ht="25.5">
      <c r="A159" s="954"/>
      <c r="B159" s="955"/>
      <c r="C159" s="956"/>
      <c r="D159" s="117"/>
      <c r="E159" s="95"/>
      <c r="F159" s="165"/>
      <c r="G159" s="43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477561.16</v>
      </c>
      <c r="F161" s="235">
        <v>477563.96</v>
      </c>
      <c r="G161" s="455">
        <f t="shared" ref="G161:G165" si="13">F161-E161</f>
        <v>2.8000000000465661</v>
      </c>
      <c r="H161" s="99">
        <f>G161+'25'!H161</f>
        <v>897.96000000002095</v>
      </c>
      <c r="I161" s="236"/>
      <c r="J161" s="239">
        <f>H161/DAY(B2)</f>
        <v>34.536923076923884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93609.8</v>
      </c>
      <c r="F162" s="235">
        <v>93646.399999999994</v>
      </c>
      <c r="G162" s="455">
        <f t="shared" si="13"/>
        <v>36.599999999991269</v>
      </c>
      <c r="H162" s="99">
        <f>G162+'25'!H162</f>
        <v>-158.90000000000873</v>
      </c>
      <c r="I162" s="236"/>
      <c r="J162" s="239">
        <f>H162/DAY(B2)</f>
        <v>-6.1115384615387978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1186.5999999999999</v>
      </c>
      <c r="F163" s="235">
        <v>1371.6</v>
      </c>
      <c r="G163" s="455">
        <f t="shared" si="13"/>
        <v>185</v>
      </c>
      <c r="H163" s="99">
        <f>G163+'25'!H163</f>
        <v>99340.500000000015</v>
      </c>
      <c r="I163" s="236"/>
      <c r="J163" s="239">
        <f>H163/DAY(B2)</f>
        <v>3820.7884615384619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5838.7</v>
      </c>
      <c r="F164" s="235">
        <v>5849.4</v>
      </c>
      <c r="G164" s="455">
        <f t="shared" si="13"/>
        <v>10.699999999999818</v>
      </c>
      <c r="H164" s="99">
        <f>G164+'25'!H164</f>
        <v>-49</v>
      </c>
      <c r="I164" s="236"/>
      <c r="J164" s="239">
        <f>H164/DAY(B2)</f>
        <v>-1.8846153846153846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31288.39</v>
      </c>
      <c r="F165" s="235">
        <v>31297.75</v>
      </c>
      <c r="G165" s="455">
        <f t="shared" si="13"/>
        <v>9.3600000000005821</v>
      </c>
      <c r="H165" s="99">
        <f>G165+'25'!H165</f>
        <v>-48.900000000001455</v>
      </c>
      <c r="I165" s="236"/>
      <c r="J165" s="239">
        <f>H165/DAY(B2)</f>
        <v>-1.8807692307692867</v>
      </c>
    </row>
    <row r="166" spans="1:10" ht="26.25">
      <c r="A166" s="935"/>
      <c r="B166" s="935"/>
      <c r="C166" s="246"/>
      <c r="D166" s="244" t="s">
        <v>180</v>
      </c>
      <c r="E166" s="95">
        <f>'25'!F166</f>
        <v>0</v>
      </c>
      <c r="F166" s="165"/>
      <c r="G166" s="452"/>
      <c r="H166" s="99">
        <f>G166+'25'!H166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'25'!F167</f>
        <v>0</v>
      </c>
      <c r="F167" s="165"/>
      <c r="G167" s="452"/>
      <c r="H167" s="99">
        <f>G167+'25'!H167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'25'!F168</f>
        <v>0</v>
      </c>
      <c r="F168" s="165"/>
      <c r="G168" s="452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456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'25'!F173</f>
        <v>8229</v>
      </c>
      <c r="F173" s="155">
        <v>8229</v>
      </c>
      <c r="G173" s="456">
        <f>F173-E173</f>
        <v>0</v>
      </c>
      <c r="H173" s="99">
        <f>G173+'25'!H173</f>
        <v>47</v>
      </c>
      <c r="I173" s="155"/>
      <c r="J173" s="178">
        <f>H173/DAY(B2)</f>
        <v>1.8076923076923077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'25'!F174</f>
        <v>40708</v>
      </c>
      <c r="F174" s="157">
        <v>40721</v>
      </c>
      <c r="G174" s="456">
        <f t="shared" ref="G174:G175" si="14">F174-E174</f>
        <v>13</v>
      </c>
      <c r="H174" s="99">
        <f>G174+'25'!H174</f>
        <v>-58</v>
      </c>
      <c r="I174" s="155"/>
      <c r="J174" s="178">
        <f>H174/DAY(B2)</f>
        <v>-2.2307692307692308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'25'!F175</f>
        <v>23598</v>
      </c>
      <c r="F175" s="155">
        <v>23609</v>
      </c>
      <c r="G175" s="456">
        <f t="shared" si="14"/>
        <v>11</v>
      </c>
      <c r="H175" s="99">
        <f>G175+'25'!H175</f>
        <v>-47</v>
      </c>
      <c r="I175" s="155"/>
      <c r="J175" s="178">
        <f>H175/DAY(B2)</f>
        <v>-1.8076923076923077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456">
        <f>SUM(G173:G175)</f>
        <v>24</v>
      </c>
      <c r="H176" s="99">
        <f>G176+'25'!H176</f>
        <v>-58</v>
      </c>
      <c r="I176" s="155"/>
      <c r="J176" s="178">
        <f>H176/DAY(B2)</f>
        <v>-2.2307692307692308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456"/>
      <c r="H177" s="99">
        <f>G177+'25'!H177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'25'!F178</f>
        <v>94377</v>
      </c>
      <c r="F178" s="155">
        <v>94454</v>
      </c>
      <c r="G178" s="456">
        <f>F178-E178</f>
        <v>77</v>
      </c>
      <c r="H178" s="99">
        <f>G178+'25'!H178</f>
        <v>2368</v>
      </c>
      <c r="I178" s="155"/>
      <c r="J178" s="178">
        <f>H178/DAY(B2)</f>
        <v>91.07692307692308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'25'!F179</f>
        <v>36002</v>
      </c>
      <c r="F179" s="155">
        <v>36002</v>
      </c>
      <c r="G179" s="456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'25'!F180</f>
        <v>6841</v>
      </c>
      <c r="F180" s="155">
        <v>6855</v>
      </c>
      <c r="G180" s="456">
        <f t="shared" si="15"/>
        <v>14</v>
      </c>
      <c r="H180" s="99">
        <f>G180+'25'!H180</f>
        <v>-27</v>
      </c>
      <c r="I180" s="155"/>
      <c r="J180" s="178">
        <f>H180/DAY(B2)</f>
        <v>-1.0384615384615385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456">
        <f>SUM(G178:G180)</f>
        <v>91</v>
      </c>
      <c r="H181" s="99">
        <f>G181+'25'!H181</f>
        <v>2341</v>
      </c>
      <c r="I181" s="155"/>
      <c r="J181" s="178">
        <f>H181/DAY(B2)</f>
        <v>90.038461538461533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456"/>
      <c r="H182" s="99">
        <f>G182+'25'!H182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'25'!F183</f>
        <v>17242</v>
      </c>
      <c r="F183" s="157">
        <v>17248</v>
      </c>
      <c r="G183" s="457">
        <f>F183-E183</f>
        <v>6</v>
      </c>
      <c r="H183" s="99">
        <f>G183+'25'!H183</f>
        <v>-27</v>
      </c>
      <c r="I183" s="155"/>
      <c r="J183" s="178">
        <f>H183/DAY(B2)</f>
        <v>-1.0384615384615385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'25'!F184</f>
        <v>11659</v>
      </c>
      <c r="F184" s="157">
        <v>11663</v>
      </c>
      <c r="G184" s="457">
        <f t="shared" ref="G184:G185" si="16">F184-E184</f>
        <v>4</v>
      </c>
      <c r="H184" s="99">
        <f>G184+'25'!H184</f>
        <v>-26</v>
      </c>
      <c r="I184" s="155"/>
      <c r="J184" s="178">
        <f>H184/DAY(B2)</f>
        <v>-1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'25'!F185</f>
        <v>0</v>
      </c>
      <c r="F185" s="157"/>
      <c r="G185" s="4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457">
        <f>SUM(G183:G185)</f>
        <v>10</v>
      </c>
      <c r="H186" s="99">
        <f>G186+'25'!H186</f>
        <v>-53</v>
      </c>
      <c r="I186" s="157"/>
      <c r="J186" s="178">
        <f>H186/DAY(B2)</f>
        <v>-2.0384615384615383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'25'!F187</f>
        <v>0</v>
      </c>
      <c r="F187" s="159"/>
      <c r="G187" s="458">
        <f>G62+G19</f>
        <v>134</v>
      </c>
      <c r="H187" s="99">
        <f>G187+'25'!H187</f>
        <v>218</v>
      </c>
      <c r="I187" s="158"/>
      <c r="J187" s="179">
        <f>H187/DAY(B2)</f>
        <v>8.384615384615385</v>
      </c>
    </row>
    <row r="188" spans="1:10" ht="25.5">
      <c r="A188" s="943" t="s">
        <v>218</v>
      </c>
      <c r="B188" s="944"/>
      <c r="C188" s="333"/>
      <c r="D188" s="228" t="s">
        <v>142</v>
      </c>
      <c r="E188" s="95">
        <f>'25'!F188</f>
        <v>0</v>
      </c>
      <c r="F188" s="159"/>
      <c r="G188" s="458">
        <f>G65+G66+G67+G69+G70</f>
        <v>130</v>
      </c>
      <c r="H188" s="99">
        <f>G188+'25'!H188</f>
        <v>1728</v>
      </c>
      <c r="I188" s="158"/>
      <c r="J188" s="179">
        <f>H188/DAY(B2)</f>
        <v>66.461538461538467</v>
      </c>
    </row>
    <row r="189" spans="1:10" ht="25.5">
      <c r="A189" s="943" t="s">
        <v>219</v>
      </c>
      <c r="B189" s="944"/>
      <c r="C189" s="333"/>
      <c r="D189" s="228" t="s">
        <v>142</v>
      </c>
      <c r="E189" s="95">
        <f>'25'!F189</f>
        <v>0</v>
      </c>
      <c r="F189" s="157"/>
      <c r="G189" s="458">
        <f>G181</f>
        <v>91</v>
      </c>
      <c r="H189" s="99">
        <f>G189+'25'!H189</f>
        <v>773</v>
      </c>
      <c r="I189" s="158"/>
      <c r="J189" s="179">
        <f>H189/DAY(B2)</f>
        <v>29.73076923076923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613"/>
      <c r="H190" s="397"/>
      <c r="I190" s="396"/>
      <c r="J190" s="398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27" zoomScale="5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349</v>
      </c>
      <c r="B2" s="262">
        <v>44739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1229032.47</v>
      </c>
      <c r="F7" s="95">
        <f>E7+27500</f>
        <v>1256532.47</v>
      </c>
      <c r="G7" s="112">
        <f>F7-E7</f>
        <v>27500</v>
      </c>
      <c r="H7" s="99">
        <f>G7+'26'!H7</f>
        <v>733567.97</v>
      </c>
      <c r="I7" s="113">
        <f>'1'!I7</f>
        <v>12000</v>
      </c>
      <c r="J7" s="175">
        <f>H7/DAY(B2)</f>
        <v>27169.184074074074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1367254.65</v>
      </c>
      <c r="F8" s="95">
        <f>E8+27000</f>
        <v>1394254.65</v>
      </c>
      <c r="G8" s="115">
        <f>F8-E8</f>
        <v>27000</v>
      </c>
      <c r="H8" s="99">
        <f>G8+'26'!H8</f>
        <v>732465.64999999991</v>
      </c>
      <c r="I8" s="116"/>
      <c r="J8" s="175">
        <f>H8/DAY(B2)</f>
        <v>27128.357407407402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2865816.5</v>
      </c>
      <c r="F9" s="469">
        <v>2877869.1</v>
      </c>
      <c r="G9" s="112">
        <f>F9-E9</f>
        <v>12052.600000000093</v>
      </c>
      <c r="H9" s="99">
        <f>G9+'26'!H9</f>
        <v>-39780</v>
      </c>
      <c r="I9" s="124">
        <f>I7-J7</f>
        <v>-15169.184074074074</v>
      </c>
      <c r="J9" s="175">
        <f>H9/DAY(B2)</f>
        <v>-1473.3333333333333</v>
      </c>
      <c r="K9" s="79">
        <f>K8-100</f>
        <v>1715817</v>
      </c>
      <c r="L9" s="66"/>
      <c r="N9" s="87"/>
      <c r="O9" s="71">
        <f>G8-G7</f>
        <v>-500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1183807.5</v>
      </c>
      <c r="F10" s="353">
        <v>1197214.5</v>
      </c>
      <c r="G10" s="112">
        <f t="shared" ref="G10:G12" si="0">F10-E10</f>
        <v>13407</v>
      </c>
      <c r="H10" s="99">
        <f>G10+'26'!H10</f>
        <v>-38472.129999999888</v>
      </c>
      <c r="I10" s="282"/>
      <c r="J10" s="175">
        <f>H10/DAY(B2)</f>
        <v>-1424.8937037036997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25459.600000000093</v>
      </c>
      <c r="H13" s="99">
        <f>G13+'26'!H13</f>
        <v>-76523.199999999721</v>
      </c>
      <c r="I13" s="120">
        <f>G7-G13</f>
        <v>2040.3999999999069</v>
      </c>
      <c r="J13" s="175">
        <f>H13/DAY(B2)</f>
        <v>-2834.1925925925821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'26'!F15</f>
        <v>2094461.24</v>
      </c>
      <c r="F15" s="469">
        <f>E15+1000</f>
        <v>2095461.24</v>
      </c>
      <c r="G15" s="112">
        <f>(F15-E15)</f>
        <v>1000</v>
      </c>
      <c r="H15" s="99">
        <f>G15+'26'!H15</f>
        <v>27382.830000000075</v>
      </c>
      <c r="I15" s="113">
        <f>'1'!I15</f>
        <v>800</v>
      </c>
      <c r="J15" s="175">
        <f>H15/DAY(B2)</f>
        <v>1014.1788888888916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-214.17888888889161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'26'!F18</f>
        <v>16</v>
      </c>
      <c r="F18" s="122">
        <v>16</v>
      </c>
      <c r="G18" s="119">
        <f>F18*10</f>
        <v>160</v>
      </c>
      <c r="H18" s="99">
        <f>G18+'26'!H18</f>
        <v>4970</v>
      </c>
      <c r="I18" s="113">
        <f>'1'!I18</f>
        <v>65</v>
      </c>
      <c r="J18" s="175">
        <f>H18/DAY(B2)</f>
        <v>184.07407407407408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'26'!F19</f>
        <v>160639</v>
      </c>
      <c r="F19" s="122">
        <v>160687</v>
      </c>
      <c r="G19" s="112">
        <f t="shared" ref="G19" si="1">F19-E19</f>
        <v>48</v>
      </c>
      <c r="H19" s="99">
        <f>G19+'26'!H19</f>
        <v>633</v>
      </c>
      <c r="I19" s="335"/>
      <c r="J19" s="175">
        <f>H19/DAY(B2)</f>
        <v>23.444444444444443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208</v>
      </c>
      <c r="H20" s="99">
        <f>G20+'26'!H20</f>
        <v>5603</v>
      </c>
      <c r="I20" s="336">
        <f>I18-J20</f>
        <v>-142.5185185185185</v>
      </c>
      <c r="J20" s="175">
        <f>H20/DAY(B2)</f>
        <v>207.5185185185185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G27+'26'!H27</f>
        <v>6592190.8499999996</v>
      </c>
      <c r="I27" s="138"/>
      <c r="J27" s="175">
        <f>H27/DAY(B2)</f>
        <v>244155.21666666665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G28+'26'!H28</f>
        <v>1880798.1000000052</v>
      </c>
      <c r="I28" s="140"/>
      <c r="J28" s="175">
        <f>H28/DAY(B2)</f>
        <v>69659.188888889083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G30+'26'!H30</f>
        <v>95318</v>
      </c>
      <c r="I30" s="140"/>
      <c r="J30" s="175">
        <f>H30/DAY(B2)</f>
        <v>3530.2962962962961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G31+'26'!H31</f>
        <v>397600</v>
      </c>
      <c r="I31" s="140"/>
      <c r="J31" s="175">
        <f>H31/DAY(B2)</f>
        <v>14725.925925925925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333048</v>
      </c>
      <c r="H32" s="99">
        <f>G32+'26'!H32</f>
        <v>8965906.9500000048</v>
      </c>
      <c r="I32" s="144"/>
      <c r="J32" s="175">
        <f>H32/DAY(B2)</f>
        <v>332070.62777777796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183452.49</v>
      </c>
      <c r="F36" s="145">
        <v>184111.13</v>
      </c>
      <c r="G36" s="112">
        <f t="shared" si="3"/>
        <v>658.64000000001397</v>
      </c>
      <c r="H36" s="99">
        <f>G36+'26'!H36</f>
        <v>-2809.1000000000058</v>
      </c>
      <c r="I36" s="95"/>
      <c r="J36" s="175">
        <f>H36/DAY(B2)</f>
        <v>-104.04074074074096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280176.61</v>
      </c>
      <c r="F37" s="145">
        <v>281719.25</v>
      </c>
      <c r="G37" s="112">
        <f t="shared" si="3"/>
        <v>1542.640000000014</v>
      </c>
      <c r="H37" s="99">
        <f>G37+'26'!H37</f>
        <v>-4999.7399999999907</v>
      </c>
      <c r="I37" s="95"/>
      <c r="J37" s="175">
        <f>H37/DAY(B2)</f>
        <v>-185.17555555555521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378078.43</v>
      </c>
      <c r="F38" s="108">
        <v>380139.35</v>
      </c>
      <c r="G38" s="112">
        <f t="shared" si="3"/>
        <v>2060.9199999999837</v>
      </c>
      <c r="H38" s="99">
        <f>G38+'26'!H38</f>
        <v>-6524</v>
      </c>
      <c r="I38" s="95"/>
      <c r="J38" s="175">
        <f>H38/DAY(B2)</f>
        <v>-241.62962962962962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511647.19</v>
      </c>
      <c r="F39" s="145">
        <v>514583.67</v>
      </c>
      <c r="G39" s="112">
        <f t="shared" si="3"/>
        <v>2936.4799999999814</v>
      </c>
      <c r="H39" s="99">
        <f>G39+'26'!H39</f>
        <v>-8796.9200000000419</v>
      </c>
      <c r="I39" s="95"/>
      <c r="J39" s="175">
        <f>H39/DAY(B2)</f>
        <v>-325.81185185185342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81908.5</v>
      </c>
      <c r="F40" s="145">
        <v>82258.11</v>
      </c>
      <c r="G40" s="112">
        <f t="shared" si="3"/>
        <v>349.61000000000058</v>
      </c>
      <c r="H40" s="99">
        <f>G40+'26'!H40</f>
        <v>-1412.9799999999959</v>
      </c>
      <c r="I40" s="95"/>
      <c r="J40" s="175">
        <f>H40/DAY(B2)</f>
        <v>-52.332592592592441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142818.41</v>
      </c>
      <c r="F41" s="145">
        <v>142818.41</v>
      </c>
      <c r="G41" s="112">
        <f t="shared" si="3"/>
        <v>0</v>
      </c>
      <c r="H41" s="99">
        <f>G41+'26'!H41</f>
        <v>1.0000000009313226E-2</v>
      </c>
      <c r="I41" s="95"/>
      <c r="J41" s="175">
        <f>H41/DAY(B2)</f>
        <v>3.7037037071530467E-4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672312.07</v>
      </c>
      <c r="F42" s="145">
        <v>675831.51</v>
      </c>
      <c r="G42" s="112">
        <f t="shared" si="3"/>
        <v>3519.4400000000605</v>
      </c>
      <c r="H42" s="99">
        <f>G42+'26'!H42</f>
        <v>-12801.040000000037</v>
      </c>
      <c r="I42" s="95"/>
      <c r="J42" s="175">
        <f>H42/DAY(B2)</f>
        <v>-474.11259259259396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11067.730000000054</v>
      </c>
      <c r="H47" s="99">
        <f>G47+'26'!H47</f>
        <v>-37343.740000000005</v>
      </c>
      <c r="I47" s="95"/>
      <c r="J47" s="175">
        <f>H47/DAY(B2)</f>
        <v>-1383.1014814814816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353652.63</v>
      </c>
      <c r="F49" s="145">
        <v>357186.19</v>
      </c>
      <c r="G49" s="112">
        <f t="shared" ref="G49:G58" si="4">F49-E49</f>
        <v>3533.5599999999977</v>
      </c>
      <c r="H49" s="99">
        <f>G49+'26'!H49</f>
        <v>-13585.559999999998</v>
      </c>
      <c r="I49" s="95"/>
      <c r="J49" s="175">
        <f>H49/DAY(B2)</f>
        <v>-503.16888888888883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238570.11</v>
      </c>
      <c r="F50" s="145">
        <v>239547.23</v>
      </c>
      <c r="G50" s="112">
        <f t="shared" si="4"/>
        <v>977.12000000002445</v>
      </c>
      <c r="H50" s="99">
        <f>G50+'26'!H50</f>
        <v>-3558.1699999999837</v>
      </c>
      <c r="I50" s="95"/>
      <c r="J50" s="175">
        <f>H50/DAY(B2)</f>
        <v>-131.78407407407346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76</v>
      </c>
      <c r="F51" s="145">
        <v>76</v>
      </c>
      <c r="G51" s="112">
        <f t="shared" si="4"/>
        <v>0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75611.210000000006</v>
      </c>
      <c r="F54" s="145">
        <v>75960.09</v>
      </c>
      <c r="G54" s="112">
        <f t="shared" si="4"/>
        <v>348.8799999999901</v>
      </c>
      <c r="H54" s="99">
        <f>G54+'26'!H54</f>
        <v>-1057.4100000000035</v>
      </c>
      <c r="I54" s="95"/>
      <c r="J54" s="175">
        <f>H54/DAY(B2)</f>
        <v>-39.163333333333462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270106.71000000002</v>
      </c>
      <c r="F55" s="145">
        <v>273922</v>
      </c>
      <c r="G55" s="112">
        <f t="shared" si="4"/>
        <v>3815.289999999979</v>
      </c>
      <c r="H55" s="99">
        <f>G55+'26'!H55</f>
        <v>-10160.929999999993</v>
      </c>
      <c r="I55" s="95"/>
      <c r="J55" s="175">
        <f>H55/DAY(B2)</f>
        <v>-376.33074074074051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111243.13</v>
      </c>
      <c r="F56" s="145">
        <v>111243.13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119597.13</v>
      </c>
      <c r="F57" s="423">
        <v>122725.4</v>
      </c>
      <c r="G57" s="112">
        <f t="shared" si="4"/>
        <v>3128.2699999999895</v>
      </c>
      <c r="H57" s="99">
        <f>G57+'26'!H57</f>
        <v>-9178.3000000000175</v>
      </c>
      <c r="I57" s="95"/>
      <c r="J57" s="175">
        <f>H57/DAY(B2)</f>
        <v>-339.93703703703767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39150.35</v>
      </c>
      <c r="F58" s="145">
        <v>39438.83</v>
      </c>
      <c r="G58" s="112">
        <f t="shared" si="4"/>
        <v>288.4800000000032</v>
      </c>
      <c r="H58" s="99">
        <f>G58+'26'!H58</f>
        <v>-841.27999999999884</v>
      </c>
      <c r="I58" s="95"/>
      <c r="J58" s="175">
        <f>H58/DAY(B2)</f>
        <v>-31.158518518518477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12091.599999999984</v>
      </c>
      <c r="H59" s="99">
        <f>G59+'26'!H59</f>
        <v>-38381.330000000053</v>
      </c>
      <c r="I59" s="95">
        <f>G7-G60</f>
        <v>4340.6699999999619</v>
      </c>
      <c r="J59" s="175">
        <f>H59/DAY(B2)</f>
        <v>-1421.5307407407427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23159.330000000038</v>
      </c>
      <c r="H60" s="99">
        <f>G60+'26'!H60</f>
        <v>-75725.070000000065</v>
      </c>
      <c r="I60" s="95">
        <f>G13-G60</f>
        <v>2300.270000000055</v>
      </c>
      <c r="J60" s="175">
        <f>H60/DAY(B2)</f>
        <v>-2804.6322222222248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'26'!F62</f>
        <v>292331</v>
      </c>
      <c r="F62" s="122">
        <v>292418</v>
      </c>
      <c r="G62" s="112">
        <f t="shared" ref="G62:G63" si="5">F62-E62</f>
        <v>87</v>
      </c>
      <c r="H62" s="99">
        <f>G62+'26'!H62</f>
        <v>-280</v>
      </c>
      <c r="I62" s="118"/>
      <c r="J62" s="175">
        <f>H62/DAY(B2)</f>
        <v>-10.37037037037037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'26'!F63</f>
        <v>234552</v>
      </c>
      <c r="F63" s="122">
        <v>234683</v>
      </c>
      <c r="G63" s="112">
        <f t="shared" si="5"/>
        <v>131</v>
      </c>
      <c r="H63" s="99">
        <f>G63+'26'!H63</f>
        <v>-383</v>
      </c>
      <c r="I63" s="118"/>
      <c r="J63" s="175">
        <f>H63/DAY(B2)</f>
        <v>-14.185185185185185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'26'!F64</f>
        <v>0</v>
      </c>
      <c r="F64" s="122"/>
      <c r="G64" s="112">
        <f>G62+G63</f>
        <v>218</v>
      </c>
      <c r="H64" s="99">
        <f>G64+'26'!H64</f>
        <v>-663</v>
      </c>
      <c r="I64" s="118"/>
      <c r="J64" s="175">
        <f>H64/DAY(B2)</f>
        <v>-24.555555555555557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'26'!F65</f>
        <v>451018</v>
      </c>
      <c r="F65" s="122">
        <v>451095</v>
      </c>
      <c r="G65" s="112">
        <f t="shared" ref="G65:G70" si="6">F65-E65</f>
        <v>77</v>
      </c>
      <c r="H65" s="99">
        <f>G65+'26'!H65</f>
        <v>-294</v>
      </c>
      <c r="I65" s="118"/>
      <c r="J65" s="175">
        <f>H65/DAY(B2)</f>
        <v>-10.888888888888889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110955</v>
      </c>
      <c r="F66" s="122">
        <v>110973</v>
      </c>
      <c r="G66" s="112">
        <f t="shared" si="6"/>
        <v>18</v>
      </c>
      <c r="H66" s="99">
        <f>G66+'26'!H66</f>
        <v>-54</v>
      </c>
      <c r="I66" s="118"/>
      <c r="J66" s="175">
        <f>H66/DAY(B2)</f>
        <v>-2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113680</v>
      </c>
      <c r="F67" s="122">
        <v>113680</v>
      </c>
      <c r="G67" s="112">
        <f t="shared" si="6"/>
        <v>0</v>
      </c>
      <c r="H67" s="99">
        <f>G67+'26'!H67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163409</v>
      </c>
      <c r="F68" s="122">
        <v>163449</v>
      </c>
      <c r="G68" s="112">
        <f t="shared" si="6"/>
        <v>40</v>
      </c>
      <c r="H68" s="99">
        <f>G68+'26'!H68</f>
        <v>-77</v>
      </c>
      <c r="I68" s="118"/>
      <c r="J68" s="175">
        <f>H68/DAY(B2)</f>
        <v>-2.8518518518518516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12108</v>
      </c>
      <c r="F69" s="122">
        <v>12113</v>
      </c>
      <c r="G69" s="112">
        <f t="shared" si="6"/>
        <v>5</v>
      </c>
      <c r="H69" s="99">
        <f>G69+'26'!H69</f>
        <v>-15</v>
      </c>
      <c r="I69" s="118"/>
      <c r="J69" s="175">
        <f>H69/DAY(B2)</f>
        <v>-0.55555555555555558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9484</v>
      </c>
      <c r="F70" s="122">
        <v>9494</v>
      </c>
      <c r="G70" s="112">
        <f t="shared" si="6"/>
        <v>10</v>
      </c>
      <c r="H70" s="99">
        <f>G70+'26'!H70</f>
        <v>-20</v>
      </c>
      <c r="I70" s="118"/>
      <c r="J70" s="175">
        <f>H70/DAY(B2)</f>
        <v>-0.7407407407407407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150</v>
      </c>
      <c r="H71" s="99">
        <f>G71+'26'!H71</f>
        <v>-460</v>
      </c>
      <c r="I71" s="154"/>
      <c r="J71" s="175">
        <f>H71/DAY(B2)</f>
        <v>-17.037037037037038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'26'!F74</f>
        <v>946572.64</v>
      </c>
      <c r="F74" s="117">
        <v>946857.68</v>
      </c>
      <c r="G74" s="112">
        <f t="shared" ref="G74:G78" si="7">F74-E74</f>
        <v>285.04000000003725</v>
      </c>
      <c r="H74" s="99">
        <f>G74+'26'!H74</f>
        <v>-849.51999999990221</v>
      </c>
      <c r="I74" s="154"/>
      <c r="J74" s="175">
        <f>H74/DAY(B2)</f>
        <v>-31.46370370370008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'26'!F75</f>
        <v>73586.8</v>
      </c>
      <c r="F75" s="123">
        <v>73586</v>
      </c>
      <c r="G75" s="112">
        <f t="shared" si="7"/>
        <v>-0.80000000000291038</v>
      </c>
      <c r="H75" s="99">
        <f>G75+'26'!H75</f>
        <v>-0.80000000000291038</v>
      </c>
      <c r="I75" s="154"/>
      <c r="J75" s="175">
        <f>H75/DAY(B2)</f>
        <v>-2.9629629629737423E-2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'26'!F76</f>
        <v>186517</v>
      </c>
      <c r="F76" s="123">
        <v>186602</v>
      </c>
      <c r="G76" s="112">
        <f t="shared" si="7"/>
        <v>85</v>
      </c>
      <c r="H76" s="99">
        <f>G76+'26'!H76</f>
        <v>-289.29999999998836</v>
      </c>
      <c r="I76" s="154"/>
      <c r="J76" s="175">
        <f>H76/DAY(B2)</f>
        <v>-10.714814814814384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'26'!F77</f>
        <v>48544</v>
      </c>
      <c r="F77" s="123">
        <v>48586</v>
      </c>
      <c r="G77" s="112">
        <f t="shared" si="7"/>
        <v>42</v>
      </c>
      <c r="H77" s="99">
        <f>G77+'26'!H77</f>
        <v>-149.80000000000291</v>
      </c>
      <c r="I77" s="154"/>
      <c r="J77" s="175">
        <f>H77/DAY(B2)</f>
        <v>-5.5481481481482557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'26'!F78</f>
        <v>9564</v>
      </c>
      <c r="F78" s="123">
        <v>9563</v>
      </c>
      <c r="G78" s="112">
        <f t="shared" si="7"/>
        <v>-1</v>
      </c>
      <c r="H78" s="99">
        <f>G78+'26'!H78</f>
        <v>-1.3999999999996362</v>
      </c>
      <c r="I78" s="118"/>
      <c r="J78" s="175">
        <f>H78/DAY(B2)</f>
        <v>-5.1851851851838375E-2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'26'!F79</f>
        <v>0</v>
      </c>
      <c r="F79" s="123"/>
      <c r="G79" s="112">
        <f>G15-SUM(G74:G78)</f>
        <v>589.75999999996566</v>
      </c>
      <c r="H79" s="99">
        <f>G79+'26'!H79</f>
        <v>28673.649999999972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42275</v>
      </c>
      <c r="F84" s="164">
        <v>42275</v>
      </c>
      <c r="G84" s="112">
        <f t="shared" si="8"/>
        <v>0</v>
      </c>
      <c r="H84" s="99">
        <f>G84+'26'!H84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4811.3</v>
      </c>
      <c r="F85" s="164">
        <v>4826.28</v>
      </c>
      <c r="G85" s="112">
        <f t="shared" si="8"/>
        <v>14.979999999999563</v>
      </c>
      <c r="H85" s="99">
        <f>G85+'26'!H85</f>
        <v>-55.730000000000473</v>
      </c>
      <c r="I85" s="573"/>
      <c r="J85" s="175">
        <f>H85/DAY(B2)</f>
        <v>-2.0640740740740915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44761.4</v>
      </c>
      <c r="F86" s="164">
        <v>44785</v>
      </c>
      <c r="G86" s="112">
        <f t="shared" si="8"/>
        <v>23.599999999998545</v>
      </c>
      <c r="H86" s="99">
        <f>G86+'26'!H86</f>
        <v>-67.30000000000291</v>
      </c>
      <c r="I86" s="573"/>
      <c r="J86" s="175">
        <f>H86/DAY(B2)</f>
        <v>-2.4925925925927004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35358.050000000003</v>
      </c>
      <c r="F87" s="164">
        <v>35358.050000000003</v>
      </c>
      <c r="G87" s="112">
        <f t="shared" si="8"/>
        <v>0</v>
      </c>
      <c r="H87" s="99">
        <f>G87+'26'!H87</f>
        <v>0</v>
      </c>
      <c r="I87" s="573">
        <f>G84+G85+G86+G87</f>
        <v>38.579999999998108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24277.14</v>
      </c>
      <c r="F88" s="164">
        <v>24277.14</v>
      </c>
      <c r="G88" s="112">
        <f t="shared" si="8"/>
        <v>0</v>
      </c>
      <c r="H88" s="99">
        <f>G88+'26'!H88</f>
        <v>-6.0000000001309672E-2</v>
      </c>
      <c r="I88" s="573"/>
      <c r="J88" s="175">
        <f>H88/DAY(B2)</f>
        <v>-2.2222222222707286E-3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27255.38</v>
      </c>
      <c r="F89" s="164">
        <v>27264.55</v>
      </c>
      <c r="G89" s="112">
        <f t="shared" si="8"/>
        <v>9.1699999999982538</v>
      </c>
      <c r="H89" s="99">
        <f>G89+'26'!H89</f>
        <v>-26.869999999998981</v>
      </c>
      <c r="I89" s="573">
        <f>G88+G89</f>
        <v>9.1699999999982538</v>
      </c>
      <c r="J89" s="175">
        <f>H89/DAY(B2)</f>
        <v>-0.99518518518514743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72284.789999999994</v>
      </c>
      <c r="F90" s="164">
        <v>72295.679999999993</v>
      </c>
      <c r="G90" s="112">
        <f t="shared" si="8"/>
        <v>10.889999999999418</v>
      </c>
      <c r="H90" s="99">
        <v>23</v>
      </c>
      <c r="I90" s="573">
        <f>G90</f>
        <v>10.889999999999418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4122</v>
      </c>
      <c r="F91" s="122">
        <v>4122</v>
      </c>
      <c r="G91" s="112">
        <f t="shared" si="8"/>
        <v>0</v>
      </c>
      <c r="H91" s="99">
        <f>G91+'26'!H91</f>
        <v>-16.4399999999996</v>
      </c>
      <c r="I91" s="592"/>
      <c r="J91" s="175">
        <f>H91/DAY(B2)</f>
        <v>-0.60888888888887405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6491.76</v>
      </c>
      <c r="F92" s="122">
        <v>6501.5</v>
      </c>
      <c r="G92" s="112">
        <f t="shared" si="8"/>
        <v>9.7399999999997817</v>
      </c>
      <c r="H92" s="99">
        <f>G92+'26'!H92</f>
        <v>-13.840000000000146</v>
      </c>
      <c r="I92" s="598">
        <f>G91+G92</f>
        <v>9.7399999999997817</v>
      </c>
      <c r="J92" s="175">
        <f>H92/DAY(B2)</f>
        <v>-0.51259259259259793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6661.8299999999872</v>
      </c>
      <c r="H94" s="99">
        <f>G94+'26'!H94</f>
        <v>-22763.829999999987</v>
      </c>
      <c r="I94" s="118"/>
      <c r="J94" s="175">
        <f>H94/DAY(B2)</f>
        <v>-843.10481481481429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0.24224836363636318</v>
      </c>
      <c r="H95" s="99">
        <f>G95+'26'!H95</f>
        <v>-0.74082918098851591</v>
      </c>
      <c r="I95" s="167"/>
      <c r="J95" s="175">
        <f>H95/DAY(B2)</f>
        <v>-2.7438117814389477E-2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7334.7300000000396</v>
      </c>
      <c r="H96" s="99">
        <f>G96+'26'!H96</f>
        <v>-22961.96000000005</v>
      </c>
      <c r="I96" s="118"/>
      <c r="J96" s="175">
        <f>H96/DAY(B2)</f>
        <v>-850.44296296296477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0.26671745454545598</v>
      </c>
      <c r="H97" s="99">
        <f>G97+'26'!H97</f>
        <v>-0.75715824581813784</v>
      </c>
      <c r="I97" s="167"/>
      <c r="J97" s="175">
        <f>H97/DAY(B2)</f>
        <v>-2.8042897993264364E-2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2936.4799999999814</v>
      </c>
      <c r="H98" s="99">
        <f>G98+'26'!H98</f>
        <v>-8796.9200000000419</v>
      </c>
      <c r="I98" s="168"/>
      <c r="J98" s="175">
        <f>H98/DAY(B2)</f>
        <v>-325.81185185185342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0.10678109090909023</v>
      </c>
      <c r="H99" s="99">
        <f>G99+'26'!H99</f>
        <v>-0.28209388081784054</v>
      </c>
      <c r="I99" s="168"/>
      <c r="J99" s="175">
        <f>H99/DAY(B2)</f>
        <v>-1.0447921511771872E-2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2060.9199999999837</v>
      </c>
      <c r="H100" s="99">
        <f>G100+'26'!H100</f>
        <v>-6523.9999999999927</v>
      </c>
      <c r="I100" s="118"/>
      <c r="J100" s="175">
        <f>H100/DAY(B2)</f>
        <v>-241.62962962962936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7.4942545454544859E-2</v>
      </c>
      <c r="H101" s="99">
        <f>G101+'26'!H101</f>
        <v>-0.20839938041761952</v>
      </c>
      <c r="I101" s="168"/>
      <c r="J101" s="175">
        <f>H101/DAY(B2)</f>
        <v>-7.7184955710229448E-3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1635.7600000000384</v>
      </c>
      <c r="H102" s="99">
        <f>G102+'26'!H102</f>
        <v>-6367.2699999999895</v>
      </c>
      <c r="I102" s="168"/>
      <c r="J102" s="175">
        <f>H102/DAY(B2)</f>
        <v>-235.82481481481443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5.9482181818183218E-2</v>
      </c>
      <c r="H103" s="99">
        <f>G103+'26'!H103</f>
        <v>-0.20936823975741786</v>
      </c>
      <c r="I103" s="118"/>
      <c r="J103" s="175">
        <f>H103/DAY(B2)</f>
        <v>-7.7543792502747354E-3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1542.640000000014</v>
      </c>
      <c r="H104" s="99">
        <f>G104+'26'!H104</f>
        <v>-4999.419999999991</v>
      </c>
      <c r="I104" s="118"/>
      <c r="J104" s="175">
        <f>H104/DAY(B2)</f>
        <v>-185.16370370370336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5.6096000000000507E-2</v>
      </c>
      <c r="H105" s="99">
        <f>G105+'26'!H105</f>
        <v>-0.16100527980841742</v>
      </c>
      <c r="I105" s="187"/>
      <c r="J105" s="188">
        <f>H105/DAY(B2)</f>
        <v>-5.9631585114228673E-3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'26'!F112</f>
        <v>4641.3900000000003</v>
      </c>
      <c r="F112" s="237">
        <v>4714.32</v>
      </c>
      <c r="G112" s="112">
        <f t="shared" ref="G112:G123" si="9">F112-E112</f>
        <v>72.929999999999382</v>
      </c>
      <c r="H112" s="99">
        <f>G112+'26'!H112</f>
        <v>-215.42000000000007</v>
      </c>
      <c r="I112" s="165"/>
      <c r="J112" s="328">
        <f>H112/DAY(B2)</f>
        <v>-7.9785185185185208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'26'!F113</f>
        <v>10064.280000000001</v>
      </c>
      <c r="F113" s="237">
        <v>10210.799999999999</v>
      </c>
      <c r="G113" s="112">
        <f t="shared" si="9"/>
        <v>146.51999999999862</v>
      </c>
      <c r="H113" s="99">
        <f>G113+'26'!H113</f>
        <v>-421.92000000000007</v>
      </c>
      <c r="I113" s="165"/>
      <c r="J113" s="328">
        <f>H113/DAY(B2)</f>
        <v>-15.626666666666669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'26'!F114</f>
        <v>13297</v>
      </c>
      <c r="F114" s="237">
        <v>13522.21</v>
      </c>
      <c r="G114" s="112">
        <f t="shared" si="9"/>
        <v>225.20999999999913</v>
      </c>
      <c r="H114" s="99">
        <f>G114+'26'!H114</f>
        <v>-671.59000000000015</v>
      </c>
      <c r="I114" s="165"/>
      <c r="J114" s="328">
        <f>H114/DAY(B2)</f>
        <v>-24.873703703703708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'26'!F115</f>
        <v>8381.52</v>
      </c>
      <c r="F115" s="237">
        <v>8476.4</v>
      </c>
      <c r="G115" s="112">
        <f t="shared" si="9"/>
        <v>94.8799999999992</v>
      </c>
      <c r="H115" s="99">
        <f>G115+'26'!H115</f>
        <v>-544.38000000000102</v>
      </c>
      <c r="I115" s="165"/>
      <c r="J115" s="328">
        <f>H115/DAY(B2)</f>
        <v>-20.162222222222258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'26'!F116</f>
        <v>57384</v>
      </c>
      <c r="F116" s="237">
        <v>57754.38</v>
      </c>
      <c r="G116" s="112">
        <f t="shared" si="9"/>
        <v>370.37999999999738</v>
      </c>
      <c r="H116" s="99">
        <f>G116+'26'!H116</f>
        <v>-1136.1700000000055</v>
      </c>
      <c r="I116" s="165"/>
      <c r="J116" s="328">
        <f>H116/DAY(B2)</f>
        <v>-42.080370370370574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'26'!F117</f>
        <v>31793</v>
      </c>
      <c r="F117" s="237">
        <v>32081.41</v>
      </c>
      <c r="G117" s="112">
        <f t="shared" si="9"/>
        <v>288.40999999999985</v>
      </c>
      <c r="H117" s="99">
        <f>G117+'26'!H117</f>
        <v>-807.07000000000335</v>
      </c>
      <c r="I117" s="165"/>
      <c r="J117" s="328">
        <f>H117/DAY(B2)</f>
        <v>-29.891481481481605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'26'!F118</f>
        <v>42317.29</v>
      </c>
      <c r="F118" s="237">
        <v>42971.6</v>
      </c>
      <c r="G118" s="112">
        <f t="shared" si="9"/>
        <v>654.30999999999767</v>
      </c>
      <c r="H118" s="99">
        <f>G118+'26'!H118</f>
        <v>-1948.7099999999991</v>
      </c>
      <c r="I118" s="165"/>
      <c r="J118" s="328">
        <f>H118/DAY(B2)</f>
        <v>-72.174444444444418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'26'!F119</f>
        <v>29378.54</v>
      </c>
      <c r="F119" s="237">
        <v>29613</v>
      </c>
      <c r="G119" s="112">
        <f t="shared" si="9"/>
        <v>234.45999999999913</v>
      </c>
      <c r="H119" s="99">
        <f>G119+'26'!H119</f>
        <v>-729.59999999999854</v>
      </c>
      <c r="I119" s="165"/>
      <c r="J119" s="328">
        <f>H119/DAY(B2)</f>
        <v>-27.022222222222169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'26'!F120</f>
        <v>31404.7</v>
      </c>
      <c r="F120" s="237">
        <v>31840.48</v>
      </c>
      <c r="G120" s="112">
        <f t="shared" si="9"/>
        <v>435.77999999999884</v>
      </c>
      <c r="H120" s="99">
        <f>G120+'26'!H120</f>
        <v>-1265.0799999999981</v>
      </c>
      <c r="I120" s="165"/>
      <c r="J120" s="328">
        <f>H120/DAY(B2)</f>
        <v>-46.854814814814745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'26'!F121</f>
        <v>37848.230000000003</v>
      </c>
      <c r="F121" s="237">
        <v>38304.6</v>
      </c>
      <c r="G121" s="112">
        <f t="shared" si="9"/>
        <v>456.36999999999534</v>
      </c>
      <c r="H121" s="99">
        <f>G121+'26'!H121</f>
        <v>-1283.3000000000029</v>
      </c>
      <c r="I121" s="165"/>
      <c r="J121" s="328">
        <f>H121/DAY(B2)</f>
        <v>-47.529629629629738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'26'!F122</f>
        <v>18824.38</v>
      </c>
      <c r="F122" s="237">
        <v>19114.12</v>
      </c>
      <c r="G122" s="112">
        <f t="shared" si="9"/>
        <v>289.73999999999796</v>
      </c>
      <c r="H122" s="99">
        <f>G122+'26'!H122</f>
        <v>-851.76000000000204</v>
      </c>
      <c r="I122" s="165"/>
      <c r="J122" s="328">
        <f>H122/DAY(B2)</f>
        <v>-31.546666666666741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'26'!F123</f>
        <v>19098.97</v>
      </c>
      <c r="F123" s="237">
        <v>19408.7</v>
      </c>
      <c r="G123" s="112">
        <f t="shared" si="9"/>
        <v>309.72999999999956</v>
      </c>
      <c r="H123" s="99">
        <f>G123+'26'!H123</f>
        <v>-933.29999999999927</v>
      </c>
      <c r="I123" s="165"/>
      <c r="J123" s="328">
        <f>H123/DAY(B2)</f>
        <v>-34.566666666666642</v>
      </c>
    </row>
    <row r="124" spans="1:18" ht="29.25" customHeight="1">
      <c r="A124" s="929"/>
      <c r="B124" s="930"/>
      <c r="C124" s="931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3578.7199999999821</v>
      </c>
      <c r="H125" s="156"/>
      <c r="I125" s="327">
        <f>G125-(G39+G53)</f>
        <v>642.24000000000069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'26'!F128</f>
        <v>109696.97</v>
      </c>
      <c r="F128" s="155">
        <v>110244</v>
      </c>
      <c r="G128" s="112">
        <f t="shared" ref="G128:G134" si="10">F128-E128</f>
        <v>547.02999999999884</v>
      </c>
      <c r="H128" s="99">
        <f>G128+'26'!H128</f>
        <v>-1631.8600000000006</v>
      </c>
      <c r="I128" s="165"/>
      <c r="J128" s="328">
        <f>H128/DAY(B2)</f>
        <v>-60.439259259259281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65969</v>
      </c>
      <c r="F129" s="155">
        <v>66132.87</v>
      </c>
      <c r="G129" s="112">
        <f t="shared" si="10"/>
        <v>163.86999999999534</v>
      </c>
      <c r="H129" s="99">
        <f>G129+'26'!H129</f>
        <v>-568.91000000000349</v>
      </c>
      <c r="I129" s="165"/>
      <c r="J129" s="328">
        <f>H129/DAY(B2)</f>
        <v>-21.07074074074087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138682.12</v>
      </c>
      <c r="F130" s="155">
        <v>139394.23999999999</v>
      </c>
      <c r="G130" s="112">
        <f t="shared" si="10"/>
        <v>712.11999999999534</v>
      </c>
      <c r="H130" s="99">
        <f>G130+'26'!H130</f>
        <v>-2903.679999999993</v>
      </c>
      <c r="I130" s="165"/>
      <c r="J130" s="328">
        <f>H130/DAY(B2)</f>
        <v>-107.54370370370344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'26'!F131</f>
        <v>41749.199999999997</v>
      </c>
      <c r="F131" s="155">
        <v>41993.7</v>
      </c>
      <c r="G131" s="112">
        <f t="shared" si="10"/>
        <v>244.5</v>
      </c>
      <c r="H131" s="99">
        <f>G131+'26'!H131</f>
        <v>-624.5</v>
      </c>
      <c r="I131" s="165"/>
      <c r="J131" s="328">
        <f>H131/DAY(B2)</f>
        <v>-23.12962962962963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'26'!F132</f>
        <v>114475.89</v>
      </c>
      <c r="F132" s="155">
        <v>114943.09</v>
      </c>
      <c r="G132" s="112">
        <f t="shared" si="10"/>
        <v>467.19999999999709</v>
      </c>
      <c r="H132" s="99">
        <f>G132+'26'!H132</f>
        <v>-1347.9100000000035</v>
      </c>
      <c r="I132" s="165"/>
      <c r="J132" s="328">
        <f>H132/DAY(B2)</f>
        <v>-49.922592592592721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'26'!F133</f>
        <v>220668.99</v>
      </c>
      <c r="F133" s="155">
        <v>221271.25</v>
      </c>
      <c r="G133" s="112">
        <f t="shared" si="10"/>
        <v>602.26000000000931</v>
      </c>
      <c r="H133" s="99">
        <f>G133+'26'!H133</f>
        <v>5460.679999999993</v>
      </c>
      <c r="I133" s="165"/>
      <c r="J133" s="328">
        <f>H133/DAY(B2)</f>
        <v>202.24740740740714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'26'!F134</f>
        <v>40956.47</v>
      </c>
      <c r="F134" s="155">
        <v>41166.76</v>
      </c>
      <c r="G134" s="112">
        <f t="shared" si="10"/>
        <v>210.29000000000087</v>
      </c>
      <c r="H134" s="99">
        <f>G134+'26'!H134</f>
        <v>-578.23999999999796</v>
      </c>
      <c r="I134" s="165"/>
      <c r="J134" s="328">
        <f>H134/DAY(B2)</f>
        <v>-21.41629629629622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2947.2699999999968</v>
      </c>
      <c r="H135" s="99">
        <f>G135+'23'!H135</f>
        <v>33572.469999999987</v>
      </c>
      <c r="I135" s="327">
        <f>G135-(G35+G49)</f>
        <v>-586.29000000000087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'26'!F138</f>
        <v>886769</v>
      </c>
      <c r="F138" s="147">
        <v>886862</v>
      </c>
      <c r="G138" s="112">
        <f t="shared" ref="G138:G152" si="11">F138-E138</f>
        <v>93</v>
      </c>
      <c r="H138" s="99">
        <f>G138+'26'!H138</f>
        <v>-362</v>
      </c>
      <c r="I138" s="118"/>
      <c r="J138" s="328">
        <f>H138/DAY(B2)</f>
        <v>-13.407407407407407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'26'!F139</f>
        <v>903435</v>
      </c>
      <c r="F139" s="148">
        <v>903573</v>
      </c>
      <c r="G139" s="112">
        <f t="shared" si="11"/>
        <v>138</v>
      </c>
      <c r="H139" s="99">
        <f>G139+'26'!H139</f>
        <v>-517</v>
      </c>
      <c r="I139" s="118"/>
      <c r="J139" s="328">
        <f>H139/DAY(B2)</f>
        <v>-19.148148148148149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'26'!F140</f>
        <v>1003.8</v>
      </c>
      <c r="F140" s="149">
        <v>1018.77</v>
      </c>
      <c r="G140" s="112">
        <f t="shared" si="11"/>
        <v>14.970000000000027</v>
      </c>
      <c r="H140" s="99">
        <f>G140+'26'!H140</f>
        <v>-87986.87999999999</v>
      </c>
      <c r="I140" s="118"/>
      <c r="J140" s="328">
        <f>H140/DAY(B2)</f>
        <v>-3258.7733333333331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'26'!F141</f>
        <v>83291.710000000006</v>
      </c>
      <c r="F141" s="149">
        <v>83480.149999999994</v>
      </c>
      <c r="G141" s="112">
        <f t="shared" si="11"/>
        <v>188.43999999998778</v>
      </c>
      <c r="H141" s="99">
        <f>G141+'26'!H141</f>
        <v>-635.05000000000291</v>
      </c>
      <c r="I141" s="118"/>
      <c r="J141" s="328">
        <f>H141/DAY(B2)</f>
        <v>-23.520370370370479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'26'!F142</f>
        <v>34076.699999999997</v>
      </c>
      <c r="F142" s="148">
        <v>34149.279999999999</v>
      </c>
      <c r="G142" s="112">
        <f t="shared" si="11"/>
        <v>72.580000000001746</v>
      </c>
      <c r="H142" s="99">
        <f>G142+'26'!H142</f>
        <v>-236.19000000000233</v>
      </c>
      <c r="I142" s="140"/>
      <c r="J142" s="328">
        <f>H142/DAY(B2)</f>
        <v>-8.7477777777778645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'26'!F143</f>
        <v>8044.2</v>
      </c>
      <c r="F143" s="149">
        <v>8072.18</v>
      </c>
      <c r="G143" s="112">
        <f t="shared" si="11"/>
        <v>27.980000000000473</v>
      </c>
      <c r="H143" s="99">
        <f>G143+'26'!H143</f>
        <v>-86.139999999999418</v>
      </c>
      <c r="I143" s="140"/>
      <c r="J143" s="328">
        <f>H143/DAY(B2)</f>
        <v>-3.1903703703703488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'26'!F144</f>
        <v>911321</v>
      </c>
      <c r="F144" s="149">
        <v>911555</v>
      </c>
      <c r="G144" s="112">
        <f t="shared" si="11"/>
        <v>234</v>
      </c>
      <c r="H144" s="99">
        <f>G144+'26'!H144</f>
        <v>-722</v>
      </c>
      <c r="I144" s="140"/>
      <c r="J144" s="328">
        <f>H144/DAY(B2)</f>
        <v>-26.74074074074074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'26'!F145</f>
        <v>5666.55</v>
      </c>
      <c r="F145" s="148">
        <v>5666.55</v>
      </c>
      <c r="G145" s="112">
        <f t="shared" si="11"/>
        <v>0</v>
      </c>
      <c r="H145" s="99">
        <f>G145+'26'!H145</f>
        <v>-1.0000000000218279E-2</v>
      </c>
      <c r="I145" s="140"/>
      <c r="J145" s="328">
        <f>H145/DAY(B2)</f>
        <v>-3.7037037037845476E-4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'26'!F146</f>
        <v>779151</v>
      </c>
      <c r="F146" s="148">
        <v>779189</v>
      </c>
      <c r="G146" s="112">
        <f t="shared" si="11"/>
        <v>38</v>
      </c>
      <c r="H146" s="99">
        <f>G146+'26'!H146</f>
        <v>-139</v>
      </c>
      <c r="I146" s="140"/>
      <c r="J146" s="328">
        <f>H146/DAY(B2)</f>
        <v>-5.1481481481481479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'26'!F147</f>
        <v>685925</v>
      </c>
      <c r="F147" s="148">
        <v>686295</v>
      </c>
      <c r="G147" s="112">
        <f t="shared" si="11"/>
        <v>370</v>
      </c>
      <c r="H147" s="99">
        <f>G147+'26'!H147</f>
        <v>-1231.1600000000326</v>
      </c>
      <c r="I147" s="140"/>
      <c r="J147" s="328">
        <f>H147/DAY(B2)</f>
        <v>-45.598518518519725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'26'!F148</f>
        <v>737763.04</v>
      </c>
      <c r="F148" s="150">
        <v>737980.56</v>
      </c>
      <c r="G148" s="112">
        <f t="shared" si="11"/>
        <v>217.52000000001863</v>
      </c>
      <c r="H148" s="99">
        <f>G148+'26'!H148</f>
        <v>-966.71999999997206</v>
      </c>
      <c r="I148" s="124"/>
      <c r="J148" s="328">
        <f>H148/DAY(B2)</f>
        <v>-35.804444444443412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'26'!F149</f>
        <v>114805.65</v>
      </c>
      <c r="F149" s="146">
        <v>115231.67999999999</v>
      </c>
      <c r="G149" s="112">
        <f t="shared" si="11"/>
        <v>426.02999999999884</v>
      </c>
      <c r="H149" s="99">
        <f>G149+'26'!H149</f>
        <v>-1301.1200000000099</v>
      </c>
      <c r="I149" s="119"/>
      <c r="J149" s="328">
        <f>H149/DAY(B2)</f>
        <v>-48.189629629629998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'26'!F150</f>
        <v>42866.9</v>
      </c>
      <c r="F150" s="233">
        <v>43079.8</v>
      </c>
      <c r="G150" s="112">
        <f t="shared" si="11"/>
        <v>212.90000000000146</v>
      </c>
      <c r="H150" s="99">
        <f>G150+'26'!H150</f>
        <v>-645.36000000000058</v>
      </c>
      <c r="I150" s="119"/>
      <c r="J150" s="328">
        <f>H150/DAY(B2)</f>
        <v>-23.902222222222242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'26'!F151</f>
        <v>125511</v>
      </c>
      <c r="F151" s="233">
        <v>125767</v>
      </c>
      <c r="G151" s="112">
        <f t="shared" si="11"/>
        <v>256</v>
      </c>
      <c r="H151" s="99">
        <f>G151+'26'!H151</f>
        <v>-836</v>
      </c>
      <c r="I151" s="119"/>
      <c r="J151" s="328">
        <f>H151/DAY(B2)</f>
        <v>-30.962962962962962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'26'!F152</f>
        <v>18783.3</v>
      </c>
      <c r="F152" s="233">
        <v>18911.63</v>
      </c>
      <c r="G152" s="112">
        <f t="shared" si="11"/>
        <v>128.33000000000175</v>
      </c>
      <c r="H152" s="99">
        <f>G152+'26'!H152</f>
        <v>-376.45000000000073</v>
      </c>
      <c r="I152" s="119"/>
      <c r="J152" s="328">
        <f>H152/DAY(B2)</f>
        <v>-13.94259259259262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2417.7500000000109</v>
      </c>
      <c r="H153" s="363"/>
      <c r="I153" s="119">
        <f>G153-(G38+G52)</f>
        <v>356.83000000002721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'26'!F155</f>
        <v>127996.4</v>
      </c>
      <c r="F155" s="389">
        <v>128621</v>
      </c>
      <c r="G155" s="112">
        <f t="shared" ref="G155:G158" si="12">F155-E155</f>
        <v>624.60000000000582</v>
      </c>
      <c r="H155" s="99">
        <f>G155+'26'!H155</f>
        <v>-1620.3800000000047</v>
      </c>
      <c r="I155" s="364"/>
      <c r="J155" s="328">
        <f>H155/DAY(B2)</f>
        <v>-60.014074074074244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'26'!F156</f>
        <v>11764.33</v>
      </c>
      <c r="F156" s="155">
        <v>11844</v>
      </c>
      <c r="G156" s="112">
        <f t="shared" si="12"/>
        <v>79.670000000000073</v>
      </c>
      <c r="H156" s="99">
        <f>G156+'26'!H156</f>
        <v>-249.36000000000058</v>
      </c>
      <c r="I156" s="165"/>
      <c r="J156" s="328">
        <f>H156/DAY(B2)</f>
        <v>-9.2355555555555764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'26'!F157</f>
        <v>22493</v>
      </c>
      <c r="F157" s="155">
        <v>22643.51</v>
      </c>
      <c r="G157" s="112">
        <f t="shared" si="12"/>
        <v>150.5099999999984</v>
      </c>
      <c r="H157" s="99">
        <f>G157+'26'!H157</f>
        <v>1252.5099999999984</v>
      </c>
      <c r="I157" s="165"/>
      <c r="J157" s="328">
        <f>H157/DAY(B2)</f>
        <v>46.389259259259198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'26'!F158</f>
        <v>192.23</v>
      </c>
      <c r="F158" s="155">
        <v>193.3</v>
      </c>
      <c r="G158" s="112">
        <f t="shared" si="12"/>
        <v>1.0700000000000216</v>
      </c>
      <c r="H158" s="99">
        <f>G158+'26'!H158</f>
        <v>3.3000000000000114</v>
      </c>
      <c r="I158" s="165"/>
      <c r="J158" s="328">
        <f>H158/DAY(B2)</f>
        <v>0.12222222222222265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477563.96</v>
      </c>
      <c r="F161" s="235">
        <v>477571.56</v>
      </c>
      <c r="G161" s="238">
        <f t="shared" ref="G161:G165" si="13">F161-E161</f>
        <v>7.5999999999767169</v>
      </c>
      <c r="H161" s="99">
        <f>G161+'26'!H161</f>
        <v>905.55999999999767</v>
      </c>
      <c r="I161" s="236"/>
      <c r="J161" s="239">
        <f>H161/DAY(B2)</f>
        <v>33.539259259259175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93646.399999999994</v>
      </c>
      <c r="F162" s="235">
        <v>93673.5</v>
      </c>
      <c r="G162" s="238">
        <f t="shared" si="13"/>
        <v>27.100000000005821</v>
      </c>
      <c r="H162" s="99">
        <f>G162+'26'!H162</f>
        <v>-131.80000000000291</v>
      </c>
      <c r="I162" s="236"/>
      <c r="J162" s="239">
        <f>H162/DAY(B2)</f>
        <v>-4.8814814814815897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1371.6</v>
      </c>
      <c r="F163" s="235">
        <v>1535.9</v>
      </c>
      <c r="G163" s="238">
        <f t="shared" si="13"/>
        <v>164.30000000000018</v>
      </c>
      <c r="H163" s="99">
        <f>G163+'26'!H163</f>
        <v>99504.800000000017</v>
      </c>
      <c r="I163" s="236"/>
      <c r="J163" s="239">
        <f>H163/DAY(B2)</f>
        <v>3685.3629629629636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5849.4</v>
      </c>
      <c r="F164" s="235">
        <v>5860.8</v>
      </c>
      <c r="G164" s="238">
        <f t="shared" si="13"/>
        <v>11.400000000000546</v>
      </c>
      <c r="H164" s="99">
        <f>G164+'26'!H164</f>
        <v>-37.599999999999454</v>
      </c>
      <c r="I164" s="236"/>
      <c r="J164" s="239">
        <f>H164/DAY(B2)</f>
        <v>-1.3925925925925724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31297.75</v>
      </c>
      <c r="F165" s="235">
        <v>31310.23</v>
      </c>
      <c r="G165" s="238">
        <f t="shared" si="13"/>
        <v>12.479999999999563</v>
      </c>
      <c r="H165" s="99">
        <f>G165+'26'!H165</f>
        <v>-36.420000000001892</v>
      </c>
      <c r="I165" s="236"/>
      <c r="J165" s="239">
        <f>H165/DAY(B2)</f>
        <v>-1.348888888888959</v>
      </c>
    </row>
    <row r="166" spans="1:10" ht="26.25">
      <c r="A166" s="935"/>
      <c r="B166" s="935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'26'!F173</f>
        <v>8229</v>
      </c>
      <c r="F173" s="155">
        <v>8229</v>
      </c>
      <c r="G173" s="155">
        <f>F173-E173</f>
        <v>0</v>
      </c>
      <c r="H173" s="99">
        <f>G173+'26'!H173</f>
        <v>47</v>
      </c>
      <c r="I173" s="155"/>
      <c r="J173" s="178">
        <f>H173/DAY(B2)</f>
        <v>1.7407407407407407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'26'!F174</f>
        <v>40721</v>
      </c>
      <c r="F174" s="157">
        <v>40735</v>
      </c>
      <c r="G174" s="155">
        <f t="shared" ref="G174:G175" si="14">F174-E174</f>
        <v>14</v>
      </c>
      <c r="H174" s="99">
        <f>G174+'26'!H174</f>
        <v>-44</v>
      </c>
      <c r="I174" s="155"/>
      <c r="J174" s="178">
        <f>H174/DAY(B2)</f>
        <v>-1.6296296296296295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'26'!F175</f>
        <v>23609</v>
      </c>
      <c r="F175" s="155">
        <v>23620</v>
      </c>
      <c r="G175" s="155">
        <f t="shared" si="14"/>
        <v>11</v>
      </c>
      <c r="H175" s="99">
        <f>G175+'26'!H175</f>
        <v>-36</v>
      </c>
      <c r="I175" s="155"/>
      <c r="J175" s="178">
        <f>H175/DAY(B2)</f>
        <v>-1.3333333333333333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G176+'26'!H176</f>
        <v>-33</v>
      </c>
      <c r="I176" s="155"/>
      <c r="J176" s="178">
        <f>H176/DAY(B2)</f>
        <v>-1.2222222222222223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'26'!F178</f>
        <v>94454</v>
      </c>
      <c r="F178" s="155">
        <v>94521</v>
      </c>
      <c r="G178" s="155">
        <f>F178-E178</f>
        <v>67</v>
      </c>
      <c r="H178" s="99">
        <f>G178+'26'!H178</f>
        <v>2435</v>
      </c>
      <c r="I178" s="155"/>
      <c r="J178" s="178">
        <f>H178/DAY(B2)</f>
        <v>90.18518518518519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'26'!F179</f>
        <v>36002</v>
      </c>
      <c r="F179" s="155">
        <v>36002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'26'!F180</f>
        <v>6855</v>
      </c>
      <c r="F180" s="155">
        <v>6860</v>
      </c>
      <c r="G180" s="155">
        <f t="shared" si="15"/>
        <v>5</v>
      </c>
      <c r="H180" s="99">
        <f>G180+'26'!H180</f>
        <v>-22</v>
      </c>
      <c r="I180" s="155"/>
      <c r="J180" s="178">
        <f>H180/DAY(B2)</f>
        <v>-0.81481481481481477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72</v>
      </c>
      <c r="H181" s="99">
        <f>G181+'26'!H181</f>
        <v>2413</v>
      </c>
      <c r="I181" s="155"/>
      <c r="J181" s="178">
        <f>H181/DAY(B2)</f>
        <v>89.370370370370367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'26'!F183</f>
        <v>17248</v>
      </c>
      <c r="F183" s="157">
        <v>17257</v>
      </c>
      <c r="G183" s="157">
        <f>F183-E183</f>
        <v>9</v>
      </c>
      <c r="H183" s="99">
        <f>G183+'26'!H183</f>
        <v>-18</v>
      </c>
      <c r="I183" s="155"/>
      <c r="J183" s="178">
        <f>H183/DAY(B2)</f>
        <v>-0.66666666666666663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'26'!F184</f>
        <v>11663</v>
      </c>
      <c r="F184" s="157">
        <v>11673</v>
      </c>
      <c r="G184" s="157">
        <f t="shared" ref="G184:G185" si="16">F184-E184</f>
        <v>10</v>
      </c>
      <c r="H184" s="99">
        <f>G184+'26'!H184</f>
        <v>-16</v>
      </c>
      <c r="I184" s="155"/>
      <c r="J184" s="178">
        <f>H184/DAY(B2)</f>
        <v>-0.59259259259259256</v>
      </c>
    </row>
    <row r="185" spans="1:10" ht="25.5" customHeight="1">
      <c r="A185" s="893" t="s">
        <v>216</v>
      </c>
      <c r="B185" s="894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19</v>
      </c>
      <c r="H186" s="99">
        <f>G186+'26'!H186</f>
        <v>-34</v>
      </c>
      <c r="I186" s="157"/>
      <c r="J186" s="178">
        <f>H186/DAY(B2)</f>
        <v>-1.2592592592592593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'26'!F187</f>
        <v>0</v>
      </c>
      <c r="F187" s="159"/>
      <c r="G187" s="378">
        <f>G62+G19</f>
        <v>135</v>
      </c>
      <c r="H187" s="99">
        <f>G187+'26'!H187</f>
        <v>353</v>
      </c>
      <c r="I187" s="158"/>
      <c r="J187" s="179">
        <f>H187/DAY(B2)</f>
        <v>13.074074074074074</v>
      </c>
    </row>
    <row r="188" spans="1:10" ht="25.5">
      <c r="A188" s="943" t="s">
        <v>218</v>
      </c>
      <c r="B188" s="944"/>
      <c r="C188" s="333"/>
      <c r="D188" s="228" t="s">
        <v>142</v>
      </c>
      <c r="E188" s="95">
        <f>'26'!F188</f>
        <v>0</v>
      </c>
      <c r="F188" s="159"/>
      <c r="G188" s="378">
        <f>G65+G66+G67+G69+G70</f>
        <v>110</v>
      </c>
      <c r="H188" s="99">
        <f>G188+'26'!H188</f>
        <v>1838</v>
      </c>
      <c r="I188" s="158"/>
      <c r="J188" s="179">
        <f>H188/DAY(B2)</f>
        <v>68.074074074074076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'26'!F189</f>
        <v>0</v>
      </c>
      <c r="F189" s="157"/>
      <c r="G189" s="377">
        <f>G181</f>
        <v>72</v>
      </c>
      <c r="H189" s="99">
        <f>G189+'26'!H189</f>
        <v>845</v>
      </c>
      <c r="I189" s="158"/>
      <c r="J189" s="179">
        <f>H189/DAY(B2)</f>
        <v>31.296296296296298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21" zoomScale="55" zoomScaleNormal="80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44740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1256532.47</v>
      </c>
      <c r="F7" s="95">
        <f>E7+27500</f>
        <v>1284032.47</v>
      </c>
      <c r="G7" s="112">
        <f>F7-E7</f>
        <v>27500</v>
      </c>
      <c r="H7" s="99">
        <f>G7+'27'!H7</f>
        <v>761067.97</v>
      </c>
      <c r="I7" s="113">
        <f>'1'!I7</f>
        <v>12000</v>
      </c>
      <c r="J7" s="175">
        <f>H7/DAY(B2)</f>
        <v>27180.998928571429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1394254.65</v>
      </c>
      <c r="F8" s="95">
        <f>E8+27000</f>
        <v>1421254.65</v>
      </c>
      <c r="G8" s="115">
        <f>F8-E8</f>
        <v>27000</v>
      </c>
      <c r="H8" s="99">
        <f>G8+'27'!H8</f>
        <v>759465.64999999991</v>
      </c>
      <c r="I8" s="116"/>
      <c r="J8" s="175">
        <f>H8/DAY(B2)</f>
        <v>27123.773214285709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26800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2877869.1</v>
      </c>
      <c r="F9" s="469">
        <v>2892567.5</v>
      </c>
      <c r="G9" s="112">
        <f>F9-E9</f>
        <v>14698.399999999907</v>
      </c>
      <c r="H9" s="99">
        <f>G9+'27'!H9</f>
        <v>-25081.600000000093</v>
      </c>
      <c r="I9" s="124">
        <f>I7-J7</f>
        <v>-15180.998928571429</v>
      </c>
      <c r="J9" s="175">
        <f>H9/DAY(B2)</f>
        <v>-895.7714285714319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1197214.5</v>
      </c>
      <c r="F10" s="353">
        <v>1209623.5</v>
      </c>
      <c r="G10" s="112">
        <f t="shared" ref="G10:G12" si="0">F10-E10</f>
        <v>12409</v>
      </c>
      <c r="H10" s="99">
        <f>G10+'27'!H10</f>
        <v>-26063.129999999888</v>
      </c>
      <c r="I10" s="282"/>
      <c r="J10" s="175">
        <f>H10/DAY(B2)</f>
        <v>-930.82607142856739</v>
      </c>
      <c r="K10" s="79"/>
      <c r="L10" s="66"/>
      <c r="N10" s="87"/>
      <c r="O10" s="71">
        <f>F7-O8</f>
        <v>1257232.47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700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27107.399999999907</v>
      </c>
      <c r="H13" s="99">
        <f>G13+'27'!H13</f>
        <v>-49415.799999999814</v>
      </c>
      <c r="I13" s="120">
        <f>G7-G13</f>
        <v>392.60000000009313</v>
      </c>
      <c r="J13" s="175">
        <f>H13/DAY(B2)</f>
        <v>-1764.8499999999933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'27'!F15</f>
        <v>2095461.24</v>
      </c>
      <c r="F15" s="469">
        <f>E15+1000</f>
        <v>2096461.24</v>
      </c>
      <c r="G15" s="112">
        <f>(F15-E15)</f>
        <v>1000</v>
      </c>
      <c r="H15" s="99">
        <f>G15+'27'!H15</f>
        <v>28382.830000000075</v>
      </c>
      <c r="I15" s="113">
        <f>'1'!I15</f>
        <v>800</v>
      </c>
      <c r="J15" s="175">
        <f>H15/DAY(B2)</f>
        <v>1013.6725000000026</v>
      </c>
      <c r="K15" s="79"/>
      <c r="L15" s="66"/>
      <c r="N15" s="87"/>
      <c r="O15" s="71">
        <f>G8-200</f>
        <v>26800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-213.67250000000263</v>
      </c>
      <c r="J16" s="176"/>
      <c r="K16" s="79"/>
      <c r="L16" s="66"/>
      <c r="N16" s="87"/>
      <c r="O16" s="71"/>
    </row>
    <row r="17" spans="1:16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71" t="s">
        <v>141</v>
      </c>
      <c r="B18" s="872"/>
      <c r="C18" s="873"/>
      <c r="D18" s="151" t="s">
        <v>142</v>
      </c>
      <c r="E18" s="95">
        <f>'27'!F18</f>
        <v>16</v>
      </c>
      <c r="F18" s="122">
        <v>14</v>
      </c>
      <c r="G18" s="119">
        <f>F18*10</f>
        <v>140</v>
      </c>
      <c r="H18" s="99">
        <f>G18+'27'!H18</f>
        <v>5110</v>
      </c>
      <c r="I18" s="113">
        <f>'1'!I18</f>
        <v>65</v>
      </c>
      <c r="J18" s="175">
        <f>H18/DAY(B2)</f>
        <v>182.5</v>
      </c>
      <c r="K18" s="79"/>
      <c r="L18" s="66"/>
      <c r="N18" s="87"/>
      <c r="O18" s="71"/>
    </row>
    <row r="19" spans="1:16" ht="25.5">
      <c r="A19" s="871" t="s">
        <v>69</v>
      </c>
      <c r="B19" s="872"/>
      <c r="C19" s="873"/>
      <c r="D19" s="151" t="s">
        <v>142</v>
      </c>
      <c r="E19" s="95">
        <f>'27'!F19</f>
        <v>160687</v>
      </c>
      <c r="F19" s="122">
        <v>160735</v>
      </c>
      <c r="G19" s="112">
        <f t="shared" ref="G19" si="1">F19-E19</f>
        <v>48</v>
      </c>
      <c r="H19" s="99">
        <f>G19+'27'!H19</f>
        <v>681</v>
      </c>
      <c r="I19" s="335"/>
      <c r="J19" s="175">
        <f>H19/DAY(B2)</f>
        <v>24.321428571428573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188</v>
      </c>
      <c r="H20" s="99">
        <f>G20+'27'!H20</f>
        <v>5791</v>
      </c>
      <c r="I20" s="336">
        <f>I18-J20</f>
        <v>-141.82142857142858</v>
      </c>
      <c r="J20" s="175">
        <f>H20/DAY(B2)</f>
        <v>206.82142857142858</v>
      </c>
      <c r="K20" s="79"/>
      <c r="L20" s="66"/>
      <c r="N20" s="87"/>
      <c r="O20" s="71"/>
    </row>
    <row r="21" spans="1:16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G27+'27'!H27</f>
        <v>6835190.8499999996</v>
      </c>
      <c r="I27" s="138"/>
      <c r="J27" s="175">
        <f>H27/DAY(B2)</f>
        <v>244113.9589285714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G28+'27'!H28</f>
        <v>1950798.1000000052</v>
      </c>
      <c r="I28" s="140"/>
      <c r="J28" s="175">
        <f>H28/DAY(B2)</f>
        <v>69671.360714285896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G30+'27'!H30</f>
        <v>102566</v>
      </c>
      <c r="I30" s="140"/>
      <c r="J30" s="175">
        <f>H30/DAY(B2)</f>
        <v>3663.0714285714284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G31+'27'!H31</f>
        <v>408800</v>
      </c>
      <c r="I31" s="140"/>
      <c r="J31" s="175">
        <f>H31/DAY(B2)</f>
        <v>14600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331448</v>
      </c>
      <c r="H32" s="99">
        <f>G32+'27'!H32</f>
        <v>9297354.9500000048</v>
      </c>
      <c r="I32" s="144"/>
      <c r="J32" s="175">
        <f>H32/DAY(B2)</f>
        <v>332048.39107142872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184111.13</v>
      </c>
      <c r="F36" s="145">
        <v>185001.79</v>
      </c>
      <c r="G36" s="112">
        <f t="shared" si="3"/>
        <v>890.66000000000349</v>
      </c>
      <c r="H36" s="99">
        <f>G36+'27'!H36</f>
        <v>-1918.4400000000023</v>
      </c>
      <c r="I36" s="95"/>
      <c r="J36" s="175">
        <f>H36/DAY(B2)</f>
        <v>-68.515714285714367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281719.25</v>
      </c>
      <c r="F37" s="145">
        <v>283306.46999999997</v>
      </c>
      <c r="G37" s="112">
        <f t="shared" si="3"/>
        <v>1587.2199999999721</v>
      </c>
      <c r="H37" s="99">
        <f>G37+'27'!H37</f>
        <v>-3412.5200000000186</v>
      </c>
      <c r="I37" s="95"/>
      <c r="J37" s="175">
        <f>H37/DAY(B2)</f>
        <v>-121.87571428571495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380139.35</v>
      </c>
      <c r="F38" s="108">
        <v>382311.79</v>
      </c>
      <c r="G38" s="112">
        <f t="shared" si="3"/>
        <v>2172.4400000000023</v>
      </c>
      <c r="H38" s="99">
        <f>G38+'27'!H38</f>
        <v>-4351.5599999999977</v>
      </c>
      <c r="I38" s="95"/>
      <c r="J38" s="175">
        <f>H38/DAY(B2)</f>
        <v>-155.41285714285706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514583.67</v>
      </c>
      <c r="F39" s="145">
        <v>517532.79</v>
      </c>
      <c r="G39" s="112">
        <f t="shared" si="3"/>
        <v>2949.1199999999953</v>
      </c>
      <c r="H39" s="99">
        <f>G39+'27'!H39</f>
        <v>-5847.8000000000466</v>
      </c>
      <c r="I39" s="95"/>
      <c r="J39" s="175">
        <f>H39/DAY(B2)</f>
        <v>-208.85000000000167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82258.11</v>
      </c>
      <c r="F40" s="145">
        <v>82652.98</v>
      </c>
      <c r="G40" s="112">
        <f t="shared" si="3"/>
        <v>394.86999999999534</v>
      </c>
      <c r="H40" s="99">
        <f>G40+'27'!H40</f>
        <v>-1018.1100000000006</v>
      </c>
      <c r="I40" s="95"/>
      <c r="J40" s="175">
        <f>H40/DAY(B2)</f>
        <v>-36.361071428571449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142818.41</v>
      </c>
      <c r="F41" s="145">
        <v>142818.41</v>
      </c>
      <c r="G41" s="112">
        <f t="shared" si="3"/>
        <v>0</v>
      </c>
      <c r="H41" s="99">
        <f>G41+'27'!H41</f>
        <v>1.0000000009313226E-2</v>
      </c>
      <c r="I41" s="95"/>
      <c r="J41" s="175">
        <f>H41/DAY(B2)</f>
        <v>3.5714285747547237E-4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675831.51</v>
      </c>
      <c r="F42" s="145">
        <v>681711.03</v>
      </c>
      <c r="G42" s="112">
        <f t="shared" si="3"/>
        <v>5879.5200000000186</v>
      </c>
      <c r="H42" s="99">
        <f>G42+'27'!H42</f>
        <v>-6921.5200000000186</v>
      </c>
      <c r="I42" s="95"/>
      <c r="J42" s="175">
        <f>H42/DAY(B2)</f>
        <v>-247.19714285714352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13873.799999999959</v>
      </c>
      <c r="H47" s="99">
        <f>G47+'27'!H47</f>
        <v>-23469.940000000046</v>
      </c>
      <c r="I47" s="95"/>
      <c r="J47" s="175">
        <f>H47/DAY(B2)</f>
        <v>-838.2121428571445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357186.19</v>
      </c>
      <c r="F49" s="423">
        <v>360934.35</v>
      </c>
      <c r="G49" s="112">
        <f t="shared" ref="G49:G58" si="4">F49-E49</f>
        <v>3748.1599999999744</v>
      </c>
      <c r="H49" s="99">
        <f>G49+'27'!H49</f>
        <v>-9837.4000000000233</v>
      </c>
      <c r="I49" s="95"/>
      <c r="J49" s="175">
        <f>H49/DAY(B2)</f>
        <v>-351.33571428571514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239547.23</v>
      </c>
      <c r="F50" s="145">
        <v>240619.11</v>
      </c>
      <c r="G50" s="112">
        <f t="shared" si="4"/>
        <v>1071.8799999999756</v>
      </c>
      <c r="H50" s="99">
        <f>G50+'27'!H50</f>
        <v>-2486.2900000000081</v>
      </c>
      <c r="I50" s="95"/>
      <c r="J50" s="175">
        <f>H50/DAY(B2)</f>
        <v>-88.796071428571722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76</v>
      </c>
      <c r="G51" s="112">
        <f t="shared" si="4"/>
        <v>0</v>
      </c>
      <c r="H51" s="99">
        <f>G51+'27'!H51</f>
        <v>0.31999999999999318</v>
      </c>
      <c r="I51" s="95"/>
      <c r="J51" s="175">
        <f>H51/DAY(B2)</f>
        <v>1.1428571428571186E-2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75960.09</v>
      </c>
      <c r="F54" s="145">
        <v>76314.289999999994</v>
      </c>
      <c r="G54" s="112">
        <f t="shared" si="4"/>
        <v>354.19999999999709</v>
      </c>
      <c r="H54" s="99">
        <f>G54+'27'!H54</f>
        <v>-703.2100000000064</v>
      </c>
      <c r="I54" s="95"/>
      <c r="J54" s="175">
        <f>H54/DAY(B2)</f>
        <v>-25.114642857143085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273922</v>
      </c>
      <c r="F55" s="145">
        <v>276839.17</v>
      </c>
      <c r="G55" s="112">
        <f t="shared" si="4"/>
        <v>2917.1699999999837</v>
      </c>
      <c r="H55" s="99">
        <f>G55+'27'!H55</f>
        <v>-7243.7600000000093</v>
      </c>
      <c r="I55" s="95"/>
      <c r="J55" s="175">
        <f>H55/DAY(B2)</f>
        <v>-258.70571428571463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111243.13</v>
      </c>
      <c r="F56" s="145">
        <v>111243.13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122725.4</v>
      </c>
      <c r="F57" s="423">
        <v>125882.34</v>
      </c>
      <c r="G57" s="112">
        <f t="shared" si="4"/>
        <v>3156.9400000000023</v>
      </c>
      <c r="H57" s="99">
        <f>G57+'27'!H57</f>
        <v>-6021.3600000000151</v>
      </c>
      <c r="I57" s="95"/>
      <c r="J57" s="175">
        <f>H57/DAY(B2)</f>
        <v>-215.04857142857196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39438.83</v>
      </c>
      <c r="F58" s="145">
        <v>39722.86</v>
      </c>
      <c r="G58" s="112">
        <f t="shared" si="4"/>
        <v>284.02999999999884</v>
      </c>
      <c r="H58" s="99">
        <f>G58+'27'!H58</f>
        <v>-557.25</v>
      </c>
      <c r="I58" s="95"/>
      <c r="J58" s="175">
        <f>H58/DAY(B2)</f>
        <v>-19.901785714285715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11532.379999999932</v>
      </c>
      <c r="H59" s="99">
        <f>G59+'27'!H59</f>
        <v>-26848.950000000121</v>
      </c>
      <c r="I59" s="95">
        <f>G7-G60</f>
        <v>2093.8200000001088</v>
      </c>
      <c r="J59" s="175">
        <f>H59/DAY(B2)</f>
        <v>-958.89107142857574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25406.179999999891</v>
      </c>
      <c r="H60" s="99">
        <f>G60+'27'!H60</f>
        <v>-50318.890000000174</v>
      </c>
      <c r="I60" s="95">
        <f>G13-G60</f>
        <v>1701.2200000000157</v>
      </c>
      <c r="J60" s="175">
        <f>H60/DAY(B2)</f>
        <v>-1797.1032142857205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'27'!F62</f>
        <v>292418</v>
      </c>
      <c r="F62" s="122">
        <v>292505</v>
      </c>
      <c r="G62" s="112">
        <f t="shared" ref="G62:G63" si="5">F62-E62</f>
        <v>87</v>
      </c>
      <c r="H62" s="99">
        <f>G62+'27'!H62</f>
        <v>-193</v>
      </c>
      <c r="I62" s="118"/>
      <c r="J62" s="175">
        <f>H62/DAY(B2)</f>
        <v>-6.8928571428571432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'27'!F63</f>
        <v>234683</v>
      </c>
      <c r="F63" s="122">
        <v>234791</v>
      </c>
      <c r="G63" s="112">
        <f t="shared" si="5"/>
        <v>108</v>
      </c>
      <c r="H63" s="99">
        <f>G63+'27'!H63</f>
        <v>-275</v>
      </c>
      <c r="I63" s="118"/>
      <c r="J63" s="175">
        <f>H63/DAY(B2)</f>
        <v>-9.8214285714285712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'27'!F64</f>
        <v>0</v>
      </c>
      <c r="F64" s="122">
        <v>0</v>
      </c>
      <c r="G64" s="112">
        <f>G62+G63</f>
        <v>195</v>
      </c>
      <c r="H64" s="99">
        <f>G64+'27'!H64</f>
        <v>-468</v>
      </c>
      <c r="I64" s="118"/>
      <c r="J64" s="175">
        <f>H64/DAY(B2)</f>
        <v>-16.714285714285715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'27'!F65</f>
        <v>451095</v>
      </c>
      <c r="F65" s="122">
        <v>451186</v>
      </c>
      <c r="G65" s="112">
        <f t="shared" ref="G65:G70" si="6">F65-E65</f>
        <v>91</v>
      </c>
      <c r="H65" s="99">
        <f>G65+'27'!H65</f>
        <v>-203</v>
      </c>
      <c r="I65" s="118"/>
      <c r="J65" s="175">
        <f>H65/DAY(B2)</f>
        <v>-7.25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110973</v>
      </c>
      <c r="F66" s="122">
        <v>110989</v>
      </c>
      <c r="G66" s="112">
        <f t="shared" si="6"/>
        <v>16</v>
      </c>
      <c r="H66" s="99">
        <f>G66+'27'!H66</f>
        <v>-38</v>
      </c>
      <c r="I66" s="118"/>
      <c r="J66" s="175">
        <f>H66/DAY(B2)</f>
        <v>-1.3571428571428572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113680</v>
      </c>
      <c r="F67" s="122">
        <v>113680</v>
      </c>
      <c r="G67" s="112">
        <f t="shared" si="6"/>
        <v>0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163449</v>
      </c>
      <c r="F68" s="122">
        <v>163488</v>
      </c>
      <c r="G68" s="112">
        <f t="shared" si="6"/>
        <v>39</v>
      </c>
      <c r="H68" s="99">
        <f>G68+'27'!H68</f>
        <v>-38</v>
      </c>
      <c r="I68" s="118"/>
      <c r="J68" s="175">
        <f>H68/DAY(B2)</f>
        <v>-1.3571428571428572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12113</v>
      </c>
      <c r="F69" s="122">
        <v>12116</v>
      </c>
      <c r="G69" s="112">
        <f t="shared" si="6"/>
        <v>3</v>
      </c>
      <c r="H69" s="99">
        <f>G69+'27'!H69</f>
        <v>-12</v>
      </c>
      <c r="I69" s="118"/>
      <c r="J69" s="175">
        <f>H69/DAY(B2)</f>
        <v>-0.42857142857142855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9494</v>
      </c>
      <c r="F70" s="122">
        <v>9502</v>
      </c>
      <c r="G70" s="112">
        <f t="shared" si="6"/>
        <v>8</v>
      </c>
      <c r="H70" s="99">
        <f>G70+'27'!H70</f>
        <v>-12</v>
      </c>
      <c r="I70" s="118"/>
      <c r="J70" s="175">
        <f>H70/DAY(B2)</f>
        <v>-0.42857142857142855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157</v>
      </c>
      <c r="H71" s="99">
        <f>G71+'27'!H71</f>
        <v>-303</v>
      </c>
      <c r="I71" s="154"/>
      <c r="J71" s="175">
        <f>H71/DAY(B2)</f>
        <v>-10.821428571428571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'27'!F74</f>
        <v>946857.68</v>
      </c>
      <c r="F74" s="117">
        <v>947141.45</v>
      </c>
      <c r="G74" s="112">
        <f t="shared" ref="G74:G78" si="7">F74-E74</f>
        <v>283.76999999990221</v>
      </c>
      <c r="H74" s="99">
        <f>G74+'27'!H74</f>
        <v>-565.75</v>
      </c>
      <c r="I74" s="154"/>
      <c r="J74" s="175">
        <f>H74/DAY(B2)</f>
        <v>-20.205357142857142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'27'!F75</f>
        <v>73586</v>
      </c>
      <c r="F75" s="123">
        <v>73586</v>
      </c>
      <c r="G75" s="112">
        <f t="shared" si="7"/>
        <v>0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'27'!F76</f>
        <v>186602</v>
      </c>
      <c r="F76" s="123">
        <v>186700.33</v>
      </c>
      <c r="G76" s="112">
        <f t="shared" si="7"/>
        <v>98.329999999987194</v>
      </c>
      <c r="H76" s="99">
        <f>G76+'27'!H76</f>
        <v>-190.97000000000116</v>
      </c>
      <c r="I76" s="154"/>
      <c r="J76" s="175">
        <f>H76/DAY(B2)</f>
        <v>-6.8203571428571843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'27'!F77</f>
        <v>48586</v>
      </c>
      <c r="F77" s="123">
        <v>48628.800000000003</v>
      </c>
      <c r="G77" s="112">
        <f t="shared" si="7"/>
        <v>42.80000000000291</v>
      </c>
      <c r="H77" s="99">
        <f>G77+'27'!H77</f>
        <v>-107</v>
      </c>
      <c r="I77" s="154"/>
      <c r="J77" s="175">
        <f>H77/DAY(B2)</f>
        <v>-3.8214285714285716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-1.3999999999996362</v>
      </c>
      <c r="I78" s="118"/>
      <c r="J78" s="175">
        <f>H78/DAY(B2)</f>
        <v>-4.9999999999987006E-2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'27'!F79</f>
        <v>0</v>
      </c>
      <c r="F79" s="123"/>
      <c r="G79" s="112">
        <f>G15-SUM(G74:G78)</f>
        <v>575.10000000010768</v>
      </c>
      <c r="H79" s="99">
        <f>G79+'27'!H79</f>
        <v>29248.75000000008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42275</v>
      </c>
      <c r="F84" s="164">
        <v>42275</v>
      </c>
      <c r="G84" s="112">
        <f t="shared" si="8"/>
        <v>0</v>
      </c>
      <c r="H84" s="99">
        <f>G84+'27'!H84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4826.28</v>
      </c>
      <c r="F85" s="164">
        <v>4850.53</v>
      </c>
      <c r="G85" s="236">
        <f t="shared" si="8"/>
        <v>24.25</v>
      </c>
      <c r="H85" s="99">
        <f>G85+'27'!H85</f>
        <v>-31.480000000000473</v>
      </c>
      <c r="I85" s="573"/>
      <c r="J85" s="175">
        <f>H85/DAY(B2)</f>
        <v>-1.1242857142857312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44785</v>
      </c>
      <c r="F86" s="164">
        <v>44804.56</v>
      </c>
      <c r="G86" s="112">
        <f t="shared" si="8"/>
        <v>19.559999999997672</v>
      </c>
      <c r="H86" s="99">
        <f>G86+'27'!H86</f>
        <v>-47.740000000005239</v>
      </c>
      <c r="I86" s="573"/>
      <c r="J86" s="175">
        <f>H86/DAY(B2)</f>
        <v>-1.705000000000187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35358.050000000003</v>
      </c>
      <c r="F87" s="164">
        <v>35358.050000000003</v>
      </c>
      <c r="G87" s="112">
        <f t="shared" si="8"/>
        <v>0</v>
      </c>
      <c r="H87" s="99">
        <f>G87+'27'!H87</f>
        <v>0</v>
      </c>
      <c r="I87" s="573">
        <f>G84+G85+G86+G87</f>
        <v>43.809999999997672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24277.14</v>
      </c>
      <c r="F88" s="164">
        <v>24277.4</v>
      </c>
      <c r="G88" s="112">
        <f t="shared" si="8"/>
        <v>0.26000000000203727</v>
      </c>
      <c r="H88" s="99">
        <f>G88+'27'!H88</f>
        <v>0.2000000000007276</v>
      </c>
      <c r="I88" s="573"/>
      <c r="J88" s="175">
        <f>H88/DAY(B2)</f>
        <v>7.1428571428831288E-3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27264.55</v>
      </c>
      <c r="F89" s="164">
        <v>27273.8</v>
      </c>
      <c r="G89" s="112">
        <f t="shared" si="8"/>
        <v>9.25</v>
      </c>
      <c r="H89" s="99">
        <f>G89+'27'!H89</f>
        <v>-17.619999999998981</v>
      </c>
      <c r="I89" s="573">
        <f>G88+G89</f>
        <v>9.5100000000020373</v>
      </c>
      <c r="J89" s="175">
        <f>H89/DAY(B2)</f>
        <v>-0.62928571428567792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72295.679999999993</v>
      </c>
      <c r="F90" s="164">
        <v>72306.31</v>
      </c>
      <c r="G90" s="112">
        <f t="shared" si="8"/>
        <v>10.630000000004657</v>
      </c>
      <c r="H90" s="99">
        <f>G90+'27'!H90</f>
        <v>33.630000000004657</v>
      </c>
      <c r="I90" s="573">
        <f>G90</f>
        <v>10.630000000004657</v>
      </c>
      <c r="J90" s="175">
        <f>H90/DAY(B2)</f>
        <v>1.2010714285715949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4122</v>
      </c>
      <c r="F91" s="122">
        <v>4132.04</v>
      </c>
      <c r="G91" s="112">
        <f t="shared" si="8"/>
        <v>10.039999999999964</v>
      </c>
      <c r="H91" s="99">
        <f>G91+'27'!H91</f>
        <v>-6.3999999999996362</v>
      </c>
      <c r="I91" s="592"/>
      <c r="J91" s="175">
        <f>H91/DAY(B2)</f>
        <v>-0.22857142857141557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6501.5</v>
      </c>
      <c r="F92" s="122">
        <v>6501.79</v>
      </c>
      <c r="G92" s="112">
        <f t="shared" si="8"/>
        <v>0.28999999999996362</v>
      </c>
      <c r="H92" s="99">
        <f>G92+'27'!H92</f>
        <v>-13.550000000000182</v>
      </c>
      <c r="I92" s="598">
        <f>G91+G92</f>
        <v>10.329999999999927</v>
      </c>
      <c r="J92" s="175">
        <f>H92/DAY(B2)</f>
        <v>-0.48392857142857792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6905.0699999999488</v>
      </c>
      <c r="H94" s="99">
        <f>G94+'27'!H94</f>
        <v>-15858.760000000038</v>
      </c>
      <c r="I94" s="118"/>
      <c r="J94" s="175">
        <f>H94/DAY(B2)</f>
        <v>-566.3842857142871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0.25109345454545268</v>
      </c>
      <c r="H95" s="99">
        <f>G95+'27'!H95</f>
        <v>-0.48973572644306324</v>
      </c>
      <c r="I95" s="167"/>
      <c r="J95" s="175">
        <f>H95/DAY(B2)</f>
        <v>-1.749056165868083E-2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8796.6900000000023</v>
      </c>
      <c r="H96" s="99">
        <f>G96+'27'!H96</f>
        <v>-14165.270000000048</v>
      </c>
      <c r="I96" s="118"/>
      <c r="J96" s="175">
        <f>H96/DAY(B2)</f>
        <v>-505.90250000000168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0.31987963636363642</v>
      </c>
      <c r="H97" s="99">
        <f>G97+'27'!H97</f>
        <v>-0.43727860945450142</v>
      </c>
      <c r="I97" s="167"/>
      <c r="J97" s="175">
        <f>H97/DAY(B2)</f>
        <v>-1.5617093194803621E-2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2949.1199999999953</v>
      </c>
      <c r="H98" s="99">
        <f>G98+'27'!H98</f>
        <v>-5847.8000000000466</v>
      </c>
      <c r="I98" s="168"/>
      <c r="J98" s="175">
        <f>H98/DAY(B2)</f>
        <v>-208.85000000000167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0.1072407272727271</v>
      </c>
      <c r="H99" s="99">
        <f>G99+'27'!H99</f>
        <v>-0.17485315354511344</v>
      </c>
      <c r="I99" s="168"/>
      <c r="J99" s="175">
        <f>H99/DAY(B2)</f>
        <v>-6.244755483754051E-3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2172.4400000000023</v>
      </c>
      <c r="H100" s="99">
        <f>G100+'27'!H100</f>
        <v>-4351.5599999999904</v>
      </c>
      <c r="I100" s="118"/>
      <c r="J100" s="175">
        <f>H100/DAY(B2)</f>
        <v>-155.41285714285681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7.8997818181818266E-2</v>
      </c>
      <c r="H101" s="99">
        <f>G101+'27'!H101</f>
        <v>-0.12940156223580124</v>
      </c>
      <c r="I101" s="168"/>
      <c r="J101" s="175">
        <f>H101/DAY(B2)</f>
        <v>-4.62148436556433E-3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1962.539999999979</v>
      </c>
      <c r="H102" s="99">
        <f>G102+'27'!H102</f>
        <v>-4404.7300000000105</v>
      </c>
      <c r="I102" s="168"/>
      <c r="J102" s="175">
        <f>H102/DAY(B2)</f>
        <v>-157.31178571428609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7.1365090909090143E-2</v>
      </c>
      <c r="H103" s="99">
        <f>G103+'27'!H103</f>
        <v>-0.13800314884832771</v>
      </c>
      <c r="I103" s="118"/>
      <c r="J103" s="175">
        <f>H103/DAY(B2)</f>
        <v>-4.9286838874402755E-3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1587.2199999999721</v>
      </c>
      <c r="H104" s="99">
        <f>G104+'27'!H104</f>
        <v>-3412.2000000000189</v>
      </c>
      <c r="I104" s="118"/>
      <c r="J104" s="175">
        <f>H104/DAY(B2)</f>
        <v>-121.8642857142864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5.7717090909089892E-2</v>
      </c>
      <c r="H105" s="99">
        <f>G105+'27'!H105</f>
        <v>-0.10328818889932753</v>
      </c>
      <c r="I105" s="187"/>
      <c r="J105" s="188">
        <f>H105/DAY(B2)</f>
        <v>-3.6888638892616974E-3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'27'!F112</f>
        <v>4714.32</v>
      </c>
      <c r="F112" s="237">
        <v>4786.4399999999996</v>
      </c>
      <c r="G112" s="112">
        <f t="shared" ref="G112:G123" si="9">F112-E112</f>
        <v>72.119999999999891</v>
      </c>
      <c r="H112" s="99">
        <f>G112+'27'!H112</f>
        <v>-143.30000000000018</v>
      </c>
      <c r="I112" s="165"/>
      <c r="J112" s="328">
        <f>H112/DAY(B2)</f>
        <v>-5.1178571428571491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'27'!F113</f>
        <v>10210.799999999999</v>
      </c>
      <c r="F113" s="237">
        <v>10354.89</v>
      </c>
      <c r="G113" s="112">
        <f t="shared" si="9"/>
        <v>144.09000000000015</v>
      </c>
      <c r="H113" s="99">
        <f>G113+'27'!H113</f>
        <v>-277.82999999999993</v>
      </c>
      <c r="I113" s="165"/>
      <c r="J113" s="328">
        <f>H113/DAY(B2)</f>
        <v>-9.9224999999999977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'27'!F114</f>
        <v>13522.21</v>
      </c>
      <c r="F114" s="237">
        <v>13752.74</v>
      </c>
      <c r="G114" s="112">
        <f t="shared" si="9"/>
        <v>230.53000000000065</v>
      </c>
      <c r="H114" s="99">
        <f>G114+'27'!H114</f>
        <v>-441.05999999999949</v>
      </c>
      <c r="I114" s="165"/>
      <c r="J114" s="328">
        <f>H114/DAY(B2)</f>
        <v>-15.752142857142839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'27'!F115</f>
        <v>8476.4</v>
      </c>
      <c r="F115" s="237">
        <v>8604.2099999999991</v>
      </c>
      <c r="G115" s="112">
        <f t="shared" si="9"/>
        <v>127.80999999999949</v>
      </c>
      <c r="H115" s="99">
        <f>G115+'27'!H115</f>
        <v>-416.57000000000153</v>
      </c>
      <c r="I115" s="165"/>
      <c r="J115" s="328">
        <f>H115/DAY(B2)</f>
        <v>-14.877500000000055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'27'!F116</f>
        <v>57754.38</v>
      </c>
      <c r="F116" s="237">
        <v>58150.8</v>
      </c>
      <c r="G116" s="112">
        <f t="shared" si="9"/>
        <v>396.42000000000553</v>
      </c>
      <c r="H116" s="99">
        <f>G116+'27'!H116</f>
        <v>-739.75</v>
      </c>
      <c r="I116" s="165"/>
      <c r="J116" s="328">
        <f>H116/DAY(B2)</f>
        <v>-26.419642857142858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'27'!F117</f>
        <v>32081.41</v>
      </c>
      <c r="F117" s="237">
        <v>32377.94</v>
      </c>
      <c r="G117" s="112">
        <f t="shared" si="9"/>
        <v>296.52999999999884</v>
      </c>
      <c r="H117" s="99">
        <f>G117+'27'!H117</f>
        <v>-510.54000000000451</v>
      </c>
      <c r="I117" s="165"/>
      <c r="J117" s="328">
        <f>H117/DAY(B2)</f>
        <v>-18.23357142857159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'27'!F118</f>
        <v>42971.6</v>
      </c>
      <c r="F118" s="237">
        <v>43606.99</v>
      </c>
      <c r="G118" s="112">
        <f t="shared" si="9"/>
        <v>635.38999999999942</v>
      </c>
      <c r="H118" s="99">
        <f>G118+'27'!H118</f>
        <v>-1313.3199999999997</v>
      </c>
      <c r="I118" s="165"/>
      <c r="J118" s="328">
        <f>H118/DAY(B2)</f>
        <v>-46.904285714285706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'27'!F119</f>
        <v>29613</v>
      </c>
      <c r="F119" s="237">
        <v>29861.01</v>
      </c>
      <c r="G119" s="112">
        <f t="shared" si="9"/>
        <v>248.0099999999984</v>
      </c>
      <c r="H119" s="99">
        <f>G119+'27'!H119</f>
        <v>-481.59000000000015</v>
      </c>
      <c r="I119" s="165"/>
      <c r="J119" s="328">
        <f>H119/DAY(B2)</f>
        <v>-17.199642857142862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'27'!F120</f>
        <v>31840.48</v>
      </c>
      <c r="F120" s="237">
        <v>32261.13</v>
      </c>
      <c r="G120" s="112">
        <f t="shared" si="9"/>
        <v>420.65000000000146</v>
      </c>
      <c r="H120" s="99">
        <f>G120+'27'!H120</f>
        <v>-844.42999999999665</v>
      </c>
      <c r="I120" s="165"/>
      <c r="J120" s="328">
        <f>H120/DAY(B2)</f>
        <v>-30.158214285714166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'27'!F121</f>
        <v>38304.6</v>
      </c>
      <c r="F121" s="237">
        <v>38727.129999999997</v>
      </c>
      <c r="G121" s="112">
        <f t="shared" si="9"/>
        <v>422.52999999999884</v>
      </c>
      <c r="H121" s="99">
        <f>G121+'27'!H121</f>
        <v>-860.77000000000407</v>
      </c>
      <c r="I121" s="165"/>
      <c r="J121" s="328">
        <f>H121/DAY(B2)</f>
        <v>-30.741785714285861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'27'!F122</f>
        <v>19114.12</v>
      </c>
      <c r="F122" s="237">
        <v>19398.75</v>
      </c>
      <c r="G122" s="112">
        <f t="shared" si="9"/>
        <v>284.63000000000102</v>
      </c>
      <c r="H122" s="99">
        <f>G122+'27'!H122</f>
        <v>-567.13000000000102</v>
      </c>
      <c r="I122" s="165"/>
      <c r="J122" s="328">
        <f>H122/DAY(B2)</f>
        <v>-20.254642857142894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'27'!F123</f>
        <v>19408.7</v>
      </c>
      <c r="F123" s="237">
        <v>19724</v>
      </c>
      <c r="G123" s="112">
        <f t="shared" si="9"/>
        <v>315.29999999999927</v>
      </c>
      <c r="H123" s="99">
        <f>G123+'27'!H123</f>
        <v>-618</v>
      </c>
      <c r="I123" s="165"/>
      <c r="J123" s="328">
        <f>H123/DAY(B2)</f>
        <v>-22.071428571428573</v>
      </c>
    </row>
    <row r="124" spans="1:18" ht="29.25" customHeight="1">
      <c r="A124" s="929"/>
      <c r="B124" s="930"/>
      <c r="C124" s="931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3594.0100000000029</v>
      </c>
      <c r="H125" s="156"/>
      <c r="I125" s="327">
        <f>G125-(G39+G53)</f>
        <v>644.8900000000076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'27'!F128</f>
        <v>110244</v>
      </c>
      <c r="F128" s="165">
        <v>110852.62</v>
      </c>
      <c r="G128" s="112">
        <f t="shared" ref="G128:G134" si="10">F128-E128</f>
        <v>608.61999999999534</v>
      </c>
      <c r="H128" s="99">
        <f>G128+'27'!H128</f>
        <v>-1023.2400000000052</v>
      </c>
      <c r="I128" s="165"/>
      <c r="J128" s="328">
        <f>H128/DAY(B2)</f>
        <v>-36.544285714285898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66132.87</v>
      </c>
      <c r="F129" s="165">
        <v>66325.52</v>
      </c>
      <c r="G129" s="112">
        <f t="shared" si="10"/>
        <v>192.65000000000873</v>
      </c>
      <c r="H129" s="99">
        <f>G129+'27'!H129</f>
        <v>-376.25999999999476</v>
      </c>
      <c r="I129" s="165"/>
      <c r="J129" s="328">
        <f>H129/DAY(B2)</f>
        <v>-13.437857142856956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139394.23999999999</v>
      </c>
      <c r="F130" s="165">
        <v>140198</v>
      </c>
      <c r="G130" s="112">
        <f t="shared" si="10"/>
        <v>803.76000000000931</v>
      </c>
      <c r="H130" s="99">
        <f>G130+'27'!H130</f>
        <v>-2099.9199999999837</v>
      </c>
      <c r="I130" s="165"/>
      <c r="J130" s="328">
        <f>H130/DAY(B2)</f>
        <v>-74.997142857142279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'27'!F131</f>
        <v>41993.7</v>
      </c>
      <c r="F131" s="165">
        <v>42233</v>
      </c>
      <c r="G131" s="112">
        <f t="shared" si="10"/>
        <v>239.30000000000291</v>
      </c>
      <c r="H131" s="99">
        <f>G131+'27'!H131</f>
        <v>-385.19999999999709</v>
      </c>
      <c r="I131" s="165"/>
      <c r="J131" s="328">
        <f>H131/DAY(B2)</f>
        <v>-13.757142857142753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'27'!F132</f>
        <v>114943.09</v>
      </c>
      <c r="F132" s="165">
        <v>115434.29</v>
      </c>
      <c r="G132" s="112">
        <f t="shared" si="10"/>
        <v>491.19999999999709</v>
      </c>
      <c r="H132" s="99">
        <f>G132+'27'!H132</f>
        <v>-856.7100000000064</v>
      </c>
      <c r="I132" s="165"/>
      <c r="J132" s="328">
        <f>H132/DAY(B2)</f>
        <v>-30.596785714285943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'27'!F133</f>
        <v>221271.25</v>
      </c>
      <c r="F133" s="165">
        <v>221883.71</v>
      </c>
      <c r="G133" s="112">
        <f t="shared" si="10"/>
        <v>612.45999999999185</v>
      </c>
      <c r="H133" s="99">
        <f>G133+'27'!H133</f>
        <v>6073.1399999999849</v>
      </c>
      <c r="I133" s="165"/>
      <c r="J133" s="328">
        <f>H133/DAY(B2)</f>
        <v>216.89785714285659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'27'!F134</f>
        <v>41166.76</v>
      </c>
      <c r="F134" s="158">
        <v>41380.449999999997</v>
      </c>
      <c r="G134" s="112">
        <f t="shared" si="10"/>
        <v>213.68999999999505</v>
      </c>
      <c r="H134" s="99">
        <f>G134+'27'!H134</f>
        <v>-364.55000000000291</v>
      </c>
      <c r="I134" s="165"/>
      <c r="J134" s="328">
        <f>H134/DAY(B2)</f>
        <v>-13.01964285714296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3161.6800000000003</v>
      </c>
      <c r="H135" s="99">
        <f>G135+'23'!H135</f>
        <v>33786.87999999999</v>
      </c>
      <c r="I135" s="327">
        <f>G135-(G35+G49)</f>
        <v>-586.4799999999741</v>
      </c>
      <c r="J135" s="328">
        <f>H135/DAY(B2)</f>
        <v>1206.6742857142854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'27'!F138</f>
        <v>886862</v>
      </c>
      <c r="F138" s="147">
        <v>886943</v>
      </c>
      <c r="G138" s="112">
        <f t="shared" ref="G138:G152" si="11">F138-E138</f>
        <v>81</v>
      </c>
      <c r="H138" s="99">
        <f>G138+'27'!H138</f>
        <v>-281</v>
      </c>
      <c r="I138" s="118"/>
      <c r="J138" s="328">
        <f>H138/DAY(B2)</f>
        <v>-10.035714285714286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'27'!F139</f>
        <v>903573</v>
      </c>
      <c r="F139" s="148">
        <v>903699</v>
      </c>
      <c r="G139" s="112">
        <f t="shared" si="11"/>
        <v>126</v>
      </c>
      <c r="H139" s="99">
        <f>G139+'27'!H139</f>
        <v>-391</v>
      </c>
      <c r="I139" s="118"/>
      <c r="J139" s="328">
        <f>H139/DAY(B2)</f>
        <v>-13.964285714285714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'27'!F140</f>
        <v>1018.77</v>
      </c>
      <c r="F140" s="149">
        <v>1028</v>
      </c>
      <c r="G140" s="112">
        <f t="shared" si="11"/>
        <v>9.2300000000000182</v>
      </c>
      <c r="H140" s="99">
        <f>G140+'27'!H140</f>
        <v>-87977.65</v>
      </c>
      <c r="I140" s="118"/>
      <c r="J140" s="328">
        <f>H140/DAY(B2)</f>
        <v>-3142.0589285714282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'27'!F141</f>
        <v>83480.149999999994</v>
      </c>
      <c r="F141" s="149">
        <v>83688.179999999993</v>
      </c>
      <c r="G141" s="112">
        <f t="shared" si="11"/>
        <v>208.02999999999884</v>
      </c>
      <c r="H141" s="99">
        <f>G141+'27'!H141</f>
        <v>-427.02000000000407</v>
      </c>
      <c r="I141" s="118"/>
      <c r="J141" s="328">
        <f>H141/DAY(B2)</f>
        <v>-15.250714285714432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'27'!F142</f>
        <v>34149.279999999999</v>
      </c>
      <c r="F142" s="148">
        <v>34236.04</v>
      </c>
      <c r="G142" s="112">
        <f t="shared" si="11"/>
        <v>86.760000000002037</v>
      </c>
      <c r="H142" s="99">
        <f>G142+'27'!H142</f>
        <v>-149.43000000000029</v>
      </c>
      <c r="I142" s="140"/>
      <c r="J142" s="328">
        <f>H142/DAY(B2)</f>
        <v>-5.3367857142857247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'27'!F143</f>
        <v>8072.18</v>
      </c>
      <c r="F143" s="149">
        <v>8104.43</v>
      </c>
      <c r="G143" s="112">
        <f t="shared" si="11"/>
        <v>32.25</v>
      </c>
      <c r="H143" s="99">
        <f>G143+'27'!H143</f>
        <v>-53.889999999999418</v>
      </c>
      <c r="I143" s="140"/>
      <c r="J143" s="328">
        <f>H143/DAY(B2)</f>
        <v>-1.9246428571428364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'27'!F144</f>
        <v>911555</v>
      </c>
      <c r="F144" s="148">
        <v>911801</v>
      </c>
      <c r="G144" s="112">
        <f t="shared" si="11"/>
        <v>246</v>
      </c>
      <c r="H144" s="99">
        <f>G144+'27'!H144</f>
        <v>-476</v>
      </c>
      <c r="I144" s="140"/>
      <c r="J144" s="328">
        <f>H144/DAY(B2)</f>
        <v>-17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'27'!F145</f>
        <v>5666.55</v>
      </c>
      <c r="F145" s="149">
        <v>5666.55</v>
      </c>
      <c r="G145" s="112">
        <f t="shared" si="11"/>
        <v>0</v>
      </c>
      <c r="H145" s="99">
        <f>G145+'27'!H145</f>
        <v>-1.0000000000218279E-2</v>
      </c>
      <c r="I145" s="140"/>
      <c r="J145" s="328">
        <f>H145/DAY(B2)</f>
        <v>-3.5714285715065283E-4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'27'!F146</f>
        <v>779189</v>
      </c>
      <c r="F146" s="148">
        <v>779234</v>
      </c>
      <c r="G146" s="112">
        <f t="shared" si="11"/>
        <v>45</v>
      </c>
      <c r="H146" s="99">
        <f>G146+'27'!H146</f>
        <v>-94</v>
      </c>
      <c r="I146" s="140"/>
      <c r="J146" s="328">
        <f>H146/DAY(B2)</f>
        <v>-3.3571428571428572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'27'!F147</f>
        <v>686295</v>
      </c>
      <c r="F147" s="148">
        <v>686807.28</v>
      </c>
      <c r="G147" s="112">
        <f t="shared" si="11"/>
        <v>512.28000000002794</v>
      </c>
      <c r="H147" s="99">
        <f>G147+'27'!H147</f>
        <v>-718.88000000000466</v>
      </c>
      <c r="I147" s="140"/>
      <c r="J147" s="328">
        <f>H147/DAY(B2)</f>
        <v>-25.67428571428588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'27'!F148</f>
        <v>737980.56</v>
      </c>
      <c r="F148" s="150">
        <v>738348.08</v>
      </c>
      <c r="G148" s="112">
        <f t="shared" si="11"/>
        <v>367.51999999990221</v>
      </c>
      <c r="H148" s="99">
        <f>G148+'27'!H148</f>
        <v>-599.20000000006985</v>
      </c>
      <c r="I148" s="124"/>
      <c r="J148" s="328">
        <f>H148/DAY(B2)</f>
        <v>-21.400000000002496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'27'!F149</f>
        <v>115231.67999999999</v>
      </c>
      <c r="F149" s="146">
        <v>115663.74</v>
      </c>
      <c r="G149" s="112">
        <f t="shared" si="11"/>
        <v>432.06000000001222</v>
      </c>
      <c r="H149" s="99">
        <f>G149+'27'!H149</f>
        <v>-869.05999999999767</v>
      </c>
      <c r="I149" s="119"/>
      <c r="J149" s="328">
        <f>H149/DAY(B2)</f>
        <v>-31.03785714285706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'27'!F150</f>
        <v>43079.8</v>
      </c>
      <c r="F150" s="233">
        <v>43298.69</v>
      </c>
      <c r="G150" s="112">
        <f t="shared" si="11"/>
        <v>218.88999999999942</v>
      </c>
      <c r="H150" s="99">
        <f>G150+'27'!H150</f>
        <v>-426.47000000000116</v>
      </c>
      <c r="I150" s="119"/>
      <c r="J150" s="328">
        <f>H150/DAY(B2)</f>
        <v>-15.23107142857147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'27'!F151</f>
        <v>125767</v>
      </c>
      <c r="F151" s="233">
        <v>126047</v>
      </c>
      <c r="G151" s="112">
        <f t="shared" si="11"/>
        <v>280</v>
      </c>
      <c r="H151" s="99">
        <f>G151+'27'!H151</f>
        <v>-556</v>
      </c>
      <c r="I151" s="119"/>
      <c r="J151" s="328">
        <f>H151/DAY(B2)</f>
        <v>-19.857142857142858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'27'!F152</f>
        <v>18911.63</v>
      </c>
      <c r="F152" s="233">
        <v>19041.580000000002</v>
      </c>
      <c r="G152" s="112">
        <f t="shared" si="11"/>
        <v>129.95000000000073</v>
      </c>
      <c r="H152" s="99">
        <f>G152+'27'!H152</f>
        <v>-246.5</v>
      </c>
      <c r="I152" s="119"/>
      <c r="J152" s="328">
        <f>H152/DAY(B2)</f>
        <v>-8.8035714285714288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2774.9699999999434</v>
      </c>
      <c r="H153" s="363"/>
      <c r="I153" s="119">
        <f>G153-(G38+G52)</f>
        <v>602.52999999994108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525">
        <f>'27'!F155</f>
        <v>128621</v>
      </c>
      <c r="F155" s="526">
        <v>129077.43</v>
      </c>
      <c r="G155" s="112">
        <f t="shared" ref="G155:G158" si="12">F155-E155</f>
        <v>456.42999999999302</v>
      </c>
      <c r="H155" s="99">
        <f>G155+'27'!H155</f>
        <v>-1163.9500000000116</v>
      </c>
      <c r="I155" s="364"/>
      <c r="J155" s="328">
        <f>H155/DAY(B2)</f>
        <v>-41.569642857143272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'27'!F156</f>
        <v>11844</v>
      </c>
      <c r="F156" s="155">
        <v>11929.39</v>
      </c>
      <c r="G156" s="112">
        <f t="shared" si="12"/>
        <v>85.389999999999418</v>
      </c>
      <c r="H156" s="99">
        <f>G156+'27'!H156</f>
        <v>-163.97000000000116</v>
      </c>
      <c r="I156" s="165"/>
      <c r="J156" s="328">
        <f>H156/DAY(B2)</f>
        <v>-5.8560714285714699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'27'!F157</f>
        <v>22643.51</v>
      </c>
      <c r="F157" s="157">
        <v>22798.95</v>
      </c>
      <c r="G157" s="112">
        <f t="shared" si="12"/>
        <v>155.44000000000233</v>
      </c>
      <c r="H157" s="99"/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'27'!F158</f>
        <v>193.3</v>
      </c>
      <c r="F158" s="155">
        <v>211.43</v>
      </c>
      <c r="G158" s="112">
        <f t="shared" si="12"/>
        <v>18.129999999999995</v>
      </c>
      <c r="H158" s="99"/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477571.56</v>
      </c>
      <c r="F161" s="235">
        <v>477577</v>
      </c>
      <c r="G161" s="238">
        <f t="shared" ref="G161:G165" si="13">F161-E161</f>
        <v>5.4400000000023283</v>
      </c>
      <c r="H161" s="99">
        <f>G161+'27'!H161</f>
        <v>911</v>
      </c>
      <c r="I161" s="236"/>
      <c r="J161" s="239">
        <f>H161/DAY(B2)</f>
        <v>32.535714285714285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93673.5</v>
      </c>
      <c r="F162" s="235">
        <v>93717.1</v>
      </c>
      <c r="G162" s="238">
        <f t="shared" si="13"/>
        <v>43.600000000005821</v>
      </c>
      <c r="H162" s="99">
        <f>G162+'27'!H162</f>
        <v>-88.19999999999709</v>
      </c>
      <c r="I162" s="236"/>
      <c r="J162" s="239">
        <f>H162/DAY(B2)</f>
        <v>-3.149999999999896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1535.9</v>
      </c>
      <c r="F163" s="235">
        <v>1685.7</v>
      </c>
      <c r="G163" s="238">
        <f t="shared" si="13"/>
        <v>149.79999999999995</v>
      </c>
      <c r="H163" s="99">
        <f>G163+'27'!H163</f>
        <v>99654.60000000002</v>
      </c>
      <c r="I163" s="236"/>
      <c r="J163" s="239">
        <f>H163/DAY(B2)</f>
        <v>3559.0928571428581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5860.8</v>
      </c>
      <c r="F164" s="235">
        <v>5872</v>
      </c>
      <c r="G164" s="238">
        <f t="shared" si="13"/>
        <v>11.199999999999818</v>
      </c>
      <c r="H164" s="99">
        <f>G164+'27'!H164</f>
        <v>-26.399999999999636</v>
      </c>
      <c r="I164" s="236"/>
      <c r="J164" s="239">
        <f>H164/DAY(B2)</f>
        <v>-0.94285714285712985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31310.23</v>
      </c>
      <c r="F165" s="235">
        <v>31322.05</v>
      </c>
      <c r="G165" s="238">
        <f t="shared" si="13"/>
        <v>11.819999999999709</v>
      </c>
      <c r="H165" s="99">
        <f>G165+'27'!H165</f>
        <v>-24.600000000002183</v>
      </c>
      <c r="I165" s="236"/>
      <c r="J165" s="239">
        <f>H165/DAY(B2)</f>
        <v>-0.8785714285715065</v>
      </c>
    </row>
    <row r="166" spans="1:10" ht="26.25">
      <c r="A166" s="935"/>
      <c r="B166" s="935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'27'!F173</f>
        <v>8229</v>
      </c>
      <c r="F173" s="155">
        <v>8229</v>
      </c>
      <c r="G173" s="155">
        <f>F173-E173</f>
        <v>0</v>
      </c>
      <c r="H173" s="99">
        <f>G173+'27'!H173</f>
        <v>47</v>
      </c>
      <c r="I173" s="155"/>
      <c r="J173" s="178">
        <f>H173/DAY(B2)</f>
        <v>1.6785714285714286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'27'!F174</f>
        <v>40735</v>
      </c>
      <c r="F174" s="157">
        <v>40751</v>
      </c>
      <c r="G174" s="155">
        <f t="shared" ref="G174:G175" si="14">F174-E174</f>
        <v>16</v>
      </c>
      <c r="H174" s="99">
        <f>G174+'27'!H174</f>
        <v>-28</v>
      </c>
      <c r="I174" s="155"/>
      <c r="J174" s="178">
        <f>H174/DAY(B2)</f>
        <v>-1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'27'!F175</f>
        <v>23620</v>
      </c>
      <c r="F175" s="155">
        <v>23632</v>
      </c>
      <c r="G175" s="155">
        <f t="shared" si="14"/>
        <v>12</v>
      </c>
      <c r="H175" s="99">
        <f>G175+'27'!H175</f>
        <v>-24</v>
      </c>
      <c r="I175" s="155"/>
      <c r="J175" s="178">
        <f>H175/DAY(B2)</f>
        <v>-0.8571428571428571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G176+'27'!H176</f>
        <v>-5</v>
      </c>
      <c r="I176" s="155"/>
      <c r="J176" s="178">
        <f>H176/DAY(B2)</f>
        <v>-0.17857142857142858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'27'!F178</f>
        <v>94521</v>
      </c>
      <c r="F178" s="155">
        <v>94606</v>
      </c>
      <c r="G178" s="155">
        <f>F178-E178</f>
        <v>85</v>
      </c>
      <c r="H178" s="99">
        <f>G178+'27'!H178</f>
        <v>2520</v>
      </c>
      <c r="I178" s="155"/>
      <c r="J178" s="178">
        <f>H178/DAY(B2)</f>
        <v>90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'27'!F179</f>
        <v>36002</v>
      </c>
      <c r="F179" s="155">
        <v>36002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'27'!F180</f>
        <v>6860</v>
      </c>
      <c r="F180" s="155">
        <v>6873</v>
      </c>
      <c r="G180" s="155">
        <f t="shared" si="15"/>
        <v>13</v>
      </c>
      <c r="H180" s="99">
        <f>G180+'27'!H180</f>
        <v>-9</v>
      </c>
      <c r="I180" s="155"/>
      <c r="J180" s="178">
        <f>H180/DAY(B2)</f>
        <v>-0.32142857142857145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98</v>
      </c>
      <c r="H181" s="99">
        <f>G181+'27'!H181</f>
        <v>2511</v>
      </c>
      <c r="I181" s="155"/>
      <c r="J181" s="178">
        <f>H181/DAY(B2)</f>
        <v>89.678571428571431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'27'!F183</f>
        <v>17257</v>
      </c>
      <c r="F183" s="157">
        <v>17260</v>
      </c>
      <c r="G183" s="157">
        <f>F183-E183</f>
        <v>3</v>
      </c>
      <c r="H183" s="99">
        <f>G183+'27'!H183</f>
        <v>-15</v>
      </c>
      <c r="I183" s="155"/>
      <c r="J183" s="178">
        <f>H183/DAY(B2)</f>
        <v>-0.5357142857142857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'27'!F184</f>
        <v>11673</v>
      </c>
      <c r="F184" s="157">
        <v>11677</v>
      </c>
      <c r="G184" s="157">
        <f t="shared" ref="G184:G185" si="16">F184-E184</f>
        <v>4</v>
      </c>
      <c r="H184" s="99">
        <f>G184+'27'!H184</f>
        <v>-12</v>
      </c>
      <c r="I184" s="155"/>
      <c r="J184" s="178">
        <f>H184/DAY(B2)</f>
        <v>-0.42857142857142855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7</v>
      </c>
      <c r="H186" s="99">
        <f>G186+'27'!H186</f>
        <v>-27</v>
      </c>
      <c r="I186" s="157"/>
      <c r="J186" s="178">
        <f>H186/DAY(B2)</f>
        <v>-0.9642857142857143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'27'!F187</f>
        <v>0</v>
      </c>
      <c r="F187" s="159"/>
      <c r="G187" s="378">
        <f>G62+G19</f>
        <v>135</v>
      </c>
      <c r="H187" s="99">
        <f>G187+'27'!H187</f>
        <v>488</v>
      </c>
      <c r="I187" s="158"/>
      <c r="J187" s="179">
        <f>H187/DAY(B2)</f>
        <v>17.428571428571427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'27'!F188</f>
        <v>0</v>
      </c>
      <c r="F188" s="159"/>
      <c r="G188" s="378">
        <f>G65+G66+G67+G69+G70</f>
        <v>118</v>
      </c>
      <c r="H188" s="99">
        <f>G188+'27'!H188</f>
        <v>1956</v>
      </c>
      <c r="I188" s="158"/>
      <c r="J188" s="179">
        <f>H188/DAY(B2)</f>
        <v>69.857142857142861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'27'!F189</f>
        <v>0</v>
      </c>
      <c r="F189" s="157"/>
      <c r="G189" s="377">
        <f>G181</f>
        <v>98</v>
      </c>
      <c r="H189" s="99">
        <f>G189+'27'!H189</f>
        <v>943</v>
      </c>
      <c r="I189" s="158"/>
      <c r="J189" s="179">
        <f>H189/DAY(B2)</f>
        <v>33.678571428571431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18" zoomScale="55" zoomScaleNormal="78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371</v>
      </c>
      <c r="B2" s="262">
        <v>44741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1284032.47</v>
      </c>
      <c r="F7" s="95">
        <f>E7+27500</f>
        <v>1311532.47</v>
      </c>
      <c r="G7" s="112">
        <f>F7-E7</f>
        <v>27500</v>
      </c>
      <c r="H7" s="99">
        <f>G7+'28'!H7</f>
        <v>788567.97</v>
      </c>
      <c r="I7" s="113">
        <f>'1'!I7</f>
        <v>12000</v>
      </c>
      <c r="J7" s="175">
        <f>H7/DAY(B2)</f>
        <v>27191.998965517239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1421254.65</v>
      </c>
      <c r="F8" s="95">
        <f>E8+27000</f>
        <v>1448254.65</v>
      </c>
      <c r="G8" s="115">
        <f>F8-E8</f>
        <v>27000</v>
      </c>
      <c r="H8" s="99">
        <f>G8+'28'!H8</f>
        <v>786465.64999999991</v>
      </c>
      <c r="I8" s="116"/>
      <c r="J8" s="175">
        <f>H8/DAY(B2)</f>
        <v>27119.505172413788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2892567.5</v>
      </c>
      <c r="F9" s="469">
        <v>2905483.5</v>
      </c>
      <c r="G9" s="112">
        <f>F9-E9</f>
        <v>12916</v>
      </c>
      <c r="H9" s="99">
        <f>G9+'28'!H9</f>
        <v>-12165.600000000093</v>
      </c>
      <c r="I9" s="124">
        <f>I7-J7</f>
        <v>-15191.998965517239</v>
      </c>
      <c r="J9" s="175">
        <f>H9/DAY(B2)</f>
        <v>-419.50344827586525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1209623.5</v>
      </c>
      <c r="F10" s="353">
        <v>1223505.3999999999</v>
      </c>
      <c r="G10" s="112">
        <f t="shared" ref="G10:G12" si="0">F10-E10</f>
        <v>13881.899999999907</v>
      </c>
      <c r="H10" s="99">
        <f>G10+'28'!H10</f>
        <v>-12181.229999999981</v>
      </c>
      <c r="I10" s="282"/>
      <c r="J10" s="175">
        <f>H10/DAY(B2)</f>
        <v>-420.04241379310281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26797.899999999907</v>
      </c>
      <c r="H13" s="99">
        <f>G13+'28'!H13</f>
        <v>-22617.899999999907</v>
      </c>
      <c r="I13" s="120">
        <f>G7-G13</f>
        <v>702.10000000009313</v>
      </c>
      <c r="J13" s="175">
        <f>H13/DAY(B2)</f>
        <v>-779.92758620689335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2096461.24</v>
      </c>
      <c r="F15" s="469">
        <f>E15+1000</f>
        <v>2097461.2400000002</v>
      </c>
      <c r="G15" s="112">
        <f>(F15-E15)</f>
        <v>1000.0000000002328</v>
      </c>
      <c r="H15" s="99">
        <f>G15+'28'!H15</f>
        <v>29382.830000000307</v>
      </c>
      <c r="I15" s="113">
        <f>'1'!I15</f>
        <v>800</v>
      </c>
      <c r="J15" s="175">
        <f>H15/DAY(B2)</f>
        <v>1013.2010344827693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-213.20103448276927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'28'!F18</f>
        <v>14</v>
      </c>
      <c r="F18" s="122">
        <v>16</v>
      </c>
      <c r="G18" s="119">
        <f>F18*10</f>
        <v>160</v>
      </c>
      <c r="H18" s="99">
        <f>G18+'28'!H18</f>
        <v>5270</v>
      </c>
      <c r="I18" s="113">
        <f>'1'!I18</f>
        <v>65</v>
      </c>
      <c r="J18" s="175">
        <f>H18/DAY(B2)</f>
        <v>181.72413793103448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'28'!F19</f>
        <v>160735</v>
      </c>
      <c r="F19" s="122">
        <v>160781</v>
      </c>
      <c r="G19" s="112">
        <f t="shared" ref="G19" si="1">F19-E19</f>
        <v>46</v>
      </c>
      <c r="H19" s="99">
        <f>G19+'28'!H19</f>
        <v>727</v>
      </c>
      <c r="I19" s="335"/>
      <c r="J19" s="175">
        <f>H19/DAY(B2)</f>
        <v>25.068965517241381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206</v>
      </c>
      <c r="H20" s="99">
        <f>G20+'28'!H20</f>
        <v>5997</v>
      </c>
      <c r="I20" s="336">
        <f>I18-J20</f>
        <v>-141.79310344827587</v>
      </c>
      <c r="J20" s="175">
        <f>H20/DAY(B2)</f>
        <v>206.79310344827587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G27+'28'!H27</f>
        <v>7078190.8499999996</v>
      </c>
      <c r="I27" s="138"/>
      <c r="J27" s="175">
        <f>H27/DAY(B2)</f>
        <v>244075.54655172414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1000.0000000002328</v>
      </c>
      <c r="F28" s="136">
        <v>70</v>
      </c>
      <c r="G28" s="137">
        <f>E28*F28</f>
        <v>70000.000000016298</v>
      </c>
      <c r="H28" s="99">
        <f>G28+'28'!H28</f>
        <v>2020798.1000000215</v>
      </c>
      <c r="I28" s="140"/>
      <c r="J28" s="175">
        <f>H28/DAY(B2)</f>
        <v>69682.693103449012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G30+'28'!H30</f>
        <v>109512</v>
      </c>
      <c r="I30" s="140"/>
      <c r="J30" s="175">
        <f>H30/DAY(B2)</f>
        <v>3776.2758620689656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G31+'28'!H31</f>
        <v>421600</v>
      </c>
      <c r="I31" s="140"/>
      <c r="J31" s="175">
        <f>H31/DAY(B2)</f>
        <v>14537.931034482759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332746.0000000163</v>
      </c>
      <c r="H32" s="99">
        <f>G32+'28'!H32</f>
        <v>9630100.9500000216</v>
      </c>
      <c r="I32" s="144"/>
      <c r="J32" s="175">
        <f>H32/DAY(B2)</f>
        <v>332072.44655172486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185001.79</v>
      </c>
      <c r="F36" s="145">
        <v>186176.83</v>
      </c>
      <c r="G36" s="112">
        <f t="shared" si="3"/>
        <v>1175.039999999979</v>
      </c>
      <c r="H36" s="99">
        <f>G36+'28'!H36</f>
        <v>-743.40000000002328</v>
      </c>
      <c r="I36" s="95"/>
      <c r="J36" s="175">
        <f>H36/DAY(B2)</f>
        <v>-25.634482758621491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283306.46999999997</v>
      </c>
      <c r="F37" s="145">
        <v>284971.81</v>
      </c>
      <c r="G37" s="112">
        <f t="shared" si="3"/>
        <v>1665.3400000000256</v>
      </c>
      <c r="H37" s="99">
        <f>G37+'28'!H37</f>
        <v>-1747.179999999993</v>
      </c>
      <c r="I37" s="95"/>
      <c r="J37" s="175">
        <f>H37/DAY(B2)</f>
        <v>-60.247586206896308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382311.79</v>
      </c>
      <c r="F38" s="108">
        <v>384540.07</v>
      </c>
      <c r="G38" s="112">
        <f t="shared" si="3"/>
        <v>2228.2800000000279</v>
      </c>
      <c r="H38" s="99">
        <f>G38+'28'!H38</f>
        <v>-2123.2799999999697</v>
      </c>
      <c r="I38" s="95"/>
      <c r="J38" s="175">
        <f>H38/DAY(B2)</f>
        <v>-73.216551724136892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517532.79</v>
      </c>
      <c r="F39" s="145">
        <v>520439.95</v>
      </c>
      <c r="G39" s="112">
        <f t="shared" si="3"/>
        <v>2907.1600000000326</v>
      </c>
      <c r="H39" s="99">
        <f>G39+'28'!H39</f>
        <v>-2940.640000000014</v>
      </c>
      <c r="I39" s="95"/>
      <c r="J39" s="175">
        <f>H39/DAY(B2)</f>
        <v>-101.40137931034531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82652.98</v>
      </c>
      <c r="F40" s="145">
        <v>83116.399999999994</v>
      </c>
      <c r="G40" s="112">
        <f t="shared" si="3"/>
        <v>463.41999999999825</v>
      </c>
      <c r="H40" s="99">
        <f>G40+'28'!H40</f>
        <v>-554.69000000000233</v>
      </c>
      <c r="I40" s="95"/>
      <c r="J40" s="175">
        <f>H40/DAY(B2)</f>
        <v>-19.127241379310426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142818.41</v>
      </c>
      <c r="F41" s="145">
        <v>142818.41</v>
      </c>
      <c r="G41" s="112">
        <f t="shared" si="3"/>
        <v>0</v>
      </c>
      <c r="H41" s="99">
        <f>G41+'28'!H41</f>
        <v>1.0000000009313226E-2</v>
      </c>
      <c r="I41" s="95"/>
      <c r="J41" s="175">
        <f>H41/DAY(B2)</f>
        <v>3.4482758652804225E-4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681711.03</v>
      </c>
      <c r="F42" s="145">
        <v>685335.75</v>
      </c>
      <c r="G42" s="112">
        <f t="shared" si="3"/>
        <v>3624.7199999999721</v>
      </c>
      <c r="H42" s="99">
        <f>G42+'28'!H42</f>
        <v>-3296.8000000000466</v>
      </c>
      <c r="I42" s="95"/>
      <c r="J42" s="175">
        <f>H42/DAY(B2)</f>
        <v>-113.68275862069126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12063.960000000036</v>
      </c>
      <c r="H47" s="99">
        <f>G47+'28'!H47</f>
        <v>-11405.98000000001</v>
      </c>
      <c r="I47" s="95"/>
      <c r="J47" s="175">
        <f>H47/DAY(B2)</f>
        <v>-393.30965517241418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360934.35</v>
      </c>
      <c r="F49" s="145">
        <v>364428.31</v>
      </c>
      <c r="G49" s="112">
        <f t="shared" ref="G49:G58" si="4">F49-E49</f>
        <v>3493.960000000021</v>
      </c>
      <c r="H49" s="99">
        <f>G49+'28'!H49</f>
        <v>-6343.4400000000023</v>
      </c>
      <c r="I49" s="95"/>
      <c r="J49" s="175">
        <f>H49/DAY(B2)</f>
        <v>-218.73931034482766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240619.11</v>
      </c>
      <c r="F50" s="145">
        <v>242066.11</v>
      </c>
      <c r="G50" s="112">
        <f t="shared" si="4"/>
        <v>1447</v>
      </c>
      <c r="H50" s="99">
        <f>G50+'28'!H50</f>
        <v>-1039.2900000000081</v>
      </c>
      <c r="I50" s="95"/>
      <c r="J50" s="175">
        <f>H50/DAY(B2)</f>
        <v>-35.83758620689683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0.31999999999999318</v>
      </c>
      <c r="I51" s="95"/>
      <c r="J51" s="175">
        <f>H51/DAY(B2)</f>
        <v>1.1034482758620455E-2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76314.289999999994</v>
      </c>
      <c r="F54" s="145">
        <v>76666.73</v>
      </c>
      <c r="G54" s="112">
        <f t="shared" si="4"/>
        <v>352.44000000000233</v>
      </c>
      <c r="H54" s="99">
        <f>G54+'28'!H54</f>
        <v>-350.77000000000407</v>
      </c>
      <c r="I54" s="95"/>
      <c r="J54" s="175">
        <f>H54/DAY(B2)</f>
        <v>-12.095517241379451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276839.17</v>
      </c>
      <c r="F55" s="145">
        <v>280722.78999999998</v>
      </c>
      <c r="G55" s="112">
        <f t="shared" si="4"/>
        <v>3883.6199999999953</v>
      </c>
      <c r="H55" s="99">
        <f>G55+'28'!H55</f>
        <v>-3360.140000000014</v>
      </c>
      <c r="I55" s="95"/>
      <c r="J55" s="175">
        <f>H55/DAY(B2)</f>
        <v>-115.86689655172462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111243.13</v>
      </c>
      <c r="F56" s="145">
        <v>111243.13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125882.34</v>
      </c>
      <c r="F57" s="145">
        <v>128948.39</v>
      </c>
      <c r="G57" s="112">
        <f t="shared" si="4"/>
        <v>3066.0500000000029</v>
      </c>
      <c r="H57" s="99">
        <f>G57+'28'!H57</f>
        <v>-2955.3100000000122</v>
      </c>
      <c r="I57" s="95"/>
      <c r="J57" s="175">
        <f>H57/DAY(B2)</f>
        <v>-101.90724137931076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39722.86</v>
      </c>
      <c r="F58" s="145">
        <v>39994.050000000003</v>
      </c>
      <c r="G58" s="112">
        <f t="shared" si="4"/>
        <v>271.19000000000233</v>
      </c>
      <c r="H58" s="99">
        <f>G58+'28'!H58</f>
        <v>-286.05999999999767</v>
      </c>
      <c r="I58" s="95"/>
      <c r="J58" s="175">
        <f>H58/DAY(B2)</f>
        <v>-9.8641379310344028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12514.260000000024</v>
      </c>
      <c r="H59" s="99">
        <f>G59+'28'!H59</f>
        <v>-14334.690000000097</v>
      </c>
      <c r="I59" s="95">
        <f>G7-G60</f>
        <v>2921.7799999999406</v>
      </c>
      <c r="J59" s="175">
        <f>H59/DAY(B2)</f>
        <v>-494.29965517241715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24578.220000000059</v>
      </c>
      <c r="H60" s="99">
        <f>G60+'28'!H60</f>
        <v>-25740.670000000115</v>
      </c>
      <c r="I60" s="95">
        <f>G13-G60</f>
        <v>2219.6799999998475</v>
      </c>
      <c r="J60" s="175">
        <f>H60/DAY(B2)</f>
        <v>-887.60931034483156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'28'!F62</f>
        <v>292505</v>
      </c>
      <c r="F62" s="122">
        <v>292614</v>
      </c>
      <c r="G62" s="112">
        <f t="shared" ref="G62:G63" si="5">F62-E62</f>
        <v>109</v>
      </c>
      <c r="H62" s="99">
        <f>G62+'28'!H62</f>
        <v>-84</v>
      </c>
      <c r="I62" s="118"/>
      <c r="J62" s="175">
        <f>H62/DAY(B2)</f>
        <v>-2.896551724137931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'28'!F63</f>
        <v>234791</v>
      </c>
      <c r="F63" s="122">
        <v>234941</v>
      </c>
      <c r="G63" s="112">
        <f t="shared" si="5"/>
        <v>150</v>
      </c>
      <c r="H63" s="99">
        <f>G63+'28'!H63</f>
        <v>-125</v>
      </c>
      <c r="I63" s="118"/>
      <c r="J63" s="175">
        <f>H63/DAY(B2)</f>
        <v>-4.3103448275862073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'28'!F64</f>
        <v>0</v>
      </c>
      <c r="F64" s="122"/>
      <c r="G64" s="112">
        <f>G62+G63</f>
        <v>259</v>
      </c>
      <c r="H64" s="99">
        <f>G64+'28'!H64</f>
        <v>-209</v>
      </c>
      <c r="I64" s="118"/>
      <c r="J64" s="175">
        <f>H64/DAY(B2)</f>
        <v>-7.2068965517241379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'28'!F65</f>
        <v>451186</v>
      </c>
      <c r="F65" s="122">
        <v>451290</v>
      </c>
      <c r="G65" s="112">
        <f t="shared" ref="G65:G70" si="6">F65-E65</f>
        <v>104</v>
      </c>
      <c r="H65" s="99">
        <f>G65+'28'!H65</f>
        <v>-99</v>
      </c>
      <c r="I65" s="118"/>
      <c r="J65" s="175">
        <f>H65/DAY(B2)</f>
        <v>-3.4137931034482758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110989</v>
      </c>
      <c r="F66" s="122">
        <v>111014</v>
      </c>
      <c r="G66" s="112">
        <f t="shared" si="6"/>
        <v>25</v>
      </c>
      <c r="H66" s="99">
        <f>G66+'28'!H66</f>
        <v>-13</v>
      </c>
      <c r="I66" s="118"/>
      <c r="J66" s="175">
        <f>H66/DAY(B2)</f>
        <v>-0.44827586206896552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113680</v>
      </c>
      <c r="F67" s="122">
        <v>113680</v>
      </c>
      <c r="G67" s="112">
        <f t="shared" si="6"/>
        <v>0</v>
      </c>
      <c r="H67" s="99">
        <f>G67+'28'!H67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163488</v>
      </c>
      <c r="F68" s="122">
        <v>163496</v>
      </c>
      <c r="G68" s="112">
        <f t="shared" si="6"/>
        <v>8</v>
      </c>
      <c r="H68" s="99">
        <f>G68+'28'!H68</f>
        <v>-30</v>
      </c>
      <c r="I68" s="118"/>
      <c r="J68" s="175">
        <f>H68/DAY(B2)</f>
        <v>-1.0344827586206897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12116</v>
      </c>
      <c r="F69" s="122">
        <v>12123</v>
      </c>
      <c r="G69" s="112">
        <f t="shared" si="6"/>
        <v>7</v>
      </c>
      <c r="H69" s="99">
        <f>G69+'28'!H69</f>
        <v>-5</v>
      </c>
      <c r="I69" s="118"/>
      <c r="J69" s="175">
        <f>H69/DAY(B2)</f>
        <v>-0.17241379310344829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9502</v>
      </c>
      <c r="F70" s="122">
        <v>9508</v>
      </c>
      <c r="G70" s="112">
        <f t="shared" si="6"/>
        <v>6</v>
      </c>
      <c r="H70" s="99">
        <f>G70+'28'!H70</f>
        <v>-6</v>
      </c>
      <c r="I70" s="118"/>
      <c r="J70" s="175">
        <f>H70/DAY(B2)</f>
        <v>-0.20689655172413793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95">
        <f>'28'!F71</f>
        <v>0</v>
      </c>
      <c r="F71" s="152"/>
      <c r="G71" s="153">
        <f>SUM(G65:G70)</f>
        <v>150</v>
      </c>
      <c r="H71" s="99">
        <f>G71+'28'!H71</f>
        <v>-153</v>
      </c>
      <c r="I71" s="154"/>
      <c r="J71" s="175">
        <f>H71/DAY(B2)</f>
        <v>-5.2758620689655169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'28'!F74</f>
        <v>947141.45</v>
      </c>
      <c r="F74" s="117">
        <v>947421.15</v>
      </c>
      <c r="G74" s="112">
        <f t="shared" ref="G74:G78" si="7">F74-E74</f>
        <v>279.70000000006985</v>
      </c>
      <c r="H74" s="99">
        <f>G74+'28'!H74</f>
        <v>-286.04999999993015</v>
      </c>
      <c r="I74" s="154"/>
      <c r="J74" s="175">
        <f>H74/DAY(B2)</f>
        <v>-9.8637931034458681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'28'!F76</f>
        <v>186700.33</v>
      </c>
      <c r="F76" s="123">
        <v>186796.89</v>
      </c>
      <c r="G76" s="112">
        <f t="shared" si="7"/>
        <v>96.560000000026776</v>
      </c>
      <c r="H76" s="99">
        <f>G76+'28'!H76</f>
        <v>-94.409999999974389</v>
      </c>
      <c r="I76" s="154"/>
      <c r="J76" s="175">
        <f>H76/DAY(B2)</f>
        <v>-3.2555172413784272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'28'!F77</f>
        <v>48628.800000000003</v>
      </c>
      <c r="F77" s="123">
        <v>48677</v>
      </c>
      <c r="G77" s="112">
        <f t="shared" si="7"/>
        <v>48.19999999999709</v>
      </c>
      <c r="H77" s="99">
        <f>G77+'28'!H77</f>
        <v>-58.80000000000291</v>
      </c>
      <c r="I77" s="154"/>
      <c r="J77" s="175">
        <f>H77/DAY(B2)</f>
        <v>-2.0275862068966521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-1.3999999999996362</v>
      </c>
      <c r="I78" s="118"/>
      <c r="J78" s="175">
        <f>H78/DAY(B2)</f>
        <v>-4.8275862068952971E-2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'28'!F79</f>
        <v>0</v>
      </c>
      <c r="F79" s="117"/>
      <c r="G79" s="112">
        <f>G15-SUM(G74:G78)</f>
        <v>575.54000000013912</v>
      </c>
      <c r="H79" s="99">
        <f>G79+'28'!H79</f>
        <v>29824.290000000219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1000.0000000002328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42275</v>
      </c>
      <c r="F84" s="164">
        <v>42275</v>
      </c>
      <c r="G84" s="112">
        <f t="shared" si="8"/>
        <v>0</v>
      </c>
      <c r="H84" s="99">
        <f>G84+'28'!H84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4850.53</v>
      </c>
      <c r="F85" s="164">
        <v>4866.13</v>
      </c>
      <c r="G85" s="112">
        <f t="shared" si="8"/>
        <v>15.600000000000364</v>
      </c>
      <c r="H85" s="99">
        <f>G85+'28'!H85</f>
        <v>-15.880000000000109</v>
      </c>
      <c r="I85" s="573"/>
      <c r="J85" s="175">
        <f>H85/DAY(B2)</f>
        <v>-0.54758620689655546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44804.56</v>
      </c>
      <c r="F86" s="164">
        <v>44828.59</v>
      </c>
      <c r="G86" s="112">
        <f t="shared" si="8"/>
        <v>24.029999999998836</v>
      </c>
      <c r="H86" s="99">
        <f>G86+'28'!H86</f>
        <v>-23.710000000006403</v>
      </c>
      <c r="I86" s="573"/>
      <c r="J86" s="175">
        <f>H86/DAY(B2)</f>
        <v>-0.81758620689677253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35358.050000000003</v>
      </c>
      <c r="F87" s="164">
        <v>35358.050000000003</v>
      </c>
      <c r="G87" s="112">
        <f t="shared" si="8"/>
        <v>0</v>
      </c>
      <c r="H87" s="99">
        <f>G87+'28'!H87</f>
        <v>0</v>
      </c>
      <c r="I87" s="573">
        <f>G84+G85+G86+G87</f>
        <v>39.6299999999992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24277.4</v>
      </c>
      <c r="F88" s="164">
        <v>24277.200000000001</v>
      </c>
      <c r="G88" s="112">
        <f t="shared" si="8"/>
        <v>-0.2000000000007276</v>
      </c>
      <c r="H88" s="99">
        <f>G88+'28'!H88</f>
        <v>0</v>
      </c>
      <c r="I88" s="573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27273.8</v>
      </c>
      <c r="F89" s="164">
        <v>27282.7</v>
      </c>
      <c r="G89" s="112">
        <f t="shared" si="8"/>
        <v>8.9000000000014552</v>
      </c>
      <c r="H89" s="99">
        <f>G89+'28'!H89</f>
        <v>-8.7199999999975262</v>
      </c>
      <c r="I89" s="573">
        <f>G88+G89</f>
        <v>8.7000000000007276</v>
      </c>
      <c r="J89" s="175">
        <f>H89/DAY(B2)</f>
        <v>-0.30068965517232848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72306.31</v>
      </c>
      <c r="F90" s="164">
        <v>72316.62</v>
      </c>
      <c r="G90" s="112">
        <f t="shared" si="8"/>
        <v>10.309999999997672</v>
      </c>
      <c r="H90" s="99">
        <f>G90+'28'!H90</f>
        <v>43.940000000002328</v>
      </c>
      <c r="I90" s="573">
        <f>G90</f>
        <v>10.309999999997672</v>
      </c>
      <c r="J90" s="175">
        <f>H90/DAY(B2)</f>
        <v>1.5151724137931837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4132.04</v>
      </c>
      <c r="F91" s="122">
        <v>4138.4399999999996</v>
      </c>
      <c r="G91" s="112">
        <f t="shared" si="8"/>
        <v>6.3999999999996362</v>
      </c>
      <c r="H91" s="99">
        <f>G91+'28'!H91</f>
        <v>0</v>
      </c>
      <c r="I91" s="592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6501.79</v>
      </c>
      <c r="F92" s="122">
        <v>6505.46</v>
      </c>
      <c r="G92" s="112">
        <f t="shared" si="8"/>
        <v>3.6700000000000728</v>
      </c>
      <c r="H92" s="99">
        <f>G92+'28'!H92</f>
        <v>-9.8800000000001091</v>
      </c>
      <c r="I92" s="598">
        <f>G91+G92</f>
        <v>10.069999999999709</v>
      </c>
      <c r="J92" s="175">
        <f>H92/DAY(B2)</f>
        <v>-0.34068965517241756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6560.0100000000239</v>
      </c>
      <c r="H94" s="99">
        <f>G94+'28'!H94</f>
        <v>-9298.7500000000146</v>
      </c>
      <c r="I94" s="118"/>
      <c r="J94" s="175">
        <f>H94/DAY(B2)</f>
        <v>-320.64655172413842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0.23854581818181905</v>
      </c>
      <c r="H95" s="99">
        <f>G95+'28'!H95</f>
        <v>-0.25118990826124421</v>
      </c>
      <c r="I95" s="167"/>
      <c r="J95" s="175">
        <f>H95/DAY(B2)</f>
        <v>-8.6617209745256628E-3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7508.3399999999674</v>
      </c>
      <c r="H96" s="99">
        <f>G96+'28'!H96</f>
        <v>-6656.9300000000803</v>
      </c>
      <c r="I96" s="118"/>
      <c r="J96" s="175">
        <f>H96/DAY(B2)</f>
        <v>-229.54931034483036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0.27303054545454425</v>
      </c>
      <c r="H97" s="99">
        <f>G97+'28'!H97</f>
        <v>-0.16424806399995717</v>
      </c>
      <c r="I97" s="167"/>
      <c r="J97" s="175">
        <f>H97/DAY(B2)</f>
        <v>-5.6637263448261095E-3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2907.1600000000326</v>
      </c>
      <c r="H98" s="99">
        <f>G98+'28'!H98</f>
        <v>-2940.640000000014</v>
      </c>
      <c r="I98" s="168"/>
      <c r="J98" s="175">
        <f>H98/DAY(B2)</f>
        <v>-101.40137931034531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0.10571490909091028</v>
      </c>
      <c r="H99" s="99">
        <f>G99+'28'!H99</f>
        <v>-6.9138244454203163E-2</v>
      </c>
      <c r="I99" s="168"/>
      <c r="J99" s="175">
        <f>H99/DAY(B2)</f>
        <v>-2.3840773949725226E-3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2228.2800000000279</v>
      </c>
      <c r="H100" s="99">
        <f>G100+'28'!H100</f>
        <v>-2123.2799999999625</v>
      </c>
      <c r="I100" s="118"/>
      <c r="J100" s="175">
        <f>H100/DAY(B2)</f>
        <v>-73.216551724136636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8.1028363636364648E-2</v>
      </c>
      <c r="H101" s="99">
        <f>G101+'28'!H101</f>
        <v>-4.837319859943659E-2</v>
      </c>
      <c r="I101" s="168"/>
      <c r="J101" s="175">
        <f>H101/DAY(B2)</f>
        <v>-1.6680413310150549E-3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2622.039999999979</v>
      </c>
      <c r="H102" s="99">
        <f>G102+'28'!H102</f>
        <v>-1782.6900000000314</v>
      </c>
      <c r="I102" s="168"/>
      <c r="J102" s="175">
        <f>H102/DAY(B2)</f>
        <v>-61.472068965518325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9.534690909090833E-2</v>
      </c>
      <c r="H103" s="99">
        <f>G103+'28'!H103</f>
        <v>-4.2656239757419376E-2</v>
      </c>
      <c r="I103" s="118"/>
      <c r="J103" s="175">
        <f>H103/DAY(B2)</f>
        <v>-1.4709048192213577E-3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1665.3400000000256</v>
      </c>
      <c r="H104" s="99">
        <f>G104+'28'!H104</f>
        <v>-1746.8599999999933</v>
      </c>
      <c r="I104" s="118"/>
      <c r="J104" s="175">
        <f>H104/DAY(B2)</f>
        <v>-60.236551724137698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6.0557818181819115E-2</v>
      </c>
      <c r="H105" s="99">
        <f>G105+'28'!H105</f>
        <v>-4.2730370717508417E-2</v>
      </c>
      <c r="I105" s="187"/>
      <c r="J105" s="188">
        <f>H105/DAY(B2)</f>
        <v>-1.4734610592244282E-3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237">
        <f>'28'!F112</f>
        <v>4786.4399999999996</v>
      </c>
      <c r="F112" s="237">
        <v>4857.72</v>
      </c>
      <c r="G112" s="112">
        <f t="shared" ref="G112" si="9">F112-E112</f>
        <v>71.280000000000655</v>
      </c>
      <c r="H112" s="99">
        <f>G112+'28'!H112</f>
        <v>-72.019999999999527</v>
      </c>
      <c r="I112" s="165"/>
      <c r="J112" s="328">
        <f>H112/DAY(B2)</f>
        <v>-2.4834482758620529</v>
      </c>
    </row>
    <row r="113" spans="1:18" ht="25.5">
      <c r="A113" s="904" t="s">
        <v>253</v>
      </c>
      <c r="B113" s="905"/>
      <c r="C113" s="906"/>
      <c r="D113" s="146" t="s">
        <v>183</v>
      </c>
      <c r="E113" s="237">
        <f>'28'!F113</f>
        <v>10354.89</v>
      </c>
      <c r="F113" s="237">
        <v>10496.29</v>
      </c>
      <c r="G113" s="112">
        <f t="shared" ref="G113:G123" si="10">F113-E113</f>
        <v>141.40000000000146</v>
      </c>
      <c r="H113" s="99">
        <f>G113+'28'!H113</f>
        <v>-136.42999999999847</v>
      </c>
      <c r="I113" s="165"/>
      <c r="J113" s="328">
        <f>H113/DAY(B2)</f>
        <v>-4.704482758620637</v>
      </c>
    </row>
    <row r="114" spans="1:18" ht="25.5">
      <c r="A114" s="904" t="s">
        <v>254</v>
      </c>
      <c r="B114" s="905"/>
      <c r="C114" s="906"/>
      <c r="D114" s="146" t="s">
        <v>183</v>
      </c>
      <c r="E114" s="237">
        <f>'28'!F114</f>
        <v>13752.74</v>
      </c>
      <c r="F114" s="237">
        <v>13976.27</v>
      </c>
      <c r="G114" s="112">
        <f t="shared" si="10"/>
        <v>223.53000000000065</v>
      </c>
      <c r="H114" s="99">
        <f>G114+'28'!H114</f>
        <v>-217.52999999999884</v>
      </c>
      <c r="I114" s="165"/>
      <c r="J114" s="328">
        <f>H114/DAY(B2)</f>
        <v>-7.5010344827585804</v>
      </c>
    </row>
    <row r="115" spans="1:18" ht="25.5">
      <c r="A115" s="904" t="s">
        <v>255</v>
      </c>
      <c r="B115" s="905"/>
      <c r="C115" s="906"/>
      <c r="D115" s="146" t="s">
        <v>183</v>
      </c>
      <c r="E115" s="237">
        <f>'28'!F115</f>
        <v>8604.2099999999991</v>
      </c>
      <c r="F115" s="237">
        <v>8751.11</v>
      </c>
      <c r="G115" s="112">
        <f t="shared" si="10"/>
        <v>146.90000000000146</v>
      </c>
      <c r="H115" s="99">
        <f>G115+'28'!H115</f>
        <v>-269.67000000000007</v>
      </c>
      <c r="I115" s="165"/>
      <c r="J115" s="328">
        <f>H115/DAY(B2)</f>
        <v>-9.2989655172413812</v>
      </c>
    </row>
    <row r="116" spans="1:18" ht="25.5">
      <c r="A116" s="922" t="s">
        <v>96</v>
      </c>
      <c r="B116" s="923"/>
      <c r="C116" s="924"/>
      <c r="D116" s="146" t="s">
        <v>183</v>
      </c>
      <c r="E116" s="237">
        <f>'28'!F116</f>
        <v>58150.8</v>
      </c>
      <c r="F116" s="237">
        <v>58527.34</v>
      </c>
      <c r="G116" s="112">
        <f t="shared" si="10"/>
        <v>376.5399999999936</v>
      </c>
      <c r="H116" s="99">
        <f>G116+'28'!H116</f>
        <v>-363.2100000000064</v>
      </c>
      <c r="I116" s="165"/>
      <c r="J116" s="328">
        <f>H116/DAY(B2)</f>
        <v>-12.524482758620911</v>
      </c>
      <c r="Q116" s="904" t="s">
        <v>311</v>
      </c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237">
        <f>'28'!F117</f>
        <v>32377.94</v>
      </c>
      <c r="F117" s="237">
        <v>32633.85</v>
      </c>
      <c r="G117" s="112">
        <f t="shared" si="10"/>
        <v>255.90999999999985</v>
      </c>
      <c r="H117" s="99">
        <f>G117+'28'!H117</f>
        <v>-254.63000000000466</v>
      </c>
      <c r="I117" s="165"/>
      <c r="J117" s="328">
        <f>H117/DAY(B2)</f>
        <v>-8.7803448275863669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237">
        <f>'28'!F118</f>
        <v>43606.99</v>
      </c>
      <c r="F118" s="237">
        <v>44249.73</v>
      </c>
      <c r="G118" s="112">
        <f t="shared" si="10"/>
        <v>642.74000000000524</v>
      </c>
      <c r="H118" s="99">
        <f>G118+'28'!H118</f>
        <v>-670.57999999999447</v>
      </c>
      <c r="I118" s="165"/>
      <c r="J118" s="328">
        <f>H118/DAY(B2)</f>
        <v>-23.123448275861879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237">
        <f>'28'!F119</f>
        <v>29861.01</v>
      </c>
      <c r="F119" s="237">
        <v>30102.080000000002</v>
      </c>
      <c r="G119" s="112">
        <f t="shared" si="10"/>
        <v>241.07000000000335</v>
      </c>
      <c r="H119" s="99">
        <f>G119+'28'!H119</f>
        <v>-240.5199999999968</v>
      </c>
      <c r="I119" s="165"/>
      <c r="J119" s="328">
        <f>H119/DAY(B2)</f>
        <v>-8.2937931034481647</v>
      </c>
    </row>
    <row r="120" spans="1:18" ht="25.5">
      <c r="A120" s="899" t="s">
        <v>99</v>
      </c>
      <c r="B120" s="899"/>
      <c r="C120" s="899"/>
      <c r="D120" s="151" t="s">
        <v>183</v>
      </c>
      <c r="E120" s="237">
        <f>'28'!F120</f>
        <v>32261.13</v>
      </c>
      <c r="F120" s="237">
        <v>32692.94</v>
      </c>
      <c r="G120" s="112">
        <f t="shared" si="10"/>
        <v>431.80999999999767</v>
      </c>
      <c r="H120" s="99">
        <f>G120+'28'!H120</f>
        <v>-412.61999999999898</v>
      </c>
      <c r="I120" s="165"/>
      <c r="J120" s="328">
        <f>H120/DAY(B2)</f>
        <v>-14.22827586206893</v>
      </c>
    </row>
    <row r="121" spans="1:18" ht="25.5">
      <c r="A121" s="899" t="s">
        <v>100</v>
      </c>
      <c r="B121" s="899"/>
      <c r="C121" s="899"/>
      <c r="D121" s="151" t="s">
        <v>183</v>
      </c>
      <c r="E121" s="237">
        <f>'28'!F121</f>
        <v>38727.129999999997</v>
      </c>
      <c r="F121" s="237">
        <v>39154.51</v>
      </c>
      <c r="G121" s="112">
        <f t="shared" si="10"/>
        <v>427.38000000000466</v>
      </c>
      <c r="H121" s="99">
        <f>G121+'28'!H121</f>
        <v>-433.38999999999942</v>
      </c>
      <c r="I121" s="165"/>
      <c r="J121" s="328">
        <f>H121/DAY(B2)</f>
        <v>-14.944482758620669</v>
      </c>
    </row>
    <row r="122" spans="1:18" ht="25.5">
      <c r="A122" s="899" t="s">
        <v>101</v>
      </c>
      <c r="B122" s="899"/>
      <c r="C122" s="899"/>
      <c r="D122" s="151" t="s">
        <v>183</v>
      </c>
      <c r="E122" s="237">
        <f>'28'!F122</f>
        <v>19398.75</v>
      </c>
      <c r="F122" s="237">
        <v>19681.38</v>
      </c>
      <c r="G122" s="112">
        <f t="shared" si="10"/>
        <v>282.63000000000102</v>
      </c>
      <c r="H122" s="99">
        <f>G122+'28'!H122</f>
        <v>-284.5</v>
      </c>
      <c r="I122" s="165"/>
      <c r="J122" s="328">
        <f>H122/DAY(B2)</f>
        <v>-9.8103448275862064</v>
      </c>
    </row>
    <row r="123" spans="1:18" ht="25.5">
      <c r="A123" s="899" t="s">
        <v>102</v>
      </c>
      <c r="B123" s="899"/>
      <c r="C123" s="899"/>
      <c r="D123" s="151" t="s">
        <v>183</v>
      </c>
      <c r="E123" s="237">
        <f>'28'!F123</f>
        <v>19724</v>
      </c>
      <c r="F123" s="237">
        <v>20033.23</v>
      </c>
      <c r="G123" s="112">
        <f t="shared" si="10"/>
        <v>309.22999999999956</v>
      </c>
      <c r="H123" s="99">
        <f>G123+'28'!H123</f>
        <v>-308.77000000000044</v>
      </c>
      <c r="I123" s="165"/>
      <c r="J123" s="328">
        <f>H123/DAY(B2)</f>
        <v>-10.64724137931036</v>
      </c>
    </row>
    <row r="124" spans="1:18" ht="25.5">
      <c r="A124" s="929"/>
      <c r="B124" s="930"/>
      <c r="C124" s="931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3550.4200000000092</v>
      </c>
      <c r="H125" s="156"/>
      <c r="I125" s="327">
        <f>G125-(G39+G53)</f>
        <v>643.25999999997657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95">
        <f>'28'!F128</f>
        <v>110852.62</v>
      </c>
      <c r="F128" s="165">
        <v>111389.43</v>
      </c>
      <c r="G128" s="112">
        <f t="shared" ref="G128:G134" si="11">F128-E128</f>
        <v>536.80999999999767</v>
      </c>
      <c r="H128" s="99">
        <f>G128+'28'!H128</f>
        <v>-486.43000000000757</v>
      </c>
      <c r="I128" s="165"/>
      <c r="J128" s="328">
        <f>H128/DAY(B2)</f>
        <v>-16.773448275862329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66325.52</v>
      </c>
      <c r="F129" s="165">
        <v>66495.89</v>
      </c>
      <c r="G129" s="112">
        <f t="shared" si="11"/>
        <v>170.36999999999534</v>
      </c>
      <c r="H129" s="99">
        <f>G129+'28'!H129</f>
        <v>-205.88999999999942</v>
      </c>
      <c r="I129" s="165"/>
      <c r="J129" s="328">
        <f>H129/DAY(B2)</f>
        <v>-7.0996551724137733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140198</v>
      </c>
      <c r="F130" s="615">
        <v>141009.14000000001</v>
      </c>
      <c r="G130" s="112">
        <f t="shared" si="11"/>
        <v>811.14000000001397</v>
      </c>
      <c r="H130" s="99">
        <f>G130+'28'!H130</f>
        <v>-1288.7799999999697</v>
      </c>
      <c r="I130" s="165"/>
      <c r="J130" s="328">
        <f>H130/DAY(B2)</f>
        <v>-44.440689655171369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'28'!F131</f>
        <v>42233</v>
      </c>
      <c r="F131" s="165">
        <v>42439.040000000001</v>
      </c>
      <c r="G131" s="112">
        <f t="shared" si="11"/>
        <v>206.04000000000087</v>
      </c>
      <c r="H131" s="99">
        <f>G131+'28'!H131</f>
        <v>-179.15999999999622</v>
      </c>
      <c r="I131" s="165"/>
      <c r="J131" s="328">
        <f>H131/DAY(B2)</f>
        <v>-6.1779310344826284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'28'!F132</f>
        <v>115434.29</v>
      </c>
      <c r="F132" s="165">
        <v>115875.12</v>
      </c>
      <c r="G132" s="112">
        <f t="shared" si="11"/>
        <v>440.83000000000175</v>
      </c>
      <c r="H132" s="99">
        <f>G132+'28'!H132</f>
        <v>-415.88000000000466</v>
      </c>
      <c r="I132" s="165"/>
      <c r="J132" s="328">
        <f>H132/DAY(B2)</f>
        <v>-14.340689655172575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'28'!F133</f>
        <v>221883.71</v>
      </c>
      <c r="F133" s="165">
        <v>222493</v>
      </c>
      <c r="G133" s="112">
        <f t="shared" si="11"/>
        <v>609.29000000000815</v>
      </c>
      <c r="H133" s="99">
        <f>G133+'28'!H133</f>
        <v>6682.429999999993</v>
      </c>
      <c r="I133" s="165"/>
      <c r="J133" s="328">
        <f>H133/DAY(B2)</f>
        <v>230.42862068965493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'28'!F134</f>
        <v>41380.449999999997</v>
      </c>
      <c r="F134" s="165">
        <v>41568.71</v>
      </c>
      <c r="G134" s="112">
        <f t="shared" si="11"/>
        <v>188.26000000000204</v>
      </c>
      <c r="H134" s="99">
        <f>G134+'28'!H134</f>
        <v>-176.29000000000087</v>
      </c>
      <c r="I134" s="165"/>
      <c r="J134" s="328">
        <f>H134/DAY(B2)</f>
        <v>-6.078965517241409</v>
      </c>
    </row>
    <row r="135" spans="1:15" ht="25.5">
      <c r="A135" s="932" t="s">
        <v>196</v>
      </c>
      <c r="B135" s="933"/>
      <c r="C135" s="331"/>
      <c r="D135" s="151"/>
      <c r="E135" s="95"/>
      <c r="F135" s="165" t="s">
        <v>366</v>
      </c>
      <c r="G135" s="112">
        <f>SUM(G127:G134)</f>
        <v>2962.7400000000198</v>
      </c>
      <c r="H135" s="99">
        <f>G135+'23'!H135</f>
        <v>33587.94000000001</v>
      </c>
      <c r="I135" s="327">
        <f>G135-(G35+G49)</f>
        <v>-531.22000000000116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'28'!F138</f>
        <v>886943</v>
      </c>
      <c r="F138" s="147">
        <v>887118</v>
      </c>
      <c r="G138" s="112">
        <f t="shared" ref="G138:G151" si="12">F138-E138</f>
        <v>175</v>
      </c>
      <c r="H138" s="99">
        <f>G138+'28'!H138</f>
        <v>-106</v>
      </c>
      <c r="I138" s="118"/>
      <c r="J138" s="328">
        <f>H138/DAY(B2)</f>
        <v>-3.6551724137931036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'28'!F139</f>
        <v>903699</v>
      </c>
      <c r="F139" s="148">
        <v>903902</v>
      </c>
      <c r="G139" s="112">
        <f t="shared" si="12"/>
        <v>203</v>
      </c>
      <c r="H139" s="99">
        <f>G139+'28'!H139</f>
        <v>-188</v>
      </c>
      <c r="I139" s="118"/>
      <c r="J139" s="328">
        <f>H139/DAY(B2)</f>
        <v>-6.4827586206896548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'28'!F140</f>
        <v>1028</v>
      </c>
      <c r="F140" s="149">
        <v>1041.03</v>
      </c>
      <c r="G140" s="112">
        <f t="shared" si="12"/>
        <v>13.029999999999973</v>
      </c>
      <c r="H140" s="99">
        <f>G140+'28'!H140</f>
        <v>-87964.62</v>
      </c>
      <c r="I140" s="118"/>
      <c r="J140" s="328">
        <f>H140/DAY(B2)</f>
        <v>-3033.2627586206895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'28'!F141</f>
        <v>83688.179999999993</v>
      </c>
      <c r="F141" s="149">
        <v>83900.83</v>
      </c>
      <c r="G141" s="112">
        <f t="shared" si="12"/>
        <v>212.65000000000873</v>
      </c>
      <c r="H141" s="99">
        <f>G141+'28'!H141</f>
        <v>-214.36999999999534</v>
      </c>
      <c r="I141" s="118"/>
      <c r="J141" s="328">
        <f>H141/DAY(B2)</f>
        <v>-7.3920689655170806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'28'!F142</f>
        <v>34236.04</v>
      </c>
      <c r="F142" s="148">
        <v>34310.910000000003</v>
      </c>
      <c r="G142" s="112">
        <f t="shared" si="12"/>
        <v>74.870000000002619</v>
      </c>
      <c r="H142" s="99">
        <f>G142+'28'!H142</f>
        <v>-74.559999999997672</v>
      </c>
      <c r="I142" s="140"/>
      <c r="J142" s="328">
        <f>H142/DAY(B2)</f>
        <v>-2.5710344827585403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'28'!F143</f>
        <v>8104.43</v>
      </c>
      <c r="F143" s="149">
        <v>8126.33</v>
      </c>
      <c r="G143" s="112">
        <f t="shared" si="12"/>
        <v>21.899999999999636</v>
      </c>
      <c r="H143" s="99">
        <f>G143+'28'!H143</f>
        <v>-31.989999999999782</v>
      </c>
      <c r="I143" s="140"/>
      <c r="J143" s="328">
        <f>H143/DAY(B2)</f>
        <v>-1.1031034482758546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'28'!F144</f>
        <v>911801</v>
      </c>
      <c r="F144" s="149">
        <v>912040</v>
      </c>
      <c r="G144" s="112">
        <f t="shared" si="12"/>
        <v>239</v>
      </c>
      <c r="H144" s="99">
        <f>G144+'28'!H144</f>
        <v>-237</v>
      </c>
      <c r="I144" s="140"/>
      <c r="J144" s="328">
        <f>H144/DAY(B2)</f>
        <v>-8.1724137931034484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'28'!F145</f>
        <v>5666.55</v>
      </c>
      <c r="F145" s="149">
        <v>5666.56</v>
      </c>
      <c r="G145" s="112">
        <f t="shared" si="12"/>
        <v>1.0000000000218279E-2</v>
      </c>
      <c r="H145" s="99">
        <f>G145+'28'!H145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'28'!F146</f>
        <v>779234</v>
      </c>
      <c r="F146" s="148">
        <v>779813</v>
      </c>
      <c r="G146" s="112">
        <f t="shared" si="12"/>
        <v>579</v>
      </c>
      <c r="H146" s="99">
        <f>G146+'28'!H146</f>
        <v>485</v>
      </c>
      <c r="I146" s="140"/>
      <c r="J146" s="328">
        <f>H146/DAY(B2)</f>
        <v>16.724137931034484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'28'!F147</f>
        <v>686807.28</v>
      </c>
      <c r="F147" s="148">
        <v>687048.2</v>
      </c>
      <c r="G147" s="112">
        <f t="shared" si="12"/>
        <v>240.91999999992549</v>
      </c>
      <c r="H147" s="99">
        <f>G147+'28'!H147</f>
        <v>-477.96000000007916</v>
      </c>
      <c r="I147" s="140"/>
      <c r="J147" s="328">
        <f>H147/DAY(B2)</f>
        <v>-16.481379310347556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'28'!F148</f>
        <v>738348.08</v>
      </c>
      <c r="F148" s="150">
        <v>738647.76</v>
      </c>
      <c r="G148" s="112">
        <f t="shared" si="12"/>
        <v>299.68000000005122</v>
      </c>
      <c r="H148" s="99">
        <f>G148+'28'!H148</f>
        <v>-299.52000000001863</v>
      </c>
      <c r="I148" s="124"/>
      <c r="J148" s="328">
        <f>H148/DAY(B2)</f>
        <v>-10.328275862069608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'28'!F149</f>
        <v>115663.74</v>
      </c>
      <c r="F149" s="146">
        <v>116124.23</v>
      </c>
      <c r="G149" s="112">
        <f t="shared" si="12"/>
        <v>460.48999999999069</v>
      </c>
      <c r="H149" s="99">
        <f>G149+'28'!H149</f>
        <v>-408.57000000000698</v>
      </c>
      <c r="I149" s="119"/>
      <c r="J149" s="328">
        <f>H149/DAY(B2)</f>
        <v>-14.088620689655412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'28'!F150</f>
        <v>43298.69</v>
      </c>
      <c r="F150" s="233">
        <v>43516.959999999999</v>
      </c>
      <c r="G150" s="112">
        <f t="shared" si="12"/>
        <v>218.2699999999968</v>
      </c>
      <c r="H150" s="99">
        <f>G150+'28'!H150</f>
        <v>-208.20000000000437</v>
      </c>
      <c r="I150" s="119"/>
      <c r="J150" s="328">
        <f>H150/DAY(B2)</f>
        <v>-7.1793103448277371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'28'!F151</f>
        <v>126047</v>
      </c>
      <c r="F151" s="233">
        <v>126332</v>
      </c>
      <c r="G151" s="112">
        <f t="shared" si="12"/>
        <v>285</v>
      </c>
      <c r="H151" s="99">
        <f>G151+'28'!H151</f>
        <v>-271</v>
      </c>
      <c r="I151" s="119"/>
      <c r="J151" s="328">
        <f>H151/DAY(B2)</f>
        <v>-9.3448275862068968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'28'!F152</f>
        <v>19041.580000000002</v>
      </c>
      <c r="F152" s="233">
        <v>19171</v>
      </c>
      <c r="G152" s="112">
        <f>F152-E152</f>
        <v>129.41999999999825</v>
      </c>
      <c r="H152" s="99">
        <f>G152+'28'!H152</f>
        <v>-117.08000000000175</v>
      </c>
      <c r="I152" s="119"/>
      <c r="J152" s="328">
        <f>H152/DAY(B2)</f>
        <v>-4.0372413793104052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3152.2399999999734</v>
      </c>
      <c r="H153" s="363"/>
      <c r="I153" s="119">
        <f>G153-(G38+G52)</f>
        <v>923.95999999994547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'28'!F155</f>
        <v>129077.43</v>
      </c>
      <c r="F155" s="389">
        <v>129583</v>
      </c>
      <c r="G155" s="112">
        <f t="shared" ref="G155:G158" si="13">F155-E155</f>
        <v>505.57000000000698</v>
      </c>
      <c r="H155" s="99">
        <f>G155+'28'!H155</f>
        <v>-658.38000000000466</v>
      </c>
      <c r="I155" s="364"/>
      <c r="J155" s="328">
        <f>H155/DAY(B2)</f>
        <v>-22.702758620689817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'28'!F156</f>
        <v>11929.39</v>
      </c>
      <c r="F156" s="155">
        <v>12013</v>
      </c>
      <c r="G156" s="112">
        <f t="shared" si="13"/>
        <v>83.610000000000582</v>
      </c>
      <c r="H156" s="99">
        <f>G156+'28'!H156</f>
        <v>-80.360000000000582</v>
      </c>
      <c r="I156" s="165"/>
      <c r="J156" s="328">
        <f>H156/DAY(B2)</f>
        <v>-2.7710344827586408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'28'!F157</f>
        <v>22798.95</v>
      </c>
      <c r="F157" s="155">
        <v>22968.22</v>
      </c>
      <c r="G157" s="112">
        <f t="shared" si="13"/>
        <v>169.27000000000044</v>
      </c>
      <c r="H157" s="99">
        <f>G157+'28'!H157</f>
        <v>169.27000000000044</v>
      </c>
      <c r="I157" s="165"/>
      <c r="J157" s="328">
        <f>H157/DAY(B2)</f>
        <v>5.8368965517241529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'28'!F158</f>
        <v>211.43</v>
      </c>
      <c r="F158" s="155">
        <v>213.62</v>
      </c>
      <c r="G158" s="112">
        <f t="shared" si="13"/>
        <v>2.1899999999999977</v>
      </c>
      <c r="H158" s="99">
        <f>G158+'28'!H158</f>
        <v>2.1899999999999977</v>
      </c>
      <c r="I158" s="165"/>
      <c r="J158" s="328">
        <f>H158/DAY(B2)</f>
        <v>7.5517241379310263E-2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477577</v>
      </c>
      <c r="F161" s="235">
        <v>477629</v>
      </c>
      <c r="G161" s="238">
        <f t="shared" ref="G161:G165" si="14">F161-E161</f>
        <v>52</v>
      </c>
      <c r="H161" s="99">
        <f>G161+'28'!H161</f>
        <v>963</v>
      </c>
      <c r="I161" s="236"/>
      <c r="J161" s="239">
        <f>H161/DAY(B2)</f>
        <v>33.206896551724135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93717.1</v>
      </c>
      <c r="F162" s="235">
        <v>93763.3</v>
      </c>
      <c r="G162" s="238">
        <f t="shared" si="14"/>
        <v>46.19999999999709</v>
      </c>
      <c r="H162" s="99">
        <f>G162+'28'!H162</f>
        <v>-42</v>
      </c>
      <c r="I162" s="236"/>
      <c r="J162" s="239">
        <f>H162/DAY(B2)</f>
        <v>-1.4482758620689655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1685.7</v>
      </c>
      <c r="F163" s="235">
        <v>1844.2</v>
      </c>
      <c r="G163" s="238">
        <f t="shared" si="14"/>
        <v>158.5</v>
      </c>
      <c r="H163" s="99">
        <f>G163+'28'!H163</f>
        <v>99813.10000000002</v>
      </c>
      <c r="I163" s="236"/>
      <c r="J163" s="239">
        <f>H163/DAY(B2)</f>
        <v>3441.8310344827592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5872</v>
      </c>
      <c r="F164" s="235">
        <v>5886.2</v>
      </c>
      <c r="G164" s="238">
        <f t="shared" si="14"/>
        <v>14.199999999999818</v>
      </c>
      <c r="H164" s="99">
        <f>G164+'28'!H164</f>
        <v>-12.199999999999818</v>
      </c>
      <c r="I164" s="236"/>
      <c r="J164" s="239">
        <f>H164/DAY(B2)</f>
        <v>-0.42068965517240753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31322.05</v>
      </c>
      <c r="F165" s="235">
        <v>31333.98</v>
      </c>
      <c r="G165" s="238">
        <f t="shared" si="14"/>
        <v>11.930000000000291</v>
      </c>
      <c r="H165" s="99">
        <f>G165+'28'!H165</f>
        <v>-12.670000000001892</v>
      </c>
      <c r="I165" s="236"/>
      <c r="J165" s="239">
        <f>H165/DAY(B2)</f>
        <v>-0.43689655172420316</v>
      </c>
    </row>
    <row r="166" spans="1:10" ht="26.25">
      <c r="A166" s="935"/>
      <c r="B166" s="935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'28'!F173</f>
        <v>8229</v>
      </c>
      <c r="F173" s="155">
        <v>8229</v>
      </c>
      <c r="G173" s="155">
        <f>F173-E173</f>
        <v>0</v>
      </c>
      <c r="H173" s="99">
        <f>G173+'28'!H173</f>
        <v>47</v>
      </c>
      <c r="I173" s="155"/>
      <c r="J173" s="178">
        <f>H173/DAY(B2)</f>
        <v>1.6206896551724137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'28'!F174</f>
        <v>40751</v>
      </c>
      <c r="F174" s="157">
        <v>40765</v>
      </c>
      <c r="G174" s="155">
        <f t="shared" ref="G174:G175" si="15">F174-E174</f>
        <v>14</v>
      </c>
      <c r="H174" s="99">
        <f>G174+'28'!H174</f>
        <v>-14</v>
      </c>
      <c r="I174" s="155"/>
      <c r="J174" s="178">
        <f>H174/DAY(B2)</f>
        <v>-0.48275862068965519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'28'!F175</f>
        <v>23632</v>
      </c>
      <c r="F175" s="155">
        <v>23644</v>
      </c>
      <c r="G175" s="155">
        <f t="shared" si="15"/>
        <v>12</v>
      </c>
      <c r="H175" s="99">
        <f>G175+'28'!H175</f>
        <v>-12</v>
      </c>
      <c r="I175" s="155"/>
      <c r="J175" s="178">
        <f>H175/DAY(B2)</f>
        <v>-0.41379310344827586</v>
      </c>
    </row>
    <row r="176" spans="1:10" ht="25.5">
      <c r="A176" s="932" t="s">
        <v>196</v>
      </c>
      <c r="B176" s="933"/>
      <c r="C176" s="401"/>
      <c r="D176" s="228"/>
      <c r="E176" s="95"/>
      <c r="F176" s="155"/>
      <c r="G176" s="155">
        <f>SUM(G173:G175)</f>
        <v>26</v>
      </c>
      <c r="H176" s="99">
        <f>G176+'28'!H176</f>
        <v>21</v>
      </c>
      <c r="I176" s="155"/>
      <c r="J176" s="178">
        <f>H176/DAY(B2)</f>
        <v>0.72413793103448276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'28'!F178</f>
        <v>94606</v>
      </c>
      <c r="F178" s="155">
        <v>94739</v>
      </c>
      <c r="G178" s="155">
        <f>F178-E178</f>
        <v>133</v>
      </c>
      <c r="H178" s="99">
        <f>G178+'28'!H178</f>
        <v>2653</v>
      </c>
      <c r="I178" s="155"/>
      <c r="J178" s="178">
        <f>H178/DAY(B2)</f>
        <v>91.482758620689651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'28'!F179</f>
        <v>36002</v>
      </c>
      <c r="F179" s="155">
        <v>36002</v>
      </c>
      <c r="G179" s="155">
        <f t="shared" ref="G179:G180" si="16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'28'!F180</f>
        <v>6873</v>
      </c>
      <c r="F180" s="155">
        <v>6878</v>
      </c>
      <c r="G180" s="155">
        <f t="shared" si="16"/>
        <v>5</v>
      </c>
      <c r="H180" s="99">
        <f>G180+'28'!H180</f>
        <v>-4</v>
      </c>
      <c r="I180" s="155"/>
      <c r="J180" s="178">
        <f>H180/DAY(B2)</f>
        <v>-0.13793103448275862</v>
      </c>
    </row>
    <row r="181" spans="1:10" ht="25.5">
      <c r="A181" s="939" t="s">
        <v>108</v>
      </c>
      <c r="B181" s="940"/>
      <c r="C181" s="401"/>
      <c r="D181" s="228"/>
      <c r="E181" s="95"/>
      <c r="F181" s="155"/>
      <c r="G181" s="155">
        <f>SUM(G178:G180)</f>
        <v>138</v>
      </c>
      <c r="H181" s="99">
        <f>G181+'28'!H181</f>
        <v>2649</v>
      </c>
      <c r="I181" s="155"/>
      <c r="J181" s="178">
        <f>H181/DAY(B2)</f>
        <v>91.34482758620689</v>
      </c>
    </row>
    <row r="182" spans="1:10" ht="25.5">
      <c r="A182" s="893" t="s">
        <v>213</v>
      </c>
      <c r="B182" s="894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'28'!F183</f>
        <v>17260</v>
      </c>
      <c r="F183" s="157">
        <v>17269</v>
      </c>
      <c r="G183" s="157">
        <f>F183-E183</f>
        <v>9</v>
      </c>
      <c r="H183" s="99">
        <f>G183+'28'!H183</f>
        <v>-6</v>
      </c>
      <c r="I183" s="155"/>
      <c r="J183" s="178">
        <f>H183/DAY(B2)</f>
        <v>-0.20689655172413793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'28'!F184</f>
        <v>11677</v>
      </c>
      <c r="F184" s="157">
        <v>11684</v>
      </c>
      <c r="G184" s="157">
        <f t="shared" ref="G184:G185" si="17">F184-E184</f>
        <v>7</v>
      </c>
      <c r="H184" s="99">
        <f>G184+'28'!H184</f>
        <v>-5</v>
      </c>
      <c r="I184" s="155"/>
      <c r="J184" s="178">
        <f>H184/DAY(B2)</f>
        <v>-0.17241379310344829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9"/>
      <c r="E186" s="95"/>
      <c r="F186" s="157"/>
      <c r="G186" s="157">
        <f>SUM(G183:G185)</f>
        <v>16</v>
      </c>
      <c r="H186" s="99">
        <f>G186+'28'!H186</f>
        <v>-11</v>
      </c>
      <c r="I186" s="157"/>
      <c r="J186" s="178">
        <f>H186/DAY(B2)</f>
        <v>-0.37931034482758619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'28'!F187</f>
        <v>0</v>
      </c>
      <c r="F187" s="159"/>
      <c r="G187" s="466">
        <f>G62+G19</f>
        <v>155</v>
      </c>
      <c r="H187" s="99">
        <f>G187+'28'!H187</f>
        <v>643</v>
      </c>
      <c r="I187" s="158"/>
      <c r="J187" s="179">
        <f>H187/DAY(B2)</f>
        <v>22.172413793103448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'28'!F188</f>
        <v>0</v>
      </c>
      <c r="F188" s="159"/>
      <c r="G188" s="466">
        <f>G65+G66+G67+G69+G70</f>
        <v>142</v>
      </c>
      <c r="H188" s="99">
        <f>G188+'28'!H188</f>
        <v>2098</v>
      </c>
      <c r="I188" s="158"/>
      <c r="J188" s="179">
        <f>H188/DAY(B2)</f>
        <v>72.34482758620689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'28'!F189</f>
        <v>0</v>
      </c>
      <c r="F189" s="157"/>
      <c r="G189" s="417">
        <f>G181</f>
        <v>138</v>
      </c>
      <c r="H189" s="99">
        <f>G189+'28'!H189</f>
        <v>1081</v>
      </c>
      <c r="I189" s="158"/>
      <c r="J189" s="179">
        <f>H189/DAY(B2)</f>
        <v>37.275862068965516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6" zoomScale="55" zoomScaleNormal="55" zoomScaleSheetLayoutView="55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>
      <c r="A2" s="191" t="s">
        <v>376</v>
      </c>
      <c r="B2" s="262">
        <v>44742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1311532.47</v>
      </c>
      <c r="F7" s="95">
        <f>E7+27500</f>
        <v>1339032.47</v>
      </c>
      <c r="G7" s="112">
        <f>F7-E7</f>
        <v>27500</v>
      </c>
      <c r="H7" s="99">
        <f>G7+'29'!H7</f>
        <v>816067.97</v>
      </c>
      <c r="I7" s="113">
        <f>'1'!I7</f>
        <v>12000</v>
      </c>
      <c r="J7" s="175">
        <f>H7/DAY(B2)</f>
        <v>27202.265666666666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1448254.65</v>
      </c>
      <c r="F8" s="95">
        <f>E8+27000</f>
        <v>1475254.65</v>
      </c>
      <c r="G8" s="112">
        <f>F8-E8</f>
        <v>27000</v>
      </c>
      <c r="H8" s="99">
        <f>G8+'29'!H8</f>
        <v>813465.64999999991</v>
      </c>
      <c r="I8" s="116"/>
      <c r="J8" s="175">
        <f>H8/DAY(B2)</f>
        <v>27115.521666666664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2905483.5</v>
      </c>
      <c r="F9" s="469">
        <v>2917649.1</v>
      </c>
      <c r="G9" s="357">
        <f>F9-E9</f>
        <v>12165.600000000093</v>
      </c>
      <c r="H9" s="99">
        <f>G9+'29'!H9</f>
        <v>0</v>
      </c>
      <c r="I9" s="124">
        <f>I7-J7</f>
        <v>-15202.265666666666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1223505.3999999999</v>
      </c>
      <c r="F10" s="353">
        <v>1235686.6299999999</v>
      </c>
      <c r="G10" s="112">
        <f t="shared" ref="G10:G12" si="0">F10-E10</f>
        <v>12181.229999999981</v>
      </c>
      <c r="H10" s="99">
        <f>G10+'29'!H10</f>
        <v>0</v>
      </c>
      <c r="I10" s="282"/>
      <c r="J10" s="175">
        <f>H10/DAY(B2)</f>
        <v>0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24346.830000000075</v>
      </c>
      <c r="H13" s="99">
        <f>G13+'29'!H13</f>
        <v>1728.9300000001676</v>
      </c>
      <c r="I13" s="120">
        <f>G7-G13</f>
        <v>3153.1699999999255</v>
      </c>
      <c r="J13" s="175">
        <f>H13/DAY(B2)</f>
        <v>57.631000000005585</v>
      </c>
      <c r="K13" s="79"/>
      <c r="L13" s="66"/>
      <c r="N13" s="87"/>
      <c r="O13" s="71" t="s">
        <v>372</v>
      </c>
    </row>
    <row r="14" spans="1:15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2097461.2400000002</v>
      </c>
      <c r="F15" s="469">
        <f>E15+1000</f>
        <v>2098461.2400000002</v>
      </c>
      <c r="G15" s="112">
        <f>(F15-E15)</f>
        <v>1000</v>
      </c>
      <c r="H15" s="99">
        <f>G15+'29'!H15</f>
        <v>30382.830000000307</v>
      </c>
      <c r="I15" s="113">
        <f>'1'!I15</f>
        <v>800</v>
      </c>
      <c r="J15" s="175">
        <f>H15/DAY(B2)</f>
        <v>1012.7610000000102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-212.7610000000102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'29'!F18</f>
        <v>16</v>
      </c>
      <c r="F18" s="122">
        <v>18</v>
      </c>
      <c r="G18" s="119">
        <f>F18*10</f>
        <v>180</v>
      </c>
      <c r="H18" s="99">
        <f>G18+'29'!H18</f>
        <v>5450</v>
      </c>
      <c r="I18" s="113">
        <f>'1'!I18</f>
        <v>65</v>
      </c>
      <c r="J18" s="175">
        <f>H18/DAY(B2)</f>
        <v>181.66666666666666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'29'!F19</f>
        <v>160781</v>
      </c>
      <c r="F19" s="122">
        <v>160829</v>
      </c>
      <c r="G19" s="112">
        <f t="shared" ref="G19" si="1">F19-E19</f>
        <v>48</v>
      </c>
      <c r="H19" s="99">
        <f>G19+'29'!H19</f>
        <v>775</v>
      </c>
      <c r="I19" s="335"/>
      <c r="J19" s="175">
        <f>H19/DAY(B2)</f>
        <v>25.833333333333332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228</v>
      </c>
      <c r="H20" s="99">
        <f>G20+'29'!H20</f>
        <v>6225</v>
      </c>
      <c r="I20" s="336">
        <f>I18-J20</f>
        <v>-142.5</v>
      </c>
      <c r="J20" s="175">
        <f>H20/DAY(B2)</f>
        <v>207.5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G27+'29'!H27</f>
        <v>7321190.8499999996</v>
      </c>
      <c r="I27" s="138"/>
      <c r="J27" s="175">
        <f>H27/DAY(B2)</f>
        <v>244039.69499999998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G28+'29'!H28</f>
        <v>2090798.1000000215</v>
      </c>
      <c r="I28" s="140"/>
      <c r="J28" s="175">
        <f>H28/DAY(B2)</f>
        <v>69693.270000000717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G30+'29'!H30</f>
        <v>116760</v>
      </c>
      <c r="I30" s="140"/>
      <c r="J30" s="175">
        <f>H30/DAY(B2)</f>
        <v>3892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436000</v>
      </c>
      <c r="I31" s="140"/>
      <c r="J31" s="175">
        <f>H31/DAY(B2)</f>
        <v>14533.333333333334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334648</v>
      </c>
      <c r="H32" s="99">
        <f>G32+'29'!H32</f>
        <v>9964748.9500000216</v>
      </c>
      <c r="I32" s="144"/>
      <c r="J32" s="175">
        <f>H32/DAY(B2)</f>
        <v>332158.29833333404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186176.83</v>
      </c>
      <c r="F36" s="145">
        <v>186920.23</v>
      </c>
      <c r="G36" s="112">
        <f t="shared" si="3"/>
        <v>743.40000000002328</v>
      </c>
      <c r="H36" s="99">
        <f>G36+'29'!H36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284971.81</v>
      </c>
      <c r="F37" s="145">
        <v>286718.99</v>
      </c>
      <c r="G37" s="112">
        <f t="shared" si="3"/>
        <v>1747.179999999993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384540.07</v>
      </c>
      <c r="F38" s="108">
        <v>386663.35</v>
      </c>
      <c r="G38" s="112">
        <f t="shared" si="3"/>
        <v>2123.2799999999697</v>
      </c>
      <c r="H38" s="99">
        <f>G38+'29'!H38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520439.95</v>
      </c>
      <c r="F39" s="145">
        <v>523380.59</v>
      </c>
      <c r="G39" s="112">
        <f t="shared" si="3"/>
        <v>2940.640000000014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83116.399999999994</v>
      </c>
      <c r="F40" s="145">
        <v>83671.09</v>
      </c>
      <c r="G40" s="112">
        <f t="shared" si="3"/>
        <v>554.69000000000233</v>
      </c>
      <c r="H40" s="99">
        <f>G40+'29'!H40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142818.41</v>
      </c>
      <c r="F41" s="145">
        <v>142818.4</v>
      </c>
      <c r="G41" s="112">
        <f t="shared" si="3"/>
        <v>-1.0000000009313226E-2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685335.75</v>
      </c>
      <c r="F42" s="145">
        <v>688632.55</v>
      </c>
      <c r="G42" s="112">
        <f t="shared" si="3"/>
        <v>3296.8000000000466</v>
      </c>
      <c r="H42" s="99">
        <f>G42+'29'!H42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11405.98000000004</v>
      </c>
      <c r="H47" s="99">
        <f>G47+'29'!H47</f>
        <v>2.9103830456733704E-11</v>
      </c>
      <c r="I47" s="95"/>
      <c r="J47" s="175">
        <f>H47/DAY(B2)</f>
        <v>9.7012768189112344E-13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364428.31</v>
      </c>
      <c r="F49" s="145">
        <v>367771.75</v>
      </c>
      <c r="G49" s="112">
        <f t="shared" ref="G49:G58" si="4">F49-E49</f>
        <v>3343.4400000000023</v>
      </c>
      <c r="H49" s="99">
        <f>G49+'29'!H49</f>
        <v>-3000</v>
      </c>
      <c r="I49" s="95"/>
      <c r="J49" s="175">
        <f>H49/DAY(B2)</f>
        <v>-100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242066.11</v>
      </c>
      <c r="F50" s="145">
        <v>243105.4</v>
      </c>
      <c r="G50" s="112">
        <f t="shared" si="4"/>
        <v>1039.2900000000081</v>
      </c>
      <c r="H50" s="99">
        <f>G50+'29'!H50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8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76666.73</v>
      </c>
      <c r="F54" s="418">
        <v>77017.5</v>
      </c>
      <c r="G54" s="112">
        <f t="shared" si="4"/>
        <v>350.77000000000407</v>
      </c>
      <c r="H54" s="99">
        <f>G54+'29'!H54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280722.78999999998</v>
      </c>
      <c r="F55" s="418">
        <v>284082.93</v>
      </c>
      <c r="G55" s="112">
        <f t="shared" si="4"/>
        <v>3360.140000000014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111243.13</v>
      </c>
      <c r="F56" s="418">
        <v>111243.13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128948.39</v>
      </c>
      <c r="F57" s="418">
        <v>131903.70000000001</v>
      </c>
      <c r="G57" s="112">
        <f t="shared" si="4"/>
        <v>2955.3100000000122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39994.050000000003</v>
      </c>
      <c r="F58" s="418">
        <v>40280.11</v>
      </c>
      <c r="G58" s="112">
        <f t="shared" si="4"/>
        <v>286.05999999999767</v>
      </c>
      <c r="H58" s="99">
        <f>G58+'29'!H58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11334.690000000039</v>
      </c>
      <c r="H59" s="99">
        <f>G59+'29'!H59</f>
        <v>-3000.0000000000582</v>
      </c>
      <c r="I59" s="95">
        <f>G7-G60</f>
        <v>4759.3299999999217</v>
      </c>
      <c r="J59" s="175">
        <f>H59/DAY(B2)</f>
        <v>-100.00000000000195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22740.670000000078</v>
      </c>
      <c r="H60" s="99">
        <f>G60+'29'!H60</f>
        <v>-3000.0000000000364</v>
      </c>
      <c r="I60" s="95">
        <f>G13-G60</f>
        <v>1606.1599999999962</v>
      </c>
      <c r="J60" s="175">
        <f>H60/DAY(B2)</f>
        <v>-100.00000000000121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'29'!F62</f>
        <v>292614</v>
      </c>
      <c r="F62" s="150">
        <v>292698</v>
      </c>
      <c r="G62" s="112">
        <f t="shared" ref="G62:G63" si="5">F62-E62</f>
        <v>84</v>
      </c>
      <c r="H62" s="99">
        <f>G62+'29'!H62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'29'!F63</f>
        <v>234941</v>
      </c>
      <c r="F63" s="150">
        <v>235066</v>
      </c>
      <c r="G63" s="112">
        <f t="shared" si="5"/>
        <v>125</v>
      </c>
      <c r="H63" s="99">
        <f>G63+'29'!H63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'29'!F64</f>
        <v>0</v>
      </c>
      <c r="F64" s="150"/>
      <c r="G64" s="112">
        <f>G62+G63</f>
        <v>209</v>
      </c>
      <c r="H64" s="99">
        <f>G64+'29'!H64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'29'!F65</f>
        <v>451290</v>
      </c>
      <c r="F65" s="150">
        <v>451389</v>
      </c>
      <c r="G65" s="112">
        <f t="shared" ref="G65:G70" si="6">F65-E65</f>
        <v>99</v>
      </c>
      <c r="H65" s="99">
        <f>G65+'29'!H65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111014</v>
      </c>
      <c r="F66" s="150">
        <v>111027</v>
      </c>
      <c r="G66" s="112">
        <f t="shared" si="6"/>
        <v>13</v>
      </c>
      <c r="H66" s="99">
        <f>G66+'29'!H66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113680</v>
      </c>
      <c r="F67" s="150">
        <v>113680</v>
      </c>
      <c r="G67" s="112">
        <f t="shared" si="6"/>
        <v>0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163496</v>
      </c>
      <c r="F68" s="150">
        <v>163526</v>
      </c>
      <c r="G68" s="112">
        <f t="shared" si="6"/>
        <v>30</v>
      </c>
      <c r="H68" s="99">
        <f>G68+'29'!H68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12123</v>
      </c>
      <c r="F69" s="150">
        <v>12128</v>
      </c>
      <c r="G69" s="112">
        <f t="shared" si="6"/>
        <v>5</v>
      </c>
      <c r="H69" s="99">
        <f>G69+'29'!H69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9508</v>
      </c>
      <c r="F70" s="150">
        <v>9514</v>
      </c>
      <c r="G70" s="112">
        <f t="shared" si="6"/>
        <v>6</v>
      </c>
      <c r="H70" s="99">
        <f>G70+'29'!H70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153</v>
      </c>
      <c r="H71" s="99">
        <f>G71+'29'!H71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'29'!F74</f>
        <v>947421.15</v>
      </c>
      <c r="F74" s="123">
        <v>947707.2</v>
      </c>
      <c r="G74" s="112">
        <f t="shared" ref="G74:G78" si="7">F74-E74</f>
        <v>286.04999999993015</v>
      </c>
      <c r="H74" s="99">
        <f>G74+'29'!H74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'29'!F76</f>
        <v>186796.89</v>
      </c>
      <c r="F76" s="123">
        <v>186891.3</v>
      </c>
      <c r="G76" s="112">
        <f t="shared" si="7"/>
        <v>94.409999999974389</v>
      </c>
      <c r="H76" s="99">
        <f>G76+'29'!H76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'29'!F77</f>
        <v>48677</v>
      </c>
      <c r="F77" s="123">
        <v>48735.8</v>
      </c>
      <c r="G77" s="112">
        <f t="shared" si="7"/>
        <v>58.80000000000291</v>
      </c>
      <c r="H77" s="99">
        <f>G77+'29'!H77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-1</v>
      </c>
      <c r="I78" s="118"/>
      <c r="J78" s="175">
        <f>H78/DAY(B2)</f>
        <v>-3.3333333333333333E-2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'29'!F79</f>
        <v>0</v>
      </c>
      <c r="F79" s="117"/>
      <c r="G79" s="112">
        <f>G15-SUM(G74:G78)</f>
        <v>560.34000000009291</v>
      </c>
      <c r="H79" s="99">
        <f>G79+'29'!H79</f>
        <v>30384.63000000031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42275</v>
      </c>
      <c r="F84" s="164">
        <v>42275</v>
      </c>
      <c r="G84" s="112">
        <f t="shared" si="8"/>
        <v>0</v>
      </c>
      <c r="H84" s="99">
        <f>G84+'29'!H84</f>
        <v>0</v>
      </c>
      <c r="I84" s="573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4866.13</v>
      </c>
      <c r="F85" s="150">
        <v>4882.01</v>
      </c>
      <c r="G85" s="112">
        <f t="shared" si="8"/>
        <v>15.880000000000109</v>
      </c>
      <c r="H85" s="99">
        <f>G85+'29'!H85</f>
        <v>0</v>
      </c>
      <c r="I85" s="573"/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44828.59</v>
      </c>
      <c r="F86" s="164">
        <v>44852.3</v>
      </c>
      <c r="G86" s="112">
        <f t="shared" si="8"/>
        <v>23.710000000006403</v>
      </c>
      <c r="H86" s="99">
        <f>G86+'29'!H86</f>
        <v>0</v>
      </c>
      <c r="I86" s="573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35358.050000000003</v>
      </c>
      <c r="F87" s="164">
        <v>35358.050000000003</v>
      </c>
      <c r="G87" s="112">
        <f t="shared" si="8"/>
        <v>0</v>
      </c>
      <c r="H87" s="99">
        <f>G87+'29'!H87</f>
        <v>0</v>
      </c>
      <c r="I87" s="555">
        <f>G84+G85+G86+G87</f>
        <v>39.590000000006512</v>
      </c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24277.200000000001</v>
      </c>
      <c r="F88" s="164">
        <v>24277.200000000001</v>
      </c>
      <c r="G88" s="112">
        <f t="shared" si="8"/>
        <v>0</v>
      </c>
      <c r="H88" s="99">
        <f>G88+'29'!H88</f>
        <v>0</v>
      </c>
      <c r="I88" s="555"/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27282.7</v>
      </c>
      <c r="F89" s="164">
        <v>27291.42</v>
      </c>
      <c r="G89" s="112">
        <f t="shared" si="8"/>
        <v>8.7199999999975262</v>
      </c>
      <c r="H89" s="99">
        <f>G89+'29'!H89</f>
        <v>0</v>
      </c>
      <c r="I89" s="555">
        <f>G88+G89</f>
        <v>8.7199999999975262</v>
      </c>
      <c r="J89" s="175">
        <f>H89/DAY(B2)</f>
        <v>0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72316.62</v>
      </c>
      <c r="F90" s="164">
        <v>72326.399999999994</v>
      </c>
      <c r="G90" s="112">
        <f t="shared" si="8"/>
        <v>9.7799999999988358</v>
      </c>
      <c r="H90" s="99">
        <f>G90+'29'!H90</f>
        <v>53.720000000001164</v>
      </c>
      <c r="I90" s="555">
        <f>G90</f>
        <v>9.7799999999988358</v>
      </c>
      <c r="J90" s="175">
        <f>H90/DAY(B2)</f>
        <v>1.7906666666667055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4138.4399999999996</v>
      </c>
      <c r="F91" s="122">
        <v>4138.4399999999996</v>
      </c>
      <c r="G91" s="112">
        <f t="shared" si="8"/>
        <v>0</v>
      </c>
      <c r="H91" s="99">
        <f>G91+'29'!H91</f>
        <v>0</v>
      </c>
      <c r="I91" s="616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6505.46</v>
      </c>
      <c r="F92" s="122">
        <v>6515.34</v>
      </c>
      <c r="G92" s="112">
        <f t="shared" si="8"/>
        <v>9.8800000000001091</v>
      </c>
      <c r="H92" s="99">
        <f>G92+'29'!H92</f>
        <v>0</v>
      </c>
      <c r="I92" s="617">
        <f>G91+G92</f>
        <v>9.8800000000001091</v>
      </c>
      <c r="J92" s="175">
        <f>H92/DAY(B2)</f>
        <v>0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6298.7500000000146</v>
      </c>
      <c r="H94" s="99">
        <f>G94+'29'!H94</f>
        <v>-3000</v>
      </c>
      <c r="I94" s="118"/>
      <c r="J94" s="175">
        <f>H94/DAY(B2)</f>
        <v>-100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0.22904545454545508</v>
      </c>
      <c r="H95" s="99">
        <f>G95+'29'!H95</f>
        <v>-2.2144453715789131E-2</v>
      </c>
      <c r="I95" s="167"/>
      <c r="J95" s="175">
        <f>H95/DAY(B2)</f>
        <v>-7.3814845719297098E-4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6656.9300000000512</v>
      </c>
      <c r="H96" s="99">
        <f>G96+'29'!H96</f>
        <v>-2.9103830456733704E-11</v>
      </c>
      <c r="I96" s="118"/>
      <c r="J96" s="175">
        <f>H96/DAY(B2)</f>
        <v>-9.7012768189112344E-13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0.24207018181818368</v>
      </c>
      <c r="H97" s="99">
        <f>G97+'29'!H97</f>
        <v>7.7822117818226511E-2</v>
      </c>
      <c r="I97" s="167"/>
      <c r="J97" s="175">
        <f>H97/DAY(B2)</f>
        <v>2.5940705939408839E-3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2940.640000000014</v>
      </c>
      <c r="H98" s="99">
        <f>G98+'29'!H98</f>
        <v>0</v>
      </c>
      <c r="I98" s="168"/>
      <c r="J98" s="175">
        <f>H98/DAY(B2)</f>
        <v>0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0.10693236363636414</v>
      </c>
      <c r="H99" s="99">
        <f>G99+'29'!H99</f>
        <v>3.7794119182160982E-2</v>
      </c>
      <c r="I99" s="168"/>
      <c r="J99" s="175">
        <f>H99/DAY(B2)</f>
        <v>1.2598039727386994E-3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2123.2799999999697</v>
      </c>
      <c r="H100" s="99">
        <f>G100+'29'!H100</f>
        <v>7.2759576141834259E-12</v>
      </c>
      <c r="I100" s="118"/>
      <c r="J100" s="175">
        <f>H100/DAY(B2)</f>
        <v>2.4253192047278086E-13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7.721018181818072E-2</v>
      </c>
      <c r="H101" s="99">
        <f>G101+'29'!H101</f>
        <v>2.8836983218744131E-2</v>
      </c>
      <c r="I101" s="168"/>
      <c r="J101" s="175">
        <f>H101/DAY(B2)</f>
        <v>9.6123277395813772E-4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1782.6900000000314</v>
      </c>
      <c r="H102" s="99">
        <f>G102+'29'!H102</f>
        <v>0</v>
      </c>
      <c r="I102" s="168"/>
      <c r="J102" s="175">
        <f>H102/DAY(B2)</f>
        <v>0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6.4825090909092054E-2</v>
      </c>
      <c r="H103" s="99">
        <f>G103+'29'!H103</f>
        <v>2.2168851151672678E-2</v>
      </c>
      <c r="I103" s="118"/>
      <c r="J103" s="175">
        <f>H103/DAY(B2)</f>
        <v>7.3896170505575597E-4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1746.8599999999931</v>
      </c>
      <c r="H104" s="99">
        <f>G104+'29'!H104</f>
        <v>0</v>
      </c>
      <c r="I104" s="118"/>
      <c r="J104" s="175">
        <f>H104/DAY(B2)</f>
        <v>0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6.3522181818181561E-2</v>
      </c>
      <c r="H105" s="99">
        <f>G105+'29'!H105</f>
        <v>2.0791811100673144E-2</v>
      </c>
      <c r="I105" s="187"/>
      <c r="J105" s="188">
        <f>H105/DAY(B2)</f>
        <v>6.9306037002243815E-4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'29'!F112</f>
        <v>4857.72</v>
      </c>
      <c r="F112" s="237">
        <v>4929.74</v>
      </c>
      <c r="G112" s="112">
        <f t="shared" ref="G112:G123" si="9">F112-E112</f>
        <v>72.019999999999527</v>
      </c>
      <c r="H112" s="99">
        <f>G112+'29'!H112</f>
        <v>0</v>
      </c>
      <c r="I112" s="165"/>
      <c r="J112" s="328">
        <f>H112/DAY(B2)</f>
        <v>0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'29'!F113</f>
        <v>10496.29</v>
      </c>
      <c r="F113" s="237">
        <v>10632.72</v>
      </c>
      <c r="G113" s="112">
        <f t="shared" si="9"/>
        <v>136.42999999999847</v>
      </c>
      <c r="H113" s="99">
        <f>G113+'29'!H113</f>
        <v>0</v>
      </c>
      <c r="I113" s="165"/>
      <c r="J113" s="328">
        <f>H113/DAY(B2)</f>
        <v>0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'29'!F114</f>
        <v>13976.27</v>
      </c>
      <c r="F114" s="237">
        <v>14193.8</v>
      </c>
      <c r="G114" s="112">
        <f t="shared" si="9"/>
        <v>217.52999999999884</v>
      </c>
      <c r="H114" s="99">
        <f>G114+'29'!H114</f>
        <v>0</v>
      </c>
      <c r="I114" s="165"/>
      <c r="J114" s="328">
        <f>H114/DAY(B2)</f>
        <v>0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'29'!F115</f>
        <v>8751.11</v>
      </c>
      <c r="F115" s="237">
        <v>8911.56</v>
      </c>
      <c r="G115" s="112">
        <f t="shared" si="9"/>
        <v>160.44999999999891</v>
      </c>
      <c r="H115" s="99">
        <f>G115+'29'!H115</f>
        <v>-109.22000000000116</v>
      </c>
      <c r="I115" s="165"/>
      <c r="J115" s="328">
        <f>H115/DAY(B2)</f>
        <v>-3.6406666666667054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'29'!F116</f>
        <v>58527.34</v>
      </c>
      <c r="F116" s="237">
        <v>58890.55</v>
      </c>
      <c r="G116" s="112">
        <f t="shared" si="9"/>
        <v>363.2100000000064</v>
      </c>
      <c r="H116" s="99">
        <f>G116+'29'!H116</f>
        <v>0</v>
      </c>
      <c r="I116" s="165"/>
      <c r="J116" s="328">
        <f>H116/DAY(B2)</f>
        <v>0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'29'!F117</f>
        <v>32633.85</v>
      </c>
      <c r="F117" s="237">
        <v>32888.480000000003</v>
      </c>
      <c r="G117" s="112">
        <f t="shared" si="9"/>
        <v>254.63000000000466</v>
      </c>
      <c r="H117" s="99">
        <f>G117+'29'!H117</f>
        <v>0</v>
      </c>
      <c r="I117" s="165"/>
      <c r="J117" s="328">
        <f>H117/DAY(B2)</f>
        <v>0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'29'!F118</f>
        <v>44249.73</v>
      </c>
      <c r="F118" s="237">
        <v>44920.31</v>
      </c>
      <c r="G118" s="112">
        <f t="shared" si="9"/>
        <v>670.57999999999447</v>
      </c>
      <c r="H118" s="99">
        <f>G118+'29'!H118</f>
        <v>0</v>
      </c>
      <c r="I118" s="165"/>
      <c r="J118" s="328">
        <f>H118/DAY(B2)</f>
        <v>0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'29'!F119</f>
        <v>30102.080000000002</v>
      </c>
      <c r="F119" s="237">
        <v>30342.6</v>
      </c>
      <c r="G119" s="112">
        <f t="shared" si="9"/>
        <v>240.5199999999968</v>
      </c>
      <c r="H119" s="99">
        <f>G119+'29'!H119</f>
        <v>0</v>
      </c>
      <c r="I119" s="165"/>
      <c r="J119" s="328">
        <f>H119/DAY(B2)</f>
        <v>0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'29'!F120</f>
        <v>32692.94</v>
      </c>
      <c r="F120" s="237">
        <v>33105.56</v>
      </c>
      <c r="G120" s="112">
        <f t="shared" si="9"/>
        <v>412.61999999999898</v>
      </c>
      <c r="H120" s="99">
        <f>G120+'29'!H120</f>
        <v>0</v>
      </c>
      <c r="I120" s="165"/>
      <c r="J120" s="328">
        <f>H120/DAY(B2)</f>
        <v>0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'29'!F121</f>
        <v>39154.51</v>
      </c>
      <c r="F121" s="237">
        <v>39587.9</v>
      </c>
      <c r="G121" s="112">
        <f t="shared" si="9"/>
        <v>433.38999999999942</v>
      </c>
      <c r="H121" s="99">
        <f>G121+'29'!H121</f>
        <v>0</v>
      </c>
      <c r="I121" s="165"/>
      <c r="J121" s="328">
        <f>H121/DAY(B2)</f>
        <v>0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'29'!F122</f>
        <v>19681.38</v>
      </c>
      <c r="F122" s="237">
        <v>19965.88</v>
      </c>
      <c r="G122" s="112">
        <f t="shared" si="9"/>
        <v>284.5</v>
      </c>
      <c r="H122" s="99">
        <f>G122+'29'!H122</f>
        <v>0</v>
      </c>
      <c r="I122" s="165"/>
      <c r="J122" s="328">
        <f>H122/DAY(B2)</f>
        <v>0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'29'!F123</f>
        <v>20033.23</v>
      </c>
      <c r="F123" s="237">
        <v>20342</v>
      </c>
      <c r="G123" s="112">
        <f t="shared" si="9"/>
        <v>308.77000000000044</v>
      </c>
      <c r="H123" s="99">
        <f>G123+'29'!H123</f>
        <v>0</v>
      </c>
      <c r="I123" s="165"/>
      <c r="J123" s="328">
        <f>H123/DAY(B2)</f>
        <v>0</v>
      </c>
    </row>
    <row r="124" spans="1:18" ht="30.75" customHeight="1">
      <c r="A124" s="929"/>
      <c r="B124" s="930"/>
      <c r="C124" s="931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3554.6499999999969</v>
      </c>
      <c r="H125" s="156"/>
      <c r="I125" s="327">
        <f>G125-(G39+G53)</f>
        <v>614.00999999998294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'29'!F128</f>
        <v>111389.43</v>
      </c>
      <c r="F128" s="165">
        <v>111875.86</v>
      </c>
      <c r="G128" s="112">
        <f t="shared" ref="G128:G134" si="10">F128-E128</f>
        <v>486.43000000000757</v>
      </c>
      <c r="H128" s="99">
        <f>G128+'29'!H128</f>
        <v>0</v>
      </c>
      <c r="I128" s="165"/>
      <c r="J128" s="328">
        <f>H128/DAY(B2)</f>
        <v>0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66495.89</v>
      </c>
      <c r="F129" s="165">
        <v>66701.78</v>
      </c>
      <c r="G129" s="112">
        <f t="shared" si="10"/>
        <v>205.88999999999942</v>
      </c>
      <c r="H129" s="99">
        <f>G129+'29'!H129</f>
        <v>0</v>
      </c>
      <c r="I129" s="165"/>
      <c r="J129" s="328">
        <f>H129/DAY(B2)</f>
        <v>0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141009.14000000001</v>
      </c>
      <c r="F130" s="165">
        <v>141753.65</v>
      </c>
      <c r="G130" s="112">
        <f t="shared" si="10"/>
        <v>744.50999999998021</v>
      </c>
      <c r="H130" s="99">
        <f>G130+'29'!H130</f>
        <v>-544.26999999998952</v>
      </c>
      <c r="I130" s="165"/>
      <c r="J130" s="328">
        <f>H130/DAY(B2)</f>
        <v>-18.142333333332985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'29'!F131</f>
        <v>42439.040000000001</v>
      </c>
      <c r="F131" s="165">
        <v>42618.2</v>
      </c>
      <c r="G131" s="112">
        <f t="shared" si="10"/>
        <v>179.15999999999622</v>
      </c>
      <c r="H131" s="99">
        <f>G131+'29'!H131</f>
        <v>0</v>
      </c>
      <c r="I131" s="165"/>
      <c r="J131" s="328">
        <f>H131/DAY(B2)</f>
        <v>0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120">
        <f>'29'!F132</f>
        <v>115875.12</v>
      </c>
      <c r="F132" s="465">
        <v>116291</v>
      </c>
      <c r="G132" s="112">
        <f t="shared" si="10"/>
        <v>415.88000000000466</v>
      </c>
      <c r="H132" s="99">
        <f>G132+'29'!H132</f>
        <v>0</v>
      </c>
      <c r="I132" s="165"/>
      <c r="J132" s="328">
        <f>H132/DAY(B2)</f>
        <v>0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'29'!F133</f>
        <v>222493</v>
      </c>
      <c r="F133" s="165">
        <v>222493</v>
      </c>
      <c r="G133" s="112">
        <f t="shared" si="10"/>
        <v>0</v>
      </c>
      <c r="H133" s="99">
        <f>G133+'29'!H133</f>
        <v>6682.429999999993</v>
      </c>
      <c r="I133" s="165"/>
      <c r="J133" s="328">
        <f>H133/DAY(B2)</f>
        <v>222.74766666666645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'29'!F134</f>
        <v>41568.71</v>
      </c>
      <c r="F134" s="467">
        <v>41745</v>
      </c>
      <c r="G134" s="112">
        <f t="shared" si="10"/>
        <v>176.29000000000087</v>
      </c>
      <c r="H134" s="99">
        <f>G134+'29'!H134</f>
        <v>0</v>
      </c>
      <c r="I134" s="165"/>
      <c r="J134" s="328">
        <f>H134/DAY(B2)</f>
        <v>0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2208.1599999999889</v>
      </c>
      <c r="H135" s="99">
        <f>G135+'23'!H135</f>
        <v>32833.359999999979</v>
      </c>
      <c r="I135" s="327">
        <f>G135-(G35+G49)</f>
        <v>-1135.2800000000134</v>
      </c>
      <c r="J135" s="328">
        <f>H135/DAY(B2)</f>
        <v>1094.4453333333327</v>
      </c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'29'!F138</f>
        <v>887118</v>
      </c>
      <c r="F138" s="147">
        <v>887227</v>
      </c>
      <c r="G138" s="112">
        <f t="shared" ref="G138:G152" si="11">F138-E138</f>
        <v>109</v>
      </c>
      <c r="H138" s="99">
        <f>G138+'29'!H138</f>
        <v>3</v>
      </c>
      <c r="I138" s="118"/>
      <c r="J138" s="328">
        <f>H138/DAY(B2)</f>
        <v>0.1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'29'!F139</f>
        <v>903902</v>
      </c>
      <c r="F139" s="148">
        <v>904090</v>
      </c>
      <c r="G139" s="112">
        <f t="shared" si="11"/>
        <v>188</v>
      </c>
      <c r="H139" s="99">
        <f>G139+'29'!H139</f>
        <v>0</v>
      </c>
      <c r="I139" s="118"/>
      <c r="J139" s="328">
        <f>H139/DAY(B2)</f>
        <v>0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'29'!F140</f>
        <v>1041.03</v>
      </c>
      <c r="F140" s="149">
        <v>1055.05</v>
      </c>
      <c r="G140" s="112">
        <f t="shared" si="11"/>
        <v>14.019999999999982</v>
      </c>
      <c r="H140" s="99">
        <f>G140+'29'!H140</f>
        <v>-87950.599999999991</v>
      </c>
      <c r="I140" s="118"/>
      <c r="J140" s="328">
        <f>H140/DAY(B2)</f>
        <v>-2931.6866666666665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'29'!F141</f>
        <v>83900.83</v>
      </c>
      <c r="F141" s="149">
        <v>84115.199999999997</v>
      </c>
      <c r="G141" s="112">
        <f t="shared" si="11"/>
        <v>214.36999999999534</v>
      </c>
      <c r="H141" s="99">
        <f>G141+'29'!H141</f>
        <v>0</v>
      </c>
      <c r="I141" s="118"/>
      <c r="J141" s="328">
        <f>H141/DAY(B2)</f>
        <v>0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'29'!F142</f>
        <v>34310.910000000003</v>
      </c>
      <c r="F142" s="148">
        <v>34385.47</v>
      </c>
      <c r="G142" s="112">
        <f t="shared" si="11"/>
        <v>74.559999999997672</v>
      </c>
      <c r="H142" s="99">
        <f>G142+'29'!H142</f>
        <v>0</v>
      </c>
      <c r="I142" s="140"/>
      <c r="J142" s="328">
        <f>H142/DAY(B2)</f>
        <v>0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'29'!F143</f>
        <v>8126.33</v>
      </c>
      <c r="F143" s="149">
        <v>8158.32</v>
      </c>
      <c r="G143" s="112">
        <f t="shared" si="11"/>
        <v>31.989999999999782</v>
      </c>
      <c r="H143" s="99">
        <f>G143+'29'!H143</f>
        <v>0</v>
      </c>
      <c r="I143" s="140"/>
      <c r="J143" s="328">
        <f>H143/DAY(B2)</f>
        <v>0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'29'!F144</f>
        <v>912040</v>
      </c>
      <c r="F144" s="149">
        <v>912277</v>
      </c>
      <c r="G144" s="112">
        <f t="shared" si="11"/>
        <v>237</v>
      </c>
      <c r="H144" s="99">
        <f>G144+'29'!H144</f>
        <v>0</v>
      </c>
      <c r="I144" s="140"/>
      <c r="J144" s="328">
        <f>H144/DAY(B2)</f>
        <v>0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'29'!F145</f>
        <v>5666.56</v>
      </c>
      <c r="F145" s="149">
        <v>5666.56</v>
      </c>
      <c r="G145" s="112">
        <f t="shared" si="11"/>
        <v>0</v>
      </c>
      <c r="H145" s="99">
        <f>G145+'29'!H145</f>
        <v>0</v>
      </c>
      <c r="I145" s="140"/>
      <c r="J145" s="328">
        <f>H145/DAY(B2)</f>
        <v>0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'29'!F146</f>
        <v>779813</v>
      </c>
      <c r="F146" s="148">
        <v>779846</v>
      </c>
      <c r="G146" s="112">
        <f t="shared" si="11"/>
        <v>33</v>
      </c>
      <c r="H146" s="99">
        <f>G146+'29'!H146</f>
        <v>518</v>
      </c>
      <c r="I146" s="140"/>
      <c r="J146" s="328">
        <f>H146/DAY(B2)</f>
        <v>17.266666666666666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'29'!F147</f>
        <v>687048.2</v>
      </c>
      <c r="F147" s="148">
        <v>687526.16</v>
      </c>
      <c r="G147" s="112">
        <f t="shared" si="11"/>
        <v>477.96000000007916</v>
      </c>
      <c r="H147" s="99">
        <f>G147+'29'!H147</f>
        <v>0</v>
      </c>
      <c r="I147" s="140"/>
      <c r="J147" s="328">
        <f>H147/DAY(B2)</f>
        <v>0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'29'!F148</f>
        <v>738647.76</v>
      </c>
      <c r="F148" s="150">
        <v>738947.28</v>
      </c>
      <c r="G148" s="112">
        <f t="shared" si="11"/>
        <v>299.52000000001863</v>
      </c>
      <c r="H148" s="99">
        <f>G148+'29'!H148</f>
        <v>0</v>
      </c>
      <c r="I148" s="124"/>
      <c r="J148" s="328">
        <f>H148/DAY(B2)</f>
        <v>0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'29'!F149</f>
        <v>116124.23</v>
      </c>
      <c r="F149" s="146">
        <v>116532.8</v>
      </c>
      <c r="G149" s="112">
        <f t="shared" si="11"/>
        <v>408.57000000000698</v>
      </c>
      <c r="H149" s="99">
        <f>G149+'29'!H149</f>
        <v>0</v>
      </c>
      <c r="I149" s="119"/>
      <c r="J149" s="328">
        <f>H149/DAY(B2)</f>
        <v>0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'29'!F150</f>
        <v>43516.959999999999</v>
      </c>
      <c r="F150" s="233">
        <v>43725.16</v>
      </c>
      <c r="G150" s="112">
        <f t="shared" si="11"/>
        <v>208.20000000000437</v>
      </c>
      <c r="H150" s="99">
        <f>G150+'29'!H150</f>
        <v>0</v>
      </c>
      <c r="I150" s="119"/>
      <c r="J150" s="328">
        <f>H150/DAY(B2)</f>
        <v>0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'29'!F151</f>
        <v>126332</v>
      </c>
      <c r="F151" s="233">
        <v>126603</v>
      </c>
      <c r="G151" s="112">
        <f t="shared" si="11"/>
        <v>271</v>
      </c>
      <c r="H151" s="99">
        <f>G151+'29'!H151</f>
        <v>0</v>
      </c>
      <c r="I151" s="119"/>
      <c r="J151" s="328">
        <f>H151/DAY(B2)</f>
        <v>0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'29'!F152</f>
        <v>19171</v>
      </c>
      <c r="F152" s="233">
        <v>19288.080000000002</v>
      </c>
      <c r="G152" s="112">
        <f t="shared" si="11"/>
        <v>117.08000000000175</v>
      </c>
      <c r="H152" s="99">
        <f>G152+'29'!H152</f>
        <v>0</v>
      </c>
      <c r="I152" s="119"/>
      <c r="J152" s="328">
        <f>H152/DAY(B2)</f>
        <v>0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2684.2700000001037</v>
      </c>
      <c r="H153" s="363"/>
      <c r="I153" s="119">
        <f>G153-(G38+G52)</f>
        <v>560.99000000013393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'29'!F155</f>
        <v>129583</v>
      </c>
      <c r="F155" s="374">
        <v>130241.38</v>
      </c>
      <c r="G155" s="112">
        <f t="shared" ref="G155:G158" si="12">F155-E155</f>
        <v>658.38000000000466</v>
      </c>
      <c r="H155" s="99">
        <f>G155+'29'!H155</f>
        <v>0</v>
      </c>
      <c r="I155" s="364"/>
      <c r="J155" s="328">
        <f>H155/DAY(B2)</f>
        <v>0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'29'!F156</f>
        <v>12013</v>
      </c>
      <c r="F156" s="155">
        <v>12093.36</v>
      </c>
      <c r="G156" s="112">
        <f t="shared" si="12"/>
        <v>80.360000000000582</v>
      </c>
      <c r="H156" s="99">
        <f>G156+'29'!H156</f>
        <v>0</v>
      </c>
      <c r="I156" s="165"/>
      <c r="J156" s="328">
        <f>H156/DAY(B2)</f>
        <v>0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'29'!F157</f>
        <v>22968.22</v>
      </c>
      <c r="F157" s="155">
        <v>23196.7</v>
      </c>
      <c r="G157" s="112">
        <f t="shared" si="12"/>
        <v>228.47999999999956</v>
      </c>
      <c r="H157" s="99">
        <f>G157+'29'!H157</f>
        <v>397.75</v>
      </c>
      <c r="I157" s="165"/>
      <c r="J157" s="328">
        <f>H157/DAY(B2)</f>
        <v>13.258333333333333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'29'!F158</f>
        <v>213.62</v>
      </c>
      <c r="F158" s="155">
        <v>218.9</v>
      </c>
      <c r="G158" s="112">
        <f t="shared" si="12"/>
        <v>5.2800000000000011</v>
      </c>
      <c r="H158" s="99">
        <f>G158+'29'!H158</f>
        <v>7.4699999999999989</v>
      </c>
      <c r="I158" s="165"/>
      <c r="J158" s="328">
        <f>H158/DAY(B2)</f>
        <v>0.24899999999999997</v>
      </c>
    </row>
    <row r="159" spans="1:10" ht="30.75" customHeight="1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6"/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477629</v>
      </c>
      <c r="F161" s="235">
        <v>477663</v>
      </c>
      <c r="G161" s="238">
        <f t="shared" ref="G161:G165" si="13">F161-E161</f>
        <v>34</v>
      </c>
      <c r="H161" s="99">
        <f>G161+'29'!H161</f>
        <v>997</v>
      </c>
      <c r="I161" s="236"/>
      <c r="J161" s="239">
        <f>H161/DAY(B2)</f>
        <v>33.233333333333334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93763.3</v>
      </c>
      <c r="F162" s="235">
        <v>93805.3</v>
      </c>
      <c r="G162" s="238">
        <f t="shared" si="13"/>
        <v>42</v>
      </c>
      <c r="H162" s="99">
        <f>G162+'29'!H162</f>
        <v>0</v>
      </c>
      <c r="I162" s="236"/>
      <c r="J162" s="239">
        <f>H162/DAY(B2)</f>
        <v>0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1844.2</v>
      </c>
      <c r="F163" s="235">
        <v>2026.1</v>
      </c>
      <c r="G163" s="238">
        <f t="shared" si="13"/>
        <v>181.89999999999986</v>
      </c>
      <c r="H163" s="99">
        <f>G163+'29'!H163</f>
        <v>99995.000000000015</v>
      </c>
      <c r="I163" s="236"/>
      <c r="J163" s="239">
        <f>H163/DAY(B2)</f>
        <v>3333.166666666667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5886.2</v>
      </c>
      <c r="F164" s="235">
        <v>5898.4</v>
      </c>
      <c r="G164" s="238">
        <f t="shared" si="13"/>
        <v>12.199999999999818</v>
      </c>
      <c r="H164" s="99">
        <f>G164+'29'!H164</f>
        <v>0</v>
      </c>
      <c r="I164" s="236"/>
      <c r="J164" s="239">
        <f>H164/DAY(B2)</f>
        <v>0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31333.98</v>
      </c>
      <c r="F165" s="235">
        <v>31346.65</v>
      </c>
      <c r="G165" s="238">
        <f t="shared" si="13"/>
        <v>12.670000000001892</v>
      </c>
      <c r="H165" s="99">
        <f>G165+'29'!H165</f>
        <v>0</v>
      </c>
      <c r="I165" s="236"/>
      <c r="J165" s="239">
        <f>H165/DAY(B2)</f>
        <v>0</v>
      </c>
    </row>
    <row r="166" spans="1:10" ht="30.75" customHeight="1">
      <c r="A166" s="935"/>
      <c r="B166" s="935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f>'29'!F173</f>
        <v>8229</v>
      </c>
      <c r="F173" s="155">
        <v>8229</v>
      </c>
      <c r="G173" s="155">
        <f>F173-E173</f>
        <v>0</v>
      </c>
      <c r="H173" s="99">
        <f>G173+'29'!H173</f>
        <v>47</v>
      </c>
      <c r="I173" s="155"/>
      <c r="J173" s="178">
        <f>H173/DAY(B2)</f>
        <v>1.5666666666666667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'29'!F174</f>
        <v>40765</v>
      </c>
      <c r="F174" s="157">
        <v>40779</v>
      </c>
      <c r="G174" s="155">
        <f t="shared" ref="G174:G175" si="14">F174-E174</f>
        <v>14</v>
      </c>
      <c r="H174" s="99">
        <f>G174+'29'!H174</f>
        <v>0</v>
      </c>
      <c r="I174" s="155"/>
      <c r="J174" s="178">
        <f>H174/DAY(B2)</f>
        <v>0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'29'!F175</f>
        <v>23644</v>
      </c>
      <c r="F175" s="155">
        <v>23656</v>
      </c>
      <c r="G175" s="155">
        <f t="shared" si="14"/>
        <v>12</v>
      </c>
      <c r="H175" s="99">
        <f>G175+'29'!H175</f>
        <v>0</v>
      </c>
      <c r="I175" s="155"/>
      <c r="J175" s="178">
        <f>H175/DAY(B2)</f>
        <v>0</v>
      </c>
    </row>
    <row r="176" spans="1:10" ht="30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G176+'29'!H176</f>
        <v>47</v>
      </c>
      <c r="I176" s="155"/>
      <c r="J176" s="178">
        <f>H176/DAY(B2)</f>
        <v>1.5666666666666667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'29'!F178</f>
        <v>94739</v>
      </c>
      <c r="F178" s="155">
        <v>94851</v>
      </c>
      <c r="G178" s="155">
        <f>F178-E178</f>
        <v>112</v>
      </c>
      <c r="H178" s="99">
        <f>G178+'29'!H178</f>
        <v>2765</v>
      </c>
      <c r="I178" s="155"/>
      <c r="J178" s="178">
        <f>H178/DAY(B2)</f>
        <v>92.166666666666671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'29'!F179</f>
        <v>36002</v>
      </c>
      <c r="F179" s="155">
        <v>36002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'29'!F180</f>
        <v>6878</v>
      </c>
      <c r="F180" s="155">
        <v>6882</v>
      </c>
      <c r="G180" s="155">
        <f t="shared" si="15"/>
        <v>4</v>
      </c>
      <c r="H180" s="99">
        <f>G180+'29'!H180</f>
        <v>0</v>
      </c>
      <c r="I180" s="155"/>
      <c r="J180" s="178">
        <f>H180/DAY(B2)</f>
        <v>0</v>
      </c>
    </row>
    <row r="181" spans="1:10" ht="30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116</v>
      </c>
      <c r="H181" s="99">
        <f>G181+'29'!H181</f>
        <v>2765</v>
      </c>
      <c r="I181" s="155"/>
      <c r="J181" s="178">
        <f>H181/DAY(B2)</f>
        <v>92.166666666666671</v>
      </c>
    </row>
    <row r="182" spans="1:10" ht="30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157">
        <v>17275</v>
      </c>
      <c r="F183" s="157">
        <v>17275</v>
      </c>
      <c r="G183" s="157">
        <f>F183-E183</f>
        <v>0</v>
      </c>
      <c r="H183" s="99">
        <f>G183+'29'!H183</f>
        <v>-6</v>
      </c>
      <c r="I183" s="155"/>
      <c r="J183" s="178">
        <f>H183/DAY(B2)</f>
        <v>-0.2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157">
        <v>11689</v>
      </c>
      <c r="F184" s="157">
        <v>11689</v>
      </c>
      <c r="G184" s="157">
        <f t="shared" ref="G184:G185" si="16">F184-E184</f>
        <v>0</v>
      </c>
      <c r="H184" s="99">
        <f>G184+'29'!H184</f>
        <v>-5</v>
      </c>
      <c r="I184" s="155"/>
      <c r="J184" s="178">
        <f>H184/DAY(B2)</f>
        <v>-0.16666666666666666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0</v>
      </c>
      <c r="H186" s="99">
        <f>G186+'29'!H186</f>
        <v>-11</v>
      </c>
      <c r="I186" s="157"/>
      <c r="J186" s="178">
        <f>H186/DAY(B2)</f>
        <v>-0.36666666666666664</v>
      </c>
    </row>
    <row r="187" spans="1:10" ht="30.75" customHeight="1">
      <c r="A187" s="943" t="s">
        <v>217</v>
      </c>
      <c r="B187" s="944"/>
      <c r="C187" s="333"/>
      <c r="D187" s="228" t="s">
        <v>142</v>
      </c>
      <c r="E187" s="95"/>
      <c r="F187" s="159"/>
      <c r="G187" s="159">
        <f>G62+G19</f>
        <v>132</v>
      </c>
      <c r="H187" s="99">
        <f>G187+'29'!H187</f>
        <v>775</v>
      </c>
      <c r="I187" s="158"/>
      <c r="J187" s="179">
        <f>H187/DAY(B2)</f>
        <v>25.833333333333332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123</v>
      </c>
      <c r="H188" s="99">
        <f>G188+'29'!H188</f>
        <v>2221</v>
      </c>
      <c r="I188" s="158"/>
      <c r="J188" s="179">
        <f>H188/DAY(B2)</f>
        <v>74.033333333333331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116</v>
      </c>
      <c r="H189" s="99">
        <f>G189+'29'!H189</f>
        <v>1197</v>
      </c>
      <c r="I189" s="158"/>
      <c r="J189" s="179">
        <f>H189/DAY(B2)</f>
        <v>39.9</v>
      </c>
    </row>
    <row r="190" spans="1:10" ht="30.75" customHeight="1">
      <c r="A190" s="937"/>
      <c r="B190" s="938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46" zoomScale="55" zoomScaleNormal="7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44712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91" t="s">
        <v>129</v>
      </c>
      <c r="B7" s="992"/>
      <c r="C7" s="993"/>
      <c r="D7" s="151" t="s">
        <v>130</v>
      </c>
      <c r="E7" s="95">
        <v>659722</v>
      </c>
      <c r="F7" s="95">
        <f>E7+27500</f>
        <v>687222</v>
      </c>
      <c r="G7" s="112">
        <f>F7-E7</f>
        <v>27500</v>
      </c>
      <c r="H7" s="99">
        <f>G7+'30'!H7</f>
        <v>843567.97</v>
      </c>
      <c r="I7" s="113">
        <f>'1'!I7</f>
        <v>12000</v>
      </c>
      <c r="J7" s="175">
        <f>H7/DAY(B2)</f>
        <v>27211.87</v>
      </c>
      <c r="K7" s="172">
        <v>1375467</v>
      </c>
      <c r="L7" s="66"/>
      <c r="N7" s="87">
        <f>F7-'1'!E7</f>
        <v>164257.5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772666</v>
      </c>
      <c r="F8" s="95">
        <f>E8+27000</f>
        <v>799666</v>
      </c>
      <c r="G8" s="115">
        <f>F8-E8</f>
        <v>27000</v>
      </c>
      <c r="H8" s="99">
        <f>G8+'30'!H8</f>
        <v>840465.64999999991</v>
      </c>
      <c r="I8" s="116"/>
      <c r="J8" s="175">
        <f>H8/DAY(B2)</f>
        <v>27111.79516129032</v>
      </c>
      <c r="K8" s="172">
        <v>1715917</v>
      </c>
      <c r="L8" s="76">
        <v>1728480</v>
      </c>
      <c r="M8" s="87">
        <f>L8-K8</f>
        <v>12563</v>
      </c>
      <c r="N8" s="87">
        <f>F8-'1'!E8</f>
        <v>137877</v>
      </c>
      <c r="O8" s="71"/>
    </row>
    <row r="9" spans="1:15" ht="25.5">
      <c r="A9" s="994" t="s">
        <v>132</v>
      </c>
      <c r="B9" s="995"/>
      <c r="C9" s="996"/>
      <c r="D9" s="151" t="s">
        <v>130</v>
      </c>
      <c r="E9" s="469">
        <v>2422360</v>
      </c>
      <c r="F9" s="469">
        <v>2437690</v>
      </c>
      <c r="G9" s="112">
        <f>F9-E9</f>
        <v>15330</v>
      </c>
      <c r="H9" s="99">
        <f>G9+'30'!H9</f>
        <v>15330</v>
      </c>
      <c r="I9" s="124">
        <f>I7-J7</f>
        <v>-15211.869999999999</v>
      </c>
      <c r="J9" s="175">
        <f>H9/DAY(B2)</f>
        <v>494.51612903225805</v>
      </c>
      <c r="K9" s="79">
        <f>K8-100</f>
        <v>1715817</v>
      </c>
      <c r="L9" s="66"/>
      <c r="N9" s="87"/>
      <c r="O9" s="71"/>
    </row>
    <row r="10" spans="1:15" ht="25.5">
      <c r="A10" s="991" t="s">
        <v>133</v>
      </c>
      <c r="B10" s="992"/>
      <c r="C10" s="993"/>
      <c r="D10" s="151" t="s">
        <v>130</v>
      </c>
      <c r="E10" s="353">
        <v>889027</v>
      </c>
      <c r="F10" s="353">
        <v>901404</v>
      </c>
      <c r="G10" s="112">
        <f t="shared" ref="G10:G12" si="0">F10-E10</f>
        <v>12377</v>
      </c>
      <c r="H10" s="99">
        <f>G10+'30'!H10</f>
        <v>12377</v>
      </c>
      <c r="I10" s="120"/>
      <c r="J10" s="175">
        <f>H10/DAY(B2)</f>
        <v>399.25806451612902</v>
      </c>
      <c r="K10" s="79"/>
      <c r="L10" s="66"/>
      <c r="N10" s="87"/>
      <c r="O10" s="71"/>
    </row>
    <row r="11" spans="1:15" ht="25.5">
      <c r="A11" s="991" t="s">
        <v>134</v>
      </c>
      <c r="B11" s="992"/>
      <c r="C11" s="993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91" t="s">
        <v>135</v>
      </c>
      <c r="B12" s="992"/>
      <c r="C12" s="993"/>
      <c r="D12" s="151" t="s">
        <v>130</v>
      </c>
      <c r="E12" s="117"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27707</v>
      </c>
      <c r="H13" s="99">
        <f>G13+'30'!H13</f>
        <v>29435.930000000168</v>
      </c>
      <c r="I13" s="120">
        <f>G7-G13</f>
        <v>-207</v>
      </c>
      <c r="J13" s="175">
        <f>H13/DAY(B2)</f>
        <v>949.54612903226348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71" t="s">
        <v>138</v>
      </c>
      <c r="B15" s="872"/>
      <c r="C15" s="873"/>
      <c r="D15" s="151" t="s">
        <v>139</v>
      </c>
      <c r="E15" s="469">
        <v>2036021</v>
      </c>
      <c r="F15" s="469">
        <f>E15+1000</f>
        <v>2037021</v>
      </c>
      <c r="G15" s="112">
        <f>(F15-E15)</f>
        <v>1000</v>
      </c>
      <c r="H15" s="99">
        <f>G15+'30'!H15</f>
        <v>31382.830000000307</v>
      </c>
      <c r="I15" s="113">
        <f>'1'!I15</f>
        <v>800</v>
      </c>
      <c r="J15" s="175">
        <f>H15/DAY(B2)</f>
        <v>1012.3493548387196</v>
      </c>
      <c r="K15" s="79"/>
      <c r="L15" s="66"/>
      <c r="N15" s="87">
        <f>F15-'1'!E15</f>
        <v>-31057.409999999916</v>
      </c>
      <c r="O15" s="71"/>
    </row>
    <row r="16" spans="1:15" ht="21.95" customHeight="1">
      <c r="A16" s="988"/>
      <c r="B16" s="989"/>
      <c r="C16" s="990"/>
      <c r="D16" s="152"/>
      <c r="E16" s="123"/>
      <c r="F16" s="123"/>
      <c r="G16" s="112"/>
      <c r="H16" s="124"/>
      <c r="I16" s="113">
        <f>'1'!I16</f>
        <v>-162.59000000008382</v>
      </c>
      <c r="J16" s="758">
        <f>H16/DAY(B2)</f>
        <v>0</v>
      </c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122">
        <v>23</v>
      </c>
      <c r="F18" s="164">
        <v>30</v>
      </c>
      <c r="G18" s="119">
        <f>F18*10</f>
        <v>300</v>
      </c>
      <c r="H18" s="99">
        <f>G18+'30'!H18</f>
        <v>5750</v>
      </c>
      <c r="I18" s="113">
        <f>'1'!I18</f>
        <v>65</v>
      </c>
      <c r="J18" s="175">
        <f>H18/DAY(B2)</f>
        <v>185.48387096774192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122">
        <v>160057</v>
      </c>
      <c r="F19" s="122">
        <v>160107</v>
      </c>
      <c r="G19" s="112">
        <f t="shared" ref="G19" si="1">F19-E19</f>
        <v>50</v>
      </c>
      <c r="H19" s="99">
        <f>G19+'30'!H19</f>
        <v>825</v>
      </c>
      <c r="I19" s="123"/>
      <c r="J19" s="175">
        <f>H19/DAY(B2)</f>
        <v>26.612903225806452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350</v>
      </c>
      <c r="H20" s="99">
        <f>G20+'30'!H20</f>
        <v>6575</v>
      </c>
      <c r="I20" s="336">
        <f>I18-J20</f>
        <v>-147.09677419354838</v>
      </c>
      <c r="J20" s="175">
        <f>H20/DAY(B2)</f>
        <v>212.09677419354838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G27+'30'!H27</f>
        <v>7564190.8499999996</v>
      </c>
      <c r="I27" s="138"/>
      <c r="J27" s="175">
        <f>H27/DAY(B2)</f>
        <v>244006.15645161289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52</v>
      </c>
      <c r="G28" s="137">
        <f>E28*F28</f>
        <v>52000</v>
      </c>
      <c r="H28" s="99">
        <f>G28+'30'!H28</f>
        <v>2142798.1000000215</v>
      </c>
      <c r="I28" s="528"/>
      <c r="J28" s="175">
        <f>H28/DAY(B2)</f>
        <v>69122.519354839402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8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G30+'30'!H30</f>
        <v>124060</v>
      </c>
      <c r="I30" s="528"/>
      <c r="J30" s="175">
        <f>H30/DAY(B2)</f>
        <v>4001.9354838709678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G31+'30'!H31</f>
        <v>460000</v>
      </c>
      <c r="I31" s="528"/>
      <c r="J31" s="175">
        <f>H31/DAY(B2)</f>
        <v>14838.709677419354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326300</v>
      </c>
      <c r="H32" s="99">
        <f>G32+'30'!H32</f>
        <v>10291048.950000022</v>
      </c>
      <c r="I32" s="144"/>
      <c r="J32" s="175">
        <f>H32/DAY(B2)</f>
        <v>331969.32096774265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529"/>
      <c r="F33" s="529"/>
      <c r="G33" s="529"/>
      <c r="H33" s="529"/>
      <c r="I33" s="529"/>
      <c r="J33" s="530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238714</v>
      </c>
      <c r="F35" s="145">
        <v>238714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159651</v>
      </c>
      <c r="F36" s="145">
        <v>160448</v>
      </c>
      <c r="G36" s="112">
        <f t="shared" si="3"/>
        <v>797</v>
      </c>
      <c r="H36" s="99">
        <f>G36+'30'!H36</f>
        <v>797</v>
      </c>
      <c r="I36" s="95"/>
      <c r="J36" s="175">
        <f>H36/DAY(B2)</f>
        <v>25.70967741935484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233989</v>
      </c>
      <c r="F37" s="145">
        <v>235779</v>
      </c>
      <c r="G37" s="112">
        <f t="shared" si="3"/>
        <v>1790</v>
      </c>
      <c r="H37" s="99">
        <f>G37+'30'!H37</f>
        <v>1790</v>
      </c>
      <c r="I37" s="95"/>
      <c r="J37" s="175">
        <f>H37/DAY(B2)</f>
        <v>57.741935483870968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314008</v>
      </c>
      <c r="F38" s="108">
        <v>316292</v>
      </c>
      <c r="G38" s="112">
        <f t="shared" si="3"/>
        <v>2284</v>
      </c>
      <c r="H38" s="99">
        <f>G38+'30'!H38</f>
        <v>2284</v>
      </c>
      <c r="I38" s="95"/>
      <c r="J38" s="175">
        <f>H38/DAY(B2)</f>
        <v>73.677419354838705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429068</v>
      </c>
      <c r="F39" s="145">
        <v>432285</v>
      </c>
      <c r="G39" s="112">
        <f t="shared" si="3"/>
        <v>3217</v>
      </c>
      <c r="H39" s="99">
        <f>G39+'30'!H39</f>
        <v>3217</v>
      </c>
      <c r="I39" s="95"/>
      <c r="J39" s="175">
        <f>H39/DAY(B2)</f>
        <v>103.7741935483871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73273</v>
      </c>
      <c r="F40" s="145">
        <v>73553</v>
      </c>
      <c r="G40" s="112">
        <f t="shared" si="3"/>
        <v>280</v>
      </c>
      <c r="H40" s="99">
        <f>G40+'30'!H40</f>
        <v>280</v>
      </c>
      <c r="I40" s="95"/>
      <c r="J40" s="175">
        <f>H40/DAY(B2)</f>
        <v>9.0322580645161299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68835</v>
      </c>
      <c r="F41" s="145">
        <v>68835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554715</v>
      </c>
      <c r="F42" s="145">
        <v>559872</v>
      </c>
      <c r="G42" s="112">
        <f t="shared" si="3"/>
        <v>5157</v>
      </c>
      <c r="H42" s="99">
        <f>G42+'30'!H42</f>
        <v>5157</v>
      </c>
      <c r="I42" s="95"/>
      <c r="J42" s="175">
        <f>H42/DAY(B2)</f>
        <v>166.35483870967741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13525</v>
      </c>
      <c r="H47" s="99">
        <f>G47+'30'!H47</f>
        <v>13525.000000000029</v>
      </c>
      <c r="I47" s="95"/>
      <c r="J47" s="175">
        <f>H47/DAY(B2)</f>
        <v>436.29032258064609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253417</v>
      </c>
      <c r="F49" s="145">
        <v>257147</v>
      </c>
      <c r="G49" s="112">
        <f t="shared" ref="G49:G58" si="4">F49-E49</f>
        <v>3730</v>
      </c>
      <c r="H49" s="99">
        <f>G49+'30'!H49</f>
        <v>730</v>
      </c>
      <c r="I49" s="95"/>
      <c r="J49" s="175">
        <f>H49/DAY(B2)</f>
        <v>23.548387096774192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208631</v>
      </c>
      <c r="F50" s="145">
        <v>209564</v>
      </c>
      <c r="G50" s="112">
        <f t="shared" si="4"/>
        <v>933</v>
      </c>
      <c r="H50" s="99">
        <f>G50+'30'!H50</f>
        <v>933</v>
      </c>
      <c r="I50" s="95"/>
      <c r="J50" s="175">
        <f>H50/DAY(B2)</f>
        <v>30.096774193548388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64071.6</v>
      </c>
      <c r="F54" s="145">
        <v>64556</v>
      </c>
      <c r="G54" s="112">
        <f t="shared" si="4"/>
        <v>484.40000000000146</v>
      </c>
      <c r="H54" s="99">
        <f>G54+'30'!H54</f>
        <v>484.40000000000146</v>
      </c>
      <c r="I54" s="95"/>
      <c r="J54" s="175">
        <f>H54/DAY(B2)</f>
        <v>15.62580645161295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222542</v>
      </c>
      <c r="F55" s="145">
        <v>225473</v>
      </c>
      <c r="G55" s="112">
        <f t="shared" si="4"/>
        <v>2931</v>
      </c>
      <c r="H55" s="99">
        <f>G55+'30'!H55</f>
        <v>2931</v>
      </c>
      <c r="I55" s="95"/>
      <c r="J55" s="175">
        <f>H55/DAY(B2)</f>
        <v>94.548387096774192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107246</v>
      </c>
      <c r="F56" s="145">
        <v>107246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33265</v>
      </c>
      <c r="F57" s="145">
        <v>35789</v>
      </c>
      <c r="G57" s="112">
        <f t="shared" si="4"/>
        <v>2524</v>
      </c>
      <c r="H57" s="99">
        <f>G57+'30'!H57</f>
        <v>2524</v>
      </c>
      <c r="I57" s="95"/>
      <c r="J57" s="175">
        <f>H57/DAY(B2)</f>
        <v>81.41935483870968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32402.080000000002</v>
      </c>
      <c r="F58" s="145">
        <v>32659</v>
      </c>
      <c r="G58" s="112">
        <f t="shared" si="4"/>
        <v>256.91999999999825</v>
      </c>
      <c r="H58" s="99">
        <f>G58+'30'!H58</f>
        <v>256.91999999999825</v>
      </c>
      <c r="I58" s="95"/>
      <c r="J58" s="175">
        <f>H58/DAY(B2)</f>
        <v>8.2877419354838153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10859.32</v>
      </c>
      <c r="H59" s="99">
        <f>G59+'30'!H59</f>
        <v>7859.3199999999415</v>
      </c>
      <c r="I59" s="95">
        <f>G7-G60</f>
        <v>3115.6800000000003</v>
      </c>
      <c r="J59" s="175">
        <f>H59/DAY(B2)</f>
        <v>253.52645161290133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24384.32</v>
      </c>
      <c r="H60" s="99">
        <f>G60+'30'!H60</f>
        <v>21384.319999999963</v>
      </c>
      <c r="I60" s="95">
        <f>G13-G60</f>
        <v>3322.6800000000003</v>
      </c>
      <c r="J60" s="175">
        <f>H60/DAY(B2)</f>
        <v>689.81677419354719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150">
        <v>288750</v>
      </c>
      <c r="F62" s="122">
        <v>288900</v>
      </c>
      <c r="G62" s="112">
        <f t="shared" ref="G62:G63" si="5">F62-E62</f>
        <v>150</v>
      </c>
      <c r="H62" s="99">
        <f>G62+'30'!H62</f>
        <v>150</v>
      </c>
      <c r="I62" s="95"/>
      <c r="J62" s="175">
        <f>H62/DAY(B2)</f>
        <v>4.838709677419355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150">
        <v>231045</v>
      </c>
      <c r="F63" s="164">
        <v>231162</v>
      </c>
      <c r="G63" s="112">
        <f t="shared" si="5"/>
        <v>117</v>
      </c>
      <c r="H63" s="99">
        <f>G63+'30'!H63</f>
        <v>117</v>
      </c>
      <c r="I63" s="95"/>
      <c r="J63" s="175">
        <f>H63/DAY(B2)</f>
        <v>3.774193548387097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150"/>
      <c r="F64" s="122"/>
      <c r="G64" s="112">
        <f>G62+G63</f>
        <v>267</v>
      </c>
      <c r="H64" s="99">
        <f>G64+'30'!H64</f>
        <v>267</v>
      </c>
      <c r="I64" s="95"/>
      <c r="J64" s="175">
        <f>H64/DAY(B2)</f>
        <v>8.612903225806452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150">
        <v>447922</v>
      </c>
      <c r="F65" s="122">
        <v>448027</v>
      </c>
      <c r="G65" s="112">
        <f t="shared" ref="G65:G70" si="6">F65-E65</f>
        <v>105</v>
      </c>
      <c r="H65" s="99">
        <f>G65+'30'!H65</f>
        <v>105</v>
      </c>
      <c r="I65" s="95"/>
      <c r="J65" s="175">
        <f>H65/DAY(B2)</f>
        <v>3.3870967741935485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110309</v>
      </c>
      <c r="F66" s="122">
        <v>110331</v>
      </c>
      <c r="G66" s="112">
        <f t="shared" si="6"/>
        <v>22</v>
      </c>
      <c r="H66" s="99">
        <f>G66+'30'!H66</f>
        <v>22</v>
      </c>
      <c r="I66" s="95"/>
      <c r="J66" s="175">
        <f>H66/DAY(B2)</f>
        <v>0.70967741935483875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113209</v>
      </c>
      <c r="F67" s="122">
        <v>113278</v>
      </c>
      <c r="G67" s="112">
        <f t="shared" si="6"/>
        <v>69</v>
      </c>
      <c r="H67" s="99">
        <f>G67+'30'!H67</f>
        <v>69</v>
      </c>
      <c r="I67" s="95"/>
      <c r="J67" s="175">
        <f>H67/DAY(B2)</f>
        <v>2.225806451612903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162465</v>
      </c>
      <c r="F68" s="122">
        <v>162494</v>
      </c>
      <c r="G68" s="112">
        <f t="shared" si="6"/>
        <v>29</v>
      </c>
      <c r="H68" s="99">
        <f>G68+'30'!H68</f>
        <v>29</v>
      </c>
      <c r="I68" s="95"/>
      <c r="J68" s="175">
        <f>H68/DAY(B2)</f>
        <v>0.93548387096774188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11860</v>
      </c>
      <c r="F69" s="122">
        <v>11869</v>
      </c>
      <c r="G69" s="112">
        <f t="shared" si="6"/>
        <v>9</v>
      </c>
      <c r="H69" s="99">
        <f>G69+'30'!H69</f>
        <v>9</v>
      </c>
      <c r="I69" s="95"/>
      <c r="J69" s="175">
        <f>H69/DAY(B2)</f>
        <v>0.29032258064516131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9244</v>
      </c>
      <c r="F70" s="122">
        <v>9267</v>
      </c>
      <c r="G70" s="112">
        <f t="shared" si="6"/>
        <v>23</v>
      </c>
      <c r="H70" s="99">
        <f>G70+'30'!H70</f>
        <v>23</v>
      </c>
      <c r="I70" s="95"/>
      <c r="J70" s="175">
        <f>H70/DAY(B2)</f>
        <v>0.74193548387096775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257</v>
      </c>
      <c r="H71" s="99">
        <f>G71+'30'!H71</f>
        <v>257</v>
      </c>
      <c r="I71" s="531"/>
      <c r="J71" s="175">
        <f>H71/DAY(B2)</f>
        <v>8.2903225806451619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/>
      <c r="F72" s="412"/>
      <c r="G72" s="412"/>
      <c r="H72" s="181"/>
      <c r="I72" s="412"/>
      <c r="J72" s="53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123">
        <v>938346</v>
      </c>
      <c r="F74" s="123">
        <v>938670</v>
      </c>
      <c r="G74" s="112">
        <f t="shared" ref="G74:G78" si="7">F74-E74</f>
        <v>324</v>
      </c>
      <c r="H74" s="99">
        <f>G74+'30'!H74</f>
        <v>324</v>
      </c>
      <c r="I74" s="531"/>
      <c r="J74" s="175">
        <f>H74/DAY(B2)</f>
        <v>10.451612903225806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-0.80000000000291038</v>
      </c>
      <c r="I75" s="531"/>
      <c r="J75" s="175">
        <f>H75/DAY(B2)</f>
        <v>-2.5806451612997109E-2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123">
        <v>183607</v>
      </c>
      <c r="F76" s="123">
        <v>183706</v>
      </c>
      <c r="G76" s="112">
        <f t="shared" si="7"/>
        <v>99</v>
      </c>
      <c r="H76" s="99">
        <f>G76+'30'!H76</f>
        <v>99</v>
      </c>
      <c r="I76" s="531"/>
      <c r="J76" s="175">
        <f>H76/DAY(B2)</f>
        <v>3.193548387096774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123">
        <v>47298</v>
      </c>
      <c r="F77" s="410">
        <v>47345</v>
      </c>
      <c r="G77" s="112">
        <f t="shared" si="7"/>
        <v>47</v>
      </c>
      <c r="H77" s="99">
        <f>G77+'30'!H77</f>
        <v>47</v>
      </c>
      <c r="I77" s="531"/>
      <c r="J77" s="175">
        <f>H77/DAY(B2)</f>
        <v>1.5161290322580645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123">
        <v>9563.4</v>
      </c>
      <c r="F78" s="410">
        <v>9563</v>
      </c>
      <c r="G78" s="112">
        <f t="shared" si="7"/>
        <v>-0.3999999999996362</v>
      </c>
      <c r="H78" s="99">
        <f>G78+'30'!H78</f>
        <v>-1.3999999999996362</v>
      </c>
      <c r="I78" s="95"/>
      <c r="J78" s="175">
        <f>H78/DAY(B2)</f>
        <v>-4.5161290322568909E-2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23"/>
      <c r="G79" s="112">
        <f>G15-SUM(G74:G78)</f>
        <v>530.39999999999964</v>
      </c>
      <c r="H79" s="99">
        <f>G79+'30'!H79</f>
        <v>30915.030000000312</v>
      </c>
      <c r="I79" s="95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95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41969</v>
      </c>
      <c r="F84" s="164">
        <v>41969</v>
      </c>
      <c r="G84" s="112">
        <f t="shared" si="8"/>
        <v>0</v>
      </c>
      <c r="H84" s="99">
        <f>G84+'30'!H84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4319</v>
      </c>
      <c r="F85" s="164">
        <v>4343</v>
      </c>
      <c r="G85" s="112">
        <f t="shared" si="8"/>
        <v>24</v>
      </c>
      <c r="H85" s="99">
        <f>G85+'30'!H85</f>
        <v>24</v>
      </c>
      <c r="I85" s="573"/>
      <c r="J85" s="175">
        <f>H85/DAY(B2)</f>
        <v>0.77419354838709675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44452</v>
      </c>
      <c r="F86" s="164">
        <v>44470</v>
      </c>
      <c r="G86" s="112">
        <f t="shared" si="8"/>
        <v>18</v>
      </c>
      <c r="H86" s="99">
        <f>G86+'30'!H86</f>
        <v>18</v>
      </c>
      <c r="I86" s="573"/>
      <c r="J86" s="175">
        <f>H86/DAY(B2)</f>
        <v>0.58064516129032262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35329</v>
      </c>
      <c r="F87" s="164">
        <v>35329</v>
      </c>
      <c r="G87" s="112">
        <f t="shared" si="8"/>
        <v>0</v>
      </c>
      <c r="H87" s="99">
        <f>G87+'30'!H87</f>
        <v>0</v>
      </c>
      <c r="I87" s="573">
        <f>G84+G85+G86+G87</f>
        <v>42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24218.36</v>
      </c>
      <c r="F88" s="164">
        <v>24227.88</v>
      </c>
      <c r="G88" s="112">
        <f t="shared" si="8"/>
        <v>9.5200000000004366</v>
      </c>
      <c r="H88" s="99">
        <f>G88+'30'!H88</f>
        <v>9.5200000000004366</v>
      </c>
      <c r="I88" s="573"/>
      <c r="J88" s="175">
        <f>H88/DAY(B2)</f>
        <v>0.30709677419356246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26982.02</v>
      </c>
      <c r="F89" s="164">
        <v>26993.41</v>
      </c>
      <c r="G89" s="112">
        <f t="shared" si="8"/>
        <v>11.389999999999418</v>
      </c>
      <c r="H89" s="99">
        <f>G89+'30'!H89</f>
        <v>11.389999999999418</v>
      </c>
      <c r="I89" s="573">
        <f>G88+G89</f>
        <v>20.909999999999854</v>
      </c>
      <c r="J89" s="175">
        <f>H89/DAY(B2)</f>
        <v>0.36741935483869093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72127.12</v>
      </c>
      <c r="F90" s="164">
        <v>72127.12</v>
      </c>
      <c r="G90" s="112">
        <f>F90-E90</f>
        <v>0</v>
      </c>
      <c r="H90" s="99">
        <f>G90+'30'!H90</f>
        <v>53.720000000001164</v>
      </c>
      <c r="I90" s="573">
        <f>G90</f>
        <v>0</v>
      </c>
      <c r="J90" s="175">
        <f>H90/DAY(B2)</f>
        <v>1.7329032258064891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4121.6499999999996</v>
      </c>
      <c r="F91" s="122">
        <v>4121.6499999999996</v>
      </c>
      <c r="G91" s="112">
        <f t="shared" si="8"/>
        <v>0</v>
      </c>
      <c r="H91" s="99">
        <f>G91+'30'!H91</f>
        <v>0</v>
      </c>
      <c r="I91" s="592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6206.1</v>
      </c>
      <c r="F92" s="122">
        <v>6217.25</v>
      </c>
      <c r="G92" s="112">
        <f t="shared" si="8"/>
        <v>11.149999999999636</v>
      </c>
      <c r="H92" s="99">
        <f>G92+'30'!H92</f>
        <v>11.149999999999636</v>
      </c>
      <c r="I92" s="598">
        <f>G91+G92</f>
        <v>11.149999999999636</v>
      </c>
      <c r="J92" s="175">
        <f>H92/DAY(B2)</f>
        <v>0.359677419354827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6254</v>
      </c>
      <c r="H94" s="99">
        <f>G94+'30'!H94</f>
        <v>3254</v>
      </c>
      <c r="I94" s="95"/>
      <c r="J94" s="175">
        <f>H94/DAY(B2)</f>
        <v>104.96774193548387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0.22741818181818182</v>
      </c>
      <c r="H95" s="99">
        <f>G95+'30'!H95</f>
        <v>0.20527372810239269</v>
      </c>
      <c r="I95" s="533"/>
      <c r="J95" s="175">
        <f>H95/DAY(B2)</f>
        <v>6.6217331645933124E-3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8088</v>
      </c>
      <c r="H96" s="99">
        <f>G96+'30'!H96</f>
        <v>8087.9999999999709</v>
      </c>
      <c r="I96" s="95"/>
      <c r="J96" s="175">
        <f>H96/DAY(B2)</f>
        <v>260.90322580645068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0.29410909090909093</v>
      </c>
      <c r="H97" s="99">
        <f>G97+'30'!H97</f>
        <v>0.37193120872731744</v>
      </c>
      <c r="I97" s="533"/>
      <c r="J97" s="175">
        <f>H97/DAY(B2)</f>
        <v>1.199778092668766E-2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3217</v>
      </c>
      <c r="H98" s="99">
        <f>G98+'30'!H98</f>
        <v>3217</v>
      </c>
      <c r="I98" s="513"/>
      <c r="J98" s="175">
        <f>H98/DAY(B2)</f>
        <v>103.7741935483871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0.11698181818181819</v>
      </c>
      <c r="H99" s="99">
        <f>G99+'30'!H99</f>
        <v>0.15477593736397915</v>
      </c>
      <c r="I99" s="513"/>
      <c r="J99" s="175">
        <f>H99/DAY(B2)</f>
        <v>4.9927721730315859E-3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2284</v>
      </c>
      <c r="H100" s="99">
        <f>G100+'30'!H100</f>
        <v>2284.0000000000073</v>
      </c>
      <c r="I100" s="95"/>
      <c r="J100" s="175">
        <f>H100/DAY(B2)</f>
        <v>73.677419354838946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8.305454545454545E-2</v>
      </c>
      <c r="H101" s="99">
        <f>G101+'30'!H101</f>
        <v>0.11189152867328958</v>
      </c>
      <c r="I101" s="513"/>
      <c r="J101" s="175">
        <f>H101/DAY(B2)</f>
        <v>3.609404150751277E-3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1730</v>
      </c>
      <c r="H102" s="99">
        <f>G102+'30'!H102</f>
        <v>1730</v>
      </c>
      <c r="I102" s="513"/>
      <c r="J102" s="175">
        <f>H102/DAY(B2)</f>
        <v>55.806451612903224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6.2909090909090915E-2</v>
      </c>
      <c r="H103" s="99">
        <f>G103+'30'!H103</f>
        <v>8.5077942060763592E-2</v>
      </c>
      <c r="I103" s="95"/>
      <c r="J103" s="175">
        <f>H103/DAY(B2)</f>
        <v>2.7444497438955996E-3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1790</v>
      </c>
      <c r="H104" s="99">
        <f>G104+'30'!H104</f>
        <v>1790</v>
      </c>
      <c r="I104" s="95"/>
      <c r="J104" s="175">
        <f>H104/DAY(B2)</f>
        <v>57.741935483870968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6.5090909090909088E-2</v>
      </c>
      <c r="H105" s="99">
        <f>G105+'30'!H105</f>
        <v>8.5882720191582232E-2</v>
      </c>
      <c r="I105" s="185"/>
      <c r="J105" s="188">
        <f>H105/DAY(B2)</f>
        <v>2.7704103287607171E-3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55"/>
      <c r="F111" s="155"/>
      <c r="G111" s="155"/>
      <c r="H111" s="156"/>
      <c r="I111" s="155"/>
      <c r="J111" s="156"/>
    </row>
    <row r="112" spans="1:15" ht="25.5">
      <c r="A112" s="904" t="s">
        <v>252</v>
      </c>
      <c r="B112" s="905"/>
      <c r="C112" s="906"/>
      <c r="D112" s="146" t="s">
        <v>183</v>
      </c>
      <c r="E112" s="237">
        <v>2596</v>
      </c>
      <c r="F112" s="237">
        <v>2677</v>
      </c>
      <c r="G112" s="112">
        <f t="shared" ref="G112:G123" si="9">F112-E112</f>
        <v>81</v>
      </c>
      <c r="H112" s="99">
        <f>G112+'30'!H112</f>
        <v>81</v>
      </c>
      <c r="I112" s="155"/>
      <c r="J112" s="328">
        <f>H112/DAY(B2)</f>
        <v>2.6129032258064515</v>
      </c>
    </row>
    <row r="113" spans="1:18" ht="25.5">
      <c r="A113" s="904" t="s">
        <v>253</v>
      </c>
      <c r="B113" s="905"/>
      <c r="C113" s="906"/>
      <c r="D113" s="146" t="s">
        <v>183</v>
      </c>
      <c r="E113" s="237">
        <v>6205</v>
      </c>
      <c r="F113" s="237">
        <v>6391</v>
      </c>
      <c r="G113" s="112">
        <f t="shared" si="9"/>
        <v>186</v>
      </c>
      <c r="H113" s="99">
        <f>G113+'30'!H113</f>
        <v>186</v>
      </c>
      <c r="I113" s="155"/>
      <c r="J113" s="328">
        <f>H113/DAY(B2)</f>
        <v>6</v>
      </c>
    </row>
    <row r="114" spans="1:18" ht="25.5">
      <c r="A114" s="904" t="s">
        <v>254</v>
      </c>
      <c r="B114" s="905"/>
      <c r="C114" s="906"/>
      <c r="D114" s="146" t="s">
        <v>183</v>
      </c>
      <c r="E114" s="237">
        <v>7313</v>
      </c>
      <c r="F114" s="237">
        <v>7570</v>
      </c>
      <c r="G114" s="112">
        <f t="shared" si="9"/>
        <v>257</v>
      </c>
      <c r="H114" s="99">
        <f>G114+'30'!H114</f>
        <v>257</v>
      </c>
      <c r="I114" s="155"/>
      <c r="J114" s="328">
        <f>H114/DAY(B2)</f>
        <v>8.2903225806451619</v>
      </c>
    </row>
    <row r="115" spans="1:18" ht="25.5">
      <c r="A115" s="904" t="s">
        <v>255</v>
      </c>
      <c r="B115" s="905"/>
      <c r="C115" s="906"/>
      <c r="D115" s="146" t="s">
        <v>183</v>
      </c>
      <c r="E115" s="237">
        <v>555</v>
      </c>
      <c r="F115" s="237">
        <v>561</v>
      </c>
      <c r="G115" s="112">
        <f t="shared" si="9"/>
        <v>6</v>
      </c>
      <c r="H115" s="99">
        <f>G115+'30'!H115</f>
        <v>-103.22000000000116</v>
      </c>
      <c r="I115" s="155"/>
      <c r="J115" s="328">
        <f>H115/DAY(B2)</f>
        <v>-3.3296774193548764</v>
      </c>
    </row>
    <row r="116" spans="1:18" ht="25.5">
      <c r="A116" s="922" t="s">
        <v>96</v>
      </c>
      <c r="B116" s="923"/>
      <c r="C116" s="924"/>
      <c r="D116" s="146" t="s">
        <v>183</v>
      </c>
      <c r="E116" s="237">
        <v>46373</v>
      </c>
      <c r="F116" s="237">
        <v>46755</v>
      </c>
      <c r="G116" s="112">
        <f t="shared" si="9"/>
        <v>382</v>
      </c>
      <c r="H116" s="99">
        <f>G116+'30'!H116</f>
        <v>382</v>
      </c>
      <c r="I116" s="155"/>
      <c r="J116" s="328">
        <f>H116/DAY(B2)</f>
        <v>12.32258064516129</v>
      </c>
      <c r="Q116" s="904"/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237">
        <v>25028</v>
      </c>
      <c r="F117" s="237">
        <v>25268</v>
      </c>
      <c r="G117" s="112">
        <f t="shared" si="9"/>
        <v>240</v>
      </c>
      <c r="H117" s="99">
        <f>G117+'30'!H117</f>
        <v>240</v>
      </c>
      <c r="I117" s="155"/>
      <c r="J117" s="328">
        <f>H117/DAY(B2)</f>
        <v>7.741935483870968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237">
        <v>25614</v>
      </c>
      <c r="F118" s="237">
        <v>26225</v>
      </c>
      <c r="G118" s="112">
        <f t="shared" si="9"/>
        <v>611</v>
      </c>
      <c r="H118" s="99">
        <f>G118+'30'!H118</f>
        <v>611</v>
      </c>
      <c r="I118" s="155"/>
      <c r="J118" s="328">
        <f>H118/DAY(B2)</f>
        <v>19.70967741935484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237">
        <v>18559</v>
      </c>
      <c r="F119" s="237">
        <v>18947</v>
      </c>
      <c r="G119" s="112">
        <f t="shared" si="9"/>
        <v>388</v>
      </c>
      <c r="H119" s="99">
        <f>G119+'30'!H119</f>
        <v>388</v>
      </c>
      <c r="I119" s="155"/>
      <c r="J119" s="328">
        <f>H119/DAY(B2)</f>
        <v>12.516129032258064</v>
      </c>
    </row>
    <row r="120" spans="1:18" ht="25.5">
      <c r="A120" s="899" t="s">
        <v>99</v>
      </c>
      <c r="B120" s="899"/>
      <c r="C120" s="899"/>
      <c r="D120" s="151" t="s">
        <v>183</v>
      </c>
      <c r="E120" s="237">
        <v>19645</v>
      </c>
      <c r="F120" s="237">
        <v>20050</v>
      </c>
      <c r="G120" s="112">
        <f t="shared" si="9"/>
        <v>405</v>
      </c>
      <c r="H120" s="99">
        <f>G120+'30'!H120</f>
        <v>405</v>
      </c>
      <c r="I120" s="155"/>
      <c r="J120" s="328">
        <f>H120/DAY(B2)</f>
        <v>13.064516129032258</v>
      </c>
    </row>
    <row r="121" spans="1:18" ht="25.5">
      <c r="A121" s="899" t="s">
        <v>100</v>
      </c>
      <c r="B121" s="899"/>
      <c r="C121" s="899"/>
      <c r="D121" s="151" t="s">
        <v>183</v>
      </c>
      <c r="E121" s="237">
        <v>25401</v>
      </c>
      <c r="F121" s="237">
        <v>25844</v>
      </c>
      <c r="G121" s="112">
        <f t="shared" si="9"/>
        <v>443</v>
      </c>
      <c r="H121" s="99">
        <f>G121+'30'!H121</f>
        <v>443</v>
      </c>
      <c r="I121" s="155"/>
      <c r="J121" s="328">
        <f>H121/DAY(B2)</f>
        <v>14.290322580645162</v>
      </c>
    </row>
    <row r="122" spans="1:18" ht="25.5">
      <c r="A122" s="899" t="s">
        <v>101</v>
      </c>
      <c r="B122" s="899"/>
      <c r="C122" s="899"/>
      <c r="D122" s="151" t="s">
        <v>183</v>
      </c>
      <c r="E122" s="237">
        <v>10891</v>
      </c>
      <c r="F122" s="237">
        <v>11160</v>
      </c>
      <c r="G122" s="112">
        <f t="shared" si="9"/>
        <v>269</v>
      </c>
      <c r="H122" s="99">
        <f>G122+'30'!H122</f>
        <v>269</v>
      </c>
      <c r="I122" s="155"/>
      <c r="J122" s="328">
        <f>H122/DAY(B2)</f>
        <v>8.67741935483871</v>
      </c>
    </row>
    <row r="123" spans="1:18" ht="25.5">
      <c r="A123" s="899" t="s">
        <v>348</v>
      </c>
      <c r="B123" s="899"/>
      <c r="C123" s="899"/>
      <c r="D123" s="151" t="s">
        <v>183</v>
      </c>
      <c r="E123" s="237">
        <v>10178</v>
      </c>
      <c r="F123" s="237">
        <v>10509</v>
      </c>
      <c r="G123" s="112">
        <f t="shared" si="9"/>
        <v>331</v>
      </c>
      <c r="H123" s="99">
        <f>G123+'30'!H123</f>
        <v>331</v>
      </c>
      <c r="I123" s="155"/>
      <c r="J123" s="328">
        <f>H123/DAY(B2)</f>
        <v>10.67741935483871</v>
      </c>
    </row>
    <row r="124" spans="1:18" ht="25.5">
      <c r="A124" s="929"/>
      <c r="B124" s="930"/>
      <c r="C124" s="931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932" t="s">
        <v>196</v>
      </c>
      <c r="B125" s="997"/>
      <c r="C125" s="933"/>
      <c r="D125" s="307"/>
      <c r="E125" s="308"/>
      <c r="F125" s="308"/>
      <c r="G125" s="309">
        <f>SUM(G112:G124)</f>
        <v>3599</v>
      </c>
      <c r="H125" s="156"/>
      <c r="I125" s="156">
        <f>G125-(G39+G53)</f>
        <v>382</v>
      </c>
      <c r="J125" s="156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165">
        <v>95163</v>
      </c>
      <c r="F128" s="155">
        <v>95715</v>
      </c>
      <c r="G128" s="112">
        <f t="shared" ref="G128:G134" si="10">F128-E128</f>
        <v>552</v>
      </c>
      <c r="H128" s="99">
        <f>G128+'30'!H128</f>
        <v>552</v>
      </c>
      <c r="I128" s="155"/>
      <c r="J128" s="328">
        <f>H128/DAY(B2)</f>
        <v>17.806451612903224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59998</v>
      </c>
      <c r="F129" s="155">
        <v>60293</v>
      </c>
      <c r="G129" s="112">
        <f t="shared" si="10"/>
        <v>295</v>
      </c>
      <c r="H129" s="99">
        <f>G129+'30'!H129</f>
        <v>295</v>
      </c>
      <c r="I129" s="155"/>
      <c r="J129" s="328">
        <f>H129/DAY(B2)</f>
        <v>9.5161290322580641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118547</v>
      </c>
      <c r="F130" s="425">
        <v>119113</v>
      </c>
      <c r="G130" s="611">
        <f t="shared" si="10"/>
        <v>566</v>
      </c>
      <c r="H130" s="99">
        <f>G130+'30'!H130</f>
        <v>21.730000000010477</v>
      </c>
      <c r="I130" s="155"/>
      <c r="J130" s="328">
        <f>H130/DAY(B2)</f>
        <v>0.7009677419358219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165">
        <v>36087</v>
      </c>
      <c r="F131" s="155">
        <v>36279</v>
      </c>
      <c r="G131" s="112">
        <f t="shared" si="10"/>
        <v>192</v>
      </c>
      <c r="H131" s="99">
        <f>G131+'30'!H131</f>
        <v>192</v>
      </c>
      <c r="I131" s="155"/>
      <c r="J131" s="328">
        <f>H131/DAY(B2)</f>
        <v>6.193548387096774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465">
        <v>103078</v>
      </c>
      <c r="F132" s="155">
        <v>103512</v>
      </c>
      <c r="G132" s="112">
        <f t="shared" si="10"/>
        <v>434</v>
      </c>
      <c r="H132" s="99">
        <f>G132+'30'!H132</f>
        <v>434</v>
      </c>
      <c r="I132" s="155"/>
      <c r="J132" s="328">
        <f>H132/DAY(B2)</f>
        <v>14</v>
      </c>
    </row>
    <row r="133" spans="1:15" ht="25.5">
      <c r="A133" s="904" t="s">
        <v>359</v>
      </c>
      <c r="B133" s="905"/>
      <c r="C133" s="906"/>
      <c r="D133" s="151" t="s">
        <v>183</v>
      </c>
      <c r="E133" s="165">
        <v>200383</v>
      </c>
      <c r="F133" s="155">
        <v>201232</v>
      </c>
      <c r="G133" s="112">
        <f t="shared" si="10"/>
        <v>849</v>
      </c>
      <c r="H133" s="99">
        <f>G133+'30'!H133</f>
        <v>7531.429999999993</v>
      </c>
      <c r="I133" s="155"/>
      <c r="J133" s="328">
        <f>H133/DAY(B2)</f>
        <v>242.94935483870944</v>
      </c>
    </row>
    <row r="134" spans="1:15" ht="25.5">
      <c r="A134" s="904" t="s">
        <v>340</v>
      </c>
      <c r="B134" s="905"/>
      <c r="C134" s="906"/>
      <c r="D134" s="151" t="s">
        <v>183</v>
      </c>
      <c r="E134" s="467">
        <v>34670</v>
      </c>
      <c r="F134" s="155">
        <v>34895</v>
      </c>
      <c r="G134" s="112">
        <f t="shared" si="10"/>
        <v>225</v>
      </c>
      <c r="H134" s="99">
        <f>G134+'30'!H134</f>
        <v>225</v>
      </c>
      <c r="I134" s="155"/>
      <c r="J134" s="328">
        <f>H134/DAY(B2)</f>
        <v>7.258064516129032</v>
      </c>
    </row>
    <row r="135" spans="1:15" ht="25.5">
      <c r="A135" s="932" t="s">
        <v>196</v>
      </c>
      <c r="B135" s="997"/>
      <c r="C135" s="933"/>
      <c r="D135" s="151"/>
      <c r="E135" s="165"/>
      <c r="F135" s="155"/>
      <c r="G135" s="112">
        <f>SUM(G128:G134)</f>
        <v>3113</v>
      </c>
      <c r="H135" s="99">
        <f>G135+'23'!H135</f>
        <v>33738.19999999999</v>
      </c>
      <c r="I135" s="156">
        <f>G135-(G35+G49)</f>
        <v>-617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99" t="s">
        <v>185</v>
      </c>
      <c r="B138" s="899"/>
      <c r="C138" s="899"/>
      <c r="D138" s="151" t="s">
        <v>183</v>
      </c>
      <c r="E138" s="147">
        <v>10398</v>
      </c>
      <c r="F138" s="147">
        <v>10510</v>
      </c>
      <c r="G138" s="112">
        <f t="shared" ref="G138:G152" si="11">F138-E138</f>
        <v>112</v>
      </c>
      <c r="H138" s="99">
        <f>G138+'30'!H138</f>
        <v>115</v>
      </c>
      <c r="I138" s="95"/>
      <c r="J138" s="328">
        <f>H138/DAY(B2)</f>
        <v>3.7096774193548385</v>
      </c>
    </row>
    <row r="139" spans="1:15" ht="25.5">
      <c r="A139" s="899" t="s">
        <v>186</v>
      </c>
      <c r="B139" s="899"/>
      <c r="C139" s="899"/>
      <c r="D139" s="151" t="s">
        <v>183</v>
      </c>
      <c r="E139" s="148">
        <v>899314</v>
      </c>
      <c r="F139" s="148">
        <v>899455</v>
      </c>
      <c r="G139" s="112">
        <f t="shared" si="11"/>
        <v>141</v>
      </c>
      <c r="H139" s="99">
        <f>G139+'30'!H139</f>
        <v>141</v>
      </c>
      <c r="I139" s="95"/>
      <c r="J139" s="328">
        <f>H139/DAY(B2)</f>
        <v>4.5483870967741939</v>
      </c>
    </row>
    <row r="140" spans="1:15" ht="25.5">
      <c r="A140" s="899" t="s">
        <v>187</v>
      </c>
      <c r="B140" s="899"/>
      <c r="C140" s="899"/>
      <c r="D140" s="151" t="s">
        <v>183</v>
      </c>
      <c r="E140" s="149">
        <v>576</v>
      </c>
      <c r="F140" s="149">
        <v>588</v>
      </c>
      <c r="G140" s="112">
        <f t="shared" si="11"/>
        <v>12</v>
      </c>
      <c r="H140" s="99">
        <f>G140+'30'!H140</f>
        <v>-87938.599999999991</v>
      </c>
      <c r="I140" s="95"/>
      <c r="J140" s="328">
        <f>H140/DAY(B2)</f>
        <v>-2836.7290322580643</v>
      </c>
    </row>
    <row r="141" spans="1:15" ht="25.5">
      <c r="A141" s="903" t="s">
        <v>188</v>
      </c>
      <c r="B141" s="903"/>
      <c r="C141" s="903"/>
      <c r="D141" s="151" t="s">
        <v>183</v>
      </c>
      <c r="E141" s="149">
        <v>77762</v>
      </c>
      <c r="F141" s="149">
        <v>77952</v>
      </c>
      <c r="G141" s="112">
        <f t="shared" si="11"/>
        <v>190</v>
      </c>
      <c r="H141" s="99">
        <f>G141+'30'!H141</f>
        <v>190</v>
      </c>
      <c r="I141" s="95"/>
      <c r="J141" s="328">
        <f>H141/DAY(B2)</f>
        <v>6.129032258064516</v>
      </c>
    </row>
    <row r="142" spans="1:15" ht="25.5">
      <c r="A142" s="903" t="s">
        <v>189</v>
      </c>
      <c r="B142" s="903"/>
      <c r="C142" s="903"/>
      <c r="D142" s="151" t="s">
        <v>183</v>
      </c>
      <c r="E142" s="148">
        <v>30388</v>
      </c>
      <c r="F142" s="148">
        <v>30526</v>
      </c>
      <c r="G142" s="112">
        <f t="shared" si="11"/>
        <v>138</v>
      </c>
      <c r="H142" s="99">
        <f>G142+'30'!H142</f>
        <v>138</v>
      </c>
      <c r="I142" s="528"/>
      <c r="J142" s="328">
        <f>H142/DAY(B2)</f>
        <v>4.4516129032258061</v>
      </c>
    </row>
    <row r="143" spans="1:15" ht="25.5">
      <c r="A143" s="899" t="s">
        <v>91</v>
      </c>
      <c r="B143" s="899"/>
      <c r="C143" s="899"/>
      <c r="D143" s="151" t="s">
        <v>183</v>
      </c>
      <c r="E143" s="149">
        <v>7275</v>
      </c>
      <c r="F143" s="149">
        <v>7306</v>
      </c>
      <c r="G143" s="112">
        <f t="shared" si="11"/>
        <v>31</v>
      </c>
      <c r="H143" s="99">
        <f>G143+'30'!H143</f>
        <v>31</v>
      </c>
      <c r="I143" s="528"/>
      <c r="J143" s="328">
        <f>H143/DAY(B2)</f>
        <v>1</v>
      </c>
    </row>
    <row r="144" spans="1:15" ht="25.5">
      <c r="A144" s="903" t="s">
        <v>90</v>
      </c>
      <c r="B144" s="903"/>
      <c r="C144" s="903"/>
      <c r="D144" s="151" t="s">
        <v>183</v>
      </c>
      <c r="E144" s="149">
        <v>904801</v>
      </c>
      <c r="F144" s="149">
        <v>905053</v>
      </c>
      <c r="G144" s="112">
        <f t="shared" si="11"/>
        <v>252</v>
      </c>
      <c r="H144" s="99">
        <f>G144+'30'!H144</f>
        <v>252</v>
      </c>
      <c r="I144" s="528"/>
      <c r="J144" s="328">
        <f>H144/DAY(B2)</f>
        <v>8.129032258064516</v>
      </c>
    </row>
    <row r="145" spans="1:11" ht="25.5">
      <c r="A145" s="899" t="s">
        <v>190</v>
      </c>
      <c r="B145" s="899"/>
      <c r="C145" s="899"/>
      <c r="D145" s="152" t="s">
        <v>183</v>
      </c>
      <c r="E145" s="149">
        <v>5664</v>
      </c>
      <c r="F145" s="149">
        <v>5664</v>
      </c>
      <c r="G145" s="112">
        <f t="shared" si="11"/>
        <v>0</v>
      </c>
      <c r="H145" s="99">
        <f>G145+'30'!H145</f>
        <v>0</v>
      </c>
      <c r="I145" s="528"/>
      <c r="J145" s="328">
        <f>H145/DAY(B2)</f>
        <v>0</v>
      </c>
    </row>
    <row r="146" spans="1:11" ht="25.5">
      <c r="A146" s="900" t="s">
        <v>191</v>
      </c>
      <c r="B146" s="901"/>
      <c r="C146" s="902"/>
      <c r="D146" s="152" t="s">
        <v>183</v>
      </c>
      <c r="E146" s="148">
        <v>777832</v>
      </c>
      <c r="F146" s="148">
        <v>777868</v>
      </c>
      <c r="G146" s="112">
        <f t="shared" si="11"/>
        <v>36</v>
      </c>
      <c r="H146" s="99">
        <f>G146+'30'!H146</f>
        <v>554</v>
      </c>
      <c r="I146" s="528"/>
      <c r="J146" s="328">
        <f>H146/DAY(B2)</f>
        <v>17.870967741935484</v>
      </c>
    </row>
    <row r="147" spans="1:11" ht="25.5">
      <c r="A147" s="903" t="s">
        <v>192</v>
      </c>
      <c r="B147" s="903"/>
      <c r="C147" s="903"/>
      <c r="D147" s="152" t="s">
        <v>183</v>
      </c>
      <c r="E147" s="148">
        <v>675474</v>
      </c>
      <c r="F147" s="148">
        <v>675848</v>
      </c>
      <c r="G147" s="112">
        <f t="shared" si="11"/>
        <v>374</v>
      </c>
      <c r="H147" s="99">
        <f>G147+'30'!H147</f>
        <v>374</v>
      </c>
      <c r="I147" s="528"/>
      <c r="J147" s="328">
        <f>H147/DAY(B2)</f>
        <v>12.064516129032258</v>
      </c>
    </row>
    <row r="148" spans="1:11" ht="25.5">
      <c r="A148" s="895" t="s">
        <v>193</v>
      </c>
      <c r="B148" s="896"/>
      <c r="C148" s="897"/>
      <c r="D148" s="123" t="s">
        <v>130</v>
      </c>
      <c r="E148" s="150">
        <v>729452</v>
      </c>
      <c r="F148" s="150">
        <v>729745</v>
      </c>
      <c r="G148" s="112">
        <f t="shared" si="11"/>
        <v>293</v>
      </c>
      <c r="H148" s="99">
        <f>G148+'30'!H148</f>
        <v>293</v>
      </c>
      <c r="I148" s="124"/>
      <c r="J148" s="328">
        <f>H148/DAY(B2)</f>
        <v>9.4516129032258061</v>
      </c>
    </row>
    <row r="149" spans="1:11" ht="25.5">
      <c r="A149" s="895" t="s">
        <v>336</v>
      </c>
      <c r="B149" s="896"/>
      <c r="C149" s="897"/>
      <c r="D149" s="227" t="s">
        <v>130</v>
      </c>
      <c r="E149" s="146">
        <v>100305</v>
      </c>
      <c r="F149" s="146">
        <v>100895</v>
      </c>
      <c r="G149" s="112">
        <f t="shared" si="11"/>
        <v>590</v>
      </c>
      <c r="H149" s="99">
        <f>G149+'30'!H149</f>
        <v>590</v>
      </c>
      <c r="I149" s="119"/>
      <c r="J149" s="328">
        <f>H149/DAY(B2)</f>
        <v>19.032258064516128</v>
      </c>
    </row>
    <row r="150" spans="1:11" ht="25.5">
      <c r="A150" s="895" t="s">
        <v>337</v>
      </c>
      <c r="B150" s="896"/>
      <c r="C150" s="897"/>
      <c r="D150" s="117" t="s">
        <v>130</v>
      </c>
      <c r="E150" s="233">
        <v>36988.5</v>
      </c>
      <c r="F150" s="233">
        <v>37216</v>
      </c>
      <c r="G150" s="112">
        <f t="shared" si="11"/>
        <v>227.5</v>
      </c>
      <c r="H150" s="99">
        <f>G150+'30'!H150</f>
        <v>227.5</v>
      </c>
      <c r="I150" s="119"/>
      <c r="J150" s="328">
        <f>H150/DAY(B2)</f>
        <v>7.338709677419355</v>
      </c>
    </row>
    <row r="151" spans="1:11" ht="25.5">
      <c r="A151" s="895" t="s">
        <v>338</v>
      </c>
      <c r="B151" s="896"/>
      <c r="C151" s="897"/>
      <c r="D151" s="117" t="s">
        <v>130</v>
      </c>
      <c r="E151" s="233">
        <v>117849</v>
      </c>
      <c r="F151" s="233">
        <v>118137</v>
      </c>
      <c r="G151" s="112">
        <f t="shared" si="11"/>
        <v>288</v>
      </c>
      <c r="H151" s="99">
        <f>G151+'30'!H151</f>
        <v>288</v>
      </c>
      <c r="I151" s="119"/>
      <c r="J151" s="328">
        <f>H151/DAY(B2)</f>
        <v>9.2903225806451619</v>
      </c>
    </row>
    <row r="152" spans="1:11" ht="25.5">
      <c r="A152" s="895" t="s">
        <v>339</v>
      </c>
      <c r="B152" s="896"/>
      <c r="C152" s="897"/>
      <c r="D152" s="117" t="s">
        <v>130</v>
      </c>
      <c r="E152" s="233">
        <v>15228.5</v>
      </c>
      <c r="F152" s="233">
        <v>15361</v>
      </c>
      <c r="G152" s="112">
        <f t="shared" si="11"/>
        <v>132.5</v>
      </c>
      <c r="H152" s="99">
        <f>G152+'30'!H152</f>
        <v>132.5</v>
      </c>
      <c r="I152" s="119"/>
      <c r="J152" s="328">
        <f>H152/DAY(B2)</f>
        <v>4.274193548387097</v>
      </c>
    </row>
    <row r="153" spans="1:11" ht="25.5">
      <c r="A153" s="932" t="s">
        <v>196</v>
      </c>
      <c r="B153" s="997"/>
      <c r="C153" s="933"/>
      <c r="D153" s="358"/>
      <c r="E153" s="361"/>
      <c r="F153" s="361"/>
      <c r="G153" s="362">
        <f>SUM(G138:G152)</f>
        <v>2817</v>
      </c>
      <c r="H153" s="363"/>
      <c r="I153" s="119">
        <f>G153-(G38+G52)</f>
        <v>533</v>
      </c>
      <c r="J153" s="366"/>
    </row>
    <row r="154" spans="1:11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1" ht="27.75">
      <c r="A155" s="903" t="s">
        <v>345</v>
      </c>
      <c r="B155" s="903"/>
      <c r="C155" s="903"/>
      <c r="D155" s="117" t="s">
        <v>130</v>
      </c>
      <c r="E155" s="374">
        <v>111355</v>
      </c>
      <c r="F155" s="389">
        <v>111975</v>
      </c>
      <c r="G155" s="112">
        <f t="shared" ref="G155:G158" si="12">F155-E155</f>
        <v>620</v>
      </c>
      <c r="H155" s="99">
        <f>G155+'30'!H155</f>
        <v>620</v>
      </c>
      <c r="I155" s="364"/>
      <c r="J155" s="328">
        <f>H155/DAY(B2)</f>
        <v>20</v>
      </c>
    </row>
    <row r="156" spans="1:11" ht="25.5">
      <c r="A156" s="903" t="s">
        <v>347</v>
      </c>
      <c r="B156" s="903"/>
      <c r="C156" s="903"/>
      <c r="D156" s="117" t="s">
        <v>130</v>
      </c>
      <c r="E156" s="155">
        <v>9614</v>
      </c>
      <c r="F156" s="155">
        <v>9685</v>
      </c>
      <c r="G156" s="112">
        <f t="shared" si="12"/>
        <v>71</v>
      </c>
      <c r="H156" s="99">
        <f>G156+'30'!H156</f>
        <v>71</v>
      </c>
      <c r="I156" s="155"/>
      <c r="J156" s="328">
        <f>H156/DAY(B2)</f>
        <v>2.2903225806451615</v>
      </c>
    </row>
    <row r="157" spans="1:11" ht="25.5">
      <c r="A157" s="895" t="s">
        <v>360</v>
      </c>
      <c r="B157" s="896"/>
      <c r="C157" s="897"/>
      <c r="D157" s="117" t="s">
        <v>130</v>
      </c>
      <c r="E157" s="155">
        <v>18058</v>
      </c>
      <c r="F157" s="95">
        <v>18200</v>
      </c>
      <c r="G157" s="112">
        <f t="shared" si="12"/>
        <v>142</v>
      </c>
      <c r="H157" s="99">
        <f>G157+'30'!H157</f>
        <v>539.75</v>
      </c>
      <c r="I157" s="99"/>
      <c r="J157" s="155"/>
      <c r="K157" s="328"/>
    </row>
    <row r="158" spans="1:11" ht="25.5">
      <c r="A158" s="895" t="s">
        <v>361</v>
      </c>
      <c r="B158" s="896"/>
      <c r="C158" s="897"/>
      <c r="D158" s="117" t="s">
        <v>130</v>
      </c>
      <c r="E158" s="155">
        <v>159</v>
      </c>
      <c r="F158" s="155">
        <v>160</v>
      </c>
      <c r="G158" s="112">
        <f t="shared" si="12"/>
        <v>1</v>
      </c>
      <c r="H158" s="99">
        <f>G158+'30'!H158</f>
        <v>8.4699999999999989</v>
      </c>
      <c r="I158" s="155"/>
      <c r="J158" s="328"/>
    </row>
    <row r="159" spans="1:11" ht="25.5">
      <c r="A159" s="954"/>
      <c r="B159" s="955"/>
      <c r="C159" s="956"/>
      <c r="D159" s="117"/>
      <c r="E159" s="165"/>
      <c r="F159" s="155"/>
      <c r="G159" s="112"/>
      <c r="H159" s="99"/>
      <c r="I159" s="155"/>
      <c r="J159" s="328"/>
    </row>
    <row r="160" spans="1:11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235">
        <v>475417.72</v>
      </c>
      <c r="F161" s="235">
        <v>475421</v>
      </c>
      <c r="G161" s="238">
        <f t="shared" ref="G161:G165" si="13">F161-E161</f>
        <v>3.2800000000279397</v>
      </c>
      <c r="H161" s="99">
        <f>G161+'30'!H161</f>
        <v>1000.2800000000279</v>
      </c>
      <c r="I161" s="236"/>
      <c r="J161" s="239">
        <f>H161/DAY(B2)</f>
        <v>32.267096774194449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92685</v>
      </c>
      <c r="F162" s="235">
        <v>92727</v>
      </c>
      <c r="G162" s="238">
        <f t="shared" si="13"/>
        <v>42</v>
      </c>
      <c r="H162" s="99">
        <f>G162+'30'!H162</f>
        <v>42</v>
      </c>
      <c r="I162" s="236"/>
      <c r="J162" s="239">
        <f>H162/DAY(B2)</f>
        <v>1.3548387096774193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96954</v>
      </c>
      <c r="F163" s="235">
        <v>97135</v>
      </c>
      <c r="G163" s="238">
        <f t="shared" si="13"/>
        <v>181</v>
      </c>
      <c r="H163" s="99">
        <f>G163+'30'!H163</f>
        <v>100176.00000000001</v>
      </c>
      <c r="I163" s="236"/>
      <c r="J163" s="239">
        <f>H163/DAY(B2)</f>
        <v>3231.4838709677424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5531</v>
      </c>
      <c r="F164" s="235">
        <v>5542</v>
      </c>
      <c r="G164" s="238">
        <f t="shared" si="13"/>
        <v>11</v>
      </c>
      <c r="H164" s="99">
        <f>G164+'30'!H164</f>
        <v>11</v>
      </c>
      <c r="I164" s="236"/>
      <c r="J164" s="239">
        <f>H164/DAY(B2)</f>
        <v>0.35483870967741937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31001</v>
      </c>
      <c r="F165" s="235">
        <v>31014</v>
      </c>
      <c r="G165" s="238">
        <f t="shared" si="13"/>
        <v>13</v>
      </c>
      <c r="H165" s="99">
        <f>G165+'30'!H165</f>
        <v>13</v>
      </c>
      <c r="I165" s="236"/>
      <c r="J165" s="239">
        <f>H165/DAY(B2)</f>
        <v>0.41935483870967744</v>
      </c>
    </row>
    <row r="166" spans="1:10" ht="26.25">
      <c r="A166" s="935"/>
      <c r="B166" s="935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155">
        <v>8248</v>
      </c>
      <c r="F173" s="425">
        <v>8264</v>
      </c>
      <c r="G173" s="155">
        <f>F173-E173</f>
        <v>16</v>
      </c>
      <c r="H173" s="99">
        <f>G173+'30'!H173</f>
        <v>63</v>
      </c>
      <c r="I173" s="155"/>
      <c r="J173" s="178">
        <f>H173/DAY(B2)</f>
        <v>2.032258064516129</v>
      </c>
    </row>
    <row r="174" spans="1:10" ht="25.5">
      <c r="A174" s="893" t="s">
        <v>75</v>
      </c>
      <c r="B174" s="894"/>
      <c r="C174" s="333"/>
      <c r="D174" s="228" t="s">
        <v>142</v>
      </c>
      <c r="E174" s="157">
        <v>40318</v>
      </c>
      <c r="F174" s="157">
        <v>40332</v>
      </c>
      <c r="G174" s="155">
        <f t="shared" ref="G174:G175" si="14">F174-E174</f>
        <v>14</v>
      </c>
      <c r="H174" s="99">
        <f>G174+'30'!H174</f>
        <v>14</v>
      </c>
      <c r="I174" s="155"/>
      <c r="J174" s="178">
        <f>H174/DAY(B2)</f>
        <v>0.45161290322580644</v>
      </c>
    </row>
    <row r="175" spans="1:10" ht="25.5">
      <c r="A175" s="893" t="s">
        <v>76</v>
      </c>
      <c r="B175" s="898"/>
      <c r="C175" s="894"/>
      <c r="D175" s="228" t="s">
        <v>142</v>
      </c>
      <c r="E175" s="155">
        <v>23241</v>
      </c>
      <c r="F175" s="155">
        <v>23258</v>
      </c>
      <c r="G175" s="155">
        <f t="shared" si="14"/>
        <v>17</v>
      </c>
      <c r="H175" s="99">
        <f>G175+'30'!H175</f>
        <v>17</v>
      </c>
      <c r="I175" s="155"/>
      <c r="J175" s="178">
        <f>H175/DAY(B2)</f>
        <v>0.54838709677419351</v>
      </c>
    </row>
    <row r="176" spans="1:10" ht="25.5">
      <c r="A176" s="932" t="s">
        <v>196</v>
      </c>
      <c r="B176" s="997"/>
      <c r="C176" s="933"/>
      <c r="D176" s="228" t="s">
        <v>142</v>
      </c>
      <c r="E176" s="155"/>
      <c r="F176" s="155"/>
      <c r="G176" s="155">
        <f>SUM(G173:G175)</f>
        <v>47</v>
      </c>
      <c r="H176" s="99">
        <f>G176+'30'!H176</f>
        <v>94</v>
      </c>
      <c r="I176" s="155"/>
      <c r="J176" s="178">
        <f>H176/DAY(B2)</f>
        <v>3.032258064516129</v>
      </c>
    </row>
    <row r="177" spans="1:10" ht="25.5">
      <c r="A177" s="893" t="s">
        <v>77</v>
      </c>
      <c r="B177" s="894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155">
        <v>91717</v>
      </c>
      <c r="F178" s="155">
        <v>91822</v>
      </c>
      <c r="G178" s="155">
        <f>F178-E178</f>
        <v>105</v>
      </c>
      <c r="H178" s="99">
        <f>G178+'30'!H178</f>
        <v>2870</v>
      </c>
      <c r="I178" s="155"/>
      <c r="J178" s="178">
        <f>H178/DAY(B2)</f>
        <v>92.58064516129032</v>
      </c>
    </row>
    <row r="179" spans="1:10" ht="25.5">
      <c r="A179" s="893" t="s">
        <v>211</v>
      </c>
      <c r="B179" s="894"/>
      <c r="C179" s="333"/>
      <c r="D179" s="228" t="s">
        <v>142</v>
      </c>
      <c r="E179" s="155">
        <v>35775</v>
      </c>
      <c r="F179" s="157">
        <v>35784</v>
      </c>
      <c r="G179" s="155">
        <f t="shared" ref="G179:G180" si="15">F179-E179</f>
        <v>9</v>
      </c>
      <c r="H179" s="99">
        <f>G179+'30'!H179</f>
        <v>9</v>
      </c>
      <c r="I179" s="155"/>
      <c r="J179" s="178">
        <f>H179/DAY(B2)</f>
        <v>0.29032258064516131</v>
      </c>
    </row>
    <row r="180" spans="1:10" ht="25.5">
      <c r="A180" s="893" t="s">
        <v>212</v>
      </c>
      <c r="B180" s="894"/>
      <c r="C180" s="333"/>
      <c r="D180" s="228" t="s">
        <v>142</v>
      </c>
      <c r="E180" s="155">
        <v>6663</v>
      </c>
      <c r="F180" s="157">
        <v>6670</v>
      </c>
      <c r="G180" s="155">
        <f t="shared" si="15"/>
        <v>7</v>
      </c>
      <c r="H180" s="99">
        <f>G180+'30'!H180</f>
        <v>7</v>
      </c>
      <c r="I180" s="155"/>
      <c r="J180" s="178">
        <f>H180/DAY(B2)</f>
        <v>0.22580645161290322</v>
      </c>
    </row>
    <row r="181" spans="1:10" ht="25.5">
      <c r="A181" s="939" t="s">
        <v>108</v>
      </c>
      <c r="B181" s="940"/>
      <c r="C181" s="401"/>
      <c r="D181" s="228" t="s">
        <v>142</v>
      </c>
      <c r="E181" s="155"/>
      <c r="F181" s="157"/>
      <c r="G181" s="155">
        <f>SUM(G178:G180)</f>
        <v>121</v>
      </c>
      <c r="H181" s="99">
        <f>G181+'30'!H181</f>
        <v>2886</v>
      </c>
      <c r="I181" s="155"/>
      <c r="J181" s="178">
        <f>H181/DAY(B2)</f>
        <v>93.096774193548384</v>
      </c>
    </row>
    <row r="182" spans="1:10" ht="25.5">
      <c r="A182" s="893" t="s">
        <v>213</v>
      </c>
      <c r="B182" s="894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157">
        <v>16944</v>
      </c>
      <c r="F183" s="157">
        <v>16955</v>
      </c>
      <c r="G183" s="157">
        <f>F183-E183</f>
        <v>11</v>
      </c>
      <c r="H183" s="99">
        <f>G183+'30'!H183</f>
        <v>5</v>
      </c>
      <c r="I183" s="155"/>
      <c r="J183" s="178">
        <f>H183/DAY(B2)</f>
        <v>0.16129032258064516</v>
      </c>
    </row>
    <row r="184" spans="1:10" ht="25.5">
      <c r="A184" s="893" t="s">
        <v>215</v>
      </c>
      <c r="B184" s="894"/>
      <c r="C184" s="334"/>
      <c r="D184" s="228" t="s">
        <v>142</v>
      </c>
      <c r="E184" s="157">
        <v>11466</v>
      </c>
      <c r="F184" s="157">
        <v>11486</v>
      </c>
      <c r="G184" s="157">
        <f t="shared" ref="G184:G185" si="16">F184-E184</f>
        <v>20</v>
      </c>
      <c r="H184" s="99">
        <f>G184+'30'!H184</f>
        <v>15</v>
      </c>
      <c r="I184" s="155"/>
      <c r="J184" s="178">
        <f>H184/DAY(B2)</f>
        <v>0.4838709677419355</v>
      </c>
    </row>
    <row r="185" spans="1:10" ht="25.5">
      <c r="A185" s="893" t="s">
        <v>216</v>
      </c>
      <c r="B185" s="894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157"/>
      <c r="F186" s="157"/>
      <c r="G186" s="157">
        <f>SUM(G183:G185)</f>
        <v>31</v>
      </c>
      <c r="H186" s="99">
        <f>G186+'30'!H186</f>
        <v>20</v>
      </c>
      <c r="I186" s="157"/>
      <c r="J186" s="178">
        <f>H186/DAY(B2)</f>
        <v>0.64516129032258063</v>
      </c>
    </row>
    <row r="187" spans="1:10" ht="25.5">
      <c r="A187" s="943" t="s">
        <v>217</v>
      </c>
      <c r="B187" s="944"/>
      <c r="C187" s="333"/>
      <c r="D187" s="230" t="s">
        <v>142</v>
      </c>
      <c r="E187" s="159"/>
      <c r="F187" s="159"/>
      <c r="G187" s="378">
        <f>G62+G19</f>
        <v>200</v>
      </c>
      <c r="H187" s="99">
        <f>G187+'30'!H187</f>
        <v>975</v>
      </c>
      <c r="I187" s="157"/>
      <c r="J187" s="179">
        <f>H187/DAY(B2)</f>
        <v>31.451612903225808</v>
      </c>
    </row>
    <row r="188" spans="1:10" ht="25.5">
      <c r="A188" s="943" t="s">
        <v>218</v>
      </c>
      <c r="B188" s="944"/>
      <c r="C188" s="333"/>
      <c r="D188" s="230" t="s">
        <v>142</v>
      </c>
      <c r="E188" s="159"/>
      <c r="F188" s="159"/>
      <c r="G188" s="378">
        <f>G65+G66+G67+G69+G70</f>
        <v>228</v>
      </c>
      <c r="H188" s="99">
        <f>G188+'30'!H188</f>
        <v>2449</v>
      </c>
      <c r="I188" s="157"/>
      <c r="J188" s="179">
        <f>H188/DAY(B2)</f>
        <v>79</v>
      </c>
    </row>
    <row r="189" spans="1:10" ht="25.5">
      <c r="A189" s="943" t="s">
        <v>219</v>
      </c>
      <c r="B189" s="944"/>
      <c r="C189" s="333"/>
      <c r="D189" s="230" t="s">
        <v>142</v>
      </c>
      <c r="E189" s="157"/>
      <c r="F189" s="157"/>
      <c r="G189" s="527">
        <f>G181</f>
        <v>121</v>
      </c>
      <c r="H189" s="99">
        <f>G189+'30'!H189</f>
        <v>1318</v>
      </c>
      <c r="I189" s="157"/>
      <c r="J189" s="179">
        <f>H189/DAY(B2)</f>
        <v>42.516129032258064</v>
      </c>
    </row>
    <row r="190" spans="1:10" ht="25.5">
      <c r="A190" s="937"/>
      <c r="B190" s="938"/>
      <c r="C190" s="399"/>
      <c r="D190" s="396"/>
      <c r="E190" s="415"/>
      <c r="F190" s="415"/>
      <c r="G190" s="415"/>
      <c r="H190" s="397"/>
      <c r="I190" s="415"/>
      <c r="J190" s="53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3"/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5" t="s">
        <v>6</v>
      </c>
      <c r="F2" s="765"/>
      <c r="G2" s="765"/>
      <c r="H2" s="771" t="s">
        <v>14</v>
      </c>
      <c r="I2" s="771"/>
      <c r="J2" s="771"/>
      <c r="K2" s="264" t="s">
        <v>15</v>
      </c>
      <c r="L2" s="771" t="s">
        <v>16</v>
      </c>
      <c r="M2" s="771"/>
      <c r="N2" s="771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687170.79</v>
      </c>
      <c r="E4" s="19">
        <f>'1'!G97</f>
        <v>0.22093240255320978</v>
      </c>
      <c r="F4" s="19">
        <f>'1'!F142</f>
        <v>34457.65</v>
      </c>
      <c r="G4" s="21">
        <f>E4*F4</f>
        <v>7612.8114008376097</v>
      </c>
      <c r="H4" s="19">
        <f>'1'!G68</f>
        <v>33</v>
      </c>
      <c r="I4" s="19">
        <f>'1'!G69</f>
        <v>4</v>
      </c>
      <c r="J4" s="19">
        <f>'1'!G70</f>
        <v>10</v>
      </c>
      <c r="K4" s="23">
        <f>H4+I4</f>
        <v>37</v>
      </c>
      <c r="L4" s="19">
        <f>'1'!G71</f>
        <v>134</v>
      </c>
      <c r="M4" s="19">
        <f>'1'!G72</f>
        <v>0</v>
      </c>
      <c r="N4" s="19">
        <v>0</v>
      </c>
      <c r="O4" s="23">
        <f>L4+M4+N4</f>
        <v>134</v>
      </c>
    </row>
    <row r="5" spans="1:15">
      <c r="A5" s="16">
        <v>2</v>
      </c>
      <c r="B5" s="26">
        <v>2</v>
      </c>
      <c r="C5" s="26"/>
      <c r="D5" s="19">
        <f>'2'!F8</f>
        <v>714690.07</v>
      </c>
      <c r="E5" s="19">
        <f>'2'!G96</f>
        <v>7548.4200000000274</v>
      </c>
      <c r="F5" s="19">
        <f>'2'!F123</f>
        <v>20973.24</v>
      </c>
      <c r="G5" s="21">
        <f t="shared" ref="G5:G18" si="0">E5*F5</f>
        <v>158314824.28080058</v>
      </c>
      <c r="H5" s="19">
        <f>'2'!G68</f>
        <v>55</v>
      </c>
      <c r="I5" s="19">
        <f>'2'!G69</f>
        <v>6</v>
      </c>
      <c r="J5" s="19">
        <f>'2'!G70</f>
        <v>4</v>
      </c>
      <c r="K5" s="23">
        <f t="shared" ref="K5:K18" si="1">H5+I5</f>
        <v>61</v>
      </c>
      <c r="L5" s="19">
        <f>'2'!G71</f>
        <v>181</v>
      </c>
      <c r="M5" s="19">
        <f>'2'!G72</f>
        <v>0</v>
      </c>
      <c r="N5" s="19">
        <v>0</v>
      </c>
      <c r="O5" s="23">
        <f t="shared" ref="O5:O18" si="2">L5+M5+N5</f>
        <v>181</v>
      </c>
    </row>
    <row r="6" spans="1:15">
      <c r="A6" s="16">
        <v>3</v>
      </c>
      <c r="B6" s="26">
        <v>3</v>
      </c>
      <c r="C6" s="26"/>
      <c r="D6" s="19">
        <f>'4'!F8</f>
        <v>771492</v>
      </c>
      <c r="E6" s="19">
        <f>'3'!G96</f>
        <v>8860.9000000000233</v>
      </c>
      <c r="F6" s="19">
        <f>'3'!F123</f>
        <v>21286.02</v>
      </c>
      <c r="G6" s="21">
        <f t="shared" si="0"/>
        <v>188613294.61800051</v>
      </c>
      <c r="H6" s="19">
        <f>'4'!G68</f>
        <v>56</v>
      </c>
      <c r="I6" s="19">
        <f>'4'!G69</f>
        <v>5</v>
      </c>
      <c r="J6" s="19">
        <f>'4'!G70</f>
        <v>11</v>
      </c>
      <c r="K6" s="23">
        <f t="shared" si="1"/>
        <v>61</v>
      </c>
      <c r="L6" s="19">
        <f>'4'!G71</f>
        <v>182</v>
      </c>
      <c r="M6" s="19">
        <f>'4'!G72</f>
        <v>0</v>
      </c>
      <c r="N6" s="19">
        <v>0</v>
      </c>
      <c r="O6" s="23">
        <f t="shared" si="2"/>
        <v>182</v>
      </c>
    </row>
    <row r="7" spans="1:15">
      <c r="A7" s="16">
        <v>4</v>
      </c>
      <c r="B7" s="27">
        <v>4</v>
      </c>
      <c r="C7" s="27"/>
      <c r="D7" s="19">
        <f>'3'!F8</f>
        <v>743946.79</v>
      </c>
      <c r="E7" s="19">
        <f>'4'!G96</f>
        <v>8291.0199999999459</v>
      </c>
      <c r="F7" s="19">
        <f>'1'!F142</f>
        <v>34457.65</v>
      </c>
      <c r="G7" s="21">
        <f t="shared" si="0"/>
        <v>285689065.30299813</v>
      </c>
      <c r="H7" s="19">
        <f>'3'!G68</f>
        <v>42</v>
      </c>
      <c r="I7" s="19">
        <f>'3'!G69</f>
        <v>4</v>
      </c>
      <c r="J7" s="19">
        <f>'3'!G70</f>
        <v>9</v>
      </c>
      <c r="K7" s="23">
        <f t="shared" si="1"/>
        <v>46</v>
      </c>
      <c r="L7" s="19">
        <f>'3'!G71</f>
        <v>164</v>
      </c>
      <c r="M7" s="19">
        <f>'3'!G72</f>
        <v>0</v>
      </c>
      <c r="N7" s="19">
        <v>0</v>
      </c>
      <c r="O7" s="23">
        <f t="shared" si="2"/>
        <v>164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34457.65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823424</v>
      </c>
      <c r="E9" s="19">
        <f>'6'!G96</f>
        <v>6812</v>
      </c>
      <c r="F9" s="19">
        <f>'1'!F142</f>
        <v>34457.65</v>
      </c>
      <c r="G9" s="21">
        <f t="shared" si="0"/>
        <v>234725511.80000001</v>
      </c>
      <c r="H9" s="19">
        <f>'6'!G68</f>
        <v>37</v>
      </c>
      <c r="I9" s="19">
        <f>'6'!G69</f>
        <v>4</v>
      </c>
      <c r="J9" s="19">
        <f>'6'!G70</f>
        <v>6</v>
      </c>
      <c r="K9" s="23">
        <f t="shared" si="1"/>
        <v>41</v>
      </c>
      <c r="L9" s="19">
        <f>'6'!G71</f>
        <v>165</v>
      </c>
      <c r="M9" s="19">
        <f>'6'!G72</f>
        <v>0</v>
      </c>
      <c r="N9" s="19">
        <v>0</v>
      </c>
      <c r="O9" s="23">
        <f t="shared" si="2"/>
        <v>165</v>
      </c>
    </row>
    <row r="10" spans="1:15">
      <c r="A10" s="16">
        <v>7</v>
      </c>
      <c r="B10" s="26">
        <v>7</v>
      </c>
      <c r="C10" s="27"/>
      <c r="D10" s="19">
        <f>'7'!F8</f>
        <v>852270</v>
      </c>
      <c r="E10" s="19">
        <f>'7'!G96</f>
        <v>9955</v>
      </c>
      <c r="F10" s="19">
        <f>'1'!F142</f>
        <v>34457.65</v>
      </c>
      <c r="G10" s="21">
        <f t="shared" si="0"/>
        <v>343025905.75</v>
      </c>
      <c r="H10" s="19">
        <f>'7'!G68</f>
        <v>42</v>
      </c>
      <c r="I10" s="19">
        <f>'7'!G69</f>
        <v>6</v>
      </c>
      <c r="J10" s="19">
        <f>'7'!G70</f>
        <v>7</v>
      </c>
      <c r="K10" s="23">
        <f t="shared" si="1"/>
        <v>48</v>
      </c>
      <c r="L10" s="19">
        <f>'7'!G71</f>
        <v>185</v>
      </c>
      <c r="M10" s="19">
        <f>'7'!G72</f>
        <v>0</v>
      </c>
      <c r="N10" s="19">
        <v>0</v>
      </c>
      <c r="O10" s="23">
        <f t="shared" si="2"/>
        <v>185</v>
      </c>
    </row>
    <row r="11" spans="1:15">
      <c r="A11" s="16">
        <v>8</v>
      </c>
      <c r="B11" s="26">
        <v>8</v>
      </c>
      <c r="C11" s="18"/>
      <c r="D11" s="19">
        <f>'8'!F8</f>
        <v>880853</v>
      </c>
      <c r="E11" s="19">
        <f>'8'!G96</f>
        <v>8461</v>
      </c>
      <c r="F11" s="19">
        <f>'1'!F142</f>
        <v>34457.65</v>
      </c>
      <c r="G11" s="21">
        <f t="shared" si="0"/>
        <v>291546176.65000004</v>
      </c>
      <c r="H11" s="19">
        <f>'8'!G68</f>
        <v>46</v>
      </c>
      <c r="I11" s="19">
        <f>'8'!G69</f>
        <v>6</v>
      </c>
      <c r="J11" s="19">
        <f>'8'!G70</f>
        <v>6</v>
      </c>
      <c r="K11" s="23">
        <f t="shared" si="1"/>
        <v>52</v>
      </c>
      <c r="L11" s="19">
        <f>'8'!G71</f>
        <v>192</v>
      </c>
      <c r="M11" s="19">
        <f>'8'!G72</f>
        <v>0</v>
      </c>
      <c r="N11" s="19">
        <v>0</v>
      </c>
      <c r="O11" s="23">
        <f t="shared" si="2"/>
        <v>192</v>
      </c>
    </row>
    <row r="12" spans="1:15">
      <c r="A12" s="16">
        <v>9</v>
      </c>
      <c r="B12" s="27">
        <v>9</v>
      </c>
      <c r="C12" s="26"/>
      <c r="D12" s="19">
        <f>'9'!F8</f>
        <v>908984.55</v>
      </c>
      <c r="E12" s="19">
        <f>'9'!G96</f>
        <v>8124.6299999999901</v>
      </c>
      <c r="F12" s="19">
        <f>'1'!F142</f>
        <v>34457.65</v>
      </c>
      <c r="G12" s="21">
        <f t="shared" si="0"/>
        <v>279955656.9194997</v>
      </c>
      <c r="H12" s="19">
        <f>'9'!G68</f>
        <v>40</v>
      </c>
      <c r="I12" s="19">
        <f>'9'!G69</f>
        <v>5</v>
      </c>
      <c r="J12" s="19">
        <f>'9'!G70</f>
        <v>6</v>
      </c>
      <c r="K12" s="23">
        <f t="shared" si="1"/>
        <v>45</v>
      </c>
      <c r="L12" s="19">
        <f>'9'!G71</f>
        <v>179</v>
      </c>
      <c r="M12" s="19">
        <f>'9'!G72</f>
        <v>0</v>
      </c>
      <c r="N12" s="19">
        <v>0</v>
      </c>
      <c r="O12" s="23">
        <f t="shared" si="2"/>
        <v>179</v>
      </c>
    </row>
    <row r="13" spans="1:15">
      <c r="A13" s="16">
        <v>10</v>
      </c>
      <c r="B13" s="27">
        <v>10</v>
      </c>
      <c r="C13" s="26"/>
      <c r="D13" s="19">
        <f>'10'!F8</f>
        <v>936079.59</v>
      </c>
      <c r="E13" s="19">
        <f>'10'!G96</f>
        <v>5749.1899999999732</v>
      </c>
      <c r="F13" s="19">
        <f>'1'!F142</f>
        <v>34457.65</v>
      </c>
      <c r="G13" s="21">
        <f t="shared" si="0"/>
        <v>198103576.80349907</v>
      </c>
      <c r="H13" s="19">
        <f>'10'!G68</f>
        <v>42</v>
      </c>
      <c r="I13" s="19">
        <f>'10'!G69</f>
        <v>6</v>
      </c>
      <c r="J13" s="19">
        <f>'10'!G70</f>
        <v>9</v>
      </c>
      <c r="K13" s="23">
        <f t="shared" si="1"/>
        <v>48</v>
      </c>
      <c r="L13" s="19">
        <f>'10'!G71</f>
        <v>184</v>
      </c>
      <c r="M13" s="19">
        <f>'10'!G72</f>
        <v>0</v>
      </c>
      <c r="N13" s="19">
        <v>0</v>
      </c>
      <c r="O13" s="23">
        <f t="shared" si="2"/>
        <v>184</v>
      </c>
    </row>
    <row r="14" spans="1:15">
      <c r="A14" s="16">
        <v>11</v>
      </c>
      <c r="B14" s="17">
        <v>11</v>
      </c>
      <c r="C14" s="27"/>
      <c r="D14" s="19">
        <f>'11'!F8</f>
        <v>962441.19</v>
      </c>
      <c r="E14" s="19">
        <f>'11'!G96</f>
        <v>6949.2699999999604</v>
      </c>
      <c r="F14" s="19">
        <f>'1'!F142</f>
        <v>34457.65</v>
      </c>
      <c r="G14" s="21">
        <f t="shared" si="0"/>
        <v>239455513.41549864</v>
      </c>
      <c r="H14" s="19">
        <f>'11'!G68</f>
        <v>25</v>
      </c>
      <c r="I14" s="19">
        <f>'11'!G69</f>
        <v>3</v>
      </c>
      <c r="J14" s="19">
        <f>'11'!G70</f>
        <v>14</v>
      </c>
      <c r="K14" s="23">
        <f t="shared" si="1"/>
        <v>28</v>
      </c>
      <c r="L14" s="19">
        <f>'11'!G71</f>
        <v>163</v>
      </c>
      <c r="M14" s="19">
        <f>'11'!G72</f>
        <v>0</v>
      </c>
      <c r="N14" s="19">
        <v>0</v>
      </c>
      <c r="O14" s="23">
        <f t="shared" si="2"/>
        <v>163</v>
      </c>
    </row>
    <row r="15" spans="1:15">
      <c r="A15" s="16">
        <v>12</v>
      </c>
      <c r="B15" s="26">
        <v>12</v>
      </c>
      <c r="C15" s="27"/>
      <c r="D15" s="19">
        <f>'12'!F8</f>
        <v>988788.63</v>
      </c>
      <c r="E15" s="19">
        <f>'12'!G96</f>
        <v>6974.600000000064</v>
      </c>
      <c r="F15" s="19">
        <f>'1'!F142</f>
        <v>34457.65</v>
      </c>
      <c r="G15" s="20">
        <f t="shared" si="0"/>
        <v>240328325.6900022</v>
      </c>
      <c r="H15" s="19">
        <f>'12'!G68</f>
        <v>41</v>
      </c>
      <c r="I15" s="19">
        <f>'12'!G69</f>
        <v>4</v>
      </c>
      <c r="J15" s="19">
        <f>'12'!G70</f>
        <v>8</v>
      </c>
      <c r="K15" s="23">
        <f t="shared" si="1"/>
        <v>45</v>
      </c>
      <c r="L15" s="19">
        <f>'12'!G71</f>
        <v>181</v>
      </c>
      <c r="M15" s="19">
        <f>'12'!G72</f>
        <v>0</v>
      </c>
      <c r="N15" s="19">
        <v>0</v>
      </c>
      <c r="O15" s="23">
        <f t="shared" si="2"/>
        <v>181</v>
      </c>
    </row>
    <row r="16" spans="1:15">
      <c r="A16" s="16">
        <v>13</v>
      </c>
      <c r="B16" s="26">
        <v>13</v>
      </c>
      <c r="C16" s="26"/>
      <c r="D16" s="19">
        <f>'13'!F8</f>
        <v>1016254.65</v>
      </c>
      <c r="E16" s="19">
        <f>'13'!G96</f>
        <v>7606.6199999999953</v>
      </c>
      <c r="F16" s="19">
        <f>'1'!F142</f>
        <v>34457.65</v>
      </c>
      <c r="G16" s="20">
        <f t="shared" si="0"/>
        <v>262106249.64299986</v>
      </c>
      <c r="H16" s="19">
        <f>'13'!G68</f>
        <v>24</v>
      </c>
      <c r="I16" s="19">
        <f>'13'!G69</f>
        <v>3</v>
      </c>
      <c r="J16" s="19">
        <f>'13'!G70</f>
        <v>9</v>
      </c>
      <c r="K16" s="23">
        <f t="shared" si="1"/>
        <v>27</v>
      </c>
      <c r="L16" s="19">
        <f>'13'!G71</f>
        <v>158</v>
      </c>
      <c r="M16" s="19">
        <f>'13'!G72</f>
        <v>0</v>
      </c>
      <c r="N16" s="19">
        <v>0</v>
      </c>
      <c r="O16" s="23">
        <f t="shared" si="2"/>
        <v>158</v>
      </c>
    </row>
    <row r="17" spans="1:15">
      <c r="A17" s="16">
        <v>14</v>
      </c>
      <c r="B17" s="17">
        <v>14</v>
      </c>
      <c r="C17" s="27"/>
      <c r="D17" s="19">
        <f>'14'!F8</f>
        <v>1043254.65</v>
      </c>
      <c r="E17" s="19">
        <f>'14'!G96</f>
        <v>-238602.31</v>
      </c>
      <c r="F17" s="19">
        <f>'1'!F142</f>
        <v>34457.65</v>
      </c>
      <c r="G17" s="20">
        <f t="shared" si="0"/>
        <v>-8221674887.1715002</v>
      </c>
      <c r="H17" s="19">
        <f>'14'!G68</f>
        <v>-1156</v>
      </c>
      <c r="I17" s="19">
        <f>'14'!G69</f>
        <v>-168</v>
      </c>
      <c r="J17" s="19">
        <f>'14'!G71</f>
        <v>-5082</v>
      </c>
      <c r="K17" s="23">
        <f t="shared" si="1"/>
        <v>-1324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1070254.6499999999</v>
      </c>
      <c r="E18" s="19">
        <f>'15'!G96</f>
        <v>9511</v>
      </c>
      <c r="F18" s="19">
        <f>'1'!F142</f>
        <v>34457.65</v>
      </c>
      <c r="G18" s="20">
        <f t="shared" si="0"/>
        <v>327726709.15000004</v>
      </c>
      <c r="H18" s="19">
        <f>'15'!G68</f>
        <v>33</v>
      </c>
      <c r="I18" s="19">
        <f>'15'!G69</f>
        <v>22</v>
      </c>
      <c r="J18" s="19">
        <f>'15'!G71</f>
        <v>186</v>
      </c>
      <c r="K18" s="23">
        <f t="shared" si="1"/>
        <v>55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816067.97</v>
      </c>
      <c r="I7" s="113">
        <f>'1'!I7</f>
        <v>12000</v>
      </c>
      <c r="J7" s="175">
        <f>H7/DAY(B2)</f>
        <v>26324.77322580645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813465.64999999991</v>
      </c>
      <c r="I8" s="116"/>
      <c r="J8" s="175">
        <f>H8/DAY(B2)</f>
        <v>26240.827419354835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0</v>
      </c>
      <c r="I9" s="124"/>
      <c r="J9" s="175">
        <f>H9/DAY(B2)</f>
        <v>0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0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1728.9300000001676</v>
      </c>
      <c r="I14" s="120">
        <f>G7-G14</f>
        <v>0</v>
      </c>
      <c r="J14" s="175">
        <f>H14/DAY(B2)</f>
        <v>55.771935483876376</v>
      </c>
      <c r="K14" s="79"/>
      <c r="L14" s="66"/>
      <c r="N14" s="87"/>
      <c r="O14" s="71"/>
    </row>
    <row r="15" spans="1:17" ht="33" customHeight="1">
      <c r="A15" s="880" t="s">
        <v>137</v>
      </c>
      <c r="B15" s="881"/>
      <c r="C15" s="882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31131.830000000307</v>
      </c>
      <c r="I16" s="113">
        <f>'1'!I15</f>
        <v>800</v>
      </c>
      <c r="J16" s="175">
        <f>H16/DAY(B2)</f>
        <v>1004.2525806451712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-204.25258064517118</v>
      </c>
      <c r="J17" s="176"/>
      <c r="K17" s="79"/>
      <c r="L17" s="66"/>
      <c r="N17" s="87"/>
      <c r="O17" s="71"/>
    </row>
    <row r="18" spans="1:15" ht="33" customHeight="1">
      <c r="A18" s="880" t="s">
        <v>140</v>
      </c>
      <c r="B18" s="881"/>
      <c r="C18" s="882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71" t="s">
        <v>141</v>
      </c>
      <c r="B19" s="872"/>
      <c r="C19" s="873"/>
      <c r="D19" s="151" t="s">
        <v>142</v>
      </c>
      <c r="E19" s="95">
        <f>'30'!F18</f>
        <v>18</v>
      </c>
      <c r="F19" s="122">
        <v>14</v>
      </c>
      <c r="G19" s="119">
        <f>F19*10</f>
        <v>140</v>
      </c>
      <c r="H19" s="99">
        <f>G19+'30'!H18</f>
        <v>5590</v>
      </c>
      <c r="I19" s="113">
        <f>'1'!I18</f>
        <v>65</v>
      </c>
      <c r="J19" s="175">
        <f>H19/DAY(B2)</f>
        <v>180.32258064516128</v>
      </c>
      <c r="K19" s="79"/>
      <c r="L19" s="66"/>
      <c r="N19" s="87"/>
      <c r="O19" s="71"/>
    </row>
    <row r="20" spans="1:15" ht="33" customHeight="1">
      <c r="A20" s="871" t="s">
        <v>69</v>
      </c>
      <c r="B20" s="872"/>
      <c r="C20" s="873"/>
      <c r="D20" s="151" t="s">
        <v>142</v>
      </c>
      <c r="E20" s="95">
        <f>'30'!F19</f>
        <v>160829</v>
      </c>
      <c r="F20" s="122">
        <v>145338</v>
      </c>
      <c r="G20" s="112">
        <f t="shared" ref="G20" si="0">F20-E20</f>
        <v>-15491</v>
      </c>
      <c r="H20" s="99">
        <f>G20+'30'!H19</f>
        <v>-14716</v>
      </c>
      <c r="I20" s="335"/>
      <c r="J20" s="175">
        <f>H20/DAY(B2)</f>
        <v>-474.70967741935482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-15351</v>
      </c>
      <c r="H21" s="99">
        <f>G21+'30'!H20</f>
        <v>-9126</v>
      </c>
      <c r="I21" s="336">
        <f>I19-J21</f>
        <v>359.38709677419354</v>
      </c>
      <c r="J21" s="175">
        <f>H21/DAY(B2)</f>
        <v>-294.38709677419354</v>
      </c>
      <c r="K21" s="79"/>
      <c r="L21" s="66"/>
      <c r="N21" s="87"/>
      <c r="O21" s="71"/>
    </row>
    <row r="22" spans="1:15" ht="33" customHeight="1">
      <c r="A22" s="880" t="s">
        <v>144</v>
      </c>
      <c r="B22" s="881"/>
      <c r="C22" s="882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85" t="s">
        <v>149</v>
      </c>
      <c r="B26" s="886"/>
      <c r="C26" s="887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7321190.8499999996</v>
      </c>
      <c r="I28" s="138"/>
      <c r="J28" s="175">
        <f>H28/DAY(B2)</f>
        <v>236167.44677419352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2129746.1000000215</v>
      </c>
      <c r="I29" s="140"/>
      <c r="J29" s="175">
        <f>H29/DAY(B2)</f>
        <v>68701.487096774887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-15491</v>
      </c>
      <c r="F31" s="136">
        <v>146</v>
      </c>
      <c r="G31" s="137">
        <f>E31*F31</f>
        <v>-2261686</v>
      </c>
      <c r="H31" s="99">
        <f>G31+'30'!H30</f>
        <v>-2144926</v>
      </c>
      <c r="I31" s="140"/>
      <c r="J31" s="175">
        <f>H31/DAY(B2)</f>
        <v>-69191.161290322576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447200</v>
      </c>
      <c r="I32" s="140"/>
      <c r="J32" s="175">
        <f>H32/DAY(B2)</f>
        <v>14425.806451612903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-2211538</v>
      </c>
      <c r="H33" s="99">
        <f>G33+'30'!H32</f>
        <v>7753210.9500000216</v>
      </c>
      <c r="I33" s="144"/>
      <c r="J33" s="175">
        <f>H33/DAY(B2)</f>
        <v>250103.57903225877</v>
      </c>
      <c r="K33" s="63"/>
      <c r="L33" s="89"/>
      <c r="N33" s="87"/>
      <c r="O33" s="71"/>
    </row>
    <row r="34" spans="1:15" ht="33" customHeight="1">
      <c r="A34" s="888" t="s">
        <v>331</v>
      </c>
      <c r="B34" s="889"/>
      <c r="C34" s="889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0</v>
      </c>
      <c r="I36" s="95"/>
      <c r="J36" s="175">
        <f>H36/DAY(B2)</f>
        <v>0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668</v>
      </c>
      <c r="I37" s="95"/>
      <c r="J37" s="175">
        <f>H37/DAY(B2)</f>
        <v>21.548387096774192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1163</v>
      </c>
      <c r="I38" s="95"/>
      <c r="J38" s="175">
        <f>H38/DAY(B2)</f>
        <v>37.516129032258064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1668</v>
      </c>
      <c r="I39" s="95"/>
      <c r="J39" s="175">
        <f>H39/DAY(B2)</f>
        <v>53.806451612903224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</v>
      </c>
      <c r="I40" s="95"/>
      <c r="J40" s="175">
        <f>H40/DAY(B2)</f>
        <v>125.35483870967742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378</v>
      </c>
      <c r="I41" s="95"/>
      <c r="J41" s="175">
        <f>H41/DAY(B2)</f>
        <v>12.193548387096774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4605</v>
      </c>
      <c r="I43" s="95"/>
      <c r="J43" s="175">
        <f>H43/DAY(B2)</f>
        <v>148.54838709677421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14863.000000000029</v>
      </c>
      <c r="I48" s="95"/>
      <c r="J48" s="175">
        <f>H48/DAY(B2)</f>
        <v>479.45161290322676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367771.75</v>
      </c>
      <c r="F50" s="145">
        <v>419822</v>
      </c>
      <c r="G50" s="112">
        <f t="shared" ref="G50:G59" si="3">F50-E50</f>
        <v>52050.25</v>
      </c>
      <c r="H50" s="99">
        <f>G50+'30'!H49</f>
        <v>49050.25</v>
      </c>
      <c r="I50" s="95"/>
      <c r="J50" s="175">
        <f>H50/DAY(B2)</f>
        <v>1582.266129032258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243105.4</v>
      </c>
      <c r="F51" s="145">
        <v>607298</v>
      </c>
      <c r="G51" s="112">
        <f t="shared" si="3"/>
        <v>364192.6</v>
      </c>
      <c r="H51" s="99">
        <f>G51+'30'!H50</f>
        <v>364192.6</v>
      </c>
      <c r="I51" s="95"/>
      <c r="J51" s="175">
        <f>H51/DAY(B2)</f>
        <v>11748.148387096773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77017.5</v>
      </c>
      <c r="F55" s="145">
        <v>14967</v>
      </c>
      <c r="G55" s="112">
        <f t="shared" si="3"/>
        <v>-62050.5</v>
      </c>
      <c r="H55" s="99">
        <f>G55+'30'!H54</f>
        <v>-62050.5</v>
      </c>
      <c r="I55" s="95"/>
      <c r="J55" s="175">
        <f>H55/DAY(B2)</f>
        <v>-2001.6290322580646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284082.93</v>
      </c>
      <c r="F56" s="145">
        <v>306268.99</v>
      </c>
      <c r="G56" s="112">
        <f t="shared" si="3"/>
        <v>22186.059999999998</v>
      </c>
      <c r="H56" s="99">
        <f>G56+'30'!H55</f>
        <v>22186.059999999998</v>
      </c>
      <c r="I56" s="95"/>
      <c r="J56" s="175">
        <f>H56/DAY(B2)</f>
        <v>715.67935483870963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111243.13</v>
      </c>
      <c r="F57" s="145">
        <v>661019</v>
      </c>
      <c r="G57" s="112">
        <f t="shared" si="3"/>
        <v>549775.87</v>
      </c>
      <c r="H57" s="99">
        <f>G57+'30'!H56</f>
        <v>549775.87</v>
      </c>
      <c r="I57" s="95"/>
      <c r="J57" s="175">
        <f>H57/DAY(B2)</f>
        <v>17734.705483870966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131903.70000000001</v>
      </c>
      <c r="F58" s="145">
        <v>7711</v>
      </c>
      <c r="G58" s="112">
        <f t="shared" si="3"/>
        <v>-124192.70000000001</v>
      </c>
      <c r="H58" s="99">
        <f>G58+'30'!H57</f>
        <v>-124192.70000000001</v>
      </c>
      <c r="I58" s="95"/>
      <c r="J58" s="175">
        <f>H58/DAY(B2)</f>
        <v>-4006.2161290322583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40280.11</v>
      </c>
      <c r="F59" s="145">
        <v>66014</v>
      </c>
      <c r="G59" s="112">
        <f t="shared" si="3"/>
        <v>25733.89</v>
      </c>
      <c r="H59" s="99">
        <f>G59+'30'!H58</f>
        <v>25733.89</v>
      </c>
      <c r="I59" s="95"/>
      <c r="J59" s="175">
        <f>H59/DAY(B2)</f>
        <v>830.12548387096774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1946087.79</v>
      </c>
      <c r="H60" s="99">
        <f>G60+'30'!H59</f>
        <v>1943087.79</v>
      </c>
      <c r="I60" s="95">
        <f>G7-G61</f>
        <v>-1960950.79</v>
      </c>
      <c r="J60" s="175">
        <f>H60/DAY(B2)</f>
        <v>62680.25129032258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1960950.79</v>
      </c>
      <c r="H61" s="99">
        <f>G61+'30'!H60</f>
        <v>1957950.79</v>
      </c>
      <c r="I61" s="95">
        <f>G14-G61</f>
        <v>-1960950.79</v>
      </c>
      <c r="J61" s="175">
        <f>H61/DAY(B2)</f>
        <v>63159.702903225807</v>
      </c>
      <c r="K61" s="79"/>
      <c r="L61" s="66"/>
      <c r="N61" s="87"/>
      <c r="O61" s="71"/>
    </row>
    <row r="62" spans="1:15" s="68" customFormat="1" ht="33" customHeight="1">
      <c r="A62" s="890" t="s">
        <v>332</v>
      </c>
      <c r="B62" s="891"/>
      <c r="C62" s="892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71" t="s">
        <v>198</v>
      </c>
      <c r="B63" s="872"/>
      <c r="C63" s="873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71" t="s">
        <v>199</v>
      </c>
      <c r="B64" s="872"/>
      <c r="C64" s="873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194659</v>
      </c>
      <c r="I64" s="118"/>
      <c r="J64" s="175">
        <f>H64/DAY(B2)</f>
        <v>6279.322580645161</v>
      </c>
      <c r="K64" s="69"/>
      <c r="L64" s="66"/>
      <c r="N64" s="87"/>
      <c r="O64" s="71"/>
    </row>
    <row r="65" spans="1:15" ht="33" customHeight="1">
      <c r="A65" s="868" t="s">
        <v>200</v>
      </c>
      <c r="B65" s="869"/>
      <c r="C65" s="870"/>
      <c r="D65" s="151"/>
      <c r="E65" s="122"/>
      <c r="F65" s="122"/>
      <c r="G65" s="112">
        <f>G63+G64</f>
        <v>451111</v>
      </c>
      <c r="H65" s="99">
        <f>G65+'30'!H95</f>
        <v>451110.97785554628</v>
      </c>
      <c r="I65" s="118"/>
      <c r="J65" s="175">
        <f>H65/DAY(B2)</f>
        <v>14551.967027598268</v>
      </c>
      <c r="K65" s="69"/>
      <c r="L65" s="66"/>
      <c r="N65" s="87"/>
      <c r="O65" s="71"/>
    </row>
    <row r="66" spans="1:15" ht="33" customHeight="1">
      <c r="A66" s="871" t="s">
        <v>201</v>
      </c>
      <c r="B66" s="872"/>
      <c r="C66" s="873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421019</v>
      </c>
      <c r="I66" s="118"/>
      <c r="J66" s="175">
        <f>H66/DAY(B2)</f>
        <v>13581.258064516129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104636.07782211782</v>
      </c>
      <c r="I67" s="118"/>
      <c r="J67" s="175">
        <f>H67/DAY(B2)</f>
        <v>3375.357349100575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100370</v>
      </c>
      <c r="I68" s="118"/>
      <c r="J68" s="175">
        <f>H68/DAY(B2)</f>
        <v>3237.7419354838707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152135.03779411918</v>
      </c>
      <c r="I69" s="118"/>
      <c r="J69" s="175">
        <f>H69/DAY(B2)</f>
        <v>4907.5818643264256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8645.0000000000073</v>
      </c>
      <c r="I70" s="118"/>
      <c r="J70" s="175">
        <f>H70/DAY(B2)</f>
        <v>278.87096774193571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6373.0288369832188</v>
      </c>
      <c r="I71" s="118"/>
      <c r="J71" s="175">
        <f>H71/DAY(B2)</f>
        <v>205.58157538655544</v>
      </c>
      <c r="K71" s="69"/>
      <c r="L71" s="66"/>
      <c r="N71" s="87"/>
      <c r="O71" s="71"/>
    </row>
    <row r="72" spans="1:15" ht="33" customHeight="1">
      <c r="A72" s="868" t="s">
        <v>208</v>
      </c>
      <c r="B72" s="869"/>
      <c r="C72" s="870"/>
      <c r="D72" s="152"/>
      <c r="E72" s="152"/>
      <c r="F72" s="152"/>
      <c r="G72" s="153">
        <f>SUM(G66:G71)</f>
        <v>793178</v>
      </c>
      <c r="H72" s="99">
        <f>G72+'30'!H102</f>
        <v>793178</v>
      </c>
      <c r="I72" s="154"/>
      <c r="J72" s="175">
        <f>H72/DAY(B2)</f>
        <v>25586.387096774193</v>
      </c>
      <c r="K72" s="69"/>
      <c r="L72" s="66"/>
      <c r="N72" s="87"/>
      <c r="O72" s="71"/>
    </row>
    <row r="73" spans="1:15" s="88" customFormat="1" ht="33" customHeight="1">
      <c r="A73" s="914"/>
      <c r="B73" s="906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19" t="s">
        <v>333</v>
      </c>
      <c r="B74" s="920"/>
      <c r="C74" s="921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71" t="s">
        <v>220</v>
      </c>
      <c r="B75" s="872"/>
      <c r="C75" s="873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71" t="s">
        <v>221</v>
      </c>
      <c r="B76" s="872"/>
      <c r="C76" s="873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5" t="s">
        <v>222</v>
      </c>
      <c r="B77" s="901"/>
      <c r="C77" s="902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5" t="s">
        <v>223</v>
      </c>
      <c r="B78" s="901"/>
      <c r="C78" s="902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5" t="s">
        <v>224</v>
      </c>
      <c r="B79" s="901"/>
      <c r="C79" s="902"/>
      <c r="D79" s="151" t="s">
        <v>139</v>
      </c>
      <c r="E79" s="95">
        <f>'30'!F128</f>
        <v>111875.86</v>
      </c>
      <c r="F79" s="232">
        <v>9180</v>
      </c>
      <c r="G79" s="112">
        <f t="shared" si="6"/>
        <v>-102695.86</v>
      </c>
      <c r="H79" s="99">
        <f>G79+'30'!H128</f>
        <v>-102695.86</v>
      </c>
      <c r="I79" s="118"/>
      <c r="J79" s="175">
        <f>H79/DAY(B2)</f>
        <v>-3312.769677419355</v>
      </c>
      <c r="K79" s="69"/>
      <c r="L79" s="66"/>
      <c r="N79" s="87"/>
      <c r="O79" s="71"/>
    </row>
    <row r="80" spans="1:15" s="57" customFormat="1" ht="33" customHeight="1">
      <c r="A80" s="915" t="s">
        <v>225</v>
      </c>
      <c r="B80" s="901"/>
      <c r="C80" s="902"/>
      <c r="D80" s="151"/>
      <c r="E80" s="117"/>
      <c r="F80" s="117"/>
      <c r="G80" s="112">
        <f>G16-SUM(G75:G79)</f>
        <v>-1015196.5399999999</v>
      </c>
      <c r="H80" s="99">
        <f>G80+'30'!H129</f>
        <v>-1015196.5399999999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68" t="s">
        <v>329</v>
      </c>
      <c r="B81" s="869"/>
      <c r="C81" s="870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07" t="s">
        <v>226</v>
      </c>
      <c r="B82" s="908"/>
      <c r="C82" s="909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42618.2</v>
      </c>
      <c r="F83" s="122"/>
      <c r="G83" s="112">
        <f t="shared" ref="G83:G93" si="7">F83-E83</f>
        <v>-42618.2</v>
      </c>
      <c r="H83" s="99">
        <f>G83+'30'!H131</f>
        <v>-42618.2</v>
      </c>
      <c r="I83" s="118"/>
      <c r="J83" s="175">
        <f>H83/DAY(B2)</f>
        <v>-1374.7806451612903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116291</v>
      </c>
      <c r="F84" s="122"/>
      <c r="G84" s="112">
        <f t="shared" si="7"/>
        <v>-116291</v>
      </c>
      <c r="H84" s="99">
        <f>G84+'30'!H132</f>
        <v>-116291</v>
      </c>
      <c r="I84" s="118"/>
      <c r="J84" s="175">
        <f>H84/DAY(B2)</f>
        <v>-3751.3225806451615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222493</v>
      </c>
      <c r="F85" s="164">
        <v>40922</v>
      </c>
      <c r="G85" s="112">
        <f t="shared" si="7"/>
        <v>-181571</v>
      </c>
      <c r="H85" s="99">
        <f>G85+'30'!H133</f>
        <v>-174888.57</v>
      </c>
      <c r="I85" s="118"/>
      <c r="J85" s="175">
        <f>H85/DAY(B2)</f>
        <v>-5641.5667741935486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41745</v>
      </c>
      <c r="F86" s="164">
        <v>856</v>
      </c>
      <c r="G86" s="112">
        <f t="shared" si="7"/>
        <v>-40889</v>
      </c>
      <c r="H86" s="99">
        <f>G86+'30'!H134</f>
        <v>-40889</v>
      </c>
      <c r="I86" s="118">
        <f>G83+G84+G85+G86</f>
        <v>-381369.2</v>
      </c>
      <c r="J86" s="175">
        <f>H86/DAY(B2)</f>
        <v>-1319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75655.359999999986</v>
      </c>
      <c r="I87" s="118"/>
      <c r="J87" s="175">
        <f>H87/DAY(B2)</f>
        <v>2440.4954838709673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887227</v>
      </c>
      <c r="F90" s="164">
        <v>25132.959999999999</v>
      </c>
      <c r="G90" s="112">
        <f t="shared" si="7"/>
        <v>-862094.04</v>
      </c>
      <c r="H90" s="99">
        <f>G90+'30'!H138</f>
        <v>-862091.04</v>
      </c>
      <c r="I90" s="118"/>
      <c r="J90" s="175">
        <f>H90/DAY(B2)</f>
        <v>-27809.388387096777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904090</v>
      </c>
      <c r="F91" s="164">
        <v>70524.55</v>
      </c>
      <c r="G91" s="112">
        <f t="shared" si="7"/>
        <v>-833565.45</v>
      </c>
      <c r="H91" s="99">
        <f>G91+'30'!H139</f>
        <v>-833565.45</v>
      </c>
      <c r="I91" s="118">
        <f>G90+G91</f>
        <v>-1695659.49</v>
      </c>
      <c r="J91" s="175">
        <f>H91/DAY(B2)</f>
        <v>-26889.208064516126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1055.05</v>
      </c>
      <c r="F92" s="122">
        <v>2627.98</v>
      </c>
      <c r="G92" s="112">
        <f t="shared" si="7"/>
        <v>1572.93</v>
      </c>
      <c r="H92" s="99">
        <f>G92+'30'!H140</f>
        <v>-86377.67</v>
      </c>
      <c r="I92" s="165"/>
      <c r="J92" s="175">
        <f>H92/DAY(B2)</f>
        <v>-2786.3764516129031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84115.199999999997</v>
      </c>
      <c r="F93" s="122">
        <v>4754</v>
      </c>
      <c r="G93" s="112">
        <f t="shared" si="7"/>
        <v>-79361.2</v>
      </c>
      <c r="H93" s="99">
        <f>G93+'30'!H141</f>
        <v>-79361.2</v>
      </c>
      <c r="I93" s="165"/>
      <c r="J93" s="175">
        <f>H93/DAY(B2)</f>
        <v>-2560.0387096774193</v>
      </c>
      <c r="O93" s="71"/>
    </row>
    <row r="94" spans="1:15" ht="33" customHeight="1">
      <c r="A94" s="916" t="s">
        <v>239</v>
      </c>
      <c r="B94" s="917"/>
      <c r="C94" s="918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71" t="s">
        <v>240</v>
      </c>
      <c r="B95" s="872"/>
      <c r="C95" s="873"/>
      <c r="D95" s="151" t="s">
        <v>130</v>
      </c>
      <c r="E95" s="151"/>
      <c r="F95" s="151"/>
      <c r="G95" s="99">
        <f>G36+G44+G50+G58</f>
        <v>-69647.450000000012</v>
      </c>
      <c r="H95" s="99">
        <f>G95+'30'!H143</f>
        <v>-69647.450000000012</v>
      </c>
      <c r="I95" s="118"/>
      <c r="J95" s="175">
        <f>H95/DAY(B2)</f>
        <v>-2246.6919354838715</v>
      </c>
      <c r="K95" s="69"/>
      <c r="L95" s="66"/>
      <c r="O95" s="71"/>
    </row>
    <row r="96" spans="1:15" ht="33" customHeight="1">
      <c r="A96" s="871" t="s">
        <v>241</v>
      </c>
      <c r="B96" s="872"/>
      <c r="C96" s="873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71" t="s">
        <v>242</v>
      </c>
      <c r="B97" s="872"/>
      <c r="C97" s="873"/>
      <c r="D97" s="151" t="s">
        <v>130</v>
      </c>
      <c r="E97" s="95"/>
      <c r="F97" s="95"/>
      <c r="G97" s="99">
        <f>G42+G43+G56+G57</f>
        <v>576566.92999999993</v>
      </c>
      <c r="H97" s="99">
        <f>G97+'30'!H145</f>
        <v>576566.92999999993</v>
      </c>
      <c r="I97" s="118"/>
      <c r="J97" s="175">
        <f>H97/DAY(B2)</f>
        <v>18598.93322580645</v>
      </c>
      <c r="K97" s="69"/>
      <c r="L97" s="66"/>
      <c r="O97" s="71"/>
    </row>
    <row r="98" spans="1:15" ht="33" customHeight="1">
      <c r="A98" s="871" t="s">
        <v>243</v>
      </c>
      <c r="B98" s="872"/>
      <c r="C98" s="873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71" t="s">
        <v>244</v>
      </c>
      <c r="B99" s="872"/>
      <c r="C99" s="873"/>
      <c r="D99" s="151" t="s">
        <v>130</v>
      </c>
      <c r="E99" s="95"/>
      <c r="F99" s="95"/>
      <c r="G99" s="99">
        <f>G40+G54</f>
        <v>438118</v>
      </c>
      <c r="H99" s="99">
        <f>G99+'30'!H147</f>
        <v>438118</v>
      </c>
      <c r="I99" s="168"/>
      <c r="J99" s="175">
        <f>H99/DAY(B2)</f>
        <v>14132.838709677419</v>
      </c>
      <c r="K99" s="69"/>
      <c r="L99" s="66"/>
      <c r="O99" s="71"/>
    </row>
    <row r="100" spans="1:15" ht="33" customHeight="1">
      <c r="A100" s="871" t="s">
        <v>245</v>
      </c>
      <c r="B100" s="872"/>
      <c r="C100" s="873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71" t="s">
        <v>246</v>
      </c>
      <c r="B101" s="872"/>
      <c r="C101" s="873"/>
      <c r="D101" s="151" t="s">
        <v>180</v>
      </c>
      <c r="E101" s="95"/>
      <c r="F101" s="95"/>
      <c r="G101" s="99">
        <f>G39+G53</f>
        <v>541264</v>
      </c>
      <c r="H101" s="99">
        <f>G101+'30'!H149</f>
        <v>541264</v>
      </c>
      <c r="I101" s="118"/>
      <c r="J101" s="175">
        <f>H101/DAY(B2)</f>
        <v>17460.129032258064</v>
      </c>
      <c r="K101" s="70"/>
      <c r="O101" s="71"/>
    </row>
    <row r="102" spans="1:15" ht="33" customHeight="1">
      <c r="A102" s="871" t="s">
        <v>247</v>
      </c>
      <c r="B102" s="872"/>
      <c r="C102" s="873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71" t="s">
        <v>248</v>
      </c>
      <c r="B103" s="872"/>
      <c r="C103" s="873"/>
      <c r="D103" s="151" t="s">
        <v>180</v>
      </c>
      <c r="E103" s="95"/>
      <c r="F103" s="95"/>
      <c r="G103" s="99">
        <f>G37+G51</f>
        <v>364860.6</v>
      </c>
      <c r="H103" s="99">
        <f>G103+'30'!H156</f>
        <v>364860.6</v>
      </c>
      <c r="I103" s="168"/>
      <c r="J103" s="175">
        <f>H103/DAY(B2)</f>
        <v>11769.696774193548</v>
      </c>
      <c r="O103" s="71"/>
    </row>
    <row r="104" spans="1:15" ht="33" customHeight="1">
      <c r="A104" s="871" t="s">
        <v>249</v>
      </c>
      <c r="B104" s="872"/>
      <c r="C104" s="873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71" t="s">
        <v>250</v>
      </c>
      <c r="B105" s="872"/>
      <c r="C105" s="873"/>
      <c r="D105" s="151" t="s">
        <v>180</v>
      </c>
      <c r="E105" s="95"/>
      <c r="F105" s="95"/>
      <c r="G105" s="99">
        <f>G38+G52</f>
        <v>145727.32</v>
      </c>
      <c r="H105" s="99">
        <f>G105+'30'!H161</f>
        <v>146724.32</v>
      </c>
      <c r="I105" s="118"/>
      <c r="J105" s="175">
        <f>H105/DAY(B2)</f>
        <v>4733.0425806451613</v>
      </c>
      <c r="O105" s="71"/>
    </row>
    <row r="106" spans="1:15" ht="33" customHeight="1" thickBot="1">
      <c r="A106" s="911" t="s">
        <v>251</v>
      </c>
      <c r="B106" s="912"/>
      <c r="C106" s="913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25" t="s">
        <v>324</v>
      </c>
      <c r="B109" s="925"/>
      <c r="C109" s="925"/>
      <c r="D109" s="925"/>
      <c r="E109" s="925"/>
      <c r="F109" s="925"/>
      <c r="G109" s="925"/>
      <c r="H109" s="925"/>
      <c r="I109" s="925"/>
      <c r="J109" s="925"/>
    </row>
    <row r="110" spans="1:15" ht="33" customHeight="1">
      <c r="A110" s="910"/>
      <c r="B110" s="910"/>
    </row>
    <row r="111" spans="1:15" ht="33" customHeight="1">
      <c r="A111" s="926" t="s">
        <v>165</v>
      </c>
      <c r="B111" s="927"/>
      <c r="C111" s="927"/>
      <c r="D111" s="927"/>
      <c r="E111" s="927"/>
      <c r="F111" s="927"/>
      <c r="G111" s="927"/>
      <c r="H111" s="927"/>
      <c r="I111" s="927"/>
      <c r="J111" s="928"/>
    </row>
    <row r="112" spans="1:15" ht="33" customHeight="1">
      <c r="A112" s="929"/>
      <c r="B112" s="930"/>
      <c r="C112" s="931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904" t="s">
        <v>252</v>
      </c>
      <c r="B113" s="905"/>
      <c r="C113" s="906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904" t="s">
        <v>253</v>
      </c>
      <c r="B114" s="905"/>
      <c r="C114" s="906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904" t="s">
        <v>254</v>
      </c>
      <c r="B115" s="905"/>
      <c r="C115" s="906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904" t="s">
        <v>255</v>
      </c>
      <c r="B116" s="905"/>
      <c r="C116" s="906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22" t="s">
        <v>96</v>
      </c>
      <c r="B117" s="923"/>
      <c r="C117" s="924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44980</v>
      </c>
      <c r="I117" s="165"/>
      <c r="J117" s="328" t="e">
        <f t="shared" si="9"/>
        <v>#DIV/0!</v>
      </c>
      <c r="Q117" s="904"/>
      <c r="R117" s="906"/>
    </row>
    <row r="118" spans="1:18" ht="33" customHeight="1">
      <c r="A118" s="922" t="s">
        <v>184</v>
      </c>
      <c r="B118" s="923"/>
      <c r="C118" s="924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44933</v>
      </c>
      <c r="I118" s="165"/>
      <c r="J118" s="328" t="e">
        <f t="shared" si="9"/>
        <v>#DIV/0!</v>
      </c>
      <c r="Q118" s="904"/>
      <c r="R118" s="906"/>
    </row>
    <row r="119" spans="1:18" ht="33" customHeight="1">
      <c r="A119" s="899" t="s">
        <v>97</v>
      </c>
      <c r="B119" s="899"/>
      <c r="C119" s="899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44933</v>
      </c>
      <c r="I119" s="165"/>
      <c r="J119" s="328" t="e">
        <f t="shared" si="9"/>
        <v>#DIV/0!</v>
      </c>
      <c r="Q119" s="904"/>
      <c r="R119" s="906"/>
    </row>
    <row r="120" spans="1:18" ht="33" customHeight="1">
      <c r="A120" s="899" t="s">
        <v>98</v>
      </c>
      <c r="B120" s="899"/>
      <c r="C120" s="899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44980</v>
      </c>
      <c r="I120" s="165"/>
      <c r="J120" s="328" t="e">
        <f t="shared" si="9"/>
        <v>#DIV/0!</v>
      </c>
    </row>
    <row r="121" spans="1:18" ht="33" customHeight="1">
      <c r="A121" s="899" t="s">
        <v>99</v>
      </c>
      <c r="B121" s="899"/>
      <c r="C121" s="899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99" t="s">
        <v>100</v>
      </c>
      <c r="B122" s="899"/>
      <c r="C122" s="899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47698</v>
      </c>
      <c r="I122" s="165"/>
      <c r="J122" s="328" t="e">
        <f t="shared" si="9"/>
        <v>#DIV/0!</v>
      </c>
    </row>
    <row r="123" spans="1:18" ht="33" customHeight="1">
      <c r="A123" s="899" t="s">
        <v>101</v>
      </c>
      <c r="B123" s="899"/>
      <c r="C123" s="899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99" t="s">
        <v>102</v>
      </c>
      <c r="B124" s="899"/>
      <c r="C124" s="899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44933</v>
      </c>
      <c r="I124" s="165"/>
      <c r="J124" s="328" t="e">
        <f t="shared" si="9"/>
        <v>#DIV/0!</v>
      </c>
    </row>
    <row r="125" spans="1:18" ht="33" customHeight="1">
      <c r="A125" s="929"/>
      <c r="B125" s="930"/>
      <c r="C125" s="931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35"/>
      <c r="B126" s="935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34" t="s">
        <v>317</v>
      </c>
      <c r="B127" s="934"/>
      <c r="C127" s="934"/>
      <c r="D127" s="934"/>
      <c r="E127" s="934"/>
      <c r="F127" s="934"/>
      <c r="G127" s="934"/>
      <c r="H127" s="934"/>
      <c r="I127" s="934"/>
      <c r="J127" s="934"/>
    </row>
    <row r="128" spans="1:18" ht="33" customHeight="1">
      <c r="A128" s="935"/>
      <c r="B128" s="935"/>
      <c r="C128" s="245"/>
      <c r="D128" s="307"/>
      <c r="E128" s="308"/>
      <c r="F128" s="308"/>
      <c r="G128" s="309"/>
      <c r="H128" s="99">
        <f>G128+'30'!H184</f>
        <v>-5</v>
      </c>
      <c r="I128" s="165"/>
      <c r="J128" s="328" t="e">
        <f t="shared" ref="J128:J136" si="10">H128/DAY(B47)</f>
        <v>#DIV/0!</v>
      </c>
    </row>
    <row r="129" spans="1:15" ht="33" customHeight="1">
      <c r="A129" s="904" t="s">
        <v>318</v>
      </c>
      <c r="B129" s="905"/>
      <c r="C129" s="906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-11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775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904" t="s">
        <v>321</v>
      </c>
      <c r="B132" s="905"/>
      <c r="C132" s="906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2221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904" t="s">
        <v>322</v>
      </c>
      <c r="B133" s="905"/>
      <c r="C133" s="906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1197</v>
      </c>
      <c r="I133" s="165"/>
      <c r="J133" s="328" t="e">
        <f t="shared" si="10"/>
        <v>#DIV/0!</v>
      </c>
    </row>
    <row r="134" spans="1:15" ht="33" customHeight="1">
      <c r="A134" s="904" t="s">
        <v>323</v>
      </c>
      <c r="B134" s="905"/>
      <c r="C134" s="906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29"/>
      <c r="B135" s="930"/>
      <c r="C135" s="931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29"/>
      <c r="B136" s="930"/>
      <c r="C136" s="931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36" t="s">
        <v>325</v>
      </c>
      <c r="B137" s="936"/>
      <c r="C137" s="936"/>
      <c r="D137" s="936"/>
      <c r="E137" s="936"/>
      <c r="F137" s="936"/>
      <c r="G137" s="936"/>
      <c r="H137" s="936"/>
      <c r="I137" s="936"/>
      <c r="J137" s="936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99" t="s">
        <v>185</v>
      </c>
      <c r="B139" s="899"/>
      <c r="C139" s="899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99" t="s">
        <v>186</v>
      </c>
      <c r="B140" s="899"/>
      <c r="C140" s="899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99" t="s">
        <v>187</v>
      </c>
      <c r="B141" s="899"/>
      <c r="C141" s="899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903" t="s">
        <v>188</v>
      </c>
      <c r="B142" s="903"/>
      <c r="C142" s="90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903" t="s">
        <v>189</v>
      </c>
      <c r="B143" s="903"/>
      <c r="C143" s="90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99" t="s">
        <v>190</v>
      </c>
      <c r="B144" s="899"/>
      <c r="C144" s="899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00" t="s">
        <v>191</v>
      </c>
      <c r="B145" s="901"/>
      <c r="C145" s="902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903" t="s">
        <v>90</v>
      </c>
      <c r="B146" s="903"/>
      <c r="C146" s="90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903" t="s">
        <v>192</v>
      </c>
      <c r="B147" s="903"/>
      <c r="C147" s="90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903" t="s">
        <v>193</v>
      </c>
      <c r="B148" s="903"/>
      <c r="C148" s="90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903" t="s">
        <v>91</v>
      </c>
      <c r="B149" s="903"/>
      <c r="C149" s="90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903" t="s">
        <v>194</v>
      </c>
      <c r="B150" s="903"/>
      <c r="C150" s="90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36" t="s">
        <v>326</v>
      </c>
      <c r="B153" s="936"/>
      <c r="C153" s="936"/>
      <c r="D153" s="936"/>
      <c r="E153" s="936"/>
      <c r="F153" s="936"/>
      <c r="G153" s="936"/>
      <c r="H153" s="936"/>
      <c r="I153" s="936"/>
      <c r="J153" s="936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35" t="s">
        <v>328</v>
      </c>
      <c r="B159" s="935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35" t="s">
        <v>327</v>
      </c>
      <c r="B160" s="935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35" t="s">
        <v>328</v>
      </c>
      <c r="B161" s="935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45" t="s">
        <v>330</v>
      </c>
      <c r="B164" s="946"/>
      <c r="C164" s="946"/>
      <c r="D164" s="946"/>
      <c r="E164" s="946"/>
      <c r="F164" s="946"/>
      <c r="G164" s="946"/>
      <c r="H164" s="946"/>
      <c r="I164" s="946"/>
      <c r="J164" s="947"/>
    </row>
    <row r="165" spans="1:10" ht="33" customHeight="1">
      <c r="A165" s="941"/>
      <c r="B165" s="942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93" t="s">
        <v>209</v>
      </c>
      <c r="B166" s="894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93" t="s">
        <v>75</v>
      </c>
      <c r="B167" s="894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93" t="s">
        <v>76</v>
      </c>
      <c r="B168" s="898"/>
      <c r="C168" s="894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93" t="s">
        <v>196</v>
      </c>
      <c r="B169" s="894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93" t="s">
        <v>77</v>
      </c>
      <c r="B170" s="894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93" t="s">
        <v>210</v>
      </c>
      <c r="B171" s="894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93" t="s">
        <v>211</v>
      </c>
      <c r="B172" s="894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93" t="s">
        <v>212</v>
      </c>
      <c r="B173" s="894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43" t="s">
        <v>108</v>
      </c>
      <c r="B174" s="944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93" t="s">
        <v>213</v>
      </c>
      <c r="B175" s="894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93" t="s">
        <v>214</v>
      </c>
      <c r="B176" s="894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93" t="s">
        <v>215</v>
      </c>
      <c r="B177" s="894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93" t="s">
        <v>216</v>
      </c>
      <c r="B178" s="894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93" t="s">
        <v>196</v>
      </c>
      <c r="B179" s="894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43" t="s">
        <v>217</v>
      </c>
      <c r="B180" s="944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43" t="s">
        <v>218</v>
      </c>
      <c r="B181" s="944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43" t="s">
        <v>219</v>
      </c>
      <c r="B182" s="944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43"/>
      <c r="B183" s="944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2022-07-14T09:45:58Z</dcterms:modified>
</cp:coreProperties>
</file>