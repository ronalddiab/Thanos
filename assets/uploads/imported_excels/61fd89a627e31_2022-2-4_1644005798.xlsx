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18/"/>
    </mc:Choice>
  </mc:AlternateContent>
  <xr:revisionPtr revIDLastSave="3" documentId="8_{F40555CA-80C9-4D7E-B8AF-26D8F71A1C65}" xr6:coauthVersionLast="47" xr6:coauthVersionMax="47" xr10:uidLastSave="{D7D8E4DD-DAFC-434D-A6AA-5CC691ACCA91}"/>
  <bookViews>
    <workbookView xWindow="44880" yWindow="-120" windowWidth="24240" windowHeight="1314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" i="1"/>
  <c r="K11" i="1"/>
  <c r="K9" i="1"/>
  <c r="K5" i="1"/>
  <c r="K3" i="1"/>
  <c r="K2" i="1"/>
  <c r="G16" i="12"/>
  <c r="H15" i="12"/>
  <c r="K19" i="1" s="1"/>
  <c r="H14" i="12"/>
  <c r="K16" i="1" s="1"/>
  <c r="H13" i="12"/>
  <c r="H12" i="12"/>
  <c r="K10" i="1" s="1"/>
  <c r="H11" i="12"/>
  <c r="H10" i="12"/>
  <c r="K8" i="1" s="1"/>
  <c r="H9" i="12"/>
  <c r="K7" i="1" s="1"/>
  <c r="H8" i="12"/>
  <c r="K6" i="1" s="1"/>
  <c r="H7" i="12"/>
  <c r="H6" i="12"/>
  <c r="K4" i="1" s="1"/>
  <c r="H5" i="12"/>
  <c r="H4" i="12"/>
  <c r="DJ22" i="6"/>
  <c r="DI22" i="6"/>
  <c r="DF22" i="6"/>
  <c r="CY22" i="6"/>
  <c r="CZ22" i="6" s="1"/>
  <c r="CW22" i="6"/>
  <c r="CT22" i="6"/>
  <c r="CU22" i="6" s="1"/>
  <c r="CR22" i="6"/>
  <c r="CN22" i="6"/>
  <c r="CK22" i="6"/>
  <c r="CL22" i="6" s="1"/>
  <c r="CI22" i="6"/>
  <c r="CE22" i="6"/>
  <c r="CF22" i="6" s="1"/>
  <c r="CC22" i="6"/>
  <c r="BZ22" i="6"/>
  <c r="BV22" i="6"/>
  <c r="BR22" i="6"/>
  <c r="BP22" i="6"/>
  <c r="BQ22" i="6" s="1"/>
  <c r="BN22" i="6"/>
  <c r="BK22" i="6"/>
  <c r="BL22" i="6" s="1"/>
  <c r="BI22" i="6"/>
  <c r="BF22" i="6"/>
  <c r="BD22" i="6"/>
  <c r="BB22" i="6"/>
  <c r="AY22" i="6"/>
  <c r="AW22" i="6"/>
  <c r="AZ22" i="6" s="1"/>
  <c r="AT22" i="6"/>
  <c r="AP22" i="6"/>
  <c r="AN22" i="6"/>
  <c r="AL22" i="6"/>
  <c r="AJ22" i="6"/>
  <c r="AH22" i="6"/>
  <c r="AF22" i="6"/>
  <c r="AD22" i="6"/>
  <c r="AB22" i="6"/>
  <c r="X22" i="6"/>
  <c r="U22" i="6"/>
  <c r="Q22" i="6"/>
  <c r="N22" i="6"/>
  <c r="K22" i="6"/>
  <c r="H22" i="6"/>
  <c r="E22" i="6"/>
  <c r="CW21" i="6"/>
  <c r="CR21" i="6"/>
  <c r="CN21" i="6"/>
  <c r="CI21" i="6"/>
  <c r="CC21" i="6"/>
  <c r="BV21" i="6"/>
  <c r="BR21" i="6"/>
  <c r="BN21" i="6"/>
  <c r="BI21" i="6"/>
  <c r="BF21" i="6"/>
  <c r="BD21" i="6"/>
  <c r="BB21" i="6"/>
  <c r="AY21" i="6"/>
  <c r="AW21" i="6"/>
  <c r="AZ21" i="6" s="1"/>
  <c r="AT21" i="6"/>
  <c r="AP21" i="6"/>
  <c r="AN21" i="6"/>
  <c r="AL21" i="6"/>
  <c r="AJ21" i="6"/>
  <c r="AH21" i="6"/>
  <c r="AF21" i="6"/>
  <c r="AD21" i="6"/>
  <c r="AB21" i="6"/>
  <c r="X21" i="6"/>
  <c r="U21" i="6"/>
  <c r="Q21" i="6"/>
  <c r="N21" i="6"/>
  <c r="K21" i="6"/>
  <c r="H21" i="6"/>
  <c r="E21" i="6"/>
  <c r="CW20" i="6"/>
  <c r="CR20" i="6"/>
  <c r="CN20" i="6"/>
  <c r="CI20" i="6"/>
  <c r="CC20" i="6"/>
  <c r="BV20" i="6"/>
  <c r="BR20" i="6"/>
  <c r="BN20" i="6"/>
  <c r="BI20" i="6"/>
  <c r="BF20" i="6"/>
  <c r="BD20" i="6"/>
  <c r="BB20" i="6"/>
  <c r="AY20" i="6"/>
  <c r="AW20" i="6"/>
  <c r="AZ20" i="6" s="1"/>
  <c r="AT20" i="6"/>
  <c r="AP20" i="6"/>
  <c r="AN20" i="6"/>
  <c r="AL20" i="6"/>
  <c r="AJ20" i="6"/>
  <c r="AH20" i="6"/>
  <c r="AF20" i="6"/>
  <c r="AD20" i="6"/>
  <c r="AB20" i="6"/>
  <c r="X20" i="6"/>
  <c r="U20" i="6"/>
  <c r="Q20" i="6"/>
  <c r="N20" i="6"/>
  <c r="K20" i="6"/>
  <c r="H20" i="6"/>
  <c r="E20" i="6"/>
  <c r="DJ19" i="6"/>
  <c r="DI19" i="6"/>
  <c r="DF19" i="6"/>
  <c r="CY19" i="6"/>
  <c r="CZ19" i="6" s="1"/>
  <c r="CW19" i="6"/>
  <c r="CT19" i="6"/>
  <c r="CU19" i="6" s="1"/>
  <c r="CR19" i="6"/>
  <c r="CN19" i="6"/>
  <c r="CK19" i="6"/>
  <c r="CL19" i="6" s="1"/>
  <c r="CI19" i="6"/>
  <c r="CE19" i="6"/>
  <c r="CF19" i="6" s="1"/>
  <c r="CC19" i="6"/>
  <c r="BZ19" i="6"/>
  <c r="BV19" i="6"/>
  <c r="BR19" i="6"/>
  <c r="BP19" i="6"/>
  <c r="BQ19" i="6" s="1"/>
  <c r="DE19" i="6" s="1"/>
  <c r="BN19" i="6"/>
  <c r="BK19" i="6"/>
  <c r="BL19" i="6" s="1"/>
  <c r="BI19" i="6"/>
  <c r="BF19" i="6"/>
  <c r="BD19" i="6"/>
  <c r="BB19" i="6"/>
  <c r="AY19" i="6"/>
  <c r="AW19" i="6"/>
  <c r="AT19" i="6"/>
  <c r="AP19" i="6"/>
  <c r="AN19" i="6"/>
  <c r="AL19" i="6"/>
  <c r="AJ19" i="6"/>
  <c r="AH19" i="6"/>
  <c r="AF19" i="6"/>
  <c r="AD19" i="6"/>
  <c r="AB19" i="6"/>
  <c r="X19" i="6"/>
  <c r="U19" i="6"/>
  <c r="Q19" i="6"/>
  <c r="N19" i="6"/>
  <c r="K19" i="6"/>
  <c r="H19" i="6"/>
  <c r="E19" i="6"/>
  <c r="CW18" i="6"/>
  <c r="CR18" i="6"/>
  <c r="CN18" i="6"/>
  <c r="CI18" i="6"/>
  <c r="CC18" i="6"/>
  <c r="BV18" i="6"/>
  <c r="BR18" i="6"/>
  <c r="BN18" i="6"/>
  <c r="BI18" i="6"/>
  <c r="BF18" i="6"/>
  <c r="BD18" i="6"/>
  <c r="BB18" i="6"/>
  <c r="AY18" i="6"/>
  <c r="AW18" i="6"/>
  <c r="AT18" i="6"/>
  <c r="AP18" i="6"/>
  <c r="AN18" i="6"/>
  <c r="AL18" i="6"/>
  <c r="AJ18" i="6"/>
  <c r="AH18" i="6"/>
  <c r="AF18" i="6"/>
  <c r="AD18" i="6"/>
  <c r="AB18" i="6"/>
  <c r="X18" i="6"/>
  <c r="U18" i="6"/>
  <c r="Q18" i="6"/>
  <c r="N18" i="6"/>
  <c r="K18" i="6"/>
  <c r="H18" i="6"/>
  <c r="E18" i="6"/>
  <c r="CW17" i="6"/>
  <c r="CR17" i="6"/>
  <c r="CN17" i="6"/>
  <c r="CI17" i="6"/>
  <c r="CC17" i="6"/>
  <c r="BV17" i="6"/>
  <c r="BR17" i="6"/>
  <c r="BN17" i="6"/>
  <c r="BI17" i="6"/>
  <c r="BF17" i="6"/>
  <c r="BD17" i="6"/>
  <c r="BB17" i="6"/>
  <c r="AY17" i="6"/>
  <c r="AZ17" i="6" s="1"/>
  <c r="AW17" i="6"/>
  <c r="AT17" i="6"/>
  <c r="AP17" i="6"/>
  <c r="AN17" i="6"/>
  <c r="AL17" i="6"/>
  <c r="AJ17" i="6"/>
  <c r="AH17" i="6"/>
  <c r="AF17" i="6"/>
  <c r="AD17" i="6"/>
  <c r="AB17" i="6"/>
  <c r="X17" i="6"/>
  <c r="U17" i="6"/>
  <c r="Q17" i="6"/>
  <c r="N17" i="6"/>
  <c r="K17" i="6"/>
  <c r="H17" i="6"/>
  <c r="E17" i="6"/>
  <c r="CW16" i="6"/>
  <c r="CR16" i="6"/>
  <c r="CN16" i="6"/>
  <c r="CI16" i="6"/>
  <c r="CC16" i="6"/>
  <c r="BV16" i="6"/>
  <c r="BR16" i="6"/>
  <c r="BN16" i="6"/>
  <c r="BI16" i="6"/>
  <c r="BF16" i="6"/>
  <c r="BD16" i="6"/>
  <c r="BB16" i="6"/>
  <c r="AY16" i="6"/>
  <c r="AW16" i="6"/>
  <c r="AT16" i="6"/>
  <c r="AP16" i="6"/>
  <c r="AN16" i="6"/>
  <c r="AL16" i="6"/>
  <c r="AJ16" i="6"/>
  <c r="AH16" i="6"/>
  <c r="AF16" i="6"/>
  <c r="AD16" i="6"/>
  <c r="AB16" i="6"/>
  <c r="X16" i="6"/>
  <c r="U16" i="6"/>
  <c r="Y16" i="6" s="1"/>
  <c r="Q16" i="6"/>
  <c r="N16" i="6"/>
  <c r="K16" i="6"/>
  <c r="H16" i="6"/>
  <c r="E16" i="6"/>
  <c r="CW15" i="6"/>
  <c r="CR15" i="6"/>
  <c r="CN15" i="6"/>
  <c r="CI15" i="6"/>
  <c r="CC15" i="6"/>
  <c r="BV15" i="6"/>
  <c r="BR15" i="6"/>
  <c r="BN15" i="6"/>
  <c r="BI15" i="6"/>
  <c r="BF15" i="6"/>
  <c r="BD15" i="6"/>
  <c r="BB15" i="6"/>
  <c r="AY15" i="6"/>
  <c r="AW15" i="6"/>
  <c r="AT15" i="6"/>
  <c r="AP15" i="6"/>
  <c r="AN15" i="6"/>
  <c r="AL15" i="6"/>
  <c r="AJ15" i="6"/>
  <c r="AH15" i="6"/>
  <c r="AF15" i="6"/>
  <c r="AD15" i="6"/>
  <c r="AB15" i="6"/>
  <c r="X15" i="6"/>
  <c r="U15" i="6"/>
  <c r="Q15" i="6"/>
  <c r="N15" i="6"/>
  <c r="K15" i="6"/>
  <c r="H15" i="6"/>
  <c r="E15" i="6"/>
  <c r="DJ14" i="6"/>
  <c r="DI14" i="6"/>
  <c r="DF14" i="6"/>
  <c r="CY14" i="6"/>
  <c r="CZ14" i="6" s="1"/>
  <c r="CW14" i="6"/>
  <c r="CT14" i="6"/>
  <c r="CU14" i="6" s="1"/>
  <c r="CR14" i="6"/>
  <c r="CN14" i="6"/>
  <c r="CK14" i="6"/>
  <c r="CL14" i="6" s="1"/>
  <c r="CI14" i="6"/>
  <c r="CE14" i="6"/>
  <c r="CF14" i="6" s="1"/>
  <c r="CC14" i="6"/>
  <c r="BZ14" i="6"/>
  <c r="BV14" i="6"/>
  <c r="BR14" i="6"/>
  <c r="BQ14" i="6"/>
  <c r="BP14" i="6"/>
  <c r="BN14" i="6"/>
  <c r="BK14" i="6"/>
  <c r="BL14" i="6" s="1"/>
  <c r="BI14" i="6"/>
  <c r="BF14" i="6"/>
  <c r="BD14" i="6"/>
  <c r="BB14" i="6"/>
  <c r="AY14" i="6"/>
  <c r="AW14" i="6"/>
  <c r="AT14" i="6"/>
  <c r="AP14" i="6"/>
  <c r="AN14" i="6"/>
  <c r="AL14" i="6"/>
  <c r="AJ14" i="6"/>
  <c r="AH14" i="6"/>
  <c r="AF14" i="6"/>
  <c r="AD14" i="6"/>
  <c r="AB14" i="6"/>
  <c r="X14" i="6"/>
  <c r="U14" i="6"/>
  <c r="Q14" i="6"/>
  <c r="N14" i="6"/>
  <c r="K14" i="6"/>
  <c r="H14" i="6"/>
  <c r="E14" i="6"/>
  <c r="DJ13" i="6"/>
  <c r="DI13" i="6"/>
  <c r="DF13" i="6"/>
  <c r="CY13" i="6"/>
  <c r="CZ13" i="6" s="1"/>
  <c r="CW13" i="6"/>
  <c r="CT13" i="6"/>
  <c r="CU13" i="6" s="1"/>
  <c r="CR13" i="6"/>
  <c r="CN13" i="6"/>
  <c r="CK13" i="6"/>
  <c r="CL13" i="6" s="1"/>
  <c r="CI13" i="6"/>
  <c r="CE13" i="6"/>
  <c r="CF13" i="6" s="1"/>
  <c r="CC13" i="6"/>
  <c r="BZ13" i="6"/>
  <c r="BV13" i="6"/>
  <c r="BR13" i="6"/>
  <c r="BP13" i="6"/>
  <c r="BQ13" i="6" s="1"/>
  <c r="DE13" i="6" s="1"/>
  <c r="BN13" i="6"/>
  <c r="BK13" i="6"/>
  <c r="BL13" i="6" s="1"/>
  <c r="BI13" i="6"/>
  <c r="BF13" i="6"/>
  <c r="BD13" i="6"/>
  <c r="BB13" i="6"/>
  <c r="AY13" i="6"/>
  <c r="AW13" i="6"/>
  <c r="AZ13" i="6" s="1"/>
  <c r="AT13" i="6"/>
  <c r="AP13" i="6"/>
  <c r="AN13" i="6"/>
  <c r="AL13" i="6"/>
  <c r="AJ13" i="6"/>
  <c r="AH13" i="6"/>
  <c r="AF13" i="6"/>
  <c r="AD13" i="6"/>
  <c r="AB13" i="6"/>
  <c r="X13" i="6"/>
  <c r="U13" i="6"/>
  <c r="Q13" i="6"/>
  <c r="N13" i="6"/>
  <c r="K13" i="6"/>
  <c r="H13" i="6"/>
  <c r="E13" i="6"/>
  <c r="DJ12" i="6"/>
  <c r="DI12" i="6"/>
  <c r="DF12" i="6"/>
  <c r="CY12" i="6"/>
  <c r="CZ12" i="6" s="1"/>
  <c r="CW12" i="6"/>
  <c r="CT12" i="6"/>
  <c r="CU12" i="6" s="1"/>
  <c r="CR12" i="6"/>
  <c r="CN12" i="6"/>
  <c r="CK12" i="6"/>
  <c r="CL12" i="6" s="1"/>
  <c r="CI12" i="6"/>
  <c r="CE12" i="6"/>
  <c r="CF12" i="6" s="1"/>
  <c r="CC12" i="6"/>
  <c r="BZ12" i="6"/>
  <c r="BV12" i="6"/>
  <c r="BR12" i="6"/>
  <c r="BP12" i="6"/>
  <c r="BQ12" i="6" s="1"/>
  <c r="BN12" i="6"/>
  <c r="BK12" i="6"/>
  <c r="BL12" i="6" s="1"/>
  <c r="BI12" i="6"/>
  <c r="BF12" i="6"/>
  <c r="BD12" i="6"/>
  <c r="BB12" i="6"/>
  <c r="AY12" i="6"/>
  <c r="AW12" i="6"/>
  <c r="AZ12" i="6" s="1"/>
  <c r="AT12" i="6"/>
  <c r="AP12" i="6"/>
  <c r="AN12" i="6"/>
  <c r="AL12" i="6"/>
  <c r="AJ12" i="6"/>
  <c r="AH12" i="6"/>
  <c r="AF12" i="6"/>
  <c r="AD12" i="6"/>
  <c r="AB12" i="6"/>
  <c r="X12" i="6"/>
  <c r="U12" i="6"/>
  <c r="Y12" i="6" s="1"/>
  <c r="Q12" i="6"/>
  <c r="N12" i="6"/>
  <c r="K12" i="6"/>
  <c r="H12" i="6"/>
  <c r="DJ11" i="6"/>
  <c r="DI11" i="6"/>
  <c r="DF11" i="6"/>
  <c r="CY11" i="6"/>
  <c r="CZ11" i="6" s="1"/>
  <c r="CW11" i="6"/>
  <c r="CT11" i="6"/>
  <c r="CU11" i="6" s="1"/>
  <c r="CR11" i="6"/>
  <c r="CN11" i="6"/>
  <c r="CK11" i="6"/>
  <c r="CL11" i="6" s="1"/>
  <c r="CI11" i="6"/>
  <c r="CF11" i="6"/>
  <c r="CE11" i="6"/>
  <c r="CC11" i="6"/>
  <c r="BZ11" i="6"/>
  <c r="BV11" i="6"/>
  <c r="BR11" i="6"/>
  <c r="BP11" i="6"/>
  <c r="BQ11" i="6" s="1"/>
  <c r="BN11" i="6"/>
  <c r="BK11" i="6"/>
  <c r="BL11" i="6" s="1"/>
  <c r="BI11" i="6"/>
  <c r="BF11" i="6"/>
  <c r="BD11" i="6"/>
  <c r="BB11" i="6"/>
  <c r="AY11" i="6"/>
  <c r="AW11" i="6"/>
  <c r="AT11" i="6"/>
  <c r="AP11" i="6"/>
  <c r="AN11" i="6"/>
  <c r="AL11" i="6"/>
  <c r="AJ11" i="6"/>
  <c r="AH11" i="6"/>
  <c r="AF11" i="6"/>
  <c r="AD11" i="6"/>
  <c r="AB11" i="6"/>
  <c r="X11" i="6"/>
  <c r="Q11" i="6"/>
  <c r="N11" i="6"/>
  <c r="K11" i="6"/>
  <c r="H11" i="6"/>
  <c r="E11" i="6"/>
  <c r="DJ10" i="6"/>
  <c r="DI10" i="6"/>
  <c r="DF10" i="6"/>
  <c r="CY10" i="6"/>
  <c r="CZ10" i="6" s="1"/>
  <c r="CW10" i="6"/>
  <c r="CT10" i="6"/>
  <c r="CU10" i="6" s="1"/>
  <c r="CR10" i="6"/>
  <c r="CN10" i="6"/>
  <c r="CK10" i="6"/>
  <c r="CL10" i="6" s="1"/>
  <c r="CI10" i="6"/>
  <c r="CE10" i="6"/>
  <c r="CF10" i="6" s="1"/>
  <c r="CC10" i="6"/>
  <c r="BZ10" i="6"/>
  <c r="BV10" i="6"/>
  <c r="BR10" i="6"/>
  <c r="BP10" i="6"/>
  <c r="BQ10" i="6" s="1"/>
  <c r="BN10" i="6"/>
  <c r="BL10" i="6"/>
  <c r="BK10" i="6"/>
  <c r="BI10" i="6"/>
  <c r="BF10" i="6"/>
  <c r="BD10" i="6"/>
  <c r="BB10" i="6"/>
  <c r="AY10" i="6"/>
  <c r="AW10" i="6"/>
  <c r="AT10" i="6"/>
  <c r="AP10" i="6"/>
  <c r="AN10" i="6"/>
  <c r="AL10" i="6"/>
  <c r="AJ10" i="6"/>
  <c r="AH10" i="6"/>
  <c r="AF10" i="6"/>
  <c r="AD10" i="6"/>
  <c r="AB10" i="6"/>
  <c r="X10" i="6"/>
  <c r="U10" i="6"/>
  <c r="Q10" i="6"/>
  <c r="N10" i="6"/>
  <c r="K10" i="6"/>
  <c r="H10" i="6"/>
  <c r="E10" i="6"/>
  <c r="DJ9" i="6"/>
  <c r="DI9" i="6"/>
  <c r="DF9" i="6"/>
  <c r="CZ9" i="6"/>
  <c r="CY9" i="6"/>
  <c r="CW9" i="6"/>
  <c r="CT9" i="6"/>
  <c r="CU9" i="6" s="1"/>
  <c r="CR9" i="6"/>
  <c r="CN9" i="6"/>
  <c r="CK9" i="6"/>
  <c r="CL9" i="6" s="1"/>
  <c r="CI9" i="6"/>
  <c r="CE9" i="6"/>
  <c r="CF9" i="6" s="1"/>
  <c r="CC9" i="6"/>
  <c r="BZ9" i="6"/>
  <c r="BV9" i="6"/>
  <c r="BR9" i="6"/>
  <c r="BP9" i="6"/>
  <c r="BQ9" i="6" s="1"/>
  <c r="DE9" i="6" s="1"/>
  <c r="BN9" i="6"/>
  <c r="BK9" i="6"/>
  <c r="BL9" i="6" s="1"/>
  <c r="BI9" i="6"/>
  <c r="BF9" i="6"/>
  <c r="BD9" i="6"/>
  <c r="BB9" i="6"/>
  <c r="AZ9" i="6"/>
  <c r="AY9" i="6"/>
  <c r="AW9" i="6"/>
  <c r="AT9" i="6"/>
  <c r="AP9" i="6"/>
  <c r="AN9" i="6"/>
  <c r="AL9" i="6"/>
  <c r="AJ9" i="6"/>
  <c r="AH9" i="6"/>
  <c r="AF9" i="6"/>
  <c r="AD9" i="6"/>
  <c r="AB9" i="6"/>
  <c r="X9" i="6"/>
  <c r="U9" i="6"/>
  <c r="Q9" i="6"/>
  <c r="N9" i="6"/>
  <c r="K9" i="6"/>
  <c r="H9" i="6"/>
  <c r="E9" i="6"/>
  <c r="DJ8" i="6"/>
  <c r="DI8" i="6"/>
  <c r="DF8" i="6"/>
  <c r="CY8" i="6"/>
  <c r="CZ8" i="6" s="1"/>
  <c r="CW8" i="6"/>
  <c r="CU8" i="6"/>
  <c r="CT8" i="6"/>
  <c r="CR8" i="6"/>
  <c r="CN8" i="6"/>
  <c r="CK8" i="6"/>
  <c r="CL8" i="6" s="1"/>
  <c r="CI8" i="6"/>
  <c r="CE8" i="6"/>
  <c r="CF8" i="6" s="1"/>
  <c r="CC8" i="6"/>
  <c r="BZ8" i="6"/>
  <c r="BV8" i="6"/>
  <c r="BR8" i="6"/>
  <c r="BP8" i="6"/>
  <c r="BQ8" i="6" s="1"/>
  <c r="BN8" i="6"/>
  <c r="BK8" i="6"/>
  <c r="BL8" i="6" s="1"/>
  <c r="DD8" i="6" s="1"/>
  <c r="DG8" i="6" s="1"/>
  <c r="BI8" i="6"/>
  <c r="BF8" i="6"/>
  <c r="BD8" i="6"/>
  <c r="BB8" i="6"/>
  <c r="AY8" i="6"/>
  <c r="AW8" i="6"/>
  <c r="AZ8" i="6" s="1"/>
  <c r="AT8" i="6"/>
  <c r="AP8" i="6"/>
  <c r="AN8" i="6"/>
  <c r="AL8" i="6"/>
  <c r="AJ8" i="6"/>
  <c r="AH8" i="6"/>
  <c r="AF8" i="6"/>
  <c r="AD8" i="6"/>
  <c r="AB8" i="6"/>
  <c r="X8" i="6"/>
  <c r="U8" i="6"/>
  <c r="Q8" i="6"/>
  <c r="N8" i="6"/>
  <c r="K8" i="6"/>
  <c r="H8" i="6"/>
  <c r="E8" i="6"/>
  <c r="DJ7" i="6"/>
  <c r="DI7" i="6"/>
  <c r="DF7" i="6"/>
  <c r="CZ7" i="6"/>
  <c r="CY7" i="6"/>
  <c r="CW7" i="6"/>
  <c r="CT7" i="6"/>
  <c r="CU7" i="6" s="1"/>
  <c r="CR7" i="6"/>
  <c r="CN7" i="6"/>
  <c r="CK7" i="6"/>
  <c r="CL7" i="6" s="1"/>
  <c r="CI7" i="6"/>
  <c r="CE7" i="6"/>
  <c r="CF7" i="6" s="1"/>
  <c r="CC7" i="6"/>
  <c r="BZ7" i="6"/>
  <c r="BV7" i="6"/>
  <c r="BR7" i="6"/>
  <c r="BP7" i="6"/>
  <c r="BQ7" i="6" s="1"/>
  <c r="BN7" i="6"/>
  <c r="BK7" i="6"/>
  <c r="BL7" i="6" s="1"/>
  <c r="BI7" i="6"/>
  <c r="BF7" i="6"/>
  <c r="BD7" i="6"/>
  <c r="BB7" i="6"/>
  <c r="AY7" i="6"/>
  <c r="AW7" i="6"/>
  <c r="AZ7" i="6" s="1"/>
  <c r="AT7" i="6"/>
  <c r="AP7" i="6"/>
  <c r="AN7" i="6"/>
  <c r="AL7" i="6"/>
  <c r="AJ7" i="6"/>
  <c r="AH7" i="6"/>
  <c r="AF7" i="6"/>
  <c r="AD7" i="6"/>
  <c r="AB7" i="6"/>
  <c r="X7" i="6"/>
  <c r="Y7" i="6"/>
  <c r="Q7" i="6"/>
  <c r="N7" i="6"/>
  <c r="K7" i="6"/>
  <c r="H7" i="6"/>
  <c r="E7" i="6"/>
  <c r="DJ6" i="6"/>
  <c r="DI6" i="6"/>
  <c r="DF6" i="6"/>
  <c r="CY6" i="6"/>
  <c r="CZ6" i="6" s="1"/>
  <c r="CW6" i="6"/>
  <c r="CT6" i="6"/>
  <c r="CU6" i="6" s="1"/>
  <c r="CR6" i="6"/>
  <c r="CN6" i="6"/>
  <c r="CK6" i="6"/>
  <c r="CL6" i="6" s="1"/>
  <c r="CI6" i="6"/>
  <c r="CE6" i="6"/>
  <c r="CF6" i="6" s="1"/>
  <c r="CC6" i="6"/>
  <c r="BZ6" i="6"/>
  <c r="BV6" i="6"/>
  <c r="BR6" i="6"/>
  <c r="BP6" i="6"/>
  <c r="BQ6" i="6" s="1"/>
  <c r="BN6" i="6"/>
  <c r="BK6" i="6"/>
  <c r="BL6" i="6" s="1"/>
  <c r="BI6" i="6"/>
  <c r="BF6" i="6"/>
  <c r="BD6" i="6"/>
  <c r="BB6" i="6"/>
  <c r="AY6" i="6"/>
  <c r="AW6" i="6"/>
  <c r="AZ6" i="6" s="1"/>
  <c r="AT6" i="6"/>
  <c r="AP6" i="6"/>
  <c r="AN6" i="6"/>
  <c r="AL6" i="6"/>
  <c r="AJ6" i="6"/>
  <c r="AD6" i="6"/>
  <c r="X6" i="6"/>
  <c r="U6" i="6"/>
  <c r="N6" i="6"/>
  <c r="K6" i="6"/>
  <c r="H6" i="6"/>
  <c r="E6" i="6"/>
  <c r="DJ5" i="6"/>
  <c r="DI5" i="6"/>
  <c r="DF5" i="6"/>
  <c r="CY5" i="6"/>
  <c r="CZ5" i="6" s="1"/>
  <c r="CW5" i="6"/>
  <c r="CT5" i="6"/>
  <c r="CU5" i="6" s="1"/>
  <c r="CR5" i="6"/>
  <c r="CN5" i="6"/>
  <c r="CK5" i="6"/>
  <c r="CL5" i="6" s="1"/>
  <c r="CI5" i="6"/>
  <c r="CE5" i="6"/>
  <c r="CF5" i="6" s="1"/>
  <c r="CC5" i="6"/>
  <c r="BZ5" i="6"/>
  <c r="BV5" i="6"/>
  <c r="BR5" i="6"/>
  <c r="BQ5" i="6"/>
  <c r="BP5" i="6"/>
  <c r="BN5" i="6"/>
  <c r="BK5" i="6"/>
  <c r="BL5" i="6" s="1"/>
  <c r="BI5" i="6"/>
  <c r="BF5" i="6"/>
  <c r="BD5" i="6"/>
  <c r="BB5" i="6"/>
  <c r="AY5" i="6"/>
  <c r="AW5" i="6"/>
  <c r="AT5" i="6"/>
  <c r="AP5" i="6"/>
  <c r="AN5" i="6"/>
  <c r="AL5" i="6"/>
  <c r="AJ5" i="6"/>
  <c r="AH5" i="6"/>
  <c r="AF5" i="6"/>
  <c r="AD5" i="6"/>
  <c r="AB5" i="6"/>
  <c r="X5" i="6"/>
  <c r="U5" i="6"/>
  <c r="Q5" i="6"/>
  <c r="N5" i="6"/>
  <c r="K5" i="6"/>
  <c r="H5" i="6"/>
  <c r="E5" i="6"/>
  <c r="CW4" i="6"/>
  <c r="CR4" i="6"/>
  <c r="CN4" i="6"/>
  <c r="CI4" i="6"/>
  <c r="CC4" i="6"/>
  <c r="BV4" i="6"/>
  <c r="BR4" i="6"/>
  <c r="BN4" i="6"/>
  <c r="BI4" i="6"/>
  <c r="HG22" i="5"/>
  <c r="HJ22" i="5" s="1"/>
  <c r="HF22" i="5"/>
  <c r="HI22" i="5" s="1"/>
  <c r="HC22" i="5"/>
  <c r="GY22" i="5"/>
  <c r="HA22" i="5" s="1"/>
  <c r="GW22" i="5"/>
  <c r="GR22" i="5"/>
  <c r="GU22" i="5" s="1"/>
  <c r="GQ22" i="5"/>
  <c r="GT22" i="5" s="1"/>
  <c r="GN22" i="5"/>
  <c r="GI22" i="5"/>
  <c r="GL22" i="5" s="1"/>
  <c r="GH22" i="5"/>
  <c r="GK22" i="5" s="1"/>
  <c r="GE22" i="5"/>
  <c r="FS22" i="5"/>
  <c r="FV22" i="5" s="1"/>
  <c r="FR22" i="5"/>
  <c r="FU22" i="5" s="1"/>
  <c r="FO22" i="5"/>
  <c r="FL22" i="5"/>
  <c r="FJ22" i="5"/>
  <c r="FM22" i="5" s="1"/>
  <c r="FI22" i="5"/>
  <c r="FK22" i="5" s="1"/>
  <c r="FF22" i="5"/>
  <c r="FA22" i="5"/>
  <c r="FD22" i="5" s="1"/>
  <c r="EZ22" i="5"/>
  <c r="FC22" i="5" s="1"/>
  <c r="EW22" i="5"/>
  <c r="ER22" i="5"/>
  <c r="EU22" i="5" s="1"/>
  <c r="EQ22" i="5"/>
  <c r="ET22" i="5" s="1"/>
  <c r="EN22" i="5"/>
  <c r="EI22" i="5"/>
  <c r="EL22" i="5" s="1"/>
  <c r="EH22" i="5"/>
  <c r="EK22" i="5" s="1"/>
  <c r="EE22" i="5"/>
  <c r="EC22" i="5"/>
  <c r="DZ22" i="5"/>
  <c r="DY22" i="5"/>
  <c r="DV22" i="5"/>
  <c r="DQ22" i="5"/>
  <c r="DT22" i="5" s="1"/>
  <c r="DP22" i="5"/>
  <c r="DS22" i="5" s="1"/>
  <c r="DM22" i="5"/>
  <c r="DH22" i="5"/>
  <c r="DK22" i="5" s="1"/>
  <c r="DG22" i="5"/>
  <c r="DJ22" i="5" s="1"/>
  <c r="DD22" i="5"/>
  <c r="CY22" i="5"/>
  <c r="DB22" i="5" s="1"/>
  <c r="CX22" i="5"/>
  <c r="DA22" i="5" s="1"/>
  <c r="CU22" i="5"/>
  <c r="CP22" i="5"/>
  <c r="CS22" i="5" s="1"/>
  <c r="CO22" i="5"/>
  <c r="CQ22" i="5" s="1"/>
  <c r="CL22" i="5"/>
  <c r="CG22" i="5"/>
  <c r="CJ22" i="5" s="1"/>
  <c r="CF22" i="5"/>
  <c r="CI22" i="5" s="1"/>
  <c r="CC22" i="5"/>
  <c r="CB22" i="5"/>
  <c r="CA22" i="5"/>
  <c r="BY22" i="5"/>
  <c r="BP22" i="5"/>
  <c r="BM22" i="5"/>
  <c r="BJ22" i="5"/>
  <c r="BG22" i="5"/>
  <c r="AW22" i="5"/>
  <c r="AS22" i="5"/>
  <c r="AO22" i="5"/>
  <c r="AK22" i="5"/>
  <c r="AG22" i="5"/>
  <c r="AC22" i="5"/>
  <c r="Y22" i="5"/>
  <c r="U22" i="5"/>
  <c r="Q22" i="5"/>
  <c r="M22" i="5"/>
  <c r="I22" i="5"/>
  <c r="E22" i="5"/>
  <c r="HC21" i="5"/>
  <c r="GW21" i="5"/>
  <c r="GN21" i="5"/>
  <c r="GE21" i="5"/>
  <c r="FO21" i="5"/>
  <c r="FF21" i="5"/>
  <c r="EW21" i="5"/>
  <c r="EN21" i="5"/>
  <c r="EE21" i="5"/>
  <c r="DV21" i="5"/>
  <c r="DM21" i="5"/>
  <c r="DD21" i="5"/>
  <c r="CU21" i="5"/>
  <c r="CL21" i="5"/>
  <c r="CC21" i="5"/>
  <c r="BY21" i="5"/>
  <c r="BP21" i="5"/>
  <c r="BM21" i="5"/>
  <c r="BJ21" i="5"/>
  <c r="BG21" i="5"/>
  <c r="AW21" i="5"/>
  <c r="AS21" i="5"/>
  <c r="AO21" i="5"/>
  <c r="AK21" i="5"/>
  <c r="AG21" i="5"/>
  <c r="AC21" i="5"/>
  <c r="Y21" i="5"/>
  <c r="U21" i="5"/>
  <c r="Q21" i="5"/>
  <c r="M21" i="5"/>
  <c r="I21" i="5"/>
  <c r="E21" i="5"/>
  <c r="HC20" i="5"/>
  <c r="GW20" i="5"/>
  <c r="GN20" i="5"/>
  <c r="GE20" i="5"/>
  <c r="FO20" i="5"/>
  <c r="FF20" i="5"/>
  <c r="EW20" i="5"/>
  <c r="EN20" i="5"/>
  <c r="EE20" i="5"/>
  <c r="DV20" i="5"/>
  <c r="DM20" i="5"/>
  <c r="DD20" i="5"/>
  <c r="CU20" i="5"/>
  <c r="CL20" i="5"/>
  <c r="CC20" i="5"/>
  <c r="BY20" i="5"/>
  <c r="BP20" i="5"/>
  <c r="BM20" i="5"/>
  <c r="BJ20" i="5"/>
  <c r="BG20" i="5"/>
  <c r="AW20" i="5"/>
  <c r="AS20" i="5"/>
  <c r="AO20" i="5"/>
  <c r="AK20" i="5"/>
  <c r="AG20" i="5"/>
  <c r="AC20" i="5"/>
  <c r="Y20" i="5"/>
  <c r="U20" i="5"/>
  <c r="Q20" i="5"/>
  <c r="M20" i="5"/>
  <c r="I20" i="5"/>
  <c r="E20" i="5"/>
  <c r="HG19" i="5"/>
  <c r="HJ19" i="5" s="1"/>
  <c r="HF19" i="5"/>
  <c r="HI19" i="5" s="1"/>
  <c r="HC19" i="5"/>
  <c r="GY19" i="5"/>
  <c r="GW19" i="5"/>
  <c r="GR19" i="5"/>
  <c r="GU19" i="5" s="1"/>
  <c r="GQ19" i="5"/>
  <c r="GT19" i="5" s="1"/>
  <c r="GN19" i="5"/>
  <c r="GK19" i="5"/>
  <c r="GJ19" i="5"/>
  <c r="GM19" i="5" s="1"/>
  <c r="GI19" i="5"/>
  <c r="GL19" i="5" s="1"/>
  <c r="GE19" i="5"/>
  <c r="FS19" i="5"/>
  <c r="FV19" i="5" s="1"/>
  <c r="FR19" i="5"/>
  <c r="FO19" i="5"/>
  <c r="FK19" i="5"/>
  <c r="FJ19" i="5"/>
  <c r="FM19" i="5" s="1"/>
  <c r="FI19" i="5"/>
  <c r="FL19" i="5" s="1"/>
  <c r="FF19" i="5"/>
  <c r="FA19" i="5"/>
  <c r="FD19" i="5" s="1"/>
  <c r="EZ19" i="5"/>
  <c r="FC19" i="5" s="1"/>
  <c r="EW19" i="5"/>
  <c r="ER19" i="5"/>
  <c r="EU19" i="5" s="1"/>
  <c r="EQ19" i="5"/>
  <c r="ET19" i="5" s="1"/>
  <c r="EN19" i="5"/>
  <c r="EK19" i="5"/>
  <c r="EI19" i="5"/>
  <c r="EL19" i="5" s="1"/>
  <c r="EH19" i="5"/>
  <c r="EJ19" i="5" s="1"/>
  <c r="EE19" i="5"/>
  <c r="DZ19" i="5"/>
  <c r="EC19" i="5" s="1"/>
  <c r="DY19" i="5"/>
  <c r="EB19" i="5" s="1"/>
  <c r="DV19" i="5"/>
  <c r="DQ19" i="5"/>
  <c r="DT19" i="5" s="1"/>
  <c r="DP19" i="5"/>
  <c r="DS19" i="5" s="1"/>
  <c r="DM19" i="5"/>
  <c r="DH19" i="5"/>
  <c r="DK19" i="5" s="1"/>
  <c r="DG19" i="5"/>
  <c r="DJ19" i="5" s="1"/>
  <c r="DD19" i="5"/>
  <c r="CY19" i="5"/>
  <c r="DB19" i="5" s="1"/>
  <c r="CX19" i="5"/>
  <c r="CU19" i="5"/>
  <c r="CP19" i="5"/>
  <c r="CS19" i="5" s="1"/>
  <c r="CO19" i="5"/>
  <c r="CR19" i="5" s="1"/>
  <c r="CL19" i="5"/>
  <c r="CG19" i="5"/>
  <c r="CJ19" i="5" s="1"/>
  <c r="CF19" i="5"/>
  <c r="CI19" i="5" s="1"/>
  <c r="CC19" i="5"/>
  <c r="CA19" i="5"/>
  <c r="CB19" i="5" s="1"/>
  <c r="BY19" i="5"/>
  <c r="BP19" i="5"/>
  <c r="BM19" i="5"/>
  <c r="BJ19" i="5"/>
  <c r="BG19" i="5"/>
  <c r="AW19" i="5"/>
  <c r="AS19" i="5"/>
  <c r="AO19" i="5"/>
  <c r="AK19" i="5"/>
  <c r="AG19" i="5"/>
  <c r="AC19" i="5"/>
  <c r="Y19" i="5"/>
  <c r="U19" i="5"/>
  <c r="Q19" i="5"/>
  <c r="M19" i="5"/>
  <c r="I19" i="5"/>
  <c r="E19" i="5"/>
  <c r="HC18" i="5"/>
  <c r="GW18" i="5"/>
  <c r="GN18" i="5"/>
  <c r="GE18" i="5"/>
  <c r="FO18" i="5"/>
  <c r="FF18" i="5"/>
  <c r="EW18" i="5"/>
  <c r="EN18" i="5"/>
  <c r="EE18" i="5"/>
  <c r="DV18" i="5"/>
  <c r="DM18" i="5"/>
  <c r="DD18" i="5"/>
  <c r="CU18" i="5"/>
  <c r="CL18" i="5"/>
  <c r="CC18" i="5"/>
  <c r="BY18" i="5"/>
  <c r="BP18" i="5"/>
  <c r="BM18" i="5"/>
  <c r="BJ18" i="5"/>
  <c r="BS18" i="5" s="1"/>
  <c r="BG18" i="5"/>
  <c r="AW18" i="5"/>
  <c r="AS18" i="5"/>
  <c r="AO18" i="5"/>
  <c r="BA18" i="5" s="1"/>
  <c r="AK18" i="5"/>
  <c r="AG18" i="5"/>
  <c r="AC18" i="5"/>
  <c r="Y18" i="5"/>
  <c r="U18" i="5"/>
  <c r="Q18" i="5"/>
  <c r="M18" i="5"/>
  <c r="I18" i="5"/>
  <c r="E18" i="5"/>
  <c r="HC17" i="5"/>
  <c r="GW17" i="5"/>
  <c r="GN17" i="5"/>
  <c r="GE17" i="5"/>
  <c r="FO17" i="5"/>
  <c r="FF17" i="5"/>
  <c r="EW17" i="5"/>
  <c r="EN17" i="5"/>
  <c r="EE17" i="5"/>
  <c r="DV17" i="5"/>
  <c r="DM17" i="5"/>
  <c r="DD17" i="5"/>
  <c r="CU17" i="5"/>
  <c r="CL17" i="5"/>
  <c r="CC17" i="5"/>
  <c r="BY17" i="5"/>
  <c r="BP17" i="5"/>
  <c r="BM17" i="5"/>
  <c r="BJ17" i="5"/>
  <c r="BG17" i="5"/>
  <c r="AW17" i="5"/>
  <c r="AS17" i="5"/>
  <c r="AO17" i="5"/>
  <c r="BA17" i="5" s="1"/>
  <c r="AK17" i="5"/>
  <c r="AG17" i="5"/>
  <c r="AC17" i="5"/>
  <c r="Y17" i="5"/>
  <c r="U17" i="5"/>
  <c r="Q17" i="5"/>
  <c r="M17" i="5"/>
  <c r="I17" i="5"/>
  <c r="E17" i="5"/>
  <c r="HC16" i="5"/>
  <c r="GW16" i="5"/>
  <c r="GN16" i="5"/>
  <c r="GE16" i="5"/>
  <c r="FO16" i="5"/>
  <c r="FF16" i="5"/>
  <c r="EW16" i="5"/>
  <c r="EN16" i="5"/>
  <c r="EE16" i="5"/>
  <c r="DV16" i="5"/>
  <c r="DM16" i="5"/>
  <c r="DD16" i="5"/>
  <c r="CU16" i="5"/>
  <c r="CL16" i="5"/>
  <c r="CC16" i="5"/>
  <c r="BY16" i="5"/>
  <c r="BP16" i="5"/>
  <c r="BM16" i="5"/>
  <c r="BJ16" i="5"/>
  <c r="BG16" i="5"/>
  <c r="AW16" i="5"/>
  <c r="AS16" i="5"/>
  <c r="AO16" i="5"/>
  <c r="AK16" i="5"/>
  <c r="AG16" i="5"/>
  <c r="AC16" i="5"/>
  <c r="Y16" i="5"/>
  <c r="U16" i="5"/>
  <c r="Q16" i="5"/>
  <c r="M16" i="5"/>
  <c r="I16" i="5"/>
  <c r="E16" i="5"/>
  <c r="HC15" i="5"/>
  <c r="GW15" i="5"/>
  <c r="GN15" i="5"/>
  <c r="GE15" i="5"/>
  <c r="FO15" i="5"/>
  <c r="FF15" i="5"/>
  <c r="EW15" i="5"/>
  <c r="EN15" i="5"/>
  <c r="EE15" i="5"/>
  <c r="DV15" i="5"/>
  <c r="DM15" i="5"/>
  <c r="DD15" i="5"/>
  <c r="CU15" i="5"/>
  <c r="CL15" i="5"/>
  <c r="CC15" i="5"/>
  <c r="BY15" i="5"/>
  <c r="BP15" i="5"/>
  <c r="BM15" i="5"/>
  <c r="BJ15" i="5"/>
  <c r="BG15" i="5"/>
  <c r="AW15" i="5"/>
  <c r="AS15" i="5"/>
  <c r="AO15" i="5"/>
  <c r="AK15" i="5"/>
  <c r="AG15" i="5"/>
  <c r="AC15" i="5"/>
  <c r="Y15" i="5"/>
  <c r="U15" i="5"/>
  <c r="Q15" i="5"/>
  <c r="M15" i="5"/>
  <c r="I15" i="5"/>
  <c r="E15" i="5"/>
  <c r="HG14" i="5"/>
  <c r="HJ14" i="5" s="1"/>
  <c r="HF14" i="5"/>
  <c r="HI14" i="5" s="1"/>
  <c r="HC14" i="5"/>
  <c r="GY14" i="5"/>
  <c r="GZ14" i="5" s="1"/>
  <c r="GW14" i="5"/>
  <c r="GR14" i="5"/>
  <c r="GU14" i="5" s="1"/>
  <c r="GQ14" i="5"/>
  <c r="GT14" i="5" s="1"/>
  <c r="GN14" i="5"/>
  <c r="GI14" i="5"/>
  <c r="GL14" i="5" s="1"/>
  <c r="GH14" i="5"/>
  <c r="GK14" i="5" s="1"/>
  <c r="GE14" i="5"/>
  <c r="FV14" i="5"/>
  <c r="FS14" i="5"/>
  <c r="FR14" i="5"/>
  <c r="FT14" i="5" s="1"/>
  <c r="FO14" i="5"/>
  <c r="FJ14" i="5"/>
  <c r="FM14" i="5" s="1"/>
  <c r="FI14" i="5"/>
  <c r="FL14" i="5" s="1"/>
  <c r="FF14" i="5"/>
  <c r="FA14" i="5"/>
  <c r="FD14" i="5" s="1"/>
  <c r="EZ14" i="5"/>
  <c r="FC14" i="5" s="1"/>
  <c r="EW14" i="5"/>
  <c r="ER14" i="5"/>
  <c r="EU14" i="5" s="1"/>
  <c r="EQ14" i="5"/>
  <c r="ET14" i="5" s="1"/>
  <c r="EN14" i="5"/>
  <c r="EI14" i="5"/>
  <c r="EL14" i="5" s="1"/>
  <c r="EH14" i="5"/>
  <c r="EE14" i="5"/>
  <c r="DY14" i="5"/>
  <c r="EA14" i="5" s="1"/>
  <c r="DX14" i="5"/>
  <c r="DZ14" i="5" s="1"/>
  <c r="EC14" i="5" s="1"/>
  <c r="DV14" i="5"/>
  <c r="DQ14" i="5"/>
  <c r="DT14" i="5" s="1"/>
  <c r="DP14" i="5"/>
  <c r="DR14" i="5" s="1"/>
  <c r="DM14" i="5"/>
  <c r="DH14" i="5"/>
  <c r="DK14" i="5" s="1"/>
  <c r="DG14" i="5"/>
  <c r="DJ14" i="5" s="1"/>
  <c r="DD14" i="5"/>
  <c r="CY14" i="5"/>
  <c r="DB14" i="5" s="1"/>
  <c r="CX14" i="5"/>
  <c r="CZ14" i="5" s="1"/>
  <c r="CU14" i="5"/>
  <c r="CP14" i="5"/>
  <c r="CS14" i="5" s="1"/>
  <c r="CO14" i="5"/>
  <c r="CQ14" i="5" s="1"/>
  <c r="CL14" i="5"/>
  <c r="CG14" i="5"/>
  <c r="CJ14" i="5" s="1"/>
  <c r="CF14" i="5"/>
  <c r="CI14" i="5" s="1"/>
  <c r="CC14" i="5"/>
  <c r="CA14" i="5"/>
  <c r="CB14" i="5" s="1"/>
  <c r="BY14" i="5"/>
  <c r="BP14" i="5"/>
  <c r="BM14" i="5"/>
  <c r="BJ14" i="5"/>
  <c r="BG14" i="5"/>
  <c r="AW14" i="5"/>
  <c r="AS14" i="5"/>
  <c r="AO14" i="5"/>
  <c r="AK14" i="5"/>
  <c r="AG14" i="5"/>
  <c r="AC14" i="5"/>
  <c r="Y14" i="5"/>
  <c r="U14" i="5"/>
  <c r="Q14" i="5"/>
  <c r="M14" i="5"/>
  <c r="I14" i="5"/>
  <c r="E14" i="5"/>
  <c r="HG13" i="5"/>
  <c r="HJ13" i="5" s="1"/>
  <c r="HF13" i="5"/>
  <c r="HI13" i="5" s="1"/>
  <c r="HC13" i="5"/>
  <c r="GY13" i="5"/>
  <c r="HA13" i="5" s="1"/>
  <c r="GW13" i="5"/>
  <c r="GR13" i="5"/>
  <c r="GU13" i="5" s="1"/>
  <c r="GQ13" i="5"/>
  <c r="GT13" i="5" s="1"/>
  <c r="GN13" i="5"/>
  <c r="GK13" i="5"/>
  <c r="GM13" i="5" s="1"/>
  <c r="GI13" i="5"/>
  <c r="GL13" i="5" s="1"/>
  <c r="GH13" i="5"/>
  <c r="GJ13" i="5" s="1"/>
  <c r="GE13" i="5"/>
  <c r="FV13" i="5"/>
  <c r="FS13" i="5"/>
  <c r="FR13" i="5"/>
  <c r="FU13" i="5" s="1"/>
  <c r="FO13" i="5"/>
  <c r="FJ13" i="5"/>
  <c r="FM13" i="5" s="1"/>
  <c r="FI13" i="5"/>
  <c r="FL13" i="5" s="1"/>
  <c r="FF13" i="5"/>
  <c r="FA13" i="5"/>
  <c r="FD13" i="5" s="1"/>
  <c r="EZ13" i="5"/>
  <c r="FC13" i="5" s="1"/>
  <c r="EW13" i="5"/>
  <c r="ER13" i="5"/>
  <c r="EU13" i="5" s="1"/>
  <c r="EQ13" i="5"/>
  <c r="ES13" i="5" s="1"/>
  <c r="EN13" i="5"/>
  <c r="EI13" i="5"/>
  <c r="EL13" i="5" s="1"/>
  <c r="EH13" i="5"/>
  <c r="EK13" i="5" s="1"/>
  <c r="EE13" i="5"/>
  <c r="DY13" i="5"/>
  <c r="EB13" i="5" s="1"/>
  <c r="DX13" i="5"/>
  <c r="DZ13" i="5" s="1"/>
  <c r="EC13" i="5" s="1"/>
  <c r="DV13" i="5"/>
  <c r="DQ13" i="5"/>
  <c r="DT13" i="5" s="1"/>
  <c r="DP13" i="5"/>
  <c r="DS13" i="5" s="1"/>
  <c r="DM13" i="5"/>
  <c r="DH13" i="5"/>
  <c r="DK13" i="5" s="1"/>
  <c r="DG13" i="5"/>
  <c r="DJ13" i="5" s="1"/>
  <c r="DD13" i="5"/>
  <c r="CY13" i="5"/>
  <c r="DB13" i="5" s="1"/>
  <c r="CX13" i="5"/>
  <c r="CU13" i="5"/>
  <c r="CS13" i="5"/>
  <c r="CP13" i="5"/>
  <c r="CO13" i="5"/>
  <c r="CR13" i="5" s="1"/>
  <c r="CL13" i="5"/>
  <c r="CJ13" i="5"/>
  <c r="CG13" i="5"/>
  <c r="CF13" i="5"/>
  <c r="CH13" i="5" s="1"/>
  <c r="CC13" i="5"/>
  <c r="CA13" i="5"/>
  <c r="CB13" i="5" s="1"/>
  <c r="BY13" i="5"/>
  <c r="BP13" i="5"/>
  <c r="BM13" i="5"/>
  <c r="BJ13" i="5"/>
  <c r="BG13" i="5"/>
  <c r="AW13" i="5"/>
  <c r="AS13" i="5"/>
  <c r="BA13" i="5" s="1"/>
  <c r="AO13" i="5"/>
  <c r="AK13" i="5"/>
  <c r="AG13" i="5"/>
  <c r="AC13" i="5"/>
  <c r="Y13" i="5"/>
  <c r="U13" i="5"/>
  <c r="Q13" i="5"/>
  <c r="M13" i="5"/>
  <c r="I13" i="5"/>
  <c r="E13" i="5"/>
  <c r="HG12" i="5"/>
  <c r="HJ12" i="5" s="1"/>
  <c r="HF12" i="5"/>
  <c r="HI12" i="5" s="1"/>
  <c r="HC12" i="5"/>
  <c r="GY12" i="5"/>
  <c r="HA12" i="5" s="1"/>
  <c r="GW12" i="5"/>
  <c r="GR12" i="5"/>
  <c r="GU12" i="5" s="1"/>
  <c r="GQ12" i="5"/>
  <c r="GN12" i="5"/>
  <c r="GI12" i="5"/>
  <c r="GL12" i="5" s="1"/>
  <c r="GH12" i="5"/>
  <c r="GK12" i="5" s="1"/>
  <c r="GE12" i="5"/>
  <c r="FS12" i="5"/>
  <c r="FV12" i="5" s="1"/>
  <c r="FR12" i="5"/>
  <c r="FU12" i="5" s="1"/>
  <c r="FO12" i="5"/>
  <c r="FJ12" i="5"/>
  <c r="FM12" i="5" s="1"/>
  <c r="FI12" i="5"/>
  <c r="FL12" i="5" s="1"/>
  <c r="FF12" i="5"/>
  <c r="FA12" i="5"/>
  <c r="FD12" i="5" s="1"/>
  <c r="EZ12" i="5"/>
  <c r="EW12" i="5"/>
  <c r="ER12" i="5"/>
  <c r="EU12" i="5" s="1"/>
  <c r="EQ12" i="5"/>
  <c r="ET12" i="5" s="1"/>
  <c r="EN12" i="5"/>
  <c r="EI12" i="5"/>
  <c r="EL12" i="5" s="1"/>
  <c r="EH12" i="5"/>
  <c r="EK12" i="5" s="1"/>
  <c r="EE12" i="5"/>
  <c r="EC12" i="5"/>
  <c r="DZ12" i="5"/>
  <c r="DY12" i="5"/>
  <c r="EA12" i="5" s="1"/>
  <c r="DV12" i="5"/>
  <c r="DQ12" i="5"/>
  <c r="DT12" i="5" s="1"/>
  <c r="DP12" i="5"/>
  <c r="DS12" i="5" s="1"/>
  <c r="DM12" i="5"/>
  <c r="DH12" i="5"/>
  <c r="DK12" i="5" s="1"/>
  <c r="DG12" i="5"/>
  <c r="DI12" i="5" s="1"/>
  <c r="DD12" i="5"/>
  <c r="CZ12" i="5"/>
  <c r="CY12" i="5"/>
  <c r="DB12" i="5" s="1"/>
  <c r="CX12" i="5"/>
  <c r="DA12" i="5" s="1"/>
  <c r="CU12" i="5"/>
  <c r="CP12" i="5"/>
  <c r="CS12" i="5" s="1"/>
  <c r="CO12" i="5"/>
  <c r="CR12" i="5" s="1"/>
  <c r="CL12" i="5"/>
  <c r="CG12" i="5"/>
  <c r="CJ12" i="5" s="1"/>
  <c r="CF12" i="5"/>
  <c r="CC12" i="5"/>
  <c r="CA12" i="5"/>
  <c r="CB12" i="5" s="1"/>
  <c r="BY12" i="5"/>
  <c r="BP12" i="5"/>
  <c r="BM12" i="5"/>
  <c r="BJ12" i="5"/>
  <c r="BG12" i="5"/>
  <c r="AW12" i="5"/>
  <c r="AS12" i="5"/>
  <c r="AO12" i="5"/>
  <c r="BA12" i="5" s="1"/>
  <c r="AK12" i="5"/>
  <c r="AG12" i="5"/>
  <c r="AC12" i="5"/>
  <c r="Y12" i="5"/>
  <c r="U12" i="5"/>
  <c r="Q12" i="5"/>
  <c r="M12" i="5"/>
  <c r="I12" i="5"/>
  <c r="E12" i="5"/>
  <c r="HG11" i="5"/>
  <c r="HJ11" i="5" s="1"/>
  <c r="HF11" i="5"/>
  <c r="HI11" i="5" s="1"/>
  <c r="HC11" i="5"/>
  <c r="GY11" i="5"/>
  <c r="GZ11" i="5" s="1"/>
  <c r="GW11" i="5"/>
  <c r="GR11" i="5"/>
  <c r="GU11" i="5" s="1"/>
  <c r="GQ11" i="5"/>
  <c r="GT11" i="5" s="1"/>
  <c r="GN11" i="5"/>
  <c r="GI11" i="5"/>
  <c r="GL11" i="5" s="1"/>
  <c r="GH11" i="5"/>
  <c r="GK11" i="5" s="1"/>
  <c r="GE11" i="5"/>
  <c r="FU11" i="5"/>
  <c r="FT11" i="5"/>
  <c r="FW11" i="5" s="1"/>
  <c r="FS11" i="5"/>
  <c r="FV11" i="5" s="1"/>
  <c r="FR11" i="5"/>
  <c r="FO11" i="5"/>
  <c r="FL11" i="5"/>
  <c r="FJ11" i="5"/>
  <c r="FM11" i="5" s="1"/>
  <c r="FI11" i="5"/>
  <c r="FK11" i="5" s="1"/>
  <c r="FF11" i="5"/>
  <c r="FA11" i="5"/>
  <c r="FD11" i="5" s="1"/>
  <c r="EZ11" i="5"/>
  <c r="FC11" i="5" s="1"/>
  <c r="EW11" i="5"/>
  <c r="ER11" i="5"/>
  <c r="EU11" i="5" s="1"/>
  <c r="EQ11" i="5"/>
  <c r="ET11" i="5" s="1"/>
  <c r="EN11" i="5"/>
  <c r="EI11" i="5"/>
  <c r="EL11" i="5" s="1"/>
  <c r="EH11" i="5"/>
  <c r="EE11" i="5"/>
  <c r="DZ11" i="5"/>
  <c r="EC11" i="5" s="1"/>
  <c r="DY11" i="5"/>
  <c r="EB11" i="5" s="1"/>
  <c r="DV11" i="5"/>
  <c r="DQ11" i="5"/>
  <c r="DT11" i="5" s="1"/>
  <c r="DP11" i="5"/>
  <c r="DS11" i="5" s="1"/>
  <c r="DM11" i="5"/>
  <c r="DJ11" i="5"/>
  <c r="DL11" i="5" s="1"/>
  <c r="DH11" i="5"/>
  <c r="DK11" i="5" s="1"/>
  <c r="DG11" i="5"/>
  <c r="DI11" i="5" s="1"/>
  <c r="DD11" i="5"/>
  <c r="CY11" i="5"/>
  <c r="DB11" i="5" s="1"/>
  <c r="CX11" i="5"/>
  <c r="DA11" i="5" s="1"/>
  <c r="CU11" i="5"/>
  <c r="CR11" i="5"/>
  <c r="CQ11" i="5"/>
  <c r="CT11" i="5" s="1"/>
  <c r="CP11" i="5"/>
  <c r="CS11" i="5" s="1"/>
  <c r="CO11" i="5"/>
  <c r="CL11" i="5"/>
  <c r="CH11" i="5"/>
  <c r="CK11" i="5" s="1"/>
  <c r="CG11" i="5"/>
  <c r="CJ11" i="5" s="1"/>
  <c r="CF11" i="5"/>
  <c r="CI11" i="5" s="1"/>
  <c r="CC11" i="5"/>
  <c r="CA11" i="5"/>
  <c r="CB11" i="5" s="1"/>
  <c r="BY11" i="5"/>
  <c r="BM11" i="5"/>
  <c r="AW11" i="5"/>
  <c r="AS11" i="5"/>
  <c r="AO11" i="5"/>
  <c r="AK11" i="5"/>
  <c r="AG11" i="5"/>
  <c r="AC11" i="5"/>
  <c r="Y11" i="5"/>
  <c r="U11" i="5"/>
  <c r="Q11" i="5"/>
  <c r="M11" i="5"/>
  <c r="I11" i="5"/>
  <c r="E11" i="5"/>
  <c r="HG10" i="5"/>
  <c r="HJ10" i="5" s="1"/>
  <c r="HF10" i="5"/>
  <c r="HC10" i="5"/>
  <c r="GY10" i="5"/>
  <c r="HA10" i="5" s="1"/>
  <c r="GW10" i="5"/>
  <c r="GR10" i="5"/>
  <c r="GU10" i="5" s="1"/>
  <c r="GQ10" i="5"/>
  <c r="GT10" i="5" s="1"/>
  <c r="GN10" i="5"/>
  <c r="GI10" i="5"/>
  <c r="GL10" i="5" s="1"/>
  <c r="GH10" i="5"/>
  <c r="GK10" i="5" s="1"/>
  <c r="GE10" i="5"/>
  <c r="FV10" i="5"/>
  <c r="FS10" i="5"/>
  <c r="FR10" i="5"/>
  <c r="FU10" i="5" s="1"/>
  <c r="FO10" i="5"/>
  <c r="FJ10" i="5"/>
  <c r="FM10" i="5" s="1"/>
  <c r="FI10" i="5"/>
  <c r="FK10" i="5" s="1"/>
  <c r="FF10" i="5"/>
  <c r="FD10" i="5"/>
  <c r="FA10" i="5"/>
  <c r="EZ10" i="5"/>
  <c r="FC10" i="5" s="1"/>
  <c r="EW10" i="5"/>
  <c r="ER10" i="5"/>
  <c r="EU10" i="5" s="1"/>
  <c r="EQ10" i="5"/>
  <c r="ET10" i="5" s="1"/>
  <c r="EN10" i="5"/>
  <c r="EI10" i="5"/>
  <c r="EL10" i="5" s="1"/>
  <c r="EH10" i="5"/>
  <c r="EK10" i="5" s="1"/>
  <c r="EE10" i="5"/>
  <c r="DZ10" i="5"/>
  <c r="EC10" i="5" s="1"/>
  <c r="DY10" i="5"/>
  <c r="EB10" i="5" s="1"/>
  <c r="DV10" i="5"/>
  <c r="DQ10" i="5"/>
  <c r="DT10" i="5" s="1"/>
  <c r="DP10" i="5"/>
  <c r="DM10" i="5"/>
  <c r="DH10" i="5"/>
  <c r="DK10" i="5" s="1"/>
  <c r="DG10" i="5"/>
  <c r="DJ10" i="5" s="1"/>
  <c r="DD10" i="5"/>
  <c r="CY10" i="5"/>
  <c r="DB10" i="5" s="1"/>
  <c r="CX10" i="5"/>
  <c r="DA10" i="5" s="1"/>
  <c r="CU10" i="5"/>
  <c r="CS10" i="5"/>
  <c r="CP10" i="5"/>
  <c r="CO10" i="5"/>
  <c r="CQ10" i="5" s="1"/>
  <c r="CL10" i="5"/>
  <c r="CG10" i="5"/>
  <c r="CJ10" i="5" s="1"/>
  <c r="CF10" i="5"/>
  <c r="CI10" i="5" s="1"/>
  <c r="CC10" i="5"/>
  <c r="CB10" i="5"/>
  <c r="CA10" i="5"/>
  <c r="BY10" i="5"/>
  <c r="BP10" i="5"/>
  <c r="BJ10" i="5"/>
  <c r="BG10" i="5"/>
  <c r="AW10" i="5"/>
  <c r="AS10" i="5"/>
  <c r="AO10" i="5"/>
  <c r="AK10" i="5"/>
  <c r="AG10" i="5"/>
  <c r="AC10" i="5"/>
  <c r="Y10" i="5"/>
  <c r="U10" i="5"/>
  <c r="Q10" i="5"/>
  <c r="M10" i="5"/>
  <c r="I10" i="5"/>
  <c r="E10" i="5"/>
  <c r="HG9" i="5"/>
  <c r="HJ9" i="5" s="1"/>
  <c r="HF9" i="5"/>
  <c r="HI9" i="5" s="1"/>
  <c r="HC9" i="5"/>
  <c r="GZ9" i="5"/>
  <c r="GY9" i="5"/>
  <c r="HA9" i="5" s="1"/>
  <c r="GW9" i="5"/>
  <c r="GR9" i="5"/>
  <c r="GU9" i="5" s="1"/>
  <c r="GQ9" i="5"/>
  <c r="GT9" i="5" s="1"/>
  <c r="GN9" i="5"/>
  <c r="GK9" i="5"/>
  <c r="GI9" i="5"/>
  <c r="GL9" i="5" s="1"/>
  <c r="GH9" i="5"/>
  <c r="GJ9" i="5" s="1"/>
  <c r="GE9" i="5"/>
  <c r="FS9" i="5"/>
  <c r="FV9" i="5" s="1"/>
  <c r="FR9" i="5"/>
  <c r="FO9" i="5"/>
  <c r="FL9" i="5"/>
  <c r="FJ9" i="5"/>
  <c r="FM9" i="5" s="1"/>
  <c r="FI9" i="5"/>
  <c r="FK9" i="5" s="1"/>
  <c r="FN9" i="5" s="1"/>
  <c r="FF9" i="5"/>
  <c r="FA9" i="5"/>
  <c r="FD9" i="5" s="1"/>
  <c r="EZ9" i="5"/>
  <c r="FC9" i="5" s="1"/>
  <c r="EW9" i="5"/>
  <c r="ER9" i="5"/>
  <c r="EU9" i="5" s="1"/>
  <c r="EQ9" i="5"/>
  <c r="ES9" i="5" s="1"/>
  <c r="EN9" i="5"/>
  <c r="EL9" i="5"/>
  <c r="EI9" i="5"/>
  <c r="EH9" i="5"/>
  <c r="EJ9" i="5" s="1"/>
  <c r="EE9" i="5"/>
  <c r="DZ9" i="5"/>
  <c r="EC9" i="5" s="1"/>
  <c r="DY9" i="5"/>
  <c r="EB9" i="5" s="1"/>
  <c r="DV9" i="5"/>
  <c r="DQ9" i="5"/>
  <c r="DT9" i="5" s="1"/>
  <c r="DP9" i="5"/>
  <c r="DS9" i="5" s="1"/>
  <c r="DM9" i="5"/>
  <c r="DH9" i="5"/>
  <c r="DK9" i="5" s="1"/>
  <c r="DG9" i="5"/>
  <c r="DJ9" i="5" s="1"/>
  <c r="DD9" i="5"/>
  <c r="CY9" i="5"/>
  <c r="DB9" i="5" s="1"/>
  <c r="CX9" i="5"/>
  <c r="CU9" i="5"/>
  <c r="CP9" i="5"/>
  <c r="CS9" i="5" s="1"/>
  <c r="CO9" i="5"/>
  <c r="CR9" i="5" s="1"/>
  <c r="CL9" i="5"/>
  <c r="CG9" i="5"/>
  <c r="CJ9" i="5" s="1"/>
  <c r="CF9" i="5"/>
  <c r="CI9" i="5" s="1"/>
  <c r="CC9" i="5"/>
  <c r="CA9" i="5"/>
  <c r="CB9" i="5" s="1"/>
  <c r="BY9" i="5"/>
  <c r="BP9" i="5"/>
  <c r="BM9" i="5"/>
  <c r="BJ9" i="5"/>
  <c r="BG9" i="5"/>
  <c r="AW9" i="5"/>
  <c r="AS9" i="5"/>
  <c r="AO9" i="5"/>
  <c r="AK9" i="5"/>
  <c r="AG9" i="5"/>
  <c r="AC9" i="5"/>
  <c r="Y9" i="5"/>
  <c r="U9" i="5"/>
  <c r="Q9" i="5"/>
  <c r="M9" i="5"/>
  <c r="I9" i="5"/>
  <c r="E9" i="5"/>
  <c r="HG8" i="5"/>
  <c r="HJ8" i="5" s="1"/>
  <c r="HF8" i="5"/>
  <c r="HH8" i="5" s="1"/>
  <c r="HC8" i="5"/>
  <c r="GY8" i="5"/>
  <c r="HA8" i="5" s="1"/>
  <c r="GW8" i="5"/>
  <c r="GR8" i="5"/>
  <c r="GU8" i="5" s="1"/>
  <c r="GQ8" i="5"/>
  <c r="GN8" i="5"/>
  <c r="GI8" i="5"/>
  <c r="GL8" i="5" s="1"/>
  <c r="GH8" i="5"/>
  <c r="GK8" i="5" s="1"/>
  <c r="GE8" i="5"/>
  <c r="FS8" i="5"/>
  <c r="FV8" i="5" s="1"/>
  <c r="FR8" i="5"/>
  <c r="FU8" i="5" s="1"/>
  <c r="FO8" i="5"/>
  <c r="FJ8" i="5"/>
  <c r="FM8" i="5" s="1"/>
  <c r="FI8" i="5"/>
  <c r="FL8" i="5" s="1"/>
  <c r="FF8" i="5"/>
  <c r="FA8" i="5"/>
  <c r="FD8" i="5" s="1"/>
  <c r="EZ8" i="5"/>
  <c r="EW8" i="5"/>
  <c r="ER8" i="5"/>
  <c r="EU8" i="5" s="1"/>
  <c r="EQ8" i="5"/>
  <c r="EN8" i="5"/>
  <c r="EI8" i="5"/>
  <c r="EL8" i="5" s="1"/>
  <c r="EH8" i="5"/>
  <c r="EK8" i="5" s="1"/>
  <c r="EE8" i="5"/>
  <c r="EB8" i="5"/>
  <c r="ED8" i="5" s="1"/>
  <c r="DZ8" i="5"/>
  <c r="EC8" i="5" s="1"/>
  <c r="DY8" i="5"/>
  <c r="EA8" i="5" s="1"/>
  <c r="DV8" i="5"/>
  <c r="DS8" i="5"/>
  <c r="DR8" i="5"/>
  <c r="DQ8" i="5"/>
  <c r="DT8" i="5" s="1"/>
  <c r="DP8" i="5"/>
  <c r="DM8" i="5"/>
  <c r="DH8" i="5"/>
  <c r="DK8" i="5" s="1"/>
  <c r="DG8" i="5"/>
  <c r="DI8" i="5" s="1"/>
  <c r="DD8" i="5"/>
  <c r="CY8" i="5"/>
  <c r="DB8" i="5" s="1"/>
  <c r="CX8" i="5"/>
  <c r="CZ8" i="5" s="1"/>
  <c r="CU8" i="5"/>
  <c r="CP8" i="5"/>
  <c r="CS8" i="5" s="1"/>
  <c r="CO8" i="5"/>
  <c r="CR8" i="5" s="1"/>
  <c r="CL8" i="5"/>
  <c r="CG8" i="5"/>
  <c r="CJ8" i="5" s="1"/>
  <c r="CF8" i="5"/>
  <c r="CH8" i="5" s="1"/>
  <c r="CC8" i="5"/>
  <c r="CB8" i="5"/>
  <c r="BY8" i="5"/>
  <c r="BP8" i="5"/>
  <c r="BM8" i="5"/>
  <c r="BJ8" i="5"/>
  <c r="BG8" i="5"/>
  <c r="AW8" i="5"/>
  <c r="AS8" i="5"/>
  <c r="AO8" i="5"/>
  <c r="AK8" i="5"/>
  <c r="AG8" i="5"/>
  <c r="AC8" i="5"/>
  <c r="Y8" i="5"/>
  <c r="U8" i="5"/>
  <c r="Q8" i="5"/>
  <c r="M8" i="5"/>
  <c r="I8" i="5"/>
  <c r="E8" i="5"/>
  <c r="HG7" i="5"/>
  <c r="HJ7" i="5" s="1"/>
  <c r="HF7" i="5"/>
  <c r="HI7" i="5" s="1"/>
  <c r="HC7" i="5"/>
  <c r="GY7" i="5"/>
  <c r="HA7" i="5" s="1"/>
  <c r="GW7" i="5"/>
  <c r="GR7" i="5"/>
  <c r="GU7" i="5" s="1"/>
  <c r="GQ7" i="5"/>
  <c r="GT7" i="5" s="1"/>
  <c r="GN7" i="5"/>
  <c r="GK7" i="5"/>
  <c r="GI7" i="5"/>
  <c r="GL7" i="5" s="1"/>
  <c r="GH7" i="5"/>
  <c r="GJ7" i="5" s="1"/>
  <c r="GE7" i="5"/>
  <c r="FS7" i="5"/>
  <c r="FV7" i="5" s="1"/>
  <c r="FR7" i="5"/>
  <c r="FU7" i="5" s="1"/>
  <c r="FO7" i="5"/>
  <c r="FJ7" i="5"/>
  <c r="FM7" i="5" s="1"/>
  <c r="FF7" i="5"/>
  <c r="FA7" i="5"/>
  <c r="FD7" i="5" s="1"/>
  <c r="EZ7" i="5"/>
  <c r="FC7" i="5" s="1"/>
  <c r="EW7" i="5"/>
  <c r="ER7" i="5"/>
  <c r="EU7" i="5" s="1"/>
  <c r="EN7" i="5"/>
  <c r="EI7" i="5"/>
  <c r="EL7" i="5" s="1"/>
  <c r="EH7" i="5"/>
  <c r="EK7" i="5" s="1"/>
  <c r="EE7" i="5"/>
  <c r="EB7" i="5"/>
  <c r="DZ7" i="5"/>
  <c r="EC7" i="5" s="1"/>
  <c r="DY7" i="5"/>
  <c r="EA7" i="5" s="1"/>
  <c r="ED7" i="5" s="1"/>
  <c r="DV7" i="5"/>
  <c r="DQ7" i="5"/>
  <c r="DT7" i="5" s="1"/>
  <c r="DP7" i="5"/>
  <c r="DS7" i="5" s="1"/>
  <c r="DM7" i="5"/>
  <c r="DK7" i="5"/>
  <c r="DH7" i="5"/>
  <c r="DG7" i="5"/>
  <c r="DI7" i="5" s="1"/>
  <c r="DD7" i="5"/>
  <c r="DB7" i="5"/>
  <c r="CY7" i="5"/>
  <c r="CX7" i="5"/>
  <c r="DA7" i="5" s="1"/>
  <c r="CU7" i="5"/>
  <c r="CR7" i="5"/>
  <c r="CQ7" i="5"/>
  <c r="CP7" i="5"/>
  <c r="CS7" i="5" s="1"/>
  <c r="CO7" i="5"/>
  <c r="CL7" i="5"/>
  <c r="CG7" i="5"/>
  <c r="CJ7" i="5" s="1"/>
  <c r="CF7" i="5"/>
  <c r="CH7" i="5" s="1"/>
  <c r="CC7" i="5"/>
  <c r="CA7" i="5"/>
  <c r="CB7" i="5" s="1"/>
  <c r="BY7" i="5"/>
  <c r="BP7" i="5"/>
  <c r="BM7" i="5"/>
  <c r="BJ7" i="5"/>
  <c r="BG7" i="5"/>
  <c r="AW7" i="5"/>
  <c r="AS7" i="5"/>
  <c r="AO7" i="5"/>
  <c r="AK7" i="5"/>
  <c r="AG7" i="5"/>
  <c r="AC7" i="5"/>
  <c r="Y7" i="5"/>
  <c r="U7" i="5"/>
  <c r="Q7" i="5"/>
  <c r="M7" i="5"/>
  <c r="I7" i="5"/>
  <c r="E7" i="5"/>
  <c r="HG6" i="5"/>
  <c r="HJ6" i="5" s="1"/>
  <c r="HF6" i="5"/>
  <c r="HI6" i="5" s="1"/>
  <c r="HC6" i="5"/>
  <c r="HA6" i="5"/>
  <c r="GZ6" i="5"/>
  <c r="GW6" i="5"/>
  <c r="GT6" i="5"/>
  <c r="GV6" i="5" s="1"/>
  <c r="GS6" i="5"/>
  <c r="GR6" i="5"/>
  <c r="GU6" i="5" s="1"/>
  <c r="GQ6" i="5"/>
  <c r="GN6" i="5"/>
  <c r="GI6" i="5"/>
  <c r="GL6" i="5" s="1"/>
  <c r="GH6" i="5"/>
  <c r="HL6" i="5" s="1"/>
  <c r="GE6" i="5"/>
  <c r="FV6" i="5"/>
  <c r="FS6" i="5"/>
  <c r="FR6" i="5"/>
  <c r="FT6" i="5" s="1"/>
  <c r="FO6" i="5"/>
  <c r="FJ6" i="5"/>
  <c r="FM6" i="5" s="1"/>
  <c r="FF6" i="5"/>
  <c r="FG6" i="5" s="1"/>
  <c r="FA6" i="5"/>
  <c r="FD6" i="5" s="1"/>
  <c r="EZ6" i="5"/>
  <c r="FC6" i="5" s="1"/>
  <c r="EW6" i="5"/>
  <c r="ER6" i="5"/>
  <c r="EU6" i="5" s="1"/>
  <c r="EN6" i="5"/>
  <c r="EO6" i="5" s="1"/>
  <c r="EI6" i="5"/>
  <c r="EL6" i="5" s="1"/>
  <c r="EH6" i="5"/>
  <c r="EK6" i="5" s="1"/>
  <c r="EE6" i="5"/>
  <c r="DZ6" i="5"/>
  <c r="EC6" i="5" s="1"/>
  <c r="DY6" i="5"/>
  <c r="EB6" i="5" s="1"/>
  <c r="DV6" i="5"/>
  <c r="DQ6" i="5"/>
  <c r="DT6" i="5" s="1"/>
  <c r="DP6" i="5"/>
  <c r="DR6" i="5" s="1"/>
  <c r="DM6" i="5"/>
  <c r="DK6" i="5"/>
  <c r="DH6" i="5"/>
  <c r="DG6" i="5"/>
  <c r="DJ6" i="5" s="1"/>
  <c r="DD6" i="5"/>
  <c r="CY6" i="5"/>
  <c r="DB6" i="5" s="1"/>
  <c r="CX6" i="5"/>
  <c r="DA6" i="5" s="1"/>
  <c r="CU6" i="5"/>
  <c r="CS6" i="5"/>
  <c r="CP6" i="5"/>
  <c r="CO6" i="5"/>
  <c r="CR6" i="5" s="1"/>
  <c r="CL6" i="5"/>
  <c r="CG6" i="5"/>
  <c r="CJ6" i="5" s="1"/>
  <c r="CF6" i="5"/>
  <c r="CH6" i="5" s="1"/>
  <c r="CC6" i="5"/>
  <c r="CA6" i="5"/>
  <c r="BY6" i="5"/>
  <c r="BP6" i="5"/>
  <c r="BM6" i="5"/>
  <c r="BJ6" i="5"/>
  <c r="BG6" i="5"/>
  <c r="AW6" i="5"/>
  <c r="AS6" i="5"/>
  <c r="AO6" i="5"/>
  <c r="BA6" i="5" s="1"/>
  <c r="AK6" i="5"/>
  <c r="AG6" i="5"/>
  <c r="AC6" i="5"/>
  <c r="Y6" i="5"/>
  <c r="U6" i="5"/>
  <c r="Q6" i="5"/>
  <c r="M6" i="5"/>
  <c r="I6" i="5"/>
  <c r="E6" i="5"/>
  <c r="HH5" i="5"/>
  <c r="HG5" i="5"/>
  <c r="HJ5" i="5" s="1"/>
  <c r="HF5" i="5"/>
  <c r="HI5" i="5" s="1"/>
  <c r="HC5" i="5"/>
  <c r="GY5" i="5"/>
  <c r="HA5" i="5" s="1"/>
  <c r="GW5" i="5"/>
  <c r="GS5" i="5"/>
  <c r="GR5" i="5"/>
  <c r="GU5" i="5" s="1"/>
  <c r="GQ5" i="5"/>
  <c r="GT5" i="5" s="1"/>
  <c r="GN5" i="5"/>
  <c r="GI5" i="5"/>
  <c r="GL5" i="5" s="1"/>
  <c r="GH5" i="5"/>
  <c r="GK5" i="5" s="1"/>
  <c r="GE5" i="5"/>
  <c r="FU5" i="5"/>
  <c r="FS5" i="5"/>
  <c r="FV5" i="5" s="1"/>
  <c r="FR5" i="5"/>
  <c r="FT5" i="5" s="1"/>
  <c r="FO5" i="5"/>
  <c r="FJ5" i="5"/>
  <c r="FM5" i="5" s="1"/>
  <c r="FI5" i="5"/>
  <c r="FL5" i="5" s="1"/>
  <c r="FF5" i="5"/>
  <c r="FA5" i="5"/>
  <c r="FD5" i="5" s="1"/>
  <c r="EZ5" i="5"/>
  <c r="FC5" i="5" s="1"/>
  <c r="EW5" i="5"/>
  <c r="EU5" i="5"/>
  <c r="ER5" i="5"/>
  <c r="EQ5" i="5"/>
  <c r="ET5" i="5" s="1"/>
  <c r="EN5" i="5"/>
  <c r="EL5" i="5"/>
  <c r="EI5" i="5"/>
  <c r="EH5" i="5"/>
  <c r="EJ5" i="5" s="1"/>
  <c r="EE5" i="5"/>
  <c r="DZ5" i="5"/>
  <c r="EC5" i="5" s="1"/>
  <c r="DY5" i="5"/>
  <c r="EB5" i="5" s="1"/>
  <c r="DV5" i="5"/>
  <c r="DQ5" i="5"/>
  <c r="DT5" i="5" s="1"/>
  <c r="DP5" i="5"/>
  <c r="DS5" i="5" s="1"/>
  <c r="DM5" i="5"/>
  <c r="DK5" i="5"/>
  <c r="DH5" i="5"/>
  <c r="DG5" i="5"/>
  <c r="DJ5" i="5" s="1"/>
  <c r="DD5" i="5"/>
  <c r="CY5" i="5"/>
  <c r="DB5" i="5" s="1"/>
  <c r="CX5" i="5"/>
  <c r="CZ5" i="5" s="1"/>
  <c r="CU5" i="5"/>
  <c r="CP5" i="5"/>
  <c r="CS5" i="5" s="1"/>
  <c r="CO5" i="5"/>
  <c r="CR5" i="5" s="1"/>
  <c r="CL5" i="5"/>
  <c r="CG5" i="5"/>
  <c r="CJ5" i="5" s="1"/>
  <c r="CF5" i="5"/>
  <c r="CI5" i="5" s="1"/>
  <c r="CC5" i="5"/>
  <c r="CA5" i="5"/>
  <c r="CB5" i="5" s="1"/>
  <c r="BY5" i="5"/>
  <c r="BP5" i="5"/>
  <c r="BM5" i="5"/>
  <c r="BJ5" i="5"/>
  <c r="BG5" i="5"/>
  <c r="BA5" i="5"/>
  <c r="AW5" i="5"/>
  <c r="AS5" i="5"/>
  <c r="AO5" i="5"/>
  <c r="AK5" i="5"/>
  <c r="AG5" i="5"/>
  <c r="AC5" i="5"/>
  <c r="Y5" i="5"/>
  <c r="U5" i="5"/>
  <c r="Q5" i="5"/>
  <c r="M5" i="5"/>
  <c r="I5" i="5"/>
  <c r="E5" i="5"/>
  <c r="HC4" i="5"/>
  <c r="GW4" i="5"/>
  <c r="GN4" i="5"/>
  <c r="GE4" i="5"/>
  <c r="FO4" i="5"/>
  <c r="FF4" i="5"/>
  <c r="EW4" i="5"/>
  <c r="EN4" i="5"/>
  <c r="EE4" i="5"/>
  <c r="DV4" i="5"/>
  <c r="DM4" i="5"/>
  <c r="DD4" i="5"/>
  <c r="CU4" i="5"/>
  <c r="CL4" i="5"/>
  <c r="CC4" i="5"/>
  <c r="BY4" i="5"/>
  <c r="CZ7" i="5" l="1"/>
  <c r="FB7" i="5"/>
  <c r="DA8" i="5"/>
  <c r="EK9" i="5"/>
  <c r="EM9" i="5" s="1"/>
  <c r="BA11" i="5"/>
  <c r="HA11" i="5"/>
  <c r="HB11" i="5" s="1"/>
  <c r="DJ12" i="5"/>
  <c r="DL12" i="5" s="1"/>
  <c r="BS13" i="5"/>
  <c r="BS14" i="5"/>
  <c r="Y14" i="6"/>
  <c r="CH19" i="5"/>
  <c r="FK14" i="5"/>
  <c r="GZ7" i="5"/>
  <c r="FK8" i="5"/>
  <c r="FN8" i="5" s="1"/>
  <c r="BA9" i="5"/>
  <c r="BS12" i="5"/>
  <c r="DA14" i="5"/>
  <c r="HA14" i="5"/>
  <c r="BS16" i="5"/>
  <c r="BA22" i="5"/>
  <c r="CH22" i="5"/>
  <c r="CK22" i="5" s="1"/>
  <c r="Y8" i="6"/>
  <c r="DD11" i="6"/>
  <c r="DG11" i="6" s="1"/>
  <c r="DD22" i="6"/>
  <c r="DG22" i="6" s="1"/>
  <c r="DR19" i="5"/>
  <c r="HK5" i="5"/>
  <c r="DJ7" i="5"/>
  <c r="AZ8" i="5"/>
  <c r="EJ13" i="5"/>
  <c r="DE7" i="6"/>
  <c r="Y21" i="6"/>
  <c r="ES10" i="5"/>
  <c r="EV10" i="5" s="1"/>
  <c r="HB14" i="5"/>
  <c r="HN10" i="5"/>
  <c r="CZ11" i="5"/>
  <c r="BS22" i="5"/>
  <c r="GJ22" i="5"/>
  <c r="Y10" i="6"/>
  <c r="AZ15" i="6"/>
  <c r="DE22" i="6"/>
  <c r="DU8" i="5"/>
  <c r="BA14" i="5"/>
  <c r="DI14" i="5"/>
  <c r="DL14" i="5" s="1"/>
  <c r="Y13" i="6"/>
  <c r="FE5" i="5"/>
  <c r="BS6" i="5"/>
  <c r="EA5" i="5"/>
  <c r="EA6" i="5"/>
  <c r="HN14" i="5"/>
  <c r="FB5" i="5"/>
  <c r="GV5" i="5"/>
  <c r="HB6" i="5"/>
  <c r="FL10" i="5"/>
  <c r="CR14" i="5"/>
  <c r="BA20" i="5"/>
  <c r="Y20" i="6"/>
  <c r="Y22" i="6"/>
  <c r="H16" i="12"/>
  <c r="DE5" i="6"/>
  <c r="AZ10" i="6"/>
  <c r="Y11" i="6"/>
  <c r="Y17" i="6"/>
  <c r="AZ19" i="6"/>
  <c r="DD14" i="6"/>
  <c r="DG14" i="6" s="1"/>
  <c r="Y9" i="6"/>
  <c r="AZ14" i="6"/>
  <c r="AZ18" i="6"/>
  <c r="Y5" i="6"/>
  <c r="AZ11" i="6"/>
  <c r="DD5" i="6"/>
  <c r="DG5" i="6" s="1"/>
  <c r="DD9" i="6"/>
  <c r="DG9" i="6" s="1"/>
  <c r="DD12" i="6"/>
  <c r="DG12" i="6" s="1"/>
  <c r="DE14" i="6"/>
  <c r="Y15" i="6"/>
  <c r="Y19" i="6"/>
  <c r="DD13" i="6"/>
  <c r="DG13" i="6" s="1"/>
  <c r="DD19" i="6"/>
  <c r="DG19" i="6" s="1"/>
  <c r="AZ5" i="6"/>
  <c r="Y6" i="6"/>
  <c r="DD10" i="6"/>
  <c r="DG10" i="6" s="1"/>
  <c r="DE12" i="6"/>
  <c r="AZ16" i="6"/>
  <c r="Y18" i="6"/>
  <c r="DD6" i="6"/>
  <c r="DG6" i="6" s="1"/>
  <c r="DE10" i="6"/>
  <c r="DE6" i="6"/>
  <c r="DD7" i="6"/>
  <c r="DG7" i="6" s="1"/>
  <c r="DE8" i="6"/>
  <c r="DE11" i="6"/>
  <c r="GA6" i="5"/>
  <c r="HB7" i="5"/>
  <c r="GV19" i="5"/>
  <c r="BB22" i="5"/>
  <c r="HK12" i="5"/>
  <c r="BS5" i="5"/>
  <c r="DA5" i="5"/>
  <c r="DC5" i="5" s="1"/>
  <c r="AZ6" i="5"/>
  <c r="BB6" i="5" s="1"/>
  <c r="CI6" i="5"/>
  <c r="AZ7" i="5"/>
  <c r="BA8" i="5"/>
  <c r="BB8" i="5" s="1"/>
  <c r="CQ8" i="5"/>
  <c r="CT8" i="5" s="1"/>
  <c r="AZ9" i="5"/>
  <c r="BB9" i="5" s="1"/>
  <c r="EA9" i="5"/>
  <c r="ED9" i="5" s="1"/>
  <c r="FN10" i="5"/>
  <c r="GS10" i="5"/>
  <c r="GV10" i="5" s="1"/>
  <c r="HH12" i="5"/>
  <c r="CH14" i="5"/>
  <c r="DC14" i="5"/>
  <c r="EB14" i="5"/>
  <c r="AZ19" i="5"/>
  <c r="FY22" i="5"/>
  <c r="HN22" i="5"/>
  <c r="CH5" i="5"/>
  <c r="CK5" i="5" s="1"/>
  <c r="DR5" i="5"/>
  <c r="DU5" i="5" s="1"/>
  <c r="CZ6" i="5"/>
  <c r="DC6" i="5" s="1"/>
  <c r="GJ6" i="5"/>
  <c r="BA7" i="5"/>
  <c r="FT7" i="5"/>
  <c r="FW7" i="5" s="1"/>
  <c r="DJ8" i="5"/>
  <c r="DL8" i="5" s="1"/>
  <c r="FT8" i="5"/>
  <c r="FW8" i="5" s="1"/>
  <c r="AZ10" i="5"/>
  <c r="CR10" i="5"/>
  <c r="FB11" i="5"/>
  <c r="FE11" i="5" s="1"/>
  <c r="EB12" i="5"/>
  <c r="ED12" i="5" s="1"/>
  <c r="AZ13" i="5"/>
  <c r="BB13" i="5" s="1"/>
  <c r="EA13" i="5"/>
  <c r="ED13" i="5" s="1"/>
  <c r="FB13" i="5"/>
  <c r="FE13" i="5" s="1"/>
  <c r="AZ16" i="5"/>
  <c r="FB19" i="5"/>
  <c r="FE19" i="5" s="1"/>
  <c r="AZ20" i="5"/>
  <c r="DR22" i="5"/>
  <c r="DU22" i="5" s="1"/>
  <c r="HB9" i="5"/>
  <c r="FW14" i="5"/>
  <c r="BS17" i="5"/>
  <c r="AZ18" i="5"/>
  <c r="BB18" i="5" s="1"/>
  <c r="HH19" i="5"/>
  <c r="HK19" i="5" s="1"/>
  <c r="BS20" i="5"/>
  <c r="AZ22" i="5"/>
  <c r="CR22" i="5"/>
  <c r="CT22" i="5" s="1"/>
  <c r="FB22" i="5"/>
  <c r="GA14" i="5"/>
  <c r="EM5" i="5"/>
  <c r="DS6" i="5"/>
  <c r="DU6" i="5" s="1"/>
  <c r="FB6" i="5"/>
  <c r="FE6" i="5" s="1"/>
  <c r="CT7" i="5"/>
  <c r="DL7" i="5"/>
  <c r="GS7" i="5"/>
  <c r="GV7" i="5" s="1"/>
  <c r="BS8" i="5"/>
  <c r="DC8" i="5"/>
  <c r="GZ8" i="5"/>
  <c r="HB8" i="5" s="1"/>
  <c r="ET9" i="5"/>
  <c r="EV9" i="5" s="1"/>
  <c r="CH10" i="5"/>
  <c r="CK10" i="5" s="1"/>
  <c r="FY10" i="5"/>
  <c r="EJ10" i="5"/>
  <c r="EM10" i="5" s="1"/>
  <c r="GJ10" i="5"/>
  <c r="GM10" i="5" s="1"/>
  <c r="GS11" i="5"/>
  <c r="GV11" i="5" s="1"/>
  <c r="DR12" i="5"/>
  <c r="DU12" i="5" s="1"/>
  <c r="FT12" i="5"/>
  <c r="FW12" i="5" s="1"/>
  <c r="DR13" i="5"/>
  <c r="DU13" i="5" s="1"/>
  <c r="GS13" i="5"/>
  <c r="GV13" i="5" s="1"/>
  <c r="CT14" i="5"/>
  <c r="FB14" i="5"/>
  <c r="FE14" i="5" s="1"/>
  <c r="BA19" i="5"/>
  <c r="CQ19" i="5"/>
  <c r="CT19" i="5" s="1"/>
  <c r="EA19" i="5"/>
  <c r="GS19" i="5"/>
  <c r="DI22" i="5"/>
  <c r="DL22" i="5" s="1"/>
  <c r="HH22" i="5"/>
  <c r="HK22" i="5" s="1"/>
  <c r="ED14" i="5"/>
  <c r="AZ5" i="5"/>
  <c r="BB5" i="5" s="1"/>
  <c r="DI5" i="5"/>
  <c r="DL5" i="5" s="1"/>
  <c r="EK5" i="5"/>
  <c r="EJ6" i="5"/>
  <c r="EM6" i="5" s="1"/>
  <c r="FU6" i="5"/>
  <c r="FW6" i="5" s="1"/>
  <c r="BS7" i="5"/>
  <c r="CI8" i="5"/>
  <c r="CK8" i="5" s="1"/>
  <c r="DR9" i="5"/>
  <c r="DU9" i="5" s="1"/>
  <c r="HH9" i="5"/>
  <c r="HK9" i="5" s="1"/>
  <c r="BS10" i="5"/>
  <c r="FB10" i="5"/>
  <c r="FE10" i="5" s="1"/>
  <c r="GZ12" i="5"/>
  <c r="CI13" i="5"/>
  <c r="CK13" i="5" s="1"/>
  <c r="ET13" i="5"/>
  <c r="EV13" i="5" s="1"/>
  <c r="DS14" i="5"/>
  <c r="DU14" i="5" s="1"/>
  <c r="FU14" i="5"/>
  <c r="GS14" i="5"/>
  <c r="GV14" i="5" s="1"/>
  <c r="HL14" i="5"/>
  <c r="HN19" i="5"/>
  <c r="GS22" i="5"/>
  <c r="GV22" i="5" s="1"/>
  <c r="DC7" i="5"/>
  <c r="FW5" i="5"/>
  <c r="HN8" i="5"/>
  <c r="BS9" i="5"/>
  <c r="GA9" i="5"/>
  <c r="HS9" i="5" s="1"/>
  <c r="GM9" i="5"/>
  <c r="HL11" i="5"/>
  <c r="BS19" i="5"/>
  <c r="CK19" i="5"/>
  <c r="FN19" i="5"/>
  <c r="FN22" i="5"/>
  <c r="CT10" i="5"/>
  <c r="DC11" i="5"/>
  <c r="HN6" i="5"/>
  <c r="HS6" i="5" s="1"/>
  <c r="ED5" i="5"/>
  <c r="CK6" i="5"/>
  <c r="HN7" i="5"/>
  <c r="HL7" i="5"/>
  <c r="BA10" i="5"/>
  <c r="BB10" i="5" s="1"/>
  <c r="EM13" i="5"/>
  <c r="BA15" i="5"/>
  <c r="BA16" i="5"/>
  <c r="GA19" i="5"/>
  <c r="HS19" i="5" s="1"/>
  <c r="EM19" i="5"/>
  <c r="ES22" i="5"/>
  <c r="EV22" i="5" s="1"/>
  <c r="HL22" i="5"/>
  <c r="EQ7" i="5"/>
  <c r="EQ6" i="5"/>
  <c r="ED6" i="5"/>
  <c r="GM7" i="5"/>
  <c r="GA5" i="5"/>
  <c r="GA7" i="5"/>
  <c r="FE7" i="5"/>
  <c r="HN5" i="5"/>
  <c r="FI7" i="5"/>
  <c r="FI6" i="5"/>
  <c r="HL10" i="5"/>
  <c r="HI10" i="5"/>
  <c r="HH10" i="5"/>
  <c r="DA19" i="5"/>
  <c r="CZ19" i="5"/>
  <c r="DC19" i="5" s="1"/>
  <c r="GZ5" i="5"/>
  <c r="HB5" i="5" s="1"/>
  <c r="CB6" i="5"/>
  <c r="GK6" i="5"/>
  <c r="GM6" i="5" s="1"/>
  <c r="CI7" i="5"/>
  <c r="CK7" i="5" s="1"/>
  <c r="FC8" i="5"/>
  <c r="FB8" i="5"/>
  <c r="HN11" i="5"/>
  <c r="FY12" i="5"/>
  <c r="HN12" i="5"/>
  <c r="GA13" i="5"/>
  <c r="BS15" i="5"/>
  <c r="DU19" i="5"/>
  <c r="FE22" i="5"/>
  <c r="GT8" i="5"/>
  <c r="GS8" i="5"/>
  <c r="FK5" i="5"/>
  <c r="FN5" i="5" s="1"/>
  <c r="EK11" i="5"/>
  <c r="EJ11" i="5"/>
  <c r="EM11" i="5" s="1"/>
  <c r="EK14" i="5"/>
  <c r="EJ14" i="5"/>
  <c r="HL19" i="5"/>
  <c r="HA19" i="5"/>
  <c r="GZ19" i="5"/>
  <c r="GA22" i="5"/>
  <c r="EJ7" i="5"/>
  <c r="EM7" i="5" s="1"/>
  <c r="DS10" i="5"/>
  <c r="DR10" i="5"/>
  <c r="GT12" i="5"/>
  <c r="GS12" i="5"/>
  <c r="FY13" i="5"/>
  <c r="FU19" i="5"/>
  <c r="FT19" i="5"/>
  <c r="BA21" i="5"/>
  <c r="BB21" i="5" s="1"/>
  <c r="AZ21" i="5"/>
  <c r="GA8" i="5"/>
  <c r="CQ5" i="5"/>
  <c r="CT5" i="5" s="1"/>
  <c r="DI6" i="5"/>
  <c r="DL6" i="5" s="1"/>
  <c r="HH6" i="5"/>
  <c r="HK6" i="5" s="1"/>
  <c r="ES5" i="5"/>
  <c r="EV5" i="5" s="1"/>
  <c r="GJ5" i="5"/>
  <c r="GM5" i="5" s="1"/>
  <c r="HM5" i="5" s="1"/>
  <c r="HO5" i="5" s="1"/>
  <c r="CQ6" i="5"/>
  <c r="CT6" i="5" s="1"/>
  <c r="DR7" i="5"/>
  <c r="DU7" i="5" s="1"/>
  <c r="HH7" i="5"/>
  <c r="HK7" i="5" s="1"/>
  <c r="FU9" i="5"/>
  <c r="FT9" i="5"/>
  <c r="HN9" i="5"/>
  <c r="GA10" i="5"/>
  <c r="HS10" i="5" s="1"/>
  <c r="CI12" i="5"/>
  <c r="CH12" i="5"/>
  <c r="DC12" i="5"/>
  <c r="HN13" i="5"/>
  <c r="FY19" i="5"/>
  <c r="HQ19" i="5" s="1"/>
  <c r="EB22" i="5"/>
  <c r="EA22" i="5"/>
  <c r="HL5" i="5"/>
  <c r="FY5" i="5"/>
  <c r="FY9" i="5"/>
  <c r="GA12" i="5"/>
  <c r="HS12" i="5" s="1"/>
  <c r="ED19" i="5"/>
  <c r="ET8" i="5"/>
  <c r="ES8" i="5"/>
  <c r="FC12" i="5"/>
  <c r="FB12" i="5"/>
  <c r="FE12" i="5" s="1"/>
  <c r="HS14" i="5"/>
  <c r="BB16" i="5"/>
  <c r="BS21" i="5"/>
  <c r="GM22" i="5"/>
  <c r="FY8" i="5"/>
  <c r="DA9" i="5"/>
  <c r="CZ9" i="5"/>
  <c r="BS11" i="5"/>
  <c r="GA11" i="5"/>
  <c r="FN11" i="5"/>
  <c r="HB12" i="5"/>
  <c r="DA13" i="5"/>
  <c r="CZ13" i="5"/>
  <c r="CK14" i="5"/>
  <c r="FN14" i="5"/>
  <c r="HI8" i="5"/>
  <c r="HK8" i="5" s="1"/>
  <c r="DI9" i="5"/>
  <c r="DL9" i="5" s="1"/>
  <c r="EA10" i="5"/>
  <c r="ED10" i="5" s="1"/>
  <c r="ES11" i="5"/>
  <c r="EV11" i="5" s="1"/>
  <c r="GJ11" i="5"/>
  <c r="GM11" i="5" s="1"/>
  <c r="CQ12" i="5"/>
  <c r="CT12" i="5" s="1"/>
  <c r="FK12" i="5"/>
  <c r="FN12" i="5" s="1"/>
  <c r="DI13" i="5"/>
  <c r="DL13" i="5" s="1"/>
  <c r="HH13" i="5"/>
  <c r="HK13" i="5" s="1"/>
  <c r="AZ14" i="5"/>
  <c r="BB14" i="5" s="1"/>
  <c r="ES14" i="5"/>
  <c r="EV14" i="5" s="1"/>
  <c r="GJ14" i="5"/>
  <c r="GM14" i="5" s="1"/>
  <c r="DI19" i="5"/>
  <c r="DL19" i="5" s="1"/>
  <c r="EJ22" i="5"/>
  <c r="EM22" i="5" s="1"/>
  <c r="HL8" i="5"/>
  <c r="AZ11" i="5"/>
  <c r="BB11" i="5" s="1"/>
  <c r="FY11" i="5"/>
  <c r="HQ11" i="5" s="1"/>
  <c r="HL12" i="5"/>
  <c r="FY14" i="5"/>
  <c r="GJ8" i="5"/>
  <c r="GM8" i="5" s="1"/>
  <c r="CQ9" i="5"/>
  <c r="CT9" i="5" s="1"/>
  <c r="DI10" i="5"/>
  <c r="DL10" i="5" s="1"/>
  <c r="EA11" i="5"/>
  <c r="ED11" i="5" s="1"/>
  <c r="ES12" i="5"/>
  <c r="EV12" i="5" s="1"/>
  <c r="GJ12" i="5"/>
  <c r="GM12" i="5" s="1"/>
  <c r="CQ13" i="5"/>
  <c r="CT13" i="5" s="1"/>
  <c r="FT13" i="5"/>
  <c r="FW13" i="5" s="1"/>
  <c r="GZ13" i="5"/>
  <c r="HB13" i="5" s="1"/>
  <c r="EJ8" i="5"/>
  <c r="EM8" i="5" s="1"/>
  <c r="CH9" i="5"/>
  <c r="CK9" i="5" s="1"/>
  <c r="FB9" i="5"/>
  <c r="FE9" i="5" s="1"/>
  <c r="GS9" i="5"/>
  <c r="GV9" i="5" s="1"/>
  <c r="HL9" i="5"/>
  <c r="CZ10" i="5"/>
  <c r="DC10" i="5" s="1"/>
  <c r="FT10" i="5"/>
  <c r="FW10" i="5" s="1"/>
  <c r="GZ10" i="5"/>
  <c r="HB10" i="5" s="1"/>
  <c r="DR11" i="5"/>
  <c r="DU11" i="5" s="1"/>
  <c r="HH11" i="5"/>
  <c r="HK11" i="5" s="1"/>
  <c r="AZ12" i="5"/>
  <c r="BB12" i="5" s="1"/>
  <c r="EJ12" i="5"/>
  <c r="EM12" i="5" s="1"/>
  <c r="FK13" i="5"/>
  <c r="FN13" i="5" s="1"/>
  <c r="HH14" i="5"/>
  <c r="HK14" i="5" s="1"/>
  <c r="AZ15" i="5"/>
  <c r="AZ17" i="5"/>
  <c r="BB17" i="5" s="1"/>
  <c r="HL13" i="5"/>
  <c r="ES19" i="5"/>
  <c r="EV19" i="5" s="1"/>
  <c r="CZ22" i="5"/>
  <c r="DC22" i="5" s="1"/>
  <c r="FT22" i="5"/>
  <c r="FW22" i="5" s="1"/>
  <c r="GZ22" i="5"/>
  <c r="HB22" i="5" s="1"/>
  <c r="ED22" i="5" l="1"/>
  <c r="HM7" i="5"/>
  <c r="HO7" i="5" s="1"/>
  <c r="FY6" i="5"/>
  <c r="HQ6" i="5" s="1"/>
  <c r="EV8" i="5"/>
  <c r="CK12" i="5"/>
  <c r="FY7" i="5"/>
  <c r="DC9" i="5"/>
  <c r="HS22" i="5"/>
  <c r="HS7" i="5"/>
  <c r="HQ10" i="5"/>
  <c r="BB20" i="5"/>
  <c r="BT18" i="5"/>
  <c r="HS5" i="5"/>
  <c r="BB7" i="5"/>
  <c r="BT22" i="5"/>
  <c r="HQ14" i="5"/>
  <c r="FZ11" i="5"/>
  <c r="FZ5" i="5"/>
  <c r="HR5" i="5" s="1"/>
  <c r="HT5" i="5" s="1"/>
  <c r="HM14" i="5"/>
  <c r="HO14" i="5" s="1"/>
  <c r="HQ13" i="5"/>
  <c r="HQ7" i="5"/>
  <c r="HM13" i="5"/>
  <c r="HO13" i="5" s="1"/>
  <c r="FW9" i="5"/>
  <c r="FZ9" i="5" s="1"/>
  <c r="FZ22" i="5"/>
  <c r="HR22" i="5" s="1"/>
  <c r="HT22" i="5" s="1"/>
  <c r="HM9" i="5"/>
  <c r="HO9" i="5" s="1"/>
  <c r="EM14" i="5"/>
  <c r="FZ14" i="5" s="1"/>
  <c r="FE8" i="5"/>
  <c r="FZ8" i="5" s="1"/>
  <c r="GB8" i="5" s="1"/>
  <c r="FZ12" i="5"/>
  <c r="GB12" i="5" s="1"/>
  <c r="HS8" i="5"/>
  <c r="BB19" i="5"/>
  <c r="HM11" i="5"/>
  <c r="HO11" i="5" s="1"/>
  <c r="HQ5" i="5"/>
  <c r="BC22" i="5"/>
  <c r="HQ22" i="5"/>
  <c r="GB11" i="5"/>
  <c r="GB5" i="5"/>
  <c r="BC18" i="5"/>
  <c r="DC13" i="5"/>
  <c r="FZ13" i="5" s="1"/>
  <c r="BB15" i="5"/>
  <c r="HB19" i="5"/>
  <c r="HM19" i="5" s="1"/>
  <c r="HO19" i="5" s="1"/>
  <c r="HM22" i="5"/>
  <c r="HO22" i="5" s="1"/>
  <c r="HS13" i="5"/>
  <c r="GV12" i="5"/>
  <c r="HM12" i="5" s="1"/>
  <c r="HO12" i="5" s="1"/>
  <c r="HK10" i="5"/>
  <c r="HM10" i="5" s="1"/>
  <c r="HO10" i="5" s="1"/>
  <c r="ES6" i="5"/>
  <c r="ET6" i="5"/>
  <c r="HS11" i="5"/>
  <c r="HQ8" i="5"/>
  <c r="DU10" i="5"/>
  <c r="FZ10" i="5" s="1"/>
  <c r="HQ12" i="5"/>
  <c r="ET7" i="5"/>
  <c r="ES7" i="5"/>
  <c r="EV7" i="5" s="1"/>
  <c r="FL6" i="5"/>
  <c r="FK6" i="5"/>
  <c r="FN6" i="5" s="1"/>
  <c r="HQ9" i="5"/>
  <c r="FW19" i="5"/>
  <c r="FZ19" i="5" s="1"/>
  <c r="GV8" i="5"/>
  <c r="HM8" i="5" s="1"/>
  <c r="FK7" i="5"/>
  <c r="FL7" i="5"/>
  <c r="HM6" i="5"/>
  <c r="HO6" i="5" s="1"/>
  <c r="GB9" i="5" l="1"/>
  <c r="HR9" i="5"/>
  <c r="HT9" i="5" s="1"/>
  <c r="GB22" i="5"/>
  <c r="FN7" i="5"/>
  <c r="HR14" i="5"/>
  <c r="HT14" i="5" s="1"/>
  <c r="GB14" i="5"/>
  <c r="HR11" i="5"/>
  <c r="HT11" i="5" s="1"/>
  <c r="FZ7" i="5"/>
  <c r="HR7" i="5" s="1"/>
  <c r="HT7" i="5" s="1"/>
  <c r="HO8" i="5"/>
  <c r="HR8" i="5"/>
  <c r="HT8" i="5" s="1"/>
  <c r="GB19" i="5"/>
  <c r="HR19" i="5"/>
  <c r="HT19" i="5" s="1"/>
  <c r="HR10" i="5"/>
  <c r="HT10" i="5" s="1"/>
  <c r="GB10" i="5"/>
  <c r="HR13" i="5"/>
  <c r="HT13" i="5" s="1"/>
  <c r="GB13" i="5"/>
  <c r="HR12" i="5"/>
  <c r="HT12" i="5" s="1"/>
  <c r="EV6" i="5"/>
  <c r="FZ6" i="5" s="1"/>
  <c r="GB7" i="5" l="1"/>
  <c r="GB6" i="5"/>
  <c r="HR6" i="5"/>
  <c r="HT6" i="5" s="1"/>
  <c r="AL3" i="3" l="1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" i="3"/>
  <c r="BA3" i="3"/>
  <c r="BA4" i="3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" i="3"/>
  <c r="AY3" i="3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" i="3"/>
  <c r="AX3" i="3"/>
  <c r="AX4" i="3"/>
  <c r="AX5" i="3"/>
  <c r="AX6" i="3"/>
  <c r="AV7" i="3"/>
  <c r="AX8" i="3"/>
  <c r="AX9" i="3"/>
  <c r="AX10" i="3"/>
  <c r="AV11" i="3"/>
  <c r="AX12" i="3"/>
  <c r="AX13" i="3"/>
  <c r="AX14" i="3"/>
  <c r="AV15" i="3"/>
  <c r="AX16" i="3"/>
  <c r="AX17" i="3"/>
  <c r="AX18" i="3"/>
  <c r="AV19" i="3"/>
  <c r="AV2" i="3"/>
  <c r="AW3" i="3"/>
  <c r="AW4" i="3"/>
  <c r="AW5" i="3"/>
  <c r="AW6" i="3"/>
  <c r="AW7" i="3"/>
  <c r="AW8" i="3"/>
  <c r="AW9" i="3"/>
  <c r="AW10" i="3"/>
  <c r="AW11" i="3"/>
  <c r="AW12" i="3"/>
  <c r="AW13" i="3"/>
  <c r="AW14" i="3"/>
  <c r="AW15" i="3"/>
  <c r="AW16" i="3"/>
  <c r="AW17" i="3"/>
  <c r="AW18" i="3"/>
  <c r="AW19" i="3"/>
  <c r="AW2" i="3"/>
  <c r="AV3" i="3"/>
  <c r="AV4" i="3"/>
  <c r="AV6" i="3"/>
  <c r="AV8" i="3"/>
  <c r="AV10" i="3"/>
  <c r="AV12" i="3"/>
  <c r="AV14" i="3"/>
  <c r="AV16" i="3"/>
  <c r="AV18" i="3"/>
  <c r="AT3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C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X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N30" i="12"/>
  <c r="M30" i="12"/>
  <c r="L30" i="12"/>
  <c r="N28" i="12"/>
  <c r="M28" i="12"/>
  <c r="L28" i="12"/>
  <c r="Z9" i="10"/>
  <c r="Z8" i="10"/>
  <c r="Z7" i="10"/>
  <c r="Z6" i="10"/>
  <c r="Z5" i="10"/>
  <c r="E17" i="1" l="1"/>
  <c r="F17" i="1" s="1"/>
  <c r="E9" i="1"/>
  <c r="F9" i="1" s="1"/>
  <c r="E16" i="1"/>
  <c r="E8" i="1"/>
  <c r="J8" i="1"/>
  <c r="G14" i="1"/>
  <c r="G6" i="1"/>
  <c r="G12" i="1"/>
  <c r="G4" i="1"/>
  <c r="E15" i="1"/>
  <c r="F15" i="1" s="1"/>
  <c r="E7" i="1"/>
  <c r="F7" i="1" s="1"/>
  <c r="E13" i="1"/>
  <c r="F13" i="1" s="1"/>
  <c r="E5" i="1"/>
  <c r="F5" i="1" s="1"/>
  <c r="E19" i="1"/>
  <c r="F19" i="1" s="1"/>
  <c r="E11" i="1"/>
  <c r="F11" i="1" s="1"/>
  <c r="E3" i="1"/>
  <c r="F3" i="1" s="1"/>
  <c r="J15" i="1"/>
  <c r="J7" i="1"/>
  <c r="G13" i="1"/>
  <c r="G5" i="1"/>
  <c r="F16" i="1"/>
  <c r="J14" i="1"/>
  <c r="J6" i="1"/>
  <c r="G19" i="1"/>
  <c r="G11" i="1"/>
  <c r="G3" i="1"/>
  <c r="E12" i="1"/>
  <c r="F12" i="1" s="1"/>
  <c r="E4" i="1"/>
  <c r="J12" i="1"/>
  <c r="J4" i="1"/>
  <c r="G18" i="1"/>
  <c r="G10" i="1"/>
  <c r="F8" i="1"/>
  <c r="J19" i="1"/>
  <c r="J11" i="1"/>
  <c r="J3" i="1"/>
  <c r="J16" i="1"/>
  <c r="G17" i="1"/>
  <c r="G9" i="1"/>
  <c r="E14" i="1"/>
  <c r="F14" i="1" s="1"/>
  <c r="F4" i="1"/>
  <c r="E18" i="1"/>
  <c r="F18" i="1" s="1"/>
  <c r="E10" i="1"/>
  <c r="F10" i="1" s="1"/>
  <c r="E2" i="1"/>
  <c r="F2" i="1" s="1"/>
  <c r="J18" i="1"/>
  <c r="J10" i="1"/>
  <c r="J2" i="1"/>
  <c r="G16" i="1"/>
  <c r="G8" i="1"/>
  <c r="E6" i="1"/>
  <c r="F6" i="1" s="1"/>
  <c r="G2" i="1"/>
  <c r="G15" i="1"/>
  <c r="G7" i="1"/>
  <c r="AV17" i="3"/>
  <c r="J17" i="1" s="1"/>
  <c r="AV13" i="3"/>
  <c r="AV9" i="3"/>
  <c r="AV5" i="3"/>
  <c r="AX2" i="3"/>
  <c r="AX19" i="3"/>
  <c r="AX15" i="3"/>
  <c r="AX11" i="3"/>
  <c r="AX7" i="3"/>
  <c r="J13" i="1" l="1"/>
  <c r="J9" i="1"/>
  <c r="J5" i="1"/>
</calcChain>
</file>

<file path=xl/sharedStrings.xml><?xml version="1.0" encoding="utf-8"?>
<sst xmlns="http://schemas.openxmlformats.org/spreadsheetml/2006/main" count="1242" uniqueCount="404">
  <si>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</si>
  <si>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</si>
  <si>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</si>
  <si>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</si>
  <si>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</si>
  <si>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</si>
  <si>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</si>
  <si>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</si>
  <si>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</si>
  <si>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</si>
  <si>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</si>
  <si>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</si>
  <si>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</si>
  <si>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</si>
  <si>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</si>
  <si>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</si>
  <si>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</si>
  <si>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</si>
  <si>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</si>
  <si>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</si>
  <si>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</si>
  <si>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</si>
  <si>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</si>
  <si>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</si>
  <si>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</si>
  <si>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</si>
  <si>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</si>
  <si>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</si>
  <si>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</si>
  <si>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</si>
  <si>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</si>
  <si>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</si>
  <si>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</si>
  <si>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</si>
  <si>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</si>
  <si>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</si>
  <si>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</si>
  <si>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</si>
  <si>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</si>
  <si>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</si>
  <si>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</si>
  <si>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</si>
  <si>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</si>
  <si>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</si>
  <si>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</si>
  <si>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</si>
  <si>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</si>
  <si>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</si>
  <si>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</si>
  <si>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</si>
  <si>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</si>
  <si>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</si>
  <si>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</si>
  <si>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</si>
  <si>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</si>
  <si>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</si>
  <si>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</si>
  <si>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</si>
  <si>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</si>
  <si>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</si>
  <si>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</si>
  <si>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Date</t>
  </si>
  <si>
    <t>12C004186-C1</t>
  </si>
  <si>
    <t>Total Gas Usage</t>
  </si>
  <si>
    <t>112014001775</t>
  </si>
  <si>
    <t>112014001771</t>
  </si>
  <si>
    <t>82SJ729151</t>
  </si>
  <si>
    <t>67327447 / 80606729</t>
  </si>
  <si>
    <t>Resort Potable Water</t>
  </si>
  <si>
    <t>Resort Reclaimed Water</t>
  </si>
  <si>
    <t>Natural Gas Meter</t>
  </si>
  <si>
    <t>Golf Maintenance Potable Water</t>
  </si>
  <si>
    <t>Golf Clubhouse Potable Water</t>
  </si>
  <si>
    <t>Clubhouse Natural Gas Meter</t>
  </si>
  <si>
    <t>Golf Comfort Stations Potable Water</t>
  </si>
  <si>
    <t>Golf Irrigation Re-Use Water</t>
  </si>
  <si>
    <t>Meter Read</t>
  </si>
  <si>
    <t>KWH</t>
  </si>
  <si>
    <t xml:space="preserve">Demand </t>
  </si>
  <si>
    <t>Demand</t>
  </si>
  <si>
    <t>X10</t>
  </si>
  <si>
    <t>Total</t>
  </si>
  <si>
    <t>x10</t>
  </si>
  <si>
    <t>x1000</t>
  </si>
  <si>
    <t>x100</t>
  </si>
  <si>
    <t>cfm</t>
  </si>
  <si>
    <t>Cooling Tower B/D</t>
  </si>
  <si>
    <t>Bldg J Irrigation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</si>
  <si>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</si>
  <si>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</si>
  <si>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</si>
  <si>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</si>
  <si>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</si>
  <si>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</si>
  <si>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</si>
  <si>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Meter # - 1334021</t>
  </si>
  <si>
    <t>Meter # - 73337589</t>
  </si>
  <si>
    <t>Meter # - 82SJ729151 / 46801014</t>
  </si>
  <si>
    <t>Meter # - 63265094</t>
  </si>
  <si>
    <t>Meter # - 67327447 / 80606729</t>
  </si>
  <si>
    <t>90 630 431</t>
  </si>
  <si>
    <t>Amount</t>
  </si>
  <si>
    <t>68 425 010</t>
  </si>
  <si>
    <t>T2392</t>
  </si>
  <si>
    <t>68 425 008</t>
  </si>
  <si>
    <t>T7384</t>
  </si>
  <si>
    <t>68 425 060</t>
  </si>
  <si>
    <t>T7380</t>
  </si>
  <si>
    <t>68 425 097</t>
  </si>
  <si>
    <t>T7281</t>
  </si>
  <si>
    <t>68 425 059</t>
  </si>
  <si>
    <t>T2390</t>
  </si>
  <si>
    <t>68 425 077</t>
  </si>
  <si>
    <t>T2395</t>
  </si>
  <si>
    <t>68 425 078</t>
  </si>
  <si>
    <t>T2393</t>
  </si>
  <si>
    <t>68 425 071</t>
  </si>
  <si>
    <t>T7285</t>
  </si>
  <si>
    <t>68 425 093</t>
  </si>
  <si>
    <t>T7382</t>
  </si>
  <si>
    <t>68 425 094</t>
  </si>
  <si>
    <t>T2391</t>
  </si>
  <si>
    <t>90 625 242</t>
  </si>
  <si>
    <t>T7283</t>
  </si>
  <si>
    <t>672 73 163</t>
  </si>
  <si>
    <t>676 62 513</t>
  </si>
  <si>
    <t>61 979 920</t>
  </si>
  <si>
    <t>56 253 208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</si>
  <si>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</si>
  <si>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</si>
  <si>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</si>
  <si>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</si>
  <si>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</si>
  <si>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</si>
  <si>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</si>
  <si>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</si>
  <si>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</si>
  <si>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</si>
  <si>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</si>
  <si>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Usage</t>
  </si>
  <si>
    <t>Service Yard #2</t>
  </si>
  <si>
    <t>Golf Maintenance</t>
  </si>
  <si>
    <t>Golf Clubhouse</t>
  </si>
  <si>
    <t>Golf Comfort Stations</t>
  </si>
  <si>
    <t>Natural Gas</t>
  </si>
  <si>
    <t>Comfort Stations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</si>
  <si>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</si>
  <si>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</si>
  <si>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</si>
  <si>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</si>
  <si>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</si>
  <si>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</si>
  <si>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</si>
  <si>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</si>
  <si>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</si>
  <si>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</si>
  <si>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</si>
  <si>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</si>
  <si>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</si>
  <si>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</si>
  <si>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Total Mnth</t>
  </si>
  <si>
    <t>CG0612A084</t>
  </si>
  <si>
    <t>CC0612A036</t>
  </si>
  <si>
    <t>CS0210A030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</si>
  <si>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</si>
  <si>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</si>
  <si>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</si>
  <si>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</si>
  <si>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</si>
  <si>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</si>
  <si>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</si>
  <si>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</si>
  <si>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</si>
  <si>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</si>
  <si>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</si>
  <si>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</si>
  <si>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</si>
  <si>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Meter # - 672 73 163</t>
  </si>
  <si>
    <t>Meter # - 676 62 513</t>
  </si>
  <si>
    <t>Meter # - 61 979 920</t>
  </si>
  <si>
    <t>Meter # - 56 253 208</t>
  </si>
  <si>
    <t>KWH Total</t>
  </si>
  <si>
    <t>Total KWH</t>
  </si>
  <si>
    <t>Meter # - CS0212A003</t>
  </si>
  <si>
    <t>Bill</t>
  </si>
  <si>
    <t>Fuel Charge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</si>
  <si>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</si>
  <si>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</si>
  <si>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</si>
  <si>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</si>
  <si>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</si>
  <si>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</si>
  <si>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</si>
  <si>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</si>
  <si>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</si>
  <si>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Bill Read</t>
  </si>
  <si>
    <t>Read</t>
  </si>
  <si>
    <t>KHW</t>
  </si>
  <si>
    <t>KWH Costs</t>
  </si>
  <si>
    <t>Electric</t>
  </si>
  <si>
    <t>Costs</t>
  </si>
  <si>
    <t xml:space="preserve"> </t>
  </si>
  <si>
    <t>Total Resort</t>
  </si>
  <si>
    <t>Total NG</t>
  </si>
  <si>
    <t>Solid</t>
  </si>
  <si>
    <t>Comfort Stations Sewer Total</t>
  </si>
  <si>
    <t>CCF</t>
  </si>
  <si>
    <t>Waste</t>
  </si>
  <si>
    <t>Sewer Total</t>
  </si>
  <si>
    <t>Solid Waste</t>
  </si>
  <si>
    <t>Potable</t>
  </si>
  <si>
    <t>Reuse</t>
  </si>
  <si>
    <t xml:space="preserve">Sewer </t>
  </si>
  <si>
    <t>Water</t>
  </si>
  <si>
    <t xml:space="preserve">Water </t>
  </si>
  <si>
    <t xml:space="preserve">Gas </t>
  </si>
  <si>
    <t xml:space="preserve">Waste 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</si>
  <si>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</si>
  <si>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</si>
  <si>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</si>
  <si>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</si>
  <si>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</si>
  <si>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</si>
  <si>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</si>
  <si>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</si>
  <si>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HSB2 Section 1&amp;2, Building A</t>
  </si>
  <si>
    <t>HSB2 Section 4&amp;5, Building A</t>
  </si>
  <si>
    <t>LSB2 Building A - T2395</t>
  </si>
  <si>
    <t>LSB2 Building A - T2393</t>
  </si>
  <si>
    <t>LSB2 Building A - T7285</t>
  </si>
  <si>
    <t>Service Yard #1</t>
  </si>
  <si>
    <t>Main Electric Room #1</t>
  </si>
  <si>
    <t>Main Electric Room #1 South</t>
  </si>
  <si>
    <t>Servcie Yard #3</t>
  </si>
  <si>
    <t>Out Buildings</t>
  </si>
  <si>
    <t>Remote Parking Lot Lights</t>
  </si>
  <si>
    <t>T2009</t>
  </si>
  <si>
    <t>Employee Parking Lot Lights</t>
  </si>
  <si>
    <t>Golf Maintenace</t>
  </si>
  <si>
    <t>Golf Irrigation Pump House</t>
  </si>
  <si>
    <t>IC0608A03</t>
  </si>
  <si>
    <t>Irrigation Pump House</t>
  </si>
  <si>
    <t>Service Entry</t>
  </si>
  <si>
    <t>Main Potable Water Feed</t>
  </si>
  <si>
    <t>Re-use Water Feed</t>
  </si>
  <si>
    <t>Reclaimed Water</t>
  </si>
  <si>
    <t>Pump Room</t>
  </si>
  <si>
    <t>Fire System Make-up Feed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</si>
  <si>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</si>
  <si>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</si>
  <si>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</si>
  <si>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</si>
  <si>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</si>
  <si>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</si>
  <si>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</si>
  <si>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</si>
  <si>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</si>
  <si>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</si>
  <si>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</si>
  <si>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</si>
  <si>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</si>
  <si>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</si>
  <si>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</si>
  <si>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</si>
  <si>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</si>
  <si>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</si>
  <si>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</si>
  <si>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</si>
  <si>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 xml:space="preserve">Pool Hydranic Heater Make-up Water </t>
  </si>
  <si>
    <t>Mens and Womens Spa Pool Make-up Water</t>
  </si>
  <si>
    <t>Changes to Meters</t>
  </si>
  <si>
    <t>Exterior Pump Room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</si>
  <si>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</si>
  <si>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</si>
  <si>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</si>
  <si>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</si>
  <si>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</si>
  <si>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</si>
  <si>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</si>
  <si>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</si>
  <si>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</si>
  <si>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</si>
  <si>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</si>
  <si>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</si>
  <si>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</si>
  <si>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</si>
  <si>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</si>
  <si>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</si>
  <si>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Potable Wtr Bldg A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</si>
  <si>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</si>
  <si>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</si>
  <si>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</si>
  <si>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</si>
  <si>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</si>
  <si>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</si>
  <si>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</si>
  <si>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</si>
  <si>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</si>
  <si>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</si>
  <si>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</si>
  <si>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</si>
  <si>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</si>
  <si>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</si>
  <si>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</si>
  <si>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</si>
  <si>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</si>
  <si>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</si>
  <si>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</si>
  <si>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</si>
  <si>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</si>
  <si>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</si>
  <si>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</si>
  <si>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Natural Gas / Petroleum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</si>
  <si>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</si>
  <si>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</si>
  <si>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</si>
  <si>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</si>
  <si>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</si>
  <si>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</si>
  <si>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</si>
  <si>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</si>
  <si>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</si>
  <si>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</si>
  <si>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</si>
  <si>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</si>
  <si>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</si>
  <si>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</si>
  <si>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</si>
  <si>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</si>
  <si>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</si>
  <si>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</si>
  <si>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</si>
  <si>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</si>
  <si>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</si>
  <si>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</si>
  <si>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</si>
  <si>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</si>
  <si>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</si>
  <si>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</si>
  <si>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</si>
  <si>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</si>
  <si>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</si>
  <si>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</si>
  <si>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</si>
  <si>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</si>
  <si>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</si>
  <si>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</si>
  <si>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</si>
  <si>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</si>
  <si>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</si>
  <si>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</si>
  <si>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</si>
  <si>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</si>
  <si>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</si>
  <si>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</si>
  <si>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</si>
  <si>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</si>
  <si>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</si>
  <si>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</si>
  <si>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</si>
  <si>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</si>
  <si>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</si>
  <si>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</si>
  <si>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</si>
  <si>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</si>
  <si>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</si>
  <si>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</si>
  <si>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</si>
  <si>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</si>
  <si>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Line Deduct</t>
  </si>
  <si>
    <t>Feed at 50 PSI</t>
  </si>
  <si>
    <t>Reduced to 2 PSI</t>
  </si>
  <si>
    <t>Bldg E Potable</t>
  </si>
  <si>
    <t xml:space="preserve">for building </t>
  </si>
  <si>
    <t>Resort Natural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</si>
  <si>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</si>
  <si>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</si>
  <si>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</si>
  <si>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</si>
  <si>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</si>
  <si>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</si>
  <si>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</si>
  <si>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</si>
  <si>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</si>
  <si>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</si>
  <si>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</si>
  <si>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>#2</t>
  </si>
  <si>
    <t>#3</t>
  </si>
  <si>
    <t xml:space="preserve">Golf </t>
  </si>
  <si>
    <t>Course &amp;</t>
  </si>
  <si>
    <t>Golf Maint.</t>
  </si>
  <si>
    <t>Cmft Stations</t>
  </si>
  <si>
    <t>% Occ</t>
  </si>
  <si>
    <t>CDD</t>
  </si>
  <si>
    <t>HDD</t>
  </si>
  <si>
    <t>Occupied Guest Rooms</t>
  </si>
  <si>
    <t>Electric KWH</t>
  </si>
  <si>
    <t>Electrical Use per Occupied Room</t>
  </si>
  <si>
    <t>Gas CCF</t>
  </si>
  <si>
    <t>Gas Use Per Occupied Room</t>
  </si>
  <si>
    <t>2019 Totals are through Sept 30th</t>
  </si>
  <si>
    <t>Cooling Tower M/U (x1000)</t>
  </si>
  <si>
    <t>Bldg E Potable (x1000)</t>
  </si>
  <si>
    <t>Bldg E Irrigation (x1000)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</si>
</sst>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00"/>
    <numFmt numFmtId="165" formatCode="&quot;$&quot;#,##0.00"/>
    <numFmt numFmtId="166" formatCode="#,##0.0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</cellStyleXfs>
  <cellXfs count="270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ill="1" applyBorder="1" applyAlignment="1">
      <alignment wrapText="1"/>
    </xf>
    <xf numFmtId="0" fontId="0" fillId="25" borderId="12" xfId="0" applyFill="1" applyBorder="1"/>
    <xf numFmtId="2" fontId="0" fillId="0" borderId="12" xfId="0" applyNumberFormat="1" applyFill="1" applyBorder="1" applyAlignment="1">
      <alignment horizontal="center"/>
    </xf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" fontId="26" fillId="0" borderId="0" xfId="0" applyNumberFormat="1" applyFont="1"/>
    <xf numFmtId="1" fontId="27" fillId="0" borderId="13" xfId="0" applyNumberFormat="1" applyFont="1" applyBorder="1" applyAlignment="1">
      <alignment horizontal="center" vertical="center" wrapText="1"/>
    </xf>
    <xf numFmtId="0" fontId="28" fillId="0" borderId="0" xfId="0" applyFont="1"/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0" fontId="23" fillId="0" borderId="0" xfId="0" applyFont="1" applyFill="1" applyBorder="1" applyAlignment="1">
      <alignment horizontal="center"/>
    </xf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165" fontId="0" fillId="0" borderId="12" xfId="0" applyNumberFormat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0" fontId="0" fillId="0" borderId="0" xfId="0" applyFont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6" fillId="0" borderId="12" xfId="0" applyFont="1" applyBorder="1" applyAlignment="1">
      <alignment horizontal="center"/>
    </xf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2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Fill="1" applyBorder="1" applyAlignment="1">
      <alignment horizontal="center"/>
    </xf>
    <xf numFmtId="0" fontId="0" fillId="26" borderId="12" xfId="0" applyFill="1" applyBorder="1"/>
    <xf numFmtId="0" fontId="0" fillId="0" borderId="0" xfId="0" applyFill="1" applyBorder="1"/>
    <xf numFmtId="165" fontId="0" fillId="23" borderId="10" xfId="0" applyNumberFormat="1" applyFill="1" applyBorder="1"/>
    <xf numFmtId="2" fontId="0" fillId="23" borderId="10" xfId="0" applyNumberFormat="1" applyFill="1" applyBorder="1"/>
    <xf numFmtId="0" fontId="0" fillId="0" borderId="10" xfId="0" applyNumberFormat="1" applyBorder="1"/>
    <xf numFmtId="4" fontId="0" fillId="23" borderId="10" xfId="0" applyNumberFormat="1" applyFill="1" applyBorder="1"/>
    <xf numFmtId="44" fontId="0" fillId="0" borderId="0" xfId="0" applyNumberFormat="1"/>
    <xf numFmtId="0" fontId="0" fillId="23" borderId="16" xfId="0" applyFill="1" applyBorder="1" applyAlignment="1">
      <alignment horizontal="center"/>
    </xf>
    <xf numFmtId="166" fontId="0" fillId="0" borderId="0" xfId="0" applyNumberFormat="1"/>
    <xf numFmtId="0" fontId="0" fillId="25" borderId="0" xfId="0" applyFill="1"/>
    <xf numFmtId="0" fontId="0" fillId="0" borderId="12" xfId="0" applyNumberFormat="1" applyBorder="1"/>
    <xf numFmtId="0" fontId="0" fillId="23" borderId="22" xfId="0" applyFill="1" applyBorder="1"/>
    <xf numFmtId="0" fontId="0" fillId="23" borderId="11" xfId="0" applyFill="1" applyBorder="1"/>
    <xf numFmtId="0" fontId="0" fillId="0" borderId="14" xfId="0" applyFill="1" applyBorder="1"/>
    <xf numFmtId="0" fontId="0" fillId="25" borderId="14" xfId="0" applyFill="1" applyBorder="1"/>
    <xf numFmtId="1" fontId="0" fillId="0" borderId="12" xfId="0" applyNumberFormat="1" applyBorder="1"/>
    <xf numFmtId="2" fontId="0" fillId="0" borderId="12" xfId="0" applyNumberFormat="1" applyBorder="1"/>
    <xf numFmtId="0" fontId="0" fillId="0" borderId="22" xfId="0" applyFill="1" applyBorder="1"/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26" borderId="18" xfId="0" applyFill="1" applyBorder="1" applyAlignment="1">
      <alignment horizontal="center"/>
    </xf>
    <xf numFmtId="0" fontId="0" fillId="26" borderId="22" xfId="0" applyFill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urrency" xfId="44" builtinId="4"/>
    <cellStyle name="Eingabe" xfId="27" xr:uid="{00000000-0005-0000-0000-00001B000000}"/>
    <cellStyle name="Ergebnis" xfId="28" xr:uid="{00000000-0005-0000-0000-00001C000000}"/>
    <cellStyle name="Erklärender Text" xfId="29" xr:uid="{00000000-0005-0000-0000-00001D000000}"/>
    <cellStyle name="Gut" xfId="30" xr:uid="{00000000-0005-0000-0000-00001E000000}"/>
    <cellStyle name="Normal" xfId="0" builtinId="0"/>
    <cellStyle name="Normale 2" xfId="31" xr:uid="{00000000-0005-0000-0000-000020000000}"/>
    <cellStyle name="Notiz" xfId="32" xr:uid="{00000000-0005-0000-0000-000021000000}"/>
    <cellStyle name="Percentuale 2" xfId="33" xr:uid="{00000000-0005-0000-0000-000022000000}"/>
    <cellStyle name="Schlecht" xfId="34" xr:uid="{00000000-0005-0000-0000-000023000000}"/>
    <cellStyle name="Überschrift" xfId="35" xr:uid="{00000000-0005-0000-0000-000024000000}"/>
    <cellStyle name="Überschrift 1" xfId="36" xr:uid="{00000000-0005-0000-0000-000025000000}"/>
    <cellStyle name="Überschrift 2" xfId="37" xr:uid="{00000000-0005-0000-0000-000026000000}"/>
    <cellStyle name="Überschrift 3" xfId="38" xr:uid="{00000000-0005-0000-0000-000027000000}"/>
    <cellStyle name="Überschrift 4" xfId="39" xr:uid="{00000000-0005-0000-0000-000028000000}"/>
    <cellStyle name="Valuta 2" xfId="40" xr:uid="{00000000-0005-0000-0000-000029000000}"/>
    <cellStyle name="Verknüpfte Zelle" xfId="41" xr:uid="{00000000-0005-0000-0000-00002A000000}"/>
    <cellStyle name="Warnender Text" xfId="42" xr:uid="{00000000-0005-0000-0000-00002B000000}"/>
    <cellStyle name="Zelle überprüfen" xfId="43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016064"/>
        <c:axId val="1383014976"/>
      </c:lineChart>
      <c:catAx>
        <c:axId val="138301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4976"/>
        <c:crosses val="autoZero"/>
        <c:auto val="1"/>
        <c:lblAlgn val="ctr"/>
        <c:lblOffset val="100"/>
        <c:noMultiLvlLbl val="0"/>
      </c:catAx>
      <c:valAx>
        <c:axId val="1383014976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60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010080"/>
        <c:axId val="1383010624"/>
      </c:lineChart>
      <c:catAx>
        <c:axId val="13830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0624"/>
        <c:crosses val="autoZero"/>
        <c:auto val="1"/>
        <c:lblAlgn val="ctr"/>
        <c:lblOffset val="100"/>
        <c:noMultiLvlLbl val="0"/>
      </c:catAx>
      <c:valAx>
        <c:axId val="1383010624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00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Feb</c:v>
                        </c:pt>
                        <c:pt idx="1">
                          <c:v>Jun</c:v>
                        </c:pt>
                        <c:pt idx="2">
                          <c:v>Oct</c:v>
                        </c:pt>
                        <c:pt idx="3">
                          <c:v>Dec</c:v>
                        </c:pt>
                      </c:lvl>
                      <c:lvl>
                        <c:pt idx="0">
                          <c:v>Jan</c:v>
                        </c:pt>
                        <c:pt idx="1">
                          <c:v>May</c:v>
                        </c:pt>
                        <c:pt idx="2">
                          <c:v>Sep</c:v>
                        </c:pt>
                      </c:lvl>
                      <c:lvl>
                        <c:pt idx="1">
                          <c:v>Apr</c:v>
                        </c:pt>
                        <c:pt idx="2">
                          <c:v>Aug</c:v>
                        </c:pt>
                      </c:lvl>
                    </c:multiLvlStrCache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011168"/>
        <c:axId val="1383017696"/>
      </c:lineChart>
      <c:catAx>
        <c:axId val="1383011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17696"/>
        <c:crosses val="autoZero"/>
        <c:auto val="1"/>
        <c:lblAlgn val="ctr"/>
        <c:lblOffset val="100"/>
        <c:noMultiLvlLbl val="0"/>
      </c:catAx>
      <c:valAx>
        <c:axId val="13830176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83011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4.326E-2</c:v>
                </c:pt>
                <c:pt idx="1">
                  <c:v>2.111E-2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2"/>
                <c:pt idx="0">
                  <c:v>4.0599999999999997E-2</c:v>
                </c:pt>
                <c:pt idx="1">
                  <c:v>2.5309999999999999E-2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3019328"/>
        <c:axId val="1383020960"/>
      </c:barChart>
      <c:catAx>
        <c:axId val="1383019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3020960"/>
        <c:crosses val="autoZero"/>
        <c:auto val="1"/>
        <c:lblAlgn val="ctr"/>
        <c:lblOffset val="100"/>
        <c:noMultiLvlLbl val="0"/>
      </c:catAx>
      <c:valAx>
        <c:axId val="1383020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3019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6.6630000000000003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6.6596000000000002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6.6520000000000001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7.4470000000000001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6.99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8843776"/>
        <c:axId val="1628838880"/>
      </c:barChart>
      <c:catAx>
        <c:axId val="1628843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28838880"/>
        <c:crosses val="autoZero"/>
        <c:auto val="1"/>
        <c:lblAlgn val="ctr"/>
        <c:lblOffset val="100"/>
        <c:noMultiLvlLbl val="0"/>
      </c:catAx>
      <c:valAx>
        <c:axId val="1628838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8843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38336"/>
        <c:axId val="1628844320"/>
      </c:lineChart>
      <c:catAx>
        <c:axId val="1628838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44320"/>
        <c:crosses val="autoZero"/>
        <c:auto val="1"/>
        <c:lblAlgn val="ctr"/>
        <c:lblOffset val="100"/>
        <c:noMultiLvlLbl val="0"/>
      </c:catAx>
      <c:valAx>
        <c:axId val="162884432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46496"/>
        <c:axId val="1628839424"/>
      </c:lineChart>
      <c:catAx>
        <c:axId val="1628846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39424"/>
        <c:crosses val="autoZero"/>
        <c:auto val="1"/>
        <c:lblAlgn val="ctr"/>
        <c:lblOffset val="100"/>
        <c:noMultiLvlLbl val="0"/>
      </c:catAx>
      <c:valAx>
        <c:axId val="1628839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464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8850848"/>
        <c:axId val="1628851392"/>
      </c:lineChart>
      <c:catAx>
        <c:axId val="1628850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28851392"/>
        <c:crosses val="autoZero"/>
        <c:auto val="1"/>
        <c:lblAlgn val="ctr"/>
        <c:lblOffset val="100"/>
        <c:noMultiLvlLbl val="0"/>
      </c:catAx>
      <c:valAx>
        <c:axId val="1628851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28850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15376"/>
        <c:axId val="1630707760"/>
      </c:lineChart>
      <c:catAx>
        <c:axId val="1630715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07760"/>
        <c:crosses val="autoZero"/>
        <c:auto val="1"/>
        <c:lblAlgn val="ctr"/>
        <c:lblOffset val="100"/>
        <c:noMultiLvlLbl val="0"/>
      </c:catAx>
      <c:valAx>
        <c:axId val="163070776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071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03408"/>
        <c:axId val="1630708848"/>
      </c:lineChart>
      <c:catAx>
        <c:axId val="1630703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08848"/>
        <c:crosses val="autoZero"/>
        <c:auto val="1"/>
        <c:lblAlgn val="ctr"/>
        <c:lblOffset val="100"/>
        <c:noMultiLvlLbl val="0"/>
      </c:catAx>
      <c:valAx>
        <c:axId val="1630708848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03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0700688"/>
        <c:axId val="1630712656"/>
      </c:lineChart>
      <c:dateAx>
        <c:axId val="163070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630712656"/>
        <c:crosses val="autoZero"/>
        <c:auto val="0"/>
        <c:lblOffset val="100"/>
        <c:baseTimeUnit val="days"/>
      </c:dateAx>
      <c:valAx>
        <c:axId val="163071265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30700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19"/>
  <sheetViews>
    <sheetView tabSelected="1" workbookViewId="0">
      <selection activeCell="I2" sqref="I2:I19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2" customWidth="1"/>
    <col min="7" max="7" width="11.5703125" style="1"/>
    <col min="8" max="8" width="11.5703125" style="12"/>
    <col min="9" max="9" width="11.5703125" style="1"/>
    <col min="10" max="10" width="11.5703125" style="14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10" t="s">
        <v>5</v>
      </c>
      <c r="G1" s="7" t="s">
        <v>6</v>
      </c>
      <c r="H1" s="10" t="s">
        <v>7</v>
      </c>
      <c r="I1" s="7" t="s">
        <v>8</v>
      </c>
      <c r="J1" s="13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31</v>
      </c>
      <c r="C2" s="2">
        <v>1</v>
      </c>
      <c r="D2" s="2">
        <v>2018</v>
      </c>
      <c r="E2" s="4">
        <f>Submetering!F2+Submetering!H2+Submetering!J2+Submetering!L2+Submetering!N2+Submetering!P2+Submetering!R2+Submetering!T2+Submetering!V2+Submetering!X2+Submetering!Z2+Submetering!AB2+Submetering!AC2+Submetering!AD2+Submetering!AE2</f>
        <v>1249823</v>
      </c>
      <c r="F2" s="11">
        <f>((((Submetering!E2+Submetering!AD2)*0.13773+(Submetering!E2+Submetering!AD2)*0.02095)*1.09+(2.85/30)*2)+(((Submetering!F2+Submetering!H2+Submetering!J2+Submetering!L2+Submetering!N2+Submetering!P2+Submetering!R2+Submetering!T2+Submetering!V2+Submetering!X2+Submetering!Z2+Submetering!AB2+Submetering!AC2+Submetering!AE2)*0.05155)+((Submetering!F2+Submetering!H2+Submetering!J2+Submetering!L2+Submetering!N2+Submetering!P2+Submetering!R2+Submetering!T2+Submetering!V2+Submetering!X2+Submetering!Z2+Submetering!AB2+Submetering!AC2+Submetering!AE2)*0.02095)+(20/30)*15)*1.1048)/E2</f>
        <v>8.08173835939969E-2</v>
      </c>
      <c r="G2" s="4">
        <f>Submetering!AK2+Submetering!AL2+Submetering!AU2</f>
        <v>40649.652599999994</v>
      </c>
      <c r="H2" s="12">
        <v>0.81659999999999999</v>
      </c>
      <c r="I2" s="4">
        <f>Submetering!AF2+Submetering!AG2+Submetering!AV2+Submetering!AY2+Submetering!AZ2</f>
        <v>21136.527200000004</v>
      </c>
      <c r="J2" s="12">
        <f>((Submetering!AG2+Submetering!BA2)*0.8868+(1712.96+1070.52)/30+(Submetering!AF2+Submetering!AY2+Submetering!AV2+Submetering!AZ2)*1.1251+(2076.11+129.67+207.57+207.57)/30+(11680.53+56.61)/30)/I2</f>
        <v>1.1368634771442809</v>
      </c>
      <c r="K2" s="4">
        <f>Occupancy!H4</f>
        <v>10446.876</v>
      </c>
    </row>
    <row r="3" spans="1:23" x14ac:dyDescent="0.25">
      <c r="A3" s="3" t="s">
        <v>11</v>
      </c>
      <c r="B3" s="2">
        <v>28</v>
      </c>
      <c r="C3" s="2">
        <v>2</v>
      </c>
      <c r="D3" s="2">
        <v>2018</v>
      </c>
      <c r="E3" s="4">
        <f>Submetering!F3+Submetering!H3+Submetering!J3+Submetering!L3+Submetering!N3+Submetering!P3+Submetering!R3+Submetering!T3+Submetering!V3+Submetering!X3+Submetering!Z3+Submetering!AB3+Submetering!AC3+Submetering!AD3+Submetering!AE3</f>
        <v>1263709</v>
      </c>
      <c r="F3" s="11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3</f>
        <v>8.0714783744358851E-2</v>
      </c>
      <c r="G3" s="4">
        <f>Submetering!AK3+Submetering!AL3+Submetering!AU3</f>
        <v>20461.415400000002</v>
      </c>
      <c r="H3" s="12">
        <v>0.81659999999999999</v>
      </c>
      <c r="I3" s="4">
        <f>Submetering!AF3+Submetering!AG3+Submetering!AV3+Submetering!AY3+Submetering!AZ3</f>
        <v>20976.209000000003</v>
      </c>
      <c r="J3" s="12">
        <f>((Submetering!AG3+Submetering!BA3)*0.8868+(1712.96+1070.52)/30+(Submetering!AF3+Submetering!AY3+Submetering!AV3+Submetering!AZ3)*1.1251+(2076.11+129.67+207.57+207.57)/30+(11680.53+56.61)/30)/I3</f>
        <v>1.2217889160642261</v>
      </c>
      <c r="K3" s="4">
        <f>Occupancy!H5</f>
        <v>9721.8240000000005</v>
      </c>
    </row>
    <row r="4" spans="1:23" x14ac:dyDescent="0.25">
      <c r="A4" s="3" t="s">
        <v>11</v>
      </c>
      <c r="B4" s="2">
        <v>31</v>
      </c>
      <c r="C4" s="2">
        <v>3</v>
      </c>
      <c r="D4" s="2">
        <v>2018</v>
      </c>
      <c r="E4" s="4">
        <f>Submetering!F4+Submetering!H4+Submetering!J4+Submetering!L4+Submetering!N4+Submetering!P4+Submetering!R4+Submetering!T4+Submetering!V4+Submetering!X4+Submetering!Z4+Submetering!AB4+Submetering!AC4+Submetering!AD4+Submetering!AE4</f>
        <v>1362044</v>
      </c>
      <c r="F4" s="11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4</f>
        <v>8.0743323179280541E-2</v>
      </c>
      <c r="G4" s="4">
        <f>Submetering!AK4+Submetering!AL4+Submetering!AU4</f>
        <v>29630.0592</v>
      </c>
      <c r="H4" s="12">
        <v>0.81659999999999999</v>
      </c>
      <c r="I4" s="4">
        <f>Submetering!AF4+Submetering!AG4+Submetering!AV4+Submetering!AY4+Submetering!AZ4</f>
        <v>28058.584399999996</v>
      </c>
      <c r="J4" s="12">
        <f>((Submetering!AG4+Submetering!BA4)*0.8868+(1712.96+1070.52)/30+(Submetering!AF4+Submetering!AY4+Submetering!AV4+Submetering!AZ4)*1.1251+(2076.11+129.67+207.57+207.57)/30+(11680.53+56.61)/30)/I4</f>
        <v>1.3905452729278343</v>
      </c>
      <c r="K4" s="4">
        <f>Occupancy!H6</f>
        <v>11781.984</v>
      </c>
    </row>
    <row r="5" spans="1:23" x14ac:dyDescent="0.25">
      <c r="A5" s="3" t="s">
        <v>11</v>
      </c>
      <c r="B5" s="2">
        <v>31</v>
      </c>
      <c r="C5" s="2">
        <v>4</v>
      </c>
      <c r="D5" s="2">
        <v>2018</v>
      </c>
      <c r="E5" s="4">
        <f>Submetering!F5+Submetering!H5+Submetering!J5+Submetering!L5+Submetering!N5+Submetering!P5+Submetering!R5+Submetering!T5+Submetering!V5+Submetering!X5+Submetering!Z5+Submetering!AB5+Submetering!AC5+Submetering!AD5+Submetering!AE5</f>
        <v>1275720</v>
      </c>
      <c r="F5" s="11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5</f>
        <v>8.0452536308907904E-2</v>
      </c>
      <c r="G5" s="4">
        <f>Submetering!AK5+Submetering!AL5+Submetering!AU5</f>
        <v>18215.379799999999</v>
      </c>
      <c r="H5" s="12">
        <v>0.81659999999999999</v>
      </c>
      <c r="I5" s="4">
        <f>Submetering!AF5+Submetering!AG5+Submetering!AV5+Submetering!AY5+Submetering!AZ5</f>
        <v>26028.062000000002</v>
      </c>
      <c r="J5" s="12">
        <f>((Submetering!AG5+Submetering!BA5)*0.8868+(1712.96+1070.52)/30+(Submetering!AF5+Submetering!AY5+Submetering!AV5+Submetering!AZ5)*1.1251+(2076.11+129.67+207.57+207.57)/30+(11680.53+56.61)/30)/I5</f>
        <v>1.2143969430081529</v>
      </c>
      <c r="K5" s="4">
        <f>Occupancy!H7</f>
        <v>11148.84</v>
      </c>
    </row>
    <row r="6" spans="1:23" x14ac:dyDescent="0.25">
      <c r="A6" s="3" t="s">
        <v>11</v>
      </c>
      <c r="B6" s="2">
        <v>31</v>
      </c>
      <c r="C6" s="2">
        <v>5</v>
      </c>
      <c r="D6" s="2">
        <v>2018</v>
      </c>
      <c r="E6" s="4">
        <f>Submetering!F6+Submetering!H6+Submetering!J6+Submetering!L6+Submetering!N6+Submetering!P6+Submetering!R6+Submetering!T6+Submetering!V6+Submetering!X6+Submetering!Z6+Submetering!AB6+Submetering!AC6+Submetering!AD6+Submetering!AE6</f>
        <v>1569920</v>
      </c>
      <c r="F6" s="11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6</f>
        <v>8.0409673688340816E-2</v>
      </c>
      <c r="G6" s="4">
        <f>Submetering!AK6+Submetering!AL6+Submetering!AU6</f>
        <v>14477.384399999999</v>
      </c>
      <c r="H6" s="12">
        <v>0.81659999999999999</v>
      </c>
      <c r="I6" s="4">
        <f>Submetering!AF6+Submetering!AG6+Submetering!AV6+Submetering!AY6+Submetering!AZ6</f>
        <v>26394.04</v>
      </c>
      <c r="J6" s="12">
        <f>((Submetering!AG6+Submetering!BA6)*0.8868+(1712.96+1070.52)/30+(Submetering!AF6+Submetering!AY6+Submetering!AV6+Submetering!AZ6)*1.1251+(2076.11+129.67+207.57+207.57)/30+(11680.53+56.61)/30)/I6</f>
        <v>1.2634591397628656</v>
      </c>
      <c r="K6" s="4">
        <f>Occupancy!H8</f>
        <v>10446.876</v>
      </c>
    </row>
    <row r="7" spans="1:23" x14ac:dyDescent="0.25">
      <c r="A7" s="3" t="s">
        <v>11</v>
      </c>
      <c r="B7" s="2">
        <v>30</v>
      </c>
      <c r="C7" s="2">
        <v>6</v>
      </c>
      <c r="D7" s="2">
        <v>2018</v>
      </c>
      <c r="E7" s="4">
        <f>Submetering!F7+Submetering!H7+Submetering!J7+Submetering!L7+Submetering!N7+Submetering!P7+Submetering!R7+Submetering!T7+Submetering!V7+Submetering!X7+Submetering!Z7+Submetering!AB7+Submetering!AC7+Submetering!AD7+Submetering!AE7</f>
        <v>1807824</v>
      </c>
      <c r="F7" s="11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7</f>
        <v>8.489202077901388E-2</v>
      </c>
      <c r="G7" s="4">
        <f>Submetering!AK7+Submetering!AL7+Submetering!AU7</f>
        <v>6695.79</v>
      </c>
      <c r="H7" s="12">
        <v>0.81659999999999999</v>
      </c>
      <c r="I7" s="4">
        <f>Submetering!AF7+Submetering!AG7+Submetering!AV7+Submetering!AY7+Submetering!AZ7</f>
        <v>24519.538</v>
      </c>
      <c r="J7" s="12">
        <f>((Submetering!AG7+Submetering!BA7)*0.8868+(1712.96+1070.52)/30+(Submetering!AF7+Submetering!AY7+Submetering!AV7+Submetering!AZ7)*1.1251+(2076.11+129.67+207.57+207.57)/30+(11680.53+56.61)/30)/I7</f>
        <v>1.2303144231880172</v>
      </c>
      <c r="K7" s="4">
        <f>Occupancy!H9</f>
        <v>9923.4</v>
      </c>
    </row>
    <row r="8" spans="1:23" x14ac:dyDescent="0.25">
      <c r="A8" s="3" t="s">
        <v>11</v>
      </c>
      <c r="B8" s="2">
        <v>31</v>
      </c>
      <c r="C8" s="2">
        <v>7</v>
      </c>
      <c r="D8" s="2">
        <v>2018</v>
      </c>
      <c r="E8" s="4">
        <f>Submetering!F8+Submetering!H8+Submetering!J8+Submetering!L8+Submetering!N8+Submetering!P8+Submetering!R8+Submetering!T8+Submetering!V8+Submetering!X8+Submetering!Z8+Submetering!AB8+Submetering!AC8+Submetering!AD8+Submetering!AE8</f>
        <v>1854374</v>
      </c>
      <c r="F8" s="11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8</f>
        <v>8.4779605502881286E-2</v>
      </c>
      <c r="G8" s="4">
        <f>Submetering!AK8+Submetering!AL8+Submetering!AU8</f>
        <v>6965.9054000000006</v>
      </c>
      <c r="H8" s="12">
        <v>0.81659999999999999</v>
      </c>
      <c r="I8" s="4">
        <f>Submetering!AF8+Submetering!AG8+Submetering!AV8+Submetering!AY8+Submetering!AZ8</f>
        <v>23937.301999999996</v>
      </c>
      <c r="J8" s="12">
        <f>((Submetering!AG8+Submetering!BA8)*0.8868+(1712.96+1070.52)/30+(Submetering!AF8+Submetering!AY8+Submetering!AV8+Submetering!AZ8)*1.1251+(2076.11+129.67+207.57+207.57)/30+(11680.53+56.61)/30)/I8</f>
        <v>1.2029528413781414</v>
      </c>
      <c r="K8" s="4">
        <f>Occupancy!H10</f>
        <v>9744.9120000000003</v>
      </c>
    </row>
    <row r="9" spans="1:23" x14ac:dyDescent="0.25">
      <c r="A9" s="3" t="s">
        <v>11</v>
      </c>
      <c r="B9" s="2">
        <v>31</v>
      </c>
      <c r="C9" s="2">
        <v>8</v>
      </c>
      <c r="D9" s="2">
        <v>2018</v>
      </c>
      <c r="E9" s="4">
        <f>Submetering!F9+Submetering!H9+Submetering!J9+Submetering!L9+Submetering!N9+Submetering!P9+Submetering!R9+Submetering!T9+Submetering!V9+Submetering!X9+Submetering!Z9+Submetering!AB9+Submetering!AC9+Submetering!AD9+Submetering!AE9</f>
        <v>3227940</v>
      </c>
      <c r="F9" s="11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9</f>
        <v>8.0376413451675052E-2</v>
      </c>
      <c r="G9" s="4">
        <f>Submetering!AK9+Submetering!AL9+Submetering!AU9</f>
        <v>8445.1427999999996</v>
      </c>
      <c r="H9" s="12">
        <v>0.81659999999999999</v>
      </c>
      <c r="I9" s="4">
        <f>Submetering!AF9+Submetering!AG9+Submetering!AV9+Submetering!AY9+Submetering!AZ9</f>
        <v>13087.694</v>
      </c>
      <c r="J9" s="12">
        <f>((Submetering!AG9+Submetering!BA9)*0.8868+(1712.96+1070.52)/30+(Submetering!AF9+Submetering!AY9+Submetering!AV9+Submetering!AZ9)*1.1251+(2076.11+129.67+207.57+207.57)/30+(11680.53+56.61)/30)/I9</f>
        <v>1.1804275224700902</v>
      </c>
      <c r="K9" s="4">
        <f>Occupancy!H11</f>
        <v>9882.5519999999997</v>
      </c>
    </row>
    <row r="10" spans="1:23" x14ac:dyDescent="0.25">
      <c r="A10" s="3" t="s">
        <v>11</v>
      </c>
      <c r="B10" s="2">
        <v>30</v>
      </c>
      <c r="C10" s="2">
        <v>9</v>
      </c>
      <c r="D10" s="2">
        <v>2018</v>
      </c>
      <c r="E10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346720</v>
      </c>
      <c r="F10" s="11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10</f>
        <v>8.043221644554685E-2</v>
      </c>
      <c r="G10" s="4">
        <f>Submetering!AK10+Submetering!AL10+Submetering!AU10</f>
        <v>1253.4870000000001</v>
      </c>
      <c r="H10" s="12">
        <v>0.81659999999999999</v>
      </c>
      <c r="I10" s="4">
        <f>Submetering!AF10+Submetering!AG10+Submetering!AV10+Submetering!AY10+Submetering!AZ10</f>
        <v>7083.9524000000001</v>
      </c>
      <c r="J10" s="12">
        <f>((Submetering!AG10+Submetering!BA10)*0.8868+(1712.96+1070.52)/30+(Submetering!AF10+Submetering!AY10+Submetering!AV10+Submetering!AZ10)*1.1251+(2076.11+129.67+207.57+207.57)/30+(11680.53+56.61)/30)/I10</f>
        <v>1.4709521476607699</v>
      </c>
      <c r="K10" s="4">
        <f>Occupancy!H12</f>
        <v>7858.7999999999993</v>
      </c>
    </row>
    <row r="11" spans="1:23" x14ac:dyDescent="0.25">
      <c r="A11" s="3" t="s">
        <v>11</v>
      </c>
      <c r="B11" s="2">
        <v>31</v>
      </c>
      <c r="C11" s="2">
        <v>10</v>
      </c>
      <c r="D11" s="2">
        <v>2018</v>
      </c>
      <c r="E11" s="4">
        <f>Submetering!F11+Submetering!H11+Submetering!J11+Submetering!L11+Submetering!N11+Submetering!P11+Submetering!R11+Submetering!T11+Submetering!V11+Submetering!X11+Submetering!Z11+Submetering!AB11+Submetering!AC11+Submetering!AD11+Submetering!AE11</f>
        <v>1143320</v>
      </c>
      <c r="F11" s="11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11</f>
        <v>8.0437770473008416E-2</v>
      </c>
      <c r="G11" s="4">
        <f>Submetering!AK11+Submetering!AL11+Submetering!AU11</f>
        <v>9816.4640000000018</v>
      </c>
      <c r="H11" s="12">
        <v>0.81659999999999999</v>
      </c>
      <c r="I11" s="4">
        <f>Submetering!AF11+Submetering!AG11+Submetering!AV11+Submetering!AY11+Submetering!AZ11</f>
        <v>19604.815599999994</v>
      </c>
      <c r="J11" s="12">
        <f>((Submetering!AG11+Submetering!BA11)*0.8868+(1712.96+1070.52)/30+(Submetering!AF11+Submetering!AY11+Submetering!AV11+Submetering!AZ11)*1.1251+(2076.11+129.67+207.57+207.57)/30+(11680.53+56.61)/30)/I11</f>
        <v>1.3229946660261713</v>
      </c>
      <c r="K11" s="4">
        <f>Occupancy!H13</f>
        <v>9676.0919999999987</v>
      </c>
    </row>
    <row r="12" spans="1:23" x14ac:dyDescent="0.25">
      <c r="A12" s="3" t="s">
        <v>11</v>
      </c>
      <c r="B12" s="2">
        <v>4</v>
      </c>
      <c r="C12" s="2">
        <v>11</v>
      </c>
      <c r="D12" s="2">
        <v>2018</v>
      </c>
      <c r="E12" s="4">
        <f>Submetering!F12+Submetering!H12+Submetering!J12+Submetering!L12+Submetering!N12+Submetering!P12+Submetering!R12+Submetering!T12+Submetering!V12+Submetering!X12+Submetering!Z12+Submetering!AB12+Submetering!AC12+Submetering!AD12+Submetering!AE12</f>
        <v>159060</v>
      </c>
      <c r="F12" s="11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12</f>
        <v>8.0554678146611339E-2</v>
      </c>
      <c r="G12" s="4">
        <f>Submetering!AK12+Submetering!AL12+Submetering!AU12</f>
        <v>2077.6880000000001</v>
      </c>
      <c r="H12" s="12">
        <v>0.81659999999999999</v>
      </c>
      <c r="I12" s="4">
        <f>Submetering!AF12+Submetering!AG12+Submetering!AV12+Submetering!AY12+Submetering!AZ12</f>
        <v>2708.7919999999999</v>
      </c>
      <c r="J12" s="12">
        <f>((Submetering!AG12+Submetering!BA12)*0.8868+(1712.96+1070.52)/30+(Submetering!AF12+Submetering!AY12+Submetering!AV12+Submetering!AZ12)*1.1251+(2076.11+129.67+207.57+207.57)/30+(11680.53+56.61)/30)/I12</f>
        <v>1.3118172871400489</v>
      </c>
      <c r="K12" s="4"/>
    </row>
    <row r="13" spans="1:23" x14ac:dyDescent="0.25">
      <c r="A13" s="3" t="s">
        <v>11</v>
      </c>
      <c r="B13" s="2">
        <v>11</v>
      </c>
      <c r="C13" s="2">
        <v>11</v>
      </c>
      <c r="D13" s="2">
        <v>2018</v>
      </c>
      <c r="E13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322860</v>
      </c>
      <c r="F13" s="11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13</f>
        <v>8.0478880056990651E-2</v>
      </c>
      <c r="G13" s="4">
        <f>Submetering!AK13+Submetering!AL13+Submetering!AU13</f>
        <v>2667.904</v>
      </c>
      <c r="H13" s="12">
        <v>0.81659999999999999</v>
      </c>
      <c r="I13" s="4">
        <f>Submetering!AF13+Submetering!AG13+Submetering!AV13+Submetering!AY13+Submetering!AZ13</f>
        <v>5559.21</v>
      </c>
      <c r="J13" s="12">
        <f>((Submetering!AG13+Submetering!BA13)*0.8868+(1712.96+1070.52)/30+(Submetering!AF13+Submetering!AY13+Submetering!AV13+Submetering!AZ13)*1.1251+(2076.11+129.67+207.57+207.57)/30+(11680.53+56.61)/30)/I13</f>
        <v>1.204029640086751</v>
      </c>
      <c r="K13" s="4"/>
    </row>
    <row r="14" spans="1:23" x14ac:dyDescent="0.25">
      <c r="A14" s="3" t="s">
        <v>11</v>
      </c>
      <c r="B14" s="2">
        <v>18</v>
      </c>
      <c r="C14" s="2">
        <v>11</v>
      </c>
      <c r="D14" s="2">
        <v>2018</v>
      </c>
      <c r="E14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305500</v>
      </c>
      <c r="F14" s="11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14</f>
        <v>8.0505618939443538E-2</v>
      </c>
      <c r="G14" s="4">
        <f>Submetering!AK14+Submetering!AL14+Submetering!AU14</f>
        <v>4731.7979999999998</v>
      </c>
      <c r="H14" s="12">
        <v>0.81659999999999999</v>
      </c>
      <c r="I14" s="4">
        <f>Submetering!AF14+Submetering!AG14+Submetering!AV14+Submetering!AY14+Submetering!AZ14</f>
        <v>5688.4859999999999</v>
      </c>
      <c r="J14" s="12">
        <f>((Submetering!AG14+Submetering!BA14)*0.8868+(1712.96+1070.52)/30+(Submetering!AF14+Submetering!AY14+Submetering!AV14+Submetering!AZ14)*1.1251+(2076.11+129.67+207.57+207.57)/30+(11680.53+56.61)/30)/I14</f>
        <v>1.2009623866643369</v>
      </c>
      <c r="K14" s="4"/>
    </row>
    <row r="15" spans="1:23" x14ac:dyDescent="0.25">
      <c r="A15" s="3" t="s">
        <v>11</v>
      </c>
      <c r="B15" s="2">
        <v>25</v>
      </c>
      <c r="C15" s="2">
        <v>11</v>
      </c>
      <c r="D15" s="2">
        <v>2018</v>
      </c>
      <c r="E15" s="4">
        <f>Submetering!F15+Submetering!H15+Submetering!J15+Submetering!L15+Submetering!N15+Submetering!P15+Submetering!R15+Submetering!T15+Submetering!V15+Submetering!X15+Submetering!Z15+Submetering!AB15+Submetering!AC15+Submetering!AD15+Submetering!AE15</f>
        <v>291040</v>
      </c>
      <c r="F15" s="11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15</f>
        <v>8.0525871034909297E-2</v>
      </c>
      <c r="G15" s="4">
        <f>Submetering!AK15+Submetering!AL15+Submetering!AU15</f>
        <v>4946.5360000000001</v>
      </c>
      <c r="H15" s="12">
        <v>0.81659999999999999</v>
      </c>
      <c r="I15" s="4">
        <f>Submetering!AF15+Submetering!AG15+Submetering!AV15+Submetering!AY15+Submetering!AZ15</f>
        <v>5835.0140000000001</v>
      </c>
      <c r="J15" s="12">
        <f>((Submetering!AG15+Submetering!BA15)*0.8868+(1712.96+1070.52)/30+(Submetering!AF15+Submetering!AY15+Submetering!AV15+Submetering!AZ15)*1.1251+(2076.11+129.67+207.57+207.57)/30+(11680.53+56.61)/30)/I15</f>
        <v>1.1976916634418813</v>
      </c>
      <c r="K15" s="4"/>
    </row>
    <row r="16" spans="1:23" x14ac:dyDescent="0.25">
      <c r="A16" s="3" t="s">
        <v>11</v>
      </c>
      <c r="B16" s="2">
        <v>31</v>
      </c>
      <c r="C16" s="2">
        <v>11</v>
      </c>
      <c r="D16" s="2">
        <v>2018</v>
      </c>
      <c r="E16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273140</v>
      </c>
      <c r="F16" s="11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16</f>
        <v>8.0554544435820469E-2</v>
      </c>
      <c r="G16" s="4">
        <f>Submetering!AK16+Submetering!AL16+Submetering!AU16</f>
        <v>6540.8981999999996</v>
      </c>
      <c r="H16" s="12">
        <v>0.81659999999999999</v>
      </c>
      <c r="I16" s="4">
        <f>Submetering!AF16+Submetering!AG16+Submetering!AV16+Submetering!AY16+Submetering!AZ16</f>
        <v>5842.9940000000006</v>
      </c>
      <c r="J16" s="12">
        <f>((Submetering!AG16+Submetering!BA16)*0.8868+(1712.96+1070.52)/30+(Submetering!AF16+Submetering!AY16+Submetering!AV16+Submetering!AZ16)*1.1251+(2076.11+129.67+207.57+207.57)/30+(11680.53+56.61)/30)/I16</f>
        <v>1.6693973042701509</v>
      </c>
      <c r="K16" s="4">
        <f>Occupancy!H14</f>
        <v>9923.4</v>
      </c>
    </row>
    <row r="17" spans="1:11" x14ac:dyDescent="0.25">
      <c r="A17" s="3" t="s">
        <v>11</v>
      </c>
      <c r="B17" s="2">
        <v>9</v>
      </c>
      <c r="C17" s="2">
        <v>12</v>
      </c>
      <c r="D17" s="2">
        <v>2018</v>
      </c>
      <c r="E17" s="4">
        <f>Submetering!F17+Submetering!H17+Submetering!J17+Submetering!L17+Submetering!N17+Submetering!P17+Submetering!R17+Submetering!T17+Submetering!V17+Submetering!X17+Submetering!Z17+Submetering!AB17+Submetering!AC17+Submetering!AD17+Submetering!AE17</f>
        <v>281920</v>
      </c>
      <c r="F17" s="11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17</f>
        <v>8.0544007074347321E-2</v>
      </c>
      <c r="G17" s="4">
        <f>Submetering!AK17+Submetering!AL17+Submetering!AU17</f>
        <v>6359.6419999999998</v>
      </c>
      <c r="H17" s="12">
        <v>0.81659999999999999</v>
      </c>
      <c r="I17" s="4">
        <f>Submetering!AF17+Submetering!AG17+Submetering!AV17+Submetering!AY17+Submetering!AZ17</f>
        <v>5029.4140000000007</v>
      </c>
      <c r="J17" s="12">
        <f>((Submetering!AG17+Submetering!BA17)*0.8868+(1712.96+1070.52)/30+(Submetering!AF17+Submetering!AY17+Submetering!AV17+Submetering!AZ17)*1.1251+(2076.11+129.67+207.57+207.57)/30+(11680.53+56.61)/30)/I17</f>
        <v>1.211706676814966</v>
      </c>
      <c r="K17" s="4"/>
    </row>
    <row r="18" spans="1:11" x14ac:dyDescent="0.25">
      <c r="A18" s="3" t="s">
        <v>11</v>
      </c>
      <c r="B18" s="2">
        <v>16</v>
      </c>
      <c r="C18" s="2">
        <v>12</v>
      </c>
      <c r="D18" s="2">
        <v>2018</v>
      </c>
      <c r="E18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264140</v>
      </c>
      <c r="F18" s="11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18</f>
        <v>8.0563552113273276E-2</v>
      </c>
      <c r="G18" s="4">
        <f>Submetering!AK18+Submetering!AL18+Submetering!AU18</f>
        <v>7138.0339999999997</v>
      </c>
      <c r="H18" s="12">
        <v>0.81659999999999999</v>
      </c>
      <c r="I18" s="4">
        <f>Submetering!AF18+Submetering!AG18+Submetering!AV18+Submetering!AY18+Submetering!AZ18</f>
        <v>4050.7619999999997</v>
      </c>
      <c r="J18" s="12">
        <f>((Submetering!AG18+Submetering!BA18)*0.8868+(1712.96+1070.52)/30+(Submetering!AF18+Submetering!AY18+Submetering!AV18+Submetering!AZ18)*1.1251+(2076.11+129.67+207.57+207.57)/30+(11680.53+56.61)/30)/I18</f>
        <v>1.2505367911189713</v>
      </c>
      <c r="K18" s="4"/>
    </row>
    <row r="19" spans="1:11" x14ac:dyDescent="0.25">
      <c r="A19" s="3" t="s">
        <v>11</v>
      </c>
      <c r="B19" s="2">
        <v>31</v>
      </c>
      <c r="C19" s="2">
        <v>12</v>
      </c>
      <c r="D19" s="2">
        <v>2018</v>
      </c>
      <c r="E19" s="4">
        <f>Submetering!F19+Submetering!H19+Submetering!J19+Submetering!L19+Submetering!N19+Submetering!P19+Submetering!R19+Submetering!T19+Submetering!V19+Submetering!X19+Submetering!Z19+Submetering!AB19+Submetering!AC19+Submetering!AD19+Submetering!AE19</f>
        <v>1395848</v>
      </c>
      <c r="F19" s="11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19</f>
        <v>7.5801291697663364E-2</v>
      </c>
      <c r="G19" s="4">
        <f>Submetering!AK19+Submetering!AL19+Submetering!AU19</f>
        <v>13785.446199999998</v>
      </c>
      <c r="H19" s="12">
        <v>0.81659999999999999</v>
      </c>
      <c r="I19" s="4">
        <f>Submetering!AF19+Submetering!AG19+Submetering!AV19+Submetering!AY19+Submetering!AZ19</f>
        <v>11279.3766</v>
      </c>
      <c r="J19" s="12">
        <f>((Submetering!AG19+Submetering!BA19)*0.8868+(1712.96+1070.52)/30+(Submetering!AF19+Submetering!AY19+Submetering!AV19+Submetering!AZ19)*1.1251+(2076.11+129.67+207.57+207.57)/30+(11680.53+56.61)/30)/I19</f>
        <v>1.2189458460183578</v>
      </c>
      <c r="K19" s="4">
        <f>Occupancy!H15</f>
        <v>8795.1959999999999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19"/>
  <sheetViews>
    <sheetView workbookViewId="0">
      <pane xSplit="2" ySplit="1" topLeftCell="AL2" activePane="bottomRight" state="frozen"/>
      <selection pane="topRight" activeCell="C1" sqref="C1"/>
      <selection pane="bottomLeft" activeCell="A2" sqref="A2"/>
      <selection pane="bottomRight" activeCell="BA2" sqref="BA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51" max="51" width="12.85546875" customWidth="1"/>
  </cols>
  <sheetData>
    <row r="1" spans="1:54" s="3" customFormat="1" ht="105" x14ac:dyDescent="0.25">
      <c r="A1" s="8" t="s">
        <v>0</v>
      </c>
      <c r="B1" s="8" t="s">
        <v>1</v>
      </c>
      <c r="C1" s="8" t="s">
        <v>2</v>
      </c>
      <c r="D1" s="8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41" t="s">
        <v>18</v>
      </c>
      <c r="L1" s="41" t="s">
        <v>19</v>
      </c>
      <c r="M1" s="41" t="s">
        <v>20</v>
      </c>
      <c r="N1" s="41" t="s">
        <v>21</v>
      </c>
      <c r="O1" s="41" t="s">
        <v>22</v>
      </c>
      <c r="P1" s="41" t="s">
        <v>23</v>
      </c>
      <c r="Q1" s="41" t="s">
        <v>24</v>
      </c>
      <c r="R1" s="41" t="s">
        <v>25</v>
      </c>
      <c r="S1" s="41" t="s">
        <v>26</v>
      </c>
      <c r="T1" s="41" t="s">
        <v>27</v>
      </c>
      <c r="U1" s="41" t="s">
        <v>28</v>
      </c>
      <c r="V1" s="41" t="s">
        <v>29</v>
      </c>
      <c r="W1" s="41" t="s">
        <v>30</v>
      </c>
      <c r="X1" s="41" t="s">
        <v>31</v>
      </c>
      <c r="Y1" s="41" t="s">
        <v>32</v>
      </c>
      <c r="Z1" s="41" t="s">
        <v>33</v>
      </c>
      <c r="AA1" s="41" t="s">
        <v>34</v>
      </c>
      <c r="AB1" s="41" t="s">
        <v>35</v>
      </c>
      <c r="AC1" s="41" t="s">
        <v>36</v>
      </c>
      <c r="AD1" s="41" t="s">
        <v>37</v>
      </c>
      <c r="AE1" s="41" t="s">
        <v>38</v>
      </c>
      <c r="AF1" s="43" t="s">
        <v>39</v>
      </c>
      <c r="AG1" s="43" t="s">
        <v>40</v>
      </c>
      <c r="AH1" s="43" t="s">
        <v>41</v>
      </c>
      <c r="AI1" s="43" t="s">
        <v>42</v>
      </c>
      <c r="AJ1" s="43" t="s">
        <v>43</v>
      </c>
      <c r="AK1" s="46" t="s">
        <v>44</v>
      </c>
      <c r="AL1" s="46" t="s">
        <v>45</v>
      </c>
      <c r="AM1" s="43" t="s">
        <v>46</v>
      </c>
      <c r="AN1" s="43" t="s">
        <v>47</v>
      </c>
      <c r="AO1" s="43" t="s">
        <v>48</v>
      </c>
      <c r="AP1" s="43" t="s">
        <v>49</v>
      </c>
      <c r="AQ1" s="43" t="s">
        <v>50</v>
      </c>
      <c r="AR1" s="43" t="s">
        <v>51</v>
      </c>
      <c r="AS1" s="43" t="s">
        <v>52</v>
      </c>
      <c r="AT1" s="43" t="s">
        <v>53</v>
      </c>
      <c r="AU1" s="46" t="s">
        <v>54</v>
      </c>
      <c r="AV1" s="43" t="s">
        <v>55</v>
      </c>
      <c r="AW1" s="43" t="s">
        <v>56</v>
      </c>
      <c r="AX1" s="43" t="s">
        <v>57</v>
      </c>
      <c r="AY1" s="43" t="s">
        <v>58</v>
      </c>
      <c r="AZ1" s="43" t="s">
        <v>59</v>
      </c>
      <c r="BA1" s="43" t="s">
        <v>60</v>
      </c>
      <c r="BB1" s="9"/>
    </row>
    <row r="2" spans="1:54" x14ac:dyDescent="0.25">
      <c r="A2" s="3" t="s">
        <v>11</v>
      </c>
      <c r="B2" s="2">
        <v>31</v>
      </c>
      <c r="C2" s="2">
        <v>1</v>
      </c>
      <c r="D2" s="2">
        <v>2018</v>
      </c>
      <c r="E2" s="42">
        <f>Elect!AW5</f>
        <v>3070</v>
      </c>
      <c r="F2" s="42">
        <f>Elect!I5</f>
        <v>196480</v>
      </c>
      <c r="G2" s="42">
        <f>Elect!H5</f>
        <v>2.1549999999999998</v>
      </c>
      <c r="H2" s="42">
        <f>Elect!E5</f>
        <v>190400</v>
      </c>
      <c r="I2" s="42">
        <f>Elect!D5</f>
        <v>2.0539999999999998</v>
      </c>
      <c r="J2" s="42">
        <f>Elect!Y5</f>
        <v>164400</v>
      </c>
      <c r="K2" s="42">
        <f>Elect!X5</f>
        <v>1.8480000000000001</v>
      </c>
      <c r="L2" s="42">
        <f>Elect!AS5</f>
        <v>9200</v>
      </c>
      <c r="M2" s="42">
        <f>Elect!AR5</f>
        <v>0.44800000000000001</v>
      </c>
      <c r="N2" s="42">
        <f>Elect!AC5</f>
        <v>145500</v>
      </c>
      <c r="O2" s="42">
        <f>Elect!AB5</f>
        <v>1.9450000000000001</v>
      </c>
      <c r="P2" s="42">
        <f>Elect!Q5</f>
        <v>58000</v>
      </c>
      <c r="Q2" s="42">
        <f>Elect!P5</f>
        <v>2.79</v>
      </c>
      <c r="R2" s="42">
        <f>Elect!M5</f>
        <v>58000</v>
      </c>
      <c r="S2" s="42">
        <f>Elect!L5</f>
        <v>2.92</v>
      </c>
      <c r="T2" s="42">
        <f>Elect!U5</f>
        <v>63200</v>
      </c>
      <c r="U2" s="42">
        <f>Elect!T5</f>
        <v>2.91</v>
      </c>
      <c r="V2" s="42">
        <f>Elect!AG5</f>
        <v>33440</v>
      </c>
      <c r="W2" s="42">
        <f>Elect!AF5</f>
        <v>5.23</v>
      </c>
      <c r="X2" s="42">
        <f>Elect!AK5</f>
        <v>20480</v>
      </c>
      <c r="Y2" s="42">
        <f>Elect!AJ5</f>
        <v>3.31</v>
      </c>
      <c r="Z2" s="42">
        <f>Elect!AO5</f>
        <v>229400</v>
      </c>
      <c r="AA2" s="42">
        <f>Elect!AN5</f>
        <v>2.1739999999999999</v>
      </c>
      <c r="AB2" s="42">
        <f>Elect!BJ5</f>
        <v>9200</v>
      </c>
      <c r="AC2" s="42">
        <f>Elect!BG5</f>
        <v>60200</v>
      </c>
      <c r="AD2" s="42">
        <f>Elect!BM5</f>
        <v>3843</v>
      </c>
      <c r="AE2" s="42">
        <f>Elect!BP5</f>
        <v>8080</v>
      </c>
      <c r="AF2" s="44">
        <f>('Wtr-Gas'!E5)*0.0038</f>
        <v>18347.844000000001</v>
      </c>
      <c r="AG2" s="44">
        <f>('Wtr-Gas'!H5)*0.0038</f>
        <v>1645.59</v>
      </c>
      <c r="AH2" s="44">
        <f>'Wtr-Gas'!K5*0.0038</f>
        <v>93.86</v>
      </c>
      <c r="AI2" s="44">
        <f>'Wtr-Gas'!N5*0.0038</f>
        <v>13262</v>
      </c>
      <c r="AJ2" s="44">
        <f>'Wtr-Gas'!Q5*0.0038</f>
        <v>167.2</v>
      </c>
      <c r="AK2" s="47">
        <f>'Wtr-Gas'!U5*0.0038</f>
        <v>3954.9639999999999</v>
      </c>
      <c r="AL2" s="47">
        <f>'Wtr-Gas'!X5*0.0038</f>
        <v>36692.913999999997</v>
      </c>
      <c r="AM2" s="44">
        <f>'Wtr-Gas'!AB5*0.0038</f>
        <v>1193.2</v>
      </c>
      <c r="AN2" s="44">
        <f>'Wtr-Gas'!AD5*0.0038</f>
        <v>30996.231400000001</v>
      </c>
      <c r="AO2" s="44">
        <f>'Wtr-Gas'!AF5*0.0038</f>
        <v>26.6</v>
      </c>
      <c r="AP2" s="44">
        <f>'Wtr-Gas'!AH5*0.0038</f>
        <v>1417.4</v>
      </c>
      <c r="AQ2" s="44">
        <f>'Wtr-Gas'!AJ5*0.0038</f>
        <v>179.52719999999999</v>
      </c>
      <c r="AR2" s="44">
        <f>'Wtr-Gas'!AL5*0.0038</f>
        <v>2405.4</v>
      </c>
      <c r="AS2" s="44">
        <f>'Wtr-Gas'!AN5*0.0038</f>
        <v>3.7999999999999999E-2</v>
      </c>
      <c r="AT2" s="44">
        <f>'Wtr-Gas'!AP5*0.0038</f>
        <v>8.74</v>
      </c>
      <c r="AU2" s="47">
        <f>'Wtr-Gas'!AT5*0.0038</f>
        <v>1.7746</v>
      </c>
      <c r="AV2" s="44">
        <f>'Wtr-Gas'!AW5*0.0038</f>
        <v>1043.5332000000001</v>
      </c>
      <c r="AW2" s="45">
        <f>'Wtr-Gas'!AY5*0.0038</f>
        <v>55.555999999999997</v>
      </c>
      <c r="AX2" s="44">
        <f>'Wtr-Gas'!AZ5*0.0038</f>
        <v>987.97720000000004</v>
      </c>
      <c r="AY2" s="44">
        <f>'Wtr-Gas'!BB5*0.0038</f>
        <v>58.9</v>
      </c>
      <c r="AZ2" s="44">
        <f>'Wtr-Gas'!BD5*0.0038</f>
        <v>40.659999999999997</v>
      </c>
      <c r="BA2" s="44">
        <f>'Wtr-Gas'!BF5*0.0038</f>
        <v>78.257199999999997</v>
      </c>
    </row>
    <row r="3" spans="1:54" x14ac:dyDescent="0.25">
      <c r="A3" s="3" t="s">
        <v>11</v>
      </c>
      <c r="B3" s="2">
        <v>28</v>
      </c>
      <c r="C3" s="2">
        <v>2</v>
      </c>
      <c r="D3" s="2">
        <v>2018</v>
      </c>
      <c r="E3" s="42">
        <f>Elect!AW6</f>
        <v>2740</v>
      </c>
      <c r="F3" s="42">
        <f>Elect!I6</f>
        <v>180160</v>
      </c>
      <c r="G3" s="42">
        <f>Elect!H6</f>
        <v>2.1179999999999999</v>
      </c>
      <c r="H3" s="42">
        <f>Elect!E6</f>
        <v>174720</v>
      </c>
      <c r="I3" s="42">
        <f>Elect!D6</f>
        <v>1.9810000000000001</v>
      </c>
      <c r="J3" s="42">
        <f>Elect!Y6</f>
        <v>190200</v>
      </c>
      <c r="K3" s="42">
        <f>Elect!X6</f>
        <v>2.238</v>
      </c>
      <c r="L3" s="42">
        <f>Elect!AS6</f>
        <v>8480</v>
      </c>
      <c r="M3" s="42">
        <f>Elect!AR6</f>
        <v>0.42</v>
      </c>
      <c r="N3" s="42">
        <f>Elect!AC6</f>
        <v>204000</v>
      </c>
      <c r="O3" s="42">
        <f>Elect!AB6</f>
        <v>1.889</v>
      </c>
      <c r="P3" s="42">
        <f>Elect!Q6</f>
        <v>48000</v>
      </c>
      <c r="Q3" s="42">
        <f>Elect!P6</f>
        <v>2.25</v>
      </c>
      <c r="R3" s="42">
        <f>Elect!M6</f>
        <v>47600</v>
      </c>
      <c r="S3" s="42">
        <f>Elect!L6</f>
        <v>2.4900000000000002</v>
      </c>
      <c r="T3" s="42">
        <f>Elect!U6</f>
        <v>50800</v>
      </c>
      <c r="U3" s="42">
        <f>Elect!T6</f>
        <v>2.58</v>
      </c>
      <c r="V3" s="42">
        <f>Elect!AG6</f>
        <v>31520</v>
      </c>
      <c r="W3" s="42">
        <f>Elect!AF6</f>
        <v>4.37</v>
      </c>
      <c r="X3" s="42">
        <f>Elect!AK6</f>
        <v>19840</v>
      </c>
      <c r="Y3" s="42">
        <f>Elect!AJ6</f>
        <v>3.53</v>
      </c>
      <c r="Z3" s="42">
        <f>Elect!AO6</f>
        <v>221800</v>
      </c>
      <c r="AA3" s="42">
        <f>Elect!AN6</f>
        <v>2.222</v>
      </c>
      <c r="AB3" s="42">
        <f>Elect!BJ6</f>
        <v>7800</v>
      </c>
      <c r="AC3" s="42">
        <f>Elect!BG6</f>
        <v>61300</v>
      </c>
      <c r="AD3" s="42">
        <f>Elect!BM6</f>
        <v>3169</v>
      </c>
      <c r="AE3" s="42">
        <f>Elect!BP6</f>
        <v>14320</v>
      </c>
      <c r="AF3" s="44">
        <f>('Wtr-Gas'!E6)*0.0038</f>
        <v>18519.718000000001</v>
      </c>
      <c r="AG3" s="44">
        <f>('Wtr-Gas'!H6)*0.0038</f>
        <v>1462.5060000000001</v>
      </c>
      <c r="AH3" s="44">
        <f>'Wtr-Gas'!K6*0.0038</f>
        <v>63.08</v>
      </c>
      <c r="AI3" s="44">
        <f>'Wtr-Gas'!N6*0.0038</f>
        <v>13607.8</v>
      </c>
      <c r="AJ3" s="44">
        <f>'Wtr-Gas'!Q6*0.0038</f>
        <v>167.2</v>
      </c>
      <c r="AK3" s="47">
        <f>'Wtr-Gas'!U6*0.0038</f>
        <v>3161.1819999999998</v>
      </c>
      <c r="AL3" s="47">
        <f>'Wtr-Gas'!X6*0.0038</f>
        <v>17297.486000000001</v>
      </c>
      <c r="AM3" s="44">
        <f>'Wtr-Gas'!AB6*0.0038</f>
        <v>1193.2</v>
      </c>
      <c r="AN3" s="44">
        <f>'Wtr-Gas'!AD6*0.0038</f>
        <v>58473.731200000002</v>
      </c>
      <c r="AO3" s="44">
        <f>'Wtr-Gas'!AF6*0.0038</f>
        <v>26.6</v>
      </c>
      <c r="AP3" s="44">
        <f>'Wtr-Gas'!AH6*0.0038</f>
        <v>194974.2</v>
      </c>
      <c r="AQ3" s="44">
        <f>'Wtr-Gas'!AJ6*0.0038</f>
        <v>142.81540000000001</v>
      </c>
      <c r="AR3" s="44">
        <f>'Wtr-Gas'!AL6*0.0038</f>
        <v>2287.6</v>
      </c>
      <c r="AS3" s="44">
        <f>'Wtr-Gas'!AN6*0.0038</f>
        <v>0.79800000000000004</v>
      </c>
      <c r="AT3" s="44">
        <f>'Wtr-Gas'!AP6*0.0038</f>
        <v>5.9279999999999999</v>
      </c>
      <c r="AU3" s="47">
        <f>'Wtr-Gas'!AT6*0.0038</f>
        <v>2.7473999999999998</v>
      </c>
      <c r="AV3" s="44">
        <f>'Wtr-Gas'!AW6*0.0038</f>
        <v>876.94500000000005</v>
      </c>
      <c r="AW3" s="45">
        <f>'Wtr-Gas'!AY6*0.0038</f>
        <v>28.765999999999998</v>
      </c>
      <c r="AX3" s="44">
        <f>'Wtr-Gas'!AZ6*0.0038</f>
        <v>848.17899999999997</v>
      </c>
      <c r="AY3" s="44">
        <f>'Wtr-Gas'!BB6*0.0038</f>
        <v>73.34</v>
      </c>
      <c r="AZ3" s="44">
        <f>'Wtr-Gas'!BD6*0.0038</f>
        <v>43.7</v>
      </c>
      <c r="BA3" s="44">
        <f>'Wtr-Gas'!BF6*0.0038</f>
        <v>2035.7436</v>
      </c>
    </row>
    <row r="4" spans="1:54" x14ac:dyDescent="0.25">
      <c r="A4" s="3" t="s">
        <v>11</v>
      </c>
      <c r="B4" s="2">
        <v>1</v>
      </c>
      <c r="C4" s="2">
        <v>4</v>
      </c>
      <c r="D4" s="2">
        <v>2018</v>
      </c>
      <c r="E4" s="42">
        <f>Elect!AW7</f>
        <v>2953</v>
      </c>
      <c r="F4" s="42">
        <f>Elect!I7</f>
        <v>210560</v>
      </c>
      <c r="G4" s="42">
        <f>Elect!H7</f>
        <v>2.3180000000000001</v>
      </c>
      <c r="H4" s="42">
        <f>Elect!E7</f>
        <v>200160</v>
      </c>
      <c r="I4" s="42">
        <f>Elect!D7</f>
        <v>2.0430000000000001</v>
      </c>
      <c r="J4" s="42">
        <f>Elect!Y7</f>
        <v>209100</v>
      </c>
      <c r="K4" s="42">
        <f>Elect!X7</f>
        <v>1.9830000000000001</v>
      </c>
      <c r="L4" s="42">
        <f>Elect!AS7</f>
        <v>9480</v>
      </c>
      <c r="M4" s="42">
        <f>Elect!AR7</f>
        <v>0.437</v>
      </c>
      <c r="N4" s="42">
        <f>Elect!AC7</f>
        <v>156600</v>
      </c>
      <c r="O4" s="42">
        <f>Elect!AB7</f>
        <v>1.552</v>
      </c>
      <c r="P4" s="42">
        <f>Elect!Q7</f>
        <v>56400</v>
      </c>
      <c r="Q4" s="42">
        <f>Elect!P7</f>
        <v>2.54</v>
      </c>
      <c r="R4" s="42">
        <f>Elect!M7</f>
        <v>56400</v>
      </c>
      <c r="S4" s="42">
        <f>Elect!L7</f>
        <v>2.61</v>
      </c>
      <c r="T4" s="42">
        <f>Elect!U7</f>
        <v>61200</v>
      </c>
      <c r="U4" s="42">
        <f>Elect!T7</f>
        <v>2.76</v>
      </c>
      <c r="V4" s="42">
        <f>Elect!AG7</f>
        <v>33600</v>
      </c>
      <c r="W4" s="42">
        <f>Elect!AF7</f>
        <v>3.8</v>
      </c>
      <c r="X4" s="42">
        <f>Elect!AK7</f>
        <v>19840</v>
      </c>
      <c r="Y4" s="42">
        <f>Elect!AJ7</f>
        <v>2.44</v>
      </c>
      <c r="Z4" s="42">
        <f>Elect!AO7</f>
        <v>252000</v>
      </c>
      <c r="AA4" s="42">
        <f>Elect!AN7</f>
        <v>2.3010000000000002</v>
      </c>
      <c r="AB4" s="42">
        <f>Elect!BJ7</f>
        <v>8600</v>
      </c>
      <c r="AC4" s="42">
        <f>Elect!BG7</f>
        <v>64900</v>
      </c>
      <c r="AD4" s="42">
        <f>Elect!BM7</f>
        <v>3844</v>
      </c>
      <c r="AE4" s="42">
        <f>Elect!BP7</f>
        <v>19360</v>
      </c>
      <c r="AF4" s="44">
        <f>('Wtr-Gas'!E7)*0.0038</f>
        <v>21941.96</v>
      </c>
      <c r="AG4" s="44">
        <f>('Wtr-Gas'!H7)*0.0038</f>
        <v>4941.6719999999996</v>
      </c>
      <c r="AH4" s="44">
        <f>'Wtr-Gas'!K7*0.0038</f>
        <v>71.06</v>
      </c>
      <c r="AI4" s="44">
        <f>'Wtr-Gas'!N7*0.0038</f>
        <v>16362.8</v>
      </c>
      <c r="AJ4" s="44">
        <f>'Wtr-Gas'!Q7*0.0038</f>
        <v>462.84</v>
      </c>
      <c r="AK4" s="47">
        <f>'Wtr-Gas'!U7*0.0038</f>
        <v>3541.1819999999998</v>
      </c>
      <c r="AL4" s="47">
        <f>'Wtr-Gas'!X7*0.0038</f>
        <v>26087</v>
      </c>
      <c r="AM4" s="44">
        <f>'Wtr-Gas'!AB7*0.0038</f>
        <v>1820.2</v>
      </c>
      <c r="AN4" s="44">
        <f>'Wtr-Gas'!AD7*0.0038</f>
        <v>48358.249000000003</v>
      </c>
      <c r="AO4" s="44">
        <f>'Wtr-Gas'!AF7*0.0038</f>
        <v>1227.4000000000001</v>
      </c>
      <c r="AP4" s="44">
        <f>'Wtr-Gas'!AH7*0.0038</f>
        <v>19494</v>
      </c>
      <c r="AQ4" s="44">
        <f>'Wtr-Gas'!AJ7*0.0038</f>
        <v>151.70359999999999</v>
      </c>
      <c r="AR4" s="44">
        <f>'Wtr-Gas'!AL7*0.0038</f>
        <v>2641</v>
      </c>
      <c r="AS4" s="44">
        <f>'Wtr-Gas'!AN7*0.0038</f>
        <v>2.242</v>
      </c>
      <c r="AT4" s="44">
        <f>'Wtr-Gas'!AP7*0.0038</f>
        <v>13.337999999999999</v>
      </c>
      <c r="AU4" s="47">
        <f>'Wtr-Gas'!AT7*0.0038</f>
        <v>1.8772</v>
      </c>
      <c r="AV4" s="44">
        <f>'Wtr-Gas'!AW7*0.0038</f>
        <v>1034.3524</v>
      </c>
      <c r="AW4" s="45">
        <f>'Wtr-Gas'!AY7*0.0038</f>
        <v>58.823999999999998</v>
      </c>
      <c r="AX4" s="44">
        <f>'Wtr-Gas'!AZ7*0.0038</f>
        <v>975.52840000000003</v>
      </c>
      <c r="AY4" s="44">
        <f>'Wtr-Gas'!BB7*0.0038</f>
        <v>71.819999999999993</v>
      </c>
      <c r="AZ4" s="44">
        <f>'Wtr-Gas'!BD7*0.0038</f>
        <v>68.78</v>
      </c>
      <c r="BA4" s="44">
        <f>'Wtr-Gas'!BF7*0.0038</f>
        <v>9082.3572000000004</v>
      </c>
    </row>
    <row r="5" spans="1:54" x14ac:dyDescent="0.25">
      <c r="A5" s="3" t="s">
        <v>11</v>
      </c>
      <c r="B5" s="2">
        <v>1</v>
      </c>
      <c r="C5" s="2">
        <v>5</v>
      </c>
      <c r="D5" s="2">
        <v>2018</v>
      </c>
      <c r="E5" s="42">
        <f>Elect!AW8</f>
        <v>2550</v>
      </c>
      <c r="F5" s="42">
        <f>Elect!I8</f>
        <v>194240</v>
      </c>
      <c r="G5" s="42">
        <f>Elect!H8</f>
        <v>2.226</v>
      </c>
      <c r="H5" s="42">
        <f>Elect!E8</f>
        <v>190720</v>
      </c>
      <c r="I5" s="42">
        <f>Elect!D8</f>
        <v>2.0329999999999999</v>
      </c>
      <c r="J5" s="42">
        <f>Elect!Y8</f>
        <v>233400</v>
      </c>
      <c r="K5" s="42">
        <f>Elect!X8</f>
        <v>2.214</v>
      </c>
      <c r="L5" s="42">
        <f>Elect!AS8</f>
        <v>8280</v>
      </c>
      <c r="M5" s="42">
        <f>Elect!AR8</f>
        <v>0.39</v>
      </c>
      <c r="N5" s="42">
        <f>Elect!AC8</f>
        <v>228600</v>
      </c>
      <c r="O5" s="42">
        <f>Elect!AB8</f>
        <v>1.9570000000000001</v>
      </c>
      <c r="P5" s="42">
        <f>Elect!Q8</f>
        <v>49600</v>
      </c>
      <c r="Q5" s="42">
        <f>Elect!P8</f>
        <v>2.25</v>
      </c>
      <c r="R5" s="42">
        <f>Elect!M8</f>
        <v>51600</v>
      </c>
      <c r="S5" s="42">
        <f>Elect!L8</f>
        <v>2.4300000000000002</v>
      </c>
      <c r="T5" s="42">
        <f>Elect!U8</f>
        <v>55600</v>
      </c>
      <c r="U5" s="42">
        <f>Elect!T8</f>
        <v>2.65</v>
      </c>
      <c r="V5" s="42">
        <f>Elect!AG8</f>
        <v>31520</v>
      </c>
      <c r="W5" s="42">
        <f>Elect!AF8</f>
        <v>4.1100000000000003</v>
      </c>
      <c r="X5" s="42">
        <f>Elect!AK8</f>
        <v>20960</v>
      </c>
      <c r="Y5" s="42">
        <f>Elect!AJ8</f>
        <v>3.54</v>
      </c>
      <c r="Z5" s="42">
        <f>Elect!AO8</f>
        <v>211200</v>
      </c>
      <c r="AA5" s="42">
        <f>Elect!AN8</f>
        <v>2.109</v>
      </c>
      <c r="AB5" s="42">
        <f>Elect!BJ8</f>
        <v>0</v>
      </c>
      <c r="AC5" s="42">
        <f>Elect!BG8</f>
        <v>0</v>
      </c>
      <c r="AD5" s="42">
        <f>Elect!BM8</f>
        <v>0</v>
      </c>
      <c r="AE5" s="42">
        <f>Elect!BP8</f>
        <v>0</v>
      </c>
      <c r="AF5" s="44">
        <f>('Wtr-Gas'!E8)*0.0038</f>
        <v>22782.596000000001</v>
      </c>
      <c r="AG5" s="44">
        <f>('Wtr-Gas'!H8)*0.0038</f>
        <v>2506.2139999999999</v>
      </c>
      <c r="AH5" s="44">
        <f>'Wtr-Gas'!K8*0.0038</f>
        <v>53.58</v>
      </c>
      <c r="AI5" s="44">
        <f>'Wtr-Gas'!N8*0.0038</f>
        <v>15735.8</v>
      </c>
      <c r="AJ5" s="44">
        <f>'Wtr-Gas'!Q8*0.0038</f>
        <v>443.08</v>
      </c>
      <c r="AK5" s="47">
        <f>'Wtr-Gas'!U8*0.0038</f>
        <v>3665.9740000000002</v>
      </c>
      <c r="AL5" s="47">
        <f>'Wtr-Gas'!X8*0.0038</f>
        <v>14547.16</v>
      </c>
      <c r="AM5" s="44">
        <f>'Wtr-Gas'!AB8*0.0038</f>
        <v>2333.1999999999998</v>
      </c>
      <c r="AN5" s="44">
        <f>'Wtr-Gas'!AD8*0.0038</f>
        <v>66531.935199999993</v>
      </c>
      <c r="AO5" s="44">
        <f>'Wtr-Gas'!AF8*0.0038</f>
        <v>748.6</v>
      </c>
      <c r="AP5" s="44">
        <f>'Wtr-Gas'!AH8*0.0038</f>
        <v>18148.8</v>
      </c>
      <c r="AQ5" s="44">
        <f>'Wtr-Gas'!AJ8*0.0038</f>
        <v>133.09880000000001</v>
      </c>
      <c r="AR5" s="44">
        <f>'Wtr-Gas'!AL8*0.0038</f>
        <v>2135.6</v>
      </c>
      <c r="AS5" s="44">
        <f>'Wtr-Gas'!AN8*0.0038</f>
        <v>2.2040000000000002</v>
      </c>
      <c r="AT5" s="44">
        <f>'Wtr-Gas'!AP8*0.0038</f>
        <v>5.1680000000000001</v>
      </c>
      <c r="AU5" s="47">
        <f>'Wtr-Gas'!AT8*0.0038</f>
        <v>2.2458</v>
      </c>
      <c r="AV5" s="44">
        <f>'Wtr-Gas'!AW8*0.0038</f>
        <v>673.89200000000005</v>
      </c>
      <c r="AW5" s="45">
        <f>'Wtr-Gas'!AY8*0.0038</f>
        <v>0</v>
      </c>
      <c r="AX5" s="44">
        <f>'Wtr-Gas'!AZ8*0.0038</f>
        <v>673.89200000000005</v>
      </c>
      <c r="AY5" s="44">
        <f>'Wtr-Gas'!BB8*0.0038</f>
        <v>0</v>
      </c>
      <c r="AZ5" s="44">
        <f>'Wtr-Gas'!BD8*0.0038</f>
        <v>65.36</v>
      </c>
      <c r="BA5" s="44">
        <f>'Wtr-Gas'!BF8*0.0038</f>
        <v>2650.0592000000001</v>
      </c>
    </row>
    <row r="6" spans="1:54" x14ac:dyDescent="0.25">
      <c r="A6" s="3" t="s">
        <v>11</v>
      </c>
      <c r="B6" s="2">
        <v>4</v>
      </c>
      <c r="C6" s="2">
        <v>6</v>
      </c>
      <c r="D6" s="2">
        <v>2018</v>
      </c>
      <c r="E6" s="42">
        <f>Elect!AW9</f>
        <v>2764</v>
      </c>
      <c r="F6" s="42">
        <f>Elect!I9</f>
        <v>218080</v>
      </c>
      <c r="G6" s="42">
        <f>Elect!H9</f>
        <v>2.19</v>
      </c>
      <c r="H6" s="42">
        <f>Elect!E9</f>
        <v>214560</v>
      </c>
      <c r="I6" s="42">
        <f>Elect!D9</f>
        <v>2.0609999999999999</v>
      </c>
      <c r="J6" s="42">
        <f>Elect!Y9</f>
        <v>327900</v>
      </c>
      <c r="K6" s="42">
        <f>Elect!X9</f>
        <v>2.8330000000000002</v>
      </c>
      <c r="L6" s="42">
        <f>Elect!AS9</f>
        <v>9480</v>
      </c>
      <c r="M6" s="42">
        <f>Elect!AR9</f>
        <v>0.40799999999999997</v>
      </c>
      <c r="N6" s="42">
        <f>Elect!AC9</f>
        <v>306900</v>
      </c>
      <c r="O6" s="42">
        <f>Elect!AB9</f>
        <v>2.2570000000000001</v>
      </c>
      <c r="P6" s="42">
        <f>Elect!Q9</f>
        <v>59200</v>
      </c>
      <c r="Q6" s="42">
        <f>Elect!P9</f>
        <v>2.5</v>
      </c>
      <c r="R6" s="42">
        <f>Elect!M9</f>
        <v>60800</v>
      </c>
      <c r="S6" s="42">
        <f>Elect!L9</f>
        <v>2.86</v>
      </c>
      <c r="T6" s="42">
        <f>Elect!U9</f>
        <v>66400</v>
      </c>
      <c r="U6" s="42">
        <f>Elect!T9</f>
        <v>2.77</v>
      </c>
      <c r="V6" s="42">
        <f>Elect!AG9</f>
        <v>39840</v>
      </c>
      <c r="W6" s="42">
        <f>Elect!AF9</f>
        <v>8.67</v>
      </c>
      <c r="X6" s="42">
        <f>Elect!AK9</f>
        <v>23360</v>
      </c>
      <c r="Y6" s="42">
        <f>Elect!AJ9</f>
        <v>3.26</v>
      </c>
      <c r="Z6" s="42">
        <f>Elect!AO9</f>
        <v>243400</v>
      </c>
      <c r="AA6" s="42">
        <f>Elect!AN9</f>
        <v>2.2440000000000002</v>
      </c>
      <c r="AB6" s="42">
        <f>Elect!BJ9</f>
        <v>0</v>
      </c>
      <c r="AC6" s="42">
        <f>Elect!BG9</f>
        <v>0</v>
      </c>
      <c r="AD6" s="42">
        <f>Elect!BM9</f>
        <v>0</v>
      </c>
      <c r="AE6" s="42">
        <f>Elect!BP9</f>
        <v>0</v>
      </c>
      <c r="AF6" s="44">
        <f>('Wtr-Gas'!E9)*0.0038</f>
        <v>22633.142</v>
      </c>
      <c r="AG6" s="44">
        <f>('Wtr-Gas'!H9)*0.0038</f>
        <v>2556.2979999999998</v>
      </c>
      <c r="AH6" s="44">
        <f>'Wtr-Gas'!K9*0.0038</f>
        <v>62.7</v>
      </c>
      <c r="AI6" s="44">
        <f>'Wtr-Gas'!N9*0.0038</f>
        <v>18316</v>
      </c>
      <c r="AJ6" s="44">
        <f>'Wtr-Gas'!Q9*0.0038</f>
        <v>186.2</v>
      </c>
      <c r="AK6" s="47">
        <f>'Wtr-Gas'!U9*0.0038</f>
        <v>3815.998</v>
      </c>
      <c r="AL6" s="47">
        <f>'Wtr-Gas'!X9*0.0038</f>
        <v>10658.544</v>
      </c>
      <c r="AM6" s="44">
        <f>'Wtr-Gas'!AB9*0.0038</f>
        <v>2040.6</v>
      </c>
      <c r="AN6" s="44">
        <f>'Wtr-Gas'!AD9*0.0038</f>
        <v>101274.446</v>
      </c>
      <c r="AO6" s="44">
        <f>'Wtr-Gas'!AF9*0.0038</f>
        <v>851.2</v>
      </c>
      <c r="AP6" s="44">
        <f>'Wtr-Gas'!AH9*0.0038</f>
        <v>13721.8</v>
      </c>
      <c r="AQ6" s="44">
        <f>'Wtr-Gas'!AJ9*0.0038</f>
        <v>86.947800000000001</v>
      </c>
      <c r="AR6" s="44">
        <f>'Wtr-Gas'!AL9*0.0038</f>
        <v>988</v>
      </c>
      <c r="AS6" s="44">
        <f>'Wtr-Gas'!AN9*0.0038</f>
        <v>2.1659999999999999</v>
      </c>
      <c r="AT6" s="44">
        <f>'Wtr-Gas'!AP9*0.0038</f>
        <v>11.552</v>
      </c>
      <c r="AU6" s="47">
        <f>'Wtr-Gas'!AT9*0.0038</f>
        <v>2.8424</v>
      </c>
      <c r="AV6" s="44">
        <f>'Wtr-Gas'!AW9*0.0038</f>
        <v>1151.4000000000001</v>
      </c>
      <c r="AW6" s="45">
        <f>'Wtr-Gas'!AY9*0.0038</f>
        <v>0</v>
      </c>
      <c r="AX6" s="44">
        <f>'Wtr-Gas'!AZ9*0.0038</f>
        <v>1151.4000000000001</v>
      </c>
      <c r="AY6" s="44">
        <f>'Wtr-Gas'!BB9*0.0038</f>
        <v>0</v>
      </c>
      <c r="AZ6" s="44">
        <f>'Wtr-Gas'!BD9*0.0038</f>
        <v>53.2</v>
      </c>
      <c r="BA6" s="44">
        <f>'Wtr-Gas'!BF9*0.0038</f>
        <v>4160.62</v>
      </c>
    </row>
    <row r="7" spans="1:54" x14ac:dyDescent="0.25">
      <c r="A7" s="3" t="s">
        <v>11</v>
      </c>
      <c r="B7" s="2">
        <v>30</v>
      </c>
      <c r="C7" s="2">
        <v>6</v>
      </c>
      <c r="D7" s="2">
        <v>2018</v>
      </c>
      <c r="E7" s="42">
        <f>Elect!AW10</f>
        <v>2160</v>
      </c>
      <c r="F7" s="42">
        <f>Elect!I10</f>
        <v>178240</v>
      </c>
      <c r="G7" s="42">
        <f>Elect!H10</f>
        <v>2.3090000000000002</v>
      </c>
      <c r="H7" s="42">
        <f>Elect!E10</f>
        <v>174080</v>
      </c>
      <c r="I7" s="42">
        <f>Elect!D10</f>
        <v>2.0019999999999998</v>
      </c>
      <c r="J7" s="42">
        <f>Elect!Y10</f>
        <v>324600</v>
      </c>
      <c r="K7" s="42">
        <f>Elect!X10</f>
        <v>2.6619999999999999</v>
      </c>
      <c r="L7" s="42">
        <f>Elect!AS10</f>
        <v>7720</v>
      </c>
      <c r="M7" s="42">
        <f>Elect!AR10</f>
        <v>0.42299999999999999</v>
      </c>
      <c r="N7" s="42">
        <f>Elect!AC10</f>
        <v>303000</v>
      </c>
      <c r="O7" s="42">
        <f>Elect!AB10</f>
        <v>2.1709999999999998</v>
      </c>
      <c r="P7" s="42">
        <f>Elect!Q10</f>
        <v>52000</v>
      </c>
      <c r="Q7" s="42">
        <f>Elect!P10</f>
        <v>2.54</v>
      </c>
      <c r="R7" s="42">
        <f>Elect!M10</f>
        <v>52800</v>
      </c>
      <c r="S7" s="42">
        <f>Elect!L10</f>
        <v>2.79</v>
      </c>
      <c r="T7" s="42">
        <f>Elect!U10</f>
        <v>51600</v>
      </c>
      <c r="U7" s="42">
        <f>Elect!T10</f>
        <v>2.9</v>
      </c>
      <c r="V7" s="42">
        <f>Elect!AG10</f>
        <v>29760</v>
      </c>
      <c r="W7" s="42">
        <f>Elect!AF10</f>
        <v>4.9800000000000004</v>
      </c>
      <c r="X7" s="42">
        <f>Elect!AK10</f>
        <v>18080</v>
      </c>
      <c r="Y7" s="42">
        <f>Elect!AJ10</f>
        <v>3.78</v>
      </c>
      <c r="Z7" s="42">
        <f>Elect!AO10</f>
        <v>227800</v>
      </c>
      <c r="AA7" s="42">
        <f>Elect!AN10</f>
        <v>2.3479999999999999</v>
      </c>
      <c r="AB7" s="42">
        <f>Elect!BJ10</f>
        <v>27500</v>
      </c>
      <c r="AC7" s="42">
        <f>Elect!BG10</f>
        <v>227900</v>
      </c>
      <c r="AD7" s="42">
        <f>Elect!BM10</f>
        <v>89184</v>
      </c>
      <c r="AE7" s="42">
        <f>Elect!BP10</f>
        <v>43560</v>
      </c>
      <c r="AF7" s="44">
        <f>('Wtr-Gas'!E10)*0.0038</f>
        <v>21164.48</v>
      </c>
      <c r="AG7" s="44">
        <f>('Wtr-Gas'!H10)*0.0038</f>
        <v>2265.2179999999998</v>
      </c>
      <c r="AH7" s="44">
        <f>'Wtr-Gas'!K10*0.0038</f>
        <v>29.26</v>
      </c>
      <c r="AI7" s="44">
        <f>'Wtr-Gas'!N10*0.0038</f>
        <v>16590.8</v>
      </c>
      <c r="AJ7" s="44">
        <f>'Wtr-Gas'!Q10*0.0038</f>
        <v>1.52</v>
      </c>
      <c r="AK7" s="47">
        <f>'Wtr-Gas'!U10*0.0038</f>
        <v>3281.9079999999999</v>
      </c>
      <c r="AL7" s="47">
        <f>'Wtr-Gas'!X10*0.0038</f>
        <v>3412.096</v>
      </c>
      <c r="AM7" s="44">
        <f>'Wtr-Gas'!AB10*0.0038</f>
        <v>2029.2</v>
      </c>
      <c r="AN7" s="44">
        <f>'Wtr-Gas'!AD10*0.0038</f>
        <v>102934.54059999999</v>
      </c>
      <c r="AO7" s="44">
        <f>'Wtr-Gas'!AF10*0.0038</f>
        <v>684</v>
      </c>
      <c r="AP7" s="44">
        <f>'Wtr-Gas'!AH10*0.0038</f>
        <v>9754.6</v>
      </c>
      <c r="AQ7" s="44">
        <f>'Wtr-Gas'!AJ10*0.0038</f>
        <v>73.131</v>
      </c>
      <c r="AR7" s="44">
        <f>'Wtr-Gas'!AL10*0.0038</f>
        <v>946.2</v>
      </c>
      <c r="AS7" s="44">
        <f>'Wtr-Gas'!AN10*0.0038</f>
        <v>1.3680000000000001</v>
      </c>
      <c r="AT7" s="44">
        <f>'Wtr-Gas'!AP10*0.0038</f>
        <v>8.36</v>
      </c>
      <c r="AU7" s="47">
        <f>'Wtr-Gas'!AT10*0.0038</f>
        <v>1.786</v>
      </c>
      <c r="AV7" s="44">
        <f>'Wtr-Gas'!AW10*0.0038</f>
        <v>862.6</v>
      </c>
      <c r="AW7" s="45">
        <f>'Wtr-Gas'!AY10*0.0038</f>
        <v>96.102000000000004</v>
      </c>
      <c r="AX7" s="44">
        <f>'Wtr-Gas'!AZ10*0.0038</f>
        <v>766.49800000000005</v>
      </c>
      <c r="AY7" s="44">
        <f>'Wtr-Gas'!BB10*0.0038</f>
        <v>215.84</v>
      </c>
      <c r="AZ7" s="44">
        <f>'Wtr-Gas'!BD10*0.0038</f>
        <v>11.4</v>
      </c>
      <c r="BA7" s="44">
        <f>'Wtr-Gas'!BF10*0.0038</f>
        <v>2873.5068000000001</v>
      </c>
    </row>
    <row r="8" spans="1:54" x14ac:dyDescent="0.25">
      <c r="A8" s="3" t="s">
        <v>11</v>
      </c>
      <c r="B8" s="2">
        <v>31</v>
      </c>
      <c r="C8" s="2">
        <v>7</v>
      </c>
      <c r="D8" s="2">
        <v>2018</v>
      </c>
      <c r="E8" s="42">
        <f>Elect!AW11</f>
        <v>2245</v>
      </c>
      <c r="F8" s="42">
        <f>Elect!I11</f>
        <v>182560</v>
      </c>
      <c r="G8" s="42">
        <f>Elect!H11</f>
        <v>2.1120000000000001</v>
      </c>
      <c r="H8" s="42">
        <f>Elect!E11</f>
        <v>179200</v>
      </c>
      <c r="I8" s="42">
        <f>Elect!D11</f>
        <v>1.8979999999999999</v>
      </c>
      <c r="J8" s="42">
        <f>Elect!Y11</f>
        <v>334800</v>
      </c>
      <c r="K8" s="42">
        <f>Elect!X11</f>
        <v>2.512</v>
      </c>
      <c r="L8" s="42">
        <f>Elect!AS11</f>
        <v>8280</v>
      </c>
      <c r="M8" s="42">
        <f>Elect!AR11</f>
        <v>0.40899999999999997</v>
      </c>
      <c r="N8" s="42">
        <f>Elect!AC11</f>
        <v>315300</v>
      </c>
      <c r="O8" s="42">
        <f>Elect!AB11</f>
        <v>2.073</v>
      </c>
      <c r="P8" s="42">
        <f>Elect!Q11</f>
        <v>54000</v>
      </c>
      <c r="Q8" s="42">
        <f>Elect!P11</f>
        <v>2.5</v>
      </c>
      <c r="R8" s="42">
        <f>Elect!M11</f>
        <v>53200</v>
      </c>
      <c r="S8" s="42">
        <f>Elect!L11</f>
        <v>2.56</v>
      </c>
      <c r="T8" s="42">
        <f>Elect!U11</f>
        <v>56400</v>
      </c>
      <c r="U8" s="42">
        <f>Elect!T11</f>
        <v>2.5499999999999998</v>
      </c>
      <c r="V8" s="42">
        <f>Elect!AG11</f>
        <v>28800</v>
      </c>
      <c r="W8" s="42">
        <f>Elect!AF11</f>
        <v>3.69</v>
      </c>
      <c r="X8" s="42">
        <f>Elect!AK11</f>
        <v>16800</v>
      </c>
      <c r="Y8" s="42">
        <f>Elect!AJ11</f>
        <v>2.91</v>
      </c>
      <c r="Z8" s="42">
        <f>Elect!AO11</f>
        <v>236800</v>
      </c>
      <c r="AA8" s="42">
        <f>Elect!AN11</f>
        <v>2.3090000000000002</v>
      </c>
      <c r="AB8" s="42">
        <f>Elect!BJ11</f>
        <v>27500</v>
      </c>
      <c r="AC8" s="42">
        <f>Elect!BG11</f>
        <v>227900</v>
      </c>
      <c r="AD8" s="42">
        <f>Elect!BM11</f>
        <v>89184</v>
      </c>
      <c r="AE8" s="42">
        <f>Elect!BP11</f>
        <v>43650</v>
      </c>
      <c r="AF8" s="44">
        <f>('Wtr-Gas'!E11)*0.0038</f>
        <v>21069.745999999999</v>
      </c>
      <c r="AG8" s="44">
        <f>('Wtr-Gas'!H11)*0.0038</f>
        <v>1902.7360000000001</v>
      </c>
      <c r="AH8" s="44">
        <f>'Wtr-Gas'!K11*0.0038</f>
        <v>33.44</v>
      </c>
      <c r="AI8" s="44">
        <f>'Wtr-Gas'!N11*0.0038</f>
        <v>17730.8</v>
      </c>
      <c r="AJ8" s="44">
        <f>'Wtr-Gas'!Q11*0.0038</f>
        <v>0</v>
      </c>
      <c r="AK8" s="47">
        <f>'Wtr-Gas'!U11*0.0038</f>
        <v>3281.9079999999999</v>
      </c>
      <c r="AL8" s="47">
        <f>'Wtr-Gas'!X11*0.0038</f>
        <v>3682.2</v>
      </c>
      <c r="AM8" s="44">
        <f>'Wtr-Gas'!AB11*0.0038</f>
        <v>2093.8000000000002</v>
      </c>
      <c r="AN8" s="44">
        <f>'Wtr-Gas'!AD11*0.0038</f>
        <v>105343.06419999999</v>
      </c>
      <c r="AO8" s="44">
        <f>'Wtr-Gas'!AF11*0.0038</f>
        <v>573.79999999999995</v>
      </c>
      <c r="AP8" s="44">
        <f>'Wtr-Gas'!AH11*0.0038</f>
        <v>2036.8</v>
      </c>
      <c r="AQ8" s="44">
        <f>'Wtr-Gas'!AJ11*0.0038</f>
        <v>26.831800000000001</v>
      </c>
      <c r="AR8" s="44">
        <f>'Wtr-Gas'!AL11*0.0038</f>
        <v>399</v>
      </c>
      <c r="AS8" s="44">
        <f>'Wtr-Gas'!AN11*0.0038</f>
        <v>1.4059999999999999</v>
      </c>
      <c r="AT8" s="44">
        <f>'Wtr-Gas'!AP11*0.0038</f>
        <v>7.4859999999999998</v>
      </c>
      <c r="AU8" s="47">
        <f>'Wtr-Gas'!AT11*0.0038</f>
        <v>1.7973999999999999</v>
      </c>
      <c r="AV8" s="44">
        <f>'Wtr-Gas'!AW11*0.0038</f>
        <v>919.6</v>
      </c>
      <c r="AW8" s="45">
        <f>'Wtr-Gas'!AY11*0.0038</f>
        <v>0</v>
      </c>
      <c r="AX8" s="44">
        <f>'Wtr-Gas'!AZ11*0.0038</f>
        <v>919.6</v>
      </c>
      <c r="AY8" s="44">
        <f>'Wtr-Gas'!BB11*0.0038</f>
        <v>37.619999999999997</v>
      </c>
      <c r="AZ8" s="44">
        <f>'Wtr-Gas'!BD11*0.0038</f>
        <v>7.6</v>
      </c>
      <c r="BA8" s="44">
        <f>'Wtr-Gas'!BF11*0.0038</f>
        <v>1968.4531999999999</v>
      </c>
    </row>
    <row r="9" spans="1:54" x14ac:dyDescent="0.25">
      <c r="A9" s="3" t="s">
        <v>11</v>
      </c>
      <c r="B9" s="2">
        <v>30</v>
      </c>
      <c r="C9" s="2">
        <v>8</v>
      </c>
      <c r="D9" s="2">
        <v>2018</v>
      </c>
      <c r="E9" s="42">
        <f>Elect!AW12</f>
        <v>5131</v>
      </c>
      <c r="F9" s="42">
        <f>Elect!I12</f>
        <v>392640</v>
      </c>
      <c r="G9" s="42">
        <f>Elect!H12</f>
        <v>2.1059999999999999</v>
      </c>
      <c r="H9" s="42">
        <f>Elect!E12</f>
        <v>390400</v>
      </c>
      <c r="I9" s="42">
        <f>Elect!D12</f>
        <v>2.0510000000000002</v>
      </c>
      <c r="J9" s="42">
        <f>Elect!Y12</f>
        <v>743100</v>
      </c>
      <c r="K9" s="42">
        <f>Elect!X12</f>
        <v>2.54</v>
      </c>
      <c r="L9" s="42">
        <f>Elect!AS12</f>
        <v>18360</v>
      </c>
      <c r="M9" s="42">
        <f>Elect!AR12</f>
        <v>0.41199999999999998</v>
      </c>
      <c r="N9" s="42">
        <f>Elect!AC12</f>
        <v>713400</v>
      </c>
      <c r="O9" s="42">
        <f>Elect!AB12</f>
        <v>2.4630000000000001</v>
      </c>
      <c r="P9" s="42">
        <f>Elect!Q12</f>
        <v>107200</v>
      </c>
      <c r="Q9" s="42">
        <f>Elect!P12</f>
        <v>2.21</v>
      </c>
      <c r="R9" s="42">
        <f>Elect!M12</f>
        <v>112400</v>
      </c>
      <c r="S9" s="42">
        <f>Elect!L12</f>
        <v>2.52</v>
      </c>
      <c r="T9" s="42">
        <f>Elect!U12</f>
        <v>114400</v>
      </c>
      <c r="U9" s="42">
        <f>Elect!T12</f>
        <v>2.64</v>
      </c>
      <c r="V9" s="42">
        <f>Elect!AG12</f>
        <v>62560</v>
      </c>
      <c r="W9" s="42">
        <f>Elect!AF12</f>
        <v>5.4</v>
      </c>
      <c r="X9" s="42">
        <f>Elect!AK12</f>
        <v>37280</v>
      </c>
      <c r="Y9" s="42">
        <f>Elect!AJ12</f>
        <v>3.61</v>
      </c>
      <c r="Z9" s="42">
        <f>Elect!AO12</f>
        <v>536200</v>
      </c>
      <c r="AA9" s="42">
        <f>Elect!AN12</f>
        <v>2.3359999999999999</v>
      </c>
      <c r="AB9" s="42">
        <f>Elect!BJ12</f>
        <v>0</v>
      </c>
      <c r="AC9" s="42">
        <f>Elect!BG12</f>
        <v>0</v>
      </c>
      <c r="AD9" s="42">
        <f>Elect!BM12</f>
        <v>0</v>
      </c>
      <c r="AE9" s="42">
        <f>Elect!BP12</f>
        <v>0</v>
      </c>
      <c r="AF9" s="44">
        <f>('Wtr-Gas'!E12)*0.0038</f>
        <v>6522.7380000000003</v>
      </c>
      <c r="AG9" s="44">
        <f>('Wtr-Gas'!H12)*0.0038</f>
        <v>5394.5559999999996</v>
      </c>
      <c r="AH9" s="44">
        <f>'Wtr-Gas'!K12*0.0038</f>
        <v>136.04</v>
      </c>
      <c r="AI9" s="44">
        <f>'Wtr-Gas'!N12*0.0038</f>
        <v>35313.4</v>
      </c>
      <c r="AJ9" s="44">
        <f>'Wtr-Gas'!Q12*0.0038</f>
        <v>1463.76</v>
      </c>
      <c r="AK9" s="47">
        <f>'Wtr-Gas'!U12*0.0038</f>
        <v>679.82</v>
      </c>
      <c r="AL9" s="47">
        <f>'Wtr-Gas'!X12*0.0038</f>
        <v>7763.02</v>
      </c>
      <c r="AM9" s="44">
        <f>'Wtr-Gas'!AB12*0.0038</f>
        <v>4814.6000000000004</v>
      </c>
      <c r="AN9" s="44">
        <f>'Wtr-Gas'!AD12*0.0038</f>
        <v>255690.182</v>
      </c>
      <c r="AO9" s="44">
        <f>'Wtr-Gas'!AF12*0.0038</f>
        <v>1569.4</v>
      </c>
      <c r="AP9" s="44">
        <f>'Wtr-Gas'!AH12*0.0038</f>
        <v>16780.8</v>
      </c>
      <c r="AQ9" s="44">
        <f>'Wtr-Gas'!AJ12*0.0038</f>
        <v>240.57419999999999</v>
      </c>
      <c r="AR9" s="44">
        <f>'Wtr-Gas'!AL12*0.0038</f>
        <v>1208.4000000000001</v>
      </c>
      <c r="AS9" s="44">
        <f>'Wtr-Gas'!AN12*0.0038</f>
        <v>3.42</v>
      </c>
      <c r="AT9" s="44">
        <f>'Wtr-Gas'!AP12*0.0038</f>
        <v>13.3</v>
      </c>
      <c r="AU9" s="47">
        <f>'Wtr-Gas'!AT12*0.0038</f>
        <v>2.3028</v>
      </c>
      <c r="AV9" s="44">
        <f>'Wtr-Gas'!AW12*0.0038</f>
        <v>1109.5999999999999</v>
      </c>
      <c r="AW9" s="45">
        <f>'Wtr-Gas'!AY12*0.0038</f>
        <v>0</v>
      </c>
      <c r="AX9" s="44">
        <f>'Wtr-Gas'!AZ12*0.0038</f>
        <v>1109.5999999999999</v>
      </c>
      <c r="AY9" s="44">
        <f>'Wtr-Gas'!BB12*0.0038</f>
        <v>57</v>
      </c>
      <c r="AZ9" s="44">
        <f>'Wtr-Gas'!BD12*0.0038</f>
        <v>3.8</v>
      </c>
      <c r="BA9" s="44">
        <f>'Wtr-Gas'!BF12*0.0038</f>
        <v>1621.84</v>
      </c>
    </row>
    <row r="10" spans="1:54" x14ac:dyDescent="0.25">
      <c r="A10" s="3" t="s">
        <v>11</v>
      </c>
      <c r="B10" s="2">
        <v>23</v>
      </c>
      <c r="C10" s="2">
        <v>9</v>
      </c>
      <c r="D10" s="2">
        <v>2018</v>
      </c>
      <c r="E10" s="42">
        <f>Elect!AW13</f>
        <v>605</v>
      </c>
      <c r="F10" s="42">
        <f>Elect!I13</f>
        <v>44320</v>
      </c>
      <c r="G10" s="42">
        <f>Elect!H13</f>
        <v>2.1800000000000002</v>
      </c>
      <c r="H10" s="42">
        <f>Elect!E13</f>
        <v>44960</v>
      </c>
      <c r="I10" s="42">
        <f>Elect!D13</f>
        <v>2.0609999999999999</v>
      </c>
      <c r="J10" s="42">
        <f>Elect!Y13</f>
        <v>85500</v>
      </c>
      <c r="K10" s="42">
        <f>Elect!X13</f>
        <v>2.34</v>
      </c>
      <c r="L10" s="42">
        <f>Elect!AS13</f>
        <v>2080</v>
      </c>
      <c r="M10" s="42">
        <f>Elect!AR13</f>
        <v>0.41199999999999998</v>
      </c>
      <c r="N10" s="42">
        <f>Elect!AC13</f>
        <v>55500</v>
      </c>
      <c r="O10" s="42">
        <f>Elect!AB13</f>
        <v>2.4630000000000001</v>
      </c>
      <c r="P10" s="42">
        <f>Elect!Q13</f>
        <v>12000</v>
      </c>
      <c r="Q10" s="42">
        <f>Elect!P13</f>
        <v>2.2200000000000002</v>
      </c>
      <c r="R10" s="42">
        <f>Elect!M13</f>
        <v>12000</v>
      </c>
      <c r="S10" s="42">
        <f>Elect!L13</f>
        <v>2.52</v>
      </c>
      <c r="T10" s="42">
        <f>Elect!U13</f>
        <v>13600</v>
      </c>
      <c r="U10" s="42">
        <f>Elect!T13</f>
        <v>2.78</v>
      </c>
      <c r="V10" s="42">
        <f>Elect!AG13</f>
        <v>12640</v>
      </c>
      <c r="W10" s="42">
        <f>Elect!AF13</f>
        <v>5.91</v>
      </c>
      <c r="X10" s="42">
        <f>Elect!AK13</f>
        <v>5120</v>
      </c>
      <c r="Y10" s="42">
        <f>Elect!AJ13</f>
        <v>3.63</v>
      </c>
      <c r="Z10" s="42">
        <f>Elect!AO13</f>
        <v>59000</v>
      </c>
      <c r="AA10" s="42">
        <f>Elect!AN13</f>
        <v>2.35</v>
      </c>
      <c r="AB10" s="42">
        <f>Elect!BJ13</f>
        <v>0</v>
      </c>
      <c r="AC10" s="42">
        <f>Elect!BG13</f>
        <v>0</v>
      </c>
      <c r="AD10" s="42">
        <f>Elect!BM13</f>
        <v>0</v>
      </c>
      <c r="AE10" s="42">
        <f>Elect!BP13</f>
        <v>0</v>
      </c>
      <c r="AF10" s="44">
        <f>('Wtr-Gas'!E13)*0.0038</f>
        <v>5202.884</v>
      </c>
      <c r="AG10" s="44">
        <f>('Wtr-Gas'!H13)*0.0038</f>
        <v>690.38400000000001</v>
      </c>
      <c r="AH10" s="44">
        <f>'Wtr-Gas'!K13*0.0038</f>
        <v>1.9</v>
      </c>
      <c r="AI10" s="44">
        <f>'Wtr-Gas'!N13*0.0038</f>
        <v>4028</v>
      </c>
      <c r="AJ10" s="44">
        <f>'Wtr-Gas'!Q13*0.0038</f>
        <v>0.38</v>
      </c>
      <c r="AK10" s="47">
        <f>'Wtr-Gas'!U13*0.0038</f>
        <v>81.662000000000006</v>
      </c>
      <c r="AL10" s="47">
        <f>'Wtr-Gas'!X13*0.0038</f>
        <v>1170.02</v>
      </c>
      <c r="AM10" s="44">
        <f>'Wtr-Gas'!AB13*0.0038</f>
        <v>577.6</v>
      </c>
      <c r="AN10" s="44">
        <f>'Wtr-Gas'!AD13*0.0038</f>
        <v>28579.191999999999</v>
      </c>
      <c r="AO10" s="44">
        <f>'Wtr-Gas'!AF13*0.0038</f>
        <v>144.4</v>
      </c>
      <c r="AP10" s="44">
        <f>'Wtr-Gas'!AH13*0.0038</f>
        <v>3826.6</v>
      </c>
      <c r="AQ10" s="44">
        <f>'Wtr-Gas'!AJ13*0.0038</f>
        <v>26.767199999999999</v>
      </c>
      <c r="AR10" s="44">
        <f>'Wtr-Gas'!AL13*0.0038</f>
        <v>323</v>
      </c>
      <c r="AS10" s="44">
        <f>'Wtr-Gas'!AN13*0.0038</f>
        <v>0.19</v>
      </c>
      <c r="AT10" s="44">
        <f>'Wtr-Gas'!AP13*0.0038</f>
        <v>1.3680000000000001</v>
      </c>
      <c r="AU10" s="47">
        <f>'Wtr-Gas'!AT13*0.0038</f>
        <v>1.8049999999999999</v>
      </c>
      <c r="AV10" s="44">
        <f>'Wtr-Gas'!AW13*0.0038</f>
        <v>1129.8843999999999</v>
      </c>
      <c r="AW10" s="45">
        <f>'Wtr-Gas'!AY13*0.0038</f>
        <v>71.554000000000002</v>
      </c>
      <c r="AX10" s="44">
        <f>'Wtr-Gas'!AZ13*0.0038</f>
        <v>1058.3304000000001</v>
      </c>
      <c r="AY10" s="44">
        <f>'Wtr-Gas'!BB13*0.0038</f>
        <v>57</v>
      </c>
      <c r="AZ10" s="44">
        <f>'Wtr-Gas'!BD13*0.0038</f>
        <v>3.8</v>
      </c>
      <c r="BA10" s="44">
        <f>'Wtr-Gas'!BF13*0.0038</f>
        <v>2303.94</v>
      </c>
    </row>
    <row r="11" spans="1:54" x14ac:dyDescent="0.25">
      <c r="A11" s="3" t="s">
        <v>11</v>
      </c>
      <c r="B11" s="2">
        <v>31</v>
      </c>
      <c r="C11" s="2">
        <v>10</v>
      </c>
      <c r="D11" s="2">
        <v>2018</v>
      </c>
      <c r="E11" s="42">
        <f>Elect!AW14</f>
        <v>2181</v>
      </c>
      <c r="F11" s="42">
        <f>Elect!I14</f>
        <v>154080</v>
      </c>
      <c r="G11" s="42">
        <f>Elect!H14</f>
        <v>2.0939999999999999</v>
      </c>
      <c r="H11" s="42">
        <f>Elect!E14</f>
        <v>153280</v>
      </c>
      <c r="I11" s="42">
        <f>Elect!D14</f>
        <v>2.0329999999999999</v>
      </c>
      <c r="J11" s="42">
        <f>Elect!Y14</f>
        <v>231600</v>
      </c>
      <c r="K11" s="42">
        <f>Elect!X14</f>
        <v>2.1379999999999999</v>
      </c>
      <c r="L11" s="42">
        <f>Elect!AS14</f>
        <v>6720</v>
      </c>
      <c r="M11" s="42">
        <f>Elect!AR14</f>
        <v>0.38300000000000001</v>
      </c>
      <c r="N11" s="42">
        <f>Elect!AC14</f>
        <v>241800</v>
      </c>
      <c r="O11" s="42">
        <f>Elect!AB14</f>
        <v>1.8720000000000001</v>
      </c>
      <c r="P11" s="42">
        <f>Elect!Q14</f>
        <v>41200</v>
      </c>
      <c r="Q11" s="42">
        <f>Elect!P14</f>
        <v>2.46</v>
      </c>
      <c r="R11" s="42">
        <f>Elect!M14</f>
        <v>40000</v>
      </c>
      <c r="S11" s="42">
        <f>Elect!L14</f>
        <v>2.48</v>
      </c>
      <c r="T11" s="42">
        <f>Elect!U14</f>
        <v>43200</v>
      </c>
      <c r="U11" s="42">
        <f>Elect!T14</f>
        <v>2.5299999999999998</v>
      </c>
      <c r="V11" s="42">
        <f>Elect!AG14</f>
        <v>24160</v>
      </c>
      <c r="W11" s="42">
        <f>Elect!AF14</f>
        <v>4.42</v>
      </c>
      <c r="X11" s="42">
        <f>Elect!AK14</f>
        <v>14080</v>
      </c>
      <c r="Y11" s="42">
        <f>Elect!AJ14</f>
        <v>3.75</v>
      </c>
      <c r="Z11" s="42">
        <f>Elect!AO14</f>
        <v>193200</v>
      </c>
      <c r="AA11" s="42">
        <f>Elect!AN14</f>
        <v>2.1219999999999999</v>
      </c>
      <c r="AB11" s="42">
        <f>Elect!BJ14</f>
        <v>0</v>
      </c>
      <c r="AC11" s="42">
        <f>Elect!BG14</f>
        <v>0</v>
      </c>
      <c r="AD11" s="42">
        <f>Elect!BM14</f>
        <v>0</v>
      </c>
      <c r="AE11" s="42">
        <f>Elect!BP14</f>
        <v>0</v>
      </c>
      <c r="AF11" s="44">
        <f>('Wtr-Gas'!E14)*0.0038</f>
        <v>16546.53</v>
      </c>
      <c r="AG11" s="44">
        <f>('Wtr-Gas'!H14)*0.0038</f>
        <v>2075.37</v>
      </c>
      <c r="AH11" s="44">
        <f>'Wtr-Gas'!K14*0.0038</f>
        <v>6.46</v>
      </c>
      <c r="AI11" s="44">
        <f>'Wtr-Gas'!N14*0.0038</f>
        <v>12790.8</v>
      </c>
      <c r="AJ11" s="44">
        <f>'Wtr-Gas'!Q14*0.0038</f>
        <v>0</v>
      </c>
      <c r="AK11" s="47">
        <f>'Wtr-Gas'!U14*0.0038</f>
        <v>267.55799999999999</v>
      </c>
      <c r="AL11" s="47">
        <f>'Wtr-Gas'!X14*0.0038</f>
        <v>9546.36</v>
      </c>
      <c r="AM11" s="44">
        <f>'Wtr-Gas'!AB14*0.0038</f>
        <v>1558</v>
      </c>
      <c r="AN11" s="44">
        <f>'Wtr-Gas'!AD14*0.0038</f>
        <v>83405.162599999996</v>
      </c>
      <c r="AO11" s="44">
        <f>'Wtr-Gas'!AF14*0.0038</f>
        <v>429.4</v>
      </c>
      <c r="AP11" s="44">
        <f>'Wtr-Gas'!AH14*0.0038</f>
        <v>13771.2</v>
      </c>
      <c r="AQ11" s="44">
        <f>'Wtr-Gas'!AJ14*0.0038</f>
        <v>77.588399999999993</v>
      </c>
      <c r="AR11" s="44">
        <f>'Wtr-Gas'!AL14*0.0038</f>
        <v>1037.4000000000001</v>
      </c>
      <c r="AS11" s="44">
        <f>'Wtr-Gas'!AN14*0.0038</f>
        <v>1.216</v>
      </c>
      <c r="AT11" s="44">
        <f>'Wtr-Gas'!AP14*0.0038</f>
        <v>5.2060000000000004</v>
      </c>
      <c r="AU11" s="47">
        <f>'Wtr-Gas'!AT14*0.0038</f>
        <v>2.5459999999999998</v>
      </c>
      <c r="AV11" s="44">
        <f>'Wtr-Gas'!AW14*0.0038</f>
        <v>914.51559999999995</v>
      </c>
      <c r="AW11" s="45">
        <f>'Wtr-Gas'!AY14*0.0038</f>
        <v>0</v>
      </c>
      <c r="AX11" s="44">
        <f>'Wtr-Gas'!AZ14*0.0038</f>
        <v>914.51559999999995</v>
      </c>
      <c r="AY11" s="44">
        <f>'Wtr-Gas'!BB14*0.0038</f>
        <v>64.599999999999994</v>
      </c>
      <c r="AZ11" s="44">
        <f>'Wtr-Gas'!BD14*0.0038</f>
        <v>3.8</v>
      </c>
      <c r="BA11" s="44">
        <f>'Wtr-Gas'!BF14*0.0038</f>
        <v>4288.3</v>
      </c>
    </row>
    <row r="12" spans="1:54" x14ac:dyDescent="0.25">
      <c r="A12" s="3" t="s">
        <v>11</v>
      </c>
      <c r="B12" s="2">
        <v>4</v>
      </c>
      <c r="C12" s="2">
        <v>11</v>
      </c>
      <c r="D12" s="2">
        <v>2018</v>
      </c>
      <c r="E12" s="42">
        <f>Elect!AW15</f>
        <v>355</v>
      </c>
      <c r="F12" s="42">
        <f>Elect!I15</f>
        <v>24320</v>
      </c>
      <c r="G12" s="42">
        <f>Elect!H15</f>
        <v>2.2189999999999999</v>
      </c>
      <c r="H12" s="42">
        <f>Elect!E15</f>
        <v>23040</v>
      </c>
      <c r="I12" s="42">
        <f>Elect!D15</f>
        <v>2.0329999999999999</v>
      </c>
      <c r="J12" s="42">
        <f>Elect!Y15</f>
        <v>30300</v>
      </c>
      <c r="K12" s="42">
        <f>Elect!X15</f>
        <v>2.3380000000000001</v>
      </c>
      <c r="L12" s="42">
        <f>Elect!AS15</f>
        <v>1000</v>
      </c>
      <c r="M12" s="42">
        <f>Elect!AR15</f>
        <v>0.38300000000000001</v>
      </c>
      <c r="N12" s="42">
        <f>Elect!AC15</f>
        <v>24000</v>
      </c>
      <c r="O12" s="42">
        <f>Elect!AB15</f>
        <v>1.8720000000000001</v>
      </c>
      <c r="P12" s="42">
        <f>Elect!Q15</f>
        <v>10400</v>
      </c>
      <c r="Q12" s="42">
        <f>Elect!P15</f>
        <v>2.46</v>
      </c>
      <c r="R12" s="42">
        <f>Elect!M15</f>
        <v>6400</v>
      </c>
      <c r="S12" s="42">
        <f>Elect!L15</f>
        <v>2.48</v>
      </c>
      <c r="T12" s="42">
        <f>Elect!U15</f>
        <v>6800</v>
      </c>
      <c r="U12" s="42">
        <f>Elect!T15</f>
        <v>2.5299999999999998</v>
      </c>
      <c r="V12" s="42">
        <f>Elect!AG15</f>
        <v>3520</v>
      </c>
      <c r="W12" s="42">
        <f>Elect!AF15</f>
        <v>4.42</v>
      </c>
      <c r="X12" s="42">
        <f>Elect!AK15</f>
        <v>2080</v>
      </c>
      <c r="Y12" s="42">
        <f>Elect!AJ15</f>
        <v>3.25</v>
      </c>
      <c r="Z12" s="42">
        <f>Elect!AO15</f>
        <v>27200</v>
      </c>
      <c r="AA12" s="42">
        <f>Elect!AN15</f>
        <v>2.2200000000000002</v>
      </c>
      <c r="AB12" s="42">
        <f>Elect!BJ15</f>
        <v>0</v>
      </c>
      <c r="AC12" s="42">
        <f>Elect!BG15</f>
        <v>0</v>
      </c>
      <c r="AD12" s="42">
        <f>Elect!BM15</f>
        <v>0</v>
      </c>
      <c r="AE12" s="42">
        <f>Elect!BP15</f>
        <v>0</v>
      </c>
      <c r="AF12" s="44">
        <f>('Wtr-Gas'!E15)*0.0038</f>
        <v>2433.482</v>
      </c>
      <c r="AG12" s="44">
        <f>('Wtr-Gas'!H15)*0.0038</f>
        <v>275.31</v>
      </c>
      <c r="AH12" s="44">
        <f>'Wtr-Gas'!K15*0.0038</f>
        <v>1.1399999999999999</v>
      </c>
      <c r="AI12" s="44">
        <f>'Wtr-Gas'!N15*0.0038</f>
        <v>1744.2</v>
      </c>
      <c r="AJ12" s="44">
        <f>'Wtr-Gas'!Q15*0.0038</f>
        <v>0</v>
      </c>
      <c r="AK12" s="47">
        <f>'Wtr-Gas'!U15*0.0038</f>
        <v>39.747999999999998</v>
      </c>
      <c r="AL12" s="47">
        <f>'Wtr-Gas'!X15*0.0038</f>
        <v>2037.94</v>
      </c>
      <c r="AM12" s="44">
        <f>'Wtr-Gas'!AB15*0.0038</f>
        <v>182.4</v>
      </c>
      <c r="AN12" s="44">
        <f>'Wtr-Gas'!AD15*0.0038</f>
        <v>10175.4728</v>
      </c>
      <c r="AO12" s="44">
        <f>'Wtr-Gas'!AF15*0.0038</f>
        <v>49.4</v>
      </c>
      <c r="AP12" s="44">
        <f>'Wtr-Gas'!AH15*0.0038</f>
        <v>1820.2</v>
      </c>
      <c r="AQ12" s="44">
        <f>'Wtr-Gas'!AJ15*0.0038</f>
        <v>7.5847999999999995</v>
      </c>
      <c r="AR12" s="44">
        <f>'Wtr-Gas'!AL15*0.0038</f>
        <v>201.4</v>
      </c>
      <c r="AS12" s="44">
        <f>'Wtr-Gas'!AN15*0.0038</f>
        <v>0.19</v>
      </c>
      <c r="AT12" s="44">
        <f>'Wtr-Gas'!AP15*0.0038</f>
        <v>0.60799999999999998</v>
      </c>
      <c r="AU12" s="47">
        <f>'Wtr-Gas'!AT15*0.0038</f>
        <v>0</v>
      </c>
      <c r="AV12" s="44">
        <f>'Wtr-Gas'!AW15*0.0038</f>
        <v>0</v>
      </c>
      <c r="AW12" s="45">
        <f>'Wtr-Gas'!AY15*0.0038</f>
        <v>0</v>
      </c>
      <c r="AX12" s="44">
        <f>'Wtr-Gas'!AZ15*0.0038</f>
        <v>0</v>
      </c>
      <c r="AY12" s="44">
        <f>'Wtr-Gas'!BB15*0.0038</f>
        <v>0</v>
      </c>
      <c r="AZ12" s="44">
        <f>'Wtr-Gas'!BD15*0.0038</f>
        <v>0</v>
      </c>
      <c r="BA12" s="44">
        <f>'Wtr-Gas'!BF15*0.0038</f>
        <v>0</v>
      </c>
    </row>
    <row r="13" spans="1:54" x14ac:dyDescent="0.25">
      <c r="A13" s="3" t="s">
        <v>11</v>
      </c>
      <c r="B13" s="2">
        <v>11</v>
      </c>
      <c r="C13" s="2">
        <v>11</v>
      </c>
      <c r="D13" s="2">
        <v>2018</v>
      </c>
      <c r="E13" s="42">
        <f>Elect!AW16</f>
        <v>646</v>
      </c>
      <c r="F13" s="42">
        <f>Elect!I16</f>
        <v>44800</v>
      </c>
      <c r="G13" s="42">
        <f>Elect!H16</f>
        <v>2.2189999999999999</v>
      </c>
      <c r="H13" s="42">
        <f>Elect!E16</f>
        <v>44800</v>
      </c>
      <c r="I13" s="42">
        <f>Elect!D16</f>
        <v>2.0329999999999999</v>
      </c>
      <c r="J13" s="42">
        <f>Elect!Y16</f>
        <v>88200</v>
      </c>
      <c r="K13" s="42">
        <f>Elect!X16</f>
        <v>2.476</v>
      </c>
      <c r="L13" s="42">
        <f>Elect!AS16</f>
        <v>1920</v>
      </c>
      <c r="M13" s="42">
        <f>Elect!AR16</f>
        <v>0.38600000000000001</v>
      </c>
      <c r="N13" s="42">
        <f>Elect!AC16</f>
        <v>43500</v>
      </c>
      <c r="O13" s="42">
        <f>Elect!AB16</f>
        <v>1.8720000000000001</v>
      </c>
      <c r="P13" s="42">
        <f>Elect!Q16</f>
        <v>8000</v>
      </c>
      <c r="Q13" s="42">
        <f>Elect!P16</f>
        <v>2.46</v>
      </c>
      <c r="R13" s="42">
        <f>Elect!M16</f>
        <v>12000</v>
      </c>
      <c r="S13" s="42">
        <f>Elect!L16</f>
        <v>2.48</v>
      </c>
      <c r="T13" s="42">
        <f>Elect!U16</f>
        <v>12800</v>
      </c>
      <c r="U13" s="42">
        <f>Elect!T16</f>
        <v>2.56</v>
      </c>
      <c r="V13" s="42">
        <f>Elect!AG16</f>
        <v>7360</v>
      </c>
      <c r="W13" s="42">
        <f>Elect!AF16</f>
        <v>4.42</v>
      </c>
      <c r="X13" s="42">
        <f>Elect!AK16</f>
        <v>4480</v>
      </c>
      <c r="Y13" s="42">
        <f>Elect!AJ16</f>
        <v>4</v>
      </c>
      <c r="Z13" s="42">
        <f>Elect!AO16</f>
        <v>55000</v>
      </c>
      <c r="AA13" s="42">
        <f>Elect!AN16</f>
        <v>2.2200000000000002</v>
      </c>
      <c r="AB13" s="42">
        <f>Elect!BJ16</f>
        <v>0</v>
      </c>
      <c r="AC13" s="42">
        <f>Elect!BG16</f>
        <v>0</v>
      </c>
      <c r="AD13" s="42">
        <f>Elect!BM16</f>
        <v>0</v>
      </c>
      <c r="AE13" s="42">
        <f>Elect!BP16</f>
        <v>0</v>
      </c>
      <c r="AF13" s="44">
        <f>('Wtr-Gas'!E16)*0.0038</f>
        <v>5002.7759999999998</v>
      </c>
      <c r="AG13" s="44">
        <f>('Wtr-Gas'!H16)*0.0038</f>
        <v>556.43399999999997</v>
      </c>
      <c r="AH13" s="44">
        <f>'Wtr-Gas'!K16*0.0038</f>
        <v>1.9</v>
      </c>
      <c r="AI13" s="44">
        <f>'Wtr-Gas'!N16*0.0038</f>
        <v>3838</v>
      </c>
      <c r="AJ13" s="44">
        <f>'Wtr-Gas'!Q16*0.0038</f>
        <v>0</v>
      </c>
      <c r="AK13" s="47">
        <f>'Wtr-Gas'!U16*0.0038</f>
        <v>75.924000000000007</v>
      </c>
      <c r="AL13" s="47">
        <f>'Wtr-Gas'!X16*0.0038</f>
        <v>2591.98</v>
      </c>
      <c r="AM13" s="44">
        <f>'Wtr-Gas'!AB16*0.0038</f>
        <v>414.2</v>
      </c>
      <c r="AN13" s="44">
        <f>'Wtr-Gas'!AD16*0.0038</f>
        <v>23616.768199999999</v>
      </c>
      <c r="AO13" s="44">
        <f>'Wtr-Gas'!AF16*0.0038</f>
        <v>57</v>
      </c>
      <c r="AP13" s="44">
        <f>'Wtr-Gas'!AH16*0.0038</f>
        <v>3602.4</v>
      </c>
      <c r="AQ13" s="44">
        <f>'Wtr-Gas'!AJ16*0.0038</f>
        <v>43.836799999999997</v>
      </c>
      <c r="AR13" s="44">
        <f>'Wtr-Gas'!AL16*0.0038</f>
        <v>399</v>
      </c>
      <c r="AS13" s="44">
        <f>'Wtr-Gas'!AN16*0.0038</f>
        <v>0.30399999999999999</v>
      </c>
      <c r="AT13" s="44">
        <f>'Wtr-Gas'!AP16*0.0038</f>
        <v>1.254</v>
      </c>
      <c r="AU13" s="47">
        <f>'Wtr-Gas'!AT16*0.0038</f>
        <v>0</v>
      </c>
      <c r="AV13" s="44">
        <f>'Wtr-Gas'!AW16*0.0038</f>
        <v>0</v>
      </c>
      <c r="AW13" s="45">
        <f>'Wtr-Gas'!AY16*0.0038</f>
        <v>0</v>
      </c>
      <c r="AX13" s="44">
        <f>'Wtr-Gas'!AZ16*0.0038</f>
        <v>0</v>
      </c>
      <c r="AY13" s="44">
        <f>'Wtr-Gas'!BB16*0.0038</f>
        <v>0</v>
      </c>
      <c r="AZ13" s="44">
        <f>'Wtr-Gas'!BD16*0.0038</f>
        <v>0</v>
      </c>
      <c r="BA13" s="44">
        <f>'Wtr-Gas'!BF16*0.0038</f>
        <v>0</v>
      </c>
    </row>
    <row r="14" spans="1:54" x14ac:dyDescent="0.25">
      <c r="A14" s="3" t="s">
        <v>11</v>
      </c>
      <c r="B14" s="2">
        <v>18</v>
      </c>
      <c r="C14" s="2">
        <v>11</v>
      </c>
      <c r="D14" s="2">
        <v>2018</v>
      </c>
      <c r="E14" s="42">
        <f>Elect!AW17</f>
        <v>655</v>
      </c>
      <c r="F14" s="42">
        <f>Elect!I17</f>
        <v>44480</v>
      </c>
      <c r="G14" s="42">
        <f>Elect!H17</f>
        <v>2.2189999999999999</v>
      </c>
      <c r="H14" s="42">
        <f>Elect!E17</f>
        <v>44800</v>
      </c>
      <c r="I14" s="42">
        <f>Elect!D17</f>
        <v>2.0329999999999999</v>
      </c>
      <c r="J14" s="42">
        <f>Elect!Y17</f>
        <v>54600</v>
      </c>
      <c r="K14" s="42">
        <f>Elect!X17</f>
        <v>2.476</v>
      </c>
      <c r="L14" s="42">
        <f>Elect!AS17</f>
        <v>1960</v>
      </c>
      <c r="M14" s="42">
        <f>Elect!AR17</f>
        <v>0.38600000000000001</v>
      </c>
      <c r="N14" s="42">
        <f>Elect!AC17</f>
        <v>61500</v>
      </c>
      <c r="O14" s="42">
        <f>Elect!AB17</f>
        <v>2.19</v>
      </c>
      <c r="P14" s="42">
        <f>Elect!Q17</f>
        <v>12400</v>
      </c>
      <c r="Q14" s="42">
        <f>Elect!P17</f>
        <v>2.59</v>
      </c>
      <c r="R14" s="42">
        <f>Elect!M17</f>
        <v>13200</v>
      </c>
      <c r="S14" s="42">
        <f>Elect!L17</f>
        <v>2.6</v>
      </c>
      <c r="T14" s="42">
        <f>Elect!U17</f>
        <v>13600</v>
      </c>
      <c r="U14" s="42">
        <f>Elect!T17</f>
        <v>2.81</v>
      </c>
      <c r="V14" s="42">
        <f>Elect!AG17</f>
        <v>7200</v>
      </c>
      <c r="W14" s="42">
        <f>Elect!AF17</f>
        <v>4.42</v>
      </c>
      <c r="X14" s="42">
        <f>Elect!AK17</f>
        <v>4960</v>
      </c>
      <c r="Y14" s="42">
        <f>Elect!AJ17</f>
        <v>4</v>
      </c>
      <c r="Z14" s="42">
        <f>Elect!AO17</f>
        <v>46800</v>
      </c>
      <c r="AA14" s="42">
        <f>Elect!AN17</f>
        <v>2.1219999999999999</v>
      </c>
      <c r="AB14" s="42">
        <f>Elect!BJ17</f>
        <v>0</v>
      </c>
      <c r="AC14" s="42">
        <f>Elect!BG17</f>
        <v>0</v>
      </c>
      <c r="AD14" s="42">
        <f>Elect!BM17</f>
        <v>0</v>
      </c>
      <c r="AE14" s="42">
        <f>Elect!BP17</f>
        <v>0</v>
      </c>
      <c r="AF14" s="44">
        <f>('Wtr-Gas'!E17)*0.0038</f>
        <v>5101.652</v>
      </c>
      <c r="AG14" s="44">
        <f>('Wtr-Gas'!H17)*0.0038</f>
        <v>586.83399999999995</v>
      </c>
      <c r="AH14" s="44">
        <f>'Wtr-Gas'!K17*0.0038</f>
        <v>2.2799999999999998</v>
      </c>
      <c r="AI14" s="44">
        <f>'Wtr-Gas'!N17*0.0038</f>
        <v>3644.2</v>
      </c>
      <c r="AJ14" s="44">
        <f>'Wtr-Gas'!Q17*0.0038</f>
        <v>0</v>
      </c>
      <c r="AK14" s="47">
        <f>'Wtr-Gas'!U17*0.0038</f>
        <v>82.498000000000005</v>
      </c>
      <c r="AL14" s="47">
        <f>'Wtr-Gas'!X17*0.0038</f>
        <v>4649.3</v>
      </c>
      <c r="AM14" s="44">
        <f>'Wtr-Gas'!AB17*0.0038</f>
        <v>95</v>
      </c>
      <c r="AN14" s="44">
        <f>'Wtr-Gas'!AD17*0.0038</f>
        <v>0</v>
      </c>
      <c r="AO14" s="44">
        <f>'Wtr-Gas'!AF17*0.0038</f>
        <v>95</v>
      </c>
      <c r="AP14" s="44">
        <f>'Wtr-Gas'!AH17*0.0038</f>
        <v>6125.6</v>
      </c>
      <c r="AQ14" s="44">
        <f>'Wtr-Gas'!AJ17*0.0038</f>
        <v>31.251200000000001</v>
      </c>
      <c r="AR14" s="44">
        <f>'Wtr-Gas'!AL17*0.0038</f>
        <v>459.8</v>
      </c>
      <c r="AS14" s="44">
        <f>'Wtr-Gas'!AN17*0.0038</f>
        <v>0.34200000000000003</v>
      </c>
      <c r="AT14" s="44">
        <f>'Wtr-Gas'!AP17*0.0038</f>
        <v>1.1779999999999999</v>
      </c>
      <c r="AU14" s="47">
        <f>'Wtr-Gas'!AT17*0.0038</f>
        <v>0</v>
      </c>
      <c r="AV14" s="44">
        <f>'Wtr-Gas'!AW17*0.0038</f>
        <v>0</v>
      </c>
      <c r="AW14" s="45">
        <f>'Wtr-Gas'!AY17*0.0038</f>
        <v>0</v>
      </c>
      <c r="AX14" s="44">
        <f>'Wtr-Gas'!AZ17*0.0038</f>
        <v>0</v>
      </c>
      <c r="AY14" s="44">
        <f>'Wtr-Gas'!BB17*0.0038</f>
        <v>0</v>
      </c>
      <c r="AZ14" s="44">
        <f>'Wtr-Gas'!BD17*0.0038</f>
        <v>0</v>
      </c>
      <c r="BA14" s="44">
        <f>'Wtr-Gas'!BF17*0.0038</f>
        <v>0</v>
      </c>
    </row>
    <row r="15" spans="1:54" x14ac:dyDescent="0.25">
      <c r="A15" s="3" t="s">
        <v>11</v>
      </c>
      <c r="B15" s="2">
        <v>25</v>
      </c>
      <c r="C15" s="2">
        <v>11</v>
      </c>
      <c r="D15" s="2">
        <v>2018</v>
      </c>
      <c r="E15" s="42">
        <f>Elect!AW18</f>
        <v>655</v>
      </c>
      <c r="F15" s="42">
        <f>Elect!I18</f>
        <v>45760</v>
      </c>
      <c r="G15" s="42">
        <f>Elect!H18</f>
        <v>2.222</v>
      </c>
      <c r="H15" s="42">
        <f>Elect!E18</f>
        <v>44480</v>
      </c>
      <c r="I15" s="42">
        <f>Elect!D18</f>
        <v>2.0289999999999999</v>
      </c>
      <c r="J15" s="42">
        <f>Elect!Y18</f>
        <v>39000</v>
      </c>
      <c r="K15" s="42">
        <f>Elect!X18</f>
        <v>1.482</v>
      </c>
      <c r="L15" s="42">
        <f>Elect!AS18</f>
        <v>2080</v>
      </c>
      <c r="M15" s="42">
        <f>Elect!AR18</f>
        <v>0.39300000000000002</v>
      </c>
      <c r="N15" s="42">
        <f>Elect!AC18</f>
        <v>52800</v>
      </c>
      <c r="O15" s="42">
        <f>Elect!AB18</f>
        <v>1.47</v>
      </c>
      <c r="P15" s="42">
        <f>Elect!Q18</f>
        <v>13200</v>
      </c>
      <c r="Q15" s="42">
        <f>Elect!P18</f>
        <v>2.59</v>
      </c>
      <c r="R15" s="42">
        <f>Elect!M18</f>
        <v>12000</v>
      </c>
      <c r="S15" s="42">
        <f>Elect!L18</f>
        <v>2.4300000000000002</v>
      </c>
      <c r="T15" s="42">
        <f>Elect!U18</f>
        <v>13200</v>
      </c>
      <c r="U15" s="42">
        <f>Elect!T18</f>
        <v>2.56</v>
      </c>
      <c r="V15" s="42">
        <f>Elect!AG18</f>
        <v>12000</v>
      </c>
      <c r="W15" s="42">
        <f>Elect!AF18</f>
        <v>3.45</v>
      </c>
      <c r="X15" s="42">
        <f>Elect!AK18</f>
        <v>4320</v>
      </c>
      <c r="Y15" s="42">
        <f>Elect!AJ18</f>
        <v>2.4</v>
      </c>
      <c r="Z15" s="42">
        <f>Elect!AO18</f>
        <v>52200</v>
      </c>
      <c r="AA15" s="42">
        <f>Elect!AN18</f>
        <v>2.008</v>
      </c>
      <c r="AB15" s="42">
        <f>Elect!BJ18</f>
        <v>0</v>
      </c>
      <c r="AC15" s="42">
        <f>Elect!BG18</f>
        <v>0</v>
      </c>
      <c r="AD15" s="42">
        <f>Elect!BM18</f>
        <v>0</v>
      </c>
      <c r="AE15" s="42">
        <f>Elect!BP18</f>
        <v>0</v>
      </c>
      <c r="AF15" s="44">
        <f>('Wtr-Gas'!E18)*0.0038</f>
        <v>5214.74</v>
      </c>
      <c r="AG15" s="44">
        <f>('Wtr-Gas'!H18)*0.0038</f>
        <v>620.274</v>
      </c>
      <c r="AH15" s="44">
        <f>'Wtr-Gas'!K18*0.0038</f>
        <v>2.2799999999999998</v>
      </c>
      <c r="AI15" s="44">
        <f>'Wtr-Gas'!N18*0.0038</f>
        <v>3693.6</v>
      </c>
      <c r="AJ15" s="44">
        <f>'Wtr-Gas'!Q18*0.0038</f>
        <v>0</v>
      </c>
      <c r="AK15" s="47">
        <f>'Wtr-Gas'!U18*0.0038</f>
        <v>82.156000000000006</v>
      </c>
      <c r="AL15" s="47">
        <f>'Wtr-Gas'!X18*0.0038</f>
        <v>4864.38</v>
      </c>
      <c r="AM15" s="44">
        <f>'Wtr-Gas'!AB18*0.0038</f>
        <v>163.4</v>
      </c>
      <c r="AN15" s="44">
        <f>'Wtr-Gas'!AD18*0.0038</f>
        <v>36693.373800000001</v>
      </c>
      <c r="AO15" s="44">
        <f>'Wtr-Gas'!AF18*0.0038</f>
        <v>140.6</v>
      </c>
      <c r="AP15" s="44">
        <f>'Wtr-Gas'!AH18*0.0038</f>
        <v>6691.8</v>
      </c>
      <c r="AQ15" s="44">
        <f>'Wtr-Gas'!AJ18*0.0038</f>
        <v>37.281799999999997</v>
      </c>
      <c r="AR15" s="44">
        <f>'Wtr-Gas'!AL18*0.0038</f>
        <v>421.8</v>
      </c>
      <c r="AS15" s="44">
        <f>'Wtr-Gas'!AN18*0.0038</f>
        <v>0.34200000000000003</v>
      </c>
      <c r="AT15" s="44">
        <f>'Wtr-Gas'!AP18*0.0038</f>
        <v>2.774</v>
      </c>
      <c r="AU15" s="47">
        <f>'Wtr-Gas'!AT18*0.0038</f>
        <v>0</v>
      </c>
      <c r="AV15" s="44">
        <f>'Wtr-Gas'!AW18*0.0038</f>
        <v>0</v>
      </c>
      <c r="AW15" s="45">
        <f>'Wtr-Gas'!AY18*0.0038</f>
        <v>0</v>
      </c>
      <c r="AX15" s="44">
        <f>'Wtr-Gas'!AZ18*0.0038</f>
        <v>0</v>
      </c>
      <c r="AY15" s="44">
        <f>'Wtr-Gas'!BB18*0.0038</f>
        <v>0</v>
      </c>
      <c r="AZ15" s="44">
        <f>'Wtr-Gas'!BD18*0.0038</f>
        <v>0</v>
      </c>
      <c r="BA15" s="44">
        <f>'Wtr-Gas'!BF18*0.0038</f>
        <v>0</v>
      </c>
    </row>
    <row r="16" spans="1:54" x14ac:dyDescent="0.25">
      <c r="A16" s="3" t="s">
        <v>11</v>
      </c>
      <c r="B16" s="2">
        <v>2</v>
      </c>
      <c r="C16" s="2">
        <v>12</v>
      </c>
      <c r="D16" s="2">
        <v>2018</v>
      </c>
      <c r="E16" s="42">
        <f>Elect!AW19</f>
        <v>656</v>
      </c>
      <c r="F16" s="42">
        <f>Elect!I19</f>
        <v>45280</v>
      </c>
      <c r="G16" s="42">
        <f>Elect!H19</f>
        <v>2.222</v>
      </c>
      <c r="H16" s="42">
        <f>Elect!E19</f>
        <v>44640</v>
      </c>
      <c r="I16" s="42">
        <f>Elect!D19</f>
        <v>2.0579999999999998</v>
      </c>
      <c r="J16" s="42">
        <f>Elect!Y19</f>
        <v>43800</v>
      </c>
      <c r="K16" s="42">
        <f>Elect!X19</f>
        <v>2.343</v>
      </c>
      <c r="L16" s="42">
        <f>Elect!AS19</f>
        <v>2000</v>
      </c>
      <c r="M16" s="42">
        <f>Elect!AR19</f>
        <v>0.39900000000000002</v>
      </c>
      <c r="N16" s="42">
        <f>Elect!AC19</f>
        <v>43500</v>
      </c>
      <c r="O16" s="42">
        <f>Elect!AB19</f>
        <v>2.0139999999999998</v>
      </c>
      <c r="P16" s="42">
        <f>Elect!Q19</f>
        <v>12800</v>
      </c>
      <c r="Q16" s="42">
        <f>Elect!P19</f>
        <v>3.07</v>
      </c>
      <c r="R16" s="42">
        <f>Elect!M19</f>
        <v>12000</v>
      </c>
      <c r="S16" s="42">
        <f>Elect!L19</f>
        <v>3.05</v>
      </c>
      <c r="T16" s="42">
        <f>Elect!U19</f>
        <v>13200</v>
      </c>
      <c r="U16" s="42">
        <f>Elect!T19</f>
        <v>3.33</v>
      </c>
      <c r="V16" s="42">
        <f>Elect!AG19</f>
        <v>2720</v>
      </c>
      <c r="W16" s="42">
        <f>Elect!AF19</f>
        <v>3.3</v>
      </c>
      <c r="X16" s="42">
        <f>Elect!AK19</f>
        <v>4800</v>
      </c>
      <c r="Y16" s="42">
        <f>Elect!AJ19</f>
        <v>3.59</v>
      </c>
      <c r="Z16" s="42">
        <f>Elect!AO19</f>
        <v>48400</v>
      </c>
      <c r="AA16" s="42">
        <f>Elect!AN19</f>
        <v>2.008</v>
      </c>
      <c r="AB16" s="42">
        <f>Elect!BJ19</f>
        <v>0</v>
      </c>
      <c r="AC16" s="42">
        <f>Elect!BG19</f>
        <v>0</v>
      </c>
      <c r="AD16" s="42">
        <f>Elect!BM19</f>
        <v>0</v>
      </c>
      <c r="AE16" s="42">
        <f>Elect!BP19</f>
        <v>0</v>
      </c>
      <c r="AF16" s="44">
        <f>('Wtr-Gas'!E19)*0.0038</f>
        <v>4497.2619999999997</v>
      </c>
      <c r="AG16" s="44">
        <f>('Wtr-Gas'!H19)*0.0038</f>
        <v>418.53199999999998</v>
      </c>
      <c r="AH16" s="44">
        <f>'Wtr-Gas'!K19*0.0038</f>
        <v>3.04</v>
      </c>
      <c r="AI16" s="44">
        <f>'Wtr-Gas'!N19*0.0038</f>
        <v>3066.6</v>
      </c>
      <c r="AJ16" s="44">
        <f>'Wtr-Gas'!Q19*0.0038</f>
        <v>0</v>
      </c>
      <c r="AK16" s="47">
        <f>'Wtr-Gas'!U19*0.0038</f>
        <v>86.488</v>
      </c>
      <c r="AL16" s="47">
        <f>'Wtr-Gas'!X19*0.0038</f>
        <v>6452.4</v>
      </c>
      <c r="AM16" s="44">
        <f>'Wtr-Gas'!AB19*0.0038</f>
        <v>3.8</v>
      </c>
      <c r="AN16" s="44">
        <f>'Wtr-Gas'!AD19*0.0038</f>
        <v>12688.9334</v>
      </c>
      <c r="AO16" s="44">
        <f>'Wtr-Gas'!AF19*0.0038</f>
        <v>64.599999999999994</v>
      </c>
      <c r="AP16" s="44">
        <f>'Wtr-Gas'!AH19*0.0038</f>
        <v>5791.2</v>
      </c>
      <c r="AQ16" s="44">
        <f>'Wtr-Gas'!AJ19*0.0038</f>
        <v>29.658999999999999</v>
      </c>
      <c r="AR16" s="44">
        <f>'Wtr-Gas'!AL19*0.0038</f>
        <v>418</v>
      </c>
      <c r="AS16" s="44">
        <f>'Wtr-Gas'!AN19*0.0038</f>
        <v>0.41799999999999998</v>
      </c>
      <c r="AT16" s="44">
        <f>'Wtr-Gas'!AP19*0.0038</f>
        <v>1.3680000000000001</v>
      </c>
      <c r="AU16" s="47">
        <f>'Wtr-Gas'!AT19*0.0038</f>
        <v>2.0102000000000002</v>
      </c>
      <c r="AV16" s="44">
        <f>'Wtr-Gas'!AW19*0.0038</f>
        <v>877.8</v>
      </c>
      <c r="AW16" s="45">
        <f>'Wtr-Gas'!AY19*0.0038</f>
        <v>30.324000000000002</v>
      </c>
      <c r="AX16" s="44">
        <f>'Wtr-Gas'!AZ19*0.0038</f>
        <v>847.476</v>
      </c>
      <c r="AY16" s="44">
        <f>'Wtr-Gas'!BB19*0.0038</f>
        <v>41.8</v>
      </c>
      <c r="AZ16" s="44">
        <f>'Wtr-Gas'!BD19*0.0038</f>
        <v>7.6</v>
      </c>
      <c r="BA16" s="44">
        <f>'Wtr-Gas'!BF19*0.0038</f>
        <v>3054.44</v>
      </c>
    </row>
    <row r="17" spans="1:53" x14ac:dyDescent="0.25">
      <c r="A17" s="3" t="s">
        <v>11</v>
      </c>
      <c r="B17" s="2">
        <v>9</v>
      </c>
      <c r="C17" s="2">
        <v>12</v>
      </c>
      <c r="D17" s="2">
        <v>2018</v>
      </c>
      <c r="E17" s="42">
        <f>Elect!AW20</f>
        <v>662</v>
      </c>
      <c r="F17" s="42">
        <f>Elect!I20</f>
        <v>43200</v>
      </c>
      <c r="G17" s="42">
        <f>Elect!H20</f>
        <v>2.222</v>
      </c>
      <c r="H17" s="42">
        <f>Elect!E20</f>
        <v>44160</v>
      </c>
      <c r="I17" s="42">
        <f>Elect!D20</f>
        <v>2.08</v>
      </c>
      <c r="J17" s="42">
        <f>Elect!Y20</f>
        <v>53700</v>
      </c>
      <c r="K17" s="42">
        <f>Elect!X20</f>
        <v>2.343</v>
      </c>
      <c r="L17" s="42">
        <f>Elect!AS20</f>
        <v>2000</v>
      </c>
      <c r="M17" s="42">
        <f>Elect!AR20</f>
        <v>0.436</v>
      </c>
      <c r="N17" s="42">
        <f>Elect!AC20</f>
        <v>39300</v>
      </c>
      <c r="O17" s="42">
        <f>Elect!AB20</f>
        <v>2.0139999999999998</v>
      </c>
      <c r="P17" s="42">
        <f>Elect!Q20</f>
        <v>12000</v>
      </c>
      <c r="Q17" s="42">
        <f>Elect!P20</f>
        <v>3.07</v>
      </c>
      <c r="R17" s="42">
        <f>Elect!M20</f>
        <v>11600</v>
      </c>
      <c r="S17" s="42">
        <f>Elect!L20</f>
        <v>3.05</v>
      </c>
      <c r="T17" s="42">
        <f>Elect!U20</f>
        <v>12400</v>
      </c>
      <c r="U17" s="42">
        <f>Elect!T20</f>
        <v>3.33</v>
      </c>
      <c r="V17" s="42">
        <f>Elect!AG20</f>
        <v>7360</v>
      </c>
      <c r="W17" s="42">
        <f>Elect!AF20</f>
        <v>3.89</v>
      </c>
      <c r="X17" s="42">
        <f>Elect!AK20</f>
        <v>4800</v>
      </c>
      <c r="Y17" s="42">
        <f>Elect!AJ20</f>
        <v>3.59</v>
      </c>
      <c r="Z17" s="42">
        <f>Elect!AO20</f>
        <v>51400</v>
      </c>
      <c r="AA17" s="42">
        <f>Elect!AN20</f>
        <v>2.0459999999999998</v>
      </c>
      <c r="AB17" s="42">
        <f>Elect!BJ20</f>
        <v>0</v>
      </c>
      <c r="AC17" s="42">
        <f>Elect!BG20</f>
        <v>0</v>
      </c>
      <c r="AD17" s="42">
        <f>Elect!BM20</f>
        <v>0</v>
      </c>
      <c r="AE17" s="42">
        <f>Elect!BP20</f>
        <v>0</v>
      </c>
      <c r="AF17" s="44">
        <f>('Wtr-Gas'!E20)*0.0038</f>
        <v>4459.5280000000002</v>
      </c>
      <c r="AG17" s="44">
        <f>('Wtr-Gas'!H20)*0.0038</f>
        <v>569.88599999999997</v>
      </c>
      <c r="AH17" s="44">
        <f>'Wtr-Gas'!K20*0.0038</f>
        <v>3.8</v>
      </c>
      <c r="AI17" s="44">
        <f>'Wtr-Gas'!N20*0.0038</f>
        <v>3192</v>
      </c>
      <c r="AJ17" s="44">
        <f>'Wtr-Gas'!Q20*0.0038</f>
        <v>0</v>
      </c>
      <c r="AK17" s="47">
        <f>'Wtr-Gas'!U20*0.0038</f>
        <v>155.38200000000001</v>
      </c>
      <c r="AL17" s="47">
        <f>'Wtr-Gas'!X20*0.0038</f>
        <v>6204.26</v>
      </c>
      <c r="AM17" s="44">
        <f>'Wtr-Gas'!AB20*0.0038</f>
        <v>3.8</v>
      </c>
      <c r="AN17" s="44">
        <f>'Wtr-Gas'!AD20*0.0038</f>
        <v>14128.9548</v>
      </c>
      <c r="AO17" s="44">
        <f>'Wtr-Gas'!AF20*0.0038</f>
        <v>163.4</v>
      </c>
      <c r="AP17" s="44">
        <f>'Wtr-Gas'!AH20*0.0038</f>
        <v>5213.6000000000004</v>
      </c>
      <c r="AQ17" s="44">
        <f>'Wtr-Gas'!AJ20*0.0038</f>
        <v>64.911599999999993</v>
      </c>
      <c r="AR17" s="44">
        <f>'Wtr-Gas'!AL20*0.0038</f>
        <v>342</v>
      </c>
      <c r="AS17" s="44">
        <f>'Wtr-Gas'!AN20*0.0038</f>
        <v>0.45600000000000002</v>
      </c>
      <c r="AT17" s="44">
        <f>'Wtr-Gas'!AP20*0.0038</f>
        <v>1.254</v>
      </c>
      <c r="AU17" s="47">
        <f>'Wtr-Gas'!AT20*0.0038</f>
        <v>0</v>
      </c>
      <c r="AV17" s="44">
        <f>'Wtr-Gas'!AW20*0.0038</f>
        <v>0</v>
      </c>
      <c r="AW17" s="45">
        <f>'Wtr-Gas'!AY20*0.0038</f>
        <v>0</v>
      </c>
      <c r="AX17" s="44">
        <f>'Wtr-Gas'!AZ20*0.0038</f>
        <v>0</v>
      </c>
      <c r="AY17" s="44">
        <f>'Wtr-Gas'!BB20*0.0038</f>
        <v>0</v>
      </c>
      <c r="AZ17" s="44">
        <f>'Wtr-Gas'!BD20*0.0038</f>
        <v>0</v>
      </c>
      <c r="BA17" s="44">
        <f>'Wtr-Gas'!BF20*0.0038</f>
        <v>0</v>
      </c>
    </row>
    <row r="18" spans="1:53" x14ac:dyDescent="0.25">
      <c r="A18" s="3" t="s">
        <v>11</v>
      </c>
      <c r="B18" s="2">
        <v>16</v>
      </c>
      <c r="C18" s="2">
        <v>12</v>
      </c>
      <c r="D18" s="2">
        <v>2018</v>
      </c>
      <c r="E18" s="42">
        <f>Elect!AW21</f>
        <v>646</v>
      </c>
      <c r="F18" s="42">
        <f>Elect!I21</f>
        <v>42720</v>
      </c>
      <c r="G18" s="42">
        <f>Elect!H21</f>
        <v>2.222</v>
      </c>
      <c r="H18" s="42">
        <f>Elect!E21</f>
        <v>44480</v>
      </c>
      <c r="I18" s="42">
        <f>Elect!D21</f>
        <v>2.177</v>
      </c>
      <c r="J18" s="42">
        <f>Elect!Y21</f>
        <v>36000</v>
      </c>
      <c r="K18" s="42">
        <f>Elect!X21</f>
        <v>2.343</v>
      </c>
      <c r="L18" s="42">
        <f>Elect!AS21</f>
        <v>1960</v>
      </c>
      <c r="M18" s="42">
        <f>Elect!AR21</f>
        <v>0.436</v>
      </c>
      <c r="N18" s="42">
        <f>Elect!AC21</f>
        <v>35100</v>
      </c>
      <c r="O18" s="42">
        <f>Elect!AB21</f>
        <v>2.0139999999999998</v>
      </c>
      <c r="P18" s="42">
        <f>Elect!Q21</f>
        <v>12800</v>
      </c>
      <c r="Q18" s="42">
        <f>Elect!P21</f>
        <v>3.07</v>
      </c>
      <c r="R18" s="42">
        <f>Elect!M21</f>
        <v>11600</v>
      </c>
      <c r="S18" s="42">
        <f>Elect!L21</f>
        <v>3.05</v>
      </c>
      <c r="T18" s="42">
        <f>Elect!U21</f>
        <v>12400</v>
      </c>
      <c r="U18" s="42">
        <f>Elect!T21</f>
        <v>3.33</v>
      </c>
      <c r="V18" s="42">
        <f>Elect!AG21</f>
        <v>7040</v>
      </c>
      <c r="W18" s="42">
        <f>Elect!AF21</f>
        <v>3.89</v>
      </c>
      <c r="X18" s="42">
        <f>Elect!AK21</f>
        <v>4640</v>
      </c>
      <c r="Y18" s="42">
        <f>Elect!AJ21</f>
        <v>3.59</v>
      </c>
      <c r="Z18" s="42">
        <f>Elect!AO21</f>
        <v>55400</v>
      </c>
      <c r="AA18" s="42">
        <f>Elect!AN21</f>
        <v>2.2160000000000002</v>
      </c>
      <c r="AB18" s="42">
        <f>Elect!BJ21</f>
        <v>0</v>
      </c>
      <c r="AC18" s="42">
        <f>Elect!BG21</f>
        <v>0</v>
      </c>
      <c r="AD18" s="42">
        <f>Elect!BM21</f>
        <v>0</v>
      </c>
      <c r="AE18" s="42">
        <f>Elect!BP21</f>
        <v>0</v>
      </c>
      <c r="AF18" s="44">
        <f>('Wtr-Gas'!E21)*0.0038</f>
        <v>3785.2559999999999</v>
      </c>
      <c r="AG18" s="44">
        <f>('Wtr-Gas'!H21)*0.0038</f>
        <v>265.50599999999997</v>
      </c>
      <c r="AH18" s="44">
        <f>'Wtr-Gas'!K21*0.0038</f>
        <v>5.32</v>
      </c>
      <c r="AI18" s="44">
        <f>'Wtr-Gas'!N21*0.0038</f>
        <v>2785.4</v>
      </c>
      <c r="AJ18" s="44">
        <f>'Wtr-Gas'!Q21*0.0038</f>
        <v>0</v>
      </c>
      <c r="AK18" s="47">
        <f>'Wtr-Gas'!U21*0.0038</f>
        <v>22.533999999999999</v>
      </c>
      <c r="AL18" s="47">
        <f>'Wtr-Gas'!X21*0.0038</f>
        <v>7115.5</v>
      </c>
      <c r="AM18" s="44">
        <f>'Wtr-Gas'!AB21*0.0038</f>
        <v>3.8</v>
      </c>
      <c r="AN18" s="44">
        <f>'Wtr-Gas'!AD21*0.0038</f>
        <v>9993.1867999999995</v>
      </c>
      <c r="AO18" s="44">
        <f>'Wtr-Gas'!AF21*0.0038</f>
        <v>174.8</v>
      </c>
      <c r="AP18" s="44">
        <f>'Wtr-Gas'!AH21*0.0038</f>
        <v>2819.6</v>
      </c>
      <c r="AQ18" s="44">
        <f>'Wtr-Gas'!AJ21*0.0038</f>
        <v>31.555199999999999</v>
      </c>
      <c r="AR18" s="44">
        <f>'Wtr-Gas'!AL21*0.0038</f>
        <v>376.2</v>
      </c>
      <c r="AS18" s="44">
        <f>'Wtr-Gas'!AN21*0.0038</f>
        <v>0.49399999999999999</v>
      </c>
      <c r="AT18" s="44">
        <f>'Wtr-Gas'!AP21*0.0038</f>
        <v>1.52</v>
      </c>
      <c r="AU18" s="47">
        <f>'Wtr-Gas'!AT21*0.0038</f>
        <v>0</v>
      </c>
      <c r="AV18" s="44">
        <f>'Wtr-Gas'!AW21*0.0038</f>
        <v>0</v>
      </c>
      <c r="AW18" s="45">
        <f>'Wtr-Gas'!AY21*0.0038</f>
        <v>0</v>
      </c>
      <c r="AX18" s="44">
        <f>'Wtr-Gas'!AZ21*0.0038</f>
        <v>0</v>
      </c>
      <c r="AY18" s="44">
        <f>'Wtr-Gas'!BB21*0.0038</f>
        <v>0</v>
      </c>
      <c r="AZ18" s="44">
        <f>'Wtr-Gas'!BD21*0.0038</f>
        <v>0</v>
      </c>
      <c r="BA18" s="44">
        <f>'Wtr-Gas'!BF21*0.0038</f>
        <v>0</v>
      </c>
    </row>
    <row r="19" spans="1:53" x14ac:dyDescent="0.25">
      <c r="A19" s="3" t="s">
        <v>11</v>
      </c>
      <c r="B19" s="2">
        <v>31</v>
      </c>
      <c r="C19" s="2">
        <v>12</v>
      </c>
      <c r="D19" s="2">
        <v>2018</v>
      </c>
      <c r="E19" s="42">
        <f>Elect!AW22</f>
        <v>1410</v>
      </c>
      <c r="F19" s="42">
        <f>Elect!I22</f>
        <v>101760</v>
      </c>
      <c r="G19" s="42">
        <f>Elect!H22</f>
        <v>2.4329999999999998</v>
      </c>
      <c r="H19" s="42">
        <f>Elect!E22</f>
        <v>97440</v>
      </c>
      <c r="I19" s="42">
        <f>Elect!D22</f>
        <v>2.1150000000000002</v>
      </c>
      <c r="J19" s="42">
        <f>Elect!Y22</f>
        <v>98700</v>
      </c>
      <c r="K19" s="42">
        <f>Elect!X22</f>
        <v>1.5469999999999999</v>
      </c>
      <c r="L19" s="42">
        <f>Elect!AS22</f>
        <v>4200</v>
      </c>
      <c r="M19" s="42">
        <f>Elect!AR22</f>
        <v>0.40100000000000002</v>
      </c>
      <c r="N19" s="42">
        <f>Elect!AC22</f>
        <v>80400</v>
      </c>
      <c r="O19" s="42">
        <f>Elect!AB22</f>
        <v>1.5409999999999999</v>
      </c>
      <c r="P19" s="42">
        <f>Elect!Q22</f>
        <v>27200</v>
      </c>
      <c r="Q19" s="42">
        <f>Elect!P22</f>
        <v>2.72</v>
      </c>
      <c r="R19" s="42">
        <f>Elect!M22</f>
        <v>25600</v>
      </c>
      <c r="S19" s="42">
        <f>Elect!L22</f>
        <v>2.65</v>
      </c>
      <c r="T19" s="42">
        <f>Elect!U22</f>
        <v>28000</v>
      </c>
      <c r="U19" s="42">
        <f>Elect!T22</f>
        <v>2.73</v>
      </c>
      <c r="V19" s="42">
        <f>Elect!AG22</f>
        <v>14400</v>
      </c>
      <c r="W19" s="42">
        <f>Elect!AF22</f>
        <v>3.64</v>
      </c>
      <c r="X19" s="42">
        <f>Elect!AK22</f>
        <v>8640</v>
      </c>
      <c r="Y19" s="42">
        <f>Elect!AJ22</f>
        <v>2.5</v>
      </c>
      <c r="Z19" s="42">
        <f>Elect!AO22</f>
        <v>120600</v>
      </c>
      <c r="AA19" s="42">
        <f>Elect!AN22</f>
        <v>2.2890000000000001</v>
      </c>
      <c r="AB19" s="42">
        <f>Elect!BJ22</f>
        <v>81800</v>
      </c>
      <c r="AC19" s="42">
        <f>Elect!BG22</f>
        <v>676200</v>
      </c>
      <c r="AD19" s="42">
        <f>Elect!BM22</f>
        <v>-67332</v>
      </c>
      <c r="AE19" s="42">
        <f>Elect!BP22</f>
        <v>98240</v>
      </c>
      <c r="AF19" s="44">
        <f>('Wtr-Gas'!E22)*0.0038</f>
        <v>9988.1859999999997</v>
      </c>
      <c r="AG19" s="44">
        <f>('Wtr-Gas'!H22)*0.0038</f>
        <v>15.694000000000001</v>
      </c>
      <c r="AH19" s="44">
        <f>'Wtr-Gas'!K22*0.0038</f>
        <v>20.52</v>
      </c>
      <c r="AI19" s="44">
        <f>'Wtr-Gas'!N22*0.0038</f>
        <v>7413.8</v>
      </c>
      <c r="AJ19" s="44">
        <f>'Wtr-Gas'!Q22*0.0038</f>
        <v>0</v>
      </c>
      <c r="AK19" s="47">
        <f>'Wtr-Gas'!U22*0.0038</f>
        <v>191.71</v>
      </c>
      <c r="AL19" s="47">
        <f>'Wtr-Gas'!X22*0.0038</f>
        <v>13591.84</v>
      </c>
      <c r="AM19" s="44">
        <f>'Wtr-Gas'!AB22*0.0038</f>
        <v>3.8</v>
      </c>
      <c r="AN19" s="44">
        <f>'Wtr-Gas'!AD22*0.0038</f>
        <v>25537.633999999998</v>
      </c>
      <c r="AO19" s="44">
        <f>'Wtr-Gas'!AF22*0.0038</f>
        <v>714.4</v>
      </c>
      <c r="AP19" s="44">
        <f>'Wtr-Gas'!AH22*0.0038</f>
        <v>6659602.5999999996</v>
      </c>
      <c r="AQ19" s="44">
        <f>'Wtr-Gas'!AJ22*0.0038</f>
        <v>86.754000000000005</v>
      </c>
      <c r="AR19" s="44">
        <f>'Wtr-Gas'!AL22*0.0038</f>
        <v>779</v>
      </c>
      <c r="AS19" s="44">
        <f>'Wtr-Gas'!AN22*0.0038</f>
        <v>0</v>
      </c>
      <c r="AT19" s="44">
        <f>'Wtr-Gas'!AP22*0.0038</f>
        <v>2.698</v>
      </c>
      <c r="AU19" s="47">
        <f>'Wtr-Gas'!AT22*0.0038</f>
        <v>1.8961999999999999</v>
      </c>
      <c r="AV19" s="44">
        <f>'Wtr-Gas'!AW22*0.0038</f>
        <v>1212.4166</v>
      </c>
      <c r="AW19" s="45">
        <f>'Wtr-Gas'!AY22*0.0038</f>
        <v>45.485999999999997</v>
      </c>
      <c r="AX19" s="44">
        <f>'Wtr-Gas'!AZ22*0.0038</f>
        <v>1166.9305999999999</v>
      </c>
      <c r="AY19" s="44">
        <f>'Wtr-Gas'!BB22*0.0038</f>
        <v>59.28</v>
      </c>
      <c r="AZ19" s="44">
        <f>'Wtr-Gas'!BD22*0.0038</f>
        <v>3.8</v>
      </c>
      <c r="BA19" s="44">
        <f>'Wtr-Gas'!BF22*0.0038</f>
        <v>553.53840000000002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25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08" t="s">
        <v>217</v>
      </c>
    </row>
    <row r="5" spans="2:9" x14ac:dyDescent="0.25">
      <c r="B5" s="3" t="s">
        <v>218</v>
      </c>
      <c r="C5" s="3" t="s">
        <v>219</v>
      </c>
      <c r="D5" s="3" t="s">
        <v>220</v>
      </c>
      <c r="E5" s="3" t="s">
        <v>221</v>
      </c>
      <c r="F5" s="3" t="s">
        <v>222</v>
      </c>
      <c r="G5" s="3" t="s">
        <v>223</v>
      </c>
      <c r="I5" s="3" t="s">
        <v>224</v>
      </c>
    </row>
    <row r="6" spans="2:9" x14ac:dyDescent="0.25">
      <c r="B6" t="s">
        <v>140</v>
      </c>
      <c r="C6" t="s">
        <v>105</v>
      </c>
      <c r="D6" t="s">
        <v>104</v>
      </c>
      <c r="E6" t="s">
        <v>146</v>
      </c>
      <c r="G6">
        <v>160</v>
      </c>
      <c r="I6" t="s">
        <v>225</v>
      </c>
    </row>
    <row r="7" spans="2:9" x14ac:dyDescent="0.25">
      <c r="B7" t="s">
        <v>140</v>
      </c>
      <c r="C7" t="s">
        <v>103</v>
      </c>
      <c r="D7" t="s">
        <v>102</v>
      </c>
      <c r="E7" t="s">
        <v>147</v>
      </c>
      <c r="G7">
        <v>160</v>
      </c>
      <c r="I7" t="s">
        <v>226</v>
      </c>
    </row>
    <row r="8" spans="2:9" x14ac:dyDescent="0.25">
      <c r="B8" t="s">
        <v>140</v>
      </c>
      <c r="C8" t="s">
        <v>115</v>
      </c>
      <c r="D8" t="s">
        <v>114</v>
      </c>
      <c r="E8" t="s">
        <v>148</v>
      </c>
      <c r="G8">
        <v>400</v>
      </c>
      <c r="I8" t="s">
        <v>227</v>
      </c>
    </row>
    <row r="9" spans="2:9" x14ac:dyDescent="0.25">
      <c r="B9" t="s">
        <v>140</v>
      </c>
      <c r="C9" t="s">
        <v>113</v>
      </c>
      <c r="D9" t="s">
        <v>112</v>
      </c>
      <c r="E9" t="s">
        <v>149</v>
      </c>
      <c r="G9">
        <v>400</v>
      </c>
      <c r="I9" t="s">
        <v>228</v>
      </c>
    </row>
    <row r="10" spans="2:9" x14ac:dyDescent="0.25">
      <c r="B10" t="s">
        <v>140</v>
      </c>
      <c r="C10" t="s">
        <v>117</v>
      </c>
      <c r="D10" t="s">
        <v>116</v>
      </c>
      <c r="E10" t="s">
        <v>150</v>
      </c>
      <c r="G10">
        <v>400</v>
      </c>
      <c r="I10" t="s">
        <v>229</v>
      </c>
    </row>
    <row r="11" spans="2:9" x14ac:dyDescent="0.25">
      <c r="B11" t="s">
        <v>230</v>
      </c>
      <c r="C11" t="s">
        <v>107</v>
      </c>
      <c r="D11" t="s">
        <v>106</v>
      </c>
      <c r="E11" t="s">
        <v>151</v>
      </c>
      <c r="G11">
        <v>300</v>
      </c>
      <c r="I11" t="s">
        <v>231</v>
      </c>
    </row>
    <row r="12" spans="2:9" x14ac:dyDescent="0.25">
      <c r="B12" t="s">
        <v>230</v>
      </c>
      <c r="C12" t="s">
        <v>111</v>
      </c>
      <c r="D12" t="s">
        <v>110</v>
      </c>
      <c r="E12" t="s">
        <v>152</v>
      </c>
      <c r="G12">
        <v>300</v>
      </c>
      <c r="I12" t="s">
        <v>230</v>
      </c>
    </row>
    <row r="13" spans="2:9" x14ac:dyDescent="0.25">
      <c r="B13" t="s">
        <v>230</v>
      </c>
      <c r="C13" t="s">
        <v>119</v>
      </c>
      <c r="D13" t="s">
        <v>118</v>
      </c>
      <c r="E13" t="s">
        <v>153</v>
      </c>
      <c r="G13">
        <v>160</v>
      </c>
      <c r="I13" t="s">
        <v>232</v>
      </c>
    </row>
    <row r="14" spans="2:9" x14ac:dyDescent="0.25">
      <c r="B14" t="s">
        <v>230</v>
      </c>
      <c r="C14" t="s">
        <v>121</v>
      </c>
      <c r="D14" t="s">
        <v>120</v>
      </c>
      <c r="E14" t="s">
        <v>154</v>
      </c>
      <c r="G14">
        <v>160</v>
      </c>
      <c r="I14" t="s">
        <v>232</v>
      </c>
    </row>
    <row r="15" spans="2:9" x14ac:dyDescent="0.25">
      <c r="B15" t="s">
        <v>233</v>
      </c>
      <c r="C15" t="s">
        <v>123</v>
      </c>
      <c r="D15" t="s">
        <v>122</v>
      </c>
      <c r="E15" t="s">
        <v>155</v>
      </c>
      <c r="G15">
        <v>200</v>
      </c>
      <c r="I15" t="s">
        <v>234</v>
      </c>
    </row>
    <row r="16" spans="2:9" x14ac:dyDescent="0.25">
      <c r="B16" t="s">
        <v>233</v>
      </c>
      <c r="C16" t="s">
        <v>109</v>
      </c>
      <c r="D16" t="s">
        <v>108</v>
      </c>
      <c r="E16" t="s">
        <v>156</v>
      </c>
      <c r="F16" t="s">
        <v>201</v>
      </c>
      <c r="G16">
        <v>40</v>
      </c>
      <c r="I16" t="s">
        <v>234</v>
      </c>
    </row>
    <row r="17" spans="2:9" x14ac:dyDescent="0.25">
      <c r="B17" t="s">
        <v>235</v>
      </c>
      <c r="C17" t="s">
        <v>236</v>
      </c>
      <c r="D17" t="s">
        <v>100</v>
      </c>
      <c r="E17" t="s">
        <v>157</v>
      </c>
      <c r="G17">
        <v>1</v>
      </c>
      <c r="I17" t="s">
        <v>237</v>
      </c>
    </row>
    <row r="18" spans="2:9" x14ac:dyDescent="0.25">
      <c r="B18" t="s">
        <v>141</v>
      </c>
      <c r="D18">
        <v>67273163</v>
      </c>
      <c r="E18" t="s">
        <v>162</v>
      </c>
      <c r="I18" t="s">
        <v>238</v>
      </c>
    </row>
    <row r="19" spans="2:9" x14ac:dyDescent="0.25">
      <c r="B19" t="s">
        <v>142</v>
      </c>
      <c r="D19">
        <v>67662513</v>
      </c>
      <c r="E19" t="s">
        <v>161</v>
      </c>
      <c r="I19" t="s">
        <v>142</v>
      </c>
    </row>
    <row r="20" spans="2:9" x14ac:dyDescent="0.25">
      <c r="B20" t="s">
        <v>143</v>
      </c>
      <c r="D20">
        <v>61979920</v>
      </c>
      <c r="E20" t="s">
        <v>163</v>
      </c>
      <c r="I20" t="s">
        <v>145</v>
      </c>
    </row>
    <row r="21" spans="2:9" x14ac:dyDescent="0.25">
      <c r="B21" t="s">
        <v>239</v>
      </c>
      <c r="D21">
        <v>56253208</v>
      </c>
      <c r="E21" t="s">
        <v>240</v>
      </c>
      <c r="I21" t="s">
        <v>241</v>
      </c>
    </row>
    <row r="24" spans="2:9" x14ac:dyDescent="0.25">
      <c r="B24" s="108" t="s">
        <v>213</v>
      </c>
    </row>
    <row r="25" spans="2:9" x14ac:dyDescent="0.25">
      <c r="B25" t="s">
        <v>242</v>
      </c>
      <c r="D25">
        <v>74860172</v>
      </c>
      <c r="E25" t="s">
        <v>82</v>
      </c>
      <c r="F25" t="s">
        <v>243</v>
      </c>
      <c r="I25" t="s">
        <v>213</v>
      </c>
    </row>
    <row r="26" spans="2:9" x14ac:dyDescent="0.25">
      <c r="B26" t="s">
        <v>242</v>
      </c>
      <c r="D26">
        <v>74860173</v>
      </c>
      <c r="E26" t="s">
        <v>82</v>
      </c>
      <c r="F26" t="s">
        <v>244</v>
      </c>
      <c r="I26" t="s">
        <v>245</v>
      </c>
    </row>
    <row r="27" spans="2:9" x14ac:dyDescent="0.25">
      <c r="B27" t="s">
        <v>246</v>
      </c>
      <c r="D27">
        <v>44553004</v>
      </c>
      <c r="E27" t="s">
        <v>82</v>
      </c>
      <c r="F27" t="s">
        <v>247</v>
      </c>
    </row>
    <row r="28" spans="2:9" x14ac:dyDescent="0.25">
      <c r="B28" t="s">
        <v>246</v>
      </c>
      <c r="D28">
        <v>70275191</v>
      </c>
      <c r="E28" t="s">
        <v>84</v>
      </c>
      <c r="F28" t="s">
        <v>248</v>
      </c>
      <c r="I28" t="s">
        <v>249</v>
      </c>
    </row>
    <row r="29" spans="2:9" x14ac:dyDescent="0.25">
      <c r="B29" t="s">
        <v>250</v>
      </c>
      <c r="D29">
        <v>2130521</v>
      </c>
      <c r="E29" t="s">
        <v>84</v>
      </c>
      <c r="F29" t="s">
        <v>251</v>
      </c>
      <c r="I29" t="s">
        <v>252</v>
      </c>
    </row>
    <row r="31" spans="2:9" x14ac:dyDescent="0.25">
      <c r="B31" s="3" t="s">
        <v>253</v>
      </c>
      <c r="C31" s="3" t="s">
        <v>254</v>
      </c>
    </row>
    <row r="32" spans="2:9" x14ac:dyDescent="0.25">
      <c r="B32" t="s">
        <v>255</v>
      </c>
      <c r="D32">
        <v>79177804</v>
      </c>
      <c r="E32" t="s">
        <v>256</v>
      </c>
      <c r="F32" t="s">
        <v>257</v>
      </c>
    </row>
    <row r="33" spans="2:9" x14ac:dyDescent="0.25">
      <c r="B33" t="s">
        <v>255</v>
      </c>
      <c r="D33">
        <v>79305675</v>
      </c>
      <c r="E33" t="s">
        <v>256</v>
      </c>
      <c r="F33" t="s">
        <v>258</v>
      </c>
    </row>
    <row r="34" spans="2:9" x14ac:dyDescent="0.25">
      <c r="B34" t="s">
        <v>259</v>
      </c>
      <c r="D34" s="109" t="s">
        <v>49</v>
      </c>
      <c r="E34" t="s">
        <v>83</v>
      </c>
      <c r="F34" t="s">
        <v>260</v>
      </c>
    </row>
    <row r="35" spans="2:9" x14ac:dyDescent="0.25">
      <c r="B35" t="s">
        <v>259</v>
      </c>
      <c r="D35">
        <v>79190041</v>
      </c>
      <c r="E35" t="s">
        <v>83</v>
      </c>
      <c r="F35" t="s">
        <v>261</v>
      </c>
    </row>
    <row r="36" spans="2:9" x14ac:dyDescent="0.25">
      <c r="B36" t="s">
        <v>262</v>
      </c>
      <c r="D36">
        <v>79190039</v>
      </c>
      <c r="E36" t="s">
        <v>256</v>
      </c>
      <c r="F36" t="s">
        <v>260</v>
      </c>
    </row>
    <row r="37" spans="2:9" x14ac:dyDescent="0.25">
      <c r="B37" t="s">
        <v>263</v>
      </c>
      <c r="C37" s="3" t="s">
        <v>264</v>
      </c>
      <c r="D37">
        <v>79324776</v>
      </c>
      <c r="E37" t="s">
        <v>83</v>
      </c>
      <c r="F37" t="s">
        <v>265</v>
      </c>
    </row>
    <row r="38" spans="2:9" x14ac:dyDescent="0.25">
      <c r="B38" t="s">
        <v>266</v>
      </c>
      <c r="C38" s="3" t="s">
        <v>267</v>
      </c>
      <c r="D38" s="110" t="s">
        <v>64</v>
      </c>
      <c r="E38" t="s">
        <v>84</v>
      </c>
      <c r="F38" t="s">
        <v>268</v>
      </c>
    </row>
    <row r="39" spans="2:9" x14ac:dyDescent="0.25">
      <c r="B39" t="s">
        <v>140</v>
      </c>
      <c r="C39" s="3" t="s">
        <v>267</v>
      </c>
      <c r="D39" s="110" t="s">
        <v>65</v>
      </c>
      <c r="E39" t="s">
        <v>84</v>
      </c>
      <c r="F39" t="s">
        <v>269</v>
      </c>
    </row>
    <row r="40" spans="2:9" x14ac:dyDescent="0.25">
      <c r="C40" s="3"/>
    </row>
    <row r="41" spans="2:9" x14ac:dyDescent="0.25">
      <c r="C41" s="3"/>
    </row>
    <row r="43" spans="2:9" x14ac:dyDescent="0.25">
      <c r="B43" s="108" t="s">
        <v>270</v>
      </c>
    </row>
    <row r="44" spans="2:9" x14ac:dyDescent="0.25">
      <c r="B44" t="s">
        <v>271</v>
      </c>
      <c r="D44" s="15" t="s">
        <v>62</v>
      </c>
      <c r="E44" t="s">
        <v>84</v>
      </c>
      <c r="F44" t="s">
        <v>272</v>
      </c>
      <c r="I44" t="s">
        <v>273</v>
      </c>
    </row>
    <row r="45" spans="2:9" x14ac:dyDescent="0.25">
      <c r="D45" t="s">
        <v>274</v>
      </c>
      <c r="E45" s="25">
        <v>41962</v>
      </c>
      <c r="I45" t="s">
        <v>275</v>
      </c>
    </row>
    <row r="46" spans="2:9" x14ac:dyDescent="0.25">
      <c r="B46" t="s">
        <v>276</v>
      </c>
      <c r="D46">
        <v>80606729</v>
      </c>
      <c r="E46" s="25">
        <v>42522</v>
      </c>
      <c r="I46" t="s">
        <v>277</v>
      </c>
    </row>
    <row r="48" spans="2:9" x14ac:dyDescent="0.25">
      <c r="B48" t="s">
        <v>278</v>
      </c>
      <c r="D48">
        <v>85492530</v>
      </c>
      <c r="E48" s="25">
        <v>43698</v>
      </c>
      <c r="I48" t="s">
        <v>279</v>
      </c>
    </row>
    <row r="51" spans="2:9" x14ac:dyDescent="0.25">
      <c r="B51" t="s">
        <v>280</v>
      </c>
      <c r="D51" t="s">
        <v>281</v>
      </c>
      <c r="E51" t="s">
        <v>282</v>
      </c>
    </row>
    <row r="52" spans="2:9" x14ac:dyDescent="0.25">
      <c r="D52">
        <v>10816233</v>
      </c>
      <c r="E52">
        <v>2236896</v>
      </c>
      <c r="I52" t="s">
        <v>283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11" t="s">
        <v>284</v>
      </c>
      <c r="C1" s="111"/>
      <c r="D1" s="111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</row>
    <row r="2" spans="1:19" ht="15.75" thickBot="1" x14ac:dyDescent="0.3"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 t="s">
        <v>285</v>
      </c>
      <c r="O2" s="112"/>
    </row>
    <row r="3" spans="1:19" ht="15.75" thickBot="1" x14ac:dyDescent="0.3">
      <c r="B3" s="113" t="s">
        <v>286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5"/>
      <c r="O3" s="116"/>
    </row>
    <row r="4" spans="1:19" x14ac:dyDescent="0.25">
      <c r="B4" s="214">
        <v>74860172</v>
      </c>
      <c r="C4" s="215"/>
      <c r="D4" s="214">
        <v>74860173</v>
      </c>
      <c r="E4" s="215"/>
      <c r="F4" s="214">
        <v>44553004</v>
      </c>
      <c r="G4" s="215"/>
      <c r="H4" s="214">
        <v>70275191</v>
      </c>
      <c r="I4" s="215"/>
      <c r="J4" s="214">
        <v>2130521</v>
      </c>
      <c r="K4" s="215"/>
      <c r="L4" s="214" t="s">
        <v>274</v>
      </c>
      <c r="M4" s="215"/>
      <c r="N4" s="222">
        <v>93477704</v>
      </c>
      <c r="O4" s="223"/>
    </row>
    <row r="5" spans="1:19" x14ac:dyDescent="0.25">
      <c r="B5" s="117"/>
      <c r="C5" s="118"/>
      <c r="D5" s="117"/>
      <c r="E5" s="118"/>
      <c r="F5" s="117"/>
      <c r="G5" s="118"/>
      <c r="H5" s="117"/>
      <c r="I5" s="118" t="s">
        <v>287</v>
      </c>
      <c r="J5" s="117"/>
      <c r="K5" s="118"/>
      <c r="L5" s="117" t="s">
        <v>201</v>
      </c>
      <c r="M5" s="118" t="s">
        <v>201</v>
      </c>
      <c r="N5" s="117"/>
      <c r="O5" s="118"/>
    </row>
    <row r="6" spans="1:19" x14ac:dyDescent="0.25">
      <c r="B6" s="198" t="s">
        <v>128</v>
      </c>
      <c r="C6" s="199"/>
      <c r="D6" s="198" t="s">
        <v>130</v>
      </c>
      <c r="E6" s="199"/>
      <c r="F6" s="198" t="s">
        <v>131</v>
      </c>
      <c r="G6" s="199"/>
      <c r="H6" s="198" t="s">
        <v>288</v>
      </c>
      <c r="I6" s="199"/>
      <c r="J6" s="198" t="s">
        <v>133</v>
      </c>
      <c r="K6" s="199"/>
      <c r="L6" s="198" t="s">
        <v>289</v>
      </c>
      <c r="M6" s="199"/>
      <c r="N6" s="119" t="s">
        <v>290</v>
      </c>
      <c r="O6" s="120"/>
      <c r="S6" s="121"/>
    </row>
    <row r="7" spans="1:19" ht="26.25" customHeight="1" x14ac:dyDescent="0.5">
      <c r="A7" s="122"/>
      <c r="B7" s="200"/>
      <c r="C7" s="200"/>
      <c r="D7" s="200"/>
      <c r="E7" s="200"/>
      <c r="F7" s="200"/>
      <c r="G7" s="200"/>
      <c r="H7" s="200"/>
      <c r="I7" s="200"/>
      <c r="J7" s="192"/>
      <c r="K7" s="193"/>
      <c r="L7" s="192"/>
      <c r="M7" s="193"/>
      <c r="N7" s="123"/>
      <c r="O7" s="124"/>
    </row>
    <row r="8" spans="1:19" ht="7.5" customHeight="1" x14ac:dyDescent="0.5">
      <c r="A8" s="122"/>
      <c r="B8" s="125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7"/>
      <c r="O8" s="118"/>
    </row>
    <row r="9" spans="1:19" x14ac:dyDescent="0.25">
      <c r="B9" s="205">
        <v>85492530</v>
      </c>
      <c r="C9" s="206"/>
      <c r="D9" s="205">
        <v>79305675</v>
      </c>
      <c r="E9" s="206"/>
      <c r="F9" s="205">
        <v>79190041</v>
      </c>
      <c r="G9" s="206"/>
      <c r="H9" s="205" t="s">
        <v>49</v>
      </c>
      <c r="I9" s="206"/>
      <c r="J9" s="205">
        <v>79190039</v>
      </c>
      <c r="K9" s="206"/>
      <c r="L9" s="205">
        <v>79324776</v>
      </c>
      <c r="M9" s="206"/>
      <c r="N9" s="128"/>
      <c r="O9" s="129"/>
    </row>
    <row r="10" spans="1:19" x14ac:dyDescent="0.25">
      <c r="B10" s="214" t="s">
        <v>255</v>
      </c>
      <c r="C10" s="215"/>
      <c r="D10" s="214" t="s">
        <v>255</v>
      </c>
      <c r="E10" s="215"/>
      <c r="F10" s="214" t="s">
        <v>259</v>
      </c>
      <c r="G10" s="215"/>
      <c r="H10" s="214" t="s">
        <v>259</v>
      </c>
      <c r="I10" s="215"/>
      <c r="J10" s="214" t="s">
        <v>262</v>
      </c>
      <c r="K10" s="215"/>
      <c r="L10" s="214" t="s">
        <v>263</v>
      </c>
      <c r="M10" s="215"/>
      <c r="N10" s="218" t="s">
        <v>291</v>
      </c>
      <c r="O10" s="219"/>
    </row>
    <row r="11" spans="1:19" x14ac:dyDescent="0.25">
      <c r="B11" s="198" t="s">
        <v>292</v>
      </c>
      <c r="C11" s="199"/>
      <c r="D11" s="198" t="s">
        <v>293</v>
      </c>
      <c r="E11" s="199"/>
      <c r="F11" s="198" t="s">
        <v>261</v>
      </c>
      <c r="G11" s="199"/>
      <c r="H11" s="198" t="s">
        <v>294</v>
      </c>
      <c r="I11" s="199"/>
      <c r="J11" s="198" t="s">
        <v>294</v>
      </c>
      <c r="K11" s="199"/>
      <c r="L11" s="198" t="s">
        <v>261</v>
      </c>
      <c r="M11" s="199"/>
      <c r="N11" s="220" t="s">
        <v>295</v>
      </c>
      <c r="O11" s="221"/>
    </row>
    <row r="12" spans="1:19" ht="29.25" customHeight="1" x14ac:dyDescent="0.5">
      <c r="A12" s="122"/>
      <c r="B12" s="200"/>
      <c r="C12" s="200"/>
      <c r="D12" s="200"/>
      <c r="E12" s="200"/>
      <c r="F12" s="200"/>
      <c r="G12" s="200"/>
      <c r="H12" s="200"/>
      <c r="I12" s="200"/>
      <c r="J12" s="192"/>
      <c r="K12" s="193"/>
      <c r="L12" s="192"/>
      <c r="M12" s="193"/>
      <c r="N12" s="130"/>
      <c r="O12" s="131"/>
    </row>
    <row r="13" spans="1:19" ht="7.5" customHeight="1" thickBot="1" x14ac:dyDescent="0.55000000000000004">
      <c r="A13" s="12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3"/>
      <c r="O13" s="133"/>
    </row>
    <row r="14" spans="1:19" ht="15.75" thickBot="1" x14ac:dyDescent="0.3">
      <c r="B14" s="216" t="s">
        <v>296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115"/>
      <c r="O14" s="116"/>
    </row>
    <row r="15" spans="1:19" x14ac:dyDescent="0.25">
      <c r="B15" s="214" t="s">
        <v>146</v>
      </c>
      <c r="C15" s="215"/>
      <c r="D15" s="214" t="s">
        <v>147</v>
      </c>
      <c r="E15" s="215"/>
      <c r="F15" s="214" t="s">
        <v>148</v>
      </c>
      <c r="G15" s="215"/>
      <c r="H15" s="214" t="s">
        <v>149</v>
      </c>
      <c r="I15" s="215"/>
      <c r="J15" s="214" t="s">
        <v>150</v>
      </c>
      <c r="K15" s="215"/>
      <c r="L15" s="207"/>
      <c r="M15" s="208"/>
      <c r="N15" s="134"/>
      <c r="O15" s="135"/>
    </row>
    <row r="16" spans="1:19" x14ac:dyDescent="0.25">
      <c r="B16" s="136" t="s">
        <v>104</v>
      </c>
      <c r="C16" s="136" t="s">
        <v>105</v>
      </c>
      <c r="D16" s="136" t="s">
        <v>102</v>
      </c>
      <c r="E16" s="136" t="s">
        <v>103</v>
      </c>
      <c r="F16" s="136" t="s">
        <v>114</v>
      </c>
      <c r="G16" s="136" t="s">
        <v>115</v>
      </c>
      <c r="H16" s="136" t="s">
        <v>112</v>
      </c>
      <c r="I16" s="136" t="s">
        <v>113</v>
      </c>
      <c r="J16" s="136" t="s">
        <v>116</v>
      </c>
      <c r="K16" s="136" t="s">
        <v>117</v>
      </c>
      <c r="L16" s="137"/>
      <c r="M16" s="137"/>
      <c r="N16" s="138"/>
      <c r="O16" s="138"/>
    </row>
    <row r="17" spans="1:15" x14ac:dyDescent="0.25">
      <c r="B17" s="139" t="s">
        <v>77</v>
      </c>
      <c r="C17" s="139" t="s">
        <v>79</v>
      </c>
      <c r="D17" s="139" t="s">
        <v>77</v>
      </c>
      <c r="E17" s="139" t="s">
        <v>79</v>
      </c>
      <c r="F17" s="139" t="s">
        <v>77</v>
      </c>
      <c r="G17" s="139" t="s">
        <v>79</v>
      </c>
      <c r="H17" s="139" t="s">
        <v>77</v>
      </c>
      <c r="I17" s="139" t="s">
        <v>79</v>
      </c>
      <c r="J17" s="139" t="s">
        <v>77</v>
      </c>
      <c r="K17" s="139" t="s">
        <v>79</v>
      </c>
      <c r="L17" s="137"/>
      <c r="M17" s="137"/>
      <c r="N17" s="138"/>
      <c r="O17" s="138"/>
    </row>
    <row r="18" spans="1:15" ht="30" customHeight="1" x14ac:dyDescent="0.5">
      <c r="A18" s="122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1"/>
      <c r="M18" s="141"/>
      <c r="N18" s="138"/>
      <c r="O18" s="138"/>
    </row>
    <row r="19" spans="1:15" ht="7.5" customHeight="1" thickBot="1" x14ac:dyDescent="0.55000000000000004">
      <c r="A19" s="122"/>
      <c r="B19" s="125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7"/>
      <c r="O19" s="118"/>
    </row>
    <row r="20" spans="1:15" x14ac:dyDescent="0.25">
      <c r="B20" s="209" t="s">
        <v>297</v>
      </c>
      <c r="C20" s="210"/>
      <c r="D20" s="210"/>
      <c r="E20" s="210"/>
      <c r="F20" s="210"/>
      <c r="G20" s="210"/>
      <c r="H20" s="210"/>
      <c r="I20" s="211"/>
      <c r="J20" s="212" t="s">
        <v>259</v>
      </c>
      <c r="K20" s="210"/>
      <c r="L20" s="210"/>
      <c r="M20" s="210"/>
      <c r="N20" s="210"/>
      <c r="O20" s="142"/>
    </row>
    <row r="21" spans="1:15" x14ac:dyDescent="0.25">
      <c r="B21" s="205" t="s">
        <v>151</v>
      </c>
      <c r="C21" s="206"/>
      <c r="D21" s="205" t="s">
        <v>152</v>
      </c>
      <c r="E21" s="206"/>
      <c r="F21" s="205" t="s">
        <v>153</v>
      </c>
      <c r="G21" s="206"/>
      <c r="H21" s="205" t="s">
        <v>154</v>
      </c>
      <c r="I21" s="206"/>
      <c r="J21" s="213" t="s">
        <v>155</v>
      </c>
      <c r="K21" s="213"/>
      <c r="L21" s="205" t="s">
        <v>156</v>
      </c>
      <c r="M21" s="206"/>
      <c r="N21" s="143"/>
      <c r="O21" s="144"/>
    </row>
    <row r="22" spans="1:15" x14ac:dyDescent="0.25">
      <c r="B22" s="136" t="s">
        <v>106</v>
      </c>
      <c r="C22" s="136" t="s">
        <v>107</v>
      </c>
      <c r="D22" s="136" t="s">
        <v>110</v>
      </c>
      <c r="E22" s="136" t="s">
        <v>111</v>
      </c>
      <c r="F22" s="136" t="s">
        <v>118</v>
      </c>
      <c r="G22" s="136" t="s">
        <v>119</v>
      </c>
      <c r="H22" s="136" t="s">
        <v>120</v>
      </c>
      <c r="I22" s="136" t="s">
        <v>121</v>
      </c>
      <c r="J22" s="136" t="s">
        <v>122</v>
      </c>
      <c r="K22" s="136" t="s">
        <v>123</v>
      </c>
      <c r="L22" s="136" t="s">
        <v>108</v>
      </c>
      <c r="M22" s="136" t="s">
        <v>109</v>
      </c>
      <c r="N22" s="138"/>
      <c r="O22" s="138"/>
    </row>
    <row r="23" spans="1:15" x14ac:dyDescent="0.25">
      <c r="B23" s="139" t="s">
        <v>77</v>
      </c>
      <c r="C23" s="139" t="s">
        <v>79</v>
      </c>
      <c r="D23" s="139" t="s">
        <v>77</v>
      </c>
      <c r="E23" s="139" t="s">
        <v>79</v>
      </c>
      <c r="F23" s="139" t="s">
        <v>77</v>
      </c>
      <c r="G23" s="139" t="s">
        <v>79</v>
      </c>
      <c r="H23" s="139" t="s">
        <v>77</v>
      </c>
      <c r="I23" s="139" t="s">
        <v>79</v>
      </c>
      <c r="J23" s="139" t="s">
        <v>77</v>
      </c>
      <c r="K23" s="139" t="s">
        <v>79</v>
      </c>
      <c r="L23" s="139" t="s">
        <v>77</v>
      </c>
      <c r="M23" s="139" t="s">
        <v>79</v>
      </c>
      <c r="N23" s="138"/>
      <c r="O23" s="138"/>
    </row>
    <row r="24" spans="1:15" ht="33" customHeight="1" x14ac:dyDescent="0.5">
      <c r="A24" s="122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38"/>
      <c r="O24" s="138"/>
    </row>
    <row r="25" spans="1:15" ht="7.5" customHeight="1" x14ac:dyDescent="0.5">
      <c r="A25" s="122"/>
      <c r="B25" s="125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7"/>
      <c r="O25" s="118"/>
    </row>
    <row r="26" spans="1:15" x14ac:dyDescent="0.25">
      <c r="B26" s="201" t="s">
        <v>298</v>
      </c>
      <c r="C26" s="202"/>
      <c r="D26" s="201" t="s">
        <v>299</v>
      </c>
      <c r="E26" s="202"/>
      <c r="F26" s="145"/>
      <c r="G26" s="145"/>
      <c r="H26" s="145"/>
      <c r="I26" s="145"/>
      <c r="J26" s="203">
        <v>112014001775</v>
      </c>
      <c r="K26" s="204"/>
      <c r="L26" s="203">
        <v>112014001771</v>
      </c>
      <c r="M26" s="204"/>
      <c r="N26" s="143"/>
      <c r="O26" s="144"/>
    </row>
    <row r="27" spans="1:15" x14ac:dyDescent="0.25">
      <c r="B27" s="205" t="s">
        <v>157</v>
      </c>
      <c r="C27" s="206"/>
      <c r="D27" s="205" t="s">
        <v>300</v>
      </c>
      <c r="E27" s="206"/>
      <c r="F27" s="127"/>
      <c r="G27" s="127"/>
      <c r="H27" s="127"/>
      <c r="I27" s="127"/>
      <c r="J27" s="205" t="s">
        <v>266</v>
      </c>
      <c r="K27" s="206"/>
      <c r="L27" s="205" t="s">
        <v>140</v>
      </c>
      <c r="M27" s="206"/>
      <c r="N27" s="146"/>
      <c r="O27" s="147"/>
    </row>
    <row r="28" spans="1:15" x14ac:dyDescent="0.25">
      <c r="B28" s="139" t="s">
        <v>100</v>
      </c>
      <c r="C28" s="139" t="s">
        <v>236</v>
      </c>
      <c r="D28" s="194" t="s">
        <v>301</v>
      </c>
      <c r="E28" s="195"/>
      <c r="F28" s="127"/>
      <c r="G28" s="127"/>
      <c r="H28" s="127"/>
      <c r="I28" s="127"/>
      <c r="J28" s="196" t="s">
        <v>302</v>
      </c>
      <c r="K28" s="197"/>
      <c r="L28" s="198" t="s">
        <v>303</v>
      </c>
      <c r="M28" s="199"/>
      <c r="N28" s="134"/>
      <c r="O28" s="135"/>
    </row>
    <row r="29" spans="1:15" x14ac:dyDescent="0.25">
      <c r="B29" s="194" t="s">
        <v>77</v>
      </c>
      <c r="C29" s="195"/>
      <c r="D29" s="194" t="s">
        <v>304</v>
      </c>
      <c r="E29" s="195"/>
      <c r="F29" s="127"/>
      <c r="G29" s="127"/>
      <c r="H29" s="127"/>
      <c r="I29" s="127"/>
      <c r="J29" s="200" t="s">
        <v>305</v>
      </c>
      <c r="K29" s="200"/>
      <c r="L29" s="200" t="s">
        <v>305</v>
      </c>
      <c r="M29" s="200"/>
      <c r="N29" s="143"/>
      <c r="O29" s="144"/>
    </row>
    <row r="30" spans="1:15" ht="33.75" x14ac:dyDescent="0.5">
      <c r="A30" s="122"/>
      <c r="B30" s="192"/>
      <c r="C30" s="193"/>
      <c r="D30" s="192"/>
      <c r="E30" s="193"/>
      <c r="F30" s="148"/>
      <c r="G30" s="148"/>
      <c r="H30" s="148"/>
      <c r="I30" s="148"/>
      <c r="J30" s="123"/>
      <c r="K30" s="124"/>
      <c r="L30" s="123"/>
      <c r="M30" s="124"/>
      <c r="N30" s="143"/>
      <c r="O30" s="144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>
      <selection activeCell="J4" sqref="J4"/>
    </sheetView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232" t="s">
        <v>306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</row>
    <row r="3" spans="1:13" x14ac:dyDescent="0.25">
      <c r="B3" s="233">
        <v>73337589</v>
      </c>
      <c r="C3" s="234"/>
      <c r="D3" s="233">
        <v>65956268</v>
      </c>
      <c r="E3" s="234"/>
      <c r="F3" s="233">
        <v>1334021</v>
      </c>
      <c r="G3" s="234"/>
      <c r="H3" s="233">
        <v>63265094</v>
      </c>
      <c r="I3" s="234"/>
      <c r="J3" s="233">
        <v>80606729</v>
      </c>
      <c r="K3" s="234"/>
      <c r="L3" s="233" t="s">
        <v>201</v>
      </c>
      <c r="M3" s="234"/>
    </row>
    <row r="4" spans="1:13" x14ac:dyDescent="0.25">
      <c r="B4" s="31" t="s">
        <v>201</v>
      </c>
      <c r="C4" s="32" t="s">
        <v>201</v>
      </c>
      <c r="D4" s="31" t="s">
        <v>201</v>
      </c>
      <c r="E4" s="32" t="s">
        <v>201</v>
      </c>
      <c r="F4" s="31" t="s">
        <v>201</v>
      </c>
      <c r="G4" s="32" t="s">
        <v>201</v>
      </c>
      <c r="H4" s="31" t="s">
        <v>201</v>
      </c>
      <c r="I4" s="32" t="s">
        <v>201</v>
      </c>
      <c r="J4" s="31" t="s">
        <v>201</v>
      </c>
      <c r="K4" s="32" t="s">
        <v>201</v>
      </c>
      <c r="L4" s="31" t="s">
        <v>201</v>
      </c>
      <c r="M4" s="32" t="s">
        <v>201</v>
      </c>
    </row>
    <row r="5" spans="1:13" x14ac:dyDescent="0.25">
      <c r="B5" s="224" t="s">
        <v>307</v>
      </c>
      <c r="C5" s="225"/>
      <c r="D5" s="224" t="s">
        <v>308</v>
      </c>
      <c r="E5" s="225"/>
      <c r="F5" s="224" t="s">
        <v>141</v>
      </c>
      <c r="G5" s="225"/>
      <c r="H5" s="224" t="s">
        <v>145</v>
      </c>
      <c r="I5" s="225"/>
      <c r="J5" s="224" t="s">
        <v>309</v>
      </c>
      <c r="K5" s="225"/>
      <c r="L5" s="224" t="s">
        <v>201</v>
      </c>
      <c r="M5" s="225"/>
    </row>
    <row r="6" spans="1:13" ht="33.75" x14ac:dyDescent="0.5">
      <c r="A6" s="122"/>
      <c r="B6" s="226"/>
      <c r="C6" s="226"/>
      <c r="D6" s="226"/>
      <c r="E6" s="226"/>
      <c r="F6" s="226"/>
      <c r="G6" s="226"/>
      <c r="H6" s="226"/>
      <c r="I6" s="226"/>
      <c r="J6" s="228"/>
      <c r="K6" s="229"/>
      <c r="L6" s="228"/>
      <c r="M6" s="229"/>
    </row>
    <row r="7" spans="1:13" ht="33.75" x14ac:dyDescent="0.5">
      <c r="A7" s="12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x14ac:dyDescent="0.25">
      <c r="B8" s="232" t="s">
        <v>310</v>
      </c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</row>
    <row r="9" spans="1:13" x14ac:dyDescent="0.25">
      <c r="B9" s="233" t="s">
        <v>161</v>
      </c>
      <c r="C9" s="234"/>
      <c r="D9" s="233" t="s">
        <v>162</v>
      </c>
      <c r="E9" s="234"/>
      <c r="F9" s="233"/>
      <c r="G9" s="234"/>
      <c r="H9" s="233" t="s">
        <v>311</v>
      </c>
      <c r="I9" s="234"/>
      <c r="J9" s="233" t="s">
        <v>240</v>
      </c>
      <c r="K9" s="234"/>
      <c r="L9" s="233" t="s">
        <v>201</v>
      </c>
      <c r="M9" s="234"/>
    </row>
    <row r="10" spans="1:13" x14ac:dyDescent="0.25">
      <c r="B10" s="31" t="s">
        <v>125</v>
      </c>
      <c r="C10" s="32" t="s">
        <v>201</v>
      </c>
      <c r="D10" s="31" t="s">
        <v>124</v>
      </c>
      <c r="E10" s="32" t="s">
        <v>201</v>
      </c>
      <c r="F10" s="31"/>
      <c r="G10" s="32"/>
      <c r="H10" s="31" t="s">
        <v>126</v>
      </c>
      <c r="I10" s="32" t="s">
        <v>201</v>
      </c>
      <c r="J10" s="230" t="s">
        <v>127</v>
      </c>
      <c r="K10" s="231"/>
      <c r="L10" s="31" t="s">
        <v>201</v>
      </c>
      <c r="M10" s="32" t="s">
        <v>201</v>
      </c>
    </row>
    <row r="11" spans="1:13" x14ac:dyDescent="0.25">
      <c r="B11" s="224" t="s">
        <v>307</v>
      </c>
      <c r="C11" s="225"/>
      <c r="D11" s="224" t="s">
        <v>141</v>
      </c>
      <c r="E11" s="225"/>
      <c r="F11" s="224"/>
      <c r="G11" s="225"/>
      <c r="H11" s="224" t="s">
        <v>145</v>
      </c>
      <c r="I11" s="225"/>
      <c r="J11" s="224" t="s">
        <v>241</v>
      </c>
      <c r="K11" s="225"/>
      <c r="L11" s="224" t="s">
        <v>201</v>
      </c>
      <c r="M11" s="225"/>
    </row>
    <row r="12" spans="1:13" ht="33.75" x14ac:dyDescent="0.5">
      <c r="A12" s="122"/>
      <c r="B12" s="226"/>
      <c r="C12" s="226"/>
      <c r="D12" s="226"/>
      <c r="E12" s="226"/>
      <c r="F12" s="226"/>
      <c r="G12" s="226"/>
      <c r="H12" s="227"/>
      <c r="I12" s="227"/>
      <c r="J12" s="228"/>
      <c r="K12" s="229"/>
      <c r="L12" s="228"/>
      <c r="M12" s="229"/>
    </row>
    <row r="13" spans="1:13" ht="33.75" x14ac:dyDescent="0.5">
      <c r="A13" s="1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x14ac:dyDescent="0.25">
      <c r="B14" s="232" t="s">
        <v>312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</row>
    <row r="15" spans="1:13" x14ac:dyDescent="0.25">
      <c r="B15" s="233" t="s">
        <v>66</v>
      </c>
      <c r="C15" s="234"/>
      <c r="D15" s="233" t="s">
        <v>313</v>
      </c>
      <c r="E15" s="234"/>
      <c r="F15" s="233" t="s">
        <v>314</v>
      </c>
      <c r="G15" s="234"/>
      <c r="H15" s="233" t="s">
        <v>315</v>
      </c>
      <c r="I15" s="234"/>
      <c r="J15" s="233" t="s">
        <v>316</v>
      </c>
      <c r="K15" s="234"/>
      <c r="L15" s="233" t="s">
        <v>317</v>
      </c>
      <c r="M15" s="234"/>
    </row>
    <row r="16" spans="1:13" x14ac:dyDescent="0.25">
      <c r="B16" s="31">
        <v>46801014</v>
      </c>
      <c r="C16" s="32" t="s">
        <v>201</v>
      </c>
      <c r="D16" s="31" t="s">
        <v>201</v>
      </c>
      <c r="E16" s="32" t="s">
        <v>201</v>
      </c>
      <c r="F16" s="31" t="s">
        <v>201</v>
      </c>
      <c r="G16" s="32" t="s">
        <v>201</v>
      </c>
      <c r="H16" s="31" t="s">
        <v>201</v>
      </c>
      <c r="I16" s="32" t="s">
        <v>201</v>
      </c>
      <c r="J16" s="230" t="s">
        <v>201</v>
      </c>
      <c r="K16" s="231"/>
      <c r="L16" s="31" t="s">
        <v>201</v>
      </c>
      <c r="M16" s="32" t="s">
        <v>201</v>
      </c>
    </row>
    <row r="17" spans="1:13" x14ac:dyDescent="0.25">
      <c r="B17" s="224" t="s">
        <v>318</v>
      </c>
      <c r="C17" s="225"/>
      <c r="D17" s="224" t="s">
        <v>141</v>
      </c>
      <c r="E17" s="225"/>
      <c r="F17" s="224" t="s">
        <v>141</v>
      </c>
      <c r="G17" s="225"/>
      <c r="H17" s="224" t="s">
        <v>319</v>
      </c>
      <c r="I17" s="225"/>
      <c r="J17" s="224" t="s">
        <v>141</v>
      </c>
      <c r="K17" s="225"/>
      <c r="L17" s="224" t="s">
        <v>141</v>
      </c>
      <c r="M17" s="225"/>
    </row>
    <row r="18" spans="1:13" ht="33.75" x14ac:dyDescent="0.5">
      <c r="A18" s="122"/>
      <c r="B18" s="226"/>
      <c r="C18" s="226"/>
      <c r="D18" s="226"/>
      <c r="E18" s="226"/>
      <c r="F18" s="226"/>
      <c r="G18" s="226"/>
      <c r="H18" s="227"/>
      <c r="I18" s="227"/>
      <c r="J18" s="228"/>
      <c r="K18" s="229"/>
      <c r="L18" s="228"/>
      <c r="M18" s="229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>
      <selection activeCell="X14" sqref="X14"/>
    </sheetView>
  </sheetViews>
  <sheetFormatPr defaultRowHeight="15" x14ac:dyDescent="0.25"/>
  <cols>
    <col min="16" max="16" width="16.140625" customWidth="1"/>
    <col min="26" max="26" width="10.140625" style="54" bestFit="1" customWidth="1"/>
  </cols>
  <sheetData>
    <row r="2" spans="2:27" x14ac:dyDescent="0.25">
      <c r="B2" t="s">
        <v>320</v>
      </c>
      <c r="C2" t="s">
        <v>321</v>
      </c>
      <c r="D2" t="s">
        <v>322</v>
      </c>
      <c r="E2" t="s">
        <v>323</v>
      </c>
      <c r="F2" t="s">
        <v>324</v>
      </c>
      <c r="G2" t="s">
        <v>325</v>
      </c>
      <c r="H2" t="s">
        <v>326</v>
      </c>
      <c r="I2" t="s">
        <v>327</v>
      </c>
      <c r="J2" t="s">
        <v>328</v>
      </c>
      <c r="K2" t="s">
        <v>329</v>
      </c>
      <c r="L2" t="s">
        <v>330</v>
      </c>
      <c r="M2" t="s">
        <v>331</v>
      </c>
      <c r="O2" t="s">
        <v>77</v>
      </c>
      <c r="P2" t="s">
        <v>332</v>
      </c>
      <c r="Q2" t="s">
        <v>79</v>
      </c>
    </row>
    <row r="3" spans="2:27" x14ac:dyDescent="0.25">
      <c r="Z3" s="54" t="s">
        <v>199</v>
      </c>
      <c r="AA3" t="s">
        <v>333</v>
      </c>
    </row>
    <row r="5" spans="2:27" x14ac:dyDescent="0.25">
      <c r="Y5">
        <v>2015</v>
      </c>
      <c r="Z5" s="54" t="e">
        <f>([1]Elect!#REF!)</f>
        <v>#REF!</v>
      </c>
    </row>
    <row r="6" spans="2:27" x14ac:dyDescent="0.25">
      <c r="Y6">
        <v>2016</v>
      </c>
      <c r="Z6" s="54" t="e">
        <f>([1]Elect!#REF!)</f>
        <v>#REF!</v>
      </c>
    </row>
    <row r="7" spans="2:27" x14ac:dyDescent="0.25">
      <c r="Y7">
        <v>2017</v>
      </c>
      <c r="Z7" s="54" t="e">
        <f>([1]Elect!#REF!)</f>
        <v>#REF!</v>
      </c>
    </row>
    <row r="8" spans="2:27" x14ac:dyDescent="0.25">
      <c r="Y8">
        <v>2018</v>
      </c>
      <c r="Z8" s="54" t="e">
        <f>([1]Elect!#REF!)</f>
        <v>#REF!</v>
      </c>
    </row>
    <row r="9" spans="2:27" x14ac:dyDescent="0.25">
      <c r="Y9">
        <v>2019</v>
      </c>
      <c r="Z9" s="54" t="e">
        <f>([1]Elect!#REF!)</f>
        <v>#REF!</v>
      </c>
    </row>
    <row r="21" spans="24:24" x14ac:dyDescent="0.25">
      <c r="X21" t="s">
        <v>334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49" t="s">
        <v>335</v>
      </c>
    </row>
    <row r="4" spans="2:98" ht="18.75" x14ac:dyDescent="0.3">
      <c r="B4" s="149" t="s">
        <v>336</v>
      </c>
    </row>
    <row r="5" spans="2:98" ht="18.75" x14ac:dyDescent="0.3">
      <c r="B5" s="149" t="s">
        <v>337</v>
      </c>
    </row>
    <row r="7" spans="2:98" x14ac:dyDescent="0.25"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0"/>
      <c r="AV7" s="150"/>
      <c r="AW7" s="150"/>
      <c r="AX7" s="150"/>
      <c r="AY7" s="150"/>
      <c r="AZ7" s="150"/>
      <c r="BA7" s="150"/>
      <c r="BB7" s="150"/>
      <c r="BC7" s="150"/>
      <c r="BD7" s="150"/>
      <c r="BE7" s="150"/>
      <c r="BF7" s="150"/>
      <c r="BG7" s="150"/>
      <c r="BH7" s="150"/>
      <c r="BI7" s="150"/>
      <c r="BJ7" s="150"/>
      <c r="BK7" s="150"/>
      <c r="BL7" s="150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BY7" s="150"/>
      <c r="BZ7" s="150"/>
      <c r="CA7" s="150"/>
      <c r="CB7" s="150"/>
      <c r="CC7" s="150"/>
      <c r="CD7" s="150"/>
      <c r="CE7" s="150"/>
      <c r="CF7" s="150"/>
      <c r="CG7" s="150"/>
      <c r="CH7" s="150"/>
      <c r="CI7" s="150"/>
      <c r="CJ7" s="150"/>
      <c r="CK7" s="150"/>
      <c r="CL7" s="150"/>
      <c r="CM7" s="150"/>
      <c r="CN7" s="150"/>
      <c r="CO7" s="150"/>
      <c r="CP7" s="150"/>
      <c r="CQ7" s="150"/>
      <c r="CR7" s="150"/>
      <c r="CS7" s="150"/>
      <c r="CT7" s="150"/>
    </row>
    <row r="8" spans="2:98" x14ac:dyDescent="0.25">
      <c r="Q8" s="32"/>
      <c r="CT8" s="151"/>
    </row>
    <row r="9" spans="2:98" x14ac:dyDescent="0.25">
      <c r="Q9" s="32"/>
      <c r="CT9" s="32"/>
    </row>
    <row r="10" spans="2:98" x14ac:dyDescent="0.25">
      <c r="Q10" s="32"/>
      <c r="CT10" s="32"/>
    </row>
    <row r="11" spans="2:98" x14ac:dyDescent="0.25">
      <c r="Q11" s="32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  <c r="BL11" s="150"/>
      <c r="BM11" s="150"/>
      <c r="BN11" s="150"/>
      <c r="BO11" s="150"/>
      <c r="BP11" s="150"/>
      <c r="BQ11" s="150"/>
      <c r="BR11" s="150"/>
      <c r="BS11" s="150"/>
      <c r="CT11" s="32"/>
    </row>
    <row r="12" spans="2:98" x14ac:dyDescent="0.25">
      <c r="Q12" s="32"/>
      <c r="V12" s="32"/>
      <c r="BS12" s="151"/>
      <c r="CT12" s="32"/>
    </row>
    <row r="13" spans="2:98" x14ac:dyDescent="0.25">
      <c r="Q13" s="32"/>
      <c r="V13" s="32"/>
      <c r="BS13" s="32"/>
      <c r="CT13" s="32"/>
    </row>
    <row r="14" spans="2:98" x14ac:dyDescent="0.25">
      <c r="Q14" s="32"/>
      <c r="V14" s="32"/>
      <c r="AU14" s="3" t="s">
        <v>338</v>
      </c>
      <c r="BS14" s="32"/>
      <c r="BX14" s="3" t="s">
        <v>339</v>
      </c>
      <c r="CT14" s="32"/>
    </row>
    <row r="15" spans="2:98" x14ac:dyDescent="0.25">
      <c r="Q15" s="32"/>
      <c r="V15" s="32"/>
      <c r="AU15" s="3" t="s">
        <v>340</v>
      </c>
      <c r="BS15" s="32"/>
      <c r="BX15" s="3" t="s">
        <v>341</v>
      </c>
      <c r="CT15" s="32"/>
    </row>
    <row r="16" spans="2:98" x14ac:dyDescent="0.25">
      <c r="Q16" s="32"/>
      <c r="V16" s="32"/>
      <c r="AU16" s="3" t="s">
        <v>342</v>
      </c>
      <c r="BS16" s="32"/>
      <c r="BX16" s="3" t="s">
        <v>342</v>
      </c>
      <c r="CT16" s="32"/>
    </row>
    <row r="17" spans="7:98" x14ac:dyDescent="0.25">
      <c r="Q17" s="32"/>
      <c r="V17" s="32"/>
      <c r="AX17" s="150"/>
      <c r="AY17" s="150"/>
      <c r="AZ17" s="150"/>
      <c r="BA17" s="150"/>
      <c r="BB17" s="150"/>
      <c r="BC17" s="150"/>
      <c r="BD17" s="150"/>
      <c r="BS17" s="32"/>
      <c r="CT17" s="32"/>
    </row>
    <row r="18" spans="7:98" x14ac:dyDescent="0.25">
      <c r="P18" s="48"/>
      <c r="Q18" s="32"/>
      <c r="R18" s="48"/>
      <c r="S18" s="48"/>
      <c r="V18" s="32"/>
      <c r="AW18" s="32"/>
      <c r="AY18" t="s">
        <v>343</v>
      </c>
      <c r="BD18" s="151"/>
      <c r="BS18" s="32"/>
      <c r="BX18" s="152"/>
      <c r="BY18" s="153"/>
      <c r="BZ18" s="153"/>
      <c r="CA18" s="153"/>
      <c r="CB18" s="153"/>
      <c r="CC18" s="153"/>
      <c r="CD18" s="151"/>
      <c r="CK18" s="152"/>
      <c r="CL18" s="153" t="s">
        <v>142</v>
      </c>
      <c r="CM18" s="153"/>
      <c r="CN18" s="153"/>
      <c r="CO18" s="153"/>
      <c r="CP18" s="153"/>
      <c r="CQ18" s="151"/>
      <c r="CT18" s="32"/>
    </row>
    <row r="19" spans="7:98" x14ac:dyDescent="0.25">
      <c r="P19" s="48"/>
      <c r="Q19" s="32"/>
      <c r="R19" s="48"/>
      <c r="S19" s="48"/>
      <c r="V19" s="32"/>
      <c r="AT19" s="150"/>
      <c r="AU19" s="150"/>
      <c r="AV19" s="150"/>
      <c r="AW19" s="154"/>
      <c r="AY19" t="s">
        <v>344</v>
      </c>
      <c r="BD19" s="32"/>
      <c r="BS19" s="32"/>
      <c r="BT19" s="155"/>
      <c r="BU19" s="150"/>
      <c r="BV19" s="150"/>
      <c r="BW19" s="150"/>
      <c r="BX19" s="31"/>
      <c r="BY19" s="48" t="s">
        <v>142</v>
      </c>
      <c r="BZ19" s="48"/>
      <c r="CA19" s="48"/>
      <c r="CB19" s="48"/>
      <c r="CC19" s="48"/>
      <c r="CD19" s="32"/>
      <c r="CE19" s="155"/>
      <c r="CF19" s="150"/>
      <c r="CG19" s="150"/>
      <c r="CH19" s="150"/>
      <c r="CI19" s="150"/>
      <c r="CJ19" s="150"/>
      <c r="CK19" s="31"/>
      <c r="CL19" s="48" t="s">
        <v>345</v>
      </c>
      <c r="CM19" s="48"/>
      <c r="CN19" s="48"/>
      <c r="CO19" s="48"/>
      <c r="CP19" s="48"/>
      <c r="CQ19" s="32"/>
      <c r="CT19" s="32"/>
    </row>
    <row r="20" spans="7:98" x14ac:dyDescent="0.25">
      <c r="P20" s="48"/>
      <c r="Q20" s="156"/>
      <c r="R20" s="48"/>
      <c r="S20" s="48"/>
      <c r="V20" s="32"/>
      <c r="AS20" s="32"/>
      <c r="AW20" s="32"/>
      <c r="AY20" t="s">
        <v>346</v>
      </c>
      <c r="BD20" s="32"/>
      <c r="BS20" s="32"/>
      <c r="BX20" s="31"/>
      <c r="BY20" s="241">
        <v>73337589</v>
      </c>
      <c r="BZ20" s="241"/>
      <c r="CA20" s="241"/>
      <c r="CB20" s="241"/>
      <c r="CC20" s="241"/>
      <c r="CD20" s="32"/>
      <c r="CK20" s="31"/>
      <c r="CL20" s="48" t="s">
        <v>347</v>
      </c>
      <c r="CM20" s="48"/>
      <c r="CN20" s="48"/>
      <c r="CO20" s="48"/>
      <c r="CP20" s="48"/>
      <c r="CQ20" s="32"/>
      <c r="CT20" s="32"/>
    </row>
    <row r="21" spans="7:98" x14ac:dyDescent="0.25">
      <c r="P21" s="48"/>
      <c r="Q21" s="156"/>
      <c r="R21" s="48"/>
      <c r="S21" s="48"/>
      <c r="V21" s="32"/>
      <c r="Z21" s="150"/>
      <c r="AA21" s="150"/>
      <c r="AB21" s="150"/>
      <c r="AC21" s="150"/>
      <c r="AD21" s="150"/>
      <c r="AE21" s="150"/>
      <c r="AF21" s="150"/>
      <c r="AS21" s="32"/>
      <c r="AW21" s="32"/>
      <c r="AX21" s="155"/>
      <c r="AY21" s="239">
        <v>44553004</v>
      </c>
      <c r="AZ21" s="239"/>
      <c r="BA21" s="239"/>
      <c r="BB21" s="239"/>
      <c r="BC21" s="239"/>
      <c r="BD21" s="154"/>
      <c r="BS21" s="32"/>
      <c r="BX21" s="155"/>
      <c r="BY21" s="150"/>
      <c r="BZ21" s="150"/>
      <c r="CA21" s="150"/>
      <c r="CB21" s="150"/>
      <c r="CC21" s="150"/>
      <c r="CD21" s="154"/>
      <c r="CK21" s="155"/>
      <c r="CL21" s="239">
        <v>65956268</v>
      </c>
      <c r="CM21" s="239"/>
      <c r="CN21" s="239"/>
      <c r="CO21" s="239"/>
      <c r="CP21" s="239"/>
      <c r="CQ21" s="154"/>
      <c r="CT21" s="32"/>
    </row>
    <row r="22" spans="7:98" x14ac:dyDescent="0.25">
      <c r="G22" s="3" t="s">
        <v>348</v>
      </c>
      <c r="J22" s="48"/>
      <c r="Q22" s="156"/>
      <c r="R22" s="48"/>
      <c r="S22" s="48"/>
      <c r="V22" s="32"/>
      <c r="Y22" s="32"/>
      <c r="AA22" t="s">
        <v>349</v>
      </c>
      <c r="AF22" s="151"/>
      <c r="AS22" s="32"/>
      <c r="BS22" s="32"/>
      <c r="CT22" s="32"/>
    </row>
    <row r="23" spans="7:98" x14ac:dyDescent="0.25">
      <c r="G23" s="3" t="s">
        <v>350</v>
      </c>
      <c r="J23" s="48"/>
      <c r="L23" s="150"/>
      <c r="M23" s="150"/>
      <c r="N23" s="150"/>
      <c r="O23" s="150"/>
      <c r="P23" s="150"/>
      <c r="Q23" s="156"/>
      <c r="R23" s="48"/>
      <c r="S23" s="150"/>
      <c r="T23" s="150"/>
      <c r="U23" s="150"/>
      <c r="V23" s="154"/>
      <c r="W23" s="150"/>
      <c r="X23" s="150"/>
      <c r="Y23" s="154"/>
      <c r="AA23" t="s">
        <v>351</v>
      </c>
      <c r="AF23" s="32"/>
      <c r="AG23" s="155"/>
      <c r="AH23" s="150"/>
      <c r="AI23" s="150"/>
      <c r="AJ23" s="150"/>
      <c r="AK23" s="150"/>
      <c r="AL23" s="150"/>
      <c r="AM23" s="150"/>
      <c r="AN23" s="150"/>
      <c r="AO23" s="150"/>
      <c r="AP23" s="150"/>
      <c r="AQ23" s="150"/>
      <c r="AR23" s="150"/>
      <c r="AS23" s="154"/>
      <c r="BS23" s="32"/>
      <c r="CT23" s="32"/>
    </row>
    <row r="24" spans="7:98" x14ac:dyDescent="0.25">
      <c r="G24" s="3" t="s">
        <v>352</v>
      </c>
      <c r="J24" s="48"/>
      <c r="Q24" s="156"/>
      <c r="R24" s="48"/>
      <c r="S24" s="48"/>
      <c r="Y24" s="32"/>
      <c r="AA24" s="240">
        <v>74860172</v>
      </c>
      <c r="AB24" s="240"/>
      <c r="AC24" s="240"/>
      <c r="AD24" s="240"/>
      <c r="AE24" s="240"/>
      <c r="AF24" s="32"/>
      <c r="AS24" s="32"/>
      <c r="AX24" s="150"/>
      <c r="AY24" s="150"/>
      <c r="AZ24" s="150"/>
      <c r="BA24" s="150"/>
      <c r="BB24" s="150"/>
      <c r="BC24" s="150"/>
      <c r="BD24" s="150"/>
      <c r="BS24" s="32"/>
      <c r="CT24" s="32"/>
    </row>
    <row r="25" spans="7:98" x14ac:dyDescent="0.25">
      <c r="P25" s="48"/>
      <c r="Q25" s="156"/>
      <c r="R25" s="48"/>
      <c r="S25" s="48"/>
      <c r="Y25" s="32"/>
      <c r="Z25" s="155"/>
      <c r="AA25" s="150"/>
      <c r="AB25" s="150"/>
      <c r="AC25" s="150"/>
      <c r="AD25" s="150"/>
      <c r="AE25" s="150"/>
      <c r="AF25" s="154"/>
      <c r="AS25" s="32"/>
      <c r="AW25" s="32"/>
      <c r="AY25" t="s">
        <v>353</v>
      </c>
      <c r="BD25" s="151"/>
      <c r="BS25" s="32"/>
      <c r="BX25" s="152"/>
      <c r="BY25" s="153" t="s">
        <v>354</v>
      </c>
      <c r="BZ25" s="153"/>
      <c r="CA25" s="153"/>
      <c r="CB25" s="153"/>
      <c r="CC25" s="153"/>
      <c r="CD25" s="151"/>
      <c r="CT25" s="32"/>
    </row>
    <row r="26" spans="7:98" x14ac:dyDescent="0.25">
      <c r="P26" s="48"/>
      <c r="Q26" s="156"/>
      <c r="R26" s="150"/>
      <c r="S26" s="150"/>
      <c r="T26" s="150"/>
      <c r="U26" s="150"/>
      <c r="V26" s="150"/>
      <c r="AS26" s="32"/>
      <c r="AT26" s="155"/>
      <c r="AU26" s="150"/>
      <c r="AV26" s="150"/>
      <c r="AW26" s="154"/>
      <c r="AY26" t="s">
        <v>355</v>
      </c>
      <c r="BD26" s="32"/>
      <c r="BS26" s="32"/>
      <c r="BT26" s="155"/>
      <c r="BU26" s="150"/>
      <c r="BV26" s="150"/>
      <c r="BW26" s="150"/>
      <c r="BX26" s="31"/>
      <c r="BY26" s="48" t="s">
        <v>356</v>
      </c>
      <c r="BZ26" s="48"/>
      <c r="CA26" s="48"/>
      <c r="CB26" s="48"/>
      <c r="CC26" s="48"/>
      <c r="CD26" s="32"/>
      <c r="CT26" s="32"/>
    </row>
    <row r="27" spans="7:98" x14ac:dyDescent="0.25">
      <c r="P27" s="48"/>
      <c r="Q27" s="157"/>
      <c r="R27" s="48"/>
      <c r="S27" s="48"/>
      <c r="V27" s="32"/>
      <c r="AS27" s="32"/>
      <c r="AW27" s="32"/>
      <c r="AY27" s="240">
        <v>70275191</v>
      </c>
      <c r="AZ27" s="240"/>
      <c r="BA27" s="240"/>
      <c r="BB27" s="240"/>
      <c r="BC27" s="240"/>
      <c r="BD27" s="32"/>
      <c r="BS27" s="32"/>
      <c r="BX27" s="31"/>
      <c r="BY27" s="241">
        <v>1334021</v>
      </c>
      <c r="BZ27" s="241"/>
      <c r="CA27" s="241"/>
      <c r="CB27" s="241"/>
      <c r="CC27" s="241"/>
      <c r="CD27" s="32"/>
      <c r="CJ27" s="150"/>
      <c r="CK27" s="150"/>
      <c r="CL27" s="150"/>
      <c r="CM27" s="150"/>
      <c r="CN27" s="150"/>
      <c r="CO27" s="150"/>
      <c r="CP27" s="150"/>
      <c r="CT27" s="32"/>
    </row>
    <row r="28" spans="7:98" x14ac:dyDescent="0.25">
      <c r="P28" s="48"/>
      <c r="Q28" s="157"/>
      <c r="R28" s="48"/>
      <c r="S28" s="48"/>
      <c r="V28" s="32"/>
      <c r="Z28" s="150"/>
      <c r="AA28" s="150"/>
      <c r="AB28" s="150"/>
      <c r="AC28" s="150"/>
      <c r="AD28" s="150"/>
      <c r="AE28" s="150"/>
      <c r="AF28" s="150"/>
      <c r="AS28" s="32"/>
      <c r="AW28" s="32"/>
      <c r="AX28" s="155"/>
      <c r="AY28" s="150"/>
      <c r="AZ28" s="150"/>
      <c r="BA28" s="150"/>
      <c r="BB28" s="150"/>
      <c r="BC28" s="150"/>
      <c r="BD28" s="154"/>
      <c r="BS28" s="32"/>
      <c r="BX28" s="155"/>
      <c r="BY28" s="150"/>
      <c r="BZ28" s="150"/>
      <c r="CA28" s="150"/>
      <c r="CB28" s="150"/>
      <c r="CC28" s="150"/>
      <c r="CD28" s="154"/>
      <c r="CI28" s="32"/>
      <c r="CK28" t="s">
        <v>357</v>
      </c>
      <c r="CP28" s="32"/>
      <c r="CT28" s="32"/>
    </row>
    <row r="29" spans="7:98" x14ac:dyDescent="0.25">
      <c r="M29" s="3" t="s">
        <v>358</v>
      </c>
      <c r="P29" s="48"/>
      <c r="Q29" s="157"/>
      <c r="R29" s="48"/>
      <c r="S29" s="48"/>
      <c r="V29" s="32"/>
      <c r="Y29" s="32"/>
      <c r="AA29" t="s">
        <v>359</v>
      </c>
      <c r="AF29" s="151"/>
      <c r="AS29" s="32"/>
      <c r="BS29" s="32"/>
      <c r="CI29" s="32"/>
      <c r="CK29" t="s">
        <v>360</v>
      </c>
      <c r="CP29" s="32"/>
      <c r="CQ29" s="150"/>
      <c r="CR29" s="150"/>
      <c r="CS29" s="150"/>
      <c r="CT29" s="154"/>
    </row>
    <row r="30" spans="7:98" x14ac:dyDescent="0.25">
      <c r="M30" s="3" t="s">
        <v>361</v>
      </c>
      <c r="P30" s="48"/>
      <c r="Q30" s="157"/>
      <c r="R30" s="48"/>
      <c r="S30" s="150"/>
      <c r="T30" s="150"/>
      <c r="U30" s="150"/>
      <c r="V30" s="154"/>
      <c r="W30" s="150"/>
      <c r="X30" s="150"/>
      <c r="Y30" s="154"/>
      <c r="AA30" t="s">
        <v>351</v>
      </c>
      <c r="AF30" s="32"/>
      <c r="AG30" s="155"/>
      <c r="AH30" s="150"/>
      <c r="AI30" s="150"/>
      <c r="AJ30" s="150"/>
      <c r="AK30" s="150"/>
      <c r="AL30" s="150"/>
      <c r="AS30" s="32"/>
      <c r="BS30" s="32"/>
      <c r="CI30" s="32"/>
      <c r="CK30" s="241">
        <v>67327447</v>
      </c>
      <c r="CL30" s="241"/>
      <c r="CM30" s="241"/>
      <c r="CN30" s="241"/>
      <c r="CO30" s="241"/>
      <c r="CP30" s="32"/>
    </row>
    <row r="31" spans="7:98" x14ac:dyDescent="0.25">
      <c r="M31" s="3" t="s">
        <v>352</v>
      </c>
      <c r="P31" s="48"/>
      <c r="Q31" s="48"/>
      <c r="R31" s="48"/>
      <c r="S31" s="48"/>
      <c r="Y31" s="32"/>
      <c r="AA31" s="240">
        <v>74860173</v>
      </c>
      <c r="AB31" s="240"/>
      <c r="AC31" s="240"/>
      <c r="AD31" s="240"/>
      <c r="AE31" s="240"/>
      <c r="AF31" s="32"/>
      <c r="AL31" s="151"/>
      <c r="AS31" s="32"/>
      <c r="BS31" s="32"/>
      <c r="BX31" s="150"/>
      <c r="BY31" s="150"/>
      <c r="BZ31" s="150"/>
      <c r="CA31" s="150"/>
      <c r="CB31" s="150"/>
      <c r="CC31" s="150"/>
      <c r="CD31" s="150"/>
      <c r="CI31" s="32"/>
      <c r="CJ31" s="155"/>
      <c r="CK31" s="150"/>
      <c r="CL31" s="150"/>
      <c r="CM31" s="150"/>
      <c r="CN31" s="150"/>
      <c r="CO31" s="150"/>
      <c r="CP31" s="154"/>
    </row>
    <row r="32" spans="7:98" x14ac:dyDescent="0.25">
      <c r="P32" s="48"/>
      <c r="Q32" s="48"/>
      <c r="R32" s="48"/>
      <c r="S32" s="48"/>
      <c r="Y32" s="32"/>
      <c r="Z32" s="155"/>
      <c r="AA32" s="150"/>
      <c r="AB32" s="150"/>
      <c r="AC32" s="150"/>
      <c r="AD32" s="150"/>
      <c r="AE32" s="150"/>
      <c r="AF32" s="154"/>
      <c r="AL32" s="32"/>
      <c r="AS32" s="32"/>
      <c r="AX32" s="150"/>
      <c r="AY32" s="150"/>
      <c r="AZ32" s="150"/>
      <c r="BA32" s="150"/>
      <c r="BB32" s="150"/>
      <c r="BC32" s="150"/>
      <c r="BD32" s="150"/>
      <c r="BS32" s="32"/>
      <c r="BW32" s="32"/>
      <c r="BY32" t="s">
        <v>357</v>
      </c>
      <c r="CD32" s="151"/>
    </row>
    <row r="33" spans="3:82" x14ac:dyDescent="0.25">
      <c r="P33" s="48"/>
      <c r="Q33" s="48"/>
      <c r="R33" s="48"/>
      <c r="S33" s="48"/>
      <c r="AL33" s="32"/>
      <c r="AS33" s="32"/>
      <c r="AW33" s="32"/>
      <c r="AY33" t="s">
        <v>362</v>
      </c>
      <c r="BD33" s="151"/>
      <c r="BT33" s="155"/>
      <c r="BU33" s="150"/>
      <c r="BV33" s="150"/>
      <c r="BW33" s="154"/>
      <c r="BY33" t="s">
        <v>145</v>
      </c>
      <c r="CD33" s="32"/>
    </row>
    <row r="34" spans="3:82" x14ac:dyDescent="0.25">
      <c r="P34" s="48"/>
      <c r="Q34" s="48"/>
      <c r="R34" s="48"/>
      <c r="S34" s="48"/>
      <c r="AL34" s="32"/>
      <c r="AS34" s="32"/>
      <c r="AT34" s="155"/>
      <c r="AU34" s="150"/>
      <c r="AV34" s="150"/>
      <c r="AW34" s="154"/>
      <c r="AY34" t="s">
        <v>363</v>
      </c>
      <c r="BD34" s="32"/>
      <c r="BW34" s="151"/>
      <c r="BY34" s="241">
        <v>63265094</v>
      </c>
      <c r="BZ34" s="241"/>
      <c r="CA34" s="241"/>
      <c r="CB34" s="241"/>
      <c r="CC34" s="241"/>
      <c r="CD34" s="32"/>
    </row>
    <row r="35" spans="3:82" x14ac:dyDescent="0.25">
      <c r="AL35" s="32"/>
      <c r="AS35" s="32"/>
      <c r="AW35" s="32"/>
      <c r="AY35" s="240">
        <v>2130521</v>
      </c>
      <c r="AZ35" s="240"/>
      <c r="BA35" s="240"/>
      <c r="BB35" s="240"/>
      <c r="BC35" s="240"/>
      <c r="BD35" s="32"/>
      <c r="BW35" s="32"/>
      <c r="BX35" s="155"/>
      <c r="BY35" s="150"/>
      <c r="BZ35" s="150"/>
      <c r="CA35" s="150"/>
      <c r="CB35" s="150"/>
      <c r="CC35" s="150"/>
      <c r="CD35" s="154"/>
    </row>
    <row r="36" spans="3:82" x14ac:dyDescent="0.25">
      <c r="C36" s="48"/>
      <c r="D36" s="235"/>
      <c r="E36" s="235"/>
      <c r="AJ36" t="s">
        <v>364</v>
      </c>
      <c r="AS36" s="32"/>
      <c r="AW36" s="32"/>
      <c r="AX36" s="155"/>
      <c r="AY36" s="150"/>
      <c r="AZ36" s="150"/>
      <c r="BA36" s="150"/>
      <c r="BB36" s="150"/>
      <c r="BC36" s="150"/>
      <c r="BD36" s="154"/>
    </row>
    <row r="37" spans="3:82" x14ac:dyDescent="0.25">
      <c r="C37" s="48"/>
      <c r="D37" s="127"/>
      <c r="E37" s="127"/>
      <c r="AJ37" t="s">
        <v>365</v>
      </c>
      <c r="AS37" s="32"/>
    </row>
    <row r="38" spans="3:82" x14ac:dyDescent="0.25">
      <c r="C38" s="48"/>
      <c r="D38" s="158"/>
      <c r="E38" s="158"/>
      <c r="AS38" s="32"/>
    </row>
    <row r="39" spans="3:82" x14ac:dyDescent="0.25">
      <c r="AS39" s="32"/>
      <c r="AX39" s="150"/>
      <c r="AY39" s="150"/>
      <c r="AZ39" s="150"/>
      <c r="BA39" s="150"/>
      <c r="BB39" s="150"/>
      <c r="BC39" s="150"/>
      <c r="BD39" s="150"/>
      <c r="BK39" s="150"/>
      <c r="BL39" s="150"/>
      <c r="BM39" s="150"/>
      <c r="BN39" s="150"/>
      <c r="BO39" s="150"/>
      <c r="BP39" s="150"/>
    </row>
    <row r="40" spans="3:82" x14ac:dyDescent="0.25">
      <c r="AS40" s="32"/>
      <c r="AW40" s="32"/>
      <c r="AY40" t="s">
        <v>366</v>
      </c>
      <c r="BD40" s="151"/>
      <c r="BJ40" s="32"/>
      <c r="BL40" t="s">
        <v>367</v>
      </c>
      <c r="BP40" s="151"/>
    </row>
    <row r="41" spans="3:82" x14ac:dyDescent="0.25">
      <c r="Z41" s="152"/>
      <c r="AA41" s="153" t="s">
        <v>234</v>
      </c>
      <c r="AB41" s="153"/>
      <c r="AC41" s="153"/>
      <c r="AD41" s="153"/>
      <c r="AE41" s="153"/>
      <c r="AF41" s="151"/>
      <c r="AS41" s="32"/>
      <c r="AT41" s="155"/>
      <c r="AU41" s="150"/>
      <c r="AV41" s="150"/>
      <c r="AW41" s="154"/>
      <c r="AY41" t="s">
        <v>305</v>
      </c>
      <c r="BD41" s="32"/>
      <c r="BE41" s="155"/>
      <c r="BF41" s="150"/>
      <c r="BG41" s="150"/>
      <c r="BH41" s="150"/>
      <c r="BI41" s="150"/>
      <c r="BJ41" s="154"/>
      <c r="BL41" t="s">
        <v>368</v>
      </c>
      <c r="BP41" s="32"/>
    </row>
    <row r="42" spans="3:82" x14ac:dyDescent="0.25">
      <c r="W42" s="150"/>
      <c r="X42" s="150"/>
      <c r="Y42" s="154"/>
      <c r="Z42" s="31"/>
      <c r="AA42" s="48" t="s">
        <v>70</v>
      </c>
      <c r="AB42" s="48"/>
      <c r="AC42" s="48"/>
      <c r="AD42" s="48"/>
      <c r="AE42" s="48"/>
      <c r="AF42" s="32"/>
      <c r="AS42" s="32"/>
      <c r="AW42" s="32"/>
      <c r="AY42" s="240">
        <v>79177804</v>
      </c>
      <c r="AZ42" s="240"/>
      <c r="BA42" s="240"/>
      <c r="BB42" s="240"/>
      <c r="BC42" s="240"/>
      <c r="BD42" s="32"/>
      <c r="BJ42" s="32"/>
      <c r="BL42" t="s">
        <v>369</v>
      </c>
      <c r="BP42" s="32"/>
    </row>
    <row r="43" spans="3:82" x14ac:dyDescent="0.25">
      <c r="V43" s="32"/>
      <c r="Z43" s="31"/>
      <c r="AA43" s="237">
        <v>93477704</v>
      </c>
      <c r="AB43" s="238"/>
      <c r="AC43" s="238"/>
      <c r="AD43" s="238"/>
      <c r="AE43" s="238"/>
      <c r="AF43" s="32"/>
      <c r="AS43" s="32"/>
      <c r="AW43" s="32"/>
      <c r="AX43" s="155"/>
      <c r="AY43" s="150"/>
      <c r="AZ43" s="150"/>
      <c r="BA43" s="150"/>
      <c r="BB43" s="150"/>
      <c r="BC43" s="150"/>
      <c r="BD43" s="154"/>
      <c r="BJ43" s="32"/>
      <c r="BK43" s="155"/>
      <c r="BL43" s="239">
        <v>79305675</v>
      </c>
      <c r="BM43" s="239"/>
      <c r="BN43" s="239"/>
      <c r="BO43" s="239"/>
      <c r="BP43" s="154"/>
    </row>
    <row r="44" spans="3:82" x14ac:dyDescent="0.25">
      <c r="V44" s="32"/>
      <c r="Z44" s="155"/>
      <c r="AA44" s="150"/>
      <c r="AB44" s="150"/>
      <c r="AC44" s="150"/>
      <c r="AD44" s="150"/>
      <c r="AE44" s="150"/>
      <c r="AF44" s="154"/>
      <c r="AS44" s="32"/>
    </row>
    <row r="45" spans="3:82" x14ac:dyDescent="0.25">
      <c r="M45" s="3" t="s">
        <v>144</v>
      </c>
      <c r="V45" s="32"/>
      <c r="AS45" s="32"/>
    </row>
    <row r="46" spans="3:82" x14ac:dyDescent="0.25">
      <c r="M46" s="3" t="s">
        <v>370</v>
      </c>
      <c r="V46" s="32"/>
      <c r="AS46" s="32"/>
    </row>
    <row r="47" spans="3:82" x14ac:dyDescent="0.25">
      <c r="M47" s="3" t="s">
        <v>371</v>
      </c>
      <c r="S47" s="150"/>
      <c r="T47" s="150"/>
      <c r="U47" s="150"/>
      <c r="V47" s="154"/>
      <c r="AS47" s="32"/>
      <c r="AX47" s="152"/>
      <c r="AY47" s="153" t="s">
        <v>372</v>
      </c>
      <c r="AZ47" s="153"/>
      <c r="BA47" s="153"/>
      <c r="BB47" s="153"/>
      <c r="BC47" s="153"/>
      <c r="BD47" s="151"/>
    </row>
    <row r="48" spans="3:82" x14ac:dyDescent="0.25">
      <c r="M48" s="3" t="s">
        <v>373</v>
      </c>
      <c r="V48" s="151"/>
      <c r="Z48" s="152"/>
      <c r="AA48" s="153" t="s">
        <v>374</v>
      </c>
      <c r="AB48" s="153"/>
      <c r="AC48" s="153"/>
      <c r="AD48" s="153"/>
      <c r="AE48" s="153"/>
      <c r="AF48" s="151"/>
      <c r="AS48" s="32"/>
      <c r="AT48" s="155"/>
      <c r="AU48" s="150"/>
      <c r="AV48" s="150"/>
      <c r="AW48" s="150"/>
      <c r="AX48" s="31"/>
      <c r="AY48" s="48" t="s">
        <v>138</v>
      </c>
      <c r="AZ48" s="48"/>
      <c r="BA48" s="48"/>
      <c r="BB48" s="48"/>
      <c r="BC48" s="48"/>
      <c r="BD48" s="32"/>
    </row>
    <row r="49" spans="2:56" x14ac:dyDescent="0.25">
      <c r="M49" s="3" t="s">
        <v>341</v>
      </c>
      <c r="V49" s="32"/>
      <c r="W49" s="155"/>
      <c r="X49" s="150"/>
      <c r="Y49" s="150"/>
      <c r="Z49" s="31"/>
      <c r="AA49" s="48" t="s">
        <v>137</v>
      </c>
      <c r="AB49" s="48"/>
      <c r="AC49" s="48"/>
      <c r="AD49" s="48"/>
      <c r="AE49" s="48"/>
      <c r="AF49" s="32"/>
      <c r="AS49" s="32"/>
      <c r="AX49" s="31"/>
      <c r="AY49" s="240">
        <v>79190041</v>
      </c>
      <c r="AZ49" s="240"/>
      <c r="BA49" s="240"/>
      <c r="BB49" s="240"/>
      <c r="BC49" s="240"/>
      <c r="BD49" s="32"/>
    </row>
    <row r="50" spans="2:56" ht="15.75" x14ac:dyDescent="0.25">
      <c r="V50" s="32"/>
      <c r="Z50" s="31"/>
      <c r="AA50" s="159" t="s">
        <v>62</v>
      </c>
      <c r="AB50" s="159"/>
      <c r="AC50" s="160"/>
      <c r="AD50" s="48"/>
      <c r="AE50" s="48"/>
      <c r="AF50" s="32"/>
      <c r="AS50" s="32"/>
      <c r="AX50" s="155"/>
      <c r="AY50" s="150"/>
      <c r="AZ50" s="150"/>
      <c r="BA50" s="150"/>
      <c r="BB50" s="150"/>
      <c r="BC50" s="150"/>
      <c r="BD50" s="154"/>
    </row>
    <row r="51" spans="2:56" x14ac:dyDescent="0.25">
      <c r="V51" s="32"/>
      <c r="Z51" s="155"/>
      <c r="AA51" s="150"/>
      <c r="AB51" s="150"/>
      <c r="AC51" s="150"/>
      <c r="AD51" s="150"/>
      <c r="AE51" s="150"/>
      <c r="AF51" s="154"/>
      <c r="AS51" s="32"/>
    </row>
    <row r="52" spans="2:56" x14ac:dyDescent="0.25">
      <c r="V52" s="32"/>
      <c r="AS52" s="32"/>
    </row>
    <row r="53" spans="2:56" x14ac:dyDescent="0.25">
      <c r="V53" s="32"/>
      <c r="AS53" s="32"/>
      <c r="AX53" s="150"/>
      <c r="AY53" s="150"/>
      <c r="AZ53" s="150"/>
      <c r="BA53" s="150"/>
      <c r="BB53" s="150"/>
      <c r="BC53" s="150"/>
      <c r="BD53" s="150"/>
    </row>
    <row r="54" spans="2:56" x14ac:dyDescent="0.25">
      <c r="V54" s="32"/>
      <c r="AS54" s="32"/>
      <c r="AW54" s="32"/>
      <c r="AY54" t="s">
        <v>87</v>
      </c>
      <c r="BD54" s="151"/>
    </row>
    <row r="55" spans="2:56" x14ac:dyDescent="0.25">
      <c r="V55" s="32"/>
      <c r="AS55" s="32"/>
      <c r="AT55" s="155"/>
      <c r="AU55" s="150"/>
      <c r="AV55" s="150"/>
      <c r="AW55" s="154"/>
      <c r="AY55" t="s">
        <v>138</v>
      </c>
      <c r="BD55" s="32"/>
    </row>
    <row r="56" spans="2:56" x14ac:dyDescent="0.25">
      <c r="V56" s="32"/>
      <c r="Z56" s="152"/>
      <c r="AA56" s="153" t="s">
        <v>142</v>
      </c>
      <c r="AB56" s="153"/>
      <c r="AC56" s="153"/>
      <c r="AD56" s="153"/>
      <c r="AE56" s="153"/>
      <c r="AF56" s="151"/>
      <c r="AS56" s="32"/>
      <c r="AW56" s="32"/>
      <c r="AY56" s="240">
        <v>79190039</v>
      </c>
      <c r="AZ56" s="240"/>
      <c r="BA56" s="240"/>
      <c r="BB56" s="240"/>
      <c r="BC56" s="240"/>
      <c r="BD56" s="32"/>
    </row>
    <row r="57" spans="2:56" x14ac:dyDescent="0.25">
      <c r="V57" s="32"/>
      <c r="W57" s="155"/>
      <c r="X57" s="150"/>
      <c r="Y57" s="150"/>
      <c r="Z57" s="31"/>
      <c r="AA57" s="48" t="s">
        <v>144</v>
      </c>
      <c r="AB57" s="48"/>
      <c r="AC57" s="48"/>
      <c r="AD57" s="48"/>
      <c r="AE57" s="48"/>
      <c r="AF57" s="32"/>
      <c r="AS57" s="32"/>
      <c r="AW57" s="32"/>
      <c r="AX57" s="155"/>
      <c r="AY57" s="150"/>
      <c r="AZ57" s="150"/>
      <c r="BA57" s="150"/>
      <c r="BB57" s="150"/>
      <c r="BC57" s="150"/>
      <c r="BD57" s="154"/>
    </row>
    <row r="58" spans="2:56" x14ac:dyDescent="0.25">
      <c r="Z58" s="31"/>
      <c r="AA58" s="48" t="s">
        <v>135</v>
      </c>
      <c r="AB58" s="48"/>
      <c r="AC58" s="48"/>
      <c r="AD58" s="48"/>
      <c r="AE58" s="48"/>
      <c r="AF58" s="32"/>
      <c r="AS58" s="32"/>
    </row>
    <row r="59" spans="2:56" x14ac:dyDescent="0.25">
      <c r="Z59" s="155"/>
      <c r="AA59" s="161" t="s">
        <v>66</v>
      </c>
      <c r="AB59" s="162"/>
      <c r="AC59" s="150"/>
      <c r="AD59" s="150"/>
      <c r="AE59" s="150"/>
      <c r="AF59" s="154"/>
      <c r="AS59" s="32"/>
    </row>
    <row r="60" spans="2:56" x14ac:dyDescent="0.25">
      <c r="AS60" s="32"/>
    </row>
    <row r="61" spans="2:56" x14ac:dyDescent="0.25">
      <c r="C61" s="150"/>
      <c r="D61" s="150"/>
      <c r="E61" s="3" t="s">
        <v>375</v>
      </c>
      <c r="AS61" s="32"/>
      <c r="AX61" s="152"/>
      <c r="AY61" s="153" t="s">
        <v>263</v>
      </c>
      <c r="AZ61" s="153"/>
      <c r="BA61" s="153"/>
      <c r="BB61" s="153"/>
      <c r="BC61" s="153"/>
      <c r="BD61" s="151"/>
    </row>
    <row r="62" spans="2:56" x14ac:dyDescent="0.25">
      <c r="B62" s="32"/>
      <c r="E62" s="3" t="s">
        <v>376</v>
      </c>
      <c r="AS62" s="32"/>
      <c r="AT62" s="155"/>
      <c r="AU62" s="150"/>
      <c r="AV62" s="150"/>
      <c r="AW62" s="150"/>
      <c r="AX62" s="31"/>
      <c r="AY62" s="48" t="s">
        <v>377</v>
      </c>
      <c r="AZ62" s="48"/>
      <c r="BA62" s="48"/>
      <c r="BB62" s="48"/>
      <c r="BC62" s="48"/>
      <c r="BD62" s="32"/>
    </row>
    <row r="63" spans="2:56" x14ac:dyDescent="0.25">
      <c r="B63" s="32"/>
      <c r="AS63" s="32"/>
      <c r="AX63" s="31"/>
      <c r="AY63" s="240">
        <v>79324776</v>
      </c>
      <c r="AZ63" s="240"/>
      <c r="BA63" s="240"/>
      <c r="BB63" s="240"/>
      <c r="BC63" s="240"/>
      <c r="BD63" s="32"/>
    </row>
    <row r="64" spans="2:56" x14ac:dyDescent="0.25">
      <c r="B64" s="32"/>
      <c r="AS64" s="32"/>
      <c r="AX64" s="155"/>
      <c r="AY64" s="150"/>
      <c r="AZ64" s="150"/>
      <c r="BA64" s="150"/>
      <c r="BB64" s="150"/>
      <c r="BC64" s="150"/>
      <c r="BD64" s="154"/>
    </row>
    <row r="65" spans="2:56" x14ac:dyDescent="0.25">
      <c r="B65" s="32"/>
      <c r="AS65" s="32"/>
    </row>
    <row r="66" spans="2:56" x14ac:dyDescent="0.25">
      <c r="B66" s="32"/>
      <c r="F66" t="s">
        <v>378</v>
      </c>
      <c r="O66" s="152"/>
      <c r="P66" s="153"/>
      <c r="Q66" s="153"/>
      <c r="R66" s="153"/>
      <c r="S66" s="151"/>
      <c r="V66" s="152"/>
      <c r="W66" s="153"/>
      <c r="X66" s="153"/>
      <c r="Y66" s="153"/>
      <c r="Z66" s="151"/>
      <c r="AC66" s="152"/>
      <c r="AD66" s="153"/>
      <c r="AE66" s="153"/>
      <c r="AF66" s="153"/>
      <c r="AG66" s="151"/>
      <c r="AJ66" s="152"/>
      <c r="AK66" s="153"/>
      <c r="AL66" s="153"/>
      <c r="AM66" s="153"/>
      <c r="AN66" s="151"/>
      <c r="AS66" s="32"/>
    </row>
    <row r="67" spans="2:56" x14ac:dyDescent="0.25">
      <c r="B67" s="32"/>
      <c r="C67" s="155"/>
      <c r="D67" s="150"/>
      <c r="E67" s="150"/>
      <c r="F67" s="150" t="s">
        <v>379</v>
      </c>
      <c r="G67" s="150"/>
      <c r="H67" s="150"/>
      <c r="I67" s="150"/>
      <c r="J67" s="150"/>
      <c r="K67" s="150"/>
      <c r="L67" s="150"/>
      <c r="M67" s="150"/>
      <c r="N67" s="154"/>
      <c r="O67" s="31"/>
      <c r="P67" t="s">
        <v>107</v>
      </c>
      <c r="Q67" s="48"/>
      <c r="R67" s="48"/>
      <c r="S67" s="32"/>
      <c r="V67" s="31"/>
      <c r="W67" t="s">
        <v>111</v>
      </c>
      <c r="X67" s="48"/>
      <c r="Y67" s="48"/>
      <c r="Z67" s="32"/>
      <c r="AA67" s="155"/>
      <c r="AB67" s="154"/>
      <c r="AC67" s="31"/>
      <c r="AD67" t="s">
        <v>119</v>
      </c>
      <c r="AE67" s="48"/>
      <c r="AF67" s="48"/>
      <c r="AG67" s="32"/>
      <c r="AH67" s="155"/>
      <c r="AI67" s="154"/>
      <c r="AJ67" s="31"/>
      <c r="AK67" t="s">
        <v>121</v>
      </c>
      <c r="AL67" s="48"/>
      <c r="AM67" s="48"/>
      <c r="AN67" s="32"/>
      <c r="AS67" s="32"/>
    </row>
    <row r="68" spans="2:56" x14ac:dyDescent="0.25">
      <c r="B68" s="32"/>
      <c r="F68" t="s">
        <v>380</v>
      </c>
      <c r="O68" s="31"/>
      <c r="P68" t="s">
        <v>106</v>
      </c>
      <c r="Q68" s="48"/>
      <c r="R68" s="48"/>
      <c r="S68" s="32"/>
      <c r="T68" s="152"/>
      <c r="U68" s="151"/>
      <c r="V68" s="31"/>
      <c r="W68" t="s">
        <v>110</v>
      </c>
      <c r="X68" s="48"/>
      <c r="Y68" s="48"/>
      <c r="Z68" s="32"/>
      <c r="AC68" s="31"/>
      <c r="AD68" t="s">
        <v>118</v>
      </c>
      <c r="AE68" s="48"/>
      <c r="AF68" s="48"/>
      <c r="AG68" s="32"/>
      <c r="AJ68" s="31"/>
      <c r="AK68" t="s">
        <v>120</v>
      </c>
      <c r="AL68" s="48"/>
      <c r="AM68" s="48"/>
      <c r="AN68" s="32"/>
      <c r="AS68" s="32"/>
      <c r="AX68" s="152"/>
      <c r="AY68" s="153" t="s">
        <v>381</v>
      </c>
      <c r="AZ68" s="153"/>
      <c r="BA68" s="153"/>
      <c r="BB68" s="153"/>
      <c r="BC68" s="153"/>
      <c r="BD68" s="151"/>
    </row>
    <row r="69" spans="2:56" x14ac:dyDescent="0.25">
      <c r="B69" s="32"/>
      <c r="O69" s="155"/>
      <c r="P69" s="150"/>
      <c r="Q69" s="150"/>
      <c r="R69" s="150"/>
      <c r="S69" s="154"/>
      <c r="V69" s="155"/>
      <c r="W69" s="150"/>
      <c r="X69" s="150"/>
      <c r="Y69" s="150"/>
      <c r="Z69" s="154"/>
      <c r="AC69" s="155"/>
      <c r="AD69" s="150"/>
      <c r="AE69" s="150"/>
      <c r="AF69" s="150"/>
      <c r="AG69" s="154"/>
      <c r="AJ69" s="155"/>
      <c r="AK69" s="150"/>
      <c r="AL69" s="150"/>
      <c r="AM69" s="150"/>
      <c r="AN69" s="154"/>
      <c r="AS69" s="32"/>
      <c r="AT69" s="155"/>
      <c r="AU69" s="150"/>
      <c r="AV69" s="150"/>
      <c r="AW69" s="150"/>
      <c r="AX69" s="31"/>
      <c r="AY69" s="48" t="s">
        <v>382</v>
      </c>
      <c r="AZ69" s="48"/>
      <c r="BA69" s="48"/>
      <c r="BB69" s="48"/>
      <c r="BC69" s="48"/>
      <c r="BD69" s="32"/>
    </row>
    <row r="70" spans="2:56" x14ac:dyDescent="0.25">
      <c r="B70" s="32"/>
      <c r="AS70" s="32"/>
      <c r="AX70" s="31"/>
      <c r="AY70" s="48" t="s">
        <v>383</v>
      </c>
      <c r="AZ70" s="48"/>
      <c r="BA70" s="48"/>
      <c r="BB70" s="48"/>
      <c r="BC70" s="48"/>
      <c r="BD70" s="32"/>
    </row>
    <row r="71" spans="2:56" x14ac:dyDescent="0.25">
      <c r="B71" s="32"/>
      <c r="AS71" s="32"/>
      <c r="AX71" s="155"/>
      <c r="AY71" s="236" t="s">
        <v>64</v>
      </c>
      <c r="AZ71" s="236"/>
      <c r="BA71" s="236"/>
      <c r="BB71" s="236"/>
      <c r="BC71" s="236"/>
      <c r="BD71" s="154"/>
    </row>
    <row r="72" spans="2:56" x14ac:dyDescent="0.25">
      <c r="B72" s="32"/>
      <c r="AS72" s="32"/>
    </row>
    <row r="73" spans="2:56" x14ac:dyDescent="0.25">
      <c r="B73" s="32"/>
      <c r="AS73" s="32"/>
    </row>
    <row r="74" spans="2:56" x14ac:dyDescent="0.25">
      <c r="B74" s="32"/>
      <c r="AS74" s="32"/>
    </row>
    <row r="75" spans="2:56" x14ac:dyDescent="0.25">
      <c r="B75" s="32"/>
      <c r="D75" t="s">
        <v>378</v>
      </c>
      <c r="I75" s="152"/>
      <c r="J75" s="153"/>
      <c r="K75" s="153"/>
      <c r="L75" s="153"/>
      <c r="M75" s="151"/>
      <c r="P75" s="152"/>
      <c r="Q75" s="153"/>
      <c r="R75" s="153"/>
      <c r="S75" s="153"/>
      <c r="T75" s="151"/>
      <c r="W75" s="152"/>
      <c r="X75" s="153"/>
      <c r="Y75" s="153"/>
      <c r="Z75" s="153"/>
      <c r="AA75" s="151"/>
      <c r="AD75" s="152"/>
      <c r="AE75" s="153"/>
      <c r="AF75" s="153"/>
      <c r="AG75" s="153"/>
      <c r="AH75" s="151"/>
      <c r="AK75" s="152"/>
      <c r="AL75" s="153"/>
      <c r="AM75" s="153"/>
      <c r="AN75" s="153"/>
      <c r="AO75" s="151"/>
      <c r="AS75" s="32"/>
      <c r="AX75" s="152"/>
      <c r="AY75" s="153" t="s">
        <v>384</v>
      </c>
      <c r="AZ75" s="153"/>
      <c r="BA75" s="153"/>
      <c r="BB75" s="153"/>
      <c r="BC75" s="153"/>
      <c r="BD75" s="151"/>
    </row>
    <row r="76" spans="2:56" x14ac:dyDescent="0.25">
      <c r="B76" s="32"/>
      <c r="C76" s="155"/>
      <c r="D76" s="150" t="s">
        <v>385</v>
      </c>
      <c r="E76" s="150"/>
      <c r="F76" s="150"/>
      <c r="G76" s="150"/>
      <c r="H76" s="154"/>
      <c r="I76" s="31"/>
      <c r="J76" t="s">
        <v>105</v>
      </c>
      <c r="K76" s="48"/>
      <c r="L76" s="48"/>
      <c r="M76" s="32"/>
      <c r="P76" s="31"/>
      <c r="Q76" t="s">
        <v>103</v>
      </c>
      <c r="R76" s="48"/>
      <c r="S76" s="48"/>
      <c r="T76" s="32"/>
      <c r="W76" s="31"/>
      <c r="X76" t="s">
        <v>115</v>
      </c>
      <c r="Y76" s="48"/>
      <c r="Z76" s="48"/>
      <c r="AA76" s="32"/>
      <c r="AD76" s="31"/>
      <c r="AE76" t="s">
        <v>113</v>
      </c>
      <c r="AF76" s="48"/>
      <c r="AG76" s="48"/>
      <c r="AH76" s="32"/>
      <c r="AK76" s="31"/>
      <c r="AL76" t="s">
        <v>117</v>
      </c>
      <c r="AM76" s="48"/>
      <c r="AN76" s="48"/>
      <c r="AO76" s="32"/>
      <c r="AS76" s="32"/>
      <c r="AT76" s="150"/>
      <c r="AU76" s="150"/>
      <c r="AV76" s="150"/>
      <c r="AW76" s="150"/>
      <c r="AX76" s="31"/>
      <c r="AY76" s="48" t="s">
        <v>214</v>
      </c>
      <c r="AZ76" s="48"/>
      <c r="BA76" s="48"/>
      <c r="BB76" s="48"/>
      <c r="BC76" s="48"/>
      <c r="BD76" s="32"/>
    </row>
    <row r="77" spans="2:56" x14ac:dyDescent="0.25">
      <c r="B77" s="32"/>
      <c r="D77" t="s">
        <v>386</v>
      </c>
      <c r="I77" s="31"/>
      <c r="J77" t="s">
        <v>104</v>
      </c>
      <c r="K77" s="48"/>
      <c r="L77" s="48"/>
      <c r="M77" s="32"/>
      <c r="N77" s="152"/>
      <c r="O77" s="151"/>
      <c r="P77" s="31"/>
      <c r="Q77" t="s">
        <v>102</v>
      </c>
      <c r="R77" s="48"/>
      <c r="S77" s="48"/>
      <c r="T77" s="32"/>
      <c r="U77" s="152"/>
      <c r="V77" s="151"/>
      <c r="W77" s="31"/>
      <c r="X77" t="s">
        <v>114</v>
      </c>
      <c r="Y77" s="48"/>
      <c r="Z77" s="48"/>
      <c r="AA77" s="32"/>
      <c r="AB77" s="152"/>
      <c r="AC77" s="151"/>
      <c r="AD77" s="31"/>
      <c r="AE77" t="s">
        <v>112</v>
      </c>
      <c r="AF77" s="48"/>
      <c r="AG77" s="48"/>
      <c r="AH77" s="32"/>
      <c r="AI77" s="152"/>
      <c r="AJ77" s="151"/>
      <c r="AK77" s="31"/>
      <c r="AL77" t="s">
        <v>116</v>
      </c>
      <c r="AM77" s="48"/>
      <c r="AN77" s="48"/>
      <c r="AO77" s="32"/>
      <c r="AX77" s="31"/>
      <c r="AY77" s="48" t="s">
        <v>383</v>
      </c>
      <c r="AZ77" s="48"/>
      <c r="BA77" s="48"/>
      <c r="BB77" s="48"/>
      <c r="BC77" s="48"/>
      <c r="BD77" s="32"/>
    </row>
    <row r="78" spans="2:56" x14ac:dyDescent="0.25">
      <c r="B78" s="32"/>
      <c r="I78" s="155"/>
      <c r="J78" s="150"/>
      <c r="K78" s="150"/>
      <c r="L78" s="150"/>
      <c r="M78" s="154"/>
      <c r="P78" s="155"/>
      <c r="Q78" s="150"/>
      <c r="R78" s="150"/>
      <c r="S78" s="150"/>
      <c r="T78" s="154"/>
      <c r="W78" s="155"/>
      <c r="X78" s="150"/>
      <c r="Y78" s="150"/>
      <c r="Z78" s="150"/>
      <c r="AA78" s="154"/>
      <c r="AD78" s="155"/>
      <c r="AE78" s="150"/>
      <c r="AF78" s="150"/>
      <c r="AG78" s="150"/>
      <c r="AH78" s="154"/>
      <c r="AK78" s="155"/>
      <c r="AL78" s="150"/>
      <c r="AM78" s="150"/>
      <c r="AN78" s="150"/>
      <c r="AO78" s="154"/>
      <c r="AX78" s="155"/>
      <c r="AY78" s="236" t="s">
        <v>65</v>
      </c>
      <c r="AZ78" s="236"/>
      <c r="BA78" s="236"/>
      <c r="BB78" s="236"/>
      <c r="BC78" s="236"/>
      <c r="BD78" s="154"/>
    </row>
    <row r="79" spans="2:56" x14ac:dyDescent="0.25">
      <c r="B79" s="32"/>
    </row>
    <row r="80" spans="2:56" x14ac:dyDescent="0.25">
      <c r="B80" s="32"/>
    </row>
    <row r="81" spans="2:39" x14ac:dyDescent="0.25">
      <c r="B81" s="32"/>
    </row>
    <row r="82" spans="2:39" x14ac:dyDescent="0.25">
      <c r="B82" s="32"/>
    </row>
    <row r="83" spans="2:39" x14ac:dyDescent="0.25">
      <c r="B83" s="32"/>
    </row>
    <row r="84" spans="2:39" x14ac:dyDescent="0.25">
      <c r="B84" s="32"/>
      <c r="J84" t="s">
        <v>378</v>
      </c>
      <c r="P84" s="152"/>
      <c r="Q84" s="153"/>
      <c r="R84" s="153"/>
      <c r="S84" s="153"/>
      <c r="T84" s="151"/>
      <c r="W84" s="152"/>
      <c r="X84" s="153"/>
      <c r="Y84" s="153"/>
      <c r="Z84" s="153"/>
      <c r="AA84" s="151"/>
    </row>
    <row r="85" spans="2:39" x14ac:dyDescent="0.25">
      <c r="B85" s="32"/>
      <c r="C85" s="155"/>
      <c r="D85" s="150"/>
      <c r="E85" s="150"/>
      <c r="F85" s="150"/>
      <c r="G85" s="150"/>
      <c r="H85" s="150"/>
      <c r="I85" s="150"/>
      <c r="J85" s="150" t="s">
        <v>385</v>
      </c>
      <c r="K85" s="150"/>
      <c r="L85" s="150"/>
      <c r="M85" s="150"/>
      <c r="N85" s="150"/>
      <c r="O85" s="154"/>
      <c r="P85" s="31"/>
      <c r="Q85" t="s">
        <v>123</v>
      </c>
      <c r="R85" s="48"/>
      <c r="S85" s="48"/>
      <c r="T85" s="32"/>
      <c r="V85" s="154"/>
      <c r="W85" s="31"/>
      <c r="X85" t="s">
        <v>109</v>
      </c>
      <c r="Y85" s="48"/>
      <c r="Z85" s="48"/>
      <c r="AA85" s="32"/>
    </row>
    <row r="86" spans="2:39" x14ac:dyDescent="0.25">
      <c r="B86" s="32"/>
      <c r="J86" t="s">
        <v>387</v>
      </c>
      <c r="P86" s="31"/>
      <c r="Q86" t="s">
        <v>122</v>
      </c>
      <c r="R86" s="48"/>
      <c r="S86" s="48"/>
      <c r="T86" s="32"/>
      <c r="U86" s="152"/>
      <c r="W86" s="31"/>
      <c r="X86" t="s">
        <v>108</v>
      </c>
      <c r="Y86" s="48"/>
      <c r="Z86" s="48"/>
      <c r="AA86" s="32"/>
    </row>
    <row r="87" spans="2:39" x14ac:dyDescent="0.25">
      <c r="B87" s="32"/>
      <c r="P87" s="155"/>
      <c r="Q87" s="150"/>
      <c r="R87" s="150"/>
      <c r="S87" s="150"/>
      <c r="T87" s="154"/>
      <c r="W87" s="155"/>
      <c r="X87" s="150"/>
      <c r="Y87" s="150"/>
      <c r="Z87" s="150"/>
      <c r="AA87" s="154"/>
    </row>
    <row r="88" spans="2:39" x14ac:dyDescent="0.25">
      <c r="B88" s="32"/>
    </row>
    <row r="89" spans="2:39" x14ac:dyDescent="0.25">
      <c r="B89" s="32"/>
    </row>
    <row r="90" spans="2:39" x14ac:dyDescent="0.25">
      <c r="B90" s="32"/>
    </row>
    <row r="91" spans="2:39" x14ac:dyDescent="0.25">
      <c r="B91" s="32"/>
    </row>
    <row r="92" spans="2:39" x14ac:dyDescent="0.25">
      <c r="B92" s="32"/>
    </row>
    <row r="93" spans="2:39" x14ac:dyDescent="0.25">
      <c r="B93" s="32"/>
      <c r="G93" t="s">
        <v>388</v>
      </c>
      <c r="N93" s="152"/>
      <c r="O93" s="153"/>
      <c r="P93" s="153"/>
      <c r="Q93" s="153"/>
      <c r="R93" s="151"/>
      <c r="U93" s="152"/>
      <c r="V93" s="153"/>
      <c r="W93" s="153"/>
      <c r="X93" s="153"/>
      <c r="Y93" s="151"/>
      <c r="AB93" s="152"/>
      <c r="AC93" s="153"/>
      <c r="AD93" s="153"/>
      <c r="AE93" s="153"/>
      <c r="AF93" s="151"/>
      <c r="AI93" s="152"/>
      <c r="AJ93" s="153"/>
      <c r="AK93" s="153"/>
      <c r="AL93" s="153"/>
      <c r="AM93" s="151"/>
    </row>
    <row r="94" spans="2:39" x14ac:dyDescent="0.25">
      <c r="B94" s="32"/>
      <c r="C94" s="155"/>
      <c r="D94" s="150"/>
      <c r="E94" s="150"/>
      <c r="F94" s="150"/>
      <c r="G94" s="150" t="s">
        <v>389</v>
      </c>
      <c r="H94" s="150"/>
      <c r="I94" s="150"/>
      <c r="J94" s="150"/>
      <c r="K94" s="150"/>
      <c r="L94" s="150"/>
      <c r="M94" s="154"/>
      <c r="N94" s="31"/>
      <c r="O94" s="163" t="s">
        <v>307</v>
      </c>
      <c r="P94" s="164"/>
      <c r="Q94" s="48"/>
      <c r="R94" s="32"/>
      <c r="U94" s="31"/>
      <c r="V94" s="163" t="s">
        <v>390</v>
      </c>
      <c r="W94" s="164"/>
      <c r="X94" s="48"/>
      <c r="Y94" s="32"/>
      <c r="AB94" s="165" t="s">
        <v>391</v>
      </c>
      <c r="AD94" s="164"/>
      <c r="AE94" s="48"/>
      <c r="AF94" s="32"/>
      <c r="AG94" s="155"/>
      <c r="AH94" s="154"/>
      <c r="AI94" s="31"/>
      <c r="AJ94" s="163" t="s">
        <v>294</v>
      </c>
      <c r="AK94" s="164"/>
      <c r="AL94" s="48"/>
      <c r="AM94" s="32"/>
    </row>
    <row r="95" spans="2:39" x14ac:dyDescent="0.25">
      <c r="G95" t="s">
        <v>57</v>
      </c>
      <c r="N95" s="31"/>
      <c r="O95" s="48" t="s">
        <v>125</v>
      </c>
      <c r="P95" s="48"/>
      <c r="Q95" s="48"/>
      <c r="R95" s="32"/>
      <c r="S95" s="152"/>
      <c r="T95" s="151"/>
      <c r="U95" s="31"/>
      <c r="V95" s="48" t="s">
        <v>124</v>
      </c>
      <c r="W95" s="48"/>
      <c r="X95" s="48"/>
      <c r="Y95" s="32"/>
      <c r="Z95" s="152"/>
      <c r="AA95" s="151"/>
      <c r="AB95" s="31"/>
      <c r="AC95" s="48" t="s">
        <v>126</v>
      </c>
      <c r="AD95" s="48"/>
      <c r="AE95" s="48"/>
      <c r="AF95" s="32"/>
      <c r="AI95" s="31"/>
      <c r="AJ95" s="163" t="s">
        <v>127</v>
      </c>
      <c r="AK95" s="164"/>
      <c r="AL95" s="48"/>
      <c r="AM95" s="32"/>
    </row>
    <row r="96" spans="2:39" x14ac:dyDescent="0.25">
      <c r="N96" s="155"/>
      <c r="O96" s="150"/>
      <c r="P96" s="150"/>
      <c r="Q96" s="150"/>
      <c r="R96" s="154"/>
      <c r="U96" s="155"/>
      <c r="V96" s="150"/>
      <c r="W96" s="150"/>
      <c r="X96" s="150"/>
      <c r="Y96" s="154"/>
      <c r="AB96" s="155"/>
      <c r="AC96" s="150"/>
      <c r="AD96" s="150"/>
      <c r="AE96" s="150"/>
      <c r="AF96" s="154"/>
      <c r="AI96" s="155"/>
      <c r="AJ96" s="150"/>
      <c r="AK96" s="150"/>
      <c r="AL96" s="150"/>
      <c r="AM96" s="154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N32"/>
  <sheetViews>
    <sheetView workbookViewId="0">
      <selection activeCell="K11" sqref="K11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11" max="11" width="33.42578125" customWidth="1"/>
  </cols>
  <sheetData>
    <row r="3" spans="1:10" x14ac:dyDescent="0.25">
      <c r="B3" s="3" t="s">
        <v>393</v>
      </c>
      <c r="C3" s="3" t="s">
        <v>394</v>
      </c>
      <c r="E3" s="166" t="s">
        <v>392</v>
      </c>
      <c r="F3" s="3">
        <v>2018</v>
      </c>
      <c r="G3" s="3"/>
      <c r="H3" s="3"/>
      <c r="I3" s="3" t="s">
        <v>393</v>
      </c>
      <c r="J3" s="3" t="s">
        <v>394</v>
      </c>
    </row>
    <row r="4" spans="1:10" x14ac:dyDescent="0.25">
      <c r="A4" t="s">
        <v>320</v>
      </c>
      <c r="B4">
        <v>159</v>
      </c>
      <c r="C4">
        <v>46</v>
      </c>
      <c r="E4" s="166">
        <v>75.900000000000006</v>
      </c>
      <c r="F4">
        <v>0.75900000000000001</v>
      </c>
      <c r="G4">
        <v>13764</v>
      </c>
      <c r="H4">
        <f>SUM(F4*G4)</f>
        <v>10446.876</v>
      </c>
      <c r="I4">
        <v>192</v>
      </c>
      <c r="J4">
        <v>31</v>
      </c>
    </row>
    <row r="5" spans="1:10" x14ac:dyDescent="0.25">
      <c r="A5" t="s">
        <v>321</v>
      </c>
      <c r="B5">
        <v>156</v>
      </c>
      <c r="C5">
        <v>76</v>
      </c>
      <c r="E5" s="166">
        <v>78.2</v>
      </c>
      <c r="F5">
        <v>0.78200000000000003</v>
      </c>
      <c r="G5">
        <v>12432</v>
      </c>
      <c r="H5">
        <f t="shared" ref="H5:H15" si="0">SUM(F5*G5)</f>
        <v>9721.8240000000005</v>
      </c>
      <c r="I5">
        <v>125</v>
      </c>
      <c r="J5">
        <v>125</v>
      </c>
    </row>
    <row r="6" spans="1:10" x14ac:dyDescent="0.25">
      <c r="A6" t="s">
        <v>322</v>
      </c>
      <c r="B6">
        <v>264</v>
      </c>
      <c r="C6">
        <v>18</v>
      </c>
      <c r="E6" s="166">
        <v>85.6</v>
      </c>
      <c r="F6">
        <v>0.85599999999999998</v>
      </c>
      <c r="G6">
        <v>13764</v>
      </c>
      <c r="H6">
        <f t="shared" si="0"/>
        <v>11781.984</v>
      </c>
      <c r="I6">
        <v>239</v>
      </c>
      <c r="J6">
        <v>21</v>
      </c>
    </row>
    <row r="7" spans="1:10" x14ac:dyDescent="0.25">
      <c r="A7" t="s">
        <v>323</v>
      </c>
      <c r="B7">
        <v>415</v>
      </c>
      <c r="C7">
        <v>0</v>
      </c>
      <c r="E7" s="166">
        <v>83.7</v>
      </c>
      <c r="F7">
        <v>0.83699999999999997</v>
      </c>
      <c r="G7">
        <v>13320</v>
      </c>
      <c r="H7">
        <f t="shared" si="0"/>
        <v>11148.84</v>
      </c>
      <c r="I7">
        <v>328</v>
      </c>
      <c r="J7">
        <v>1</v>
      </c>
    </row>
    <row r="8" spans="1:10" x14ac:dyDescent="0.25">
      <c r="A8" t="s">
        <v>324</v>
      </c>
      <c r="B8">
        <v>487</v>
      </c>
      <c r="C8">
        <v>0</v>
      </c>
      <c r="E8" s="166">
        <v>75.900000000000006</v>
      </c>
      <c r="F8">
        <v>0.75900000000000001</v>
      </c>
      <c r="G8">
        <v>13764</v>
      </c>
      <c r="H8">
        <f t="shared" si="0"/>
        <v>10446.876</v>
      </c>
      <c r="I8">
        <v>440</v>
      </c>
      <c r="J8">
        <v>0</v>
      </c>
    </row>
    <row r="9" spans="1:10" x14ac:dyDescent="0.25">
      <c r="A9" t="s">
        <v>325</v>
      </c>
      <c r="B9">
        <v>502</v>
      </c>
      <c r="C9">
        <v>0</v>
      </c>
      <c r="E9" s="166">
        <v>74.5</v>
      </c>
      <c r="F9">
        <v>0.745</v>
      </c>
      <c r="G9">
        <v>13320</v>
      </c>
      <c r="H9">
        <f t="shared" si="0"/>
        <v>9923.4</v>
      </c>
      <c r="I9">
        <v>477</v>
      </c>
      <c r="J9">
        <v>0</v>
      </c>
    </row>
    <row r="10" spans="1:10" x14ac:dyDescent="0.25">
      <c r="A10" t="s">
        <v>326</v>
      </c>
      <c r="B10">
        <v>492</v>
      </c>
      <c r="C10">
        <v>0</v>
      </c>
      <c r="E10" s="166">
        <v>70.8</v>
      </c>
      <c r="F10">
        <v>0.70799999999999996</v>
      </c>
      <c r="G10">
        <v>13764</v>
      </c>
      <c r="H10">
        <f t="shared" si="0"/>
        <v>9744.9120000000003</v>
      </c>
      <c r="I10">
        <v>495</v>
      </c>
      <c r="J10">
        <v>0</v>
      </c>
    </row>
    <row r="11" spans="1:10" x14ac:dyDescent="0.25">
      <c r="A11" t="s">
        <v>327</v>
      </c>
      <c r="B11">
        <v>475</v>
      </c>
      <c r="C11">
        <v>0</v>
      </c>
      <c r="E11" s="166">
        <v>71.8</v>
      </c>
      <c r="F11">
        <v>0.71799999999999997</v>
      </c>
      <c r="G11">
        <v>13764</v>
      </c>
      <c r="H11">
        <f t="shared" si="0"/>
        <v>9882.5519999999997</v>
      </c>
      <c r="I11">
        <v>500</v>
      </c>
      <c r="J11">
        <v>0</v>
      </c>
    </row>
    <row r="12" spans="1:10" x14ac:dyDescent="0.25">
      <c r="A12" t="s">
        <v>328</v>
      </c>
      <c r="B12">
        <v>500</v>
      </c>
      <c r="C12">
        <v>0</v>
      </c>
      <c r="E12" s="166">
        <v>59</v>
      </c>
      <c r="F12">
        <v>0.59</v>
      </c>
      <c r="G12">
        <v>13320</v>
      </c>
      <c r="H12">
        <f t="shared" si="0"/>
        <v>7858.7999999999993</v>
      </c>
      <c r="I12">
        <v>377</v>
      </c>
      <c r="J12">
        <v>8</v>
      </c>
    </row>
    <row r="13" spans="1:10" x14ac:dyDescent="0.25">
      <c r="A13" t="s">
        <v>329</v>
      </c>
      <c r="B13">
        <v>431</v>
      </c>
      <c r="C13">
        <v>66</v>
      </c>
      <c r="E13" s="166">
        <v>70.3</v>
      </c>
      <c r="F13">
        <v>0.70299999999999996</v>
      </c>
      <c r="G13">
        <v>13764</v>
      </c>
      <c r="H13">
        <f t="shared" si="0"/>
        <v>9676.0919999999987</v>
      </c>
      <c r="I13">
        <v>187</v>
      </c>
      <c r="J13">
        <v>72</v>
      </c>
    </row>
    <row r="14" spans="1:10" x14ac:dyDescent="0.25">
      <c r="A14" t="s">
        <v>330</v>
      </c>
      <c r="B14">
        <v>167</v>
      </c>
      <c r="C14">
        <v>80</v>
      </c>
      <c r="E14" s="166">
        <v>74.5</v>
      </c>
      <c r="F14">
        <v>0.745</v>
      </c>
      <c r="G14">
        <v>13320</v>
      </c>
      <c r="H14">
        <f t="shared" si="0"/>
        <v>9923.4</v>
      </c>
      <c r="I14">
        <v>104</v>
      </c>
      <c r="J14">
        <v>146</v>
      </c>
    </row>
    <row r="15" spans="1:10" x14ac:dyDescent="0.25">
      <c r="A15" t="s">
        <v>331</v>
      </c>
      <c r="B15">
        <v>140</v>
      </c>
      <c r="C15">
        <v>133</v>
      </c>
      <c r="E15" s="166">
        <v>63.9</v>
      </c>
      <c r="F15">
        <v>0.63900000000000001</v>
      </c>
      <c r="G15">
        <v>13764</v>
      </c>
      <c r="H15">
        <f t="shared" si="0"/>
        <v>8795.1959999999999</v>
      </c>
      <c r="I15">
        <v>68</v>
      </c>
      <c r="J15">
        <v>214</v>
      </c>
    </row>
    <row r="16" spans="1:10" x14ac:dyDescent="0.25">
      <c r="E16" s="166"/>
      <c r="G16">
        <f>SUM(G4:G15)</f>
        <v>162060</v>
      </c>
      <c r="H16">
        <f>SUM(H4:H15)</f>
        <v>119350.75200000001</v>
      </c>
    </row>
    <row r="25" spans="11:14" x14ac:dyDescent="0.25">
      <c r="K25" s="21"/>
      <c r="L25" s="21">
        <v>2017</v>
      </c>
      <c r="M25" s="21">
        <v>2018</v>
      </c>
      <c r="N25" s="21">
        <v>2019</v>
      </c>
    </row>
    <row r="26" spans="11:14" x14ac:dyDescent="0.25">
      <c r="K26" s="21" t="s">
        <v>395</v>
      </c>
      <c r="L26" s="21">
        <v>120328</v>
      </c>
      <c r="M26" s="21">
        <v>119350</v>
      </c>
      <c r="N26" s="21">
        <v>91868</v>
      </c>
    </row>
    <row r="27" spans="11:14" x14ac:dyDescent="0.25">
      <c r="K27" s="21" t="s">
        <v>396</v>
      </c>
      <c r="L27" s="21">
        <v>17910500</v>
      </c>
      <c r="M27" s="21">
        <v>17636409</v>
      </c>
      <c r="N27" s="21">
        <v>13838299</v>
      </c>
    </row>
    <row r="28" spans="11:14" x14ac:dyDescent="0.25">
      <c r="K28" s="21" t="s">
        <v>397</v>
      </c>
      <c r="L28" s="21">
        <f>SUM(L27/L26)</f>
        <v>148.84731733262416</v>
      </c>
      <c r="M28" s="21">
        <f t="shared" ref="M28:N28" si="1">SUM(M27/M26)</f>
        <v>147.77049853372435</v>
      </c>
      <c r="N28" s="21">
        <f t="shared" si="1"/>
        <v>150.63241825227502</v>
      </c>
    </row>
    <row r="29" spans="11:14" x14ac:dyDescent="0.25">
      <c r="K29" s="21" t="s">
        <v>398</v>
      </c>
      <c r="L29" s="21">
        <v>600069</v>
      </c>
      <c r="M29" s="21">
        <v>584640</v>
      </c>
      <c r="N29" s="21">
        <v>432248</v>
      </c>
    </row>
    <row r="30" spans="11:14" x14ac:dyDescent="0.25">
      <c r="K30" s="21" t="s">
        <v>399</v>
      </c>
      <c r="L30" s="21">
        <f>SUM(L29/L26)</f>
        <v>4.9869440196795427</v>
      </c>
      <c r="M30" s="21">
        <f>SUM(M29/M26)</f>
        <v>4.8985337243401759</v>
      </c>
      <c r="N30" s="21">
        <f>SUM(N29/N26)</f>
        <v>4.7050986197587843</v>
      </c>
    </row>
    <row r="32" spans="11:14" x14ac:dyDescent="0.25">
      <c r="K32" s="3" t="s">
        <v>400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X22"/>
  <sheetViews>
    <sheetView topLeftCell="B1" zoomScaleNormal="100" workbookViewId="0">
      <pane xSplit="1" topLeftCell="AQ1" activePane="topRight" state="frozen"/>
      <selection activeCell="B223" sqref="B223"/>
      <selection pane="topRight" activeCell="BV12" sqref="BV12"/>
    </sheetView>
  </sheetViews>
  <sheetFormatPr defaultRowHeight="15" x14ac:dyDescent="0.25"/>
  <cols>
    <col min="1" max="1" width="1.7109375" hidden="1" customWidth="1"/>
    <col min="2" max="2" width="13.5703125" customWidth="1"/>
    <col min="3" max="3" width="11.140625" customWidth="1"/>
    <col min="5" max="5" width="11.28515625" customWidth="1"/>
    <col min="6" max="6" width="0" hidden="1" customWidth="1"/>
    <col min="7" max="7" width="11" customWidth="1"/>
    <col min="8" max="8" width="9.5703125" bestFit="1" customWidth="1"/>
    <col min="9" max="9" width="10.42578125" customWidth="1"/>
    <col min="10" max="10" width="0" hidden="1" customWidth="1"/>
    <col min="11" max="11" width="10.85546875" customWidth="1"/>
    <col min="13" max="13" width="10.28515625" customWidth="1"/>
    <col min="14" max="14" width="0" hidden="1" customWidth="1"/>
    <col min="15" max="15" width="10.28515625" customWidth="1"/>
    <col min="17" max="17" width="10.42578125" customWidth="1"/>
    <col min="18" max="18" width="0" hidden="1" customWidth="1"/>
    <col min="19" max="19" width="10.28515625" customWidth="1"/>
    <col min="21" max="21" width="10.140625" customWidth="1"/>
    <col min="22" max="22" width="0" hidden="1" customWidth="1"/>
    <col min="23" max="23" width="10.140625" customWidth="1"/>
    <col min="25" max="25" width="12" bestFit="1" customWidth="1"/>
    <col min="26" max="26" width="0" hidden="1" customWidth="1"/>
    <col min="27" max="27" width="10.42578125" customWidth="1"/>
    <col min="29" max="29" width="10.140625" bestFit="1" customWidth="1"/>
    <col min="30" max="30" width="0" hidden="1" customWidth="1"/>
    <col min="31" max="31" width="10.85546875" customWidth="1"/>
    <col min="34" max="34" width="0" hidden="1" customWidth="1"/>
    <col min="35" max="35" width="10.140625" customWidth="1"/>
    <col min="37" max="37" width="10.42578125" customWidth="1"/>
    <col min="38" max="38" width="0" hidden="1" customWidth="1"/>
    <col min="39" max="39" width="9.85546875" customWidth="1"/>
    <col min="41" max="41" width="10.7109375" customWidth="1"/>
    <col min="42" max="42" width="0" hidden="1" customWidth="1"/>
    <col min="43" max="43" width="9.85546875" customWidth="1"/>
    <col min="45" max="45" width="10.28515625" customWidth="1"/>
    <col min="46" max="46" width="0" hidden="1" customWidth="1"/>
    <col min="49" max="49" width="10.7109375" customWidth="1"/>
    <col min="50" max="50" width="0" hidden="1" customWidth="1"/>
    <col min="51" max="51" width="1.7109375" customWidth="1"/>
    <col min="52" max="52" width="11.42578125" customWidth="1"/>
    <col min="55" max="55" width="11.7109375" customWidth="1"/>
    <col min="56" max="56" width="1.7109375" customWidth="1"/>
    <col min="57" max="57" width="12.5703125" customWidth="1"/>
    <col min="58" max="58" width="12.7109375" customWidth="1"/>
    <col min="59" max="59" width="10.7109375" customWidth="1"/>
    <col min="60" max="60" width="0" hidden="1" customWidth="1"/>
    <col min="61" max="61" width="12.7109375" customWidth="1"/>
    <col min="62" max="62" width="9.85546875" customWidth="1"/>
    <col min="63" max="63" width="0" hidden="1" customWidth="1"/>
    <col min="64" max="64" width="12.7109375" customWidth="1"/>
    <col min="65" max="65" width="10.28515625" customWidth="1"/>
    <col min="66" max="66" width="0" hidden="1" customWidth="1"/>
    <col min="67" max="67" width="12.7109375" customWidth="1"/>
    <col min="68" max="68" width="10.7109375" customWidth="1"/>
    <col min="69" max="69" width="0" hidden="1" customWidth="1"/>
    <col min="70" max="70" width="1.7109375" style="49" customWidth="1"/>
    <col min="71" max="73" width="10.7109375" style="49" customWidth="1"/>
    <col min="74" max="74" width="9.140625" style="49"/>
    <col min="75" max="75" width="1.7109375" customWidth="1"/>
    <col min="77" max="77" width="11.85546875" customWidth="1"/>
    <col min="78" max="79" width="10.7109375" customWidth="1"/>
    <col min="80" max="80" width="10.7109375" style="50" customWidth="1"/>
    <col min="81" max="83" width="8.7109375" customWidth="1"/>
    <col min="84" max="84" width="10.85546875" customWidth="1"/>
    <col min="85" max="85" width="8.7109375" customWidth="1"/>
    <col min="86" max="86" width="11.85546875" customWidth="1"/>
    <col min="87" max="87" width="12.7109375" customWidth="1"/>
    <col min="88" max="88" width="10.7109375" customWidth="1"/>
    <col min="89" max="89" width="13.28515625" style="50" customWidth="1"/>
    <col min="90" max="94" width="8.7109375" customWidth="1"/>
    <col min="95" max="95" width="10.7109375" customWidth="1"/>
    <col min="96" max="96" width="12.7109375" customWidth="1"/>
    <col min="97" max="97" width="10.7109375" customWidth="1"/>
    <col min="98" max="98" width="12" style="50" customWidth="1"/>
    <col min="99" max="103" width="8.7109375" customWidth="1"/>
    <col min="104" max="104" width="11.7109375" customWidth="1"/>
    <col min="105" max="105" width="12.7109375" customWidth="1"/>
    <col min="106" max="106" width="10.7109375" customWidth="1"/>
    <col min="107" max="107" width="11.7109375" style="50" customWidth="1"/>
    <col min="108" max="112" width="8.7109375" customWidth="1"/>
    <col min="113" max="113" width="10.7109375" customWidth="1"/>
    <col min="114" max="114" width="12.7109375" customWidth="1"/>
    <col min="115" max="115" width="10.7109375" customWidth="1"/>
    <col min="116" max="116" width="10.7109375" style="50" customWidth="1"/>
    <col min="117" max="120" width="8.7109375" customWidth="1"/>
    <col min="121" max="121" width="8.7109375" style="51" customWidth="1"/>
    <col min="122" max="122" width="11.7109375" customWidth="1"/>
    <col min="123" max="123" width="12.7109375" customWidth="1"/>
    <col min="124" max="124" width="10.7109375" customWidth="1"/>
    <col min="125" max="125" width="11.7109375" style="50" customWidth="1"/>
    <col min="126" max="129" width="8.7109375" customWidth="1"/>
    <col min="130" max="130" width="8.7109375" style="51" customWidth="1"/>
    <col min="131" max="131" width="10.7109375" customWidth="1"/>
    <col min="132" max="132" width="12.7109375" customWidth="1"/>
    <col min="133" max="133" width="10.7109375" customWidth="1"/>
    <col min="134" max="134" width="10.7109375" style="50" customWidth="1"/>
    <col min="135" max="139" width="8.7109375" customWidth="1"/>
    <col min="140" max="140" width="10.7109375" customWidth="1"/>
    <col min="141" max="141" width="12.7109375" customWidth="1"/>
    <col min="142" max="142" width="10.7109375" customWidth="1"/>
    <col min="143" max="143" width="10.7109375" style="50" customWidth="1"/>
    <col min="144" max="148" width="8.7109375" customWidth="1"/>
    <col min="149" max="149" width="10.7109375" customWidth="1"/>
    <col min="150" max="150" width="12.7109375" customWidth="1"/>
    <col min="151" max="151" width="10.7109375" customWidth="1"/>
    <col min="152" max="152" width="10.7109375" style="50" customWidth="1"/>
    <col min="153" max="157" width="8.7109375" customWidth="1"/>
    <col min="158" max="158" width="10.7109375" customWidth="1"/>
    <col min="159" max="159" width="12.7109375" customWidth="1"/>
    <col min="160" max="160" width="10.7109375" customWidth="1"/>
    <col min="161" max="161" width="10.7109375" style="50" customWidth="1"/>
    <col min="162" max="166" width="8.7109375" customWidth="1"/>
    <col min="167" max="167" width="10.7109375" customWidth="1"/>
    <col min="168" max="168" width="12.7109375" customWidth="1"/>
    <col min="169" max="169" width="10.7109375" customWidth="1"/>
    <col min="170" max="170" width="10.7109375" style="50" customWidth="1"/>
    <col min="171" max="171" width="10.7109375" style="52" customWidth="1"/>
    <col min="172" max="173" width="10.7109375" style="53" customWidth="1"/>
    <col min="174" max="174" width="11.7109375" style="52" customWidth="1"/>
    <col min="175" max="175" width="10.7109375" style="52" customWidth="1"/>
    <col min="176" max="176" width="13.140625" style="52" customWidth="1"/>
    <col min="177" max="177" width="12.7109375" customWidth="1"/>
    <col min="178" max="178" width="10.7109375" style="52" customWidth="1"/>
    <col min="179" max="179" width="12.28515625" style="52" customWidth="1"/>
    <col min="180" max="180" width="2.7109375" style="52" customWidth="1"/>
    <col min="181" max="181" width="12.7109375" style="54" customWidth="1"/>
    <col min="182" max="182" width="12.7109375" customWidth="1"/>
    <col min="183" max="183" width="13.7109375" customWidth="1"/>
    <col min="184" max="184" width="11.140625" bestFit="1" customWidth="1"/>
    <col min="185" max="185" width="1.7109375" customWidth="1"/>
    <col min="186" max="186" width="2.7109375" customWidth="1"/>
    <col min="187" max="191" width="8.7109375" customWidth="1"/>
    <col min="192" max="194" width="10.7109375" customWidth="1"/>
    <col min="195" max="195" width="14.85546875" style="50" customWidth="1"/>
    <col min="196" max="200" width="8.7109375" customWidth="1"/>
    <col min="201" max="203" width="10.7109375" customWidth="1"/>
    <col min="204" max="204" width="10.7109375" style="50" customWidth="1"/>
    <col min="205" max="207" width="8.7109375" customWidth="1"/>
    <col min="208" max="209" width="10.7109375" customWidth="1"/>
    <col min="210" max="210" width="10.7109375" style="50" customWidth="1"/>
    <col min="211" max="215" width="8.7109375" customWidth="1"/>
    <col min="216" max="218" width="10.7109375" customWidth="1"/>
    <col min="219" max="219" width="10.7109375" style="50" customWidth="1"/>
    <col min="221" max="221" width="12" customWidth="1"/>
    <col min="223" max="223" width="12" customWidth="1"/>
    <col min="224" max="224" width="2.7109375" customWidth="1"/>
    <col min="225" max="225" width="15.85546875" customWidth="1"/>
    <col min="226" max="226" width="14.28515625" customWidth="1"/>
    <col min="227" max="227" width="13.140625" customWidth="1"/>
    <col min="228" max="228" width="13" customWidth="1"/>
    <col min="229" max="229" width="3.28515625" customWidth="1"/>
    <col min="231" max="231" width="16.7109375" customWidth="1"/>
  </cols>
  <sheetData>
    <row r="1" spans="2:228" s="74" customFormat="1" ht="26.25" x14ac:dyDescent="0.4">
      <c r="B1" s="75">
        <v>2018</v>
      </c>
      <c r="C1" s="242" t="s">
        <v>146</v>
      </c>
      <c r="D1" s="243"/>
      <c r="E1" s="243"/>
      <c r="F1" s="244"/>
      <c r="G1" s="242" t="s">
        <v>147</v>
      </c>
      <c r="H1" s="243"/>
      <c r="I1" s="243"/>
      <c r="J1" s="244"/>
      <c r="K1" s="242" t="s">
        <v>148</v>
      </c>
      <c r="L1" s="243"/>
      <c r="M1" s="243"/>
      <c r="N1" s="244"/>
      <c r="O1" s="242" t="s">
        <v>149</v>
      </c>
      <c r="P1" s="243"/>
      <c r="Q1" s="243"/>
      <c r="R1" s="244"/>
      <c r="S1" s="242" t="s">
        <v>150</v>
      </c>
      <c r="T1" s="243"/>
      <c r="U1" s="243"/>
      <c r="V1" s="244"/>
      <c r="W1" s="242" t="s">
        <v>151</v>
      </c>
      <c r="X1" s="243"/>
      <c r="Y1" s="243"/>
      <c r="Z1" s="244"/>
      <c r="AA1" s="242" t="s">
        <v>152</v>
      </c>
      <c r="AB1" s="243"/>
      <c r="AC1" s="243"/>
      <c r="AD1" s="244"/>
      <c r="AE1" s="242" t="s">
        <v>153</v>
      </c>
      <c r="AF1" s="243"/>
      <c r="AG1" s="243"/>
      <c r="AH1" s="244"/>
      <c r="AI1" s="242" t="s">
        <v>154</v>
      </c>
      <c r="AJ1" s="243"/>
      <c r="AK1" s="243"/>
      <c r="AL1" s="244"/>
      <c r="AM1" s="242" t="s">
        <v>155</v>
      </c>
      <c r="AN1" s="243"/>
      <c r="AO1" s="243"/>
      <c r="AP1" s="244"/>
      <c r="AQ1" s="242" t="s">
        <v>156</v>
      </c>
      <c r="AR1" s="243"/>
      <c r="AS1" s="243"/>
      <c r="AT1" s="244"/>
      <c r="AU1" s="242" t="s">
        <v>157</v>
      </c>
      <c r="AV1" s="243"/>
      <c r="AW1" s="243"/>
      <c r="AX1" s="244"/>
      <c r="AY1" s="76"/>
      <c r="AZ1" s="76"/>
      <c r="BA1" s="77" t="s">
        <v>158</v>
      </c>
      <c r="BB1" s="77" t="s">
        <v>159</v>
      </c>
      <c r="BC1" s="77"/>
      <c r="BD1" s="76"/>
      <c r="BE1" s="76"/>
      <c r="BF1" s="242" t="s">
        <v>161</v>
      </c>
      <c r="BG1" s="243"/>
      <c r="BH1" s="244"/>
      <c r="BI1" s="242" t="s">
        <v>162</v>
      </c>
      <c r="BJ1" s="243"/>
      <c r="BK1" s="244"/>
      <c r="BL1" s="242" t="s">
        <v>163</v>
      </c>
      <c r="BM1" s="243"/>
      <c r="BN1" s="244"/>
      <c r="BO1" s="242" t="s">
        <v>164</v>
      </c>
      <c r="BP1" s="243"/>
      <c r="BQ1" s="244"/>
      <c r="BR1" s="73"/>
      <c r="BS1" s="73"/>
      <c r="BT1" s="73"/>
      <c r="BU1" s="16" t="s">
        <v>77</v>
      </c>
      <c r="BV1" s="73"/>
      <c r="BY1" s="245" t="s">
        <v>165</v>
      </c>
      <c r="BZ1" s="246"/>
      <c r="CA1" s="246"/>
      <c r="CB1" s="247"/>
      <c r="CC1" s="245" t="s">
        <v>166</v>
      </c>
      <c r="CD1" s="246"/>
      <c r="CE1" s="246"/>
      <c r="CF1" s="246"/>
      <c r="CG1" s="246"/>
      <c r="CH1" s="246"/>
      <c r="CI1" s="246"/>
      <c r="CJ1" s="246"/>
      <c r="CK1" s="247"/>
      <c r="CL1" s="245" t="s">
        <v>167</v>
      </c>
      <c r="CM1" s="246"/>
      <c r="CN1" s="246"/>
      <c r="CO1" s="246"/>
      <c r="CP1" s="246"/>
      <c r="CQ1" s="246"/>
      <c r="CR1" s="246"/>
      <c r="CS1" s="246"/>
      <c r="CT1" s="247"/>
      <c r="CU1" s="245" t="s">
        <v>168</v>
      </c>
      <c r="CV1" s="246"/>
      <c r="CW1" s="246"/>
      <c r="CX1" s="246"/>
      <c r="CY1" s="246"/>
      <c r="CZ1" s="246"/>
      <c r="DA1" s="246"/>
      <c r="DB1" s="246"/>
      <c r="DC1" s="247"/>
      <c r="DD1" s="245" t="s">
        <v>169</v>
      </c>
      <c r="DE1" s="246"/>
      <c r="DF1" s="246"/>
      <c r="DG1" s="246"/>
      <c r="DH1" s="246"/>
      <c r="DI1" s="246"/>
      <c r="DJ1" s="246"/>
      <c r="DK1" s="246"/>
      <c r="DL1" s="247"/>
      <c r="DM1" s="245" t="s">
        <v>170</v>
      </c>
      <c r="DN1" s="246"/>
      <c r="DO1" s="246"/>
      <c r="DP1" s="246"/>
      <c r="DQ1" s="246"/>
      <c r="DR1" s="246"/>
      <c r="DS1" s="246"/>
      <c r="DT1" s="246"/>
      <c r="DU1" s="247"/>
      <c r="DV1" s="245" t="s">
        <v>171</v>
      </c>
      <c r="DW1" s="246"/>
      <c r="DX1" s="246"/>
      <c r="DY1" s="246"/>
      <c r="DZ1" s="246"/>
      <c r="EA1" s="246"/>
      <c r="EB1" s="246"/>
      <c r="EC1" s="246"/>
      <c r="ED1" s="247"/>
      <c r="EE1" s="245" t="s">
        <v>172</v>
      </c>
      <c r="EF1" s="246"/>
      <c r="EG1" s="246"/>
      <c r="EH1" s="246"/>
      <c r="EI1" s="246"/>
      <c r="EJ1" s="246"/>
      <c r="EK1" s="246"/>
      <c r="EL1" s="246"/>
      <c r="EM1" s="247"/>
      <c r="EN1" s="245" t="s">
        <v>173</v>
      </c>
      <c r="EO1" s="246"/>
      <c r="EP1" s="246"/>
      <c r="EQ1" s="246"/>
      <c r="ER1" s="246"/>
      <c r="ES1" s="246"/>
      <c r="ET1" s="246"/>
      <c r="EU1" s="246"/>
      <c r="EV1" s="247"/>
      <c r="EW1" s="245" t="s">
        <v>174</v>
      </c>
      <c r="EX1" s="246"/>
      <c r="EY1" s="246"/>
      <c r="EZ1" s="246"/>
      <c r="FA1" s="246"/>
      <c r="FB1" s="246"/>
      <c r="FC1" s="246"/>
      <c r="FD1" s="246"/>
      <c r="FE1" s="247"/>
      <c r="FF1" s="245" t="s">
        <v>175</v>
      </c>
      <c r="FG1" s="246"/>
      <c r="FH1" s="246"/>
      <c r="FI1" s="246"/>
      <c r="FJ1" s="246"/>
      <c r="FK1" s="246"/>
      <c r="FL1" s="246"/>
      <c r="FM1" s="246"/>
      <c r="FN1" s="247"/>
      <c r="FO1" s="245" t="s">
        <v>176</v>
      </c>
      <c r="FP1" s="246"/>
      <c r="FQ1" s="246"/>
      <c r="FR1" s="246"/>
      <c r="FS1" s="246"/>
      <c r="FT1" s="246"/>
      <c r="FU1" s="246"/>
      <c r="FV1" s="246"/>
      <c r="FW1" s="247"/>
      <c r="FX1" s="173"/>
      <c r="FY1" s="78"/>
      <c r="FZ1" s="79" t="s">
        <v>101</v>
      </c>
      <c r="GA1" s="79" t="s">
        <v>201</v>
      </c>
      <c r="GB1" s="79"/>
      <c r="GC1" s="79"/>
      <c r="GD1" s="79"/>
      <c r="GE1" s="245" t="s">
        <v>177</v>
      </c>
      <c r="GF1" s="246"/>
      <c r="GG1" s="246"/>
      <c r="GH1" s="246"/>
      <c r="GI1" s="246"/>
      <c r="GJ1" s="246"/>
      <c r="GK1" s="246"/>
      <c r="GL1" s="246"/>
      <c r="GM1" s="247"/>
      <c r="GN1" s="245" t="s">
        <v>178</v>
      </c>
      <c r="GO1" s="246"/>
      <c r="GP1" s="246"/>
      <c r="GQ1" s="246"/>
      <c r="GR1" s="246"/>
      <c r="GS1" s="246"/>
      <c r="GT1" s="246"/>
      <c r="GU1" s="246"/>
      <c r="GV1" s="247"/>
      <c r="GW1" s="245" t="s">
        <v>179</v>
      </c>
      <c r="GX1" s="246"/>
      <c r="GY1" s="246"/>
      <c r="GZ1" s="246"/>
      <c r="HA1" s="246"/>
      <c r="HB1" s="247"/>
      <c r="HC1" s="245" t="s">
        <v>180</v>
      </c>
      <c r="HD1" s="246"/>
      <c r="HE1" s="246"/>
      <c r="HF1" s="246"/>
      <c r="HG1" s="246"/>
      <c r="HH1" s="246"/>
      <c r="HI1" s="246"/>
      <c r="HJ1" s="246"/>
      <c r="HK1" s="247"/>
      <c r="HL1" s="80"/>
      <c r="HM1" s="79" t="s">
        <v>201</v>
      </c>
      <c r="HP1" s="49"/>
    </row>
    <row r="2" spans="2:228" ht="18.75" x14ac:dyDescent="0.3">
      <c r="B2" s="33" t="s">
        <v>61</v>
      </c>
      <c r="C2" s="23" t="s">
        <v>104</v>
      </c>
      <c r="D2" s="170" t="s">
        <v>105</v>
      </c>
      <c r="E2" s="58" t="s">
        <v>181</v>
      </c>
      <c r="F2" s="58" t="s">
        <v>79</v>
      </c>
      <c r="G2" s="168" t="s">
        <v>102</v>
      </c>
      <c r="H2" s="170" t="s">
        <v>103</v>
      </c>
      <c r="I2" s="58" t="s">
        <v>181</v>
      </c>
      <c r="J2" s="58" t="s">
        <v>79</v>
      </c>
      <c r="K2" s="170" t="s">
        <v>114</v>
      </c>
      <c r="L2" s="170" t="s">
        <v>115</v>
      </c>
      <c r="M2" s="58" t="s">
        <v>181</v>
      </c>
      <c r="N2" s="58" t="s">
        <v>79</v>
      </c>
      <c r="O2" s="170" t="s">
        <v>112</v>
      </c>
      <c r="P2" s="170" t="s">
        <v>113</v>
      </c>
      <c r="Q2" s="58" t="s">
        <v>181</v>
      </c>
      <c r="R2" s="58" t="s">
        <v>79</v>
      </c>
      <c r="S2" s="170" t="s">
        <v>116</v>
      </c>
      <c r="T2" s="170" t="s">
        <v>117</v>
      </c>
      <c r="U2" s="58" t="s">
        <v>181</v>
      </c>
      <c r="V2" s="58" t="s">
        <v>79</v>
      </c>
      <c r="W2" s="170" t="s">
        <v>106</v>
      </c>
      <c r="X2" s="170" t="s">
        <v>107</v>
      </c>
      <c r="Y2" s="58" t="s">
        <v>181</v>
      </c>
      <c r="Z2" s="58" t="s">
        <v>79</v>
      </c>
      <c r="AA2" s="170" t="s">
        <v>110</v>
      </c>
      <c r="AB2" s="170" t="s">
        <v>111</v>
      </c>
      <c r="AC2" s="58" t="s">
        <v>181</v>
      </c>
      <c r="AD2" s="58" t="s">
        <v>79</v>
      </c>
      <c r="AE2" s="170" t="s">
        <v>118</v>
      </c>
      <c r="AF2" s="170" t="s">
        <v>119</v>
      </c>
      <c r="AG2" s="58" t="s">
        <v>181</v>
      </c>
      <c r="AH2" s="58" t="s">
        <v>79</v>
      </c>
      <c r="AI2" s="170" t="s">
        <v>120</v>
      </c>
      <c r="AJ2" s="170" t="s">
        <v>121</v>
      </c>
      <c r="AK2" s="58" t="s">
        <v>181</v>
      </c>
      <c r="AL2" s="58" t="s">
        <v>79</v>
      </c>
      <c r="AM2" s="170" t="s">
        <v>122</v>
      </c>
      <c r="AN2" s="170" t="s">
        <v>123</v>
      </c>
      <c r="AO2" s="58" t="s">
        <v>181</v>
      </c>
      <c r="AP2" s="58" t="s">
        <v>79</v>
      </c>
      <c r="AQ2" s="170" t="s">
        <v>108</v>
      </c>
      <c r="AR2" s="170" t="s">
        <v>109</v>
      </c>
      <c r="AS2" s="58" t="s">
        <v>181</v>
      </c>
      <c r="AT2" s="58" t="s">
        <v>79</v>
      </c>
      <c r="AU2" s="228" t="s">
        <v>100</v>
      </c>
      <c r="AV2" s="229"/>
      <c r="AW2" s="58" t="s">
        <v>181</v>
      </c>
      <c r="AX2" s="58" t="s">
        <v>79</v>
      </c>
      <c r="AZ2" s="59" t="s">
        <v>182</v>
      </c>
      <c r="BA2" s="59" t="s">
        <v>77</v>
      </c>
      <c r="BB2" s="56"/>
      <c r="BC2" t="s">
        <v>160</v>
      </c>
      <c r="BD2" s="18"/>
      <c r="BE2" s="56"/>
      <c r="BF2" s="167" t="s">
        <v>125</v>
      </c>
      <c r="BG2" s="58" t="s">
        <v>181</v>
      </c>
      <c r="BH2" s="58" t="s">
        <v>79</v>
      </c>
      <c r="BI2" s="167" t="s">
        <v>124</v>
      </c>
      <c r="BJ2" s="58" t="s">
        <v>181</v>
      </c>
      <c r="BK2" s="58" t="s">
        <v>79</v>
      </c>
      <c r="BL2" s="167" t="s">
        <v>126</v>
      </c>
      <c r="BM2" s="58" t="s">
        <v>181</v>
      </c>
      <c r="BN2" s="58" t="s">
        <v>79</v>
      </c>
      <c r="BO2" s="167" t="s">
        <v>127</v>
      </c>
      <c r="BP2" s="58" t="s">
        <v>181</v>
      </c>
      <c r="BQ2" s="58" t="s">
        <v>79</v>
      </c>
      <c r="BR2" s="18"/>
      <c r="BS2" s="16" t="s">
        <v>182</v>
      </c>
      <c r="BT2" s="16" t="s">
        <v>160</v>
      </c>
      <c r="BU2" s="60" t="s">
        <v>81</v>
      </c>
      <c r="BV2" s="56"/>
      <c r="BW2" s="18"/>
      <c r="BY2" s="248" t="s">
        <v>183</v>
      </c>
      <c r="BZ2" s="249"/>
      <c r="CA2" s="249"/>
      <c r="CB2" s="249"/>
      <c r="CC2" s="16" t="s">
        <v>135</v>
      </c>
      <c r="CD2" s="16" t="s">
        <v>184</v>
      </c>
      <c r="CE2" s="16"/>
      <c r="CF2" s="16" t="s">
        <v>77</v>
      </c>
      <c r="CG2" s="16" t="s">
        <v>79</v>
      </c>
      <c r="CH2" s="16" t="s">
        <v>77</v>
      </c>
      <c r="CI2" s="16" t="s">
        <v>185</v>
      </c>
      <c r="CJ2" s="16" t="s">
        <v>79</v>
      </c>
      <c r="CK2" s="16" t="s">
        <v>81</v>
      </c>
      <c r="CL2" s="16" t="s">
        <v>135</v>
      </c>
      <c r="CM2" s="16" t="s">
        <v>184</v>
      </c>
      <c r="CN2" s="16"/>
      <c r="CO2" s="16" t="s">
        <v>77</v>
      </c>
      <c r="CP2" s="16" t="s">
        <v>79</v>
      </c>
      <c r="CQ2" s="16" t="s">
        <v>77</v>
      </c>
      <c r="CR2" s="16" t="s">
        <v>185</v>
      </c>
      <c r="CS2" s="16" t="s">
        <v>79</v>
      </c>
      <c r="CT2" s="16" t="s">
        <v>81</v>
      </c>
      <c r="CU2" s="16" t="s">
        <v>135</v>
      </c>
      <c r="CV2" s="16" t="s">
        <v>184</v>
      </c>
      <c r="CW2" s="16"/>
      <c r="CX2" s="16" t="s">
        <v>77</v>
      </c>
      <c r="CY2" s="16" t="s">
        <v>79</v>
      </c>
      <c r="CZ2" s="16" t="s">
        <v>77</v>
      </c>
      <c r="DA2" s="16" t="s">
        <v>185</v>
      </c>
      <c r="DB2" s="16" t="s">
        <v>79</v>
      </c>
      <c r="DC2" s="16" t="s">
        <v>81</v>
      </c>
      <c r="DD2" s="16" t="s">
        <v>135</v>
      </c>
      <c r="DE2" s="16" t="s">
        <v>184</v>
      </c>
      <c r="DF2" s="16"/>
      <c r="DG2" s="16" t="s">
        <v>77</v>
      </c>
      <c r="DH2" s="16" t="s">
        <v>79</v>
      </c>
      <c r="DI2" s="16" t="s">
        <v>77</v>
      </c>
      <c r="DJ2" s="16" t="s">
        <v>185</v>
      </c>
      <c r="DK2" s="16" t="s">
        <v>79</v>
      </c>
      <c r="DL2" s="16" t="s">
        <v>81</v>
      </c>
      <c r="DM2" s="16" t="s">
        <v>135</v>
      </c>
      <c r="DN2" s="16" t="s">
        <v>184</v>
      </c>
      <c r="DO2" s="16"/>
      <c r="DP2" s="16" t="s">
        <v>77</v>
      </c>
      <c r="DQ2" s="17" t="s">
        <v>79</v>
      </c>
      <c r="DR2" s="16" t="s">
        <v>77</v>
      </c>
      <c r="DS2" s="16" t="s">
        <v>185</v>
      </c>
      <c r="DT2" s="16" t="s">
        <v>79</v>
      </c>
      <c r="DU2" s="16" t="s">
        <v>81</v>
      </c>
      <c r="DV2" s="16" t="s">
        <v>135</v>
      </c>
      <c r="DW2" s="16" t="s">
        <v>184</v>
      </c>
      <c r="DX2" s="16"/>
      <c r="DY2" s="16" t="s">
        <v>77</v>
      </c>
      <c r="DZ2" s="17" t="s">
        <v>79</v>
      </c>
      <c r="EA2" s="16" t="s">
        <v>77</v>
      </c>
      <c r="EB2" s="16" t="s">
        <v>185</v>
      </c>
      <c r="EC2" s="16" t="s">
        <v>79</v>
      </c>
      <c r="ED2" s="16" t="s">
        <v>81</v>
      </c>
      <c r="EE2" s="16" t="s">
        <v>135</v>
      </c>
      <c r="EF2" s="16" t="s">
        <v>184</v>
      </c>
      <c r="EG2" s="16"/>
      <c r="EH2" s="16" t="s">
        <v>77</v>
      </c>
      <c r="EI2" s="16" t="s">
        <v>79</v>
      </c>
      <c r="EJ2" s="16" t="s">
        <v>77</v>
      </c>
      <c r="EK2" s="16" t="s">
        <v>185</v>
      </c>
      <c r="EL2" s="16" t="s">
        <v>79</v>
      </c>
      <c r="EM2" s="16" t="s">
        <v>81</v>
      </c>
      <c r="EN2" s="16" t="s">
        <v>135</v>
      </c>
      <c r="EO2" s="16" t="s">
        <v>184</v>
      </c>
      <c r="EP2" s="16"/>
      <c r="EQ2" s="16" t="s">
        <v>77</v>
      </c>
      <c r="ER2" s="16" t="s">
        <v>79</v>
      </c>
      <c r="ES2" s="16" t="s">
        <v>77</v>
      </c>
      <c r="ET2" s="16" t="s">
        <v>185</v>
      </c>
      <c r="EU2" s="16" t="s">
        <v>79</v>
      </c>
      <c r="EV2" s="16" t="s">
        <v>81</v>
      </c>
      <c r="EW2" s="16" t="s">
        <v>135</v>
      </c>
      <c r="EX2" s="16" t="s">
        <v>184</v>
      </c>
      <c r="EY2" s="16"/>
      <c r="EZ2" s="16" t="s">
        <v>77</v>
      </c>
      <c r="FA2" s="16" t="s">
        <v>79</v>
      </c>
      <c r="FB2" s="16" t="s">
        <v>77</v>
      </c>
      <c r="FC2" s="16" t="s">
        <v>185</v>
      </c>
      <c r="FD2" s="16" t="s">
        <v>79</v>
      </c>
      <c r="FE2" s="16" t="s">
        <v>81</v>
      </c>
      <c r="FF2" s="16" t="s">
        <v>135</v>
      </c>
      <c r="FG2" s="16" t="s">
        <v>184</v>
      </c>
      <c r="FH2" s="16"/>
      <c r="FI2" s="16" t="s">
        <v>77</v>
      </c>
      <c r="FJ2" s="16" t="s">
        <v>79</v>
      </c>
      <c r="FK2" s="16" t="s">
        <v>77</v>
      </c>
      <c r="FL2" s="16" t="s">
        <v>185</v>
      </c>
      <c r="FM2" s="16" t="s">
        <v>79</v>
      </c>
      <c r="FN2" s="16" t="s">
        <v>81</v>
      </c>
      <c r="FO2" s="16" t="s">
        <v>135</v>
      </c>
      <c r="FP2" s="61" t="s">
        <v>184</v>
      </c>
      <c r="FQ2" s="61"/>
      <c r="FR2" s="16" t="s">
        <v>77</v>
      </c>
      <c r="FS2" s="16" t="s">
        <v>79</v>
      </c>
      <c r="FT2" s="16" t="s">
        <v>77</v>
      </c>
      <c r="FU2" s="16" t="s">
        <v>185</v>
      </c>
      <c r="FV2" s="16" t="s">
        <v>79</v>
      </c>
      <c r="FW2" s="16" t="s">
        <v>81</v>
      </c>
      <c r="FX2" s="18"/>
      <c r="FY2" s="54" t="s">
        <v>81</v>
      </c>
      <c r="FZ2" s="56" t="s">
        <v>81</v>
      </c>
      <c r="GA2" s="62" t="s">
        <v>79</v>
      </c>
      <c r="GB2" s="62" t="s">
        <v>81</v>
      </c>
      <c r="GC2" s="15"/>
      <c r="GE2" s="16" t="s">
        <v>135</v>
      </c>
      <c r="GF2" s="16" t="s">
        <v>184</v>
      </c>
      <c r="GG2" s="16"/>
      <c r="GH2" s="16" t="s">
        <v>77</v>
      </c>
      <c r="GI2" s="16" t="s">
        <v>79</v>
      </c>
      <c r="GJ2" s="16" t="s">
        <v>77</v>
      </c>
      <c r="GK2" s="16" t="s">
        <v>185</v>
      </c>
      <c r="GL2" s="16" t="s">
        <v>79</v>
      </c>
      <c r="GM2" s="16" t="s">
        <v>81</v>
      </c>
      <c r="GN2" s="16" t="s">
        <v>135</v>
      </c>
      <c r="GO2" s="16" t="s">
        <v>184</v>
      </c>
      <c r="GP2" s="16"/>
      <c r="GQ2" s="16" t="s">
        <v>77</v>
      </c>
      <c r="GR2" s="16" t="s">
        <v>79</v>
      </c>
      <c r="GS2" s="16" t="s">
        <v>77</v>
      </c>
      <c r="GT2" s="16" t="s">
        <v>185</v>
      </c>
      <c r="GU2" s="16" t="s">
        <v>79</v>
      </c>
      <c r="GV2" s="16" t="s">
        <v>81</v>
      </c>
      <c r="GW2" s="16" t="s">
        <v>135</v>
      </c>
      <c r="GX2" s="16" t="s">
        <v>184</v>
      </c>
      <c r="GY2" s="16" t="s">
        <v>77</v>
      </c>
      <c r="GZ2" s="16" t="s">
        <v>77</v>
      </c>
      <c r="HA2" s="16" t="s">
        <v>185</v>
      </c>
      <c r="HB2" s="16" t="s">
        <v>81</v>
      </c>
      <c r="HC2" s="16" t="s">
        <v>135</v>
      </c>
      <c r="HD2" s="16" t="s">
        <v>184</v>
      </c>
      <c r="HE2" s="16"/>
      <c r="HF2" s="16" t="s">
        <v>77</v>
      </c>
      <c r="HG2" s="16" t="s">
        <v>79</v>
      </c>
      <c r="HH2" s="16" t="s">
        <v>77</v>
      </c>
      <c r="HI2" s="16" t="s">
        <v>185</v>
      </c>
      <c r="HJ2" s="16" t="s">
        <v>79</v>
      </c>
      <c r="HK2" s="16" t="s">
        <v>81</v>
      </c>
      <c r="HL2" s="182" t="s">
        <v>81</v>
      </c>
      <c r="HM2" t="s">
        <v>81</v>
      </c>
      <c r="HN2" t="s">
        <v>81</v>
      </c>
      <c r="HO2" t="s">
        <v>81</v>
      </c>
      <c r="HP2" s="19"/>
      <c r="HQ2" s="172" t="s">
        <v>202</v>
      </c>
      <c r="HR2" s="172" t="s">
        <v>202</v>
      </c>
      <c r="HS2" s="172" t="s">
        <v>202</v>
      </c>
      <c r="HT2" s="172" t="s">
        <v>202</v>
      </c>
    </row>
    <row r="3" spans="2:228" x14ac:dyDescent="0.25">
      <c r="B3" s="63"/>
      <c r="C3" s="170" t="s">
        <v>77</v>
      </c>
      <c r="D3" s="167" t="s">
        <v>79</v>
      </c>
      <c r="E3" s="23" t="s">
        <v>186</v>
      </c>
      <c r="F3" s="23" t="s">
        <v>81</v>
      </c>
      <c r="G3" s="168" t="s">
        <v>77</v>
      </c>
      <c r="H3" s="170" t="s">
        <v>79</v>
      </c>
      <c r="I3" s="23" t="s">
        <v>186</v>
      </c>
      <c r="J3" s="23" t="s">
        <v>81</v>
      </c>
      <c r="K3" s="170" t="s">
        <v>77</v>
      </c>
      <c r="L3" s="170" t="s">
        <v>79</v>
      </c>
      <c r="M3" s="23" t="s">
        <v>187</v>
      </c>
      <c r="N3" s="23" t="s">
        <v>81</v>
      </c>
      <c r="O3" s="170" t="s">
        <v>77</v>
      </c>
      <c r="P3" s="170" t="s">
        <v>79</v>
      </c>
      <c r="Q3" s="23" t="s">
        <v>187</v>
      </c>
      <c r="R3" s="23" t="s">
        <v>81</v>
      </c>
      <c r="S3" s="170" t="s">
        <v>77</v>
      </c>
      <c r="T3" s="170" t="s">
        <v>79</v>
      </c>
      <c r="U3" s="23" t="s">
        <v>187</v>
      </c>
      <c r="V3" s="23" t="s">
        <v>81</v>
      </c>
      <c r="W3" s="170" t="s">
        <v>77</v>
      </c>
      <c r="X3" s="170" t="s">
        <v>79</v>
      </c>
      <c r="Y3" s="23" t="s">
        <v>188</v>
      </c>
      <c r="Z3" s="23" t="s">
        <v>81</v>
      </c>
      <c r="AA3" s="170" t="s">
        <v>77</v>
      </c>
      <c r="AB3" s="170" t="s">
        <v>79</v>
      </c>
      <c r="AC3" s="23" t="s">
        <v>188</v>
      </c>
      <c r="AD3" s="23" t="s">
        <v>81</v>
      </c>
      <c r="AE3" s="170" t="s">
        <v>77</v>
      </c>
      <c r="AF3" s="170" t="s">
        <v>79</v>
      </c>
      <c r="AG3" s="23" t="s">
        <v>186</v>
      </c>
      <c r="AH3" s="23" t="s">
        <v>81</v>
      </c>
      <c r="AI3" s="170" t="s">
        <v>77</v>
      </c>
      <c r="AJ3" s="170" t="s">
        <v>79</v>
      </c>
      <c r="AK3" s="23" t="s">
        <v>186</v>
      </c>
      <c r="AL3" s="23" t="s">
        <v>81</v>
      </c>
      <c r="AM3" s="170" t="s">
        <v>77</v>
      </c>
      <c r="AN3" s="170" t="s">
        <v>79</v>
      </c>
      <c r="AO3" s="23" t="s">
        <v>189</v>
      </c>
      <c r="AP3" s="23" t="s">
        <v>81</v>
      </c>
      <c r="AQ3" s="170" t="s">
        <v>77</v>
      </c>
      <c r="AR3" s="170" t="s">
        <v>79</v>
      </c>
      <c r="AS3" s="23" t="s">
        <v>190</v>
      </c>
      <c r="AT3" s="23" t="s">
        <v>81</v>
      </c>
      <c r="AU3" s="228" t="s">
        <v>77</v>
      </c>
      <c r="AV3" s="229"/>
      <c r="AW3" s="23" t="s">
        <v>191</v>
      </c>
      <c r="AX3" s="23" t="s">
        <v>81</v>
      </c>
      <c r="BC3" s="56" t="s">
        <v>77</v>
      </c>
      <c r="BD3" s="15"/>
      <c r="BF3" s="167" t="s">
        <v>77</v>
      </c>
      <c r="BG3" s="23" t="s">
        <v>192</v>
      </c>
      <c r="BH3" s="23" t="s">
        <v>81</v>
      </c>
      <c r="BI3" s="167" t="s">
        <v>77</v>
      </c>
      <c r="BJ3" s="23" t="s">
        <v>192</v>
      </c>
      <c r="BK3" s="23" t="s">
        <v>81</v>
      </c>
      <c r="BL3" s="167" t="s">
        <v>77</v>
      </c>
      <c r="BM3" s="23" t="s">
        <v>191</v>
      </c>
      <c r="BN3" s="23" t="s">
        <v>81</v>
      </c>
      <c r="BO3" s="167" t="s">
        <v>77</v>
      </c>
      <c r="BP3" s="23" t="s">
        <v>190</v>
      </c>
      <c r="BQ3" s="23" t="s">
        <v>81</v>
      </c>
      <c r="BR3" s="18"/>
      <c r="BS3" s="27" t="s">
        <v>193</v>
      </c>
      <c r="BT3" s="27" t="s">
        <v>193</v>
      </c>
      <c r="BU3" s="27" t="s">
        <v>194</v>
      </c>
      <c r="BV3" s="56"/>
      <c r="BW3" s="15"/>
      <c r="BY3" s="20" t="s">
        <v>76</v>
      </c>
      <c r="BZ3" s="21" t="s">
        <v>195</v>
      </c>
      <c r="CA3" s="20" t="s">
        <v>101</v>
      </c>
      <c r="CB3" s="64" t="s">
        <v>81</v>
      </c>
      <c r="CC3" s="22" t="s">
        <v>196</v>
      </c>
      <c r="CD3" s="23" t="s">
        <v>196</v>
      </c>
      <c r="CE3" s="23" t="s">
        <v>78</v>
      </c>
      <c r="CF3" s="22" t="s">
        <v>101</v>
      </c>
      <c r="CG3" s="22" t="s">
        <v>101</v>
      </c>
      <c r="CH3" s="22" t="s">
        <v>81</v>
      </c>
      <c r="CI3" s="22" t="s">
        <v>81</v>
      </c>
      <c r="CJ3" s="22" t="s">
        <v>81</v>
      </c>
      <c r="CK3" s="65" t="s">
        <v>101</v>
      </c>
      <c r="CL3" s="22" t="s">
        <v>196</v>
      </c>
      <c r="CM3" s="23" t="s">
        <v>196</v>
      </c>
      <c r="CN3" s="23" t="s">
        <v>78</v>
      </c>
      <c r="CO3" s="22" t="s">
        <v>101</v>
      </c>
      <c r="CP3" s="22" t="s">
        <v>101</v>
      </c>
      <c r="CQ3" s="22" t="s">
        <v>81</v>
      </c>
      <c r="CR3" s="22" t="s">
        <v>81</v>
      </c>
      <c r="CS3" s="22" t="s">
        <v>81</v>
      </c>
      <c r="CT3" s="65" t="s">
        <v>101</v>
      </c>
      <c r="CU3" s="22" t="s">
        <v>196</v>
      </c>
      <c r="CV3" s="23" t="s">
        <v>196</v>
      </c>
      <c r="CW3" s="23" t="s">
        <v>78</v>
      </c>
      <c r="CX3" s="22" t="s">
        <v>101</v>
      </c>
      <c r="CY3" s="22" t="s">
        <v>101</v>
      </c>
      <c r="CZ3" s="22" t="s">
        <v>81</v>
      </c>
      <c r="DA3" s="22" t="s">
        <v>81</v>
      </c>
      <c r="DB3" s="22" t="s">
        <v>81</v>
      </c>
      <c r="DC3" s="65" t="s">
        <v>101</v>
      </c>
      <c r="DD3" s="22" t="s">
        <v>196</v>
      </c>
      <c r="DE3" s="23" t="s">
        <v>196</v>
      </c>
      <c r="DF3" s="23" t="s">
        <v>78</v>
      </c>
      <c r="DG3" s="22" t="s">
        <v>101</v>
      </c>
      <c r="DH3" s="22" t="s">
        <v>101</v>
      </c>
      <c r="DI3" s="22" t="s">
        <v>81</v>
      </c>
      <c r="DJ3" s="22" t="s">
        <v>81</v>
      </c>
      <c r="DK3" s="22" t="s">
        <v>81</v>
      </c>
      <c r="DL3" s="65" t="s">
        <v>101</v>
      </c>
      <c r="DM3" s="22" t="s">
        <v>196</v>
      </c>
      <c r="DN3" s="23" t="s">
        <v>196</v>
      </c>
      <c r="DO3" s="23" t="s">
        <v>78</v>
      </c>
      <c r="DP3" s="22" t="s">
        <v>101</v>
      </c>
      <c r="DQ3" s="66" t="s">
        <v>101</v>
      </c>
      <c r="DR3" s="22" t="s">
        <v>81</v>
      </c>
      <c r="DS3" s="22" t="s">
        <v>81</v>
      </c>
      <c r="DT3" s="22" t="s">
        <v>81</v>
      </c>
      <c r="DU3" s="65" t="s">
        <v>101</v>
      </c>
      <c r="DV3" s="22" t="s">
        <v>196</v>
      </c>
      <c r="DW3" s="23" t="s">
        <v>196</v>
      </c>
      <c r="DX3" s="23" t="s">
        <v>78</v>
      </c>
      <c r="DY3" s="22" t="s">
        <v>101</v>
      </c>
      <c r="DZ3" s="66" t="s">
        <v>101</v>
      </c>
      <c r="EA3" s="22" t="s">
        <v>81</v>
      </c>
      <c r="EB3" s="22" t="s">
        <v>81</v>
      </c>
      <c r="EC3" s="22" t="s">
        <v>81</v>
      </c>
      <c r="ED3" s="65" t="s">
        <v>101</v>
      </c>
      <c r="EE3" s="22" t="s">
        <v>196</v>
      </c>
      <c r="EF3" s="23" t="s">
        <v>196</v>
      </c>
      <c r="EG3" s="23" t="s">
        <v>78</v>
      </c>
      <c r="EH3" s="22" t="s">
        <v>101</v>
      </c>
      <c r="EI3" s="22" t="s">
        <v>101</v>
      </c>
      <c r="EJ3" s="22" t="s">
        <v>81</v>
      </c>
      <c r="EK3" s="22" t="s">
        <v>81</v>
      </c>
      <c r="EL3" s="22" t="s">
        <v>81</v>
      </c>
      <c r="EM3" s="65" t="s">
        <v>101</v>
      </c>
      <c r="EN3" s="22" t="s">
        <v>196</v>
      </c>
      <c r="EO3" s="23" t="s">
        <v>196</v>
      </c>
      <c r="EP3" s="23" t="s">
        <v>78</v>
      </c>
      <c r="EQ3" s="22" t="s">
        <v>101</v>
      </c>
      <c r="ER3" s="22" t="s">
        <v>101</v>
      </c>
      <c r="ES3" s="22" t="s">
        <v>81</v>
      </c>
      <c r="ET3" s="22" t="s">
        <v>81</v>
      </c>
      <c r="EU3" s="22" t="s">
        <v>81</v>
      </c>
      <c r="EV3" s="65" t="s">
        <v>101</v>
      </c>
      <c r="EW3" s="22" t="s">
        <v>196</v>
      </c>
      <c r="EX3" s="23" t="s">
        <v>196</v>
      </c>
      <c r="EY3" s="23" t="s">
        <v>78</v>
      </c>
      <c r="EZ3" s="22" t="s">
        <v>101</v>
      </c>
      <c r="FA3" s="22" t="s">
        <v>101</v>
      </c>
      <c r="FB3" s="22" t="s">
        <v>81</v>
      </c>
      <c r="FC3" s="22" t="s">
        <v>81</v>
      </c>
      <c r="FD3" s="22" t="s">
        <v>81</v>
      </c>
      <c r="FE3" s="65" t="s">
        <v>101</v>
      </c>
      <c r="FF3" s="22" t="s">
        <v>196</v>
      </c>
      <c r="FG3" s="23" t="s">
        <v>196</v>
      </c>
      <c r="FH3" s="23" t="s">
        <v>78</v>
      </c>
      <c r="FI3" s="22" t="s">
        <v>101</v>
      </c>
      <c r="FJ3" s="22" t="s">
        <v>101</v>
      </c>
      <c r="FK3" s="22" t="s">
        <v>81</v>
      </c>
      <c r="FL3" s="22" t="s">
        <v>81</v>
      </c>
      <c r="FM3" s="22" t="s">
        <v>81</v>
      </c>
      <c r="FN3" s="65" t="s">
        <v>101</v>
      </c>
      <c r="FO3" s="22" t="s">
        <v>196</v>
      </c>
      <c r="FP3" s="67" t="s">
        <v>196</v>
      </c>
      <c r="FQ3" s="67" t="s">
        <v>78</v>
      </c>
      <c r="FR3" s="22" t="s">
        <v>101</v>
      </c>
      <c r="FS3" s="22" t="s">
        <v>101</v>
      </c>
      <c r="FT3" s="22" t="s">
        <v>81</v>
      </c>
      <c r="FU3" s="22" t="s">
        <v>81</v>
      </c>
      <c r="FV3" s="22" t="s">
        <v>81</v>
      </c>
      <c r="FW3" s="65" t="s">
        <v>101</v>
      </c>
      <c r="FX3" s="68"/>
      <c r="FY3" s="54" t="s">
        <v>197</v>
      </c>
      <c r="FZ3" t="s">
        <v>198</v>
      </c>
      <c r="GA3" t="s">
        <v>81</v>
      </c>
      <c r="GB3" t="s">
        <v>199</v>
      </c>
      <c r="GC3" s="15"/>
      <c r="GE3" s="22" t="s">
        <v>196</v>
      </c>
      <c r="GF3" s="23" t="s">
        <v>196</v>
      </c>
      <c r="GG3" s="23" t="s">
        <v>78</v>
      </c>
      <c r="GH3" s="22" t="s">
        <v>101</v>
      </c>
      <c r="GI3" s="22" t="s">
        <v>101</v>
      </c>
      <c r="GJ3" s="22" t="s">
        <v>81</v>
      </c>
      <c r="GK3" s="22" t="s">
        <v>81</v>
      </c>
      <c r="GL3" s="22" t="s">
        <v>81</v>
      </c>
      <c r="GM3" s="65" t="s">
        <v>101</v>
      </c>
      <c r="GN3" s="22" t="s">
        <v>196</v>
      </c>
      <c r="GO3" s="23" t="s">
        <v>196</v>
      </c>
      <c r="GP3" s="23" t="s">
        <v>78</v>
      </c>
      <c r="GQ3" s="22" t="s">
        <v>101</v>
      </c>
      <c r="GR3" s="22" t="s">
        <v>101</v>
      </c>
      <c r="GS3" s="22" t="s">
        <v>81</v>
      </c>
      <c r="GT3" s="22" t="s">
        <v>81</v>
      </c>
      <c r="GU3" s="22" t="s">
        <v>81</v>
      </c>
      <c r="GV3" s="65" t="s">
        <v>101</v>
      </c>
      <c r="GW3" s="22" t="s">
        <v>196</v>
      </c>
      <c r="GX3" s="23" t="s">
        <v>196</v>
      </c>
      <c r="GY3" s="22" t="s">
        <v>101</v>
      </c>
      <c r="GZ3" s="22" t="s">
        <v>81</v>
      </c>
      <c r="HA3" s="22" t="s">
        <v>81</v>
      </c>
      <c r="HB3" s="65" t="s">
        <v>101</v>
      </c>
      <c r="HC3" s="22" t="s">
        <v>196</v>
      </c>
      <c r="HD3" s="23" t="s">
        <v>196</v>
      </c>
      <c r="HE3" s="23" t="s">
        <v>78</v>
      </c>
      <c r="HF3" s="22" t="s">
        <v>101</v>
      </c>
      <c r="HG3" s="22" t="s">
        <v>101</v>
      </c>
      <c r="HH3" s="22" t="s">
        <v>81</v>
      </c>
      <c r="HI3" s="22" t="s">
        <v>81</v>
      </c>
      <c r="HJ3" s="22" t="s">
        <v>81</v>
      </c>
      <c r="HK3" s="65" t="s">
        <v>101</v>
      </c>
      <c r="HL3" s="182" t="s">
        <v>77</v>
      </c>
      <c r="HM3" t="s">
        <v>198</v>
      </c>
      <c r="HN3" t="s">
        <v>79</v>
      </c>
      <c r="HO3" t="s">
        <v>200</v>
      </c>
      <c r="HP3" s="19"/>
      <c r="HQ3" s="172" t="s">
        <v>77</v>
      </c>
      <c r="HR3" s="172" t="s">
        <v>198</v>
      </c>
      <c r="HS3" s="172" t="s">
        <v>79</v>
      </c>
      <c r="HT3" s="172" t="s">
        <v>200</v>
      </c>
    </row>
    <row r="4" spans="2:228" x14ac:dyDescent="0.25">
      <c r="B4" s="69">
        <v>43101</v>
      </c>
      <c r="C4" s="174">
        <v>56790</v>
      </c>
      <c r="D4" s="21">
        <v>2.0990000000000002</v>
      </c>
      <c r="E4" s="38" t="s">
        <v>201</v>
      </c>
      <c r="F4" s="38"/>
      <c r="G4" s="174">
        <v>51705</v>
      </c>
      <c r="H4" s="21">
        <v>2.34</v>
      </c>
      <c r="I4" s="38" t="s">
        <v>201</v>
      </c>
      <c r="J4" s="38"/>
      <c r="K4" s="174">
        <v>6434</v>
      </c>
      <c r="L4" s="21">
        <v>2.82</v>
      </c>
      <c r="M4" s="38" t="s">
        <v>201</v>
      </c>
      <c r="N4" s="38"/>
      <c r="O4" s="174">
        <v>6426</v>
      </c>
      <c r="P4" s="21">
        <v>2.85</v>
      </c>
      <c r="Q4" s="38" t="s">
        <v>201</v>
      </c>
      <c r="R4" s="38"/>
      <c r="S4" s="174">
        <v>6914</v>
      </c>
      <c r="T4" s="174">
        <v>2.96</v>
      </c>
      <c r="U4" s="38" t="s">
        <v>201</v>
      </c>
      <c r="V4" s="38"/>
      <c r="W4" s="174">
        <v>45317</v>
      </c>
      <c r="X4" s="21">
        <v>1.786</v>
      </c>
      <c r="Y4" s="38" t="s">
        <v>201</v>
      </c>
      <c r="Z4" s="38"/>
      <c r="AA4" s="174">
        <v>43517</v>
      </c>
      <c r="AB4" s="21">
        <v>1.752</v>
      </c>
      <c r="AC4" s="38" t="s">
        <v>201</v>
      </c>
      <c r="AD4" s="38"/>
      <c r="AE4" s="174">
        <v>11413</v>
      </c>
      <c r="AF4" s="21">
        <v>3.89</v>
      </c>
      <c r="AG4" s="38" t="s">
        <v>201</v>
      </c>
      <c r="AH4" s="38"/>
      <c r="AI4" s="174">
        <v>8072</v>
      </c>
      <c r="AJ4" s="21">
        <v>2.87</v>
      </c>
      <c r="AK4" s="38" t="s">
        <v>201</v>
      </c>
      <c r="AL4" s="38"/>
      <c r="AM4" s="174">
        <v>54225</v>
      </c>
      <c r="AN4" s="21">
        <v>1.978</v>
      </c>
      <c r="AO4" s="38" t="s">
        <v>201</v>
      </c>
      <c r="AP4" s="38"/>
      <c r="AQ4" s="174">
        <v>10676</v>
      </c>
      <c r="AR4" s="21">
        <v>0.44600000000000001</v>
      </c>
      <c r="AS4" s="38" t="s">
        <v>201</v>
      </c>
      <c r="AT4" s="38"/>
      <c r="AU4" s="228">
        <v>91494</v>
      </c>
      <c r="AV4" s="229"/>
      <c r="AW4" s="38" t="s">
        <v>201</v>
      </c>
      <c r="AX4" s="38"/>
      <c r="AZ4" s="183" t="s">
        <v>201</v>
      </c>
      <c r="BA4" t="s">
        <v>201</v>
      </c>
      <c r="BB4" t="s">
        <v>201</v>
      </c>
      <c r="BD4" s="15"/>
      <c r="BE4" s="69">
        <v>43101</v>
      </c>
      <c r="BF4" s="26">
        <v>39149</v>
      </c>
      <c r="BG4" s="38" t="s">
        <v>201</v>
      </c>
      <c r="BH4" s="38"/>
      <c r="BI4" s="26">
        <v>5039</v>
      </c>
      <c r="BJ4" s="38" t="s">
        <v>201</v>
      </c>
      <c r="BK4" s="38"/>
      <c r="BL4" s="21">
        <v>94877</v>
      </c>
      <c r="BM4" s="38" t="s">
        <v>201</v>
      </c>
      <c r="BN4" s="38"/>
      <c r="BO4" s="21">
        <v>39726</v>
      </c>
      <c r="BP4" s="38" t="s">
        <v>201</v>
      </c>
      <c r="BQ4" s="38"/>
      <c r="BR4" s="70"/>
      <c r="BS4" s="26" t="s">
        <v>201</v>
      </c>
      <c r="BT4"/>
      <c r="BU4"/>
      <c r="BV4" s="175"/>
      <c r="BW4" s="15"/>
      <c r="BY4" s="20">
        <f t="shared" ref="BY4:BY6" si="0">SUM(AU4)</f>
        <v>91494</v>
      </c>
      <c r="BZ4" s="21">
        <v>90793</v>
      </c>
      <c r="CA4" s="20"/>
      <c r="CB4" s="71"/>
      <c r="CC4" s="72">
        <f t="shared" ref="CC4:CC6" si="1">SUM(G4)</f>
        <v>51705</v>
      </c>
      <c r="CD4" s="24">
        <v>51575</v>
      </c>
      <c r="CE4" s="24">
        <v>2.258</v>
      </c>
      <c r="CF4" s="20"/>
      <c r="CG4" s="72"/>
      <c r="CH4" s="176"/>
      <c r="CI4" s="176"/>
      <c r="CJ4" s="176"/>
      <c r="CK4" s="176"/>
      <c r="CL4" s="72">
        <f t="shared" ref="CL4:CL6" si="2">SUM(C4)</f>
        <v>56790</v>
      </c>
      <c r="CM4" s="24">
        <v>56668</v>
      </c>
      <c r="CN4" s="24">
        <v>2.1080000000000001</v>
      </c>
      <c r="CO4" s="20"/>
      <c r="CP4" s="72"/>
      <c r="CQ4" s="176"/>
      <c r="CR4" s="176"/>
      <c r="CS4" s="176"/>
      <c r="CT4" s="176"/>
      <c r="CU4" s="72">
        <f t="shared" ref="CU4:CU6" si="3">SUM(W4)</f>
        <v>45317</v>
      </c>
      <c r="CV4" s="24">
        <v>45265</v>
      </c>
      <c r="CW4" s="24">
        <v>1.9870000000000001</v>
      </c>
      <c r="CX4" s="20"/>
      <c r="CY4" s="72"/>
      <c r="CZ4" s="176"/>
      <c r="DA4" s="176"/>
      <c r="DB4" s="176"/>
      <c r="DC4" s="176"/>
      <c r="DD4" s="72">
        <f t="shared" ref="DD4:DD6" si="4">SUM(AQ4)</f>
        <v>10676</v>
      </c>
      <c r="DE4" s="24">
        <v>10653</v>
      </c>
      <c r="DF4" s="24">
        <v>0.45900000000000002</v>
      </c>
      <c r="DG4" s="20"/>
      <c r="DH4" s="72"/>
      <c r="DI4" s="176"/>
      <c r="DJ4" s="176"/>
      <c r="DK4" s="176"/>
      <c r="DL4" s="176"/>
      <c r="DM4" s="72">
        <f t="shared" ref="DM4:DM6" si="5">SUM(AA4)</f>
        <v>43517</v>
      </c>
      <c r="DN4" s="24">
        <v>43472</v>
      </c>
      <c r="DO4" s="24">
        <v>1.8180000000000001</v>
      </c>
      <c r="DP4" s="20"/>
      <c r="DQ4" s="177"/>
      <c r="DR4" s="176"/>
      <c r="DS4" s="176"/>
      <c r="DT4" s="176"/>
      <c r="DU4" s="176"/>
      <c r="DV4" s="72">
        <f t="shared" ref="DV4:DV6" si="6">SUM(O4)</f>
        <v>6426</v>
      </c>
      <c r="DW4" s="24">
        <v>6411</v>
      </c>
      <c r="DX4" s="24">
        <v>0.32</v>
      </c>
      <c r="DY4" s="20"/>
      <c r="DZ4" s="177"/>
      <c r="EA4" s="176"/>
      <c r="EB4" s="176"/>
      <c r="EC4" s="176"/>
      <c r="ED4" s="176"/>
      <c r="EE4" s="72">
        <f t="shared" ref="EE4:EE6" si="7">SUM(W4)</f>
        <v>45317</v>
      </c>
      <c r="EF4" s="24">
        <v>6419</v>
      </c>
      <c r="EG4" s="24">
        <v>0.317</v>
      </c>
      <c r="EH4" s="20"/>
      <c r="EI4" s="72" t="s">
        <v>201</v>
      </c>
      <c r="EJ4" s="176"/>
      <c r="EK4" s="176"/>
      <c r="EL4" s="176"/>
      <c r="EM4" s="176"/>
      <c r="EN4" s="72">
        <f t="shared" ref="EN4:EN6" si="8">SUM(S4)</f>
        <v>6914</v>
      </c>
      <c r="EO4" s="24">
        <v>6898</v>
      </c>
      <c r="EP4" s="24">
        <v>0.33200000000000002</v>
      </c>
      <c r="EQ4" s="20"/>
      <c r="ER4" s="72"/>
      <c r="ES4" s="176"/>
      <c r="ET4" s="176"/>
      <c r="EU4" s="176"/>
      <c r="EV4" s="176"/>
      <c r="EW4" s="72">
        <f t="shared" ref="EW4:EW6" si="9">SUM(AE4)</f>
        <v>11413</v>
      </c>
      <c r="EX4" s="24">
        <v>11393</v>
      </c>
      <c r="EY4" s="24">
        <v>0.56599999999999995</v>
      </c>
      <c r="EZ4" s="20"/>
      <c r="FA4" s="72"/>
      <c r="FB4" s="176"/>
      <c r="FC4" s="176"/>
      <c r="FD4" s="176"/>
      <c r="FE4" s="176"/>
      <c r="FF4" s="72">
        <f t="shared" ref="FF4:FF6" si="10">SUM(AI4)</f>
        <v>8072</v>
      </c>
      <c r="FG4" s="24">
        <v>8061</v>
      </c>
      <c r="FH4" s="24">
        <v>0.433</v>
      </c>
      <c r="FI4" s="20"/>
      <c r="FJ4" s="72"/>
      <c r="FK4" s="176"/>
      <c r="FL4" s="176"/>
      <c r="FM4" s="176"/>
      <c r="FN4" s="176"/>
      <c r="FO4" s="20">
        <f t="shared" ref="FO4:FO6" si="11">SUM(AM4)</f>
        <v>54225</v>
      </c>
      <c r="FP4" s="178">
        <v>54124</v>
      </c>
      <c r="FQ4" s="178">
        <v>2.06</v>
      </c>
      <c r="FR4" s="20"/>
      <c r="FS4" s="72"/>
      <c r="FT4" s="176"/>
      <c r="FU4" s="176"/>
      <c r="FV4" s="176"/>
      <c r="FW4" s="176"/>
      <c r="FX4" s="55"/>
      <c r="FZ4" s="50"/>
      <c r="GA4" s="50"/>
      <c r="GB4" s="50"/>
      <c r="GC4" s="15"/>
      <c r="GE4" s="72">
        <f t="shared" ref="GE4:GE6" si="12">SUM(BI4)</f>
        <v>5039</v>
      </c>
      <c r="GF4" s="24">
        <v>5020</v>
      </c>
      <c r="GG4" s="24">
        <v>0.27200000000000002</v>
      </c>
      <c r="GH4" s="72"/>
      <c r="GI4" s="72"/>
      <c r="GJ4" s="179"/>
      <c r="GK4" s="179"/>
      <c r="GL4" s="179"/>
      <c r="GM4" s="176"/>
      <c r="GN4" s="72">
        <f t="shared" ref="GN4:GN6" si="13">SUM(BF4)</f>
        <v>39149</v>
      </c>
      <c r="GO4" s="24">
        <v>39065</v>
      </c>
      <c r="GP4" s="24">
        <v>1.895</v>
      </c>
      <c r="GQ4" s="72"/>
      <c r="GR4" s="72"/>
      <c r="GS4" s="179"/>
      <c r="GT4" s="179"/>
      <c r="GU4" s="179"/>
      <c r="GV4" s="176"/>
      <c r="GW4" s="72">
        <f t="shared" ref="GW4:GW6" si="14">SUM(BL4)</f>
        <v>94877</v>
      </c>
      <c r="GX4" s="24">
        <v>94375</v>
      </c>
      <c r="GY4" s="72"/>
      <c r="GZ4" s="176"/>
      <c r="HA4" s="176"/>
      <c r="HB4" s="176"/>
      <c r="HC4" s="72">
        <f t="shared" ref="HC4:HC6" si="15">SUM(BO4)</f>
        <v>39726</v>
      </c>
      <c r="HD4" s="24">
        <v>39708</v>
      </c>
      <c r="HE4" s="24">
        <v>3.96</v>
      </c>
      <c r="HF4" s="72"/>
      <c r="HG4" s="72"/>
      <c r="HH4" s="176"/>
      <c r="HI4" s="176"/>
      <c r="HJ4" s="176"/>
      <c r="HK4" s="176"/>
      <c r="HM4" s="50"/>
      <c r="HN4" s="50"/>
      <c r="HO4" s="50"/>
      <c r="HP4" s="19"/>
    </row>
    <row r="5" spans="2:228" x14ac:dyDescent="0.25">
      <c r="B5" s="69">
        <v>43131</v>
      </c>
      <c r="C5" s="174">
        <v>57980</v>
      </c>
      <c r="D5" s="21">
        <v>2.0539999999999998</v>
      </c>
      <c r="E5" s="38">
        <f t="shared" ref="E5:E22" si="16">SUM(C5-C4)*160</f>
        <v>190400</v>
      </c>
      <c r="F5" s="38"/>
      <c r="G5" s="174">
        <v>52933</v>
      </c>
      <c r="H5" s="21">
        <v>2.1549999999999998</v>
      </c>
      <c r="I5" s="38">
        <f t="shared" ref="I5:I22" si="17">SUM(G5-G4)*160</f>
        <v>196480</v>
      </c>
      <c r="J5" s="38"/>
      <c r="K5" s="174">
        <v>6579</v>
      </c>
      <c r="L5" s="21">
        <v>2.92</v>
      </c>
      <c r="M5" s="38">
        <f>SUM(K5-K4)*400</f>
        <v>58000</v>
      </c>
      <c r="N5" s="38"/>
      <c r="O5" s="174">
        <v>6571</v>
      </c>
      <c r="P5" s="21">
        <v>2.79</v>
      </c>
      <c r="Q5" s="38">
        <f>SUM(O5-O4)*400</f>
        <v>58000</v>
      </c>
      <c r="R5" s="38"/>
      <c r="S5" s="174">
        <v>7072</v>
      </c>
      <c r="T5" s="174">
        <v>2.91</v>
      </c>
      <c r="U5" s="38">
        <f>SUM(S5-S4)*400</f>
        <v>63200</v>
      </c>
      <c r="V5" s="38"/>
      <c r="W5" s="174">
        <v>45865</v>
      </c>
      <c r="X5" s="21">
        <v>1.8480000000000001</v>
      </c>
      <c r="Y5" s="38">
        <f>SUM(W5-W4)*300</f>
        <v>164400</v>
      </c>
      <c r="Z5" s="38"/>
      <c r="AA5" s="174">
        <v>44002</v>
      </c>
      <c r="AB5" s="21">
        <v>1.9450000000000001</v>
      </c>
      <c r="AC5" s="38">
        <f>SUM(AA5-AA4)*300</f>
        <v>145500</v>
      </c>
      <c r="AD5" s="38"/>
      <c r="AE5" s="174">
        <v>11622</v>
      </c>
      <c r="AF5" s="21">
        <v>5.23</v>
      </c>
      <c r="AG5" s="38">
        <f>SUM(AE5-AE4)*160</f>
        <v>33440</v>
      </c>
      <c r="AH5" s="38"/>
      <c r="AI5" s="174">
        <v>8200</v>
      </c>
      <c r="AJ5" s="21">
        <v>3.31</v>
      </c>
      <c r="AK5" s="38">
        <f>SUM(AI5-AI4)*160</f>
        <v>20480</v>
      </c>
      <c r="AL5" s="38"/>
      <c r="AM5" s="174">
        <v>55372</v>
      </c>
      <c r="AN5" s="21">
        <v>2.1739999999999999</v>
      </c>
      <c r="AO5" s="38">
        <f>SUM(AM5-AM4)*200</f>
        <v>229400</v>
      </c>
      <c r="AP5" s="38"/>
      <c r="AQ5" s="174">
        <v>10906</v>
      </c>
      <c r="AR5" s="21">
        <v>0.44800000000000001</v>
      </c>
      <c r="AS5" s="38">
        <f>SUM(AQ5-AQ4)*40</f>
        <v>9200</v>
      </c>
      <c r="AT5" s="38"/>
      <c r="AU5" s="228">
        <v>94564</v>
      </c>
      <c r="AV5" s="229"/>
      <c r="AW5" s="38">
        <f>SUM(AU5-AU4)</f>
        <v>3070</v>
      </c>
      <c r="AX5" s="38"/>
      <c r="AZ5" s="183">
        <f t="shared" ref="AZ5:AZ22" si="18">SUM(AO5+AK5+AG5+AC5+Y5+U5+Q5+M5+I5+E5+AS5+AW5)</f>
        <v>1171570</v>
      </c>
      <c r="BA5">
        <f t="shared" ref="BA5:BA22" si="19">SUM(AO5+AS5)</f>
        <v>238600</v>
      </c>
      <c r="BB5">
        <f t="shared" ref="BB5:BB22" si="20">SUM(BA5/AZ5)</f>
        <v>0.20365833881031437</v>
      </c>
      <c r="BD5" s="15"/>
      <c r="BE5" s="69">
        <v>43131</v>
      </c>
      <c r="BF5" s="26">
        <v>39751</v>
      </c>
      <c r="BG5" s="38">
        <f t="shared" ref="BG5:BG22" si="21">SUM(BF5-BF4)*100</f>
        <v>60200</v>
      </c>
      <c r="BH5" s="38"/>
      <c r="BI5" s="26">
        <v>5131</v>
      </c>
      <c r="BJ5" s="38">
        <f t="shared" ref="BJ5:BJ22" si="22">SUM(BI5-BI4)*100</f>
        <v>9200</v>
      </c>
      <c r="BK5" s="38"/>
      <c r="BL5" s="21">
        <v>98720</v>
      </c>
      <c r="BM5" s="38">
        <f t="shared" ref="BM5:BM22" si="23">SUM(BL5-BL4)</f>
        <v>3843</v>
      </c>
      <c r="BN5" s="38"/>
      <c r="BO5" s="21">
        <v>39928</v>
      </c>
      <c r="BP5" s="38">
        <f t="shared" ref="BP5:BP22" si="24">SUM(BO5-BO4)*40</f>
        <v>8080</v>
      </c>
      <c r="BQ5" s="38"/>
      <c r="BR5" s="70"/>
      <c r="BS5" s="26">
        <f t="shared" ref="BS5:BS22" si="25">SUM(BG5+BJ5,BM5,BP5)</f>
        <v>81323</v>
      </c>
      <c r="BT5"/>
      <c r="BU5"/>
      <c r="BV5" s="175"/>
      <c r="BW5" s="15"/>
      <c r="BY5" s="20">
        <f t="shared" si="0"/>
        <v>94564</v>
      </c>
      <c r="BZ5" s="21">
        <v>93676</v>
      </c>
      <c r="CA5" s="20">
        <f>SUM(BZ5-BZ4)</f>
        <v>2883</v>
      </c>
      <c r="CB5" s="71">
        <f t="shared" ref="CB5:CB7" si="26">SUM(CA5*0.11923+CA5*0.02439)*1.1+2.85</f>
        <v>458.31210600000009</v>
      </c>
      <c r="CC5" s="72">
        <f t="shared" si="1"/>
        <v>52933</v>
      </c>
      <c r="CD5" s="24">
        <v>52726</v>
      </c>
      <c r="CE5" s="24">
        <v>2.359</v>
      </c>
      <c r="CF5" s="20">
        <f>SUM(CD5-CD4)*160</f>
        <v>184160</v>
      </c>
      <c r="CG5" s="72">
        <f>(CE5)*160</f>
        <v>377.44</v>
      </c>
      <c r="CH5" s="176">
        <f t="shared" ref="CH5:CH7" si="27">SUM(CF5*0.0382)</f>
        <v>7034.9119999999994</v>
      </c>
      <c r="CI5" s="176">
        <f t="shared" ref="CI5:CI7" si="28">SUM(CF5*0.02439)</f>
        <v>4491.6624000000002</v>
      </c>
      <c r="CJ5" s="176">
        <f>SUM(CG5*6.652)</f>
        <v>2510.7308800000001</v>
      </c>
      <c r="CK5" s="176">
        <f>SUM(CH5+CI5+45)*1.1</f>
        <v>12728.73184</v>
      </c>
      <c r="CL5" s="72">
        <f t="shared" si="2"/>
        <v>57980</v>
      </c>
      <c r="CM5" s="24">
        <v>57782</v>
      </c>
      <c r="CN5" s="24">
        <v>2.1840000000000002</v>
      </c>
      <c r="CO5" s="20">
        <f>SUM(CM5-CM4)*160</f>
        <v>178240</v>
      </c>
      <c r="CP5" s="72">
        <f>(CN5)*160</f>
        <v>349.44000000000005</v>
      </c>
      <c r="CQ5" s="176">
        <f t="shared" ref="CQ5:CQ7" si="29">SUM(CO5*0.0382)</f>
        <v>6808.768</v>
      </c>
      <c r="CR5" s="176">
        <f t="shared" ref="CR5:CR7" si="30">SUM(CO5*0.02439)</f>
        <v>4347.2735999999995</v>
      </c>
      <c r="CS5" s="176">
        <f>SUM(CP5*6.652)</f>
        <v>2324.4748800000002</v>
      </c>
      <c r="CT5" s="176">
        <f>SUM(CQ5+CR5+45)*1.1</f>
        <v>12321.145760000001</v>
      </c>
      <c r="CU5" s="72">
        <f t="shared" si="3"/>
        <v>45865</v>
      </c>
      <c r="CV5" s="24">
        <v>45748</v>
      </c>
      <c r="CW5" s="24">
        <v>1.8740000000000001</v>
      </c>
      <c r="CX5" s="20">
        <f>SUM(CV5-CV4)*300</f>
        <v>144900</v>
      </c>
      <c r="CY5" s="72">
        <f t="shared" ref="CY5:CY14" si="31">(CW5)*300</f>
        <v>562.20000000000005</v>
      </c>
      <c r="CZ5" s="176">
        <f t="shared" ref="CZ5:CZ7" si="32">SUM(CX5*0.0382)</f>
        <v>5535.1799999999994</v>
      </c>
      <c r="DA5" s="176">
        <f t="shared" ref="DA5:DA7" si="33">SUM(CX5*0.02439)</f>
        <v>3534.1109999999999</v>
      </c>
      <c r="DB5" s="176">
        <f t="shared" ref="DB5" si="34">SUM(CY5*6.652)</f>
        <v>3739.7544000000003</v>
      </c>
      <c r="DC5" s="176">
        <f t="shared" ref="DC5:DC8" si="35">SUM(CZ5+DA5+45)*1.1</f>
        <v>10025.7201</v>
      </c>
      <c r="DD5" s="72">
        <f t="shared" si="4"/>
        <v>10906</v>
      </c>
      <c r="DE5" s="24">
        <v>10868</v>
      </c>
      <c r="DF5" s="24">
        <v>0.46400000000000002</v>
      </c>
      <c r="DG5" s="20">
        <f>SUM(DE5-DE4)*40</f>
        <v>8600</v>
      </c>
      <c r="DH5" s="72">
        <f>(DF5)*40</f>
        <v>18.560000000000002</v>
      </c>
      <c r="DI5" s="176">
        <f t="shared" ref="DI5:DI7" si="36">SUM(DG5*0.0382)</f>
        <v>328.52</v>
      </c>
      <c r="DJ5" s="176">
        <f t="shared" ref="DJ5:DJ7" si="37">SUM(DG5*0.02439)</f>
        <v>209.75399999999999</v>
      </c>
      <c r="DK5" s="176">
        <f>SUM(DH5*6.652)</f>
        <v>123.46112000000002</v>
      </c>
      <c r="DL5" s="176">
        <f>SUM(DI5+DJ5+25)*1.1</f>
        <v>619.60140000000001</v>
      </c>
      <c r="DM5" s="72">
        <f t="shared" si="5"/>
        <v>44002</v>
      </c>
      <c r="DN5" s="24">
        <v>43908</v>
      </c>
      <c r="DO5" s="24">
        <v>1.915</v>
      </c>
      <c r="DP5" s="20">
        <f>SUM(DN5-DN4)*300</f>
        <v>130800</v>
      </c>
      <c r="DQ5" s="177">
        <f>(DO5)*300</f>
        <v>574.5</v>
      </c>
      <c r="DR5" s="176">
        <f t="shared" ref="DR5:DR7" si="38">SUM(DP5*0.0382)</f>
        <v>4996.5599999999995</v>
      </c>
      <c r="DS5" s="176">
        <f t="shared" ref="DS5:DS7" si="39">SUM(DP5*0.02439)</f>
        <v>3190.212</v>
      </c>
      <c r="DT5" s="176">
        <f t="shared" ref="DT5:DT7" si="40">SUM(DQ5*6.652)</f>
        <v>3821.5740000000001</v>
      </c>
      <c r="DU5" s="176">
        <f t="shared" ref="DU5:DU7" si="41">SUM(DR5+DS5+45)*1.1</f>
        <v>9054.9491999999991</v>
      </c>
      <c r="DV5" s="72">
        <f t="shared" si="6"/>
        <v>6571</v>
      </c>
      <c r="DW5" s="24">
        <v>6549</v>
      </c>
      <c r="DX5" s="24">
        <v>0.36699999999999999</v>
      </c>
      <c r="DY5" s="20">
        <f>SUM(DW5-DW4)*400</f>
        <v>55200</v>
      </c>
      <c r="DZ5" s="177">
        <f>(DX5)*400</f>
        <v>146.80000000000001</v>
      </c>
      <c r="EA5" s="176">
        <f t="shared" ref="EA5:EA7" si="42">SUM(DY5*0.0382)</f>
        <v>2108.64</v>
      </c>
      <c r="EB5" s="176">
        <f t="shared" ref="EB5:EB7" si="43">SUM(DY5*0.02439)</f>
        <v>1346.328</v>
      </c>
      <c r="EC5" s="176">
        <f t="shared" ref="EC5:EC7" si="44">SUM(DZ5*6.652)</f>
        <v>976.51360000000011</v>
      </c>
      <c r="ED5" s="176">
        <f t="shared" ref="ED5:ED7" si="45">SUM(EA5+EB5+45)*1.1</f>
        <v>3849.9648000000002</v>
      </c>
      <c r="EE5" s="72">
        <f t="shared" si="7"/>
        <v>45865</v>
      </c>
      <c r="EF5" s="24">
        <v>6558</v>
      </c>
      <c r="EG5" s="24">
        <v>0.36299999999999999</v>
      </c>
      <c r="EH5" s="20">
        <f>SUM(EF5-EF4)*400</f>
        <v>55600</v>
      </c>
      <c r="EI5" s="72">
        <f>(EG5)*400</f>
        <v>145.19999999999999</v>
      </c>
      <c r="EJ5" s="176">
        <f t="shared" ref="EJ5:EJ7" si="46">SUM(EH5*0.0382)</f>
        <v>2123.92</v>
      </c>
      <c r="EK5" s="176">
        <f t="shared" ref="EK5:EK7" si="47">SUM(EH5*0.02439)</f>
        <v>1356.0839999999998</v>
      </c>
      <c r="EL5" s="176">
        <f t="shared" ref="EL5:EL7" si="48">SUM(EI5*6.652)</f>
        <v>965.8703999999999</v>
      </c>
      <c r="EM5" s="176">
        <f t="shared" ref="EM5:EM7" si="49">SUM(EJ5+EK5+45)*1.1</f>
        <v>3877.5044000000003</v>
      </c>
      <c r="EN5" s="72">
        <f t="shared" si="8"/>
        <v>7072</v>
      </c>
      <c r="EO5" s="24">
        <v>7047</v>
      </c>
      <c r="EP5" s="24">
        <v>0.39700000000000002</v>
      </c>
      <c r="EQ5" s="20">
        <f>SUM(EO5-EO4)*400</f>
        <v>59600</v>
      </c>
      <c r="ER5" s="72">
        <f>(EP5)*400</f>
        <v>158.80000000000001</v>
      </c>
      <c r="ES5" s="176">
        <f t="shared" ref="ES5:ES7" si="50">SUM(EQ5*0.0382)</f>
        <v>2276.7199999999998</v>
      </c>
      <c r="ET5" s="176">
        <f t="shared" ref="ET5:ET7" si="51">SUM(EQ5*0.02439)</f>
        <v>1453.644</v>
      </c>
      <c r="EU5" s="176">
        <f t="shared" ref="EU5:EU7" si="52">SUM(ER5*6.652)</f>
        <v>1056.3376000000001</v>
      </c>
      <c r="EV5" s="176">
        <f t="shared" ref="EV5:EV7" si="53">SUM(ES5+ET5+45)*1.1</f>
        <v>4152.9003999999995</v>
      </c>
      <c r="EW5" s="72">
        <f t="shared" si="9"/>
        <v>11622</v>
      </c>
      <c r="EX5" s="24">
        <v>11586</v>
      </c>
      <c r="EY5" s="24">
        <v>0.41199999999999998</v>
      </c>
      <c r="EZ5" s="20">
        <f>SUM(EX5-EX4)*160</f>
        <v>30880</v>
      </c>
      <c r="FA5" s="72">
        <f>(EY5)*160</f>
        <v>65.92</v>
      </c>
      <c r="FB5" s="176">
        <f t="shared" ref="FB5:FB7" si="54">SUM(EZ5*0.0382)</f>
        <v>1179.616</v>
      </c>
      <c r="FC5" s="176">
        <f t="shared" ref="FC5:FC7" si="55">SUM(EZ5*0.02439)</f>
        <v>753.16319999999996</v>
      </c>
      <c r="FD5" s="176">
        <f t="shared" ref="FD5:FD7" si="56">SUM(FA5*6.652)</f>
        <v>438.49984000000001</v>
      </c>
      <c r="FE5" s="176">
        <f t="shared" ref="FE5:FE7" si="57">SUM(FB5+FC5+45)*1.1</f>
        <v>2175.5571199999999</v>
      </c>
      <c r="FF5" s="72">
        <f t="shared" si="10"/>
        <v>8200</v>
      </c>
      <c r="FG5" s="24">
        <v>8178</v>
      </c>
      <c r="FH5" s="24">
        <v>0.36</v>
      </c>
      <c r="FI5" s="20">
        <f>SUM(FG5-FG4)*160</f>
        <v>18720</v>
      </c>
      <c r="FJ5" s="72">
        <f>(FH5)*160</f>
        <v>57.599999999999994</v>
      </c>
      <c r="FK5" s="176">
        <f t="shared" ref="FK5:FK7" si="58">SUM(FI5*0.0382)</f>
        <v>715.10399999999993</v>
      </c>
      <c r="FL5" s="176">
        <f t="shared" ref="FL5:FL7" si="59">SUM(FI5*0.02439)</f>
        <v>456.58079999999995</v>
      </c>
      <c r="FM5" s="176">
        <f t="shared" ref="FM5:FM7" si="60">SUM(FJ5*6.652)</f>
        <v>383.15519999999998</v>
      </c>
      <c r="FN5" s="176">
        <f t="shared" ref="FN5:FN7" si="61">SUM(FK5+FL5+45)*1.1</f>
        <v>1338.35328</v>
      </c>
      <c r="FO5" s="20">
        <f t="shared" si="11"/>
        <v>55372</v>
      </c>
      <c r="FP5" s="178">
        <v>55154</v>
      </c>
      <c r="FQ5" s="178">
        <v>2.194</v>
      </c>
      <c r="FR5" s="20">
        <f>SUM(FP5-FP4)*200</f>
        <v>206000</v>
      </c>
      <c r="FS5" s="72">
        <f>(FQ5)*200</f>
        <v>438.8</v>
      </c>
      <c r="FT5" s="176">
        <f t="shared" ref="FT5:FT7" si="62">SUM(FR5*0.0382)</f>
        <v>7869.2</v>
      </c>
      <c r="FU5" s="176">
        <f t="shared" ref="FU5:FU7" si="63">SUM(FR5*0.02439)</f>
        <v>5024.3399999999992</v>
      </c>
      <c r="FV5" s="176">
        <f t="shared" ref="FV5:FV7" si="64">SUM(FS5*6.652)</f>
        <v>2918.8976000000002</v>
      </c>
      <c r="FW5" s="176">
        <f t="shared" ref="FW5:FW7" si="65">SUM(FT5+FU5+45)*1.1</f>
        <v>14232.394</v>
      </c>
      <c r="FX5" s="55"/>
      <c r="FY5" s="54">
        <f t="shared" ref="FY5:FY14" si="66">SUM(CA5+CF5+CO5+CX5+DG5+DP5+DY5+EH5+EQ5+EZ5+FI5+FR5)</f>
        <v>1075583</v>
      </c>
      <c r="FZ5" s="50">
        <f t="shared" ref="FZ5:FZ14" si="67">SUM(CB5+CK5,CT5,DC5,DL5,DU5,ED5,EM5,EV5,FE5,FN5+FW5)</f>
        <v>74835.134405999997</v>
      </c>
      <c r="GA5" s="50">
        <f t="shared" ref="GA5:GA14" si="68">SUM(CJ5,CS5,DB5,DK5,DT5,EC5,EL5,EU5,FD5,FM5,FV5)</f>
        <v>19259.269520000002</v>
      </c>
      <c r="GB5" s="50">
        <f t="shared" ref="GB5:GB14" si="69">SUM(FZ5:GA5)</f>
        <v>94094.403925999999</v>
      </c>
      <c r="GC5" s="15"/>
      <c r="GE5" s="72">
        <f t="shared" si="12"/>
        <v>5131</v>
      </c>
      <c r="GF5" s="24">
        <v>5102</v>
      </c>
      <c r="GG5" s="24">
        <v>0.26100000000000001</v>
      </c>
      <c r="GH5" s="72">
        <f t="shared" ref="GH5" si="70">SUM(GF5-GF4)*100</f>
        <v>8200</v>
      </c>
      <c r="GI5" s="72">
        <f t="shared" ref="GI5:GI6" si="71">SUM(GG5)*100</f>
        <v>26.1</v>
      </c>
      <c r="GJ5" s="179">
        <f t="shared" ref="GJ5:GJ9" si="72">SUM(GH5*0.0382)</f>
        <v>313.24</v>
      </c>
      <c r="GK5" s="179">
        <f t="shared" ref="GK5:GK9" si="73">SUM(GH5*0.0239)</f>
        <v>195.98000000000002</v>
      </c>
      <c r="GL5" s="179">
        <f t="shared" ref="GL5" si="74">SUM(GI5*6.652)</f>
        <v>173.61720000000003</v>
      </c>
      <c r="GM5" s="176">
        <f t="shared" ref="GM5:GM14" si="75">SUM(GK5+GJ5+20)*1.1</f>
        <v>582.14200000000005</v>
      </c>
      <c r="GN5" s="72">
        <f t="shared" si="13"/>
        <v>39751</v>
      </c>
      <c r="GO5" s="24">
        <v>39595</v>
      </c>
      <c r="GP5" s="24">
        <v>1.825</v>
      </c>
      <c r="GQ5" s="72">
        <f t="shared" ref="GQ5:GQ6" si="76">SUM(GO5-GO4)*100</f>
        <v>53000</v>
      </c>
      <c r="GR5" s="72">
        <f t="shared" ref="GR5:GR6" si="77">SUM(GP5)*100</f>
        <v>182.5</v>
      </c>
      <c r="GS5" s="179">
        <f t="shared" ref="GS5:GS9" si="78">SUM(GQ5*0.0382)</f>
        <v>2024.6</v>
      </c>
      <c r="GT5" s="179">
        <f t="shared" ref="GT5:GT9" si="79">SUM(GQ5*0.0239)</f>
        <v>1266.7</v>
      </c>
      <c r="GU5" s="179">
        <f t="shared" ref="GU5:GU9" si="80">SUM(GR5*6.652)</f>
        <v>1213.99</v>
      </c>
      <c r="GV5" s="176">
        <f t="shared" ref="GV5:GV9" si="81">SUM(GT5+GS5+20)*1.1</f>
        <v>3642.4300000000003</v>
      </c>
      <c r="GW5" s="72">
        <f t="shared" si="14"/>
        <v>98720</v>
      </c>
      <c r="GX5" s="24">
        <v>97836</v>
      </c>
      <c r="GY5" s="72">
        <f t="shared" ref="GY5" si="82">SUM(GX5-GX4)</f>
        <v>3461</v>
      </c>
      <c r="GZ5" s="176">
        <f t="shared" ref="GZ5:GZ6" si="83">SUM(GY5*0.11923)</f>
        <v>412.65503000000001</v>
      </c>
      <c r="HA5" s="176">
        <f t="shared" ref="HA5:HA9" si="84">SUM(GY5*0.2439)</f>
        <v>844.13790000000006</v>
      </c>
      <c r="HB5" s="176">
        <f t="shared" ref="HB5:HB6" si="85">SUM(GZ5+HA5+2.85)*1.1</f>
        <v>1385.607223</v>
      </c>
      <c r="HC5" s="72">
        <f t="shared" si="15"/>
        <v>39928</v>
      </c>
      <c r="HD5" s="24">
        <v>39870</v>
      </c>
      <c r="HE5" s="24">
        <v>3.82</v>
      </c>
      <c r="HF5" s="72">
        <f t="shared" ref="HF5" si="86">SUM(HD5-HD4)*40</f>
        <v>6480</v>
      </c>
      <c r="HG5" s="72">
        <f t="shared" ref="HG5:HG6" si="87">SUM(HE5)*40</f>
        <v>152.79999999999998</v>
      </c>
      <c r="HH5" s="179">
        <f t="shared" ref="HH5:HH9" si="88">SUM(HF5*0.0382)</f>
        <v>247.53599999999997</v>
      </c>
      <c r="HI5" s="179">
        <f t="shared" ref="HI5:HI9" si="89">SUM(HF5*0.0239)</f>
        <v>154.87200000000001</v>
      </c>
      <c r="HJ5" s="179">
        <f t="shared" ref="HJ5:HJ9" si="90">SUM(HG5*6.652)</f>
        <v>1016.4255999999999</v>
      </c>
      <c r="HK5" s="176">
        <f t="shared" ref="HK5:HK9" si="91">SUM(HI5+HH5+20)*1.1</f>
        <v>464.64880000000005</v>
      </c>
      <c r="HL5">
        <f t="shared" ref="HL5:HL8" si="92">SUM(GH5+GQ5+GY5+HF5)</f>
        <v>71141</v>
      </c>
      <c r="HM5" s="50">
        <f t="shared" ref="HM5:HM8" si="93">SUM(HK5+HB5+GV5+GM5)</f>
        <v>6074.828023</v>
      </c>
      <c r="HN5" s="50">
        <f t="shared" ref="HN5:HN14" si="94">SUM(GL5+GU5+HJ5)</f>
        <v>2404.0328</v>
      </c>
      <c r="HO5" s="50">
        <f t="shared" ref="HO5:HO14" si="95">SUM(HM5:HN5)</f>
        <v>8478.8608229999991</v>
      </c>
      <c r="HP5" s="19"/>
      <c r="HQ5" s="54">
        <f t="shared" ref="HQ5:HS14" si="96">(FY5+HL5)</f>
        <v>1146724</v>
      </c>
      <c r="HR5" s="50">
        <f t="shared" si="96"/>
        <v>80909.962428999992</v>
      </c>
      <c r="HS5" s="50">
        <f t="shared" si="96"/>
        <v>21663.302320000003</v>
      </c>
      <c r="HT5" s="50">
        <f t="shared" ref="HT5:HT14" si="97">(HR5+HS5)</f>
        <v>102573.26474899999</v>
      </c>
    </row>
    <row r="6" spans="2:228" x14ac:dyDescent="0.25">
      <c r="B6" s="69">
        <v>43159</v>
      </c>
      <c r="C6" s="174">
        <v>59072</v>
      </c>
      <c r="D6" s="21">
        <v>1.9810000000000001</v>
      </c>
      <c r="E6" s="38">
        <f t="shared" si="16"/>
        <v>174720</v>
      </c>
      <c r="F6" s="38"/>
      <c r="G6" s="174">
        <v>54059</v>
      </c>
      <c r="H6" s="21">
        <v>2.1179999999999999</v>
      </c>
      <c r="I6" s="38">
        <f t="shared" si="17"/>
        <v>180160</v>
      </c>
      <c r="J6" s="38"/>
      <c r="K6" s="174">
        <v>6698</v>
      </c>
      <c r="L6" s="21">
        <v>2.4900000000000002</v>
      </c>
      <c r="M6" s="38">
        <f t="shared" ref="M6:M22" si="98">SUM(K6-K5)*400</f>
        <v>47600</v>
      </c>
      <c r="N6" s="38"/>
      <c r="O6" s="174">
        <v>6691</v>
      </c>
      <c r="P6" s="21">
        <v>2.25</v>
      </c>
      <c r="Q6" s="38">
        <f t="shared" ref="Q6:Q22" si="99">SUM(O6-O5)*400</f>
        <v>48000</v>
      </c>
      <c r="R6" s="38"/>
      <c r="S6" s="174">
        <v>7199</v>
      </c>
      <c r="T6" s="174">
        <v>2.58</v>
      </c>
      <c r="U6" s="38">
        <f t="shared" ref="U6:U22" si="100">SUM(S6-S5)*400</f>
        <v>50800</v>
      </c>
      <c r="V6" s="38"/>
      <c r="W6" s="174">
        <v>46499</v>
      </c>
      <c r="X6" s="21">
        <v>2.238</v>
      </c>
      <c r="Y6" s="38">
        <f t="shared" ref="Y6:Y22" si="101">SUM(W6-W5)*300</f>
        <v>190200</v>
      </c>
      <c r="Z6" s="38"/>
      <c r="AA6" s="174">
        <v>44682</v>
      </c>
      <c r="AB6" s="21">
        <v>1.889</v>
      </c>
      <c r="AC6" s="38">
        <f t="shared" ref="AC6:AC22" si="102">SUM(AA6-AA5)*300</f>
        <v>204000</v>
      </c>
      <c r="AD6" s="38"/>
      <c r="AE6" s="174">
        <v>11819</v>
      </c>
      <c r="AF6" s="21">
        <v>4.37</v>
      </c>
      <c r="AG6" s="38">
        <f t="shared" ref="AG6:AG22" si="103">SUM(AE6-AE5)*160</f>
        <v>31520</v>
      </c>
      <c r="AH6" s="38"/>
      <c r="AI6" s="174">
        <v>8324</v>
      </c>
      <c r="AJ6" s="21">
        <v>3.53</v>
      </c>
      <c r="AK6" s="38">
        <f t="shared" ref="AK6:AK22" si="104">SUM(AI6-AI5)*160</f>
        <v>19840</v>
      </c>
      <c r="AL6" s="38"/>
      <c r="AM6" s="174">
        <v>56481</v>
      </c>
      <c r="AN6" s="21">
        <v>2.222</v>
      </c>
      <c r="AO6" s="38">
        <f t="shared" ref="AO6:AO22" si="105">SUM(AM6-AM5)*200</f>
        <v>221800</v>
      </c>
      <c r="AP6" s="38"/>
      <c r="AQ6" s="174">
        <v>11118</v>
      </c>
      <c r="AR6" s="21">
        <v>0.42</v>
      </c>
      <c r="AS6" s="38">
        <f t="shared" ref="AS6:AS22" si="106">SUM(AQ6-AQ5)*40</f>
        <v>8480</v>
      </c>
      <c r="AT6" s="38"/>
      <c r="AU6" s="228">
        <v>97304</v>
      </c>
      <c r="AV6" s="229"/>
      <c r="AW6" s="38">
        <f t="shared" ref="AW6:AW22" si="107">SUM(AU6-AU5)</f>
        <v>2740</v>
      </c>
      <c r="AX6" s="38"/>
      <c r="AZ6" s="183">
        <f t="shared" si="18"/>
        <v>1179860</v>
      </c>
      <c r="BA6">
        <f t="shared" si="19"/>
        <v>230280</v>
      </c>
      <c r="BB6">
        <f t="shared" si="20"/>
        <v>0.19517569881172342</v>
      </c>
      <c r="BD6" s="15"/>
      <c r="BE6" s="69">
        <v>43159</v>
      </c>
      <c r="BF6" s="26">
        <v>40364</v>
      </c>
      <c r="BG6" s="38">
        <f t="shared" si="21"/>
        <v>61300</v>
      </c>
      <c r="BH6" s="38"/>
      <c r="BI6" s="26">
        <v>5209</v>
      </c>
      <c r="BJ6" s="38">
        <f t="shared" si="22"/>
        <v>7800</v>
      </c>
      <c r="BK6" s="38"/>
      <c r="BL6" s="21">
        <v>101889</v>
      </c>
      <c r="BM6" s="38">
        <f t="shared" si="23"/>
        <v>3169</v>
      </c>
      <c r="BN6" s="38"/>
      <c r="BO6" s="21">
        <v>40286</v>
      </c>
      <c r="BP6" s="38">
        <f t="shared" si="24"/>
        <v>14320</v>
      </c>
      <c r="BQ6" s="38"/>
      <c r="BR6" s="70"/>
      <c r="BS6" s="26">
        <f t="shared" si="25"/>
        <v>86589</v>
      </c>
      <c r="BT6"/>
      <c r="BU6"/>
      <c r="BV6" s="175"/>
      <c r="BW6" s="15"/>
      <c r="BY6" s="20">
        <f t="shared" si="0"/>
        <v>97304</v>
      </c>
      <c r="BZ6" s="21">
        <v>97131</v>
      </c>
      <c r="CA6" s="20">
        <f t="shared" ref="CA6:CA14" si="108">SUM(BZ6-BZ5)</f>
        <v>3455</v>
      </c>
      <c r="CB6" s="71">
        <f t="shared" si="26"/>
        <v>548.67781000000014</v>
      </c>
      <c r="CC6" s="72">
        <f t="shared" si="1"/>
        <v>54059</v>
      </c>
      <c r="CD6" s="24">
        <v>54055</v>
      </c>
      <c r="CE6" s="24">
        <v>2.2959999999999998</v>
      </c>
      <c r="CF6" s="20">
        <f t="shared" ref="CF6:CF14" si="109">SUM(CD6-CD5)*160</f>
        <v>212640</v>
      </c>
      <c r="CG6" s="72">
        <f t="shared" ref="CG6:CG14" si="110">(CE6)*160</f>
        <v>367.35999999999996</v>
      </c>
      <c r="CH6" s="176">
        <f t="shared" si="27"/>
        <v>8122.848</v>
      </c>
      <c r="CI6" s="176">
        <f t="shared" si="28"/>
        <v>5186.2896000000001</v>
      </c>
      <c r="CJ6" s="176">
        <f t="shared" ref="CJ6:CJ8" si="111">SUM(CG6*6.652)</f>
        <v>2443.6787199999999</v>
      </c>
      <c r="CK6" s="176">
        <f t="shared" ref="CK6:CK8" si="112">SUM(CH6+CI6+45)*1.1</f>
        <v>14689.551360000001</v>
      </c>
      <c r="CL6" s="72">
        <f t="shared" si="2"/>
        <v>59072</v>
      </c>
      <c r="CM6" s="24">
        <v>59067</v>
      </c>
      <c r="CN6" s="24">
        <v>2.109</v>
      </c>
      <c r="CO6" s="20">
        <f t="shared" ref="CO6:CO14" si="113">SUM(CM6-CM5)*160</f>
        <v>205600</v>
      </c>
      <c r="CP6" s="72">
        <f t="shared" ref="CP6:CP14" si="114">(CN6)*160</f>
        <v>337.44</v>
      </c>
      <c r="CQ6" s="176">
        <f t="shared" si="29"/>
        <v>7853.9199999999992</v>
      </c>
      <c r="CR6" s="176">
        <f t="shared" si="30"/>
        <v>5014.5839999999998</v>
      </c>
      <c r="CS6" s="176">
        <f t="shared" ref="CS6:CS8" si="115">SUM(CP6*6.652)</f>
        <v>2244.6508800000001</v>
      </c>
      <c r="CT6" s="176">
        <f t="shared" ref="CT6:CT8" si="116">SUM(CQ6+CR6+45)*1.1</f>
        <v>14204.8544</v>
      </c>
      <c r="CU6" s="72">
        <f t="shared" si="3"/>
        <v>46499</v>
      </c>
      <c r="CV6" s="24">
        <v>46498</v>
      </c>
      <c r="CW6" s="24">
        <v>2.1680000000000001</v>
      </c>
      <c r="CX6" s="20">
        <f t="shared" ref="CX6:CX14" si="117">SUM(CV6-CV5)*300</f>
        <v>225000</v>
      </c>
      <c r="CY6" s="72">
        <f t="shared" si="31"/>
        <v>650.40000000000009</v>
      </c>
      <c r="CZ6" s="176">
        <f t="shared" si="32"/>
        <v>8595</v>
      </c>
      <c r="DA6" s="176">
        <f t="shared" si="33"/>
        <v>5487.75</v>
      </c>
      <c r="DB6" s="176">
        <f t="shared" ref="DB6:DB8" si="118">SUM(CY6*6.652)</f>
        <v>4326.4608000000007</v>
      </c>
      <c r="DC6" s="176">
        <f t="shared" si="35"/>
        <v>15540.525000000001</v>
      </c>
      <c r="DD6" s="72">
        <f t="shared" si="4"/>
        <v>11118</v>
      </c>
      <c r="DE6" s="24">
        <v>11116</v>
      </c>
      <c r="DF6" s="24">
        <v>0.44800000000000001</v>
      </c>
      <c r="DG6" s="20">
        <f t="shared" ref="DG6:DG14" si="119">SUM(DE6-DE5)*40</f>
        <v>9920</v>
      </c>
      <c r="DH6" s="72">
        <f t="shared" ref="DH6:DH14" si="120">(DF6)*40</f>
        <v>17.920000000000002</v>
      </c>
      <c r="DI6" s="176">
        <f t="shared" si="36"/>
        <v>378.94399999999996</v>
      </c>
      <c r="DJ6" s="176">
        <f t="shared" si="37"/>
        <v>241.94879999999998</v>
      </c>
      <c r="DK6" s="176">
        <f t="shared" ref="DK6:DK8" si="121">SUM(DH6*6.652)</f>
        <v>119.20384000000001</v>
      </c>
      <c r="DL6" s="176">
        <f t="shared" ref="DL6:DL8" si="122">SUM(DI6+DJ6+25)*1.1</f>
        <v>710.48208</v>
      </c>
      <c r="DM6" s="72">
        <f t="shared" si="5"/>
        <v>44682</v>
      </c>
      <c r="DN6" s="24">
        <v>44679</v>
      </c>
      <c r="DO6" s="24">
        <v>1.9790000000000001</v>
      </c>
      <c r="DP6" s="20">
        <f t="shared" ref="DP6:DP14" si="123">SUM(DN6-DN5)*300</f>
        <v>231300</v>
      </c>
      <c r="DQ6" s="177">
        <f t="shared" ref="DQ6:DQ14" si="124">(DO6)*300</f>
        <v>593.70000000000005</v>
      </c>
      <c r="DR6" s="176">
        <f t="shared" si="38"/>
        <v>8835.66</v>
      </c>
      <c r="DS6" s="176">
        <f t="shared" si="39"/>
        <v>5641.4069999999992</v>
      </c>
      <c r="DT6" s="176">
        <f t="shared" si="40"/>
        <v>3949.2924000000003</v>
      </c>
      <c r="DU6" s="176">
        <f t="shared" si="41"/>
        <v>15974.2737</v>
      </c>
      <c r="DV6" s="72">
        <f t="shared" si="6"/>
        <v>6691</v>
      </c>
      <c r="DW6" s="24">
        <v>6690</v>
      </c>
      <c r="DX6" s="24">
        <v>0.27900000000000003</v>
      </c>
      <c r="DY6" s="20">
        <f t="shared" ref="DY6:DY14" si="125">SUM(DW6-DW5)*400</f>
        <v>56400</v>
      </c>
      <c r="DZ6" s="177">
        <f t="shared" ref="DZ6:DZ14" si="126">(DX6)*400</f>
        <v>111.60000000000001</v>
      </c>
      <c r="EA6" s="176">
        <f t="shared" si="42"/>
        <v>2154.48</v>
      </c>
      <c r="EB6" s="176">
        <f t="shared" si="43"/>
        <v>1375.596</v>
      </c>
      <c r="EC6" s="176">
        <f t="shared" si="44"/>
        <v>742.36320000000012</v>
      </c>
      <c r="ED6" s="176">
        <f t="shared" si="45"/>
        <v>3932.5836000000004</v>
      </c>
      <c r="EE6" s="72">
        <f t="shared" si="7"/>
        <v>46499</v>
      </c>
      <c r="EF6" s="24">
        <v>6698</v>
      </c>
      <c r="EG6" s="24">
        <v>0.29199999999999998</v>
      </c>
      <c r="EH6" s="20">
        <f t="shared" ref="EH6:EH14" si="127">SUM(EF6-EF5)*400</f>
        <v>56000</v>
      </c>
      <c r="EI6" s="72">
        <f t="shared" ref="EI6:EI14" si="128">(EG6)*400</f>
        <v>116.8</v>
      </c>
      <c r="EJ6" s="176">
        <f t="shared" si="46"/>
        <v>2139.1999999999998</v>
      </c>
      <c r="EK6" s="176">
        <f t="shared" si="47"/>
        <v>1365.84</v>
      </c>
      <c r="EL6" s="176">
        <f t="shared" si="48"/>
        <v>776.95360000000005</v>
      </c>
      <c r="EM6" s="176">
        <f t="shared" si="49"/>
        <v>3905.0440000000003</v>
      </c>
      <c r="EN6" s="72">
        <f t="shared" si="8"/>
        <v>7199</v>
      </c>
      <c r="EO6" s="24">
        <f t="shared" ref="EO6" si="129">(EN6)</f>
        <v>7199</v>
      </c>
      <c r="EP6" s="24">
        <v>0.29099999999999998</v>
      </c>
      <c r="EQ6" s="20">
        <f t="shared" ref="EQ6:EQ14" si="130">SUM(EO6-EO5)*400</f>
        <v>60800</v>
      </c>
      <c r="ER6" s="72">
        <f t="shared" ref="ER6:ER14" si="131">(EP6)*400</f>
        <v>116.39999999999999</v>
      </c>
      <c r="ES6" s="176">
        <f t="shared" si="50"/>
        <v>2322.56</v>
      </c>
      <c r="ET6" s="176">
        <f t="shared" si="51"/>
        <v>1482.9119999999998</v>
      </c>
      <c r="EU6" s="176">
        <f t="shared" si="52"/>
        <v>774.29279999999994</v>
      </c>
      <c r="EV6" s="176">
        <f t="shared" si="53"/>
        <v>4235.5191999999997</v>
      </c>
      <c r="EW6" s="72">
        <f t="shared" si="9"/>
        <v>11819</v>
      </c>
      <c r="EX6" s="24">
        <v>11818</v>
      </c>
      <c r="EY6" s="24">
        <v>0.56100000000000005</v>
      </c>
      <c r="EZ6" s="20">
        <f t="shared" ref="EZ6:EZ14" si="132">SUM(EX6-EX5)*160</f>
        <v>37120</v>
      </c>
      <c r="FA6" s="72">
        <f t="shared" ref="FA6:FA14" si="133">(EY6)*160</f>
        <v>89.76</v>
      </c>
      <c r="FB6" s="176">
        <f t="shared" si="54"/>
        <v>1417.9839999999999</v>
      </c>
      <c r="FC6" s="176">
        <f t="shared" si="55"/>
        <v>905.35679999999991</v>
      </c>
      <c r="FD6" s="176">
        <f t="shared" si="56"/>
        <v>597.08352000000002</v>
      </c>
      <c r="FE6" s="176">
        <f t="shared" si="57"/>
        <v>2605.17488</v>
      </c>
      <c r="FF6" s="72">
        <f t="shared" si="10"/>
        <v>8324</v>
      </c>
      <c r="FG6" s="24">
        <f t="shared" ref="FG6" si="134">FF6</f>
        <v>8324</v>
      </c>
      <c r="FH6" s="24">
        <v>0.36599999999999999</v>
      </c>
      <c r="FI6" s="20">
        <f t="shared" ref="FI6:FI14" si="135">SUM(FG6-FG5)*160</f>
        <v>23360</v>
      </c>
      <c r="FJ6" s="72">
        <f t="shared" ref="FJ6:FJ14" si="136">(FH6)*160</f>
        <v>58.56</v>
      </c>
      <c r="FK6" s="176">
        <f t="shared" si="58"/>
        <v>892.35199999999998</v>
      </c>
      <c r="FL6" s="176">
        <f t="shared" si="59"/>
        <v>569.75040000000001</v>
      </c>
      <c r="FM6" s="176">
        <f t="shared" si="60"/>
        <v>389.54112000000003</v>
      </c>
      <c r="FN6" s="176">
        <f t="shared" si="61"/>
        <v>1657.8126400000001</v>
      </c>
      <c r="FO6" s="20">
        <f t="shared" si="11"/>
        <v>56481</v>
      </c>
      <c r="FP6" s="178">
        <v>56477</v>
      </c>
      <c r="FQ6" s="178">
        <v>2.2669999999999999</v>
      </c>
      <c r="FR6" s="20">
        <f t="shared" ref="FR6:FR14" si="137">SUM(FP6-FP5)*200</f>
        <v>264600</v>
      </c>
      <c r="FS6" s="72">
        <f t="shared" ref="FS6:FS14" si="138">(FQ6)*200</f>
        <v>453.4</v>
      </c>
      <c r="FT6" s="176">
        <f t="shared" si="62"/>
        <v>10107.719999999999</v>
      </c>
      <c r="FU6" s="176">
        <f t="shared" si="63"/>
        <v>6453.5940000000001</v>
      </c>
      <c r="FV6" s="176">
        <f t="shared" si="64"/>
        <v>3016.0167999999999</v>
      </c>
      <c r="FW6" s="176">
        <f t="shared" si="65"/>
        <v>18266.945400000001</v>
      </c>
      <c r="FX6" s="55"/>
      <c r="FY6" s="54">
        <f t="shared" si="66"/>
        <v>1386195</v>
      </c>
      <c r="FZ6" s="50">
        <f t="shared" si="67"/>
        <v>96271.444069999998</v>
      </c>
      <c r="GA6" s="50">
        <f t="shared" si="68"/>
        <v>19379.537680000001</v>
      </c>
      <c r="GB6" s="50">
        <f t="shared" si="69"/>
        <v>115650.98175000001</v>
      </c>
      <c r="GC6" s="15"/>
      <c r="GE6" s="72">
        <f t="shared" si="12"/>
        <v>5209</v>
      </c>
      <c r="GF6" s="24">
        <v>5201</v>
      </c>
      <c r="GG6" s="24">
        <v>0.248</v>
      </c>
      <c r="GH6" s="72">
        <f t="shared" ref="GH6" si="139">SUM(GF6-GF5)*100</f>
        <v>9900</v>
      </c>
      <c r="GI6" s="72">
        <f t="shared" si="71"/>
        <v>24.8</v>
      </c>
      <c r="GJ6" s="179">
        <f t="shared" si="72"/>
        <v>378.18</v>
      </c>
      <c r="GK6" s="179">
        <f t="shared" si="73"/>
        <v>236.61</v>
      </c>
      <c r="GL6" s="179">
        <f t="shared" ref="GL6:GL10" si="140">SUM(GI6*6.652)</f>
        <v>164.96960000000001</v>
      </c>
      <c r="GM6" s="176">
        <f t="shared" si="75"/>
        <v>698.26900000000001</v>
      </c>
      <c r="GN6" s="72">
        <f t="shared" si="13"/>
        <v>40364</v>
      </c>
      <c r="GO6" s="24">
        <v>40338</v>
      </c>
      <c r="GP6" s="24">
        <v>1.8420000000000001</v>
      </c>
      <c r="GQ6" s="72">
        <f t="shared" si="76"/>
        <v>74300</v>
      </c>
      <c r="GR6" s="72">
        <f t="shared" si="77"/>
        <v>184.20000000000002</v>
      </c>
      <c r="GS6" s="179">
        <f t="shared" si="78"/>
        <v>2838.2599999999998</v>
      </c>
      <c r="GT6" s="179">
        <f t="shared" si="79"/>
        <v>1775.77</v>
      </c>
      <c r="GU6" s="179">
        <f t="shared" si="80"/>
        <v>1225.2984000000001</v>
      </c>
      <c r="GV6" s="176">
        <f t="shared" si="81"/>
        <v>5097.433</v>
      </c>
      <c r="GW6" s="72">
        <f t="shared" si="14"/>
        <v>101889</v>
      </c>
      <c r="GX6" s="24">
        <v>1753</v>
      </c>
      <c r="GY6" s="72">
        <v>3947</v>
      </c>
      <c r="GZ6" s="176">
        <f t="shared" si="83"/>
        <v>470.60081000000002</v>
      </c>
      <c r="HA6" s="176">
        <f t="shared" si="84"/>
        <v>962.67330000000004</v>
      </c>
      <c r="HB6" s="176">
        <f t="shared" si="85"/>
        <v>1579.736521</v>
      </c>
      <c r="HC6" s="72">
        <f t="shared" si="15"/>
        <v>40286</v>
      </c>
      <c r="HD6" s="24">
        <v>40262</v>
      </c>
      <c r="HE6" s="24">
        <v>3.7469999999999999</v>
      </c>
      <c r="HF6" s="72">
        <f t="shared" ref="HF6" si="141">SUM(HD6-HD5)*40</f>
        <v>15680</v>
      </c>
      <c r="HG6" s="72">
        <f t="shared" si="87"/>
        <v>149.88</v>
      </c>
      <c r="HH6" s="179">
        <f t="shared" si="88"/>
        <v>598.976</v>
      </c>
      <c r="HI6" s="179">
        <f t="shared" si="89"/>
        <v>374.75200000000001</v>
      </c>
      <c r="HJ6" s="179">
        <f t="shared" si="90"/>
        <v>997.00175999999999</v>
      </c>
      <c r="HK6" s="176">
        <f t="shared" si="91"/>
        <v>1093.1008000000002</v>
      </c>
      <c r="HL6">
        <f t="shared" si="92"/>
        <v>103827</v>
      </c>
      <c r="HM6" s="50">
        <f t="shared" si="93"/>
        <v>8468.5393210000002</v>
      </c>
      <c r="HN6" s="50">
        <f t="shared" si="94"/>
        <v>2387.2697600000001</v>
      </c>
      <c r="HO6" s="50">
        <f t="shared" si="95"/>
        <v>10855.809080999999</v>
      </c>
      <c r="HP6" s="19"/>
      <c r="HQ6" s="54">
        <f t="shared" si="96"/>
        <v>1490022</v>
      </c>
      <c r="HR6" s="50">
        <f t="shared" si="96"/>
        <v>104739.983391</v>
      </c>
      <c r="HS6" s="50">
        <f t="shared" si="96"/>
        <v>21766.80744</v>
      </c>
      <c r="HT6" s="50">
        <f t="shared" si="97"/>
        <v>126506.79083100001</v>
      </c>
    </row>
    <row r="7" spans="2:228" x14ac:dyDescent="0.25">
      <c r="B7" s="69">
        <v>43191</v>
      </c>
      <c r="C7" s="174">
        <v>60323</v>
      </c>
      <c r="D7" s="21">
        <v>2.0430000000000001</v>
      </c>
      <c r="E7" s="38">
        <f t="shared" si="16"/>
        <v>200160</v>
      </c>
      <c r="F7" s="38"/>
      <c r="G7" s="174">
        <v>55375</v>
      </c>
      <c r="H7" s="21">
        <v>2.3180000000000001</v>
      </c>
      <c r="I7" s="38">
        <f t="shared" si="17"/>
        <v>210560</v>
      </c>
      <c r="J7" s="38"/>
      <c r="K7" s="174">
        <v>6839</v>
      </c>
      <c r="L7" s="21">
        <v>2.61</v>
      </c>
      <c r="M7" s="38">
        <f t="shared" si="98"/>
        <v>56400</v>
      </c>
      <c r="N7" s="38"/>
      <c r="O7" s="174">
        <v>6832</v>
      </c>
      <c r="P7" s="21">
        <v>2.54</v>
      </c>
      <c r="Q7" s="38">
        <f t="shared" si="99"/>
        <v>56400</v>
      </c>
      <c r="R7" s="38"/>
      <c r="S7" s="174">
        <v>7352</v>
      </c>
      <c r="T7" s="174">
        <v>2.76</v>
      </c>
      <c r="U7" s="38">
        <f t="shared" si="100"/>
        <v>61200</v>
      </c>
      <c r="V7" s="38"/>
      <c r="W7" s="174">
        <v>47196</v>
      </c>
      <c r="X7" s="21">
        <v>1.9830000000000001</v>
      </c>
      <c r="Y7" s="38">
        <f t="shared" si="101"/>
        <v>209100</v>
      </c>
      <c r="Z7" s="38"/>
      <c r="AA7" s="174">
        <v>45204</v>
      </c>
      <c r="AB7" s="21">
        <v>1.552</v>
      </c>
      <c r="AC7" s="38">
        <f t="shared" si="102"/>
        <v>156600</v>
      </c>
      <c r="AD7" s="38"/>
      <c r="AE7" s="174">
        <v>12029</v>
      </c>
      <c r="AF7" s="21">
        <v>3.8</v>
      </c>
      <c r="AG7" s="38">
        <f t="shared" si="103"/>
        <v>33600</v>
      </c>
      <c r="AH7" s="38"/>
      <c r="AI7" s="174">
        <v>8448</v>
      </c>
      <c r="AJ7" s="21">
        <v>2.44</v>
      </c>
      <c r="AK7" s="38">
        <f t="shared" si="104"/>
        <v>19840</v>
      </c>
      <c r="AL7" s="38"/>
      <c r="AM7" s="174">
        <v>57741</v>
      </c>
      <c r="AN7" s="21">
        <v>2.3010000000000002</v>
      </c>
      <c r="AO7" s="38">
        <f t="shared" si="105"/>
        <v>252000</v>
      </c>
      <c r="AP7" s="38"/>
      <c r="AQ7" s="174">
        <v>11355</v>
      </c>
      <c r="AR7" s="21">
        <v>0.437</v>
      </c>
      <c r="AS7" s="38">
        <f t="shared" si="106"/>
        <v>9480</v>
      </c>
      <c r="AT7" s="38"/>
      <c r="AU7" s="228">
        <v>100257</v>
      </c>
      <c r="AV7" s="229"/>
      <c r="AW7" s="38">
        <f t="shared" si="107"/>
        <v>2953</v>
      </c>
      <c r="AX7" s="38"/>
      <c r="AZ7" s="183">
        <f t="shared" si="18"/>
        <v>1268293</v>
      </c>
      <c r="BA7">
        <f t="shared" si="19"/>
        <v>261480</v>
      </c>
      <c r="BB7">
        <f t="shared" si="20"/>
        <v>0.20616687153520519</v>
      </c>
      <c r="BD7" s="15"/>
      <c r="BE7" s="69">
        <v>43191</v>
      </c>
      <c r="BF7" s="26">
        <v>41013</v>
      </c>
      <c r="BG7" s="38">
        <f t="shared" si="21"/>
        <v>64900</v>
      </c>
      <c r="BH7" s="38"/>
      <c r="BI7" s="26">
        <v>5295</v>
      </c>
      <c r="BJ7" s="38">
        <f t="shared" si="22"/>
        <v>8600</v>
      </c>
      <c r="BK7" s="38"/>
      <c r="BL7" s="21">
        <v>105733</v>
      </c>
      <c r="BM7" s="38">
        <f t="shared" si="23"/>
        <v>3844</v>
      </c>
      <c r="BN7" s="38"/>
      <c r="BO7" s="21">
        <v>40770</v>
      </c>
      <c r="BP7" s="38">
        <f t="shared" si="24"/>
        <v>19360</v>
      </c>
      <c r="BQ7" s="38"/>
      <c r="BR7" s="70"/>
      <c r="BS7" s="26">
        <f t="shared" si="25"/>
        <v>96704</v>
      </c>
      <c r="BT7"/>
      <c r="BU7"/>
      <c r="BV7" s="175"/>
      <c r="BW7" s="15"/>
      <c r="BY7" s="20">
        <f t="shared" ref="BY7:BY22" si="142">SUM(AU7)</f>
        <v>100257</v>
      </c>
      <c r="BZ7" s="21">
        <v>99742</v>
      </c>
      <c r="CA7" s="20">
        <f t="shared" si="108"/>
        <v>2611</v>
      </c>
      <c r="CB7" s="71">
        <f t="shared" si="26"/>
        <v>415.341002</v>
      </c>
      <c r="CC7" s="72">
        <f t="shared" ref="CC7:CC14" si="143">SUM(G7)</f>
        <v>55375</v>
      </c>
      <c r="CD7" s="24">
        <v>55245</v>
      </c>
      <c r="CE7" s="24">
        <v>2.3929999999999998</v>
      </c>
      <c r="CF7" s="20">
        <f t="shared" si="109"/>
        <v>190400</v>
      </c>
      <c r="CG7" s="72">
        <f t="shared" si="110"/>
        <v>382.88</v>
      </c>
      <c r="CH7" s="176">
        <f t="shared" si="27"/>
        <v>7273.28</v>
      </c>
      <c r="CI7" s="176">
        <f t="shared" si="28"/>
        <v>4643.8559999999998</v>
      </c>
      <c r="CJ7" s="176">
        <f t="shared" si="111"/>
        <v>2546.9177599999998</v>
      </c>
      <c r="CK7" s="176">
        <f t="shared" si="112"/>
        <v>13158.3496</v>
      </c>
      <c r="CL7" s="72">
        <f t="shared" ref="CL7:CL22" si="144">SUM(C7)</f>
        <v>60323</v>
      </c>
      <c r="CM7" s="24">
        <v>60200</v>
      </c>
      <c r="CN7" s="24">
        <v>2.1709999999999998</v>
      </c>
      <c r="CO7" s="20">
        <f t="shared" si="113"/>
        <v>181280</v>
      </c>
      <c r="CP7" s="72">
        <f t="shared" si="114"/>
        <v>347.35999999999996</v>
      </c>
      <c r="CQ7" s="176">
        <f t="shared" si="29"/>
        <v>6924.8959999999997</v>
      </c>
      <c r="CR7" s="176">
        <f t="shared" si="30"/>
        <v>4421.4191999999994</v>
      </c>
      <c r="CS7" s="176">
        <f t="shared" si="115"/>
        <v>2310.6387199999999</v>
      </c>
      <c r="CT7" s="176">
        <f t="shared" si="116"/>
        <v>12530.44672</v>
      </c>
      <c r="CU7" s="72">
        <f t="shared" ref="CU7:CU22" si="145">SUM(W7)</f>
        <v>47196</v>
      </c>
      <c r="CV7" s="24">
        <v>47116</v>
      </c>
      <c r="CW7" s="24">
        <v>2.238</v>
      </c>
      <c r="CX7" s="20">
        <f t="shared" si="117"/>
        <v>185400</v>
      </c>
      <c r="CY7" s="72">
        <f t="shared" si="31"/>
        <v>671.4</v>
      </c>
      <c r="CZ7" s="176">
        <f t="shared" si="32"/>
        <v>7082.28</v>
      </c>
      <c r="DA7" s="176">
        <f t="shared" si="33"/>
        <v>4521.9059999999999</v>
      </c>
      <c r="DB7" s="176">
        <f t="shared" si="118"/>
        <v>4466.1527999999998</v>
      </c>
      <c r="DC7" s="176">
        <f t="shared" si="35"/>
        <v>12814.104600000001</v>
      </c>
      <c r="DD7" s="72">
        <f t="shared" ref="DD7:DD22" si="146">SUM(AQ7)</f>
        <v>11355</v>
      </c>
      <c r="DE7" s="24">
        <v>11331</v>
      </c>
      <c r="DF7" s="24">
        <v>0.435</v>
      </c>
      <c r="DG7" s="20">
        <f t="shared" si="119"/>
        <v>8600</v>
      </c>
      <c r="DH7" s="72">
        <f t="shared" si="120"/>
        <v>17.399999999999999</v>
      </c>
      <c r="DI7" s="176">
        <f t="shared" si="36"/>
        <v>328.52</v>
      </c>
      <c r="DJ7" s="176">
        <f t="shared" si="37"/>
        <v>209.75399999999999</v>
      </c>
      <c r="DK7" s="176">
        <f t="shared" si="121"/>
        <v>115.7448</v>
      </c>
      <c r="DL7" s="176">
        <f t="shared" si="122"/>
        <v>619.60140000000001</v>
      </c>
      <c r="DM7" s="72">
        <f t="shared" ref="DM7:DM22" si="147">SUM(AA7)</f>
        <v>45204</v>
      </c>
      <c r="DN7" s="24">
        <v>45142</v>
      </c>
      <c r="DO7" s="24">
        <v>1.962</v>
      </c>
      <c r="DP7" s="20">
        <f t="shared" si="123"/>
        <v>138900</v>
      </c>
      <c r="DQ7" s="177">
        <f t="shared" si="124"/>
        <v>588.6</v>
      </c>
      <c r="DR7" s="176">
        <f t="shared" si="38"/>
        <v>5305.98</v>
      </c>
      <c r="DS7" s="176">
        <f t="shared" si="39"/>
        <v>3387.7709999999997</v>
      </c>
      <c r="DT7" s="176">
        <f t="shared" si="40"/>
        <v>3915.3672000000001</v>
      </c>
      <c r="DU7" s="176">
        <f t="shared" si="41"/>
        <v>9612.6261000000013</v>
      </c>
      <c r="DV7" s="72">
        <f t="shared" ref="DV7:DV22" si="148">SUM(O7)</f>
        <v>6832</v>
      </c>
      <c r="DW7" s="24">
        <v>6818</v>
      </c>
      <c r="DX7" s="24">
        <v>0.27600000000000002</v>
      </c>
      <c r="DY7" s="20">
        <f t="shared" si="125"/>
        <v>51200</v>
      </c>
      <c r="DZ7" s="177">
        <f t="shared" si="126"/>
        <v>110.4</v>
      </c>
      <c r="EA7" s="176">
        <f t="shared" si="42"/>
        <v>1955.84</v>
      </c>
      <c r="EB7" s="176">
        <f t="shared" si="43"/>
        <v>1248.768</v>
      </c>
      <c r="EC7" s="176">
        <f t="shared" si="44"/>
        <v>734.38080000000002</v>
      </c>
      <c r="ED7" s="176">
        <f t="shared" si="45"/>
        <v>3574.5688000000005</v>
      </c>
      <c r="EE7" s="72">
        <f t="shared" ref="EE7:EE22" si="149">SUM(W7)</f>
        <v>47196</v>
      </c>
      <c r="EF7" s="24">
        <v>6825</v>
      </c>
      <c r="EG7" s="24">
        <v>0.25800000000000001</v>
      </c>
      <c r="EH7" s="20">
        <f t="shared" si="127"/>
        <v>50800</v>
      </c>
      <c r="EI7" s="72">
        <f t="shared" si="128"/>
        <v>103.2</v>
      </c>
      <c r="EJ7" s="176">
        <f t="shared" si="46"/>
        <v>1940.56</v>
      </c>
      <c r="EK7" s="176">
        <f t="shared" si="47"/>
        <v>1239.0119999999999</v>
      </c>
      <c r="EL7" s="176">
        <f t="shared" si="48"/>
        <v>686.4864</v>
      </c>
      <c r="EM7" s="176">
        <f t="shared" si="49"/>
        <v>3547.0292000000004</v>
      </c>
      <c r="EN7" s="72">
        <f t="shared" ref="EN7:EN22" si="150">SUM(S7)</f>
        <v>7352</v>
      </c>
      <c r="EO7" s="24">
        <v>7337</v>
      </c>
      <c r="EP7" s="24">
        <v>0.28299999999999997</v>
      </c>
      <c r="EQ7" s="20">
        <f t="shared" si="130"/>
        <v>55200</v>
      </c>
      <c r="ER7" s="72">
        <f t="shared" si="131"/>
        <v>113.19999999999999</v>
      </c>
      <c r="ES7" s="176">
        <f t="shared" si="50"/>
        <v>2108.64</v>
      </c>
      <c r="ET7" s="176">
        <f t="shared" si="51"/>
        <v>1346.328</v>
      </c>
      <c r="EU7" s="176">
        <f t="shared" si="52"/>
        <v>753.00639999999999</v>
      </c>
      <c r="EV7" s="176">
        <f t="shared" si="53"/>
        <v>3849.9648000000002</v>
      </c>
      <c r="EW7" s="72">
        <f t="shared" ref="EW7:EW22" si="151">SUM(AE7)</f>
        <v>12029</v>
      </c>
      <c r="EX7" s="24">
        <v>12011</v>
      </c>
      <c r="EY7" s="24">
        <v>0.56599999999999995</v>
      </c>
      <c r="EZ7" s="20">
        <f t="shared" si="132"/>
        <v>30880</v>
      </c>
      <c r="FA7" s="72">
        <f t="shared" si="133"/>
        <v>90.559999999999988</v>
      </c>
      <c r="FB7" s="176">
        <f t="shared" si="54"/>
        <v>1179.616</v>
      </c>
      <c r="FC7" s="176">
        <f t="shared" si="55"/>
        <v>753.16319999999996</v>
      </c>
      <c r="FD7" s="176">
        <f t="shared" si="56"/>
        <v>602.4051199999999</v>
      </c>
      <c r="FE7" s="176">
        <f t="shared" si="57"/>
        <v>2175.5571199999999</v>
      </c>
      <c r="FF7" s="72">
        <f t="shared" ref="FF7:FF22" si="152">SUM(AI7)</f>
        <v>8448</v>
      </c>
      <c r="FG7" s="24">
        <v>8436</v>
      </c>
      <c r="FH7" s="24">
        <v>0.39700000000000002</v>
      </c>
      <c r="FI7" s="20">
        <f t="shared" si="135"/>
        <v>17920</v>
      </c>
      <c r="FJ7" s="72">
        <f t="shared" si="136"/>
        <v>63.52</v>
      </c>
      <c r="FK7" s="176">
        <f t="shared" si="58"/>
        <v>684.54399999999998</v>
      </c>
      <c r="FL7" s="176">
        <f t="shared" si="59"/>
        <v>437.06879999999995</v>
      </c>
      <c r="FM7" s="176">
        <f t="shared" si="60"/>
        <v>422.53504000000004</v>
      </c>
      <c r="FN7" s="176">
        <f t="shared" si="61"/>
        <v>1283.2740799999999</v>
      </c>
      <c r="FO7" s="20">
        <f t="shared" ref="FO7:FO22" si="153">SUM(AM7)</f>
        <v>57741</v>
      </c>
      <c r="FP7" s="178">
        <v>57612</v>
      </c>
      <c r="FQ7" s="178">
        <v>2.2469999999999999</v>
      </c>
      <c r="FR7" s="20">
        <f t="shared" si="137"/>
        <v>227000</v>
      </c>
      <c r="FS7" s="72">
        <f t="shared" si="138"/>
        <v>449.4</v>
      </c>
      <c r="FT7" s="176">
        <f t="shared" si="62"/>
        <v>8671.4</v>
      </c>
      <c r="FU7" s="176">
        <f t="shared" si="63"/>
        <v>5536.53</v>
      </c>
      <c r="FV7" s="176">
        <f t="shared" si="64"/>
        <v>2989.4087999999997</v>
      </c>
      <c r="FW7" s="176">
        <f t="shared" si="65"/>
        <v>15678.223000000002</v>
      </c>
      <c r="FX7" s="55"/>
      <c r="FY7" s="54">
        <f t="shared" si="66"/>
        <v>1140191</v>
      </c>
      <c r="FZ7" s="50">
        <f t="shared" si="67"/>
        <v>79259.086421999993</v>
      </c>
      <c r="GA7" s="50">
        <f t="shared" si="68"/>
        <v>19543.043840000002</v>
      </c>
      <c r="GB7" s="50">
        <f t="shared" si="69"/>
        <v>98802.130261999991</v>
      </c>
      <c r="GC7" s="15"/>
      <c r="GE7" s="72">
        <f t="shared" ref="GE7:GE22" si="154">SUM(BI7)</f>
        <v>5295</v>
      </c>
      <c r="GF7" s="24">
        <v>5278</v>
      </c>
      <c r="GG7" s="24">
        <v>0.26800000000000002</v>
      </c>
      <c r="GH7" s="72">
        <f t="shared" ref="GH7:GH8" si="155">SUM(GF7-GF6)*100</f>
        <v>7700</v>
      </c>
      <c r="GI7" s="72">
        <f t="shared" ref="GI7:GI14" si="156">SUM(GG7)*100</f>
        <v>26.8</v>
      </c>
      <c r="GJ7" s="179">
        <f t="shared" si="72"/>
        <v>294.14</v>
      </c>
      <c r="GK7" s="179">
        <f t="shared" si="73"/>
        <v>184.03</v>
      </c>
      <c r="GL7" s="179">
        <f t="shared" si="140"/>
        <v>178.27360000000002</v>
      </c>
      <c r="GM7" s="176">
        <f t="shared" si="75"/>
        <v>547.98699999999997</v>
      </c>
      <c r="GN7" s="72">
        <f t="shared" ref="GN7:GN22" si="157">SUM(BF7)</f>
        <v>41013</v>
      </c>
      <c r="GO7" s="24">
        <v>40916</v>
      </c>
      <c r="GP7" s="24">
        <v>1.641</v>
      </c>
      <c r="GQ7" s="72">
        <f t="shared" ref="GQ7:GQ8" si="158">SUM(GO7-GO6)*100</f>
        <v>57800</v>
      </c>
      <c r="GR7" s="72">
        <f t="shared" ref="GR7:GR14" si="159">SUM(GP7)*100</f>
        <v>164.1</v>
      </c>
      <c r="GS7" s="179">
        <f t="shared" si="78"/>
        <v>2207.96</v>
      </c>
      <c r="GT7" s="179">
        <f t="shared" si="79"/>
        <v>1381.42</v>
      </c>
      <c r="GU7" s="179">
        <f t="shared" si="80"/>
        <v>1091.5932</v>
      </c>
      <c r="GV7" s="176">
        <f t="shared" si="81"/>
        <v>3970.3180000000007</v>
      </c>
      <c r="GW7" s="72">
        <f t="shared" ref="GW7:GW22" si="160">SUM(BL7)</f>
        <v>105733</v>
      </c>
      <c r="GX7" s="24">
        <v>5246</v>
      </c>
      <c r="GY7" s="72">
        <f t="shared" ref="GY7:GY14" si="161">SUM(GX7-GX6)</f>
        <v>3493</v>
      </c>
      <c r="GZ7" s="176">
        <f t="shared" ref="GZ7:GZ14" si="162">SUM(GY7*0.11923)</f>
        <v>416.47039000000001</v>
      </c>
      <c r="HA7" s="176">
        <f t="shared" si="84"/>
        <v>851.94270000000006</v>
      </c>
      <c r="HB7" s="176">
        <f t="shared" ref="HB7:HB14" si="163">SUM(GZ7+HA7+2.85)*1.1</f>
        <v>1398.3893989999999</v>
      </c>
      <c r="HC7" s="72">
        <f t="shared" ref="HC7:HC22" si="164">SUM(BO7)</f>
        <v>40770</v>
      </c>
      <c r="HD7" s="24">
        <v>40717</v>
      </c>
      <c r="HE7" s="24">
        <v>3.9569999999999999</v>
      </c>
      <c r="HF7" s="72">
        <f t="shared" ref="HF7:HF8" si="165">SUM(HD7-HD6)*40</f>
        <v>18200</v>
      </c>
      <c r="HG7" s="72">
        <f t="shared" ref="HG7:HG14" si="166">SUM(HE7)*40</f>
        <v>158.28</v>
      </c>
      <c r="HH7" s="179">
        <f t="shared" si="88"/>
        <v>695.24</v>
      </c>
      <c r="HI7" s="179">
        <f t="shared" si="89"/>
        <v>434.98</v>
      </c>
      <c r="HJ7" s="179">
        <f t="shared" si="90"/>
        <v>1052.8785600000001</v>
      </c>
      <c r="HK7" s="176">
        <f t="shared" si="91"/>
        <v>1265.2420000000002</v>
      </c>
      <c r="HL7">
        <f t="shared" si="92"/>
        <v>87193</v>
      </c>
      <c r="HM7" s="50">
        <f t="shared" si="93"/>
        <v>7181.9363990000011</v>
      </c>
      <c r="HN7" s="50">
        <f t="shared" si="94"/>
        <v>2322.7453599999999</v>
      </c>
      <c r="HO7" s="50">
        <f t="shared" si="95"/>
        <v>9504.681759000001</v>
      </c>
      <c r="HP7" s="19"/>
      <c r="HQ7" s="54">
        <f t="shared" si="96"/>
        <v>1227384</v>
      </c>
      <c r="HR7" s="50">
        <f t="shared" si="96"/>
        <v>86441.022820999991</v>
      </c>
      <c r="HS7" s="50">
        <f t="shared" si="96"/>
        <v>21865.789200000003</v>
      </c>
      <c r="HT7" s="50">
        <f t="shared" si="97"/>
        <v>108306.81202099999</v>
      </c>
    </row>
    <row r="8" spans="2:228" x14ac:dyDescent="0.25">
      <c r="B8" s="69">
        <v>43221</v>
      </c>
      <c r="C8" s="174">
        <v>61515</v>
      </c>
      <c r="D8" s="21">
        <v>2.0329999999999999</v>
      </c>
      <c r="E8" s="38">
        <f t="shared" si="16"/>
        <v>190720</v>
      </c>
      <c r="F8" s="38"/>
      <c r="G8" s="174">
        <v>56589</v>
      </c>
      <c r="H8" s="21">
        <v>2.226</v>
      </c>
      <c r="I8" s="38">
        <f t="shared" si="17"/>
        <v>194240</v>
      </c>
      <c r="J8" s="38"/>
      <c r="K8" s="174">
        <v>6968</v>
      </c>
      <c r="L8" s="21">
        <v>2.4300000000000002</v>
      </c>
      <c r="M8" s="38">
        <f t="shared" si="98"/>
        <v>51600</v>
      </c>
      <c r="N8" s="38"/>
      <c r="O8" s="174">
        <v>6956</v>
      </c>
      <c r="P8" s="21">
        <v>2.25</v>
      </c>
      <c r="Q8" s="38">
        <f t="shared" si="99"/>
        <v>49600</v>
      </c>
      <c r="R8" s="38"/>
      <c r="S8" s="174">
        <v>7491</v>
      </c>
      <c r="T8" s="174">
        <v>2.65</v>
      </c>
      <c r="U8" s="38">
        <f t="shared" si="100"/>
        <v>55600</v>
      </c>
      <c r="V8" s="38"/>
      <c r="W8" s="174">
        <v>47974</v>
      </c>
      <c r="X8" s="21">
        <v>2.214</v>
      </c>
      <c r="Y8" s="38">
        <f t="shared" si="101"/>
        <v>233400</v>
      </c>
      <c r="Z8" s="38"/>
      <c r="AA8" s="174">
        <v>45966</v>
      </c>
      <c r="AB8" s="21">
        <v>1.9570000000000001</v>
      </c>
      <c r="AC8" s="38">
        <f t="shared" si="102"/>
        <v>228600</v>
      </c>
      <c r="AD8" s="38"/>
      <c r="AE8" s="174">
        <v>12226</v>
      </c>
      <c r="AF8" s="21">
        <v>4.1100000000000003</v>
      </c>
      <c r="AG8" s="38">
        <f t="shared" si="103"/>
        <v>31520</v>
      </c>
      <c r="AH8" s="38"/>
      <c r="AI8" s="174">
        <v>8579</v>
      </c>
      <c r="AJ8" s="21">
        <v>3.54</v>
      </c>
      <c r="AK8" s="38">
        <f t="shared" si="104"/>
        <v>20960</v>
      </c>
      <c r="AL8" s="38"/>
      <c r="AM8" s="174">
        <v>58797</v>
      </c>
      <c r="AN8" s="21">
        <v>2.109</v>
      </c>
      <c r="AO8" s="38">
        <f t="shared" si="105"/>
        <v>211200</v>
      </c>
      <c r="AP8" s="38"/>
      <c r="AQ8" s="174">
        <v>11562</v>
      </c>
      <c r="AR8" s="21">
        <v>0.39</v>
      </c>
      <c r="AS8" s="38">
        <f t="shared" si="106"/>
        <v>8280</v>
      </c>
      <c r="AT8" s="38"/>
      <c r="AU8" s="228">
        <v>102807</v>
      </c>
      <c r="AV8" s="229"/>
      <c r="AW8" s="38">
        <f t="shared" si="107"/>
        <v>2550</v>
      </c>
      <c r="AX8" s="38"/>
      <c r="AZ8" s="183">
        <f t="shared" si="18"/>
        <v>1278270</v>
      </c>
      <c r="BA8">
        <f t="shared" si="19"/>
        <v>219480</v>
      </c>
      <c r="BB8">
        <f t="shared" si="20"/>
        <v>0.1717008143819381</v>
      </c>
      <c r="BD8" s="15"/>
      <c r="BE8" s="69">
        <v>43221</v>
      </c>
      <c r="BF8" s="26">
        <v>41013</v>
      </c>
      <c r="BG8" s="38">
        <f t="shared" si="21"/>
        <v>0</v>
      </c>
      <c r="BH8" s="38"/>
      <c r="BI8" s="26">
        <v>5295</v>
      </c>
      <c r="BJ8" s="38">
        <f t="shared" si="22"/>
        <v>0</v>
      </c>
      <c r="BK8" s="38"/>
      <c r="BL8" s="21">
        <v>105733</v>
      </c>
      <c r="BM8" s="38">
        <f t="shared" si="23"/>
        <v>0</v>
      </c>
      <c r="BN8" s="38"/>
      <c r="BO8" s="21">
        <v>40770</v>
      </c>
      <c r="BP8" s="38">
        <f t="shared" si="24"/>
        <v>0</v>
      </c>
      <c r="BQ8" s="38"/>
      <c r="BR8" s="70"/>
      <c r="BS8" s="26">
        <f t="shared" si="25"/>
        <v>0</v>
      </c>
      <c r="BT8"/>
      <c r="BU8"/>
      <c r="BV8" s="175"/>
      <c r="BW8" s="15"/>
      <c r="BY8" s="20">
        <f t="shared" si="142"/>
        <v>102807</v>
      </c>
      <c r="BZ8" s="21">
        <v>2186</v>
      </c>
      <c r="CA8" s="20">
        <v>2444</v>
      </c>
      <c r="CB8" s="71">
        <f>SUM(CA8*0.11923+CA8*0.02439)*1.1+2.85</f>
        <v>388.95800800000001</v>
      </c>
      <c r="CC8" s="72">
        <f t="shared" si="143"/>
        <v>56589</v>
      </c>
      <c r="CD8" s="24">
        <v>56343</v>
      </c>
      <c r="CE8" s="24">
        <v>2.3159999999999998</v>
      </c>
      <c r="CF8" s="20">
        <f t="shared" si="109"/>
        <v>175680</v>
      </c>
      <c r="CG8" s="72">
        <f t="shared" si="110"/>
        <v>370.55999999999995</v>
      </c>
      <c r="CH8" s="176">
        <f>SUM(CF8*0.0382)</f>
        <v>6710.9759999999997</v>
      </c>
      <c r="CI8" s="176">
        <f>SUM(CF8*0.02439)</f>
        <v>4284.8351999999995</v>
      </c>
      <c r="CJ8" s="176">
        <f t="shared" si="111"/>
        <v>2464.9651199999998</v>
      </c>
      <c r="CK8" s="176">
        <f t="shared" si="112"/>
        <v>12144.892320000001</v>
      </c>
      <c r="CL8" s="72">
        <f t="shared" si="144"/>
        <v>61515</v>
      </c>
      <c r="CM8" s="24">
        <v>61274</v>
      </c>
      <c r="CN8" s="24">
        <v>2.0870000000000002</v>
      </c>
      <c r="CO8" s="20">
        <f t="shared" si="113"/>
        <v>171840</v>
      </c>
      <c r="CP8" s="72">
        <f t="shared" si="114"/>
        <v>333.92</v>
      </c>
      <c r="CQ8" s="176">
        <f>SUM(CO8*0.0382)</f>
        <v>6564.2879999999996</v>
      </c>
      <c r="CR8" s="176">
        <f>SUM(CO8*0.02439)</f>
        <v>4191.1776</v>
      </c>
      <c r="CS8" s="176">
        <f t="shared" si="115"/>
        <v>2221.2358400000003</v>
      </c>
      <c r="CT8" s="176">
        <f t="shared" si="116"/>
        <v>11880.51216</v>
      </c>
      <c r="CU8" s="72">
        <f t="shared" si="145"/>
        <v>47974</v>
      </c>
      <c r="CV8" s="24">
        <v>47814</v>
      </c>
      <c r="CW8" s="24">
        <v>2.1419999999999999</v>
      </c>
      <c r="CX8" s="20">
        <f t="shared" si="117"/>
        <v>209400</v>
      </c>
      <c r="CY8" s="72">
        <f t="shared" si="31"/>
        <v>642.6</v>
      </c>
      <c r="CZ8" s="176">
        <f>SUM(CX8*0.0382)</f>
        <v>7999.08</v>
      </c>
      <c r="DA8" s="176">
        <f>SUM(CX8*0.02439)</f>
        <v>5107.2659999999996</v>
      </c>
      <c r="DB8" s="176">
        <f t="shared" si="118"/>
        <v>4274.5752000000002</v>
      </c>
      <c r="DC8" s="176">
        <f t="shared" si="35"/>
        <v>14466.480600000001</v>
      </c>
      <c r="DD8" s="72">
        <f t="shared" si="146"/>
        <v>11562</v>
      </c>
      <c r="DE8" s="24">
        <v>11522</v>
      </c>
      <c r="DF8" s="24">
        <v>0.437</v>
      </c>
      <c r="DG8" s="20">
        <f t="shared" si="119"/>
        <v>7640</v>
      </c>
      <c r="DH8" s="72">
        <f t="shared" si="120"/>
        <v>17.48</v>
      </c>
      <c r="DI8" s="176">
        <f>SUM(DG8*0.0382)</f>
        <v>291.84799999999996</v>
      </c>
      <c r="DJ8" s="176">
        <f>SUM(DG8*0.02439)</f>
        <v>186.33959999999999</v>
      </c>
      <c r="DK8" s="176">
        <f t="shared" si="121"/>
        <v>116.27696</v>
      </c>
      <c r="DL8" s="176">
        <f t="shared" si="122"/>
        <v>553.50635999999997</v>
      </c>
      <c r="DM8" s="72">
        <f t="shared" si="147"/>
        <v>45966</v>
      </c>
      <c r="DN8" s="24">
        <v>45836</v>
      </c>
      <c r="DO8" s="24">
        <v>2.133</v>
      </c>
      <c r="DP8" s="20">
        <f t="shared" si="123"/>
        <v>208200</v>
      </c>
      <c r="DQ8" s="177">
        <f t="shared" si="124"/>
        <v>639.9</v>
      </c>
      <c r="DR8" s="176">
        <f>SUM(DP8*0.0382)</f>
        <v>7953.24</v>
      </c>
      <c r="DS8" s="176">
        <f>SUM(DP8*0.02439)</f>
        <v>5077.9979999999996</v>
      </c>
      <c r="DT8" s="176">
        <f t="shared" ref="DT8" si="167">SUM(DQ8*6.652)</f>
        <v>4256.6148000000003</v>
      </c>
      <c r="DU8" s="176">
        <f t="shared" ref="DU8" si="168">SUM(DR8+DS8+45)*1.1</f>
        <v>14383.861800000001</v>
      </c>
      <c r="DV8" s="72">
        <f t="shared" si="148"/>
        <v>6956</v>
      </c>
      <c r="DW8" s="24">
        <v>6931</v>
      </c>
      <c r="DX8" s="24">
        <v>0.25700000000000001</v>
      </c>
      <c r="DY8" s="20">
        <f t="shared" si="125"/>
        <v>45200</v>
      </c>
      <c r="DZ8" s="177">
        <f t="shared" si="126"/>
        <v>102.8</v>
      </c>
      <c r="EA8" s="176">
        <f>SUM(DY8*0.0382)</f>
        <v>1726.6399999999999</v>
      </c>
      <c r="EB8" s="176">
        <f>SUM(DY8*0.02439)</f>
        <v>1102.4279999999999</v>
      </c>
      <c r="EC8" s="176">
        <f t="shared" ref="EC8" si="169">SUM(DZ8*6.652)</f>
        <v>683.82560000000001</v>
      </c>
      <c r="ED8" s="176">
        <f t="shared" ref="ED8" si="170">SUM(EA8+EB8+45)*1.1</f>
        <v>3161.4748</v>
      </c>
      <c r="EE8" s="72">
        <f t="shared" si="149"/>
        <v>47974</v>
      </c>
      <c r="EF8" s="24">
        <v>6942</v>
      </c>
      <c r="EG8" s="24">
        <v>0.26600000000000001</v>
      </c>
      <c r="EH8" s="20">
        <f t="shared" si="127"/>
        <v>46800</v>
      </c>
      <c r="EI8" s="72">
        <f t="shared" si="128"/>
        <v>106.4</v>
      </c>
      <c r="EJ8" s="176">
        <f>SUM(EH8*0.0382)</f>
        <v>1787.76</v>
      </c>
      <c r="EK8" s="176">
        <f>SUM(EH8*0.02439)</f>
        <v>1141.452</v>
      </c>
      <c r="EL8" s="176">
        <f t="shared" ref="EL8" si="171">SUM(EI8*6.652)</f>
        <v>707.77280000000007</v>
      </c>
      <c r="EM8" s="176">
        <f t="shared" ref="EM8:EM14" si="172">SUM(EJ8+EK8+45)*1.1</f>
        <v>3271.6332000000002</v>
      </c>
      <c r="EN8" s="72">
        <f t="shared" si="150"/>
        <v>7491</v>
      </c>
      <c r="EO8" s="24">
        <v>7462</v>
      </c>
      <c r="EP8" s="24">
        <v>0.27600000000000002</v>
      </c>
      <c r="EQ8" s="20">
        <f t="shared" si="130"/>
        <v>50000</v>
      </c>
      <c r="ER8" s="72">
        <f t="shared" si="131"/>
        <v>110.4</v>
      </c>
      <c r="ES8" s="176">
        <f>SUM(EQ8*0.0382)</f>
        <v>1910</v>
      </c>
      <c r="ET8" s="176">
        <f>SUM(EQ8*0.02439)</f>
        <v>1219.5</v>
      </c>
      <c r="EU8" s="176">
        <f t="shared" ref="EU8:EU14" si="173">SUM(ER8*6.652)</f>
        <v>734.38080000000002</v>
      </c>
      <c r="EV8" s="176">
        <f t="shared" ref="EV8:EV14" si="174">SUM(ES8+ET8+45)*1.1</f>
        <v>3491.9500000000003</v>
      </c>
      <c r="EW8" s="72">
        <f t="shared" si="151"/>
        <v>12226</v>
      </c>
      <c r="EX8" s="24">
        <v>12185</v>
      </c>
      <c r="EY8" s="24">
        <v>0.42199999999999999</v>
      </c>
      <c r="EZ8" s="20">
        <f t="shared" si="132"/>
        <v>27840</v>
      </c>
      <c r="FA8" s="72">
        <f t="shared" si="133"/>
        <v>67.52</v>
      </c>
      <c r="FB8" s="176">
        <f>SUM(EZ8*0.0382)</f>
        <v>1063.4879999999998</v>
      </c>
      <c r="FC8" s="176">
        <f>SUM(EZ8*0.02439)</f>
        <v>679.0175999999999</v>
      </c>
      <c r="FD8" s="176">
        <f t="shared" ref="FD8:FD14" si="175">SUM(FA8*6.652)</f>
        <v>449.14303999999998</v>
      </c>
      <c r="FE8" s="176">
        <f t="shared" ref="FE8:FE14" si="176">SUM(FB8+FC8+45)*1.1</f>
        <v>1966.2561599999999</v>
      </c>
      <c r="FF8" s="72">
        <f t="shared" si="152"/>
        <v>8579</v>
      </c>
      <c r="FG8" s="24">
        <v>8551</v>
      </c>
      <c r="FH8" s="24">
        <v>0.36699999999999999</v>
      </c>
      <c r="FI8" s="20">
        <f t="shared" si="135"/>
        <v>18400</v>
      </c>
      <c r="FJ8" s="72">
        <f t="shared" si="136"/>
        <v>58.72</v>
      </c>
      <c r="FK8" s="176">
        <f>SUM(FI8*0.0382)</f>
        <v>702.88</v>
      </c>
      <c r="FL8" s="176">
        <f>SUM(FI8*0.02439)</f>
        <v>448.77599999999995</v>
      </c>
      <c r="FM8" s="176">
        <f t="shared" ref="FM8:FM14" si="177">SUM(FJ8*6.652)</f>
        <v>390.60543999999999</v>
      </c>
      <c r="FN8" s="176">
        <f t="shared" ref="FN8:FN14" si="178">SUM(FK8+FL8+45)*1.1</f>
        <v>1316.3216</v>
      </c>
      <c r="FO8" s="20">
        <f t="shared" si="153"/>
        <v>58797</v>
      </c>
      <c r="FP8" s="178">
        <v>58582</v>
      </c>
      <c r="FQ8" s="178">
        <v>2.3010000000000002</v>
      </c>
      <c r="FR8" s="20">
        <f t="shared" si="137"/>
        <v>194000</v>
      </c>
      <c r="FS8" s="72">
        <f t="shared" si="138"/>
        <v>460.20000000000005</v>
      </c>
      <c r="FT8" s="176">
        <f>SUM(FR8*0.0382)</f>
        <v>7410.7999999999993</v>
      </c>
      <c r="FU8" s="176">
        <f>SUM(FR8*0.02439)</f>
        <v>4731.66</v>
      </c>
      <c r="FV8" s="176">
        <f t="shared" ref="FV8:FV14" si="179">SUM(FS8*6.652)</f>
        <v>3061.2504000000004</v>
      </c>
      <c r="FW8" s="176">
        <f t="shared" ref="FW8:FW14" si="180">SUM(FT8+FU8+45)*1.1</f>
        <v>13406.206</v>
      </c>
      <c r="FX8" s="55"/>
      <c r="FY8" s="54">
        <f t="shared" si="66"/>
        <v>1157444</v>
      </c>
      <c r="FZ8" s="50">
        <f t="shared" si="67"/>
        <v>80432.053008000003</v>
      </c>
      <c r="GA8" s="50">
        <f t="shared" si="68"/>
        <v>19360.646000000001</v>
      </c>
      <c r="GB8" s="50">
        <f t="shared" si="69"/>
        <v>99792.699007999996</v>
      </c>
      <c r="GC8" s="15"/>
      <c r="GE8" s="72">
        <f t="shared" si="154"/>
        <v>5295</v>
      </c>
      <c r="GF8" s="24">
        <v>5358</v>
      </c>
      <c r="GG8" s="24">
        <v>0.27700000000000002</v>
      </c>
      <c r="GH8" s="72">
        <f t="shared" si="155"/>
        <v>8000</v>
      </c>
      <c r="GI8" s="72">
        <f t="shared" si="156"/>
        <v>27.700000000000003</v>
      </c>
      <c r="GJ8" s="179">
        <f t="shared" si="72"/>
        <v>305.59999999999997</v>
      </c>
      <c r="GK8" s="179">
        <f t="shared" si="73"/>
        <v>191.20000000000002</v>
      </c>
      <c r="GL8" s="179">
        <f t="shared" si="140"/>
        <v>184.26040000000003</v>
      </c>
      <c r="GM8" s="176">
        <f t="shared" si="75"/>
        <v>568.48</v>
      </c>
      <c r="GN8" s="72">
        <f t="shared" si="157"/>
        <v>41013</v>
      </c>
      <c r="GO8" s="24">
        <v>41547</v>
      </c>
      <c r="GP8" s="24">
        <v>1.9390000000000001</v>
      </c>
      <c r="GQ8" s="72">
        <f t="shared" si="158"/>
        <v>63100</v>
      </c>
      <c r="GR8" s="72">
        <f t="shared" si="159"/>
        <v>193.9</v>
      </c>
      <c r="GS8" s="179">
        <f t="shared" si="78"/>
        <v>2410.42</v>
      </c>
      <c r="GT8" s="179">
        <f t="shared" si="79"/>
        <v>1508.0900000000001</v>
      </c>
      <c r="GU8" s="179">
        <f t="shared" si="80"/>
        <v>1289.8228000000001</v>
      </c>
      <c r="GV8" s="176">
        <f t="shared" si="81"/>
        <v>4332.3610000000008</v>
      </c>
      <c r="GW8" s="72">
        <f t="shared" si="160"/>
        <v>105733</v>
      </c>
      <c r="GX8" s="24">
        <v>8470</v>
      </c>
      <c r="GY8" s="72">
        <f t="shared" si="161"/>
        <v>3224</v>
      </c>
      <c r="GZ8" s="176">
        <f t="shared" si="162"/>
        <v>384.39751999999999</v>
      </c>
      <c r="HA8" s="176">
        <f t="shared" si="84"/>
        <v>786.33360000000005</v>
      </c>
      <c r="HB8" s="176">
        <f t="shared" si="163"/>
        <v>1290.9392319999999</v>
      </c>
      <c r="HC8" s="72">
        <f t="shared" si="164"/>
        <v>40770</v>
      </c>
      <c r="HD8" s="24">
        <v>41043</v>
      </c>
      <c r="HE8" s="24">
        <v>3.907</v>
      </c>
      <c r="HF8" s="72">
        <f t="shared" si="165"/>
        <v>13040</v>
      </c>
      <c r="HG8" s="72">
        <f t="shared" si="166"/>
        <v>156.28</v>
      </c>
      <c r="HH8" s="179">
        <f t="shared" si="88"/>
        <v>498.12799999999999</v>
      </c>
      <c r="HI8" s="179">
        <f t="shared" si="89"/>
        <v>311.65600000000001</v>
      </c>
      <c r="HJ8" s="179">
        <f t="shared" si="90"/>
        <v>1039.57456</v>
      </c>
      <c r="HK8" s="176">
        <f t="shared" si="91"/>
        <v>912.76240000000007</v>
      </c>
      <c r="HL8">
        <f t="shared" si="92"/>
        <v>87364</v>
      </c>
      <c r="HM8" s="50">
        <f t="shared" si="93"/>
        <v>7104.5426320000006</v>
      </c>
      <c r="HN8" s="50">
        <f t="shared" si="94"/>
        <v>2513.6577600000001</v>
      </c>
      <c r="HO8" s="50">
        <f t="shared" si="95"/>
        <v>9618.2003920000006</v>
      </c>
      <c r="HP8" s="19"/>
      <c r="HQ8" s="54">
        <f t="shared" si="96"/>
        <v>1244808</v>
      </c>
      <c r="HR8" s="50">
        <f t="shared" si="96"/>
        <v>87536.59564</v>
      </c>
      <c r="HS8" s="50">
        <f t="shared" si="96"/>
        <v>21874.303760000003</v>
      </c>
      <c r="HT8" s="50">
        <f t="shared" si="97"/>
        <v>109410.89939999999</v>
      </c>
    </row>
    <row r="9" spans="2:228" x14ac:dyDescent="0.25">
      <c r="B9" s="69">
        <v>43255</v>
      </c>
      <c r="C9" s="174">
        <v>62856</v>
      </c>
      <c r="D9" s="21">
        <v>2.0609999999999999</v>
      </c>
      <c r="E9" s="38">
        <f t="shared" si="16"/>
        <v>214560</v>
      </c>
      <c r="F9" s="38"/>
      <c r="G9" s="174">
        <v>57952</v>
      </c>
      <c r="H9" s="21">
        <v>2.19</v>
      </c>
      <c r="I9" s="38">
        <f t="shared" si="17"/>
        <v>218080</v>
      </c>
      <c r="J9" s="38"/>
      <c r="K9" s="174">
        <v>7120</v>
      </c>
      <c r="L9" s="21">
        <v>2.86</v>
      </c>
      <c r="M9" s="38">
        <f t="shared" si="98"/>
        <v>60800</v>
      </c>
      <c r="N9" s="38"/>
      <c r="O9" s="174">
        <v>7104</v>
      </c>
      <c r="P9" s="21">
        <v>2.5</v>
      </c>
      <c r="Q9" s="38">
        <f t="shared" si="99"/>
        <v>59200</v>
      </c>
      <c r="R9" s="38"/>
      <c r="S9" s="174">
        <v>7657</v>
      </c>
      <c r="T9" s="174">
        <v>2.77</v>
      </c>
      <c r="U9" s="38">
        <f t="shared" si="100"/>
        <v>66400</v>
      </c>
      <c r="V9" s="38"/>
      <c r="W9" s="174">
        <v>49067</v>
      </c>
      <c r="X9" s="21">
        <v>2.8330000000000002</v>
      </c>
      <c r="Y9" s="38">
        <f t="shared" si="101"/>
        <v>327900</v>
      </c>
      <c r="Z9" s="38"/>
      <c r="AA9" s="174">
        <v>46989</v>
      </c>
      <c r="AB9" s="21">
        <v>2.2570000000000001</v>
      </c>
      <c r="AC9" s="38">
        <f t="shared" si="102"/>
        <v>306900</v>
      </c>
      <c r="AD9" s="38"/>
      <c r="AE9" s="174">
        <v>12475</v>
      </c>
      <c r="AF9" s="21">
        <v>8.67</v>
      </c>
      <c r="AG9" s="38">
        <f t="shared" si="103"/>
        <v>39840</v>
      </c>
      <c r="AH9" s="38"/>
      <c r="AI9" s="174">
        <v>8725</v>
      </c>
      <c r="AJ9" s="21">
        <v>3.26</v>
      </c>
      <c r="AK9" s="38">
        <f t="shared" si="104"/>
        <v>23360</v>
      </c>
      <c r="AL9" s="38"/>
      <c r="AM9" s="174">
        <v>60014</v>
      </c>
      <c r="AN9" s="21">
        <v>2.2440000000000002</v>
      </c>
      <c r="AO9" s="38">
        <f t="shared" si="105"/>
        <v>243400</v>
      </c>
      <c r="AP9" s="38"/>
      <c r="AQ9" s="174">
        <v>11799</v>
      </c>
      <c r="AR9" s="21">
        <v>0.40799999999999997</v>
      </c>
      <c r="AS9" s="38">
        <f t="shared" si="106"/>
        <v>9480</v>
      </c>
      <c r="AT9" s="38"/>
      <c r="AU9" s="228">
        <v>105571</v>
      </c>
      <c r="AV9" s="229"/>
      <c r="AW9" s="38">
        <f t="shared" si="107"/>
        <v>2764</v>
      </c>
      <c r="AX9" s="38"/>
      <c r="AZ9" s="183">
        <f t="shared" si="18"/>
        <v>1572684</v>
      </c>
      <c r="BA9">
        <f t="shared" si="19"/>
        <v>252880</v>
      </c>
      <c r="BB9">
        <f t="shared" si="20"/>
        <v>0.16079517563604639</v>
      </c>
      <c r="BD9" s="15"/>
      <c r="BE9" s="69">
        <v>43255</v>
      </c>
      <c r="BF9" s="26">
        <v>41013</v>
      </c>
      <c r="BG9" s="38">
        <f t="shared" si="21"/>
        <v>0</v>
      </c>
      <c r="BH9" s="38"/>
      <c r="BI9" s="26">
        <v>5295</v>
      </c>
      <c r="BJ9" s="38">
        <f t="shared" si="22"/>
        <v>0</v>
      </c>
      <c r="BK9" s="38"/>
      <c r="BL9" s="21">
        <v>105733</v>
      </c>
      <c r="BM9" s="38">
        <f t="shared" si="23"/>
        <v>0</v>
      </c>
      <c r="BN9" s="38"/>
      <c r="BO9" s="21">
        <v>40770</v>
      </c>
      <c r="BP9" s="38">
        <f t="shared" si="24"/>
        <v>0</v>
      </c>
      <c r="BQ9" s="38"/>
      <c r="BR9" s="70"/>
      <c r="BS9" s="26">
        <f t="shared" si="25"/>
        <v>0</v>
      </c>
      <c r="BT9"/>
      <c r="BU9"/>
      <c r="BV9" s="175"/>
      <c r="BW9" s="15"/>
      <c r="BY9" s="20">
        <f t="shared" si="142"/>
        <v>105571</v>
      </c>
      <c r="BZ9" s="21">
        <v>5042</v>
      </c>
      <c r="CA9" s="20">
        <f t="shared" si="108"/>
        <v>2856</v>
      </c>
      <c r="CB9" s="71">
        <f t="shared" ref="CB9:CB14" si="181">SUM(CA9*0.11923+CA9*0.02439)*1.1+2.85</f>
        <v>454.04659200000003</v>
      </c>
      <c r="CC9" s="72">
        <f t="shared" si="143"/>
        <v>57952</v>
      </c>
      <c r="CD9" s="24">
        <v>57745</v>
      </c>
      <c r="CE9" s="24">
        <v>2.226</v>
      </c>
      <c r="CF9" s="20">
        <f t="shared" si="109"/>
        <v>224320</v>
      </c>
      <c r="CG9" s="72">
        <f t="shared" si="110"/>
        <v>356.15999999999997</v>
      </c>
      <c r="CH9" s="176">
        <f t="shared" ref="CH9:CH14" si="182">SUM(CF9*0.0382)</f>
        <v>8569.0239999999994</v>
      </c>
      <c r="CI9" s="176">
        <f t="shared" ref="CI9:CI14" si="183">SUM(CF9*0.02439)</f>
        <v>5471.1647999999996</v>
      </c>
      <c r="CJ9" s="176">
        <f t="shared" ref="CJ9:CJ14" si="184">SUM(CG9*6.652)</f>
        <v>2369.17632</v>
      </c>
      <c r="CK9" s="176">
        <f t="shared" ref="CK9:CK14" si="185">SUM(CH9+CI9+45)*1.1</f>
        <v>15493.707680000001</v>
      </c>
      <c r="CL9" s="72">
        <f t="shared" si="144"/>
        <v>62856</v>
      </c>
      <c r="CM9" s="24">
        <v>62649</v>
      </c>
      <c r="CN9" s="24">
        <v>2.133</v>
      </c>
      <c r="CO9" s="20">
        <f t="shared" si="113"/>
        <v>220000</v>
      </c>
      <c r="CP9" s="72">
        <f t="shared" si="114"/>
        <v>341.28</v>
      </c>
      <c r="CQ9" s="176">
        <f t="shared" ref="CQ9:CQ14" si="186">SUM(CO9*0.0382)</f>
        <v>8404</v>
      </c>
      <c r="CR9" s="176">
        <f t="shared" ref="CR9:CR14" si="187">SUM(CO9*0.02439)</f>
        <v>5365.7999999999993</v>
      </c>
      <c r="CS9" s="176">
        <f t="shared" ref="CS9:CS14" si="188">SUM(CP9*6.652)</f>
        <v>2270.1945599999999</v>
      </c>
      <c r="CT9" s="176">
        <f t="shared" ref="CT9:CT14" si="189">SUM(CQ9+CR9+45)*1.1</f>
        <v>15196.28</v>
      </c>
      <c r="CU9" s="72">
        <f t="shared" si="145"/>
        <v>49067</v>
      </c>
      <c r="CV9" s="24">
        <v>48866</v>
      </c>
      <c r="CW9" s="24">
        <v>2.4900000000000002</v>
      </c>
      <c r="CX9" s="20">
        <f t="shared" si="117"/>
        <v>315600</v>
      </c>
      <c r="CY9" s="72">
        <f t="shared" si="31"/>
        <v>747.00000000000011</v>
      </c>
      <c r="CZ9" s="176">
        <f t="shared" ref="CZ9:CZ14" si="190">SUM(CX9*0.0382)</f>
        <v>12055.92</v>
      </c>
      <c r="DA9" s="176">
        <f t="shared" ref="DA9:DA14" si="191">SUM(CX9*0.02439)</f>
        <v>7697.4839999999995</v>
      </c>
      <c r="DB9" s="176">
        <f t="shared" ref="DB9:DB14" si="192">SUM(CY9*6.652)</f>
        <v>4969.0440000000008</v>
      </c>
      <c r="DC9" s="176">
        <f t="shared" ref="DC9:DC14" si="193">SUM(CZ9+DA9+45)*1.1</f>
        <v>21778.2444</v>
      </c>
      <c r="DD9" s="72">
        <f t="shared" si="146"/>
        <v>11799</v>
      </c>
      <c r="DE9" s="24">
        <v>11763</v>
      </c>
      <c r="DF9" s="24">
        <v>0.41699999999999998</v>
      </c>
      <c r="DG9" s="20">
        <f t="shared" si="119"/>
        <v>9640</v>
      </c>
      <c r="DH9" s="72">
        <f t="shared" si="120"/>
        <v>16.68</v>
      </c>
      <c r="DI9" s="176">
        <f t="shared" ref="DI9:DI14" si="194">SUM(DG9*0.0382)</f>
        <v>368.24799999999999</v>
      </c>
      <c r="DJ9" s="176">
        <f t="shared" ref="DJ9:DJ14" si="195">SUM(DG9*0.02439)</f>
        <v>235.11959999999999</v>
      </c>
      <c r="DK9" s="176">
        <f t="shared" ref="DK9:DK14" si="196">SUM(DH9*6.652)</f>
        <v>110.95536</v>
      </c>
      <c r="DL9" s="176">
        <f t="shared" ref="DL9:DL14" si="197">SUM(DI9+DJ9+25)*1.1</f>
        <v>691.20436000000007</v>
      </c>
      <c r="DM9" s="72">
        <f t="shared" si="147"/>
        <v>46989</v>
      </c>
      <c r="DN9" s="24">
        <v>46805</v>
      </c>
      <c r="DO9" s="24">
        <v>2.2330000000000001</v>
      </c>
      <c r="DP9" s="20">
        <f t="shared" si="123"/>
        <v>290700</v>
      </c>
      <c r="DQ9" s="177">
        <f t="shared" si="124"/>
        <v>669.9</v>
      </c>
      <c r="DR9" s="176">
        <f t="shared" ref="DR9:DR14" si="198">SUM(DP9*0.0382)</f>
        <v>11104.74</v>
      </c>
      <c r="DS9" s="176">
        <f t="shared" ref="DS9:DS14" si="199">SUM(DP9*0.02439)</f>
        <v>7090.1729999999998</v>
      </c>
      <c r="DT9" s="176">
        <f t="shared" ref="DT9:DT14" si="200">SUM(DQ9*6.652)</f>
        <v>4456.1747999999998</v>
      </c>
      <c r="DU9" s="176">
        <f t="shared" ref="DU9:DU14" si="201">SUM(DR9+DS9+45)*1.1</f>
        <v>20063.904300000002</v>
      </c>
      <c r="DV9" s="72">
        <f t="shared" si="148"/>
        <v>7104</v>
      </c>
      <c r="DW9" s="24">
        <v>7080</v>
      </c>
      <c r="DX9" s="24">
        <v>0.25900000000000001</v>
      </c>
      <c r="DY9" s="20">
        <f t="shared" si="125"/>
        <v>59600</v>
      </c>
      <c r="DZ9" s="177">
        <f t="shared" si="126"/>
        <v>103.60000000000001</v>
      </c>
      <c r="EA9" s="176">
        <f t="shared" ref="EA9:EA14" si="202">SUM(DY9*0.0382)</f>
        <v>2276.7199999999998</v>
      </c>
      <c r="EB9" s="176">
        <f t="shared" ref="EB9:EB14" si="203">SUM(DY9*0.02439)</f>
        <v>1453.644</v>
      </c>
      <c r="EC9" s="176">
        <f t="shared" ref="EC9:EC14" si="204">SUM(DZ9*6.652)</f>
        <v>689.14720000000011</v>
      </c>
      <c r="ED9" s="176">
        <f t="shared" ref="ED9:ED14" si="205">SUM(EA9+EB9+45)*1.1</f>
        <v>4152.9003999999995</v>
      </c>
      <c r="EE9" s="72">
        <f t="shared" si="149"/>
        <v>49067</v>
      </c>
      <c r="EF9" s="24">
        <v>7095</v>
      </c>
      <c r="EG9" s="24">
        <v>0.27900000000000003</v>
      </c>
      <c r="EH9" s="20">
        <f t="shared" si="127"/>
        <v>61200</v>
      </c>
      <c r="EI9" s="72">
        <f t="shared" si="128"/>
        <v>111.60000000000001</v>
      </c>
      <c r="EJ9" s="176">
        <f t="shared" ref="EJ9:EJ14" si="206">SUM(EH9*0.0382)</f>
        <v>2337.8399999999997</v>
      </c>
      <c r="EK9" s="176">
        <f t="shared" ref="EK9:EK14" si="207">SUM(EH9*0.02439)</f>
        <v>1492.6679999999999</v>
      </c>
      <c r="EL9" s="176">
        <f t="shared" ref="EL9:EL14" si="208">SUM(EI9*6.652)</f>
        <v>742.36320000000012</v>
      </c>
      <c r="EM9" s="176">
        <f t="shared" si="172"/>
        <v>4263.0587999999998</v>
      </c>
      <c r="EN9" s="72">
        <f t="shared" si="150"/>
        <v>7657</v>
      </c>
      <c r="EO9" s="24">
        <v>7626</v>
      </c>
      <c r="EP9" s="24">
        <v>0.29599999999999999</v>
      </c>
      <c r="EQ9" s="20">
        <f t="shared" si="130"/>
        <v>65600</v>
      </c>
      <c r="ER9" s="72">
        <f t="shared" si="131"/>
        <v>118.39999999999999</v>
      </c>
      <c r="ES9" s="176">
        <f t="shared" ref="ES9:ES14" si="209">SUM(EQ9*0.0382)</f>
        <v>2505.92</v>
      </c>
      <c r="ET9" s="176">
        <f t="shared" ref="ET9:ET14" si="210">SUM(EQ9*0.02439)</f>
        <v>1599.9839999999999</v>
      </c>
      <c r="EU9" s="176">
        <f t="shared" si="173"/>
        <v>787.59679999999992</v>
      </c>
      <c r="EV9" s="176">
        <f t="shared" si="174"/>
        <v>4565.9944000000005</v>
      </c>
      <c r="EW9" s="72">
        <f t="shared" si="151"/>
        <v>12475</v>
      </c>
      <c r="EX9" s="24">
        <v>12426</v>
      </c>
      <c r="EY9" s="24">
        <v>0.45200000000000001</v>
      </c>
      <c r="EZ9" s="20">
        <f t="shared" si="132"/>
        <v>38560</v>
      </c>
      <c r="FA9" s="72">
        <f t="shared" si="133"/>
        <v>72.320000000000007</v>
      </c>
      <c r="FB9" s="176">
        <f t="shared" ref="FB9:FB14" si="211">SUM(EZ9*0.0382)</f>
        <v>1472.992</v>
      </c>
      <c r="FC9" s="176">
        <f t="shared" ref="FC9:FC14" si="212">SUM(EZ9*0.02439)</f>
        <v>940.47839999999997</v>
      </c>
      <c r="FD9" s="176">
        <f t="shared" si="175"/>
        <v>481.07264000000004</v>
      </c>
      <c r="FE9" s="176">
        <f t="shared" si="176"/>
        <v>2704.3174400000003</v>
      </c>
      <c r="FF9" s="72">
        <f t="shared" si="152"/>
        <v>8725</v>
      </c>
      <c r="FG9" s="24">
        <v>8703</v>
      </c>
      <c r="FH9" s="24">
        <v>0.38</v>
      </c>
      <c r="FI9" s="20">
        <f t="shared" si="135"/>
        <v>24320</v>
      </c>
      <c r="FJ9" s="72">
        <f t="shared" si="136"/>
        <v>60.8</v>
      </c>
      <c r="FK9" s="176">
        <f t="shared" ref="FK9:FK14" si="213">SUM(FI9*0.0382)</f>
        <v>929.024</v>
      </c>
      <c r="FL9" s="176">
        <f t="shared" ref="FL9:FL14" si="214">SUM(FI9*0.02439)</f>
        <v>593.16480000000001</v>
      </c>
      <c r="FM9" s="176">
        <f t="shared" si="177"/>
        <v>404.44159999999999</v>
      </c>
      <c r="FN9" s="176">
        <f t="shared" si="178"/>
        <v>1723.90768</v>
      </c>
      <c r="FO9" s="20">
        <f t="shared" si="153"/>
        <v>60014</v>
      </c>
      <c r="FP9" s="178">
        <v>59819</v>
      </c>
      <c r="FQ9" s="178">
        <v>2.109</v>
      </c>
      <c r="FR9" s="20">
        <f t="shared" si="137"/>
        <v>247400</v>
      </c>
      <c r="FS9" s="72">
        <f t="shared" si="138"/>
        <v>421.8</v>
      </c>
      <c r="FT9" s="176">
        <f t="shared" ref="FT9:FT14" si="215">SUM(FR9*0.0382)</f>
        <v>9450.68</v>
      </c>
      <c r="FU9" s="176">
        <f t="shared" ref="FU9:FU14" si="216">SUM(FR9*0.02439)</f>
        <v>6034.0859999999993</v>
      </c>
      <c r="FV9" s="176">
        <f t="shared" si="179"/>
        <v>2805.8136</v>
      </c>
      <c r="FW9" s="176">
        <f t="shared" si="180"/>
        <v>17082.742600000001</v>
      </c>
      <c r="FX9" s="55"/>
      <c r="FY9" s="54">
        <f t="shared" si="66"/>
        <v>1559796</v>
      </c>
      <c r="FZ9" s="50">
        <f t="shared" si="67"/>
        <v>108170.30865200001</v>
      </c>
      <c r="GA9" s="50">
        <f t="shared" si="68"/>
        <v>20085.980079999998</v>
      </c>
      <c r="GB9" s="50">
        <f t="shared" si="69"/>
        <v>128256.288732</v>
      </c>
      <c r="GC9" s="15"/>
      <c r="GE9" s="72">
        <f t="shared" si="154"/>
        <v>5295</v>
      </c>
      <c r="GF9" s="24">
        <v>5458</v>
      </c>
      <c r="GG9" s="24">
        <v>0.24299999999999999</v>
      </c>
      <c r="GH9" s="72">
        <f t="shared" ref="GH9:GH12" si="217">SUM(GF9-GF8)*100</f>
        <v>10000</v>
      </c>
      <c r="GI9" s="72">
        <f t="shared" si="156"/>
        <v>24.3</v>
      </c>
      <c r="GJ9" s="179">
        <f t="shared" si="72"/>
        <v>382</v>
      </c>
      <c r="GK9" s="179">
        <f t="shared" si="73"/>
        <v>239</v>
      </c>
      <c r="GL9" s="179">
        <f t="shared" si="140"/>
        <v>161.64360000000002</v>
      </c>
      <c r="GM9" s="176">
        <f t="shared" si="75"/>
        <v>705.1</v>
      </c>
      <c r="GN9" s="72">
        <f t="shared" si="157"/>
        <v>41013</v>
      </c>
      <c r="GO9" s="24">
        <v>42431</v>
      </c>
      <c r="GP9" s="24">
        <v>1.9339999999999999</v>
      </c>
      <c r="GQ9" s="72">
        <f t="shared" ref="GQ9:GQ14" si="218">SUM(GO9-GO8)*100</f>
        <v>88400</v>
      </c>
      <c r="GR9" s="72">
        <f t="shared" si="159"/>
        <v>193.4</v>
      </c>
      <c r="GS9" s="179">
        <f t="shared" si="78"/>
        <v>3376.8799999999997</v>
      </c>
      <c r="GT9" s="179">
        <f t="shared" si="79"/>
        <v>2112.7600000000002</v>
      </c>
      <c r="GU9" s="179">
        <f t="shared" si="80"/>
        <v>1286.4968000000001</v>
      </c>
      <c r="GV9" s="176">
        <f t="shared" si="81"/>
        <v>6060.6040000000003</v>
      </c>
      <c r="GW9" s="72">
        <f t="shared" si="160"/>
        <v>105733</v>
      </c>
      <c r="GX9" s="24">
        <v>12648</v>
      </c>
      <c r="GY9" s="72">
        <f t="shared" si="161"/>
        <v>4178</v>
      </c>
      <c r="GZ9" s="176">
        <f t="shared" si="162"/>
        <v>498.14294000000001</v>
      </c>
      <c r="HA9" s="176">
        <f t="shared" si="84"/>
        <v>1019.0142000000001</v>
      </c>
      <c r="HB9" s="176">
        <f t="shared" si="163"/>
        <v>1672.007854</v>
      </c>
      <c r="HC9" s="72">
        <f t="shared" si="164"/>
        <v>40770</v>
      </c>
      <c r="HD9" s="24">
        <v>41512</v>
      </c>
      <c r="HE9" s="24">
        <v>3.899</v>
      </c>
      <c r="HF9" s="72">
        <f t="shared" ref="HF9:HF10" si="219">SUM(HD9-HD8)*40</f>
        <v>18760</v>
      </c>
      <c r="HG9" s="72">
        <f t="shared" si="166"/>
        <v>155.96</v>
      </c>
      <c r="HH9" s="179">
        <f t="shared" si="88"/>
        <v>716.63199999999995</v>
      </c>
      <c r="HI9" s="179">
        <f t="shared" si="89"/>
        <v>448.36400000000003</v>
      </c>
      <c r="HJ9" s="179">
        <f t="shared" si="90"/>
        <v>1037.4459200000001</v>
      </c>
      <c r="HK9" s="176">
        <f t="shared" si="91"/>
        <v>1303.4956000000002</v>
      </c>
      <c r="HL9">
        <f t="shared" ref="HL9:HL10" si="220">SUM(GH9+GQ9+GY9+HF9)</f>
        <v>121338</v>
      </c>
      <c r="HM9" s="50">
        <f t="shared" ref="HM9:HM14" si="221">SUM(HK9+HB9+GV9+GM9)</f>
        <v>9741.2074540000012</v>
      </c>
      <c r="HN9" s="50">
        <f t="shared" si="94"/>
        <v>2485.5863200000003</v>
      </c>
      <c r="HO9" s="50">
        <f t="shared" si="95"/>
        <v>12226.793774000002</v>
      </c>
      <c r="HP9" s="19"/>
      <c r="HQ9" s="54">
        <f t="shared" si="96"/>
        <v>1681134</v>
      </c>
      <c r="HR9" s="50">
        <f t="shared" si="96"/>
        <v>117911.51610600001</v>
      </c>
      <c r="HS9" s="50">
        <f t="shared" si="96"/>
        <v>22571.566399999996</v>
      </c>
      <c r="HT9" s="50">
        <f t="shared" si="97"/>
        <v>140483.08250600001</v>
      </c>
    </row>
    <row r="10" spans="2:228" x14ac:dyDescent="0.25">
      <c r="B10" s="69">
        <v>43281</v>
      </c>
      <c r="C10" s="174">
        <v>63944</v>
      </c>
      <c r="D10" s="21">
        <v>2.0019999999999998</v>
      </c>
      <c r="E10" s="38">
        <f t="shared" si="16"/>
        <v>174080</v>
      </c>
      <c r="F10" s="38"/>
      <c r="G10" s="174">
        <v>59066</v>
      </c>
      <c r="H10" s="21">
        <v>2.3090000000000002</v>
      </c>
      <c r="I10" s="38">
        <f t="shared" si="17"/>
        <v>178240</v>
      </c>
      <c r="J10" s="38"/>
      <c r="K10" s="174">
        <v>7252</v>
      </c>
      <c r="L10" s="21">
        <v>2.79</v>
      </c>
      <c r="M10" s="38">
        <f t="shared" si="98"/>
        <v>52800</v>
      </c>
      <c r="N10" s="38"/>
      <c r="O10" s="174">
        <v>7234</v>
      </c>
      <c r="P10" s="21">
        <v>2.54</v>
      </c>
      <c r="Q10" s="38">
        <f t="shared" si="99"/>
        <v>52000</v>
      </c>
      <c r="R10" s="38"/>
      <c r="S10" s="174">
        <v>7786</v>
      </c>
      <c r="T10" s="174">
        <v>2.9</v>
      </c>
      <c r="U10" s="38">
        <f t="shared" si="100"/>
        <v>51600</v>
      </c>
      <c r="V10" s="38"/>
      <c r="W10" s="174">
        <v>50149</v>
      </c>
      <c r="X10" s="21">
        <v>2.6619999999999999</v>
      </c>
      <c r="Y10" s="38">
        <f t="shared" si="101"/>
        <v>324600</v>
      </c>
      <c r="Z10" s="38"/>
      <c r="AA10" s="174">
        <v>47999</v>
      </c>
      <c r="AB10" s="21">
        <v>2.1709999999999998</v>
      </c>
      <c r="AC10" s="38">
        <f t="shared" si="102"/>
        <v>303000</v>
      </c>
      <c r="AD10" s="38"/>
      <c r="AE10" s="174">
        <v>12661</v>
      </c>
      <c r="AF10" s="21">
        <v>4.9800000000000004</v>
      </c>
      <c r="AG10" s="38">
        <f t="shared" si="103"/>
        <v>29760</v>
      </c>
      <c r="AH10" s="38"/>
      <c r="AI10" s="174">
        <v>8838</v>
      </c>
      <c r="AJ10" s="21">
        <v>3.78</v>
      </c>
      <c r="AK10" s="38">
        <f t="shared" si="104"/>
        <v>18080</v>
      </c>
      <c r="AL10" s="38"/>
      <c r="AM10" s="174">
        <v>61153</v>
      </c>
      <c r="AN10" s="21">
        <v>2.3479999999999999</v>
      </c>
      <c r="AO10" s="38">
        <f t="shared" si="105"/>
        <v>227800</v>
      </c>
      <c r="AP10" s="38"/>
      <c r="AQ10" s="174">
        <v>11992</v>
      </c>
      <c r="AR10" s="21">
        <v>0.42299999999999999</v>
      </c>
      <c r="AS10" s="38">
        <f t="shared" si="106"/>
        <v>7720</v>
      </c>
      <c r="AT10" s="38"/>
      <c r="AU10" s="228">
        <v>107731</v>
      </c>
      <c r="AV10" s="229"/>
      <c r="AW10" s="38">
        <f t="shared" si="107"/>
        <v>2160</v>
      </c>
      <c r="AX10" s="38"/>
      <c r="AZ10" s="183">
        <f t="shared" si="18"/>
        <v>1421840</v>
      </c>
      <c r="BA10">
        <f t="shared" si="19"/>
        <v>235520</v>
      </c>
      <c r="BB10">
        <f t="shared" si="20"/>
        <v>0.16564451696393406</v>
      </c>
      <c r="BD10" s="15"/>
      <c r="BE10" s="69">
        <v>43281</v>
      </c>
      <c r="BF10" s="26">
        <v>43292</v>
      </c>
      <c r="BG10" s="38">
        <f t="shared" si="21"/>
        <v>227900</v>
      </c>
      <c r="BH10" s="38"/>
      <c r="BI10" s="26">
        <v>5570</v>
      </c>
      <c r="BJ10" s="38">
        <f t="shared" si="22"/>
        <v>27500</v>
      </c>
      <c r="BK10" s="38"/>
      <c r="BL10" s="21">
        <v>16549</v>
      </c>
      <c r="BM10" s="38">
        <v>89184</v>
      </c>
      <c r="BN10" s="38"/>
      <c r="BO10" s="21">
        <v>41859</v>
      </c>
      <c r="BP10" s="38">
        <f t="shared" si="24"/>
        <v>43560</v>
      </c>
      <c r="BQ10" s="38"/>
      <c r="BR10" s="70"/>
      <c r="BS10" s="26">
        <f t="shared" si="25"/>
        <v>388144</v>
      </c>
      <c r="BT10"/>
      <c r="BU10"/>
      <c r="BV10" s="175"/>
      <c r="BW10" s="15"/>
      <c r="BY10" s="20">
        <f t="shared" si="142"/>
        <v>107731</v>
      </c>
      <c r="BZ10" s="21">
        <v>7130</v>
      </c>
      <c r="CA10" s="20">
        <f t="shared" si="108"/>
        <v>2088</v>
      </c>
      <c r="CB10" s="71">
        <f t="shared" si="181"/>
        <v>332.71641600000004</v>
      </c>
      <c r="CC10" s="72">
        <f t="shared" si="143"/>
        <v>59066</v>
      </c>
      <c r="CD10" s="24">
        <v>58950</v>
      </c>
      <c r="CE10" s="24">
        <v>2.2799999999999998</v>
      </c>
      <c r="CF10" s="20">
        <f t="shared" si="109"/>
        <v>192800</v>
      </c>
      <c r="CG10" s="72">
        <f t="shared" si="110"/>
        <v>364.79999999999995</v>
      </c>
      <c r="CH10" s="176">
        <f t="shared" si="182"/>
        <v>7364.96</v>
      </c>
      <c r="CI10" s="176">
        <f t="shared" si="183"/>
        <v>4702.3919999999998</v>
      </c>
      <c r="CJ10" s="176">
        <f t="shared" si="184"/>
        <v>2426.6495999999997</v>
      </c>
      <c r="CK10" s="176">
        <f t="shared" si="185"/>
        <v>13323.5872</v>
      </c>
      <c r="CL10" s="72">
        <f t="shared" si="144"/>
        <v>63944</v>
      </c>
      <c r="CM10" s="24">
        <v>63828</v>
      </c>
      <c r="CN10" s="24">
        <v>2.1339999999999999</v>
      </c>
      <c r="CO10" s="20">
        <f t="shared" si="113"/>
        <v>188640</v>
      </c>
      <c r="CP10" s="72">
        <f t="shared" si="114"/>
        <v>341.44</v>
      </c>
      <c r="CQ10" s="176">
        <f t="shared" si="186"/>
        <v>7206.0479999999998</v>
      </c>
      <c r="CR10" s="176">
        <f t="shared" si="187"/>
        <v>4600.9295999999995</v>
      </c>
      <c r="CS10" s="176">
        <f t="shared" si="188"/>
        <v>2271.2588799999999</v>
      </c>
      <c r="CT10" s="176">
        <f t="shared" si="189"/>
        <v>13037.175359999999</v>
      </c>
      <c r="CU10" s="72">
        <f t="shared" si="145"/>
        <v>50149</v>
      </c>
      <c r="CV10" s="24">
        <v>50036</v>
      </c>
      <c r="CW10" s="24">
        <v>2.8330000000000002</v>
      </c>
      <c r="CX10" s="20">
        <f t="shared" si="117"/>
        <v>351000</v>
      </c>
      <c r="CY10" s="72">
        <f t="shared" si="31"/>
        <v>849.90000000000009</v>
      </c>
      <c r="CZ10" s="176">
        <f t="shared" si="190"/>
        <v>13408.199999999999</v>
      </c>
      <c r="DA10" s="176">
        <f t="shared" si="191"/>
        <v>8560.89</v>
      </c>
      <c r="DB10" s="176">
        <f t="shared" si="192"/>
        <v>5653.5348000000004</v>
      </c>
      <c r="DC10" s="176">
        <f t="shared" si="193"/>
        <v>24215.499</v>
      </c>
      <c r="DD10" s="72">
        <f t="shared" si="146"/>
        <v>11992</v>
      </c>
      <c r="DE10" s="24">
        <v>11972</v>
      </c>
      <c r="DF10" s="24">
        <v>0.41499999999999998</v>
      </c>
      <c r="DG10" s="20">
        <f t="shared" si="119"/>
        <v>8360</v>
      </c>
      <c r="DH10" s="72">
        <f t="shared" si="120"/>
        <v>16.599999999999998</v>
      </c>
      <c r="DI10" s="176">
        <f t="shared" si="194"/>
        <v>319.35199999999998</v>
      </c>
      <c r="DJ10" s="176">
        <f t="shared" si="195"/>
        <v>203.90039999999999</v>
      </c>
      <c r="DK10" s="176">
        <f t="shared" si="196"/>
        <v>110.42319999999999</v>
      </c>
      <c r="DL10" s="176">
        <f t="shared" si="197"/>
        <v>603.07763999999997</v>
      </c>
      <c r="DM10" s="72">
        <f t="shared" si="147"/>
        <v>47999</v>
      </c>
      <c r="DN10" s="24">
        <v>47906</v>
      </c>
      <c r="DO10" s="24">
        <v>2.2570000000000001</v>
      </c>
      <c r="DP10" s="20">
        <f t="shared" si="123"/>
        <v>330300</v>
      </c>
      <c r="DQ10" s="177">
        <f t="shared" si="124"/>
        <v>677.1</v>
      </c>
      <c r="DR10" s="176">
        <f t="shared" si="198"/>
        <v>12617.46</v>
      </c>
      <c r="DS10" s="176">
        <f t="shared" si="199"/>
        <v>8056.0169999999998</v>
      </c>
      <c r="DT10" s="176">
        <f t="shared" si="200"/>
        <v>4504.0691999999999</v>
      </c>
      <c r="DU10" s="176">
        <f t="shared" si="201"/>
        <v>22790.324700000001</v>
      </c>
      <c r="DV10" s="72">
        <f t="shared" si="148"/>
        <v>7234</v>
      </c>
      <c r="DW10" s="24">
        <v>7220</v>
      </c>
      <c r="DX10" s="24">
        <v>0.25</v>
      </c>
      <c r="DY10" s="20">
        <f t="shared" si="125"/>
        <v>56000</v>
      </c>
      <c r="DZ10" s="177">
        <f t="shared" si="126"/>
        <v>100</v>
      </c>
      <c r="EA10" s="176">
        <f t="shared" si="202"/>
        <v>2139.1999999999998</v>
      </c>
      <c r="EB10" s="176">
        <f t="shared" si="203"/>
        <v>1365.84</v>
      </c>
      <c r="EC10" s="176">
        <f t="shared" si="204"/>
        <v>665.2</v>
      </c>
      <c r="ED10" s="176">
        <f t="shared" si="205"/>
        <v>3905.0440000000003</v>
      </c>
      <c r="EE10" s="72">
        <f t="shared" si="149"/>
        <v>50149</v>
      </c>
      <c r="EF10" s="24">
        <v>7237</v>
      </c>
      <c r="EG10" s="24">
        <v>0.28599999999999998</v>
      </c>
      <c r="EH10" s="20">
        <f t="shared" si="127"/>
        <v>56800</v>
      </c>
      <c r="EI10" s="72">
        <f t="shared" si="128"/>
        <v>114.39999999999999</v>
      </c>
      <c r="EJ10" s="176">
        <f t="shared" si="206"/>
        <v>2169.7599999999998</v>
      </c>
      <c r="EK10" s="176">
        <f t="shared" si="207"/>
        <v>1385.3519999999999</v>
      </c>
      <c r="EL10" s="176">
        <f t="shared" si="208"/>
        <v>760.98879999999997</v>
      </c>
      <c r="EM10" s="176">
        <f t="shared" si="172"/>
        <v>3960.1232</v>
      </c>
      <c r="EN10" s="72">
        <f t="shared" si="150"/>
        <v>7786</v>
      </c>
      <c r="EO10" s="24">
        <v>7771</v>
      </c>
      <c r="EP10" s="24">
        <v>0.27700000000000002</v>
      </c>
      <c r="EQ10" s="20">
        <f t="shared" si="130"/>
        <v>58000</v>
      </c>
      <c r="ER10" s="72">
        <f t="shared" si="131"/>
        <v>110.80000000000001</v>
      </c>
      <c r="ES10" s="176">
        <f t="shared" si="209"/>
        <v>2215.6</v>
      </c>
      <c r="ET10" s="176">
        <f t="shared" si="210"/>
        <v>1414.62</v>
      </c>
      <c r="EU10" s="176">
        <f t="shared" si="173"/>
        <v>737.04160000000013</v>
      </c>
      <c r="EV10" s="176">
        <f t="shared" si="174"/>
        <v>4042.7420000000002</v>
      </c>
      <c r="EW10" s="72">
        <f t="shared" si="151"/>
        <v>12661</v>
      </c>
      <c r="EX10" s="24">
        <v>12644</v>
      </c>
      <c r="EY10" s="24">
        <v>0.86699999999999999</v>
      </c>
      <c r="EZ10" s="20">
        <f t="shared" si="132"/>
        <v>34880</v>
      </c>
      <c r="FA10" s="72">
        <f t="shared" si="133"/>
        <v>138.72</v>
      </c>
      <c r="FB10" s="176">
        <f t="shared" si="211"/>
        <v>1332.4159999999999</v>
      </c>
      <c r="FC10" s="176">
        <f t="shared" si="212"/>
        <v>850.72319999999991</v>
      </c>
      <c r="FD10" s="176">
        <f t="shared" si="175"/>
        <v>922.76544000000001</v>
      </c>
      <c r="FE10" s="176">
        <f t="shared" si="176"/>
        <v>2450.9531199999997</v>
      </c>
      <c r="FF10" s="72">
        <f t="shared" si="152"/>
        <v>8838</v>
      </c>
      <c r="FG10" s="24">
        <v>8829</v>
      </c>
      <c r="FH10" s="24">
        <v>0.34799999999999998</v>
      </c>
      <c r="FI10" s="20">
        <f t="shared" si="135"/>
        <v>20160</v>
      </c>
      <c r="FJ10" s="72">
        <f t="shared" si="136"/>
        <v>55.679999999999993</v>
      </c>
      <c r="FK10" s="176">
        <f t="shared" si="213"/>
        <v>770.11199999999997</v>
      </c>
      <c r="FL10" s="176">
        <f t="shared" si="214"/>
        <v>491.70239999999995</v>
      </c>
      <c r="FM10" s="176">
        <f t="shared" si="177"/>
        <v>370.38335999999998</v>
      </c>
      <c r="FN10" s="176">
        <f t="shared" si="178"/>
        <v>1437.49584</v>
      </c>
      <c r="FO10" s="20">
        <f t="shared" si="153"/>
        <v>61153</v>
      </c>
      <c r="FP10" s="178">
        <v>61025</v>
      </c>
      <c r="FQ10" s="178">
        <v>2.2810000000000001</v>
      </c>
      <c r="FR10" s="20">
        <f t="shared" si="137"/>
        <v>241200</v>
      </c>
      <c r="FS10" s="72">
        <f t="shared" si="138"/>
        <v>456.20000000000005</v>
      </c>
      <c r="FT10" s="176">
        <f t="shared" si="215"/>
        <v>9213.84</v>
      </c>
      <c r="FU10" s="176">
        <f t="shared" si="216"/>
        <v>5882.8679999999995</v>
      </c>
      <c r="FV10" s="176">
        <f t="shared" si="179"/>
        <v>3034.6424000000002</v>
      </c>
      <c r="FW10" s="176">
        <f t="shared" si="180"/>
        <v>16655.878799999999</v>
      </c>
      <c r="FX10" s="55"/>
      <c r="FY10" s="54">
        <f t="shared" si="66"/>
        <v>1540228</v>
      </c>
      <c r="FZ10" s="50">
        <f t="shared" si="67"/>
        <v>106754.61727599999</v>
      </c>
      <c r="GA10" s="50">
        <f t="shared" si="68"/>
        <v>21456.957279999999</v>
      </c>
      <c r="GB10" s="50">
        <f t="shared" si="69"/>
        <v>128211.57455599999</v>
      </c>
      <c r="GC10" s="15"/>
      <c r="GE10" s="72">
        <f t="shared" si="154"/>
        <v>5570</v>
      </c>
      <c r="GF10" s="24">
        <v>5545</v>
      </c>
      <c r="GG10" s="24">
        <v>0.26900000000000002</v>
      </c>
      <c r="GH10" s="72">
        <f t="shared" si="217"/>
        <v>8700</v>
      </c>
      <c r="GI10" s="72">
        <f t="shared" si="156"/>
        <v>26.900000000000002</v>
      </c>
      <c r="GJ10" s="179">
        <f>SUM(GH10*0.0382)</f>
        <v>332.34</v>
      </c>
      <c r="GK10" s="179">
        <f>SUM(GH10*0.0239)</f>
        <v>207.93</v>
      </c>
      <c r="GL10" s="179">
        <f t="shared" si="140"/>
        <v>178.93880000000001</v>
      </c>
      <c r="GM10" s="176">
        <f t="shared" si="75"/>
        <v>616.29700000000003</v>
      </c>
      <c r="GN10" s="72">
        <f t="shared" si="157"/>
        <v>43292</v>
      </c>
      <c r="GO10" s="24">
        <v>43186</v>
      </c>
      <c r="GP10" s="24">
        <v>1.915</v>
      </c>
      <c r="GQ10" s="72">
        <f t="shared" si="218"/>
        <v>75500</v>
      </c>
      <c r="GR10" s="72">
        <f t="shared" si="159"/>
        <v>191.5</v>
      </c>
      <c r="GS10" s="179">
        <f>SUM(GQ10*0.0382)</f>
        <v>2884.1</v>
      </c>
      <c r="GT10" s="179">
        <f>SUM(GQ10*0.0239)</f>
        <v>1804.45</v>
      </c>
      <c r="GU10" s="179">
        <f t="shared" ref="GU10" si="222">SUM(GR10*6.652)</f>
        <v>1273.8579999999999</v>
      </c>
      <c r="GV10" s="176">
        <f t="shared" ref="GV10" si="223">SUM(GT10+GS10+20)*1.1</f>
        <v>5179.4050000000007</v>
      </c>
      <c r="GW10" s="72">
        <f t="shared" si="160"/>
        <v>16549</v>
      </c>
      <c r="GX10" s="24">
        <v>16254</v>
      </c>
      <c r="GY10" s="72">
        <f t="shared" si="161"/>
        <v>3606</v>
      </c>
      <c r="GZ10" s="176">
        <f t="shared" si="162"/>
        <v>429.94337999999999</v>
      </c>
      <c r="HA10" s="176">
        <f>SUM(GY10*0.2439)</f>
        <v>879.50340000000006</v>
      </c>
      <c r="HB10" s="176">
        <f t="shared" si="163"/>
        <v>1443.526458</v>
      </c>
      <c r="HC10" s="72">
        <f t="shared" si="164"/>
        <v>41859</v>
      </c>
      <c r="HD10" s="24">
        <v>41834</v>
      </c>
      <c r="HE10" s="24">
        <v>3.915</v>
      </c>
      <c r="HF10" s="72">
        <f t="shared" si="219"/>
        <v>12880</v>
      </c>
      <c r="HG10" s="72">
        <f t="shared" si="166"/>
        <v>156.6</v>
      </c>
      <c r="HH10" s="179">
        <f>SUM(HF10*0.0382)</f>
        <v>492.01599999999996</v>
      </c>
      <c r="HI10" s="179">
        <f>SUM(HF10*0.0239)</f>
        <v>307.83199999999999</v>
      </c>
      <c r="HJ10" s="179">
        <f t="shared" ref="HJ10" si="224">SUM(HG10*6.652)</f>
        <v>1041.7031999999999</v>
      </c>
      <c r="HK10" s="176">
        <f t="shared" ref="HK10" si="225">SUM(HI10+HH10+20)*1.1</f>
        <v>901.83280000000002</v>
      </c>
      <c r="HL10">
        <f t="shared" si="220"/>
        <v>100686</v>
      </c>
      <c r="HM10" s="50">
        <f t="shared" si="221"/>
        <v>8141.0612580000015</v>
      </c>
      <c r="HN10" s="50">
        <f t="shared" si="94"/>
        <v>2494.5</v>
      </c>
      <c r="HO10" s="50">
        <f t="shared" si="95"/>
        <v>10635.561258000002</v>
      </c>
      <c r="HP10" s="19"/>
      <c r="HQ10" s="54">
        <f t="shared" si="96"/>
        <v>1640914</v>
      </c>
      <c r="HR10" s="50">
        <f t="shared" si="96"/>
        <v>114895.67853399999</v>
      </c>
      <c r="HS10" s="50">
        <f t="shared" si="96"/>
        <v>23951.457279999999</v>
      </c>
      <c r="HT10" s="50">
        <f t="shared" si="97"/>
        <v>138847.13581399998</v>
      </c>
    </row>
    <row r="11" spans="2:228" x14ac:dyDescent="0.25">
      <c r="B11" s="69">
        <v>43312</v>
      </c>
      <c r="C11" s="174">
        <v>65064</v>
      </c>
      <c r="D11" s="21">
        <v>1.8979999999999999</v>
      </c>
      <c r="E11" s="38">
        <f t="shared" si="16"/>
        <v>179200</v>
      </c>
      <c r="F11" s="38"/>
      <c r="G11" s="174">
        <v>60207</v>
      </c>
      <c r="H11" s="21">
        <v>2.1120000000000001</v>
      </c>
      <c r="I11" s="38">
        <f t="shared" si="17"/>
        <v>182560</v>
      </c>
      <c r="J11" s="38"/>
      <c r="K11" s="174">
        <v>7385</v>
      </c>
      <c r="L11" s="21">
        <v>2.56</v>
      </c>
      <c r="M11" s="38">
        <f t="shared" si="98"/>
        <v>53200</v>
      </c>
      <c r="N11" s="38"/>
      <c r="O11" s="174">
        <v>7369</v>
      </c>
      <c r="P11" s="21">
        <v>2.5</v>
      </c>
      <c r="Q11" s="38">
        <f t="shared" si="99"/>
        <v>54000</v>
      </c>
      <c r="R11" s="38"/>
      <c r="S11" s="174">
        <v>7927</v>
      </c>
      <c r="T11" s="174">
        <v>2.5499999999999998</v>
      </c>
      <c r="U11" s="38">
        <f t="shared" si="100"/>
        <v>56400</v>
      </c>
      <c r="V11" s="38"/>
      <c r="W11" s="174">
        <v>51265</v>
      </c>
      <c r="X11" s="21">
        <v>2.512</v>
      </c>
      <c r="Y11" s="38">
        <f t="shared" si="101"/>
        <v>334800</v>
      </c>
      <c r="Z11" s="38"/>
      <c r="AA11" s="174">
        <v>49050</v>
      </c>
      <c r="AB11" s="21">
        <v>2.073</v>
      </c>
      <c r="AC11" s="38">
        <f t="shared" si="102"/>
        <v>315300</v>
      </c>
      <c r="AD11" s="38"/>
      <c r="AE11" s="174">
        <v>12841</v>
      </c>
      <c r="AF11" s="21">
        <v>3.69</v>
      </c>
      <c r="AG11" s="38">
        <f t="shared" si="103"/>
        <v>28800</v>
      </c>
      <c r="AH11" s="38"/>
      <c r="AI11" s="174">
        <v>8943</v>
      </c>
      <c r="AJ11" s="21">
        <v>2.91</v>
      </c>
      <c r="AK11" s="38">
        <f t="shared" si="104"/>
        <v>16800</v>
      </c>
      <c r="AL11" s="38"/>
      <c r="AM11" s="174">
        <v>62337</v>
      </c>
      <c r="AN11" s="21">
        <v>2.3090000000000002</v>
      </c>
      <c r="AO11" s="38">
        <f t="shared" si="105"/>
        <v>236800</v>
      </c>
      <c r="AP11" s="38"/>
      <c r="AQ11" s="174">
        <v>12199</v>
      </c>
      <c r="AR11" s="21">
        <v>0.40899999999999997</v>
      </c>
      <c r="AS11" s="38">
        <f t="shared" si="106"/>
        <v>8280</v>
      </c>
      <c r="AT11" s="38"/>
      <c r="AU11" s="228">
        <v>109976</v>
      </c>
      <c r="AV11" s="229"/>
      <c r="AW11" s="38">
        <f t="shared" si="107"/>
        <v>2245</v>
      </c>
      <c r="AX11" s="38"/>
      <c r="AZ11" s="183">
        <f t="shared" si="18"/>
        <v>1468385</v>
      </c>
      <c r="BA11">
        <f t="shared" si="19"/>
        <v>245080</v>
      </c>
      <c r="BB11">
        <f t="shared" si="20"/>
        <v>0.16690445625636327</v>
      </c>
      <c r="BD11" s="15"/>
      <c r="BE11" s="69">
        <v>43312</v>
      </c>
      <c r="BF11" s="26">
        <v>41013</v>
      </c>
      <c r="BG11" s="38">
        <v>227900</v>
      </c>
      <c r="BH11" s="38"/>
      <c r="BI11" s="26">
        <v>5295</v>
      </c>
      <c r="BJ11" s="38">
        <v>27500</v>
      </c>
      <c r="BK11" s="38"/>
      <c r="BL11" s="21">
        <v>105733</v>
      </c>
      <c r="BM11" s="38">
        <f t="shared" si="23"/>
        <v>89184</v>
      </c>
      <c r="BN11" s="38"/>
      <c r="BO11" s="21">
        <v>40770</v>
      </c>
      <c r="BP11" s="38">
        <v>43650</v>
      </c>
      <c r="BQ11" s="38"/>
      <c r="BR11" s="70"/>
      <c r="BS11" s="26">
        <f t="shared" si="25"/>
        <v>388234</v>
      </c>
      <c r="BT11"/>
      <c r="BU11"/>
      <c r="BV11" s="175"/>
      <c r="BW11" s="15"/>
      <c r="BY11" s="20">
        <f t="shared" si="142"/>
        <v>109976</v>
      </c>
      <c r="BZ11" s="21">
        <v>9369</v>
      </c>
      <c r="CA11" s="20">
        <f t="shared" si="108"/>
        <v>2239</v>
      </c>
      <c r="CB11" s="71">
        <f t="shared" si="181"/>
        <v>356.57169800000003</v>
      </c>
      <c r="CC11" s="72">
        <f t="shared" si="143"/>
        <v>60207</v>
      </c>
      <c r="CD11" s="24">
        <v>60011</v>
      </c>
      <c r="CE11" s="24">
        <v>2.3090000000000002</v>
      </c>
      <c r="CF11" s="20">
        <f t="shared" si="109"/>
        <v>169760</v>
      </c>
      <c r="CG11" s="72">
        <f t="shared" si="110"/>
        <v>369.44000000000005</v>
      </c>
      <c r="CH11" s="176">
        <f t="shared" si="182"/>
        <v>6484.8319999999994</v>
      </c>
      <c r="CI11" s="176">
        <f t="shared" si="183"/>
        <v>4140.4463999999998</v>
      </c>
      <c r="CJ11" s="176">
        <f t="shared" si="184"/>
        <v>2457.5148800000006</v>
      </c>
      <c r="CK11" s="176">
        <f t="shared" si="185"/>
        <v>11737.30624</v>
      </c>
      <c r="CL11" s="72">
        <f t="shared" si="144"/>
        <v>65064</v>
      </c>
      <c r="CM11" s="24">
        <v>64867</v>
      </c>
      <c r="CN11" s="24">
        <v>2.0019999999999998</v>
      </c>
      <c r="CO11" s="20">
        <f t="shared" si="113"/>
        <v>166240</v>
      </c>
      <c r="CP11" s="72">
        <f t="shared" si="114"/>
        <v>320.31999999999994</v>
      </c>
      <c r="CQ11" s="176">
        <f t="shared" si="186"/>
        <v>6350.3679999999995</v>
      </c>
      <c r="CR11" s="176">
        <f t="shared" si="187"/>
        <v>4054.5935999999997</v>
      </c>
      <c r="CS11" s="176">
        <f t="shared" si="188"/>
        <v>2130.7686399999998</v>
      </c>
      <c r="CT11" s="176">
        <f t="shared" si="189"/>
        <v>11494.957759999999</v>
      </c>
      <c r="CU11" s="72">
        <f t="shared" si="145"/>
        <v>51265</v>
      </c>
      <c r="CV11" s="24">
        <v>51071</v>
      </c>
      <c r="CW11" s="24">
        <v>2.694</v>
      </c>
      <c r="CX11" s="20">
        <f t="shared" si="117"/>
        <v>310500</v>
      </c>
      <c r="CY11" s="72">
        <f t="shared" si="31"/>
        <v>808.19999999999993</v>
      </c>
      <c r="CZ11" s="176">
        <f t="shared" si="190"/>
        <v>11861.099999999999</v>
      </c>
      <c r="DA11" s="176">
        <f t="shared" si="191"/>
        <v>7573.0949999999993</v>
      </c>
      <c r="DB11" s="176">
        <f t="shared" si="192"/>
        <v>5376.1463999999996</v>
      </c>
      <c r="DC11" s="176">
        <f t="shared" si="193"/>
        <v>21427.1145</v>
      </c>
      <c r="DD11" s="72">
        <f t="shared" si="146"/>
        <v>12199</v>
      </c>
      <c r="DE11" s="24">
        <v>12163</v>
      </c>
      <c r="DF11" s="24">
        <v>0.439</v>
      </c>
      <c r="DG11" s="20">
        <f t="shared" si="119"/>
        <v>7640</v>
      </c>
      <c r="DH11" s="72">
        <f t="shared" si="120"/>
        <v>17.559999999999999</v>
      </c>
      <c r="DI11" s="176">
        <f t="shared" si="194"/>
        <v>291.84799999999996</v>
      </c>
      <c r="DJ11" s="176">
        <f t="shared" si="195"/>
        <v>186.33959999999999</v>
      </c>
      <c r="DK11" s="176">
        <f t="shared" si="196"/>
        <v>116.80911999999999</v>
      </c>
      <c r="DL11" s="176">
        <f t="shared" si="197"/>
        <v>553.50635999999997</v>
      </c>
      <c r="DM11" s="72">
        <f t="shared" si="147"/>
        <v>49050</v>
      </c>
      <c r="DN11" s="24">
        <v>48879</v>
      </c>
      <c r="DO11" s="24">
        <v>2.2120000000000002</v>
      </c>
      <c r="DP11" s="20">
        <f t="shared" si="123"/>
        <v>291900</v>
      </c>
      <c r="DQ11" s="177">
        <f t="shared" si="124"/>
        <v>663.6</v>
      </c>
      <c r="DR11" s="176">
        <f t="shared" si="198"/>
        <v>11150.58</v>
      </c>
      <c r="DS11" s="176">
        <f t="shared" si="199"/>
        <v>7119.4409999999998</v>
      </c>
      <c r="DT11" s="176">
        <f t="shared" si="200"/>
        <v>4414.2672000000002</v>
      </c>
      <c r="DU11" s="176">
        <f t="shared" si="201"/>
        <v>20146.523100000002</v>
      </c>
      <c r="DV11" s="72">
        <f t="shared" si="148"/>
        <v>7369</v>
      </c>
      <c r="DW11" s="24">
        <v>7346</v>
      </c>
      <c r="DX11" s="24">
        <v>0.27200000000000002</v>
      </c>
      <c r="DY11" s="20">
        <f t="shared" si="125"/>
        <v>50400</v>
      </c>
      <c r="DZ11" s="177">
        <f t="shared" si="126"/>
        <v>108.80000000000001</v>
      </c>
      <c r="EA11" s="176">
        <f t="shared" si="202"/>
        <v>1925.28</v>
      </c>
      <c r="EB11" s="176">
        <f t="shared" si="203"/>
        <v>1229.2559999999999</v>
      </c>
      <c r="EC11" s="176">
        <f t="shared" si="204"/>
        <v>723.73760000000004</v>
      </c>
      <c r="ED11" s="176">
        <f t="shared" si="205"/>
        <v>3519.4896000000003</v>
      </c>
      <c r="EE11" s="72">
        <f t="shared" si="149"/>
        <v>51265</v>
      </c>
      <c r="EF11" s="24">
        <v>7362</v>
      </c>
      <c r="EG11" s="24">
        <v>0.27900000000000003</v>
      </c>
      <c r="EH11" s="20">
        <f t="shared" si="127"/>
        <v>50000</v>
      </c>
      <c r="EI11" s="72">
        <f t="shared" si="128"/>
        <v>111.60000000000001</v>
      </c>
      <c r="EJ11" s="176">
        <f t="shared" si="206"/>
        <v>1910</v>
      </c>
      <c r="EK11" s="176">
        <f t="shared" si="207"/>
        <v>1219.5</v>
      </c>
      <c r="EL11" s="176">
        <f t="shared" si="208"/>
        <v>742.36320000000012</v>
      </c>
      <c r="EM11" s="176">
        <f t="shared" si="172"/>
        <v>3491.9500000000003</v>
      </c>
      <c r="EN11" s="72">
        <f t="shared" si="150"/>
        <v>7927</v>
      </c>
      <c r="EO11" s="24">
        <v>7902</v>
      </c>
      <c r="EP11" s="24">
        <v>0.29199999999999998</v>
      </c>
      <c r="EQ11" s="20">
        <f t="shared" si="130"/>
        <v>52400</v>
      </c>
      <c r="ER11" s="72">
        <f t="shared" si="131"/>
        <v>116.8</v>
      </c>
      <c r="ES11" s="176">
        <f t="shared" si="209"/>
        <v>2001.6799999999998</v>
      </c>
      <c r="ET11" s="176">
        <f t="shared" si="210"/>
        <v>1278.0359999999998</v>
      </c>
      <c r="EU11" s="176">
        <f t="shared" si="173"/>
        <v>776.95360000000005</v>
      </c>
      <c r="EV11" s="176">
        <f t="shared" si="174"/>
        <v>3657.1875999999997</v>
      </c>
      <c r="EW11" s="72">
        <f t="shared" si="151"/>
        <v>12841</v>
      </c>
      <c r="EX11" s="24">
        <v>12809</v>
      </c>
      <c r="EY11" s="24">
        <v>0.496</v>
      </c>
      <c r="EZ11" s="20">
        <f t="shared" si="132"/>
        <v>26400</v>
      </c>
      <c r="FA11" s="72">
        <f t="shared" si="133"/>
        <v>79.36</v>
      </c>
      <c r="FB11" s="176">
        <f t="shared" si="211"/>
        <v>1008.4799999999999</v>
      </c>
      <c r="FC11" s="176">
        <f t="shared" si="212"/>
        <v>643.89599999999996</v>
      </c>
      <c r="FD11" s="176">
        <f t="shared" si="175"/>
        <v>527.90272000000004</v>
      </c>
      <c r="FE11" s="176">
        <f t="shared" si="176"/>
        <v>1867.1135999999999</v>
      </c>
      <c r="FF11" s="72">
        <f t="shared" si="152"/>
        <v>8943</v>
      </c>
      <c r="FG11" s="24">
        <v>8925</v>
      </c>
      <c r="FH11" s="24">
        <v>0.378</v>
      </c>
      <c r="FI11" s="20">
        <f t="shared" si="135"/>
        <v>15360</v>
      </c>
      <c r="FJ11" s="72">
        <f t="shared" si="136"/>
        <v>60.480000000000004</v>
      </c>
      <c r="FK11" s="176">
        <f t="shared" si="213"/>
        <v>586.75199999999995</v>
      </c>
      <c r="FL11" s="176">
        <f t="shared" si="214"/>
        <v>374.63039999999995</v>
      </c>
      <c r="FM11" s="176">
        <f t="shared" si="177"/>
        <v>402.31296000000003</v>
      </c>
      <c r="FN11" s="176">
        <f t="shared" si="178"/>
        <v>1107.02064</v>
      </c>
      <c r="FO11" s="20">
        <f t="shared" si="153"/>
        <v>62337</v>
      </c>
      <c r="FP11" s="178">
        <v>62166</v>
      </c>
      <c r="FQ11" s="178">
        <v>2.383</v>
      </c>
      <c r="FR11" s="20">
        <f t="shared" si="137"/>
        <v>228200</v>
      </c>
      <c r="FS11" s="72">
        <f t="shared" si="138"/>
        <v>476.6</v>
      </c>
      <c r="FT11" s="176">
        <f t="shared" si="215"/>
        <v>8717.24</v>
      </c>
      <c r="FU11" s="176">
        <f t="shared" si="216"/>
        <v>5565.7979999999998</v>
      </c>
      <c r="FV11" s="176">
        <f t="shared" si="179"/>
        <v>3170.3432000000003</v>
      </c>
      <c r="FW11" s="176">
        <f t="shared" si="180"/>
        <v>15760.841800000002</v>
      </c>
      <c r="FX11" s="55"/>
      <c r="FY11" s="54">
        <f t="shared" si="66"/>
        <v>1371039</v>
      </c>
      <c r="FZ11" s="50">
        <f t="shared" si="67"/>
        <v>95119.582897999993</v>
      </c>
      <c r="GA11" s="50">
        <f t="shared" si="68"/>
        <v>20839.11952</v>
      </c>
      <c r="GB11" s="50">
        <f t="shared" si="69"/>
        <v>115958.702418</v>
      </c>
      <c r="GC11" s="15"/>
      <c r="GE11" s="72">
        <f t="shared" si="154"/>
        <v>5295</v>
      </c>
      <c r="GF11" s="24">
        <v>5642</v>
      </c>
      <c r="GG11" s="24">
        <v>0.26800000000000002</v>
      </c>
      <c r="GH11" s="72">
        <f t="shared" si="217"/>
        <v>9700</v>
      </c>
      <c r="GI11" s="72">
        <f t="shared" si="156"/>
        <v>26.8</v>
      </c>
      <c r="GJ11" s="179">
        <f t="shared" ref="GJ11:GJ13" si="226">SUM(GH11*0.0382)</f>
        <v>370.53999999999996</v>
      </c>
      <c r="GK11" s="179">
        <f t="shared" ref="GK11:GK13" si="227">SUM(GH11*0.0239)</f>
        <v>231.83</v>
      </c>
      <c r="GL11" s="179">
        <f t="shared" ref="GL11:GL13" si="228">SUM(GI11*6.652)</f>
        <v>178.27360000000002</v>
      </c>
      <c r="GM11" s="176">
        <f t="shared" si="75"/>
        <v>684.60700000000008</v>
      </c>
      <c r="GN11" s="72">
        <f t="shared" si="157"/>
        <v>41013</v>
      </c>
      <c r="GO11" s="24">
        <v>43926</v>
      </c>
      <c r="GP11" s="24">
        <v>2.0449999999999999</v>
      </c>
      <c r="GQ11" s="72">
        <f t="shared" si="218"/>
        <v>74000</v>
      </c>
      <c r="GR11" s="72">
        <f t="shared" si="159"/>
        <v>204.5</v>
      </c>
      <c r="GS11" s="179">
        <f t="shared" ref="GS11:GS14" si="229">SUM(GQ11*0.0382)</f>
        <v>2826.7999999999997</v>
      </c>
      <c r="GT11" s="179">
        <f t="shared" ref="GT11:GT14" si="230">SUM(GQ11*0.0239)</f>
        <v>1768.6000000000001</v>
      </c>
      <c r="GU11" s="179">
        <f t="shared" ref="GU11:GU14" si="231">SUM(GR11*6.652)</f>
        <v>1360.3340000000001</v>
      </c>
      <c r="GV11" s="176">
        <f t="shared" ref="GV11:GV14" si="232">SUM(GT11+GS11+20)*1.1</f>
        <v>5076.9399999999996</v>
      </c>
      <c r="GW11" s="72">
        <f t="shared" si="160"/>
        <v>105733</v>
      </c>
      <c r="GX11" s="24">
        <v>18937</v>
      </c>
      <c r="GY11" s="72">
        <f t="shared" si="161"/>
        <v>2683</v>
      </c>
      <c r="GZ11" s="176">
        <f t="shared" si="162"/>
        <v>319.89409000000001</v>
      </c>
      <c r="HA11" s="176">
        <f t="shared" ref="HA11:HA14" si="233">SUM(GY11*0.0325)</f>
        <v>87.197500000000005</v>
      </c>
      <c r="HB11" s="176">
        <f t="shared" si="163"/>
        <v>450.93574900000004</v>
      </c>
      <c r="HC11" s="72">
        <f t="shared" si="164"/>
        <v>40770</v>
      </c>
      <c r="HD11" s="24">
        <v>41919</v>
      </c>
      <c r="HE11" s="24">
        <v>3.74</v>
      </c>
      <c r="HF11" s="72">
        <f t="shared" ref="HF11:HF12" si="234">SUM(HD11-HD10)*40</f>
        <v>3400</v>
      </c>
      <c r="HG11" s="72">
        <f t="shared" si="166"/>
        <v>149.60000000000002</v>
      </c>
      <c r="HH11" s="179">
        <f t="shared" ref="HH11:HH14" si="235">SUM(HF11*0.0382)</f>
        <v>129.88</v>
      </c>
      <c r="HI11" s="179">
        <f t="shared" ref="HI11:HI14" si="236">SUM(HF11*0.0239)</f>
        <v>81.260000000000005</v>
      </c>
      <c r="HJ11" s="179">
        <f t="shared" ref="HJ11:HJ14" si="237">SUM(HG11*6.652)</f>
        <v>995.13920000000019</v>
      </c>
      <c r="HK11" s="176">
        <f t="shared" ref="HK11:HK14" si="238">SUM(HI11+HH11+20)*1.1</f>
        <v>254.25400000000002</v>
      </c>
      <c r="HL11">
        <f t="shared" ref="HL11:HL14" si="239">SUM(GH11+GQ11+GY11+HF11)</f>
        <v>89783</v>
      </c>
      <c r="HM11" s="50">
        <f t="shared" si="221"/>
        <v>6466.7367489999997</v>
      </c>
      <c r="HN11" s="50">
        <f t="shared" si="94"/>
        <v>2533.7468000000003</v>
      </c>
      <c r="HO11" s="50">
        <f t="shared" si="95"/>
        <v>9000.4835490000005</v>
      </c>
      <c r="HP11" s="19"/>
      <c r="HQ11" s="54">
        <f t="shared" si="96"/>
        <v>1460822</v>
      </c>
      <c r="HR11" s="50">
        <f t="shared" si="96"/>
        <v>101586.319647</v>
      </c>
      <c r="HS11" s="50">
        <f t="shared" si="96"/>
        <v>23372.866320000001</v>
      </c>
      <c r="HT11" s="50">
        <f t="shared" si="97"/>
        <v>124959.185967</v>
      </c>
    </row>
    <row r="12" spans="2:228" x14ac:dyDescent="0.25">
      <c r="B12" s="69">
        <v>43342</v>
      </c>
      <c r="C12" s="174">
        <v>67504</v>
      </c>
      <c r="D12" s="21">
        <v>2.0510000000000002</v>
      </c>
      <c r="E12" s="38">
        <f t="shared" si="16"/>
        <v>390400</v>
      </c>
      <c r="F12" s="38"/>
      <c r="G12" s="174">
        <v>62661</v>
      </c>
      <c r="H12" s="21">
        <v>2.1059999999999999</v>
      </c>
      <c r="I12" s="38">
        <f t="shared" si="17"/>
        <v>392640</v>
      </c>
      <c r="J12" s="38"/>
      <c r="K12" s="174">
        <v>7666</v>
      </c>
      <c r="L12" s="21">
        <v>2.52</v>
      </c>
      <c r="M12" s="38">
        <f t="shared" si="98"/>
        <v>112400</v>
      </c>
      <c r="N12" s="38"/>
      <c r="O12" s="174">
        <v>7637</v>
      </c>
      <c r="P12" s="21">
        <v>2.21</v>
      </c>
      <c r="Q12" s="38">
        <f t="shared" si="99"/>
        <v>107200</v>
      </c>
      <c r="R12" s="38"/>
      <c r="S12" s="174">
        <v>8213</v>
      </c>
      <c r="T12" s="174">
        <v>2.64</v>
      </c>
      <c r="U12" s="38">
        <f t="shared" si="100"/>
        <v>114400</v>
      </c>
      <c r="V12" s="38"/>
      <c r="W12" s="174">
        <v>53742</v>
      </c>
      <c r="X12" s="21">
        <v>2.54</v>
      </c>
      <c r="Y12" s="38">
        <f t="shared" si="101"/>
        <v>743100</v>
      </c>
      <c r="Z12" s="38"/>
      <c r="AA12" s="174">
        <v>51428</v>
      </c>
      <c r="AB12" s="21">
        <v>2.4630000000000001</v>
      </c>
      <c r="AC12" s="38">
        <f t="shared" si="102"/>
        <v>713400</v>
      </c>
      <c r="AD12" s="38"/>
      <c r="AE12" s="174">
        <v>13232</v>
      </c>
      <c r="AF12" s="21">
        <v>5.4</v>
      </c>
      <c r="AG12" s="38">
        <f t="shared" si="103"/>
        <v>62560</v>
      </c>
      <c r="AH12" s="38"/>
      <c r="AI12" s="174">
        <v>9176</v>
      </c>
      <c r="AJ12" s="21">
        <v>3.61</v>
      </c>
      <c r="AK12" s="38">
        <f t="shared" si="104"/>
        <v>37280</v>
      </c>
      <c r="AL12" s="38"/>
      <c r="AM12" s="174">
        <v>65018</v>
      </c>
      <c r="AN12" s="21">
        <v>2.3359999999999999</v>
      </c>
      <c r="AO12" s="38">
        <f t="shared" si="105"/>
        <v>536200</v>
      </c>
      <c r="AP12" s="38"/>
      <c r="AQ12" s="174">
        <v>12658</v>
      </c>
      <c r="AR12" s="21">
        <v>0.41199999999999998</v>
      </c>
      <c r="AS12" s="38">
        <f t="shared" si="106"/>
        <v>18360</v>
      </c>
      <c r="AT12" s="38"/>
      <c r="AU12" s="228">
        <v>115107</v>
      </c>
      <c r="AV12" s="229"/>
      <c r="AW12" s="38">
        <f t="shared" si="107"/>
        <v>5131</v>
      </c>
      <c r="AX12" s="38"/>
      <c r="AZ12" s="183">
        <f t="shared" si="18"/>
        <v>3233071</v>
      </c>
      <c r="BA12">
        <f t="shared" si="19"/>
        <v>554560</v>
      </c>
      <c r="BB12">
        <f t="shared" si="20"/>
        <v>0.17152731876287283</v>
      </c>
      <c r="BD12" s="15"/>
      <c r="BE12" s="69">
        <v>43342</v>
      </c>
      <c r="BF12" s="26">
        <v>41013</v>
      </c>
      <c r="BG12" s="38">
        <f t="shared" si="21"/>
        <v>0</v>
      </c>
      <c r="BH12" s="38"/>
      <c r="BI12" s="26">
        <v>5295</v>
      </c>
      <c r="BJ12" s="38">
        <f t="shared" si="22"/>
        <v>0</v>
      </c>
      <c r="BK12" s="38"/>
      <c r="BL12" s="21">
        <v>105733</v>
      </c>
      <c r="BM12" s="38">
        <f t="shared" si="23"/>
        <v>0</v>
      </c>
      <c r="BN12" s="38"/>
      <c r="BO12" s="21">
        <v>40770</v>
      </c>
      <c r="BP12" s="38">
        <f t="shared" si="24"/>
        <v>0</v>
      </c>
      <c r="BQ12" s="38"/>
      <c r="BR12" s="70"/>
      <c r="BS12" s="26">
        <f t="shared" si="25"/>
        <v>0</v>
      </c>
      <c r="BT12"/>
      <c r="BU12"/>
      <c r="BV12" s="175"/>
      <c r="BW12" s="15"/>
      <c r="BY12" s="20">
        <f t="shared" si="142"/>
        <v>115107</v>
      </c>
      <c r="BZ12" s="21">
        <v>12073</v>
      </c>
      <c r="CA12" s="20">
        <f t="shared" si="108"/>
        <v>2704</v>
      </c>
      <c r="CB12" s="71">
        <f t="shared" si="181"/>
        <v>430.03332800000004</v>
      </c>
      <c r="CC12" s="72">
        <f t="shared" si="143"/>
        <v>62661</v>
      </c>
      <c r="CD12" s="24">
        <v>61359</v>
      </c>
      <c r="CE12" s="24">
        <v>2.1920000000000002</v>
      </c>
      <c r="CF12" s="20">
        <f t="shared" si="109"/>
        <v>215680</v>
      </c>
      <c r="CG12" s="72">
        <f t="shared" si="110"/>
        <v>350.72</v>
      </c>
      <c r="CH12" s="176">
        <f t="shared" si="182"/>
        <v>8238.9759999999987</v>
      </c>
      <c r="CI12" s="176">
        <f t="shared" si="183"/>
        <v>5260.4351999999999</v>
      </c>
      <c r="CJ12" s="176">
        <f t="shared" si="184"/>
        <v>2332.9894400000003</v>
      </c>
      <c r="CK12" s="176">
        <f t="shared" si="185"/>
        <v>14898.85232</v>
      </c>
      <c r="CL12" s="72">
        <f t="shared" si="144"/>
        <v>67504</v>
      </c>
      <c r="CM12" s="24">
        <v>66201</v>
      </c>
      <c r="CN12" s="24">
        <v>2.0259999999999998</v>
      </c>
      <c r="CO12" s="20">
        <f t="shared" si="113"/>
        <v>213440</v>
      </c>
      <c r="CP12" s="72">
        <f t="shared" si="114"/>
        <v>324.15999999999997</v>
      </c>
      <c r="CQ12" s="176">
        <f t="shared" si="186"/>
        <v>8153.4079999999994</v>
      </c>
      <c r="CR12" s="176">
        <f t="shared" si="187"/>
        <v>5205.8015999999998</v>
      </c>
      <c r="CS12" s="176">
        <f t="shared" si="188"/>
        <v>2156.31232</v>
      </c>
      <c r="CT12" s="176">
        <f t="shared" si="189"/>
        <v>14744.63056</v>
      </c>
      <c r="CU12" s="72">
        <f t="shared" si="145"/>
        <v>53742</v>
      </c>
      <c r="CV12" s="24">
        <v>52392</v>
      </c>
      <c r="CW12" s="24">
        <v>2.6259999999999999</v>
      </c>
      <c r="CX12" s="20">
        <f t="shared" si="117"/>
        <v>396300</v>
      </c>
      <c r="CY12" s="72">
        <f t="shared" si="31"/>
        <v>787.8</v>
      </c>
      <c r="CZ12" s="176">
        <f t="shared" si="190"/>
        <v>15138.66</v>
      </c>
      <c r="DA12" s="176">
        <f t="shared" si="191"/>
        <v>9665.7569999999996</v>
      </c>
      <c r="DB12" s="176">
        <f t="shared" si="192"/>
        <v>5240.4456</v>
      </c>
      <c r="DC12" s="176">
        <f t="shared" si="193"/>
        <v>27334.358700000004</v>
      </c>
      <c r="DD12" s="72">
        <f t="shared" si="146"/>
        <v>12658</v>
      </c>
      <c r="DE12" s="24">
        <v>12411</v>
      </c>
      <c r="DF12" s="24">
        <v>0.432</v>
      </c>
      <c r="DG12" s="20">
        <f t="shared" si="119"/>
        <v>9920</v>
      </c>
      <c r="DH12" s="72">
        <f t="shared" si="120"/>
        <v>17.28</v>
      </c>
      <c r="DI12" s="176">
        <f t="shared" si="194"/>
        <v>378.94399999999996</v>
      </c>
      <c r="DJ12" s="176">
        <f t="shared" si="195"/>
        <v>241.94879999999998</v>
      </c>
      <c r="DK12" s="176">
        <f t="shared" si="196"/>
        <v>114.94656000000001</v>
      </c>
      <c r="DL12" s="176">
        <f t="shared" si="197"/>
        <v>710.48208</v>
      </c>
      <c r="DM12" s="72">
        <f t="shared" si="147"/>
        <v>51428</v>
      </c>
      <c r="DN12" s="24">
        <v>50131</v>
      </c>
      <c r="DO12" s="24">
        <v>2.198</v>
      </c>
      <c r="DP12" s="20">
        <f t="shared" si="123"/>
        <v>375600</v>
      </c>
      <c r="DQ12" s="177">
        <f t="shared" si="124"/>
        <v>659.4</v>
      </c>
      <c r="DR12" s="176">
        <f t="shared" si="198"/>
        <v>14347.92</v>
      </c>
      <c r="DS12" s="176">
        <f t="shared" si="199"/>
        <v>9160.884</v>
      </c>
      <c r="DT12" s="176">
        <f t="shared" si="200"/>
        <v>4386.3288000000002</v>
      </c>
      <c r="DU12" s="176">
        <f t="shared" si="201"/>
        <v>25909.184400000002</v>
      </c>
      <c r="DV12" s="72">
        <f t="shared" si="148"/>
        <v>7637</v>
      </c>
      <c r="DW12" s="24">
        <v>7496</v>
      </c>
      <c r="DX12" s="24">
        <v>0.25</v>
      </c>
      <c r="DY12" s="20">
        <f t="shared" si="125"/>
        <v>60000</v>
      </c>
      <c r="DZ12" s="177">
        <f t="shared" si="126"/>
        <v>100</v>
      </c>
      <c r="EA12" s="176">
        <f t="shared" si="202"/>
        <v>2292</v>
      </c>
      <c r="EB12" s="176">
        <f t="shared" si="203"/>
        <v>1463.3999999999999</v>
      </c>
      <c r="EC12" s="176">
        <f t="shared" si="204"/>
        <v>665.2</v>
      </c>
      <c r="ED12" s="176">
        <f t="shared" si="205"/>
        <v>4180.4399999999996</v>
      </c>
      <c r="EE12" s="72">
        <f t="shared" si="149"/>
        <v>53742</v>
      </c>
      <c r="EF12" s="24">
        <v>7523</v>
      </c>
      <c r="EG12" s="24">
        <v>0.25800000000000001</v>
      </c>
      <c r="EH12" s="20">
        <f t="shared" si="127"/>
        <v>64400</v>
      </c>
      <c r="EI12" s="72">
        <f t="shared" si="128"/>
        <v>103.2</v>
      </c>
      <c r="EJ12" s="176">
        <f t="shared" si="206"/>
        <v>2460.08</v>
      </c>
      <c r="EK12" s="176">
        <f t="shared" si="207"/>
        <v>1570.7159999999999</v>
      </c>
      <c r="EL12" s="176">
        <f t="shared" si="208"/>
        <v>686.4864</v>
      </c>
      <c r="EM12" s="176">
        <f t="shared" si="172"/>
        <v>4483.3756000000003</v>
      </c>
      <c r="EN12" s="72">
        <f t="shared" si="150"/>
        <v>8213</v>
      </c>
      <c r="EO12" s="24">
        <v>8068</v>
      </c>
      <c r="EP12" s="24">
        <v>0.26800000000000002</v>
      </c>
      <c r="EQ12" s="20">
        <f t="shared" si="130"/>
        <v>66400</v>
      </c>
      <c r="ER12" s="72">
        <f t="shared" si="131"/>
        <v>107.2</v>
      </c>
      <c r="ES12" s="176">
        <f t="shared" si="209"/>
        <v>2536.48</v>
      </c>
      <c r="ET12" s="176">
        <f t="shared" si="210"/>
        <v>1619.4959999999999</v>
      </c>
      <c r="EU12" s="176">
        <f t="shared" si="173"/>
        <v>713.09440000000006</v>
      </c>
      <c r="EV12" s="176">
        <f t="shared" si="174"/>
        <v>4621.0735999999997</v>
      </c>
      <c r="EW12" s="72">
        <f t="shared" si="151"/>
        <v>13232</v>
      </c>
      <c r="EX12" s="24">
        <v>13018</v>
      </c>
      <c r="EY12" s="24">
        <v>0.39700000000000002</v>
      </c>
      <c r="EZ12" s="20">
        <f t="shared" si="132"/>
        <v>33440</v>
      </c>
      <c r="FA12" s="72">
        <f t="shared" si="133"/>
        <v>63.52</v>
      </c>
      <c r="FB12" s="176">
        <f t="shared" si="211"/>
        <v>1277.4079999999999</v>
      </c>
      <c r="FC12" s="176">
        <f t="shared" si="212"/>
        <v>815.60159999999996</v>
      </c>
      <c r="FD12" s="176">
        <f t="shared" si="175"/>
        <v>422.53504000000004</v>
      </c>
      <c r="FE12" s="176">
        <f t="shared" si="176"/>
        <v>2351.8105599999999</v>
      </c>
      <c r="FF12" s="72">
        <f t="shared" si="152"/>
        <v>9176</v>
      </c>
      <c r="FG12" s="24">
        <v>9044</v>
      </c>
      <c r="FH12" s="24">
        <v>0.33200000000000002</v>
      </c>
      <c r="FI12" s="20">
        <f t="shared" si="135"/>
        <v>19040</v>
      </c>
      <c r="FJ12" s="72">
        <f t="shared" si="136"/>
        <v>53.120000000000005</v>
      </c>
      <c r="FK12" s="176">
        <f t="shared" si="213"/>
        <v>727.32799999999997</v>
      </c>
      <c r="FL12" s="176">
        <f t="shared" si="214"/>
        <v>464.38559999999995</v>
      </c>
      <c r="FM12" s="176">
        <f t="shared" si="177"/>
        <v>353.35424000000006</v>
      </c>
      <c r="FN12" s="176">
        <f t="shared" si="178"/>
        <v>1360.3849600000001</v>
      </c>
      <c r="FO12" s="20">
        <f t="shared" si="153"/>
        <v>65018</v>
      </c>
      <c r="FP12" s="178">
        <v>63605</v>
      </c>
      <c r="FQ12" s="178">
        <v>2.3959999999999999</v>
      </c>
      <c r="FR12" s="20">
        <f t="shared" si="137"/>
        <v>287800</v>
      </c>
      <c r="FS12" s="72">
        <f t="shared" si="138"/>
        <v>479.2</v>
      </c>
      <c r="FT12" s="176">
        <f t="shared" si="215"/>
        <v>10993.96</v>
      </c>
      <c r="FU12" s="176">
        <f t="shared" si="216"/>
        <v>7019.442</v>
      </c>
      <c r="FV12" s="176">
        <f t="shared" si="179"/>
        <v>3187.6383999999998</v>
      </c>
      <c r="FW12" s="176">
        <f t="shared" si="180"/>
        <v>19864.242200000001</v>
      </c>
      <c r="FX12" s="55"/>
      <c r="FY12" s="54">
        <f t="shared" si="66"/>
        <v>1744724</v>
      </c>
      <c r="FZ12" s="50">
        <f t="shared" si="67"/>
        <v>120888.86830800002</v>
      </c>
      <c r="GA12" s="50">
        <f t="shared" si="68"/>
        <v>20259.331200000001</v>
      </c>
      <c r="GB12" s="50">
        <f t="shared" si="69"/>
        <v>141148.19950800002</v>
      </c>
      <c r="GC12" s="15"/>
      <c r="GE12" s="72">
        <f t="shared" si="154"/>
        <v>5295</v>
      </c>
      <c r="GF12" s="24">
        <v>5761</v>
      </c>
      <c r="GG12" s="24">
        <v>0.28199999999999997</v>
      </c>
      <c r="GH12" s="72">
        <f t="shared" si="217"/>
        <v>11900</v>
      </c>
      <c r="GI12" s="72">
        <f t="shared" si="156"/>
        <v>28.199999999999996</v>
      </c>
      <c r="GJ12" s="179">
        <f t="shared" si="226"/>
        <v>454.58</v>
      </c>
      <c r="GK12" s="179">
        <f t="shared" si="227"/>
        <v>284.41000000000003</v>
      </c>
      <c r="GL12" s="179">
        <f t="shared" si="228"/>
        <v>187.58639999999997</v>
      </c>
      <c r="GM12" s="176">
        <f t="shared" si="75"/>
        <v>834.88900000000012</v>
      </c>
      <c r="GN12" s="72">
        <f t="shared" si="157"/>
        <v>41013</v>
      </c>
      <c r="GO12" s="24">
        <v>44846</v>
      </c>
      <c r="GP12" s="24">
        <v>1.99</v>
      </c>
      <c r="GQ12" s="72">
        <f t="shared" si="218"/>
        <v>92000</v>
      </c>
      <c r="GR12" s="72">
        <f t="shared" si="159"/>
        <v>199</v>
      </c>
      <c r="GS12" s="179">
        <f t="shared" si="229"/>
        <v>3514.3999999999996</v>
      </c>
      <c r="GT12" s="179">
        <f t="shared" si="230"/>
        <v>2198.8000000000002</v>
      </c>
      <c r="GU12" s="179">
        <f t="shared" si="231"/>
        <v>1323.748</v>
      </c>
      <c r="GV12" s="176">
        <f t="shared" si="232"/>
        <v>6306.52</v>
      </c>
      <c r="GW12" s="72">
        <f t="shared" si="160"/>
        <v>105733</v>
      </c>
      <c r="GX12" s="24">
        <v>22851</v>
      </c>
      <c r="GY12" s="72">
        <f t="shared" si="161"/>
        <v>3914</v>
      </c>
      <c r="GZ12" s="176">
        <f t="shared" si="162"/>
        <v>466.66622000000001</v>
      </c>
      <c r="HA12" s="176">
        <f t="shared" si="233"/>
        <v>127.205</v>
      </c>
      <c r="HB12" s="176">
        <f t="shared" si="163"/>
        <v>656.39334200000008</v>
      </c>
      <c r="HC12" s="72">
        <f t="shared" si="164"/>
        <v>40770</v>
      </c>
      <c r="HD12" s="24">
        <v>42268</v>
      </c>
      <c r="HE12" s="24">
        <v>3.7770000000000001</v>
      </c>
      <c r="HF12" s="72">
        <f t="shared" si="234"/>
        <v>13960</v>
      </c>
      <c r="HG12" s="72">
        <f t="shared" si="166"/>
        <v>151.08000000000001</v>
      </c>
      <c r="HH12" s="179">
        <f t="shared" si="235"/>
        <v>533.27199999999993</v>
      </c>
      <c r="HI12" s="179">
        <f t="shared" si="236"/>
        <v>333.64400000000001</v>
      </c>
      <c r="HJ12" s="179">
        <f t="shared" si="237"/>
        <v>1004.9841600000001</v>
      </c>
      <c r="HK12" s="176">
        <f t="shared" si="238"/>
        <v>975.60760000000005</v>
      </c>
      <c r="HL12">
        <f t="shared" si="239"/>
        <v>121774</v>
      </c>
      <c r="HM12" s="50">
        <f t="shared" si="221"/>
        <v>8773.409942000002</v>
      </c>
      <c r="HN12" s="50">
        <f t="shared" si="94"/>
        <v>2516.3185600000002</v>
      </c>
      <c r="HO12" s="50">
        <f t="shared" si="95"/>
        <v>11289.728502000002</v>
      </c>
      <c r="HP12" s="19"/>
      <c r="HQ12" s="54">
        <f t="shared" si="96"/>
        <v>1866498</v>
      </c>
      <c r="HR12" s="50">
        <f t="shared" si="96"/>
        <v>129662.27825000002</v>
      </c>
      <c r="HS12" s="50">
        <f t="shared" si="96"/>
        <v>22775.64976</v>
      </c>
      <c r="HT12" s="50">
        <f t="shared" si="97"/>
        <v>152437.92801000003</v>
      </c>
    </row>
    <row r="13" spans="2:228" x14ac:dyDescent="0.25">
      <c r="B13" s="69">
        <v>43366</v>
      </c>
      <c r="C13" s="174">
        <v>67785</v>
      </c>
      <c r="D13" s="21">
        <v>2.0609999999999999</v>
      </c>
      <c r="E13" s="38">
        <f t="shared" si="16"/>
        <v>44960</v>
      </c>
      <c r="F13" s="38"/>
      <c r="G13" s="174">
        <v>62938</v>
      </c>
      <c r="H13" s="21">
        <v>2.1800000000000002</v>
      </c>
      <c r="I13" s="38">
        <f t="shared" si="17"/>
        <v>44320</v>
      </c>
      <c r="J13" s="38"/>
      <c r="K13" s="174">
        <v>7696</v>
      </c>
      <c r="L13" s="21">
        <v>2.52</v>
      </c>
      <c r="M13" s="38">
        <f t="shared" si="98"/>
        <v>12000</v>
      </c>
      <c r="N13" s="38"/>
      <c r="O13" s="174">
        <v>7667</v>
      </c>
      <c r="P13" s="21">
        <v>2.2200000000000002</v>
      </c>
      <c r="Q13" s="38">
        <f t="shared" si="99"/>
        <v>12000</v>
      </c>
      <c r="R13" s="38"/>
      <c r="S13" s="174">
        <v>8247</v>
      </c>
      <c r="T13" s="174">
        <v>2.78</v>
      </c>
      <c r="U13" s="38">
        <f t="shared" si="100"/>
        <v>13600</v>
      </c>
      <c r="V13" s="38"/>
      <c r="W13" s="174">
        <v>54027</v>
      </c>
      <c r="X13" s="21">
        <v>2.34</v>
      </c>
      <c r="Y13" s="38">
        <f t="shared" si="101"/>
        <v>85500</v>
      </c>
      <c r="Z13" s="38"/>
      <c r="AA13" s="174">
        <v>51613</v>
      </c>
      <c r="AB13" s="21">
        <v>2.4630000000000001</v>
      </c>
      <c r="AC13" s="38">
        <f t="shared" si="102"/>
        <v>55500</v>
      </c>
      <c r="AD13" s="38"/>
      <c r="AE13" s="174">
        <v>13311</v>
      </c>
      <c r="AF13" s="21">
        <v>5.91</v>
      </c>
      <c r="AG13" s="38">
        <f t="shared" si="103"/>
        <v>12640</v>
      </c>
      <c r="AH13" s="38"/>
      <c r="AI13" s="174">
        <v>9208</v>
      </c>
      <c r="AJ13" s="21">
        <v>3.63</v>
      </c>
      <c r="AK13" s="38">
        <f t="shared" si="104"/>
        <v>5120</v>
      </c>
      <c r="AL13" s="38"/>
      <c r="AM13" s="174">
        <v>65313</v>
      </c>
      <c r="AN13" s="21">
        <v>2.35</v>
      </c>
      <c r="AO13" s="38">
        <f t="shared" si="105"/>
        <v>59000</v>
      </c>
      <c r="AP13" s="38"/>
      <c r="AQ13" s="174">
        <v>12710</v>
      </c>
      <c r="AR13" s="21">
        <v>0.41199999999999998</v>
      </c>
      <c r="AS13" s="38">
        <f t="shared" si="106"/>
        <v>2080</v>
      </c>
      <c r="AT13" s="38"/>
      <c r="AU13" s="228">
        <v>115712</v>
      </c>
      <c r="AV13" s="229"/>
      <c r="AW13" s="38">
        <f t="shared" si="107"/>
        <v>605</v>
      </c>
      <c r="AX13" s="38"/>
      <c r="AZ13" s="183">
        <f t="shared" si="18"/>
        <v>347325</v>
      </c>
      <c r="BA13">
        <f t="shared" si="19"/>
        <v>61080</v>
      </c>
      <c r="BB13">
        <f t="shared" si="20"/>
        <v>0.17585834592960484</v>
      </c>
      <c r="BD13" s="15"/>
      <c r="BE13" s="69">
        <v>43366</v>
      </c>
      <c r="BF13" s="26">
        <v>41013</v>
      </c>
      <c r="BG13" s="38">
        <f t="shared" si="21"/>
        <v>0</v>
      </c>
      <c r="BH13" s="38"/>
      <c r="BI13" s="26">
        <v>5295</v>
      </c>
      <c r="BJ13" s="38">
        <f t="shared" si="22"/>
        <v>0</v>
      </c>
      <c r="BK13" s="38"/>
      <c r="BL13" s="21">
        <v>105733</v>
      </c>
      <c r="BM13" s="38">
        <f t="shared" si="23"/>
        <v>0</v>
      </c>
      <c r="BN13" s="38"/>
      <c r="BO13" s="21">
        <v>40770</v>
      </c>
      <c r="BP13" s="38">
        <f t="shared" si="24"/>
        <v>0</v>
      </c>
      <c r="BQ13" s="38"/>
      <c r="BR13" s="70"/>
      <c r="BS13" s="26">
        <f t="shared" si="25"/>
        <v>0</v>
      </c>
      <c r="BT13"/>
      <c r="BU13"/>
      <c r="BV13" s="175"/>
      <c r="BW13" s="15"/>
      <c r="BY13" s="20">
        <f t="shared" si="142"/>
        <v>115712</v>
      </c>
      <c r="BZ13" s="21">
        <v>14521</v>
      </c>
      <c r="CA13" s="20">
        <f t="shared" si="108"/>
        <v>2448</v>
      </c>
      <c r="CB13" s="71">
        <f t="shared" si="181"/>
        <v>389.58993600000008</v>
      </c>
      <c r="CC13" s="72">
        <f t="shared" si="143"/>
        <v>62938</v>
      </c>
      <c r="CD13" s="24">
        <v>62456</v>
      </c>
      <c r="CE13" s="24">
        <v>2.2090000000000001</v>
      </c>
      <c r="CF13" s="20">
        <f t="shared" si="109"/>
        <v>175520</v>
      </c>
      <c r="CG13" s="72">
        <f t="shared" si="110"/>
        <v>353.44</v>
      </c>
      <c r="CH13" s="176">
        <f t="shared" si="182"/>
        <v>6704.8639999999996</v>
      </c>
      <c r="CI13" s="176">
        <f t="shared" si="183"/>
        <v>4280.9327999999996</v>
      </c>
      <c r="CJ13" s="176">
        <f t="shared" si="184"/>
        <v>2351.0828799999999</v>
      </c>
      <c r="CK13" s="176">
        <f t="shared" si="185"/>
        <v>12133.876480000001</v>
      </c>
      <c r="CL13" s="72">
        <f t="shared" si="144"/>
        <v>67785</v>
      </c>
      <c r="CM13" s="24">
        <v>67297</v>
      </c>
      <c r="CN13" s="24">
        <v>2.0649999999999999</v>
      </c>
      <c r="CO13" s="20">
        <f t="shared" si="113"/>
        <v>175360</v>
      </c>
      <c r="CP13" s="72">
        <f t="shared" si="114"/>
        <v>330.4</v>
      </c>
      <c r="CQ13" s="176">
        <f t="shared" si="186"/>
        <v>6698.7519999999995</v>
      </c>
      <c r="CR13" s="176">
        <f t="shared" si="187"/>
        <v>4277.0303999999996</v>
      </c>
      <c r="CS13" s="176">
        <f t="shared" si="188"/>
        <v>2197.8208</v>
      </c>
      <c r="CT13" s="176">
        <f t="shared" si="189"/>
        <v>12122.860640000001</v>
      </c>
      <c r="CU13" s="72">
        <f t="shared" si="145"/>
        <v>54027</v>
      </c>
      <c r="CV13" s="24">
        <v>53135</v>
      </c>
      <c r="CW13" s="24">
        <v>2.5760000000000001</v>
      </c>
      <c r="CX13" s="20">
        <f t="shared" si="117"/>
        <v>222900</v>
      </c>
      <c r="CY13" s="72">
        <f t="shared" si="31"/>
        <v>772.80000000000007</v>
      </c>
      <c r="CZ13" s="176">
        <f t="shared" si="190"/>
        <v>8514.7799999999988</v>
      </c>
      <c r="DA13" s="176">
        <f t="shared" si="191"/>
        <v>5436.5309999999999</v>
      </c>
      <c r="DB13" s="176">
        <f t="shared" si="192"/>
        <v>5140.6656000000003</v>
      </c>
      <c r="DC13" s="176">
        <f t="shared" si="193"/>
        <v>15395.942099999998</v>
      </c>
      <c r="DD13" s="72">
        <f t="shared" si="146"/>
        <v>12710</v>
      </c>
      <c r="DE13" s="24">
        <v>12620</v>
      </c>
      <c r="DF13" s="24">
        <v>0.51100000000000001</v>
      </c>
      <c r="DG13" s="20">
        <f t="shared" si="119"/>
        <v>8360</v>
      </c>
      <c r="DH13" s="72">
        <f t="shared" si="120"/>
        <v>20.440000000000001</v>
      </c>
      <c r="DI13" s="176">
        <f t="shared" si="194"/>
        <v>319.35199999999998</v>
      </c>
      <c r="DJ13" s="176">
        <f t="shared" si="195"/>
        <v>203.90039999999999</v>
      </c>
      <c r="DK13" s="176">
        <f t="shared" si="196"/>
        <v>135.96688</v>
      </c>
      <c r="DL13" s="176">
        <f t="shared" si="197"/>
        <v>603.07763999999997</v>
      </c>
      <c r="DM13" s="72">
        <f t="shared" si="147"/>
        <v>51613</v>
      </c>
      <c r="DN13" s="24">
        <v>51209</v>
      </c>
      <c r="DO13" s="24">
        <v>2.2330000000000001</v>
      </c>
      <c r="DP13" s="20">
        <f t="shared" si="123"/>
        <v>323400</v>
      </c>
      <c r="DQ13" s="177">
        <f t="shared" si="124"/>
        <v>669.9</v>
      </c>
      <c r="DR13" s="176">
        <f t="shared" si="198"/>
        <v>12353.88</v>
      </c>
      <c r="DS13" s="176">
        <f t="shared" si="199"/>
        <v>7887.7259999999997</v>
      </c>
      <c r="DT13" s="176">
        <f t="shared" si="200"/>
        <v>4456.1747999999998</v>
      </c>
      <c r="DU13" s="176">
        <f t="shared" si="201"/>
        <v>22315.266600000003</v>
      </c>
      <c r="DV13" s="72">
        <f t="shared" si="148"/>
        <v>7667</v>
      </c>
      <c r="DW13" s="24">
        <v>7616</v>
      </c>
      <c r="DX13" s="24">
        <f t="shared" ref="DX13:DX14" si="240">(P13)</f>
        <v>2.2200000000000002</v>
      </c>
      <c r="DY13" s="20">
        <f t="shared" si="125"/>
        <v>48000</v>
      </c>
      <c r="DZ13" s="177">
        <f t="shared" si="126"/>
        <v>888.00000000000011</v>
      </c>
      <c r="EA13" s="176">
        <f t="shared" si="202"/>
        <v>1833.6</v>
      </c>
      <c r="EB13" s="176">
        <f t="shared" si="203"/>
        <v>1170.72</v>
      </c>
      <c r="EC13" s="176">
        <f t="shared" si="204"/>
        <v>5906.9760000000006</v>
      </c>
      <c r="ED13" s="176">
        <f t="shared" si="205"/>
        <v>3354.252</v>
      </c>
      <c r="EE13" s="72">
        <f t="shared" si="149"/>
        <v>54027</v>
      </c>
      <c r="EF13" s="24">
        <v>7642</v>
      </c>
      <c r="EG13" s="24">
        <v>0.27400000000000002</v>
      </c>
      <c r="EH13" s="20">
        <f t="shared" si="127"/>
        <v>47600</v>
      </c>
      <c r="EI13" s="72">
        <f t="shared" si="128"/>
        <v>109.60000000000001</v>
      </c>
      <c r="EJ13" s="176">
        <f t="shared" si="206"/>
        <v>1818.32</v>
      </c>
      <c r="EK13" s="176">
        <f t="shared" si="207"/>
        <v>1160.9639999999999</v>
      </c>
      <c r="EL13" s="176">
        <f t="shared" si="208"/>
        <v>729.05920000000003</v>
      </c>
      <c r="EM13" s="176">
        <f t="shared" si="172"/>
        <v>3326.7123999999999</v>
      </c>
      <c r="EN13" s="72">
        <f t="shared" si="150"/>
        <v>8247</v>
      </c>
      <c r="EO13" s="24">
        <v>8191</v>
      </c>
      <c r="EP13" s="24">
        <v>0.28199999999999997</v>
      </c>
      <c r="EQ13" s="20">
        <f t="shared" si="130"/>
        <v>49200</v>
      </c>
      <c r="ER13" s="72">
        <f t="shared" si="131"/>
        <v>112.79999999999998</v>
      </c>
      <c r="ES13" s="176">
        <f t="shared" si="209"/>
        <v>1879.4399999999998</v>
      </c>
      <c r="ET13" s="176">
        <f t="shared" si="210"/>
        <v>1199.9879999999998</v>
      </c>
      <c r="EU13" s="176">
        <f t="shared" si="173"/>
        <v>750.34559999999988</v>
      </c>
      <c r="EV13" s="176">
        <f t="shared" si="174"/>
        <v>3436.8708000000001</v>
      </c>
      <c r="EW13" s="72">
        <f t="shared" si="151"/>
        <v>13311</v>
      </c>
      <c r="EX13" s="24">
        <v>13214</v>
      </c>
      <c r="EY13" s="24">
        <v>0.71899999999999997</v>
      </c>
      <c r="EZ13" s="20">
        <f t="shared" si="132"/>
        <v>31360</v>
      </c>
      <c r="FA13" s="72">
        <f t="shared" si="133"/>
        <v>115.03999999999999</v>
      </c>
      <c r="FB13" s="176">
        <f t="shared" si="211"/>
        <v>1197.952</v>
      </c>
      <c r="FC13" s="176">
        <f t="shared" si="212"/>
        <v>764.8703999999999</v>
      </c>
      <c r="FD13" s="176">
        <f t="shared" si="175"/>
        <v>765.24608000000001</v>
      </c>
      <c r="FE13" s="176">
        <f t="shared" si="176"/>
        <v>2208.60464</v>
      </c>
      <c r="FF13" s="72">
        <f t="shared" si="152"/>
        <v>9208</v>
      </c>
      <c r="FG13" s="24">
        <v>9152</v>
      </c>
      <c r="FH13" s="24">
        <v>0.34599999999999997</v>
      </c>
      <c r="FI13" s="20">
        <f t="shared" si="135"/>
        <v>17280</v>
      </c>
      <c r="FJ13" s="72">
        <f t="shared" si="136"/>
        <v>55.36</v>
      </c>
      <c r="FK13" s="176">
        <f t="shared" si="213"/>
        <v>660.096</v>
      </c>
      <c r="FL13" s="176">
        <f t="shared" si="214"/>
        <v>421.45919999999995</v>
      </c>
      <c r="FM13" s="176">
        <f t="shared" si="177"/>
        <v>368.25472000000002</v>
      </c>
      <c r="FN13" s="176">
        <f t="shared" si="178"/>
        <v>1239.21072</v>
      </c>
      <c r="FO13" s="20">
        <f t="shared" si="153"/>
        <v>65313</v>
      </c>
      <c r="FP13" s="178">
        <v>64800</v>
      </c>
      <c r="FQ13" s="178">
        <v>2.395</v>
      </c>
      <c r="FR13" s="20">
        <f t="shared" si="137"/>
        <v>239000</v>
      </c>
      <c r="FS13" s="72">
        <f t="shared" si="138"/>
        <v>479</v>
      </c>
      <c r="FT13" s="176">
        <f t="shared" si="215"/>
        <v>9129.7999999999993</v>
      </c>
      <c r="FU13" s="176">
        <f t="shared" si="216"/>
        <v>5829.21</v>
      </c>
      <c r="FV13" s="176">
        <f t="shared" si="179"/>
        <v>3186.308</v>
      </c>
      <c r="FW13" s="176">
        <f t="shared" si="180"/>
        <v>16504.411</v>
      </c>
      <c r="FX13" s="55"/>
      <c r="FY13" s="54">
        <f t="shared" si="66"/>
        <v>1340428</v>
      </c>
      <c r="FZ13" s="50">
        <f t="shared" si="67"/>
        <v>93030.674956000017</v>
      </c>
      <c r="GA13" s="50">
        <f t="shared" si="68"/>
        <v>25987.900560000002</v>
      </c>
      <c r="GB13" s="50">
        <f t="shared" si="69"/>
        <v>119018.57551600001</v>
      </c>
      <c r="GC13" s="15"/>
      <c r="GE13" s="72">
        <f t="shared" si="154"/>
        <v>5295</v>
      </c>
      <c r="GF13" s="24">
        <v>5850</v>
      </c>
      <c r="GG13" s="24">
        <v>0.26800000000000002</v>
      </c>
      <c r="GH13" s="72">
        <f t="shared" ref="GH13:GH14" si="241">SUM(GF13-GF12)*100</f>
        <v>8900</v>
      </c>
      <c r="GI13" s="72">
        <f t="shared" si="156"/>
        <v>26.8</v>
      </c>
      <c r="GJ13" s="179">
        <f t="shared" si="226"/>
        <v>339.97999999999996</v>
      </c>
      <c r="GK13" s="179">
        <f t="shared" si="227"/>
        <v>212.71</v>
      </c>
      <c r="GL13" s="179">
        <f t="shared" si="228"/>
        <v>178.27360000000002</v>
      </c>
      <c r="GM13" s="176">
        <f t="shared" si="75"/>
        <v>629.95899999999995</v>
      </c>
      <c r="GN13" s="72">
        <f t="shared" si="157"/>
        <v>41013</v>
      </c>
      <c r="GO13" s="24">
        <v>45616</v>
      </c>
      <c r="GP13" s="24">
        <v>2.1110000000000002</v>
      </c>
      <c r="GQ13" s="72">
        <f t="shared" si="218"/>
        <v>77000</v>
      </c>
      <c r="GR13" s="72">
        <f t="shared" si="159"/>
        <v>211.10000000000002</v>
      </c>
      <c r="GS13" s="179">
        <f t="shared" si="229"/>
        <v>2941.3999999999996</v>
      </c>
      <c r="GT13" s="179">
        <f t="shared" si="230"/>
        <v>1840.3000000000002</v>
      </c>
      <c r="GU13" s="179">
        <f t="shared" si="231"/>
        <v>1404.2372000000003</v>
      </c>
      <c r="GV13" s="176">
        <f t="shared" si="232"/>
        <v>5281.87</v>
      </c>
      <c r="GW13" s="72">
        <f t="shared" si="160"/>
        <v>105733</v>
      </c>
      <c r="GX13" s="24">
        <v>26301</v>
      </c>
      <c r="GY13" s="72">
        <f t="shared" si="161"/>
        <v>3450</v>
      </c>
      <c r="GZ13" s="176">
        <f t="shared" si="162"/>
        <v>411.34350000000001</v>
      </c>
      <c r="HA13" s="176">
        <f t="shared" si="233"/>
        <v>112.125</v>
      </c>
      <c r="HB13" s="176">
        <f t="shared" si="163"/>
        <v>578.95035000000007</v>
      </c>
      <c r="HC13" s="72">
        <f t="shared" si="164"/>
        <v>40770</v>
      </c>
      <c r="HD13" s="24">
        <v>42480</v>
      </c>
      <c r="HE13" s="24">
        <v>3.76</v>
      </c>
      <c r="HF13" s="72">
        <f t="shared" ref="HF13:HF14" si="242">SUM(HD13-HD12)*40</f>
        <v>8480</v>
      </c>
      <c r="HG13" s="72">
        <f t="shared" si="166"/>
        <v>150.39999999999998</v>
      </c>
      <c r="HH13" s="179">
        <f t="shared" si="235"/>
        <v>323.93599999999998</v>
      </c>
      <c r="HI13" s="179">
        <f t="shared" si="236"/>
        <v>202.672</v>
      </c>
      <c r="HJ13" s="179">
        <f t="shared" si="237"/>
        <v>1000.4607999999998</v>
      </c>
      <c r="HK13" s="176">
        <f t="shared" si="238"/>
        <v>601.26879999999994</v>
      </c>
      <c r="HL13">
        <f t="shared" si="239"/>
        <v>97830</v>
      </c>
      <c r="HM13" s="50">
        <f t="shared" si="221"/>
        <v>7092.0481499999996</v>
      </c>
      <c r="HN13" s="50">
        <f t="shared" si="94"/>
        <v>2582.9715999999999</v>
      </c>
      <c r="HO13" s="50">
        <f t="shared" si="95"/>
        <v>9675.0197499999995</v>
      </c>
      <c r="HP13" s="19"/>
      <c r="HQ13" s="54">
        <f t="shared" si="96"/>
        <v>1438258</v>
      </c>
      <c r="HR13" s="50">
        <f t="shared" si="96"/>
        <v>100122.72310600002</v>
      </c>
      <c r="HS13" s="50">
        <f t="shared" si="96"/>
        <v>28570.872160000003</v>
      </c>
      <c r="HT13" s="50">
        <f t="shared" si="97"/>
        <v>128693.59526600002</v>
      </c>
    </row>
    <row r="14" spans="2:228" x14ac:dyDescent="0.25">
      <c r="B14" s="69">
        <v>43404</v>
      </c>
      <c r="C14" s="174">
        <v>68743</v>
      </c>
      <c r="D14" s="21">
        <v>2.0329999999999999</v>
      </c>
      <c r="E14" s="38">
        <f t="shared" si="16"/>
        <v>153280</v>
      </c>
      <c r="F14" s="38"/>
      <c r="G14" s="174">
        <v>63901</v>
      </c>
      <c r="H14" s="21">
        <v>2.0939999999999999</v>
      </c>
      <c r="I14" s="38">
        <f t="shared" si="17"/>
        <v>154080</v>
      </c>
      <c r="J14" s="38"/>
      <c r="K14" s="174">
        <v>7796</v>
      </c>
      <c r="L14" s="21">
        <v>2.48</v>
      </c>
      <c r="M14" s="38">
        <f t="shared" si="98"/>
        <v>40000</v>
      </c>
      <c r="N14" s="38"/>
      <c r="O14" s="174">
        <v>7770</v>
      </c>
      <c r="P14" s="21">
        <v>2.46</v>
      </c>
      <c r="Q14" s="38">
        <f t="shared" si="99"/>
        <v>41200</v>
      </c>
      <c r="R14" s="38"/>
      <c r="S14" s="174">
        <v>8355</v>
      </c>
      <c r="T14" s="174">
        <v>2.5299999999999998</v>
      </c>
      <c r="U14" s="38">
        <f t="shared" si="100"/>
        <v>43200</v>
      </c>
      <c r="V14" s="38"/>
      <c r="W14" s="174">
        <v>54799</v>
      </c>
      <c r="X14" s="21">
        <v>2.1379999999999999</v>
      </c>
      <c r="Y14" s="38">
        <f t="shared" si="101"/>
        <v>231600</v>
      </c>
      <c r="Z14" s="38"/>
      <c r="AA14" s="174">
        <v>52419</v>
      </c>
      <c r="AB14" s="21">
        <v>1.8720000000000001</v>
      </c>
      <c r="AC14" s="38">
        <f t="shared" si="102"/>
        <v>241800</v>
      </c>
      <c r="AD14" s="38"/>
      <c r="AE14" s="174">
        <v>13462</v>
      </c>
      <c r="AF14" s="21">
        <v>4.42</v>
      </c>
      <c r="AG14" s="38">
        <f t="shared" si="103"/>
        <v>24160</v>
      </c>
      <c r="AH14" s="38"/>
      <c r="AI14" s="174">
        <v>9296</v>
      </c>
      <c r="AJ14" s="21">
        <v>3.75</v>
      </c>
      <c r="AK14" s="38">
        <f t="shared" si="104"/>
        <v>14080</v>
      </c>
      <c r="AL14" s="38"/>
      <c r="AM14" s="174">
        <v>66279</v>
      </c>
      <c r="AN14" s="21">
        <v>2.1219999999999999</v>
      </c>
      <c r="AO14" s="38">
        <f t="shared" si="105"/>
        <v>193200</v>
      </c>
      <c r="AP14" s="38"/>
      <c r="AQ14" s="174">
        <v>12878</v>
      </c>
      <c r="AR14" s="21">
        <v>0.38300000000000001</v>
      </c>
      <c r="AS14" s="38">
        <f t="shared" si="106"/>
        <v>6720</v>
      </c>
      <c r="AT14" s="38"/>
      <c r="AU14" s="228">
        <v>117893</v>
      </c>
      <c r="AV14" s="229"/>
      <c r="AW14" s="38">
        <f t="shared" si="107"/>
        <v>2181</v>
      </c>
      <c r="AX14" s="38"/>
      <c r="AZ14" s="183">
        <f t="shared" si="18"/>
        <v>1145501</v>
      </c>
      <c r="BA14">
        <f t="shared" si="19"/>
        <v>199920</v>
      </c>
      <c r="BB14">
        <f t="shared" si="20"/>
        <v>0.17452625532408964</v>
      </c>
      <c r="BD14" s="15"/>
      <c r="BE14" s="69">
        <v>43404</v>
      </c>
      <c r="BF14" s="26">
        <v>41013</v>
      </c>
      <c r="BG14" s="38">
        <f t="shared" si="21"/>
        <v>0</v>
      </c>
      <c r="BH14" s="38"/>
      <c r="BI14" s="26">
        <v>5295</v>
      </c>
      <c r="BJ14" s="38">
        <f t="shared" si="22"/>
        <v>0</v>
      </c>
      <c r="BK14" s="38"/>
      <c r="BL14" s="21">
        <v>105733</v>
      </c>
      <c r="BM14" s="38">
        <f t="shared" si="23"/>
        <v>0</v>
      </c>
      <c r="BN14" s="38"/>
      <c r="BO14" s="21">
        <v>40770</v>
      </c>
      <c r="BP14" s="38">
        <f t="shared" si="24"/>
        <v>0</v>
      </c>
      <c r="BQ14" s="38"/>
      <c r="BR14" s="70"/>
      <c r="BS14" s="26">
        <f t="shared" si="25"/>
        <v>0</v>
      </c>
      <c r="BT14"/>
      <c r="BU14"/>
      <c r="BV14" s="175"/>
      <c r="BW14" s="15"/>
      <c r="BY14" s="20">
        <f t="shared" si="142"/>
        <v>117893</v>
      </c>
      <c r="BZ14" s="21">
        <v>17629</v>
      </c>
      <c r="CA14" s="20">
        <f t="shared" si="108"/>
        <v>3108</v>
      </c>
      <c r="CB14" s="71">
        <f t="shared" si="181"/>
        <v>493.85805600000009</v>
      </c>
      <c r="CC14" s="72">
        <f t="shared" si="143"/>
        <v>63901</v>
      </c>
      <c r="CD14" s="24">
        <v>63887</v>
      </c>
      <c r="CE14" s="24">
        <v>2.3130000000000002</v>
      </c>
      <c r="CF14" s="20">
        <f t="shared" si="109"/>
        <v>228960</v>
      </c>
      <c r="CG14" s="72">
        <f t="shared" si="110"/>
        <v>370.08000000000004</v>
      </c>
      <c r="CH14" s="176">
        <f t="shared" si="182"/>
        <v>8746.271999999999</v>
      </c>
      <c r="CI14" s="176">
        <f t="shared" si="183"/>
        <v>5584.3343999999997</v>
      </c>
      <c r="CJ14" s="176">
        <f t="shared" si="184"/>
        <v>2461.7721600000004</v>
      </c>
      <c r="CK14" s="176">
        <f t="shared" si="185"/>
        <v>15813.16704</v>
      </c>
      <c r="CL14" s="72">
        <f t="shared" si="144"/>
        <v>68743</v>
      </c>
      <c r="CM14" s="24">
        <v>68730</v>
      </c>
      <c r="CN14" s="24">
        <v>2.0609999999999999</v>
      </c>
      <c r="CO14" s="20">
        <f t="shared" si="113"/>
        <v>229280</v>
      </c>
      <c r="CP14" s="72">
        <f t="shared" si="114"/>
        <v>329.76</v>
      </c>
      <c r="CQ14" s="176">
        <f t="shared" si="186"/>
        <v>8758.4959999999992</v>
      </c>
      <c r="CR14" s="176">
        <f t="shared" si="187"/>
        <v>5592.1391999999996</v>
      </c>
      <c r="CS14" s="176">
        <f t="shared" si="188"/>
        <v>2193.5635200000002</v>
      </c>
      <c r="CT14" s="176">
        <f t="shared" si="189"/>
        <v>15835.19872</v>
      </c>
      <c r="CU14" s="72">
        <f t="shared" si="145"/>
        <v>54799</v>
      </c>
      <c r="CV14" s="24">
        <v>54792</v>
      </c>
      <c r="CW14" s="24">
        <v>2.54</v>
      </c>
      <c r="CX14" s="20">
        <f t="shared" si="117"/>
        <v>497100</v>
      </c>
      <c r="CY14" s="72">
        <f t="shared" si="31"/>
        <v>762</v>
      </c>
      <c r="CZ14" s="176">
        <f t="shared" si="190"/>
        <v>18989.219999999998</v>
      </c>
      <c r="DA14" s="176">
        <f t="shared" si="191"/>
        <v>12124.268999999998</v>
      </c>
      <c r="DB14" s="176">
        <f t="shared" si="192"/>
        <v>5068.8240000000005</v>
      </c>
      <c r="DC14" s="176">
        <f t="shared" si="193"/>
        <v>34274.337899999999</v>
      </c>
      <c r="DD14" s="72">
        <f t="shared" si="146"/>
        <v>12878</v>
      </c>
      <c r="DE14" s="24">
        <v>12875</v>
      </c>
      <c r="DF14" s="24">
        <v>0.41199999999999998</v>
      </c>
      <c r="DG14" s="20">
        <f t="shared" si="119"/>
        <v>10200</v>
      </c>
      <c r="DH14" s="72">
        <f t="shared" si="120"/>
        <v>16.48</v>
      </c>
      <c r="DI14" s="176">
        <f t="shared" si="194"/>
        <v>389.64</v>
      </c>
      <c r="DJ14" s="176">
        <f t="shared" si="195"/>
        <v>248.77799999999999</v>
      </c>
      <c r="DK14" s="176">
        <f t="shared" si="196"/>
        <v>109.62496</v>
      </c>
      <c r="DL14" s="176">
        <f t="shared" si="197"/>
        <v>729.75980000000004</v>
      </c>
      <c r="DM14" s="72">
        <f t="shared" si="147"/>
        <v>52419</v>
      </c>
      <c r="DN14" s="24">
        <v>52407</v>
      </c>
      <c r="DO14" s="24">
        <v>2.4630000000000001</v>
      </c>
      <c r="DP14" s="20">
        <f t="shared" si="123"/>
        <v>359400</v>
      </c>
      <c r="DQ14" s="177">
        <f t="shared" si="124"/>
        <v>738.9</v>
      </c>
      <c r="DR14" s="176">
        <f t="shared" si="198"/>
        <v>13729.08</v>
      </c>
      <c r="DS14" s="176">
        <f t="shared" si="199"/>
        <v>8765.7659999999996</v>
      </c>
      <c r="DT14" s="176">
        <f t="shared" si="200"/>
        <v>4915.1628000000001</v>
      </c>
      <c r="DU14" s="176">
        <f t="shared" si="201"/>
        <v>24793.830600000001</v>
      </c>
      <c r="DV14" s="72">
        <f t="shared" si="148"/>
        <v>7770</v>
      </c>
      <c r="DW14" s="24">
        <v>7769</v>
      </c>
      <c r="DX14" s="24">
        <f t="shared" si="240"/>
        <v>2.46</v>
      </c>
      <c r="DY14" s="20">
        <f t="shared" si="125"/>
        <v>61200</v>
      </c>
      <c r="DZ14" s="177">
        <f t="shared" si="126"/>
        <v>984</v>
      </c>
      <c r="EA14" s="176">
        <f t="shared" si="202"/>
        <v>2337.8399999999997</v>
      </c>
      <c r="EB14" s="176">
        <f t="shared" si="203"/>
        <v>1492.6679999999999</v>
      </c>
      <c r="EC14" s="176">
        <f t="shared" si="204"/>
        <v>6545.5680000000002</v>
      </c>
      <c r="ED14" s="176">
        <f t="shared" si="205"/>
        <v>4263.0587999999998</v>
      </c>
      <c r="EE14" s="72">
        <f t="shared" si="149"/>
        <v>54799</v>
      </c>
      <c r="EF14" s="24">
        <v>7795</v>
      </c>
      <c r="EG14" s="24">
        <v>0.252</v>
      </c>
      <c r="EH14" s="20">
        <f t="shared" si="127"/>
        <v>61200</v>
      </c>
      <c r="EI14" s="72">
        <f t="shared" si="128"/>
        <v>100.8</v>
      </c>
      <c r="EJ14" s="176">
        <f t="shared" si="206"/>
        <v>2337.8399999999997</v>
      </c>
      <c r="EK14" s="176">
        <f t="shared" si="207"/>
        <v>1492.6679999999999</v>
      </c>
      <c r="EL14" s="176">
        <f t="shared" si="208"/>
        <v>670.52160000000003</v>
      </c>
      <c r="EM14" s="176">
        <f t="shared" si="172"/>
        <v>4263.0587999999998</v>
      </c>
      <c r="EN14" s="72">
        <f t="shared" si="150"/>
        <v>8355</v>
      </c>
      <c r="EO14" s="24">
        <v>8354</v>
      </c>
      <c r="EP14" s="24">
        <v>0.27800000000000002</v>
      </c>
      <c r="EQ14" s="20">
        <f t="shared" si="130"/>
        <v>65200</v>
      </c>
      <c r="ER14" s="72">
        <f t="shared" si="131"/>
        <v>111.20000000000002</v>
      </c>
      <c r="ES14" s="176">
        <f t="shared" si="209"/>
        <v>2490.64</v>
      </c>
      <c r="ET14" s="176">
        <f t="shared" si="210"/>
        <v>1590.2279999999998</v>
      </c>
      <c r="EU14" s="176">
        <f t="shared" si="173"/>
        <v>739.70240000000013</v>
      </c>
      <c r="EV14" s="176">
        <f t="shared" si="174"/>
        <v>4538.4547999999995</v>
      </c>
      <c r="EW14" s="72">
        <f t="shared" si="151"/>
        <v>13462</v>
      </c>
      <c r="EX14" s="24">
        <v>13459</v>
      </c>
      <c r="EY14" s="24">
        <v>0.59099999999999997</v>
      </c>
      <c r="EZ14" s="20">
        <f t="shared" si="132"/>
        <v>39200</v>
      </c>
      <c r="FA14" s="72">
        <f t="shared" si="133"/>
        <v>94.56</v>
      </c>
      <c r="FB14" s="176">
        <f t="shared" si="211"/>
        <v>1497.4399999999998</v>
      </c>
      <c r="FC14" s="176">
        <f t="shared" si="212"/>
        <v>956.08799999999997</v>
      </c>
      <c r="FD14" s="176">
        <f t="shared" si="175"/>
        <v>629.01312000000007</v>
      </c>
      <c r="FE14" s="176">
        <f t="shared" si="176"/>
        <v>2748.3807999999999</v>
      </c>
      <c r="FF14" s="72">
        <f t="shared" si="152"/>
        <v>9296</v>
      </c>
      <c r="FG14" s="24">
        <v>9294</v>
      </c>
      <c r="FH14" s="24">
        <v>0.36299999999999999</v>
      </c>
      <c r="FI14" s="20">
        <f t="shared" si="135"/>
        <v>22720</v>
      </c>
      <c r="FJ14" s="72">
        <f t="shared" si="136"/>
        <v>58.08</v>
      </c>
      <c r="FK14" s="176">
        <f t="shared" si="213"/>
        <v>867.904</v>
      </c>
      <c r="FL14" s="176">
        <f t="shared" si="214"/>
        <v>554.14080000000001</v>
      </c>
      <c r="FM14" s="176">
        <f t="shared" si="177"/>
        <v>386.34816000000001</v>
      </c>
      <c r="FN14" s="176">
        <f t="shared" si="178"/>
        <v>1613.7492800000002</v>
      </c>
      <c r="FO14" s="20">
        <f t="shared" si="153"/>
        <v>66279</v>
      </c>
      <c r="FP14" s="178">
        <v>66265</v>
      </c>
      <c r="FQ14" s="178">
        <v>2.35</v>
      </c>
      <c r="FR14" s="20">
        <f t="shared" si="137"/>
        <v>293000</v>
      </c>
      <c r="FS14" s="72">
        <f t="shared" si="138"/>
        <v>470</v>
      </c>
      <c r="FT14" s="176">
        <f t="shared" si="215"/>
        <v>11192.599999999999</v>
      </c>
      <c r="FU14" s="176">
        <f t="shared" si="216"/>
        <v>7146.2699999999995</v>
      </c>
      <c r="FV14" s="176">
        <f t="shared" si="179"/>
        <v>3126.44</v>
      </c>
      <c r="FW14" s="176">
        <f t="shared" si="180"/>
        <v>20222.257000000001</v>
      </c>
      <c r="FX14" s="55"/>
      <c r="FY14" s="54">
        <f t="shared" si="66"/>
        <v>1870568</v>
      </c>
      <c r="FZ14" s="50">
        <f t="shared" si="67"/>
        <v>129589.11159599999</v>
      </c>
      <c r="GA14" s="50">
        <f t="shared" si="68"/>
        <v>26846.540719999997</v>
      </c>
      <c r="GB14" s="50">
        <f t="shared" si="69"/>
        <v>156435.65231599999</v>
      </c>
      <c r="GC14" s="15"/>
      <c r="GE14" s="72">
        <f t="shared" si="154"/>
        <v>5295</v>
      </c>
      <c r="GF14" s="24">
        <v>5960</v>
      </c>
      <c r="GG14" s="24">
        <v>0.27100000000000002</v>
      </c>
      <c r="GH14" s="72">
        <f t="shared" si="241"/>
        <v>11000</v>
      </c>
      <c r="GI14" s="72">
        <f t="shared" si="156"/>
        <v>27.1</v>
      </c>
      <c r="GJ14" s="179">
        <f>SUM(GH14*0.03699)</f>
        <v>406.89000000000004</v>
      </c>
      <c r="GK14" s="179">
        <f>SUM(GH14*0.03046)</f>
        <v>335.06</v>
      </c>
      <c r="GL14" s="179">
        <f>SUM(GI14*7.447)</f>
        <v>201.81370000000001</v>
      </c>
      <c r="GM14" s="176">
        <f t="shared" si="75"/>
        <v>838.1450000000001</v>
      </c>
      <c r="GN14" s="72">
        <f t="shared" si="157"/>
        <v>41013</v>
      </c>
      <c r="GO14" s="24">
        <v>46541</v>
      </c>
      <c r="GP14" s="24">
        <v>1.9750000000000001</v>
      </c>
      <c r="GQ14" s="72">
        <f t="shared" si="218"/>
        <v>92500</v>
      </c>
      <c r="GR14" s="72">
        <f t="shared" si="159"/>
        <v>197.5</v>
      </c>
      <c r="GS14" s="179">
        <f t="shared" si="229"/>
        <v>3533.5</v>
      </c>
      <c r="GT14" s="179">
        <f t="shared" si="230"/>
        <v>2210.75</v>
      </c>
      <c r="GU14" s="179">
        <f t="shared" si="231"/>
        <v>1313.77</v>
      </c>
      <c r="GV14" s="176">
        <f t="shared" si="232"/>
        <v>6340.6750000000002</v>
      </c>
      <c r="GW14" s="72">
        <f t="shared" si="160"/>
        <v>105733</v>
      </c>
      <c r="GX14" s="24">
        <v>30783</v>
      </c>
      <c r="GY14" s="72">
        <f t="shared" si="161"/>
        <v>4482</v>
      </c>
      <c r="GZ14" s="176">
        <f t="shared" si="162"/>
        <v>534.38886000000002</v>
      </c>
      <c r="HA14" s="176">
        <f t="shared" si="233"/>
        <v>145.66499999999999</v>
      </c>
      <c r="HB14" s="176">
        <f t="shared" si="163"/>
        <v>751.19424600000002</v>
      </c>
      <c r="HC14" s="72">
        <f t="shared" si="164"/>
        <v>40770</v>
      </c>
      <c r="HD14" s="24">
        <v>42911</v>
      </c>
      <c r="HE14" s="24">
        <v>3.9430000000000001</v>
      </c>
      <c r="HF14" s="72">
        <f t="shared" si="242"/>
        <v>17240</v>
      </c>
      <c r="HG14" s="72">
        <f t="shared" si="166"/>
        <v>157.72</v>
      </c>
      <c r="HH14" s="179">
        <f t="shared" si="235"/>
        <v>658.56799999999998</v>
      </c>
      <c r="HI14" s="179">
        <f t="shared" si="236"/>
        <v>412.036</v>
      </c>
      <c r="HJ14" s="179">
        <f t="shared" si="237"/>
        <v>1049.15344</v>
      </c>
      <c r="HK14" s="176">
        <f t="shared" si="238"/>
        <v>1199.6644000000001</v>
      </c>
      <c r="HL14">
        <f t="shared" si="239"/>
        <v>125222</v>
      </c>
      <c r="HM14" s="50">
        <f t="shared" si="221"/>
        <v>9129.6786460000003</v>
      </c>
      <c r="HN14" s="50">
        <f t="shared" si="94"/>
        <v>2564.7371400000002</v>
      </c>
      <c r="HO14" s="50">
        <f t="shared" si="95"/>
        <v>11694.415786000001</v>
      </c>
      <c r="HP14" s="19"/>
      <c r="HQ14" s="54">
        <f t="shared" si="96"/>
        <v>1995790</v>
      </c>
      <c r="HR14" s="50">
        <f t="shared" si="96"/>
        <v>138718.79024199999</v>
      </c>
      <c r="HS14" s="50">
        <f t="shared" si="96"/>
        <v>29411.277859999998</v>
      </c>
      <c r="HT14" s="50">
        <f t="shared" si="97"/>
        <v>168130.06810199999</v>
      </c>
    </row>
    <row r="15" spans="2:228" x14ac:dyDescent="0.25">
      <c r="B15" s="69">
        <v>43408</v>
      </c>
      <c r="C15" s="21">
        <v>68887</v>
      </c>
      <c r="D15" s="21">
        <v>2.0329999999999999</v>
      </c>
      <c r="E15" s="38">
        <f t="shared" si="16"/>
        <v>23040</v>
      </c>
      <c r="F15" s="21"/>
      <c r="G15" s="21">
        <v>64053</v>
      </c>
      <c r="H15" s="21">
        <v>2.2189999999999999</v>
      </c>
      <c r="I15" s="38">
        <f t="shared" si="17"/>
        <v>24320</v>
      </c>
      <c r="J15" s="21"/>
      <c r="K15" s="21">
        <v>7812</v>
      </c>
      <c r="L15" s="21">
        <v>2.48</v>
      </c>
      <c r="M15" s="38">
        <f t="shared" si="98"/>
        <v>6400</v>
      </c>
      <c r="N15" s="21"/>
      <c r="O15" s="21">
        <v>7796</v>
      </c>
      <c r="P15" s="21">
        <v>2.46</v>
      </c>
      <c r="Q15" s="38">
        <f t="shared" si="99"/>
        <v>10400</v>
      </c>
      <c r="R15" s="21"/>
      <c r="S15" s="21">
        <v>8372</v>
      </c>
      <c r="T15" s="21">
        <v>2.5299999999999998</v>
      </c>
      <c r="U15" s="38">
        <f t="shared" si="100"/>
        <v>6800</v>
      </c>
      <c r="V15" s="21"/>
      <c r="W15" s="21">
        <v>54900</v>
      </c>
      <c r="X15" s="21">
        <v>2.3380000000000001</v>
      </c>
      <c r="Y15" s="38">
        <f t="shared" si="101"/>
        <v>30300</v>
      </c>
      <c r="Z15" s="21"/>
      <c r="AA15" s="21">
        <v>52499</v>
      </c>
      <c r="AB15" s="21">
        <v>1.8720000000000001</v>
      </c>
      <c r="AC15" s="38">
        <f t="shared" si="102"/>
        <v>24000</v>
      </c>
      <c r="AD15" s="21"/>
      <c r="AE15" s="21">
        <v>13484</v>
      </c>
      <c r="AF15" s="21">
        <v>4.42</v>
      </c>
      <c r="AG15" s="38">
        <f t="shared" si="103"/>
        <v>3520</v>
      </c>
      <c r="AH15" s="21"/>
      <c r="AI15" s="21">
        <v>9309</v>
      </c>
      <c r="AJ15" s="21">
        <v>3.25</v>
      </c>
      <c r="AK15" s="38">
        <f t="shared" si="104"/>
        <v>2080</v>
      </c>
      <c r="AL15" s="21"/>
      <c r="AM15" s="21">
        <v>66415</v>
      </c>
      <c r="AN15" s="21">
        <v>2.2200000000000002</v>
      </c>
      <c r="AO15" s="38">
        <f t="shared" si="105"/>
        <v>27200</v>
      </c>
      <c r="AP15" s="21"/>
      <c r="AQ15" s="21">
        <v>12903</v>
      </c>
      <c r="AR15" s="21">
        <v>0.38300000000000001</v>
      </c>
      <c r="AS15" s="38">
        <f t="shared" si="106"/>
        <v>1000</v>
      </c>
      <c r="AT15" s="21"/>
      <c r="AU15" s="226">
        <v>118248</v>
      </c>
      <c r="AV15" s="226"/>
      <c r="AW15" s="38">
        <f t="shared" si="107"/>
        <v>355</v>
      </c>
      <c r="AX15" s="21"/>
      <c r="AZ15" s="183">
        <f t="shared" si="18"/>
        <v>159415</v>
      </c>
      <c r="BA15">
        <f t="shared" si="19"/>
        <v>28200</v>
      </c>
      <c r="BB15">
        <f t="shared" si="20"/>
        <v>0.17689677884766175</v>
      </c>
      <c r="BD15" s="15"/>
      <c r="BE15" s="69">
        <v>43408</v>
      </c>
      <c r="BF15" s="26">
        <v>41013</v>
      </c>
      <c r="BG15" s="38">
        <f t="shared" si="21"/>
        <v>0</v>
      </c>
      <c r="BH15" s="38"/>
      <c r="BI15" s="26">
        <v>5295</v>
      </c>
      <c r="BJ15" s="38">
        <f t="shared" si="22"/>
        <v>0</v>
      </c>
      <c r="BK15" s="38"/>
      <c r="BL15" s="21">
        <v>105733</v>
      </c>
      <c r="BM15" s="38">
        <f t="shared" si="23"/>
        <v>0</v>
      </c>
      <c r="BN15" s="38"/>
      <c r="BO15" s="21">
        <v>40770</v>
      </c>
      <c r="BP15" s="38">
        <f t="shared" si="24"/>
        <v>0</v>
      </c>
      <c r="BQ15" s="38"/>
      <c r="BR15" s="70"/>
      <c r="BS15" s="26">
        <f t="shared" si="25"/>
        <v>0</v>
      </c>
      <c r="BW15" s="15"/>
      <c r="BY15" s="20">
        <f t="shared" si="142"/>
        <v>118248</v>
      </c>
      <c r="BZ15" s="21" t="s">
        <v>201</v>
      </c>
      <c r="CA15" s="20"/>
      <c r="CB15" s="71"/>
      <c r="CC15" s="72">
        <f t="shared" ref="CC15:CC22" si="243">SUM(G15)</f>
        <v>64053</v>
      </c>
      <c r="CD15" s="21" t="s">
        <v>201</v>
      </c>
      <c r="CE15" s="21"/>
      <c r="CF15" s="20"/>
      <c r="CG15" s="72"/>
      <c r="CH15" s="176"/>
      <c r="CI15" s="176"/>
      <c r="CJ15" s="176"/>
      <c r="CK15" s="176"/>
      <c r="CL15" s="72">
        <f t="shared" si="144"/>
        <v>68887</v>
      </c>
      <c r="CM15" s="21" t="s">
        <v>201</v>
      </c>
      <c r="CN15" s="21"/>
      <c r="CO15" s="20"/>
      <c r="CP15" s="72"/>
      <c r="CQ15" s="176"/>
      <c r="CR15" s="176"/>
      <c r="CS15" s="176"/>
      <c r="CT15" s="176"/>
      <c r="CU15" s="72">
        <f t="shared" si="145"/>
        <v>54900</v>
      </c>
      <c r="CV15" s="21" t="s">
        <v>201</v>
      </c>
      <c r="CW15" s="21"/>
      <c r="CX15" s="20"/>
      <c r="CY15" s="72"/>
      <c r="CZ15" s="176"/>
      <c r="DA15" s="176"/>
      <c r="DB15" s="176"/>
      <c r="DC15" s="176"/>
      <c r="DD15" s="72">
        <f t="shared" si="146"/>
        <v>12903</v>
      </c>
      <c r="DE15" s="21" t="s">
        <v>201</v>
      </c>
      <c r="DF15" s="21"/>
      <c r="DG15" s="20"/>
      <c r="DH15" s="72"/>
      <c r="DI15" s="176"/>
      <c r="DJ15" s="176"/>
      <c r="DK15" s="176"/>
      <c r="DL15" s="176"/>
      <c r="DM15" s="72">
        <f t="shared" si="147"/>
        <v>52499</v>
      </c>
      <c r="DN15" s="21" t="s">
        <v>201</v>
      </c>
      <c r="DO15" s="21"/>
      <c r="DP15" s="20"/>
      <c r="DQ15" s="177"/>
      <c r="DR15" s="176"/>
      <c r="DS15" s="176"/>
      <c r="DT15" s="176"/>
      <c r="DU15" s="176"/>
      <c r="DV15" s="72">
        <f t="shared" si="148"/>
        <v>7796</v>
      </c>
      <c r="DW15" s="21" t="s">
        <v>201</v>
      </c>
      <c r="DX15" s="21"/>
      <c r="DY15" s="20"/>
      <c r="DZ15" s="177"/>
      <c r="EA15" s="176"/>
      <c r="EB15" s="176"/>
      <c r="EC15" s="176"/>
      <c r="ED15" s="176"/>
      <c r="EE15" s="72">
        <f t="shared" si="149"/>
        <v>54900</v>
      </c>
      <c r="EF15" s="21" t="s">
        <v>201</v>
      </c>
      <c r="EG15" s="21"/>
      <c r="EH15" s="20"/>
      <c r="EI15" s="72"/>
      <c r="EJ15" s="176"/>
      <c r="EK15" s="176"/>
      <c r="EL15" s="176"/>
      <c r="EM15" s="176"/>
      <c r="EN15" s="72">
        <f t="shared" si="150"/>
        <v>8372</v>
      </c>
      <c r="EO15" s="21" t="s">
        <v>201</v>
      </c>
      <c r="EP15" s="21"/>
      <c r="EQ15" s="20"/>
      <c r="ER15" s="72"/>
      <c r="ES15" s="176"/>
      <c r="ET15" s="176"/>
      <c r="EU15" s="176"/>
      <c r="EV15" s="176"/>
      <c r="EW15" s="72">
        <f t="shared" si="151"/>
        <v>13484</v>
      </c>
      <c r="EX15" s="21" t="s">
        <v>201</v>
      </c>
      <c r="EY15" s="21"/>
      <c r="EZ15" s="20"/>
      <c r="FA15" s="72"/>
      <c r="FB15" s="176"/>
      <c r="FC15" s="176"/>
      <c r="FD15" s="176"/>
      <c r="FE15" s="176"/>
      <c r="FF15" s="72">
        <f t="shared" si="152"/>
        <v>9309</v>
      </c>
      <c r="FG15" s="21" t="s">
        <v>201</v>
      </c>
      <c r="FH15" s="21"/>
      <c r="FI15" s="20"/>
      <c r="FJ15" s="72"/>
      <c r="FK15" s="176"/>
      <c r="FL15" s="176"/>
      <c r="FM15" s="176"/>
      <c r="FN15" s="176"/>
      <c r="FO15" s="20">
        <f t="shared" si="153"/>
        <v>66415</v>
      </c>
      <c r="FP15" s="184" t="s">
        <v>201</v>
      </c>
      <c r="FQ15" s="81"/>
      <c r="FR15" s="20"/>
      <c r="FS15" s="72"/>
      <c r="FT15" s="176"/>
      <c r="FU15" s="176"/>
      <c r="FV15" s="176"/>
      <c r="FW15" s="176"/>
      <c r="FX15" s="55"/>
      <c r="GC15" s="15"/>
      <c r="GE15" s="72">
        <f t="shared" si="154"/>
        <v>5295</v>
      </c>
      <c r="GF15" s="21"/>
      <c r="GG15" s="21"/>
      <c r="GH15" s="72"/>
      <c r="GI15" s="72"/>
      <c r="GJ15" s="179"/>
      <c r="GK15" s="179"/>
      <c r="GL15" s="179"/>
      <c r="GM15" s="176"/>
      <c r="GN15" s="72">
        <f t="shared" si="157"/>
        <v>41013</v>
      </c>
      <c r="GO15" s="21" t="s">
        <v>201</v>
      </c>
      <c r="GP15" s="21"/>
      <c r="GQ15" s="72"/>
      <c r="GR15" s="72"/>
      <c r="GS15" s="179"/>
      <c r="GT15" s="179"/>
      <c r="GU15" s="179"/>
      <c r="GV15" s="176"/>
      <c r="GW15" s="72">
        <f t="shared" si="160"/>
        <v>105733</v>
      </c>
      <c r="GX15" s="21" t="s">
        <v>201</v>
      </c>
      <c r="GY15" s="72"/>
      <c r="GZ15" s="176"/>
      <c r="HA15" s="176"/>
      <c r="HB15" s="176"/>
      <c r="HC15" s="72">
        <f t="shared" si="164"/>
        <v>40770</v>
      </c>
      <c r="HD15" s="21" t="s">
        <v>201</v>
      </c>
      <c r="HE15" s="21"/>
      <c r="HF15" s="72"/>
      <c r="HG15" s="72"/>
      <c r="HH15" s="176"/>
      <c r="HI15" s="176"/>
      <c r="HJ15" s="176"/>
      <c r="HK15" s="176"/>
      <c r="HP15" s="19"/>
    </row>
    <row r="16" spans="2:228" x14ac:dyDescent="0.25">
      <c r="B16" s="69">
        <v>43415</v>
      </c>
      <c r="C16" s="21">
        <v>69167</v>
      </c>
      <c r="D16" s="21">
        <v>2.0329999999999999</v>
      </c>
      <c r="E16" s="38">
        <f t="shared" si="16"/>
        <v>44800</v>
      </c>
      <c r="F16" s="38"/>
      <c r="G16" s="21">
        <v>64333</v>
      </c>
      <c r="H16" s="21">
        <v>2.2189999999999999</v>
      </c>
      <c r="I16" s="38">
        <f t="shared" si="17"/>
        <v>44800</v>
      </c>
      <c r="J16" s="38"/>
      <c r="K16" s="21">
        <v>7842</v>
      </c>
      <c r="L16" s="21">
        <v>2.48</v>
      </c>
      <c r="M16" s="38">
        <f t="shared" si="98"/>
        <v>12000</v>
      </c>
      <c r="N16" s="38"/>
      <c r="O16" s="21">
        <v>7816</v>
      </c>
      <c r="P16" s="21">
        <v>2.46</v>
      </c>
      <c r="Q16" s="38">
        <f t="shared" si="99"/>
        <v>8000</v>
      </c>
      <c r="R16" s="38"/>
      <c r="S16" s="21">
        <v>8404</v>
      </c>
      <c r="T16" s="21">
        <v>2.56</v>
      </c>
      <c r="U16" s="38">
        <f t="shared" si="100"/>
        <v>12800</v>
      </c>
      <c r="V16" s="38"/>
      <c r="W16" s="21">
        <v>55194</v>
      </c>
      <c r="X16" s="21">
        <v>2.476</v>
      </c>
      <c r="Y16" s="38">
        <f t="shared" si="101"/>
        <v>88200</v>
      </c>
      <c r="Z16" s="38"/>
      <c r="AA16" s="21">
        <v>52644</v>
      </c>
      <c r="AB16" s="21">
        <v>1.8720000000000001</v>
      </c>
      <c r="AC16" s="38">
        <f t="shared" si="102"/>
        <v>43500</v>
      </c>
      <c r="AD16" s="38"/>
      <c r="AE16" s="21">
        <v>13530</v>
      </c>
      <c r="AF16" s="21">
        <v>4.42</v>
      </c>
      <c r="AG16" s="38">
        <f t="shared" si="103"/>
        <v>7360</v>
      </c>
      <c r="AH16" s="38"/>
      <c r="AI16" s="21">
        <v>9337</v>
      </c>
      <c r="AJ16" s="21">
        <v>4</v>
      </c>
      <c r="AK16" s="38">
        <f t="shared" si="104"/>
        <v>4480</v>
      </c>
      <c r="AL16" s="38"/>
      <c r="AM16" s="21">
        <v>66690</v>
      </c>
      <c r="AN16" s="21">
        <v>2.2200000000000002</v>
      </c>
      <c r="AO16" s="38">
        <f t="shared" si="105"/>
        <v>55000</v>
      </c>
      <c r="AP16" s="38"/>
      <c r="AQ16" s="21">
        <v>12951</v>
      </c>
      <c r="AR16" s="21">
        <v>0.38600000000000001</v>
      </c>
      <c r="AS16" s="38">
        <f t="shared" si="106"/>
        <v>1920</v>
      </c>
      <c r="AT16" s="38"/>
      <c r="AU16" s="226">
        <v>118894</v>
      </c>
      <c r="AV16" s="226"/>
      <c r="AW16" s="38">
        <f t="shared" si="107"/>
        <v>646</v>
      </c>
      <c r="AX16" s="38"/>
      <c r="AZ16" s="183">
        <f t="shared" si="18"/>
        <v>323506</v>
      </c>
      <c r="BA16">
        <f t="shared" si="19"/>
        <v>56920</v>
      </c>
      <c r="BB16">
        <f t="shared" si="20"/>
        <v>0.17594727763936371</v>
      </c>
      <c r="BD16" s="15"/>
      <c r="BE16" s="69">
        <v>43415</v>
      </c>
      <c r="BF16" s="26">
        <v>41013</v>
      </c>
      <c r="BG16" s="38">
        <f t="shared" si="21"/>
        <v>0</v>
      </c>
      <c r="BH16" s="38"/>
      <c r="BI16" s="26">
        <v>5295</v>
      </c>
      <c r="BJ16" s="38">
        <f t="shared" si="22"/>
        <v>0</v>
      </c>
      <c r="BK16" s="38"/>
      <c r="BL16" s="21">
        <v>105733</v>
      </c>
      <c r="BM16" s="38">
        <f t="shared" si="23"/>
        <v>0</v>
      </c>
      <c r="BN16" s="38"/>
      <c r="BO16" s="21">
        <v>40770</v>
      </c>
      <c r="BP16" s="38">
        <f t="shared" si="24"/>
        <v>0</v>
      </c>
      <c r="BQ16" s="38"/>
      <c r="BR16" s="70"/>
      <c r="BS16" s="26">
        <f t="shared" si="25"/>
        <v>0</v>
      </c>
      <c r="BW16" s="15"/>
      <c r="BY16" s="20">
        <f t="shared" si="142"/>
        <v>118894</v>
      </c>
      <c r="BZ16" s="21"/>
      <c r="CA16" s="20"/>
      <c r="CB16" s="71"/>
      <c r="CC16" s="72">
        <f t="shared" si="243"/>
        <v>64333</v>
      </c>
      <c r="CD16" s="21"/>
      <c r="CE16" s="21"/>
      <c r="CF16" s="20"/>
      <c r="CG16" s="72"/>
      <c r="CH16" s="176"/>
      <c r="CI16" s="176"/>
      <c r="CJ16" s="176"/>
      <c r="CK16" s="176"/>
      <c r="CL16" s="72">
        <f t="shared" si="144"/>
        <v>69167</v>
      </c>
      <c r="CM16" s="21"/>
      <c r="CN16" s="21"/>
      <c r="CO16" s="20"/>
      <c r="CP16" s="72"/>
      <c r="CQ16" s="176"/>
      <c r="CR16" s="176"/>
      <c r="CS16" s="176"/>
      <c r="CT16" s="176"/>
      <c r="CU16" s="72">
        <f t="shared" si="145"/>
        <v>55194</v>
      </c>
      <c r="CV16" s="21"/>
      <c r="CW16" s="21"/>
      <c r="CX16" s="20"/>
      <c r="CY16" s="72"/>
      <c r="CZ16" s="176"/>
      <c r="DA16" s="176"/>
      <c r="DB16" s="176"/>
      <c r="DC16" s="176"/>
      <c r="DD16" s="72">
        <f t="shared" si="146"/>
        <v>12951</v>
      </c>
      <c r="DE16" s="21"/>
      <c r="DF16" s="21"/>
      <c r="DG16" s="20"/>
      <c r="DH16" s="72"/>
      <c r="DI16" s="176"/>
      <c r="DJ16" s="176"/>
      <c r="DK16" s="176"/>
      <c r="DL16" s="176"/>
      <c r="DM16" s="72">
        <f t="shared" si="147"/>
        <v>52644</v>
      </c>
      <c r="DN16" s="21"/>
      <c r="DO16" s="21"/>
      <c r="DP16" s="20"/>
      <c r="DQ16" s="177"/>
      <c r="DR16" s="176"/>
      <c r="DS16" s="176"/>
      <c r="DT16" s="176"/>
      <c r="DU16" s="176"/>
      <c r="DV16" s="72">
        <f t="shared" si="148"/>
        <v>7816</v>
      </c>
      <c r="DW16" s="21"/>
      <c r="DX16" s="21"/>
      <c r="DY16" s="20"/>
      <c r="DZ16" s="177"/>
      <c r="EA16" s="176"/>
      <c r="EB16" s="176"/>
      <c r="EC16" s="176"/>
      <c r="ED16" s="176"/>
      <c r="EE16" s="72">
        <f t="shared" si="149"/>
        <v>55194</v>
      </c>
      <c r="EF16" s="21"/>
      <c r="EG16" s="21"/>
      <c r="EH16" s="20"/>
      <c r="EI16" s="72"/>
      <c r="EJ16" s="176"/>
      <c r="EK16" s="176"/>
      <c r="EL16" s="176"/>
      <c r="EM16" s="176"/>
      <c r="EN16" s="72">
        <f t="shared" si="150"/>
        <v>8404</v>
      </c>
      <c r="EO16" s="21"/>
      <c r="EP16" s="21"/>
      <c r="EQ16" s="20"/>
      <c r="ER16" s="72"/>
      <c r="ES16" s="176"/>
      <c r="ET16" s="176"/>
      <c r="EU16" s="176"/>
      <c r="EV16" s="176"/>
      <c r="EW16" s="72">
        <f t="shared" si="151"/>
        <v>13530</v>
      </c>
      <c r="EX16" s="21"/>
      <c r="EY16" s="21"/>
      <c r="EZ16" s="20"/>
      <c r="FA16" s="72"/>
      <c r="FB16" s="176"/>
      <c r="FC16" s="176"/>
      <c r="FD16" s="176"/>
      <c r="FE16" s="176"/>
      <c r="FF16" s="72">
        <f t="shared" si="152"/>
        <v>9337</v>
      </c>
      <c r="FG16" s="21"/>
      <c r="FH16" s="21"/>
      <c r="FI16" s="20"/>
      <c r="FJ16" s="72"/>
      <c r="FK16" s="176"/>
      <c r="FL16" s="176"/>
      <c r="FM16" s="176"/>
      <c r="FN16" s="176"/>
      <c r="FO16" s="20">
        <f t="shared" si="153"/>
        <v>66690</v>
      </c>
      <c r="FP16" s="81"/>
      <c r="FQ16" s="81"/>
      <c r="FR16" s="20"/>
      <c r="FS16" s="72"/>
      <c r="FT16" s="176"/>
      <c r="FU16" s="176"/>
      <c r="FV16" s="176"/>
      <c r="FW16" s="176"/>
      <c r="FX16" s="55"/>
      <c r="GC16" s="15"/>
      <c r="GE16" s="72">
        <f t="shared" si="154"/>
        <v>5295</v>
      </c>
      <c r="GF16" s="21"/>
      <c r="GG16" s="21"/>
      <c r="GH16" s="72"/>
      <c r="GI16" s="72"/>
      <c r="GJ16" s="179"/>
      <c r="GK16" s="179"/>
      <c r="GL16" s="179"/>
      <c r="GM16" s="176"/>
      <c r="GN16" s="72">
        <f t="shared" si="157"/>
        <v>41013</v>
      </c>
      <c r="GO16" s="21"/>
      <c r="GP16" s="21"/>
      <c r="GQ16" s="72"/>
      <c r="GR16" s="72"/>
      <c r="GS16" s="179"/>
      <c r="GT16" s="179"/>
      <c r="GU16" s="179"/>
      <c r="GV16" s="176"/>
      <c r="GW16" s="72">
        <f t="shared" si="160"/>
        <v>105733</v>
      </c>
      <c r="GX16" s="21"/>
      <c r="GY16" s="72"/>
      <c r="GZ16" s="176"/>
      <c r="HA16" s="176"/>
      <c r="HB16" s="176"/>
      <c r="HC16" s="72">
        <f t="shared" si="164"/>
        <v>40770</v>
      </c>
      <c r="HD16" s="21"/>
      <c r="HE16" s="21"/>
      <c r="HF16" s="72"/>
      <c r="HG16" s="72"/>
      <c r="HH16" s="176"/>
      <c r="HI16" s="176"/>
      <c r="HJ16" s="176"/>
      <c r="HK16" s="176"/>
      <c r="HP16" s="19"/>
    </row>
    <row r="17" spans="2:232" x14ac:dyDescent="0.25">
      <c r="B17" s="69">
        <v>43422</v>
      </c>
      <c r="C17" s="21">
        <v>69447</v>
      </c>
      <c r="D17" s="21">
        <v>2.0329999999999999</v>
      </c>
      <c r="E17" s="38">
        <f t="shared" si="16"/>
        <v>44800</v>
      </c>
      <c r="F17" s="38"/>
      <c r="G17" s="21">
        <v>64611</v>
      </c>
      <c r="H17" s="21">
        <v>2.2189999999999999</v>
      </c>
      <c r="I17" s="38">
        <f t="shared" si="17"/>
        <v>44480</v>
      </c>
      <c r="J17" s="38"/>
      <c r="K17" s="21">
        <v>7875</v>
      </c>
      <c r="L17" s="21">
        <v>2.6</v>
      </c>
      <c r="M17" s="38">
        <f t="shared" si="98"/>
        <v>13200</v>
      </c>
      <c r="N17" s="38"/>
      <c r="O17" s="21">
        <v>7847</v>
      </c>
      <c r="P17" s="21">
        <v>2.59</v>
      </c>
      <c r="Q17" s="38">
        <f t="shared" si="99"/>
        <v>12400</v>
      </c>
      <c r="R17" s="38"/>
      <c r="S17" s="21">
        <v>8438</v>
      </c>
      <c r="T17" s="21">
        <v>2.81</v>
      </c>
      <c r="U17" s="38">
        <f t="shared" si="100"/>
        <v>13600</v>
      </c>
      <c r="V17" s="38"/>
      <c r="W17" s="21">
        <v>55376</v>
      </c>
      <c r="X17" s="21">
        <v>2.476</v>
      </c>
      <c r="Y17" s="38">
        <f t="shared" si="101"/>
        <v>54600</v>
      </c>
      <c r="Z17" s="38"/>
      <c r="AA17" s="21">
        <v>52849</v>
      </c>
      <c r="AB17" s="21">
        <v>2.19</v>
      </c>
      <c r="AC17" s="38">
        <f t="shared" si="102"/>
        <v>61500</v>
      </c>
      <c r="AD17" s="38"/>
      <c r="AE17" s="21">
        <v>13575</v>
      </c>
      <c r="AF17" s="21">
        <v>4.42</v>
      </c>
      <c r="AG17" s="38">
        <f t="shared" si="103"/>
        <v>7200</v>
      </c>
      <c r="AH17" s="38"/>
      <c r="AI17" s="21">
        <v>9368</v>
      </c>
      <c r="AJ17" s="21">
        <v>4</v>
      </c>
      <c r="AK17" s="38">
        <f t="shared" si="104"/>
        <v>4960</v>
      </c>
      <c r="AL17" s="38"/>
      <c r="AM17" s="21">
        <v>66924</v>
      </c>
      <c r="AN17" s="21">
        <v>2.1219999999999999</v>
      </c>
      <c r="AO17" s="38">
        <f t="shared" si="105"/>
        <v>46800</v>
      </c>
      <c r="AP17" s="38"/>
      <c r="AQ17" s="21">
        <v>13000</v>
      </c>
      <c r="AR17" s="21">
        <v>0.38600000000000001</v>
      </c>
      <c r="AS17" s="38">
        <f t="shared" si="106"/>
        <v>1960</v>
      </c>
      <c r="AT17" s="38"/>
      <c r="AU17" s="226">
        <v>119549</v>
      </c>
      <c r="AV17" s="226"/>
      <c r="AW17" s="38">
        <f t="shared" si="107"/>
        <v>655</v>
      </c>
      <c r="AX17" s="38"/>
      <c r="AZ17" s="183">
        <f t="shared" si="18"/>
        <v>306155</v>
      </c>
      <c r="BA17">
        <f t="shared" si="19"/>
        <v>48760</v>
      </c>
      <c r="BB17">
        <f t="shared" si="20"/>
        <v>0.15926573141056002</v>
      </c>
      <c r="BD17" s="15"/>
      <c r="BE17" s="69">
        <v>43422</v>
      </c>
      <c r="BF17" s="26">
        <v>41013</v>
      </c>
      <c r="BG17" s="38">
        <f t="shared" si="21"/>
        <v>0</v>
      </c>
      <c r="BH17" s="38"/>
      <c r="BI17" s="26">
        <v>5295</v>
      </c>
      <c r="BJ17" s="38">
        <f t="shared" si="22"/>
        <v>0</v>
      </c>
      <c r="BK17" s="38"/>
      <c r="BL17" s="21">
        <v>105733</v>
      </c>
      <c r="BM17" s="38">
        <f t="shared" si="23"/>
        <v>0</v>
      </c>
      <c r="BN17" s="38"/>
      <c r="BO17" s="21">
        <v>40770</v>
      </c>
      <c r="BP17" s="38">
        <f t="shared" si="24"/>
        <v>0</v>
      </c>
      <c r="BQ17" s="38"/>
      <c r="BR17" s="70"/>
      <c r="BS17" s="26">
        <f t="shared" si="25"/>
        <v>0</v>
      </c>
      <c r="BW17" s="15"/>
      <c r="BY17" s="20">
        <f t="shared" si="142"/>
        <v>119549</v>
      </c>
      <c r="BZ17" s="21"/>
      <c r="CA17" s="20"/>
      <c r="CB17" s="71"/>
      <c r="CC17" s="72">
        <f t="shared" si="243"/>
        <v>64611</v>
      </c>
      <c r="CD17" s="21"/>
      <c r="CE17" s="21"/>
      <c r="CF17" s="20"/>
      <c r="CG17" s="72"/>
      <c r="CH17" s="176"/>
      <c r="CI17" s="176"/>
      <c r="CJ17" s="176"/>
      <c r="CK17" s="176"/>
      <c r="CL17" s="72">
        <f t="shared" si="144"/>
        <v>69447</v>
      </c>
      <c r="CM17" s="21"/>
      <c r="CN17" s="21"/>
      <c r="CO17" s="20"/>
      <c r="CP17" s="72"/>
      <c r="CQ17" s="176"/>
      <c r="CR17" s="176"/>
      <c r="CS17" s="176"/>
      <c r="CT17" s="176"/>
      <c r="CU17" s="72">
        <f t="shared" si="145"/>
        <v>55376</v>
      </c>
      <c r="CV17" s="21"/>
      <c r="CW17" s="21"/>
      <c r="CX17" s="20"/>
      <c r="CY17" s="72"/>
      <c r="CZ17" s="176"/>
      <c r="DA17" s="176"/>
      <c r="DB17" s="176"/>
      <c r="DC17" s="176"/>
      <c r="DD17" s="72">
        <f t="shared" si="146"/>
        <v>13000</v>
      </c>
      <c r="DE17" s="21"/>
      <c r="DF17" s="21"/>
      <c r="DG17" s="20"/>
      <c r="DH17" s="72"/>
      <c r="DI17" s="176"/>
      <c r="DJ17" s="176"/>
      <c r="DK17" s="176"/>
      <c r="DL17" s="176"/>
      <c r="DM17" s="72">
        <f t="shared" si="147"/>
        <v>52849</v>
      </c>
      <c r="DN17" s="21"/>
      <c r="DO17" s="21"/>
      <c r="DP17" s="20"/>
      <c r="DQ17" s="177"/>
      <c r="DR17" s="176"/>
      <c r="DS17" s="176"/>
      <c r="DT17" s="176"/>
      <c r="DU17" s="176"/>
      <c r="DV17" s="72">
        <f t="shared" si="148"/>
        <v>7847</v>
      </c>
      <c r="DW17" s="21"/>
      <c r="DX17" s="21"/>
      <c r="DY17" s="20"/>
      <c r="DZ17" s="177"/>
      <c r="EA17" s="176"/>
      <c r="EB17" s="176"/>
      <c r="EC17" s="176"/>
      <c r="ED17" s="176"/>
      <c r="EE17" s="72">
        <f t="shared" si="149"/>
        <v>55376</v>
      </c>
      <c r="EF17" s="21"/>
      <c r="EG17" s="21"/>
      <c r="EH17" s="20"/>
      <c r="EI17" s="72"/>
      <c r="EJ17" s="176"/>
      <c r="EK17" s="176"/>
      <c r="EL17" s="176"/>
      <c r="EM17" s="176"/>
      <c r="EN17" s="72">
        <f t="shared" si="150"/>
        <v>8438</v>
      </c>
      <c r="EO17" s="21"/>
      <c r="EP17" s="21"/>
      <c r="EQ17" s="20"/>
      <c r="ER17" s="72"/>
      <c r="ES17" s="176"/>
      <c r="ET17" s="176"/>
      <c r="EU17" s="176"/>
      <c r="EV17" s="176"/>
      <c r="EW17" s="72">
        <f t="shared" si="151"/>
        <v>13575</v>
      </c>
      <c r="EX17" s="21"/>
      <c r="EY17" s="21"/>
      <c r="EZ17" s="20"/>
      <c r="FA17" s="72"/>
      <c r="FB17" s="176"/>
      <c r="FC17" s="176"/>
      <c r="FD17" s="176"/>
      <c r="FE17" s="176"/>
      <c r="FF17" s="72">
        <f t="shared" si="152"/>
        <v>9368</v>
      </c>
      <c r="FG17" s="21"/>
      <c r="FH17" s="21"/>
      <c r="FI17" s="20"/>
      <c r="FJ17" s="72"/>
      <c r="FK17" s="176"/>
      <c r="FL17" s="176"/>
      <c r="FM17" s="176"/>
      <c r="FN17" s="176"/>
      <c r="FO17" s="20">
        <f t="shared" si="153"/>
        <v>66924</v>
      </c>
      <c r="FP17" s="81"/>
      <c r="FQ17" s="81"/>
      <c r="FR17" s="20"/>
      <c r="FS17" s="72"/>
      <c r="FT17" s="176"/>
      <c r="FU17" s="176"/>
      <c r="FV17" s="176"/>
      <c r="FW17" s="176"/>
      <c r="FX17" s="55"/>
      <c r="GC17" s="15"/>
      <c r="GE17" s="72">
        <f t="shared" si="154"/>
        <v>5295</v>
      </c>
      <c r="GF17" s="21"/>
      <c r="GG17" s="21"/>
      <c r="GH17" s="72"/>
      <c r="GI17" s="72"/>
      <c r="GJ17" s="179"/>
      <c r="GK17" s="179"/>
      <c r="GL17" s="179"/>
      <c r="GM17" s="176"/>
      <c r="GN17" s="72">
        <f t="shared" si="157"/>
        <v>41013</v>
      </c>
      <c r="GO17" s="21"/>
      <c r="GP17" s="21"/>
      <c r="GQ17" s="72"/>
      <c r="GR17" s="72"/>
      <c r="GS17" s="179"/>
      <c r="GT17" s="179"/>
      <c r="GU17" s="179"/>
      <c r="GV17" s="176"/>
      <c r="GW17" s="72">
        <f t="shared" si="160"/>
        <v>105733</v>
      </c>
      <c r="GX17" s="21"/>
      <c r="GY17" s="72"/>
      <c r="GZ17" s="176"/>
      <c r="HA17" s="176"/>
      <c r="HB17" s="176"/>
      <c r="HC17" s="72">
        <f t="shared" si="164"/>
        <v>40770</v>
      </c>
      <c r="HD17" s="21"/>
      <c r="HE17" s="21"/>
      <c r="HF17" s="72"/>
      <c r="HG17" s="72"/>
      <c r="HH17" s="176"/>
      <c r="HI17" s="176"/>
      <c r="HJ17" s="176"/>
      <c r="HK17" s="176"/>
      <c r="HP17" s="19"/>
    </row>
    <row r="18" spans="2:232" x14ac:dyDescent="0.25">
      <c r="B18" s="69">
        <v>43429</v>
      </c>
      <c r="C18" s="21">
        <v>69725</v>
      </c>
      <c r="D18" s="21">
        <v>2.0289999999999999</v>
      </c>
      <c r="E18" s="38">
        <f t="shared" si="16"/>
        <v>44480</v>
      </c>
      <c r="F18" s="38"/>
      <c r="G18" s="21">
        <v>64897</v>
      </c>
      <c r="H18" s="21">
        <v>2.222</v>
      </c>
      <c r="I18" s="38">
        <f t="shared" si="17"/>
        <v>45760</v>
      </c>
      <c r="J18" s="38"/>
      <c r="K18" s="21">
        <v>7905</v>
      </c>
      <c r="L18" s="21">
        <v>2.4300000000000002</v>
      </c>
      <c r="M18" s="38">
        <f t="shared" si="98"/>
        <v>12000</v>
      </c>
      <c r="N18" s="38"/>
      <c r="O18" s="21">
        <v>7880</v>
      </c>
      <c r="P18" s="21">
        <v>2.59</v>
      </c>
      <c r="Q18" s="38">
        <f t="shared" si="99"/>
        <v>13200</v>
      </c>
      <c r="R18" s="38"/>
      <c r="S18" s="21">
        <v>8471</v>
      </c>
      <c r="T18" s="21">
        <v>2.56</v>
      </c>
      <c r="U18" s="38">
        <f t="shared" si="100"/>
        <v>13200</v>
      </c>
      <c r="V18" s="38"/>
      <c r="W18" s="21">
        <v>55506</v>
      </c>
      <c r="X18" s="21">
        <v>1.482</v>
      </c>
      <c r="Y18" s="38">
        <f t="shared" si="101"/>
        <v>39000</v>
      </c>
      <c r="Z18" s="38"/>
      <c r="AA18" s="21">
        <v>53025</v>
      </c>
      <c r="AB18" s="21">
        <v>1.47</v>
      </c>
      <c r="AC18" s="38">
        <f t="shared" si="102"/>
        <v>52800</v>
      </c>
      <c r="AD18" s="38"/>
      <c r="AE18" s="21">
        <v>13650</v>
      </c>
      <c r="AF18" s="21">
        <v>3.45</v>
      </c>
      <c r="AG18" s="38">
        <f t="shared" si="103"/>
        <v>12000</v>
      </c>
      <c r="AH18" s="38"/>
      <c r="AI18" s="21">
        <v>9395</v>
      </c>
      <c r="AJ18" s="21">
        <v>2.4</v>
      </c>
      <c r="AK18" s="38">
        <f t="shared" si="104"/>
        <v>4320</v>
      </c>
      <c r="AL18" s="38"/>
      <c r="AM18" s="21">
        <v>67185</v>
      </c>
      <c r="AN18" s="21">
        <v>2.008</v>
      </c>
      <c r="AO18" s="38">
        <f t="shared" si="105"/>
        <v>52200</v>
      </c>
      <c r="AP18" s="38"/>
      <c r="AQ18" s="21">
        <v>13052</v>
      </c>
      <c r="AR18" s="21">
        <v>0.39300000000000002</v>
      </c>
      <c r="AS18" s="38">
        <f t="shared" si="106"/>
        <v>2080</v>
      </c>
      <c r="AT18" s="38"/>
      <c r="AU18" s="226">
        <v>120204</v>
      </c>
      <c r="AV18" s="226"/>
      <c r="AW18" s="38">
        <f t="shared" si="107"/>
        <v>655</v>
      </c>
      <c r="AX18" s="38"/>
      <c r="AZ18" s="183">
        <f t="shared" si="18"/>
        <v>291695</v>
      </c>
      <c r="BA18">
        <f t="shared" si="19"/>
        <v>54280</v>
      </c>
      <c r="BB18">
        <f t="shared" si="20"/>
        <v>0.18608478033562453</v>
      </c>
      <c r="BC18">
        <f>SUM(AZ15:AZ18)</f>
        <v>1080771</v>
      </c>
      <c r="BD18" s="15"/>
      <c r="BE18" s="69">
        <v>43429</v>
      </c>
      <c r="BF18" s="26">
        <v>41013</v>
      </c>
      <c r="BG18" s="38">
        <f t="shared" si="21"/>
        <v>0</v>
      </c>
      <c r="BH18" s="38"/>
      <c r="BI18" s="26">
        <v>5295</v>
      </c>
      <c r="BJ18" s="38">
        <f t="shared" si="22"/>
        <v>0</v>
      </c>
      <c r="BK18" s="38"/>
      <c r="BL18" s="21">
        <v>105733</v>
      </c>
      <c r="BM18" s="38">
        <f t="shared" si="23"/>
        <v>0</v>
      </c>
      <c r="BN18" s="38"/>
      <c r="BO18" s="21">
        <v>40770</v>
      </c>
      <c r="BP18" s="38">
        <f t="shared" si="24"/>
        <v>0</v>
      </c>
      <c r="BQ18" s="38"/>
      <c r="BR18" s="70"/>
      <c r="BS18" s="26">
        <f t="shared" si="25"/>
        <v>0</v>
      </c>
      <c r="BT18">
        <f>SUM(BS15:BS18)</f>
        <v>0</v>
      </c>
      <c r="BU18"/>
      <c r="BW18" s="15"/>
      <c r="BY18" s="20">
        <f t="shared" si="142"/>
        <v>120204</v>
      </c>
      <c r="BZ18" s="21"/>
      <c r="CA18" s="20"/>
      <c r="CB18" s="71"/>
      <c r="CC18" s="72">
        <f t="shared" si="243"/>
        <v>64897</v>
      </c>
      <c r="CD18" s="21"/>
      <c r="CE18" s="21"/>
      <c r="CF18" s="20"/>
      <c r="CG18" s="72"/>
      <c r="CH18" s="176"/>
      <c r="CI18" s="176"/>
      <c r="CJ18" s="176"/>
      <c r="CK18" s="176"/>
      <c r="CL18" s="72">
        <f t="shared" si="144"/>
        <v>69725</v>
      </c>
      <c r="CM18" s="21"/>
      <c r="CN18" s="21"/>
      <c r="CO18" s="20"/>
      <c r="CP18" s="72"/>
      <c r="CQ18" s="176"/>
      <c r="CR18" s="176"/>
      <c r="CS18" s="176"/>
      <c r="CT18" s="176"/>
      <c r="CU18" s="72">
        <f t="shared" si="145"/>
        <v>55506</v>
      </c>
      <c r="CV18" s="21"/>
      <c r="CW18" s="21"/>
      <c r="CX18" s="20"/>
      <c r="CY18" s="72"/>
      <c r="CZ18" s="176"/>
      <c r="DA18" s="176"/>
      <c r="DB18" s="176"/>
      <c r="DC18" s="176"/>
      <c r="DD18" s="72">
        <f t="shared" si="146"/>
        <v>13052</v>
      </c>
      <c r="DE18" s="21"/>
      <c r="DF18" s="21"/>
      <c r="DG18" s="20"/>
      <c r="DH18" s="72"/>
      <c r="DI18" s="176"/>
      <c r="DJ18" s="176"/>
      <c r="DK18" s="176"/>
      <c r="DL18" s="176"/>
      <c r="DM18" s="72">
        <f t="shared" si="147"/>
        <v>53025</v>
      </c>
      <c r="DN18" s="21"/>
      <c r="DO18" s="21"/>
      <c r="DP18" s="20"/>
      <c r="DQ18" s="177"/>
      <c r="DR18" s="176"/>
      <c r="DS18" s="176"/>
      <c r="DT18" s="176"/>
      <c r="DU18" s="176"/>
      <c r="DV18" s="72">
        <f t="shared" si="148"/>
        <v>7880</v>
      </c>
      <c r="DW18" s="21"/>
      <c r="DX18" s="21"/>
      <c r="DY18" s="20"/>
      <c r="DZ18" s="177"/>
      <c r="EA18" s="176"/>
      <c r="EB18" s="176"/>
      <c r="EC18" s="176"/>
      <c r="ED18" s="176"/>
      <c r="EE18" s="72">
        <f t="shared" si="149"/>
        <v>55506</v>
      </c>
      <c r="EF18" s="21"/>
      <c r="EG18" s="21"/>
      <c r="EH18" s="20"/>
      <c r="EI18" s="72"/>
      <c r="EJ18" s="176"/>
      <c r="EK18" s="176"/>
      <c r="EL18" s="176"/>
      <c r="EM18" s="176"/>
      <c r="EN18" s="72">
        <f t="shared" si="150"/>
        <v>8471</v>
      </c>
      <c r="EO18" s="21"/>
      <c r="EP18" s="21"/>
      <c r="EQ18" s="20"/>
      <c r="ER18" s="72"/>
      <c r="ES18" s="176"/>
      <c r="ET18" s="176"/>
      <c r="EU18" s="176"/>
      <c r="EV18" s="176"/>
      <c r="EW18" s="72">
        <f t="shared" si="151"/>
        <v>13650</v>
      </c>
      <c r="EX18" s="21"/>
      <c r="EY18" s="21"/>
      <c r="EZ18" s="20"/>
      <c r="FA18" s="72"/>
      <c r="FB18" s="176"/>
      <c r="FC18" s="176"/>
      <c r="FD18" s="176"/>
      <c r="FE18" s="176"/>
      <c r="FF18" s="72">
        <f t="shared" si="152"/>
        <v>9395</v>
      </c>
      <c r="FG18" s="21"/>
      <c r="FH18" s="21"/>
      <c r="FI18" s="20"/>
      <c r="FJ18" s="72"/>
      <c r="FK18" s="176"/>
      <c r="FL18" s="176"/>
      <c r="FM18" s="176"/>
      <c r="FN18" s="176"/>
      <c r="FO18" s="20">
        <f t="shared" si="153"/>
        <v>67185</v>
      </c>
      <c r="FP18" s="81"/>
      <c r="FQ18" s="81"/>
      <c r="FR18" s="20"/>
      <c r="FS18" s="72"/>
      <c r="FT18" s="176"/>
      <c r="FU18" s="176"/>
      <c r="FV18" s="176"/>
      <c r="FW18" s="176"/>
      <c r="FX18" s="55"/>
      <c r="GC18" s="15"/>
      <c r="GE18" s="72">
        <f t="shared" si="154"/>
        <v>5295</v>
      </c>
      <c r="GF18" s="21"/>
      <c r="GG18" s="21"/>
      <c r="GH18" s="72"/>
      <c r="GI18" s="72"/>
      <c r="GJ18" s="179"/>
      <c r="GK18" s="179"/>
      <c r="GL18" s="179"/>
      <c r="GM18" s="176"/>
      <c r="GN18" s="72">
        <f t="shared" si="157"/>
        <v>41013</v>
      </c>
      <c r="GO18" s="21"/>
      <c r="GP18" s="21"/>
      <c r="GQ18" s="72"/>
      <c r="GR18" s="72"/>
      <c r="GS18" s="179"/>
      <c r="GT18" s="179"/>
      <c r="GU18" s="179"/>
      <c r="GV18" s="176"/>
      <c r="GW18" s="72">
        <f t="shared" si="160"/>
        <v>105733</v>
      </c>
      <c r="GX18" s="21"/>
      <c r="GY18" s="72"/>
      <c r="GZ18" s="176"/>
      <c r="HA18" s="176"/>
      <c r="HB18" s="176"/>
      <c r="HC18" s="72">
        <f t="shared" si="164"/>
        <v>40770</v>
      </c>
      <c r="HD18" s="21"/>
      <c r="HE18" s="21"/>
      <c r="HF18" s="72"/>
      <c r="HG18" s="72"/>
      <c r="HH18" s="176"/>
      <c r="HI18" s="176"/>
      <c r="HJ18" s="176"/>
      <c r="HK18" s="176"/>
      <c r="HP18" s="19"/>
    </row>
    <row r="19" spans="2:232" x14ac:dyDescent="0.25">
      <c r="B19" s="69">
        <v>43436</v>
      </c>
      <c r="C19" s="21">
        <v>70004</v>
      </c>
      <c r="D19" s="21">
        <v>2.0579999999999998</v>
      </c>
      <c r="E19" s="38">
        <f t="shared" si="16"/>
        <v>44640</v>
      </c>
      <c r="F19" s="38"/>
      <c r="G19" s="21">
        <v>65180</v>
      </c>
      <c r="H19" s="21">
        <v>2.222</v>
      </c>
      <c r="I19" s="38">
        <f t="shared" si="17"/>
        <v>45280</v>
      </c>
      <c r="J19" s="38"/>
      <c r="K19" s="21">
        <v>7935</v>
      </c>
      <c r="L19" s="21">
        <v>3.05</v>
      </c>
      <c r="M19" s="38">
        <f t="shared" si="98"/>
        <v>12000</v>
      </c>
      <c r="N19" s="38"/>
      <c r="O19" s="21">
        <v>7912</v>
      </c>
      <c r="P19" s="21">
        <v>3.07</v>
      </c>
      <c r="Q19" s="38">
        <f t="shared" si="99"/>
        <v>12800</v>
      </c>
      <c r="R19" s="38"/>
      <c r="S19" s="21">
        <v>8504</v>
      </c>
      <c r="T19" s="21">
        <v>3.33</v>
      </c>
      <c r="U19" s="38">
        <f t="shared" si="100"/>
        <v>13200</v>
      </c>
      <c r="V19" s="38"/>
      <c r="W19" s="21">
        <v>55652</v>
      </c>
      <c r="X19" s="21">
        <v>2.343</v>
      </c>
      <c r="Y19" s="38">
        <f t="shared" si="101"/>
        <v>43800</v>
      </c>
      <c r="Z19" s="38"/>
      <c r="AA19" s="21">
        <v>53170</v>
      </c>
      <c r="AB19" s="21">
        <v>2.0139999999999998</v>
      </c>
      <c r="AC19" s="38">
        <f t="shared" si="102"/>
        <v>43500</v>
      </c>
      <c r="AD19" s="38"/>
      <c r="AE19" s="21">
        <v>13667</v>
      </c>
      <c r="AF19" s="21">
        <v>3.3</v>
      </c>
      <c r="AG19" s="38">
        <f t="shared" si="103"/>
        <v>2720</v>
      </c>
      <c r="AH19" s="38"/>
      <c r="AI19" s="21">
        <v>9425</v>
      </c>
      <c r="AJ19" s="21">
        <v>3.59</v>
      </c>
      <c r="AK19" s="38">
        <f t="shared" si="104"/>
        <v>4800</v>
      </c>
      <c r="AL19" s="38"/>
      <c r="AM19" s="21">
        <v>67427</v>
      </c>
      <c r="AN19" s="21">
        <v>2.008</v>
      </c>
      <c r="AO19" s="38">
        <f t="shared" si="105"/>
        <v>48400</v>
      </c>
      <c r="AP19" s="38"/>
      <c r="AQ19" s="21">
        <v>13102</v>
      </c>
      <c r="AR19" s="21">
        <v>0.39900000000000002</v>
      </c>
      <c r="AS19" s="38">
        <f t="shared" si="106"/>
        <v>2000</v>
      </c>
      <c r="AT19" s="38"/>
      <c r="AU19" s="226">
        <v>120860</v>
      </c>
      <c r="AV19" s="226"/>
      <c r="AW19" s="38">
        <f t="shared" si="107"/>
        <v>656</v>
      </c>
      <c r="AX19" s="38"/>
      <c r="AZ19" s="183">
        <f t="shared" si="18"/>
        <v>273796</v>
      </c>
      <c r="BA19">
        <f t="shared" si="19"/>
        <v>50400</v>
      </c>
      <c r="BB19">
        <f t="shared" si="20"/>
        <v>0.18407865710236818</v>
      </c>
      <c r="BD19" s="15"/>
      <c r="BE19" s="69">
        <v>43436</v>
      </c>
      <c r="BF19" s="26">
        <v>41013</v>
      </c>
      <c r="BG19" s="38">
        <f t="shared" si="21"/>
        <v>0</v>
      </c>
      <c r="BH19" s="38"/>
      <c r="BI19" s="26">
        <v>5295</v>
      </c>
      <c r="BJ19" s="38">
        <f t="shared" si="22"/>
        <v>0</v>
      </c>
      <c r="BK19" s="38"/>
      <c r="BL19" s="21">
        <v>105733</v>
      </c>
      <c r="BM19" s="38">
        <f t="shared" si="23"/>
        <v>0</v>
      </c>
      <c r="BN19" s="38"/>
      <c r="BO19" s="21">
        <v>40770</v>
      </c>
      <c r="BP19" s="38">
        <f t="shared" si="24"/>
        <v>0</v>
      </c>
      <c r="BQ19" s="38"/>
      <c r="BR19" s="70"/>
      <c r="BS19" s="26">
        <f t="shared" si="25"/>
        <v>0</v>
      </c>
      <c r="BW19" s="15"/>
      <c r="BY19" s="20">
        <f t="shared" si="142"/>
        <v>120860</v>
      </c>
      <c r="BZ19" s="21">
        <v>20136</v>
      </c>
      <c r="CA19" s="185">
        <f>SUM(BZ19-BZ14)</f>
        <v>2507</v>
      </c>
      <c r="CB19" s="71">
        <f>SUM(CA19*0.12043+CA19*0.03046)*1.08+1.91</f>
        <v>410.45372840000005</v>
      </c>
      <c r="CC19" s="72">
        <f t="shared" si="243"/>
        <v>65180</v>
      </c>
      <c r="CD19" s="21">
        <v>64973</v>
      </c>
      <c r="CE19" s="21">
        <v>2.2189999999999999</v>
      </c>
      <c r="CF19" s="185">
        <f>SUM(CD19-CD14)*160</f>
        <v>173760</v>
      </c>
      <c r="CG19" s="72">
        <f>(CE19)*160</f>
        <v>355.03999999999996</v>
      </c>
      <c r="CH19" s="176">
        <f>SUM(CF19*0.03699)</f>
        <v>6427.3824000000004</v>
      </c>
      <c r="CI19" s="176">
        <f>SUM(CF19*0.03046)</f>
        <v>5292.7296000000006</v>
      </c>
      <c r="CJ19" s="176">
        <f>SUM(CG19*7.447)</f>
        <v>2643.9828799999996</v>
      </c>
      <c r="CK19" s="176">
        <f>SUM(CH19+CI19)</f>
        <v>11720.112000000001</v>
      </c>
      <c r="CL19" s="72">
        <f t="shared" si="144"/>
        <v>70004</v>
      </c>
      <c r="CM19" s="21">
        <v>69800</v>
      </c>
      <c r="CN19" s="21">
        <v>2.0329999999999999</v>
      </c>
      <c r="CO19" s="185">
        <f>SUM(CM19-CM14)*160</f>
        <v>171200</v>
      </c>
      <c r="CP19" s="72">
        <f>(CN19)*160</f>
        <v>325.27999999999997</v>
      </c>
      <c r="CQ19" s="176">
        <f>SUM(CO19*0.03699)</f>
        <v>6332.6880000000001</v>
      </c>
      <c r="CR19" s="176">
        <f>SUM(CO19*0.03046)</f>
        <v>5214.7520000000004</v>
      </c>
      <c r="CS19" s="176">
        <f>SUM(CP19*7.447)</f>
        <v>2422.3601599999997</v>
      </c>
      <c r="CT19" s="176">
        <f>SUM(CQ19+CR19)</f>
        <v>11547.44</v>
      </c>
      <c r="CU19" s="72">
        <f t="shared" si="145"/>
        <v>55652</v>
      </c>
      <c r="CV19" s="21">
        <v>55537</v>
      </c>
      <c r="CW19" s="21">
        <v>2.476</v>
      </c>
      <c r="CX19" s="185">
        <f>SUM(CV19-CV14)*300</f>
        <v>223500</v>
      </c>
      <c r="CY19" s="72">
        <f>(CW19)*300</f>
        <v>742.8</v>
      </c>
      <c r="CZ19" s="176">
        <f>SUM(CX19*0.03699)</f>
        <v>8267.2650000000012</v>
      </c>
      <c r="DA19" s="176">
        <f>SUM(CX19*0.03046)</f>
        <v>6807.81</v>
      </c>
      <c r="DB19" s="176">
        <f>SUM(CY19*7.447)</f>
        <v>5531.6315999999997</v>
      </c>
      <c r="DC19" s="176">
        <f>SUM(CZ19+DA19)</f>
        <v>15075.075000000001</v>
      </c>
      <c r="DD19" s="72">
        <f t="shared" si="146"/>
        <v>13102</v>
      </c>
      <c r="DE19" s="21">
        <v>13065</v>
      </c>
      <c r="DF19" s="21">
        <v>0.41699999999999998</v>
      </c>
      <c r="DG19" s="185">
        <f>SUM(DE19-DE14)*40</f>
        <v>7600</v>
      </c>
      <c r="DH19" s="72">
        <f>(DF19)*40</f>
        <v>16.68</v>
      </c>
      <c r="DI19" s="176">
        <f>SUM(DG19*0.03699)</f>
        <v>281.12400000000002</v>
      </c>
      <c r="DJ19" s="176">
        <f>SUM(DG19*0.03046)</f>
        <v>231.49600000000001</v>
      </c>
      <c r="DK19" s="176">
        <f>SUM(DH19*7.447)</f>
        <v>124.21596</v>
      </c>
      <c r="DL19" s="176">
        <f>SUM(DI19+DJ19)</f>
        <v>512.62</v>
      </c>
      <c r="DM19" s="72">
        <f t="shared" si="147"/>
        <v>53170</v>
      </c>
      <c r="DN19" s="21">
        <v>53068</v>
      </c>
      <c r="DO19" s="21">
        <v>2.19</v>
      </c>
      <c r="DP19" s="185">
        <f>SUM(DN19-DN14)*300</f>
        <v>198300</v>
      </c>
      <c r="DQ19" s="177">
        <f>(DO19)*300</f>
        <v>657</v>
      </c>
      <c r="DR19" s="176">
        <f>SUM(DP19*0.03699)</f>
        <v>7335.1170000000002</v>
      </c>
      <c r="DS19" s="176">
        <f>SUM(DP19*0.03046)</f>
        <v>6040.2179999999998</v>
      </c>
      <c r="DT19" s="176">
        <f>SUM(DQ19*7.447)</f>
        <v>4892.6790000000001</v>
      </c>
      <c r="DU19" s="176">
        <f>SUM(DR19+DS19)</f>
        <v>13375.334999999999</v>
      </c>
      <c r="DV19" s="72">
        <f t="shared" si="148"/>
        <v>7912</v>
      </c>
      <c r="DW19" s="21">
        <v>7888</v>
      </c>
      <c r="DX19" s="21">
        <v>0.25900000000000001</v>
      </c>
      <c r="DY19" s="185">
        <f>SUM(DW19-DW14)*400</f>
        <v>47600</v>
      </c>
      <c r="DZ19" s="177">
        <f>(DX19)*400</f>
        <v>103.60000000000001</v>
      </c>
      <c r="EA19" s="176">
        <f>SUM(DY19*0.03699)</f>
        <v>1760.7240000000002</v>
      </c>
      <c r="EB19" s="176">
        <f>SUM(DY19*0.03046)</f>
        <v>1449.896</v>
      </c>
      <c r="EC19" s="176">
        <f>SUM(DZ19*7.447)</f>
        <v>771.50920000000008</v>
      </c>
      <c r="ED19" s="71">
        <f>SUM(EA19+EB19)</f>
        <v>3210.62</v>
      </c>
      <c r="EE19" s="72">
        <f t="shared" si="149"/>
        <v>55652</v>
      </c>
      <c r="EF19" s="21">
        <v>7912</v>
      </c>
      <c r="EG19" s="21">
        <v>0.26</v>
      </c>
      <c r="EH19" s="185">
        <f>SUM(EF19-EF14)*400</f>
        <v>46800</v>
      </c>
      <c r="EI19" s="72">
        <f>(EG19)*400</f>
        <v>104</v>
      </c>
      <c r="EJ19" s="176">
        <f>SUM(EH19*0.03699)</f>
        <v>1731.1320000000001</v>
      </c>
      <c r="EK19" s="176">
        <f>SUM(EH19*0.03046)</f>
        <v>1425.528</v>
      </c>
      <c r="EL19" s="176">
        <f>SUM(EI19*7.447)</f>
        <v>774.48800000000006</v>
      </c>
      <c r="EM19" s="176">
        <f>SUM(EJ19+EK19)</f>
        <v>3156.66</v>
      </c>
      <c r="EN19" s="72">
        <f t="shared" si="150"/>
        <v>8504</v>
      </c>
      <c r="EO19" s="21">
        <v>8479</v>
      </c>
      <c r="EP19" s="21">
        <v>0.28100000000000003</v>
      </c>
      <c r="EQ19" s="185">
        <f>SUM(EO19-EO14)*400</f>
        <v>50000</v>
      </c>
      <c r="ER19" s="72">
        <f>(EP19)*400</f>
        <v>112.4</v>
      </c>
      <c r="ES19" s="176">
        <f>SUM(EQ19*0.03699)</f>
        <v>1849.5</v>
      </c>
      <c r="ET19" s="176">
        <f>SUM(EQ19*0.03046)</f>
        <v>1523</v>
      </c>
      <c r="EU19" s="176">
        <f>SUM(ER19*7.447)</f>
        <v>837.04280000000006</v>
      </c>
      <c r="EV19" s="176">
        <f>SUM(ES19+ET19)</f>
        <v>3372.5</v>
      </c>
      <c r="EW19" s="72">
        <f t="shared" si="151"/>
        <v>13667</v>
      </c>
      <c r="EX19" s="21">
        <v>13632</v>
      </c>
      <c r="EY19" s="21">
        <v>0.442</v>
      </c>
      <c r="EZ19" s="185">
        <f>SUM(EX19-EX14)*160</f>
        <v>27680</v>
      </c>
      <c r="FA19" s="72">
        <f>(EY19)*160</f>
        <v>70.72</v>
      </c>
      <c r="FB19" s="176">
        <f>SUM(EZ19*0.03699)</f>
        <v>1023.8832000000001</v>
      </c>
      <c r="FC19" s="176">
        <f>SUM(EZ19*0.03046)</f>
        <v>843.13279999999997</v>
      </c>
      <c r="FD19" s="176">
        <f>SUM(FA19*7.447)</f>
        <v>526.65183999999999</v>
      </c>
      <c r="FE19" s="176">
        <f>SUM(FB19+FC19)</f>
        <v>1867.0160000000001</v>
      </c>
      <c r="FF19" s="72">
        <f t="shared" si="152"/>
        <v>9425</v>
      </c>
      <c r="FG19" s="21">
        <v>9403</v>
      </c>
      <c r="FH19" s="21">
        <v>0.4</v>
      </c>
      <c r="FI19" s="185">
        <f>SUM(FG19-FG14)*160</f>
        <v>17440</v>
      </c>
      <c r="FJ19" s="72">
        <f>(FH19)*160</f>
        <v>64</v>
      </c>
      <c r="FK19" s="176">
        <f>SUM(FI19*0.03699)</f>
        <v>645.10559999999998</v>
      </c>
      <c r="FL19" s="176">
        <f>SUM(FI19*0.03046)</f>
        <v>531.22239999999999</v>
      </c>
      <c r="FM19" s="176">
        <f>SUM(FJ19*7.447)</f>
        <v>476.608</v>
      </c>
      <c r="FN19" s="71">
        <f>SUM(FK19+FL19)</f>
        <v>1176.328</v>
      </c>
      <c r="FO19" s="20">
        <f t="shared" si="153"/>
        <v>67427</v>
      </c>
      <c r="FP19" s="184">
        <v>67250</v>
      </c>
      <c r="FQ19" s="184">
        <v>2.1219999999999999</v>
      </c>
      <c r="FR19" s="185">
        <f>SUM(FP19-FP14)*200</f>
        <v>197000</v>
      </c>
      <c r="FS19" s="72">
        <f>(FQ19)*200</f>
        <v>424.4</v>
      </c>
      <c r="FT19" s="176">
        <f>SUM(FR19*0.03699)</f>
        <v>7287.0300000000007</v>
      </c>
      <c r="FU19" s="176">
        <f>SUM(FR19*0.03046)</f>
        <v>6000.62</v>
      </c>
      <c r="FV19" s="176">
        <f>SUM(FS19*7.447)</f>
        <v>3160.5067999999997</v>
      </c>
      <c r="FW19" s="176">
        <f>SUM(FT19:FV19)</f>
        <v>16448.156800000001</v>
      </c>
      <c r="FX19" s="55"/>
      <c r="FY19" s="54">
        <f>SUM(CA19+CF19+CO19+CX19+DG19+DP19+DY19+EH19+EQ19+EZ19+FI19+FR19)</f>
        <v>1163387</v>
      </c>
      <c r="FZ19" s="50">
        <f>SUM(CB19+CK19,CT19,DC19,DL19,DU19,ED19,EM19,EV19,FE19,FN19+FW19)</f>
        <v>81872.316528400013</v>
      </c>
      <c r="GA19" s="50">
        <f>SUM(CJ19,CS19,DB19,DK19,DT19,EC19,EL19,EU19,FD19,FM19,FV19)</f>
        <v>22161.676239999997</v>
      </c>
      <c r="GB19" s="50">
        <f>SUM(FZ19:GA19)</f>
        <v>104033.99276840001</v>
      </c>
      <c r="GC19" s="15"/>
      <c r="GE19" s="72">
        <f t="shared" si="154"/>
        <v>5295</v>
      </c>
      <c r="GF19" s="21">
        <v>6034</v>
      </c>
      <c r="GG19" s="21">
        <v>0.28499999999999998</v>
      </c>
      <c r="GH19" s="186">
        <v>7400</v>
      </c>
      <c r="GI19" s="72">
        <f>SUM(GG19)*100</f>
        <v>28.499999999999996</v>
      </c>
      <c r="GJ19" s="179">
        <f>SUM(GH19*0.03699)</f>
        <v>273.726</v>
      </c>
      <c r="GK19" s="179">
        <f>SUM(GH19*0.03046)</f>
        <v>225.404</v>
      </c>
      <c r="GL19" s="179">
        <f>SUM(GI19*7.447)</f>
        <v>212.23949999999996</v>
      </c>
      <c r="GM19" s="176">
        <f>SUM(GK19+GJ19+20)*1.1048+GJ19</f>
        <v>847.26082399999996</v>
      </c>
      <c r="GN19" s="72">
        <f t="shared" si="157"/>
        <v>41013</v>
      </c>
      <c r="GO19" s="21">
        <v>47141</v>
      </c>
      <c r="GP19" s="21">
        <v>1.784</v>
      </c>
      <c r="GQ19" s="186">
        <f>SUM(GO19-GO14)*100</f>
        <v>60000</v>
      </c>
      <c r="GR19" s="72">
        <f>SUM(GP19)*100</f>
        <v>178.4</v>
      </c>
      <c r="GS19" s="179">
        <f>SUM(GQ19*0.03699)</f>
        <v>2219.4</v>
      </c>
      <c r="GT19" s="179">
        <f>SUM(GQ19*0.03046)</f>
        <v>1827.6000000000001</v>
      </c>
      <c r="GU19" s="179">
        <f>SUM(GR19*7.447)</f>
        <v>1328.5448000000001</v>
      </c>
      <c r="GV19" s="176">
        <f>SUM(GT19+GS19+20)*1.1048</f>
        <v>4493.2215999999999</v>
      </c>
      <c r="GW19" s="72">
        <f t="shared" si="160"/>
        <v>105733</v>
      </c>
      <c r="GX19" s="21">
        <v>34237</v>
      </c>
      <c r="GY19" s="186">
        <f>SUM(GX19-GX14)</f>
        <v>3454</v>
      </c>
      <c r="GZ19" s="176">
        <f>SUM(GY19*0.12043)</f>
        <v>415.96521999999999</v>
      </c>
      <c r="HA19" s="176">
        <f>SUM(GY19*0.03046)</f>
        <v>105.20884000000001</v>
      </c>
      <c r="HB19" s="176">
        <f>SUM(GZ19+HA19+2.85)*1.07</f>
        <v>560.70574420000014</v>
      </c>
      <c r="HC19" s="72">
        <f t="shared" si="164"/>
        <v>40770</v>
      </c>
      <c r="HD19" s="21">
        <v>43138</v>
      </c>
      <c r="HE19" s="21">
        <v>3.9159999999999999</v>
      </c>
      <c r="HF19" s="186">
        <f>SUM(HD19-HD14)*40</f>
        <v>9080</v>
      </c>
      <c r="HG19" s="72">
        <f>SUM(HE19)*40</f>
        <v>156.63999999999999</v>
      </c>
      <c r="HH19" s="176">
        <f>SUM(HF19*0.03699)</f>
        <v>335.86920000000003</v>
      </c>
      <c r="HI19" s="176">
        <f>SUM(HF19*0.03046)</f>
        <v>276.57679999999999</v>
      </c>
      <c r="HJ19" s="176">
        <f>SUM(HG19*7.447)</f>
        <v>1166.4980799999998</v>
      </c>
      <c r="HK19" s="71">
        <f>SUM(HI19+HH19+20)*1.1048</f>
        <v>698.7263408</v>
      </c>
      <c r="HL19">
        <f>SUM(GH19+GQ19+GY19+HF19)</f>
        <v>79934</v>
      </c>
      <c r="HM19" s="50">
        <f>SUM(HK19+HB19+GV19+GM19)</f>
        <v>6599.9145090000002</v>
      </c>
      <c r="HN19" s="50">
        <f>SUM(GL19+GU19+HJ19)</f>
        <v>2707.2823799999996</v>
      </c>
      <c r="HO19" s="50">
        <f>SUM(HM19:HN19)</f>
        <v>9307.1968889999989</v>
      </c>
      <c r="HP19" s="19"/>
      <c r="HQ19" s="54">
        <f t="shared" ref="HQ19:HS19" si="244">(FY19+HL19)</f>
        <v>1243321</v>
      </c>
      <c r="HR19" s="50">
        <f t="shared" si="244"/>
        <v>88472.231037400008</v>
      </c>
      <c r="HS19" s="50">
        <f t="shared" si="244"/>
        <v>24868.958619999998</v>
      </c>
      <c r="HT19" s="50">
        <f t="shared" ref="HT19" si="245">(HR19+HS19)</f>
        <v>113341.18965740001</v>
      </c>
      <c r="HV19">
        <v>3.6990000000000002E-2</v>
      </c>
      <c r="HW19">
        <v>3.0460000000000001E-2</v>
      </c>
      <c r="HX19">
        <v>7.4470000000000001</v>
      </c>
    </row>
    <row r="20" spans="2:232" x14ac:dyDescent="0.25">
      <c r="B20" s="69">
        <v>43443</v>
      </c>
      <c r="C20" s="21">
        <v>70280</v>
      </c>
      <c r="D20" s="21">
        <v>2.08</v>
      </c>
      <c r="E20" s="38">
        <f t="shared" si="16"/>
        <v>44160</v>
      </c>
      <c r="F20" s="38"/>
      <c r="G20" s="21">
        <v>65450</v>
      </c>
      <c r="H20" s="21">
        <v>2.222</v>
      </c>
      <c r="I20" s="38">
        <f t="shared" si="17"/>
        <v>43200</v>
      </c>
      <c r="J20" s="38"/>
      <c r="K20" s="21">
        <v>7964</v>
      </c>
      <c r="L20" s="21">
        <v>3.05</v>
      </c>
      <c r="M20" s="38">
        <f t="shared" si="98"/>
        <v>11600</v>
      </c>
      <c r="N20" s="38"/>
      <c r="O20" s="21">
        <v>7942</v>
      </c>
      <c r="P20" s="21">
        <v>3.07</v>
      </c>
      <c r="Q20" s="38">
        <f t="shared" si="99"/>
        <v>12000</v>
      </c>
      <c r="R20" s="38"/>
      <c r="S20" s="21">
        <v>8535</v>
      </c>
      <c r="T20" s="21">
        <v>3.33</v>
      </c>
      <c r="U20" s="38">
        <f t="shared" si="100"/>
        <v>12400</v>
      </c>
      <c r="V20" s="38"/>
      <c r="W20" s="21">
        <v>55831</v>
      </c>
      <c r="X20" s="21">
        <v>2.343</v>
      </c>
      <c r="Y20" s="38">
        <f t="shared" si="101"/>
        <v>53700</v>
      </c>
      <c r="Z20" s="38"/>
      <c r="AA20" s="21">
        <v>53301</v>
      </c>
      <c r="AB20" s="21">
        <v>2.0139999999999998</v>
      </c>
      <c r="AC20" s="38">
        <f t="shared" si="102"/>
        <v>39300</v>
      </c>
      <c r="AD20" s="38"/>
      <c r="AE20" s="21">
        <v>13713</v>
      </c>
      <c r="AF20" s="21">
        <v>3.89</v>
      </c>
      <c r="AG20" s="38">
        <f t="shared" si="103"/>
        <v>7360</v>
      </c>
      <c r="AH20" s="38"/>
      <c r="AI20" s="21">
        <v>9455</v>
      </c>
      <c r="AJ20" s="21">
        <v>3.59</v>
      </c>
      <c r="AK20" s="38">
        <f t="shared" si="104"/>
        <v>4800</v>
      </c>
      <c r="AL20" s="38"/>
      <c r="AM20" s="21">
        <v>67684</v>
      </c>
      <c r="AN20" s="21">
        <v>2.0459999999999998</v>
      </c>
      <c r="AO20" s="38">
        <f t="shared" si="105"/>
        <v>51400</v>
      </c>
      <c r="AP20" s="38"/>
      <c r="AQ20" s="21">
        <v>13152</v>
      </c>
      <c r="AR20" s="21">
        <v>0.436</v>
      </c>
      <c r="AS20" s="38">
        <f t="shared" si="106"/>
        <v>2000</v>
      </c>
      <c r="AT20" s="38"/>
      <c r="AU20" s="226">
        <v>121522</v>
      </c>
      <c r="AV20" s="226"/>
      <c r="AW20" s="38">
        <f t="shared" si="107"/>
        <v>662</v>
      </c>
      <c r="AX20" s="38"/>
      <c r="AZ20" s="183">
        <f t="shared" si="18"/>
        <v>282582</v>
      </c>
      <c r="BA20">
        <f t="shared" si="19"/>
        <v>53400</v>
      </c>
      <c r="BB20">
        <f t="shared" si="20"/>
        <v>0.18897169671104316</v>
      </c>
      <c r="BD20" s="15"/>
      <c r="BE20" s="69">
        <v>43443</v>
      </c>
      <c r="BF20" s="26">
        <v>41013</v>
      </c>
      <c r="BG20" s="38">
        <f t="shared" si="21"/>
        <v>0</v>
      </c>
      <c r="BH20" s="38"/>
      <c r="BI20" s="26">
        <v>5295</v>
      </c>
      <c r="BJ20" s="38">
        <f t="shared" si="22"/>
        <v>0</v>
      </c>
      <c r="BK20" s="38"/>
      <c r="BL20" s="21">
        <v>105733</v>
      </c>
      <c r="BM20" s="38">
        <f t="shared" si="23"/>
        <v>0</v>
      </c>
      <c r="BN20" s="38"/>
      <c r="BO20" s="21">
        <v>40770</v>
      </c>
      <c r="BP20" s="38">
        <f t="shared" si="24"/>
        <v>0</v>
      </c>
      <c r="BQ20" s="38"/>
      <c r="BR20" s="70"/>
      <c r="BS20" s="26">
        <f t="shared" si="25"/>
        <v>0</v>
      </c>
      <c r="BW20" s="15"/>
      <c r="BY20" s="20">
        <f t="shared" si="142"/>
        <v>121522</v>
      </c>
      <c r="BZ20" s="21"/>
      <c r="CA20" s="20"/>
      <c r="CB20" s="71"/>
      <c r="CC20" s="72">
        <f t="shared" si="243"/>
        <v>65450</v>
      </c>
      <c r="CD20" s="21"/>
      <c r="CE20" s="21"/>
      <c r="CF20" s="20"/>
      <c r="CG20" s="72"/>
      <c r="CH20" s="176"/>
      <c r="CI20" s="176"/>
      <c r="CJ20" s="176"/>
      <c r="CK20" s="176"/>
      <c r="CL20" s="72">
        <f t="shared" si="144"/>
        <v>70280</v>
      </c>
      <c r="CM20" s="21"/>
      <c r="CN20" s="21"/>
      <c r="CO20" s="20"/>
      <c r="CP20" s="72"/>
      <c r="CQ20" s="176"/>
      <c r="CR20" s="176"/>
      <c r="CS20" s="176"/>
      <c r="CT20" s="176"/>
      <c r="CU20" s="72">
        <f t="shared" si="145"/>
        <v>55831</v>
      </c>
      <c r="CV20" s="21"/>
      <c r="CW20" s="21"/>
      <c r="CX20" s="20"/>
      <c r="CY20" s="72"/>
      <c r="CZ20" s="176"/>
      <c r="DA20" s="176"/>
      <c r="DB20" s="176"/>
      <c r="DC20" s="176"/>
      <c r="DD20" s="72">
        <f t="shared" si="146"/>
        <v>13152</v>
      </c>
      <c r="DE20" s="21"/>
      <c r="DF20" s="21"/>
      <c r="DG20" s="20"/>
      <c r="DH20" s="72"/>
      <c r="DI20" s="176"/>
      <c r="DJ20" s="176"/>
      <c r="DK20" s="176"/>
      <c r="DL20" s="176"/>
      <c r="DM20" s="72">
        <f t="shared" si="147"/>
        <v>53301</v>
      </c>
      <c r="DN20" s="21"/>
      <c r="DO20" s="21"/>
      <c r="DP20" s="20"/>
      <c r="DQ20" s="177"/>
      <c r="DR20" s="176"/>
      <c r="DS20" s="176"/>
      <c r="DT20" s="176"/>
      <c r="DU20" s="176"/>
      <c r="DV20" s="72">
        <f t="shared" si="148"/>
        <v>7942</v>
      </c>
      <c r="DW20" s="21"/>
      <c r="DX20" s="21"/>
      <c r="DY20" s="20"/>
      <c r="DZ20" s="177"/>
      <c r="EA20" s="176"/>
      <c r="EB20" s="176"/>
      <c r="EC20" s="176"/>
      <c r="ED20" s="176"/>
      <c r="EE20" s="72">
        <f t="shared" si="149"/>
        <v>55831</v>
      </c>
      <c r="EF20" s="21"/>
      <c r="EG20" s="21"/>
      <c r="EH20" s="20"/>
      <c r="EI20" s="72"/>
      <c r="EJ20" s="176"/>
      <c r="EK20" s="176"/>
      <c r="EL20" s="176"/>
      <c r="EM20" s="176"/>
      <c r="EN20" s="72">
        <f t="shared" si="150"/>
        <v>8535</v>
      </c>
      <c r="EO20" s="21"/>
      <c r="EP20" s="21"/>
      <c r="EQ20" s="20"/>
      <c r="ER20" s="72"/>
      <c r="ES20" s="176"/>
      <c r="ET20" s="176"/>
      <c r="EU20" s="176"/>
      <c r="EV20" s="176"/>
      <c r="EW20" s="72">
        <f t="shared" si="151"/>
        <v>13713</v>
      </c>
      <c r="EX20" s="21"/>
      <c r="EY20" s="21"/>
      <c r="EZ20" s="20"/>
      <c r="FA20" s="72"/>
      <c r="FB20" s="176"/>
      <c r="FC20" s="176"/>
      <c r="FD20" s="176"/>
      <c r="FE20" s="176"/>
      <c r="FF20" s="72">
        <f t="shared" si="152"/>
        <v>9455</v>
      </c>
      <c r="FG20" s="21"/>
      <c r="FH20" s="21"/>
      <c r="FI20" s="20"/>
      <c r="FJ20" s="72"/>
      <c r="FK20" s="176"/>
      <c r="FL20" s="176"/>
      <c r="FM20" s="176"/>
      <c r="FN20" s="176"/>
      <c r="FO20" s="20">
        <f t="shared" si="153"/>
        <v>67684</v>
      </c>
      <c r="FP20" s="81"/>
      <c r="FQ20" s="81"/>
      <c r="FR20" s="20"/>
      <c r="FS20" s="72"/>
      <c r="FT20" s="176"/>
      <c r="FU20" s="176"/>
      <c r="FV20" s="176"/>
      <c r="FW20" s="176"/>
      <c r="FX20" s="55"/>
      <c r="GC20" s="15"/>
      <c r="GE20" s="72">
        <f t="shared" si="154"/>
        <v>5295</v>
      </c>
      <c r="GF20" s="21"/>
      <c r="GG20" s="21"/>
      <c r="GH20" s="72"/>
      <c r="GI20" s="72"/>
      <c r="GJ20" s="179"/>
      <c r="GK20" s="179"/>
      <c r="GL20" s="179"/>
      <c r="GM20" s="176"/>
      <c r="GN20" s="72">
        <f t="shared" si="157"/>
        <v>41013</v>
      </c>
      <c r="GO20" s="21"/>
      <c r="GP20" s="21"/>
      <c r="GQ20" s="72"/>
      <c r="GR20" s="72"/>
      <c r="GS20" s="179"/>
      <c r="GT20" s="179"/>
      <c r="GU20" s="179"/>
      <c r="GV20" s="176"/>
      <c r="GW20" s="72">
        <f t="shared" si="160"/>
        <v>105733</v>
      </c>
      <c r="GX20" s="21"/>
      <c r="GY20" s="72"/>
      <c r="GZ20" s="176"/>
      <c r="HA20" s="176"/>
      <c r="HB20" s="176"/>
      <c r="HC20" s="72">
        <f t="shared" si="164"/>
        <v>40770</v>
      </c>
      <c r="HD20" s="21"/>
      <c r="HE20" s="21"/>
      <c r="HF20" s="72"/>
      <c r="HG20" s="72"/>
      <c r="HH20" s="176"/>
      <c r="HI20" s="176"/>
      <c r="HJ20" s="176"/>
      <c r="HK20" s="176"/>
      <c r="HP20" s="19"/>
    </row>
    <row r="21" spans="2:232" x14ac:dyDescent="0.25">
      <c r="B21" s="69">
        <v>43450</v>
      </c>
      <c r="C21" s="21">
        <v>70558</v>
      </c>
      <c r="D21" s="21">
        <v>2.177</v>
      </c>
      <c r="E21" s="38">
        <f t="shared" si="16"/>
        <v>44480</v>
      </c>
      <c r="F21" s="38"/>
      <c r="G21" s="21">
        <v>65717</v>
      </c>
      <c r="H21" s="21">
        <v>2.222</v>
      </c>
      <c r="I21" s="38">
        <f t="shared" si="17"/>
        <v>42720</v>
      </c>
      <c r="J21" s="38"/>
      <c r="K21" s="21">
        <v>7993</v>
      </c>
      <c r="L21" s="21">
        <v>3.05</v>
      </c>
      <c r="M21" s="38">
        <f t="shared" si="98"/>
        <v>11600</v>
      </c>
      <c r="N21" s="38"/>
      <c r="O21" s="21">
        <v>7974</v>
      </c>
      <c r="P21" s="21">
        <v>3.07</v>
      </c>
      <c r="Q21" s="38">
        <f t="shared" si="99"/>
        <v>12800</v>
      </c>
      <c r="R21" s="38"/>
      <c r="S21" s="21">
        <v>8566</v>
      </c>
      <c r="T21" s="21">
        <v>3.33</v>
      </c>
      <c r="U21" s="38">
        <f t="shared" si="100"/>
        <v>12400</v>
      </c>
      <c r="V21" s="38"/>
      <c r="W21" s="21">
        <v>55951</v>
      </c>
      <c r="X21" s="21">
        <v>2.343</v>
      </c>
      <c r="Y21" s="38">
        <f t="shared" si="101"/>
        <v>36000</v>
      </c>
      <c r="Z21" s="38"/>
      <c r="AA21" s="21">
        <v>53418</v>
      </c>
      <c r="AB21" s="21">
        <v>2.0139999999999998</v>
      </c>
      <c r="AC21" s="38">
        <f t="shared" si="102"/>
        <v>35100</v>
      </c>
      <c r="AD21" s="38"/>
      <c r="AE21" s="21">
        <v>13757</v>
      </c>
      <c r="AF21" s="21">
        <v>3.89</v>
      </c>
      <c r="AG21" s="38">
        <f t="shared" si="103"/>
        <v>7040</v>
      </c>
      <c r="AH21" s="38"/>
      <c r="AI21" s="21">
        <v>9484</v>
      </c>
      <c r="AJ21" s="21">
        <v>3.59</v>
      </c>
      <c r="AK21" s="38">
        <f t="shared" si="104"/>
        <v>4640</v>
      </c>
      <c r="AL21" s="38"/>
      <c r="AM21" s="21">
        <v>67961</v>
      </c>
      <c r="AN21" s="21">
        <v>2.2160000000000002</v>
      </c>
      <c r="AO21" s="38">
        <f t="shared" si="105"/>
        <v>55400</v>
      </c>
      <c r="AP21" s="38"/>
      <c r="AQ21" s="21">
        <v>13201</v>
      </c>
      <c r="AR21" s="21">
        <v>0.436</v>
      </c>
      <c r="AS21" s="38">
        <f t="shared" si="106"/>
        <v>1960</v>
      </c>
      <c r="AT21" s="38"/>
      <c r="AU21" s="226">
        <v>122168</v>
      </c>
      <c r="AV21" s="226"/>
      <c r="AW21" s="38">
        <f t="shared" si="107"/>
        <v>646</v>
      </c>
      <c r="AX21" s="38"/>
      <c r="AZ21" s="183">
        <f t="shared" si="18"/>
        <v>264786</v>
      </c>
      <c r="BA21">
        <f t="shared" si="19"/>
        <v>57360</v>
      </c>
      <c r="BB21">
        <f t="shared" si="20"/>
        <v>0.21662776732908839</v>
      </c>
      <c r="BD21" s="15"/>
      <c r="BE21" s="69">
        <v>43450</v>
      </c>
      <c r="BF21" s="187">
        <v>41013</v>
      </c>
      <c r="BG21" s="188">
        <f t="shared" si="21"/>
        <v>0</v>
      </c>
      <c r="BH21" s="188"/>
      <c r="BI21" s="187">
        <v>5295</v>
      </c>
      <c r="BJ21" s="188">
        <f t="shared" si="22"/>
        <v>0</v>
      </c>
      <c r="BK21" s="188"/>
      <c r="BL21" s="57">
        <v>105733</v>
      </c>
      <c r="BM21" s="188">
        <f t="shared" si="23"/>
        <v>0</v>
      </c>
      <c r="BN21" s="188"/>
      <c r="BO21" s="57">
        <v>40770</v>
      </c>
      <c r="BP21" s="188">
        <f t="shared" si="24"/>
        <v>0</v>
      </c>
      <c r="BQ21" s="188"/>
      <c r="BR21" s="70"/>
      <c r="BS21" s="187">
        <f t="shared" si="25"/>
        <v>0</v>
      </c>
      <c r="BW21" s="15"/>
      <c r="BY21" s="20">
        <f t="shared" si="142"/>
        <v>122168</v>
      </c>
      <c r="BZ21" s="21"/>
      <c r="CA21" s="20"/>
      <c r="CB21" s="71"/>
      <c r="CC21" s="72">
        <f t="shared" si="243"/>
        <v>65717</v>
      </c>
      <c r="CD21" s="21"/>
      <c r="CE21" s="21"/>
      <c r="CF21" s="20"/>
      <c r="CG21" s="72"/>
      <c r="CH21" s="176"/>
      <c r="CI21" s="176"/>
      <c r="CJ21" s="176"/>
      <c r="CK21" s="176"/>
      <c r="CL21" s="72">
        <f t="shared" si="144"/>
        <v>70558</v>
      </c>
      <c r="CM21" s="21"/>
      <c r="CN21" s="21"/>
      <c r="CO21" s="20"/>
      <c r="CP21" s="72"/>
      <c r="CQ21" s="176"/>
      <c r="CR21" s="176"/>
      <c r="CS21" s="176"/>
      <c r="CT21" s="176"/>
      <c r="CU21" s="72">
        <f t="shared" si="145"/>
        <v>55951</v>
      </c>
      <c r="CV21" s="21"/>
      <c r="CW21" s="21"/>
      <c r="CX21" s="20"/>
      <c r="CY21" s="72"/>
      <c r="CZ21" s="176"/>
      <c r="DA21" s="176"/>
      <c r="DB21" s="176"/>
      <c r="DC21" s="176"/>
      <c r="DD21" s="72">
        <f t="shared" si="146"/>
        <v>13201</v>
      </c>
      <c r="DE21" s="21"/>
      <c r="DF21" s="21"/>
      <c r="DG21" s="20"/>
      <c r="DH21" s="72"/>
      <c r="DI21" s="176"/>
      <c r="DJ21" s="176"/>
      <c r="DK21" s="176"/>
      <c r="DL21" s="176"/>
      <c r="DM21" s="72">
        <f t="shared" si="147"/>
        <v>53418</v>
      </c>
      <c r="DN21" s="21"/>
      <c r="DO21" s="21"/>
      <c r="DP21" s="20"/>
      <c r="DQ21" s="177"/>
      <c r="DR21" s="176"/>
      <c r="DS21" s="176"/>
      <c r="DT21" s="176"/>
      <c r="DU21" s="176"/>
      <c r="DV21" s="72">
        <f t="shared" si="148"/>
        <v>7974</v>
      </c>
      <c r="DW21" s="21"/>
      <c r="DX21" s="21"/>
      <c r="DY21" s="20"/>
      <c r="DZ21" s="177"/>
      <c r="EA21" s="176"/>
      <c r="EB21" s="176"/>
      <c r="EC21" s="176"/>
      <c r="ED21" s="176"/>
      <c r="EE21" s="72">
        <f t="shared" si="149"/>
        <v>55951</v>
      </c>
      <c r="EF21" s="21"/>
      <c r="EG21" s="21"/>
      <c r="EH21" s="20"/>
      <c r="EI21" s="72"/>
      <c r="EJ21" s="176"/>
      <c r="EK21" s="176"/>
      <c r="EL21" s="176"/>
      <c r="EM21" s="176"/>
      <c r="EN21" s="72">
        <f t="shared" si="150"/>
        <v>8566</v>
      </c>
      <c r="EO21" s="21"/>
      <c r="EP21" s="21"/>
      <c r="EQ21" s="20"/>
      <c r="ER21" s="72"/>
      <c r="ES21" s="176"/>
      <c r="ET21" s="176"/>
      <c r="EU21" s="176"/>
      <c r="EV21" s="176"/>
      <c r="EW21" s="72">
        <f t="shared" si="151"/>
        <v>13757</v>
      </c>
      <c r="EX21" s="21"/>
      <c r="EY21" s="21"/>
      <c r="EZ21" s="20"/>
      <c r="FA21" s="72"/>
      <c r="FB21" s="176"/>
      <c r="FC21" s="176"/>
      <c r="FD21" s="176"/>
      <c r="FE21" s="176"/>
      <c r="FF21" s="72">
        <f t="shared" si="152"/>
        <v>9484</v>
      </c>
      <c r="FG21" s="21"/>
      <c r="FH21" s="21"/>
      <c r="FI21" s="20"/>
      <c r="FJ21" s="72"/>
      <c r="FK21" s="176"/>
      <c r="FL21" s="176"/>
      <c r="FM21" s="176"/>
      <c r="FN21" s="176"/>
      <c r="FO21" s="20">
        <f t="shared" si="153"/>
        <v>67961</v>
      </c>
      <c r="FP21" s="81"/>
      <c r="FQ21" s="81"/>
      <c r="FR21" s="20"/>
      <c r="FS21" s="72"/>
      <c r="FT21" s="176"/>
      <c r="FU21" s="176"/>
      <c r="FV21" s="176"/>
      <c r="FW21" s="176"/>
      <c r="FX21" s="55"/>
      <c r="GC21" s="15"/>
      <c r="GE21" s="72">
        <f t="shared" si="154"/>
        <v>5295</v>
      </c>
      <c r="GF21" s="21"/>
      <c r="GG21" s="21"/>
      <c r="GH21" s="72"/>
      <c r="GI21" s="72"/>
      <c r="GJ21" s="179"/>
      <c r="GK21" s="179"/>
      <c r="GL21" s="179"/>
      <c r="GM21" s="176"/>
      <c r="GN21" s="72">
        <f t="shared" si="157"/>
        <v>41013</v>
      </c>
      <c r="GO21" s="21"/>
      <c r="GP21" s="21"/>
      <c r="GQ21" s="72"/>
      <c r="GR21" s="72"/>
      <c r="GS21" s="179"/>
      <c r="GT21" s="179"/>
      <c r="GU21" s="179"/>
      <c r="GV21" s="176"/>
      <c r="GW21" s="72">
        <f t="shared" si="160"/>
        <v>105733</v>
      </c>
      <c r="GX21" s="21"/>
      <c r="GY21" s="72"/>
      <c r="GZ21" s="176"/>
      <c r="HA21" s="176"/>
      <c r="HB21" s="176"/>
      <c r="HC21" s="72">
        <f t="shared" si="164"/>
        <v>40770</v>
      </c>
      <c r="HD21" s="21"/>
      <c r="HE21" s="21"/>
      <c r="HF21" s="72"/>
      <c r="HG21" s="72"/>
      <c r="HH21" s="176"/>
      <c r="HI21" s="176"/>
      <c r="HJ21" s="176"/>
      <c r="HK21" s="176"/>
      <c r="HP21" s="19"/>
    </row>
    <row r="22" spans="2:232" x14ac:dyDescent="0.25">
      <c r="B22" s="69">
        <v>43465</v>
      </c>
      <c r="C22" s="21">
        <v>71167</v>
      </c>
      <c r="D22" s="21">
        <v>2.1150000000000002</v>
      </c>
      <c r="E22" s="38">
        <f t="shared" si="16"/>
        <v>97440</v>
      </c>
      <c r="F22" s="38"/>
      <c r="G22" s="21">
        <v>66353</v>
      </c>
      <c r="H22" s="21">
        <v>2.4329999999999998</v>
      </c>
      <c r="I22" s="38">
        <f t="shared" si="17"/>
        <v>101760</v>
      </c>
      <c r="J22" s="38"/>
      <c r="K22" s="21">
        <v>8057</v>
      </c>
      <c r="L22" s="21">
        <v>2.65</v>
      </c>
      <c r="M22" s="38">
        <f t="shared" si="98"/>
        <v>25600</v>
      </c>
      <c r="N22" s="38"/>
      <c r="O22" s="21">
        <v>8042</v>
      </c>
      <c r="P22" s="21">
        <v>2.72</v>
      </c>
      <c r="Q22" s="38">
        <f t="shared" si="99"/>
        <v>27200</v>
      </c>
      <c r="R22" s="38"/>
      <c r="S22" s="21">
        <v>8636</v>
      </c>
      <c r="T22" s="21">
        <v>2.73</v>
      </c>
      <c r="U22" s="38">
        <f t="shared" si="100"/>
        <v>28000</v>
      </c>
      <c r="V22" s="38"/>
      <c r="W22" s="21">
        <v>56280</v>
      </c>
      <c r="X22" s="21">
        <v>1.5469999999999999</v>
      </c>
      <c r="Y22" s="38">
        <f t="shared" si="101"/>
        <v>98700</v>
      </c>
      <c r="Z22" s="38"/>
      <c r="AA22" s="21">
        <v>53686</v>
      </c>
      <c r="AB22" s="21">
        <v>1.5409999999999999</v>
      </c>
      <c r="AC22" s="38">
        <f t="shared" si="102"/>
        <v>80400</v>
      </c>
      <c r="AD22" s="38"/>
      <c r="AE22" s="21">
        <v>13847</v>
      </c>
      <c r="AF22" s="21">
        <v>3.64</v>
      </c>
      <c r="AG22" s="38">
        <f t="shared" si="103"/>
        <v>14400</v>
      </c>
      <c r="AH22" s="38"/>
      <c r="AI22" s="21">
        <v>9538</v>
      </c>
      <c r="AJ22" s="21">
        <v>2.5</v>
      </c>
      <c r="AK22" s="38">
        <f t="shared" si="104"/>
        <v>8640</v>
      </c>
      <c r="AL22" s="38"/>
      <c r="AM22" s="21">
        <v>68564</v>
      </c>
      <c r="AN22" s="21">
        <v>2.2890000000000001</v>
      </c>
      <c r="AO22" s="38">
        <f t="shared" si="105"/>
        <v>120600</v>
      </c>
      <c r="AP22" s="38"/>
      <c r="AQ22" s="21">
        <v>13306</v>
      </c>
      <c r="AR22" s="21">
        <v>0.40100000000000002</v>
      </c>
      <c r="AS22" s="38">
        <f t="shared" si="106"/>
        <v>4200</v>
      </c>
      <c r="AT22" s="38"/>
      <c r="AU22" s="226">
        <v>123578</v>
      </c>
      <c r="AV22" s="226"/>
      <c r="AW22" s="38">
        <f t="shared" si="107"/>
        <v>1410</v>
      </c>
      <c r="AX22" s="38"/>
      <c r="AZ22" s="183">
        <f t="shared" si="18"/>
        <v>608350</v>
      </c>
      <c r="BA22">
        <f t="shared" si="19"/>
        <v>124800</v>
      </c>
      <c r="BB22">
        <f t="shared" si="20"/>
        <v>0.20514506451878031</v>
      </c>
      <c r="BC22">
        <f>SUM(AZ19:AZ22)</f>
        <v>1429514</v>
      </c>
      <c r="BD22" s="15"/>
      <c r="BE22" s="69">
        <v>43465</v>
      </c>
      <c r="BF22" s="21">
        <v>47775</v>
      </c>
      <c r="BG22" s="38">
        <f t="shared" si="21"/>
        <v>676200</v>
      </c>
      <c r="BH22" s="21"/>
      <c r="BI22" s="21">
        <v>6113</v>
      </c>
      <c r="BJ22" s="38">
        <f t="shared" si="22"/>
        <v>81800</v>
      </c>
      <c r="BK22" s="21"/>
      <c r="BL22" s="21">
        <v>38401</v>
      </c>
      <c r="BM22" s="38">
        <f t="shared" si="23"/>
        <v>-67332</v>
      </c>
      <c r="BN22" s="21"/>
      <c r="BO22" s="21">
        <v>43226</v>
      </c>
      <c r="BP22" s="38">
        <f t="shared" si="24"/>
        <v>98240</v>
      </c>
      <c r="BQ22" s="21"/>
      <c r="BR22" s="70"/>
      <c r="BS22" s="26">
        <f t="shared" si="25"/>
        <v>788908</v>
      </c>
      <c r="BT22">
        <f>SUM(BS19:BS22)</f>
        <v>788908</v>
      </c>
      <c r="BU22"/>
      <c r="BW22" s="15"/>
      <c r="BY22" s="20">
        <f t="shared" si="142"/>
        <v>123578</v>
      </c>
      <c r="BZ22" s="21">
        <v>22946</v>
      </c>
      <c r="CA22" s="185">
        <f>SUM(BZ22-BZ19)</f>
        <v>2810</v>
      </c>
      <c r="CB22" s="71">
        <f>SUM(CA22*0.12043+CA22*0.03046)*1.08+1.91</f>
        <v>459.83097200000003</v>
      </c>
      <c r="CC22" s="72">
        <f t="shared" si="243"/>
        <v>66353</v>
      </c>
      <c r="CD22" s="21">
        <v>66133</v>
      </c>
      <c r="CE22" s="21">
        <v>2.254</v>
      </c>
      <c r="CF22" s="185">
        <f>SUM(CD22-CD19)*160</f>
        <v>185600</v>
      </c>
      <c r="CG22" s="72">
        <f>(CE22)*160</f>
        <v>360.64</v>
      </c>
      <c r="CH22" s="176">
        <f>SUM(CF22*0.03699)</f>
        <v>6865.3440000000001</v>
      </c>
      <c r="CI22" s="176">
        <f>SUM(CF22*0.03046)</f>
        <v>5653.3760000000002</v>
      </c>
      <c r="CJ22" s="176">
        <f>SUM(CG22*7.447)</f>
        <v>2685.6860799999999</v>
      </c>
      <c r="CK22" s="176">
        <f>SUM(CH22+CI22)</f>
        <v>12518.720000000001</v>
      </c>
      <c r="CL22" s="72">
        <f t="shared" si="144"/>
        <v>71167</v>
      </c>
      <c r="CM22" s="21">
        <v>70959</v>
      </c>
      <c r="CN22" s="21">
        <v>2.177</v>
      </c>
      <c r="CO22" s="185">
        <f>SUM(CM22-CM19)*160</f>
        <v>185440</v>
      </c>
      <c r="CP22" s="72">
        <f>(CN22)*160</f>
        <v>348.32</v>
      </c>
      <c r="CQ22" s="176">
        <f>SUM(CO22*0.03699)</f>
        <v>6859.4256000000005</v>
      </c>
      <c r="CR22" s="176">
        <f>SUM(CO22*0.03046)</f>
        <v>5648.5024000000003</v>
      </c>
      <c r="CS22" s="176">
        <f>SUM(CP22*7.447)</f>
        <v>2593.9390399999997</v>
      </c>
      <c r="CT22" s="176">
        <f>SUM(CQ22+CR22)</f>
        <v>12507.928</v>
      </c>
      <c r="CU22" s="72">
        <f t="shared" si="145"/>
        <v>56280</v>
      </c>
      <c r="CV22" s="21">
        <v>56156</v>
      </c>
      <c r="CW22" s="21">
        <v>2.343</v>
      </c>
      <c r="CX22" s="185">
        <f>SUM(CV22-CV19)*300</f>
        <v>185700</v>
      </c>
      <c r="CY22" s="72">
        <f>(CW22)*300</f>
        <v>702.9</v>
      </c>
      <c r="CZ22" s="176">
        <f>SUM(CX22*0.03699)</f>
        <v>6869.0430000000006</v>
      </c>
      <c r="DA22" s="176">
        <f>SUM(CX22*0.03046)</f>
        <v>5656.4220000000005</v>
      </c>
      <c r="DB22" s="176">
        <f>SUM(CY22*7.447)</f>
        <v>5234.4962999999998</v>
      </c>
      <c r="DC22" s="176">
        <f>SUM(CZ22+DA22)</f>
        <v>12525.465</v>
      </c>
      <c r="DD22" s="72">
        <f t="shared" si="146"/>
        <v>13306</v>
      </c>
      <c r="DE22" s="21">
        <v>13271</v>
      </c>
      <c r="DF22" s="21">
        <v>0.436</v>
      </c>
      <c r="DG22" s="185">
        <f>SUM(DE22-DE19)*40</f>
        <v>8240</v>
      </c>
      <c r="DH22" s="72">
        <f>(DF22)*40</f>
        <v>17.440000000000001</v>
      </c>
      <c r="DI22" s="176">
        <f>SUM(DG22*0.03699)</f>
        <v>304.79759999999999</v>
      </c>
      <c r="DJ22" s="176">
        <f>SUM(DG22*0.03046)</f>
        <v>250.99039999999999</v>
      </c>
      <c r="DK22" s="176">
        <f>SUM(DH22*7.447)</f>
        <v>129.87568000000002</v>
      </c>
      <c r="DL22" s="176">
        <f>SUM(DI22+DJ22)</f>
        <v>555.78800000000001</v>
      </c>
      <c r="DM22" s="72">
        <f t="shared" si="147"/>
        <v>53686</v>
      </c>
      <c r="DN22" s="21">
        <v>53545</v>
      </c>
      <c r="DO22" s="21">
        <v>2.0139999999999998</v>
      </c>
      <c r="DP22" s="185">
        <f>SUM(DN22-DN19)*300</f>
        <v>143100</v>
      </c>
      <c r="DQ22" s="177">
        <f>(DO22)*300</f>
        <v>604.19999999999993</v>
      </c>
      <c r="DR22" s="176">
        <f>SUM(DP22*0.03699)</f>
        <v>5293.2690000000002</v>
      </c>
      <c r="DS22" s="176">
        <f>SUM(DP22*0.03046)</f>
        <v>4358.826</v>
      </c>
      <c r="DT22" s="176">
        <f>SUM(DQ22*7.447)</f>
        <v>4499.4773999999998</v>
      </c>
      <c r="DU22" s="176">
        <f>SUM(DR22+DS22)</f>
        <v>9652.0950000000012</v>
      </c>
      <c r="DV22" s="72">
        <f t="shared" si="148"/>
        <v>8042</v>
      </c>
      <c r="DW22" s="24">
        <v>8018</v>
      </c>
      <c r="DX22" s="24">
        <v>0.307</v>
      </c>
      <c r="DY22" s="185">
        <f>SUM(DW22-DW19)*400</f>
        <v>52000</v>
      </c>
      <c r="DZ22" s="177">
        <f>(DX22)*400</f>
        <v>122.8</v>
      </c>
      <c r="EA22" s="176">
        <f>SUM(DY22*0.03699)</f>
        <v>1923.48</v>
      </c>
      <c r="EB22" s="176">
        <f>SUM(DY22*0.03046)</f>
        <v>1583.92</v>
      </c>
      <c r="EC22" s="176">
        <f>SUM(DZ22*7.447)</f>
        <v>914.49159999999995</v>
      </c>
      <c r="ED22" s="71">
        <f>SUM(EA22+EB22)</f>
        <v>3507.4</v>
      </c>
      <c r="EE22" s="72">
        <f t="shared" si="149"/>
        <v>56280</v>
      </c>
      <c r="EF22" s="24">
        <v>8034</v>
      </c>
      <c r="EG22" s="24">
        <v>0.30499999999999999</v>
      </c>
      <c r="EH22" s="185">
        <f>SUM(EF22-EF19)*400</f>
        <v>48800</v>
      </c>
      <c r="EI22" s="72">
        <f>(EG22)*400</f>
        <v>122</v>
      </c>
      <c r="EJ22" s="176">
        <f>SUM(EH22*0.03699)</f>
        <v>1805.1120000000001</v>
      </c>
      <c r="EK22" s="176">
        <f>SUM(EH22*0.03046)</f>
        <v>1486.4480000000001</v>
      </c>
      <c r="EL22" s="176">
        <f>SUM(EI22*7.447)</f>
        <v>908.53399999999999</v>
      </c>
      <c r="EM22" s="176">
        <f>SUM(EJ22+EK22)</f>
        <v>3291.5600000000004</v>
      </c>
      <c r="EN22" s="72">
        <f t="shared" si="150"/>
        <v>8636</v>
      </c>
      <c r="EO22" s="21">
        <v>8610</v>
      </c>
      <c r="EP22" s="21">
        <v>0.33300000000000002</v>
      </c>
      <c r="EQ22" s="185">
        <f>SUM(EO22-EO19)*400</f>
        <v>52400</v>
      </c>
      <c r="ER22" s="72">
        <f>(EP22)*400</f>
        <v>133.20000000000002</v>
      </c>
      <c r="ES22" s="176">
        <f>SUM(EQ22*0.03699)</f>
        <v>1938.2760000000001</v>
      </c>
      <c r="ET22" s="176">
        <f>SUM(EQ22*0.03046)</f>
        <v>1596.104</v>
      </c>
      <c r="EU22" s="176">
        <f>SUM(ER22*7.447)</f>
        <v>991.94040000000018</v>
      </c>
      <c r="EV22" s="176">
        <f>SUM(ES22+ET22)</f>
        <v>3534.38</v>
      </c>
      <c r="EW22" s="72">
        <f t="shared" si="151"/>
        <v>13847</v>
      </c>
      <c r="EX22" s="21">
        <v>13817</v>
      </c>
      <c r="EY22" s="21">
        <v>0.38900000000000001</v>
      </c>
      <c r="EZ22" s="185">
        <f>SUM(EX22-EX19)*160</f>
        <v>29600</v>
      </c>
      <c r="FA22" s="72">
        <f>(EY22)*160</f>
        <v>62.24</v>
      </c>
      <c r="FB22" s="176">
        <f>SUM(EZ22*0.03699)</f>
        <v>1094.904</v>
      </c>
      <c r="FC22" s="176">
        <f>SUM(EZ22*0.03046)</f>
        <v>901.61599999999999</v>
      </c>
      <c r="FD22" s="176">
        <f>SUM(FA22*7.447)</f>
        <v>463.50128000000001</v>
      </c>
      <c r="FE22" s="176">
        <f>SUM(FB22+FC22)</f>
        <v>1996.52</v>
      </c>
      <c r="FF22" s="72">
        <f t="shared" si="152"/>
        <v>9538</v>
      </c>
      <c r="FG22" s="21">
        <v>9520</v>
      </c>
      <c r="FH22" s="21">
        <v>0.35899999999999999</v>
      </c>
      <c r="FI22" s="185">
        <f>SUM(FG22-FG19)*160</f>
        <v>18720</v>
      </c>
      <c r="FJ22" s="72">
        <f>(FH22)*160</f>
        <v>57.44</v>
      </c>
      <c r="FK22" s="176">
        <f>SUM(FI22*0.03699)</f>
        <v>692.45280000000002</v>
      </c>
      <c r="FL22" s="176">
        <f>SUM(FI22*0.03046)</f>
        <v>570.21119999999996</v>
      </c>
      <c r="FM22" s="176">
        <f>SUM(FJ22*7.447)</f>
        <v>427.75567999999998</v>
      </c>
      <c r="FN22" s="71">
        <f>SUM(FK22+FL22)</f>
        <v>1262.664</v>
      </c>
      <c r="FO22" s="20">
        <f t="shared" si="153"/>
        <v>68564</v>
      </c>
      <c r="FP22" s="81">
        <v>68356</v>
      </c>
      <c r="FQ22" s="81">
        <v>2.2610000000000001</v>
      </c>
      <c r="FR22" s="185">
        <f>SUM(FP22-FP19)*200</f>
        <v>221200</v>
      </c>
      <c r="FS22" s="72">
        <f>(FQ22)*200</f>
        <v>452.20000000000005</v>
      </c>
      <c r="FT22" s="176">
        <f>SUM(FR22*0.03699)</f>
        <v>8182.1880000000001</v>
      </c>
      <c r="FU22" s="176">
        <f>SUM(FR22*0.03046)</f>
        <v>6737.7520000000004</v>
      </c>
      <c r="FV22" s="176">
        <f>SUM(FS22*7.447)</f>
        <v>3367.5334000000003</v>
      </c>
      <c r="FW22" s="176">
        <f>SUM(FT22:FV22)</f>
        <v>18287.473400000003</v>
      </c>
      <c r="FX22" s="55"/>
      <c r="FY22" s="54">
        <f>SUM(CA22+CF22+CO22+CX22+DG22+DP22+DY22+EH22+EQ22+EZ22+FI22+FR22)</f>
        <v>1133610</v>
      </c>
      <c r="FZ22" s="50">
        <f>SUM(CB22+CK22,CT22,DC22,DL22,DU22,ED22,EM22,EV22,FE22,FN22+FW22)</f>
        <v>80099.824372000003</v>
      </c>
      <c r="GA22" s="50">
        <f>SUM(CJ22,CS22,DB22,DK22,DT22,EC22,EL22,EU22,FD22,FM22,FV22)</f>
        <v>22217.230859999996</v>
      </c>
      <c r="GB22" s="50">
        <f>SUM(FZ22:GA22)</f>
        <v>102317.055232</v>
      </c>
      <c r="GC22" s="15"/>
      <c r="GE22" s="72">
        <f t="shared" si="154"/>
        <v>6113</v>
      </c>
      <c r="GF22" s="24">
        <v>6103</v>
      </c>
      <c r="GG22" s="24">
        <v>0.25</v>
      </c>
      <c r="GH22" s="72">
        <f>SUM(GF22-GF19)*100</f>
        <v>6900</v>
      </c>
      <c r="GI22" s="72">
        <f>SUM(GG22)*100</f>
        <v>25</v>
      </c>
      <c r="GJ22" s="179">
        <f>SUM(GH22*0.03699)</f>
        <v>255.23100000000002</v>
      </c>
      <c r="GK22" s="179">
        <f>SUM(GH22*0.03046)</f>
        <v>210.17400000000001</v>
      </c>
      <c r="GL22" s="179">
        <f>SUM(GI22*7.447)</f>
        <v>186.17500000000001</v>
      </c>
      <c r="GM22" s="176">
        <f>SUM(GK22+GJ22+20)*1.1048</f>
        <v>536.27544399999999</v>
      </c>
      <c r="GN22" s="72">
        <f t="shared" si="157"/>
        <v>47775</v>
      </c>
      <c r="GO22" s="24">
        <v>47678</v>
      </c>
      <c r="GP22" s="24">
        <v>1.6759999999999999</v>
      </c>
      <c r="GQ22" s="72">
        <f>SUM(GO22-GO19)*100</f>
        <v>53700</v>
      </c>
      <c r="GR22" s="72">
        <f>SUM(GP22)*100</f>
        <v>167.6</v>
      </c>
      <c r="GS22" s="179">
        <f>SUM(GQ22*0.03699)</f>
        <v>1986.3630000000001</v>
      </c>
      <c r="GT22" s="179">
        <f>SUM(GQ22*0.03046)</f>
        <v>1635.702</v>
      </c>
      <c r="GU22" s="179">
        <f>SUM(GR22*7.447)</f>
        <v>1248.1171999999999</v>
      </c>
      <c r="GV22" s="176">
        <f>SUM(GT22+GS22+20)*1.1048</f>
        <v>4023.753412</v>
      </c>
      <c r="GW22" s="72">
        <f t="shared" si="160"/>
        <v>38401</v>
      </c>
      <c r="GX22" s="24">
        <v>37881</v>
      </c>
      <c r="GY22" s="72">
        <f>SUM(GX22-GX19)</f>
        <v>3644</v>
      </c>
      <c r="GZ22" s="176">
        <f>SUM(GY22*0.12043)</f>
        <v>438.84692000000001</v>
      </c>
      <c r="HA22" s="176">
        <f>SUM(GY22*0.03046)</f>
        <v>110.99624</v>
      </c>
      <c r="HB22" s="176">
        <f>SUM(GZ22+HA22+2.85)*1.07</f>
        <v>591.38168120000012</v>
      </c>
      <c r="HC22" s="72">
        <f t="shared" si="164"/>
        <v>43226</v>
      </c>
      <c r="HD22" s="24">
        <v>43210</v>
      </c>
      <c r="HE22" s="24">
        <v>3.7530000000000001</v>
      </c>
      <c r="HF22" s="72">
        <f>SUM(HD22-HD19)*40</f>
        <v>2880</v>
      </c>
      <c r="HG22" s="72">
        <f>SUM(HE22)*40</f>
        <v>150.12</v>
      </c>
      <c r="HH22" s="176">
        <f>SUM(HF22*0.03699)</f>
        <v>106.53120000000001</v>
      </c>
      <c r="HI22" s="176">
        <f>SUM(HF22*0.03046)</f>
        <v>87.724800000000002</v>
      </c>
      <c r="HJ22" s="176">
        <f>SUM(HG22*7.447)</f>
        <v>1117.94364</v>
      </c>
      <c r="HK22" s="71">
        <f>SUM(HI22+HH22+20)*1.1048</f>
        <v>236.71002880000003</v>
      </c>
      <c r="HL22">
        <f>SUM(GH22+GQ22+GY22+HF22)</f>
        <v>67124</v>
      </c>
      <c r="HM22" s="50">
        <f>SUM(HK22+HB22+GV22+GM22)</f>
        <v>5388.1205660000005</v>
      </c>
      <c r="HN22" s="50">
        <f>SUM(GL22+GU22+HJ22)</f>
        <v>2552.2358399999998</v>
      </c>
      <c r="HO22" s="50">
        <f>SUM(HM22:HN22)</f>
        <v>7940.3564060000008</v>
      </c>
      <c r="HP22" s="19"/>
      <c r="HQ22" s="54">
        <f t="shared" ref="HQ22:HS22" si="246">(FY22+HL22)</f>
        <v>1200734</v>
      </c>
      <c r="HR22" s="50">
        <f t="shared" si="246"/>
        <v>85487.944938000001</v>
      </c>
      <c r="HS22" s="50">
        <f t="shared" si="246"/>
        <v>24769.466699999997</v>
      </c>
      <c r="HT22" s="50">
        <f t="shared" ref="HT22" si="247">(HR22+HS22)</f>
        <v>110257.41163799999</v>
      </c>
      <c r="HV22">
        <v>3.6990000000000002E-2</v>
      </c>
      <c r="HW22">
        <v>3.0460000000000001E-2</v>
      </c>
      <c r="HX22">
        <v>7.4470000000000001</v>
      </c>
    </row>
  </sheetData>
  <mergeCells count="54">
    <mergeCell ref="AU18:AV18"/>
    <mergeCell ref="AU19:AV19"/>
    <mergeCell ref="AU20:AV20"/>
    <mergeCell ref="AU21:AV21"/>
    <mergeCell ref="AU22:AV22"/>
    <mergeCell ref="AU15:AV15"/>
    <mergeCell ref="AU4:AV4"/>
    <mergeCell ref="AU5:AV5"/>
    <mergeCell ref="AU6:AV6"/>
    <mergeCell ref="AU7:AV7"/>
    <mergeCell ref="AU8:AV8"/>
    <mergeCell ref="AU9:AV9"/>
    <mergeCell ref="AU10:AV10"/>
    <mergeCell ref="AU11:AV11"/>
    <mergeCell ref="AU12:AV12"/>
    <mergeCell ref="AU13:AV13"/>
    <mergeCell ref="AU14:AV14"/>
    <mergeCell ref="AU16:AV16"/>
    <mergeCell ref="AU17:AV17"/>
    <mergeCell ref="GN1:GV1"/>
    <mergeCell ref="GW1:HB1"/>
    <mergeCell ref="HC1:HK1"/>
    <mergeCell ref="AU2:AV2"/>
    <mergeCell ref="BY2:CB2"/>
    <mergeCell ref="FO1:FW1"/>
    <mergeCell ref="GE1:GM1"/>
    <mergeCell ref="BY1:CB1"/>
    <mergeCell ref="AU3:AV3"/>
    <mergeCell ref="EE1:EM1"/>
    <mergeCell ref="EN1:EV1"/>
    <mergeCell ref="EW1:FE1"/>
    <mergeCell ref="FF1:FN1"/>
    <mergeCell ref="CC1:CK1"/>
    <mergeCell ref="CL1:CT1"/>
    <mergeCell ref="CU1:DC1"/>
    <mergeCell ref="DD1:DL1"/>
    <mergeCell ref="DM1:DU1"/>
    <mergeCell ref="DV1:ED1"/>
    <mergeCell ref="AU1:AX1"/>
    <mergeCell ref="BF1:BH1"/>
    <mergeCell ref="BI1:BK1"/>
    <mergeCell ref="BL1:BN1"/>
    <mergeCell ref="BO1:BQ1"/>
    <mergeCell ref="AQ1:AT1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23"/>
  <sheetViews>
    <sheetView zoomScaleNormal="100" workbookViewId="0">
      <selection activeCell="AA15" sqref="AA1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49" customWidth="1"/>
    <col min="25" max="25" width="9.7109375" style="83" customWidth="1"/>
    <col min="26" max="26" width="2.7109375" customWidth="1"/>
    <col min="27" max="42" width="11.7109375" style="49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0" customWidth="1"/>
    <col min="65" max="65" width="11.7109375" style="50" customWidth="1"/>
    <col min="66" max="70" width="10.7109375" customWidth="1"/>
    <col min="71" max="71" width="15.7109375" customWidth="1"/>
    <col min="72" max="72" width="10.7109375" customWidth="1"/>
    <col min="73" max="73" width="12.85546875" style="84" customWidth="1"/>
    <col min="74" max="74" width="13" style="84" customWidth="1"/>
    <col min="75" max="75" width="13" style="85" customWidth="1"/>
    <col min="76" max="76" width="13" style="86" customWidth="1"/>
    <col min="77" max="77" width="13" style="84" customWidth="1"/>
    <col min="78" max="78" width="13" style="86" customWidth="1"/>
    <col min="79" max="79" width="13" style="84" customWidth="1"/>
    <col min="80" max="80" width="2.7109375" customWidth="1"/>
    <col min="81" max="83" width="10.7109375" customWidth="1"/>
    <col min="84" max="84" width="13.7109375" style="50" customWidth="1"/>
    <col min="85" max="85" width="11.7109375" style="50" customWidth="1"/>
    <col min="86" max="86" width="14.7109375" style="50" customWidth="1"/>
    <col min="87" max="89" width="10.7109375" customWidth="1"/>
    <col min="90" max="90" width="13.7109375" style="50" customWidth="1"/>
    <col min="91" max="91" width="11.7109375" style="87" customWidth="1"/>
    <col min="92" max="92" width="10.7109375" customWidth="1"/>
    <col min="93" max="93" width="15.7109375" customWidth="1"/>
    <col min="94" max="94" width="10.7109375" style="49" customWidth="1"/>
    <col min="95" max="95" width="11.7109375" style="88" customWidth="1"/>
    <col min="96" max="98" width="10.7109375" customWidth="1"/>
    <col min="99" max="99" width="13.7109375" style="50" customWidth="1"/>
    <col min="100" max="100" width="11.7109375" style="87" customWidth="1"/>
    <col min="101" max="101" width="12.7109375" customWidth="1"/>
    <col min="102" max="103" width="10.7109375" customWidth="1"/>
    <col min="104" max="104" width="13.7109375" style="50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4" customFormat="1" ht="31.5" customHeight="1" x14ac:dyDescent="0.35">
      <c r="B1" s="100">
        <v>2018</v>
      </c>
      <c r="C1" s="255">
        <v>74860172</v>
      </c>
      <c r="D1" s="256"/>
      <c r="E1" s="257"/>
      <c r="F1" s="255">
        <v>74860173</v>
      </c>
      <c r="G1" s="256"/>
      <c r="H1" s="257"/>
      <c r="I1" s="255">
        <v>44553004</v>
      </c>
      <c r="J1" s="256"/>
      <c r="K1" s="257"/>
      <c r="L1" s="255">
        <v>70275191</v>
      </c>
      <c r="M1" s="256"/>
      <c r="N1" s="257"/>
      <c r="O1" s="255">
        <v>2130521</v>
      </c>
      <c r="P1" s="256"/>
      <c r="Q1" s="257"/>
      <c r="R1" s="15"/>
      <c r="S1" s="255" t="s">
        <v>62</v>
      </c>
      <c r="T1" s="256"/>
      <c r="U1" s="257"/>
      <c r="V1" s="250">
        <v>93477704</v>
      </c>
      <c r="W1" s="251"/>
      <c r="X1" s="252"/>
      <c r="Y1" s="29" t="s">
        <v>63</v>
      </c>
      <c r="Z1" s="15"/>
      <c r="AA1" s="253">
        <v>79177804</v>
      </c>
      <c r="AB1" s="254"/>
      <c r="AC1" s="253">
        <v>79305675</v>
      </c>
      <c r="AD1" s="254"/>
      <c r="AE1" s="253">
        <v>79190041</v>
      </c>
      <c r="AF1" s="254"/>
      <c r="AG1" s="253" t="s">
        <v>49</v>
      </c>
      <c r="AH1" s="254"/>
      <c r="AI1" s="253">
        <v>79190039</v>
      </c>
      <c r="AJ1" s="254"/>
      <c r="AK1" s="253">
        <v>79324776</v>
      </c>
      <c r="AL1" s="254"/>
      <c r="AM1" s="253" t="s">
        <v>64</v>
      </c>
      <c r="AN1" s="254"/>
      <c r="AO1" s="253" t="s">
        <v>65</v>
      </c>
      <c r="AP1" s="254"/>
      <c r="AQ1" s="15"/>
      <c r="AS1" s="255" t="s">
        <v>66</v>
      </c>
      <c r="AT1" s="257"/>
      <c r="AU1" s="15"/>
      <c r="AV1" s="255" t="s">
        <v>55</v>
      </c>
      <c r="AW1" s="257"/>
      <c r="AX1" s="255">
        <v>65956268</v>
      </c>
      <c r="AY1" s="257"/>
      <c r="AZ1" s="30" t="s">
        <v>57</v>
      </c>
      <c r="BA1" s="255">
        <v>1334021</v>
      </c>
      <c r="BB1" s="257"/>
      <c r="BC1" s="255">
        <v>63265094</v>
      </c>
      <c r="BD1" s="257"/>
      <c r="BE1" s="255" t="s">
        <v>67</v>
      </c>
      <c r="BF1" s="257"/>
      <c r="BI1" s="253" t="s">
        <v>68</v>
      </c>
      <c r="BJ1" s="258"/>
      <c r="BK1" s="258"/>
      <c r="BL1" s="258"/>
      <c r="BM1" s="254"/>
      <c r="BN1" s="253" t="s">
        <v>69</v>
      </c>
      <c r="BO1" s="258"/>
      <c r="BP1" s="258"/>
      <c r="BQ1" s="254"/>
      <c r="BR1" s="253" t="s">
        <v>70</v>
      </c>
      <c r="BS1" s="258"/>
      <c r="BT1" s="258"/>
      <c r="BU1" s="254"/>
      <c r="BV1" s="259" t="s">
        <v>70</v>
      </c>
      <c r="BW1" s="260"/>
      <c r="BX1" s="260"/>
      <c r="BY1" s="261"/>
      <c r="BZ1" s="17" t="s">
        <v>203</v>
      </c>
      <c r="CA1" s="101" t="s">
        <v>204</v>
      </c>
      <c r="CB1" s="49"/>
      <c r="CC1" s="253" t="s">
        <v>71</v>
      </c>
      <c r="CD1" s="258"/>
      <c r="CE1" s="258"/>
      <c r="CF1" s="258"/>
      <c r="CG1" s="262" t="s">
        <v>141</v>
      </c>
      <c r="CH1" s="262"/>
      <c r="CI1" s="253" t="s">
        <v>72</v>
      </c>
      <c r="CJ1" s="258"/>
      <c r="CK1" s="258"/>
      <c r="CL1" s="254"/>
      <c r="CM1" s="102"/>
      <c r="CN1" s="253" t="s">
        <v>73</v>
      </c>
      <c r="CO1" s="258"/>
      <c r="CP1" s="258"/>
      <c r="CQ1" s="254"/>
      <c r="CR1" s="253" t="s">
        <v>74</v>
      </c>
      <c r="CS1" s="258"/>
      <c r="CT1" s="258"/>
      <c r="CU1" s="254"/>
      <c r="CV1" s="265" t="s">
        <v>205</v>
      </c>
      <c r="CW1" s="253" t="s">
        <v>75</v>
      </c>
      <c r="CX1" s="258"/>
      <c r="CY1" s="258"/>
      <c r="CZ1" s="254"/>
      <c r="DD1" s="57" t="s">
        <v>210</v>
      </c>
      <c r="DE1" s="57" t="s">
        <v>211</v>
      </c>
      <c r="DF1" s="57" t="s">
        <v>212</v>
      </c>
      <c r="DG1" s="57" t="s">
        <v>81</v>
      </c>
      <c r="DI1" s="103" t="s">
        <v>215</v>
      </c>
      <c r="DJ1" s="103" t="s">
        <v>216</v>
      </c>
    </row>
    <row r="2" spans="2:114" ht="15.75" x14ac:dyDescent="0.25">
      <c r="B2" s="33" t="s">
        <v>61</v>
      </c>
      <c r="C2" s="31" t="s">
        <v>80</v>
      </c>
      <c r="D2" s="32"/>
      <c r="E2" s="33" t="s">
        <v>81</v>
      </c>
      <c r="F2" s="31" t="s">
        <v>82</v>
      </c>
      <c r="G2" s="32"/>
      <c r="H2" s="33" t="s">
        <v>81</v>
      </c>
      <c r="I2" s="31"/>
      <c r="J2" s="32"/>
      <c r="K2" s="34"/>
      <c r="L2" s="31" t="s">
        <v>83</v>
      </c>
      <c r="M2" s="32"/>
      <c r="N2" s="34"/>
      <c r="O2" s="233" t="s">
        <v>84</v>
      </c>
      <c r="P2" s="234"/>
      <c r="Q2" s="33" t="s">
        <v>81</v>
      </c>
      <c r="R2" s="15"/>
      <c r="S2" s="31" t="s">
        <v>82</v>
      </c>
      <c r="T2" s="32" t="s">
        <v>85</v>
      </c>
      <c r="U2" s="34"/>
      <c r="V2" s="31" t="s">
        <v>82</v>
      </c>
      <c r="W2" s="32" t="s">
        <v>85</v>
      </c>
      <c r="X2" s="34"/>
      <c r="Y2" s="35"/>
      <c r="Z2" s="15"/>
      <c r="AA2" s="224" t="s">
        <v>401</v>
      </c>
      <c r="AB2" s="225"/>
      <c r="AC2" s="224" t="s">
        <v>86</v>
      </c>
      <c r="AD2" s="225"/>
      <c r="AE2" s="224" t="s">
        <v>402</v>
      </c>
      <c r="AF2" s="225"/>
      <c r="AG2" s="224" t="s">
        <v>403</v>
      </c>
      <c r="AH2" s="225"/>
      <c r="AI2" s="224" t="s">
        <v>87</v>
      </c>
      <c r="AJ2" s="225"/>
      <c r="AK2" s="224" t="s">
        <v>88</v>
      </c>
      <c r="AL2" s="225"/>
      <c r="AM2" s="224" t="s">
        <v>89</v>
      </c>
      <c r="AN2" s="225"/>
      <c r="AO2" s="224" t="s">
        <v>90</v>
      </c>
      <c r="AP2" s="225"/>
      <c r="AQ2" s="15"/>
      <c r="AS2" s="31">
        <v>46801014</v>
      </c>
      <c r="AT2" s="34"/>
      <c r="AU2" s="15"/>
      <c r="AV2" s="31"/>
      <c r="AW2" s="33" t="s">
        <v>81</v>
      </c>
      <c r="AX2" s="31" t="s">
        <v>91</v>
      </c>
      <c r="AY2" s="33" t="s">
        <v>81</v>
      </c>
      <c r="AZ2" s="33" t="s">
        <v>81</v>
      </c>
      <c r="BA2" s="31"/>
      <c r="BB2" s="33" t="s">
        <v>81</v>
      </c>
      <c r="BC2" s="31"/>
      <c r="BD2" s="33" t="s">
        <v>81</v>
      </c>
      <c r="BE2" s="31"/>
      <c r="BF2" s="33" t="s">
        <v>81</v>
      </c>
      <c r="BI2" s="224" t="s">
        <v>92</v>
      </c>
      <c r="BJ2" s="239"/>
      <c r="BK2" s="239"/>
      <c r="BL2" s="239"/>
      <c r="BM2" s="225"/>
      <c r="BN2" s="224" t="s">
        <v>93</v>
      </c>
      <c r="BO2" s="239"/>
      <c r="BP2" s="239"/>
      <c r="BQ2" s="225"/>
      <c r="BR2" s="224" t="s">
        <v>94</v>
      </c>
      <c r="BS2" s="239"/>
      <c r="BT2" s="239"/>
      <c r="BU2" s="225"/>
      <c r="BV2" s="224" t="s">
        <v>94</v>
      </c>
      <c r="BW2" s="239"/>
      <c r="BX2" s="239"/>
      <c r="BY2" s="225"/>
      <c r="BZ2" s="89" t="s">
        <v>206</v>
      </c>
      <c r="CA2" s="90" t="s">
        <v>207</v>
      </c>
      <c r="CB2" s="15"/>
      <c r="CC2" s="224" t="s">
        <v>95</v>
      </c>
      <c r="CD2" s="239"/>
      <c r="CE2" s="239"/>
      <c r="CF2" s="239"/>
      <c r="CG2" s="263" t="s">
        <v>208</v>
      </c>
      <c r="CH2" s="263" t="s">
        <v>209</v>
      </c>
      <c r="CI2" s="224" t="s">
        <v>96</v>
      </c>
      <c r="CJ2" s="239"/>
      <c r="CK2" s="239"/>
      <c r="CL2" s="225"/>
      <c r="CM2" s="265" t="s">
        <v>208</v>
      </c>
      <c r="CN2" s="224" t="s">
        <v>97</v>
      </c>
      <c r="CO2" s="239"/>
      <c r="CP2" s="239"/>
      <c r="CQ2" s="225"/>
      <c r="CR2" s="224" t="s">
        <v>98</v>
      </c>
      <c r="CS2" s="239"/>
      <c r="CT2" s="239"/>
      <c r="CU2" s="225"/>
      <c r="CV2" s="267"/>
      <c r="CW2" s="224" t="s">
        <v>99</v>
      </c>
      <c r="CX2" s="239"/>
      <c r="CY2" s="239"/>
      <c r="CZ2" s="225"/>
      <c r="DD2" s="104" t="s">
        <v>213</v>
      </c>
      <c r="DE2" s="104" t="s">
        <v>214</v>
      </c>
      <c r="DF2" s="104" t="s">
        <v>81</v>
      </c>
      <c r="DG2" s="104" t="s">
        <v>213</v>
      </c>
      <c r="DI2" s="34" t="s">
        <v>81</v>
      </c>
      <c r="DJ2" s="34" t="s">
        <v>81</v>
      </c>
    </row>
    <row r="3" spans="2:114" x14ac:dyDescent="0.25">
      <c r="B3" s="63"/>
      <c r="C3" s="224" t="s">
        <v>128</v>
      </c>
      <c r="D3" s="225"/>
      <c r="E3" s="23" t="s">
        <v>129</v>
      </c>
      <c r="F3" s="224" t="s">
        <v>130</v>
      </c>
      <c r="G3" s="225"/>
      <c r="H3" s="23" t="s">
        <v>129</v>
      </c>
      <c r="I3" s="224" t="s">
        <v>131</v>
      </c>
      <c r="J3" s="225"/>
      <c r="K3" s="23"/>
      <c r="L3" s="224" t="s">
        <v>132</v>
      </c>
      <c r="M3" s="225"/>
      <c r="N3" s="23"/>
      <c r="O3" s="224" t="s">
        <v>133</v>
      </c>
      <c r="P3" s="225"/>
      <c r="Q3" s="23" t="s">
        <v>129</v>
      </c>
      <c r="R3" s="36"/>
      <c r="S3" s="224" t="s">
        <v>134</v>
      </c>
      <c r="T3" s="225"/>
      <c r="U3" s="24"/>
      <c r="V3" s="224" t="s">
        <v>134</v>
      </c>
      <c r="W3" s="225"/>
      <c r="X3" s="24"/>
      <c r="Y3" s="35"/>
      <c r="Z3" s="15"/>
      <c r="AA3" s="170" t="s">
        <v>135</v>
      </c>
      <c r="AB3" s="170" t="s">
        <v>136</v>
      </c>
      <c r="AC3" s="170" t="s">
        <v>135</v>
      </c>
      <c r="AD3" s="170" t="s">
        <v>136</v>
      </c>
      <c r="AE3" s="170" t="s">
        <v>135</v>
      </c>
      <c r="AF3" s="170" t="s">
        <v>136</v>
      </c>
      <c r="AG3" s="170" t="s">
        <v>135</v>
      </c>
      <c r="AH3" s="170" t="s">
        <v>136</v>
      </c>
      <c r="AI3" s="170" t="s">
        <v>135</v>
      </c>
      <c r="AJ3" s="170" t="s">
        <v>136</v>
      </c>
      <c r="AK3" s="170" t="s">
        <v>135</v>
      </c>
      <c r="AL3" s="170" t="s">
        <v>136</v>
      </c>
      <c r="AM3" s="170" t="s">
        <v>135</v>
      </c>
      <c r="AN3" s="170" t="s">
        <v>136</v>
      </c>
      <c r="AO3" s="170" t="s">
        <v>135</v>
      </c>
      <c r="AP3" s="170" t="s">
        <v>136</v>
      </c>
      <c r="AQ3" s="15"/>
      <c r="AS3" s="169" t="s">
        <v>137</v>
      </c>
      <c r="AT3" s="24"/>
      <c r="AU3" s="15"/>
      <c r="AV3" s="169" t="s">
        <v>138</v>
      </c>
      <c r="AW3" s="23" t="s">
        <v>129</v>
      </c>
      <c r="AX3" s="169" t="s">
        <v>138</v>
      </c>
      <c r="AY3" s="23" t="s">
        <v>129</v>
      </c>
      <c r="AZ3" s="23" t="s">
        <v>129</v>
      </c>
      <c r="BA3" s="169" t="s">
        <v>138</v>
      </c>
      <c r="BB3" s="23" t="s">
        <v>129</v>
      </c>
      <c r="BC3" s="169" t="s">
        <v>138</v>
      </c>
      <c r="BD3" s="23" t="s">
        <v>129</v>
      </c>
      <c r="BE3" s="169" t="s">
        <v>138</v>
      </c>
      <c r="BF3" s="23" t="s">
        <v>129</v>
      </c>
      <c r="BI3" s="28" t="s">
        <v>76</v>
      </c>
      <c r="BJ3" s="170" t="s">
        <v>195</v>
      </c>
      <c r="BK3" s="28" t="s">
        <v>101</v>
      </c>
      <c r="BL3" s="91" t="s">
        <v>81</v>
      </c>
      <c r="BM3" s="98" t="s">
        <v>208</v>
      </c>
      <c r="BN3" s="28" t="s">
        <v>76</v>
      </c>
      <c r="BO3" s="170" t="s">
        <v>195</v>
      </c>
      <c r="BP3" s="28" t="s">
        <v>101</v>
      </c>
      <c r="BQ3" s="91" t="s">
        <v>81</v>
      </c>
      <c r="BR3" s="28" t="s">
        <v>76</v>
      </c>
      <c r="BS3" s="170" t="s">
        <v>195</v>
      </c>
      <c r="BT3" s="171" t="s">
        <v>139</v>
      </c>
      <c r="BU3" s="92" t="s">
        <v>81</v>
      </c>
      <c r="BV3" s="28" t="s">
        <v>76</v>
      </c>
      <c r="BW3" s="106" t="s">
        <v>195</v>
      </c>
      <c r="BX3" s="39" t="s">
        <v>139</v>
      </c>
      <c r="BY3" s="92" t="s">
        <v>81</v>
      </c>
      <c r="BZ3" s="95" t="s">
        <v>81</v>
      </c>
      <c r="CA3" s="93"/>
      <c r="CB3" s="15"/>
      <c r="CC3" s="28" t="s">
        <v>76</v>
      </c>
      <c r="CD3" s="170" t="s">
        <v>195</v>
      </c>
      <c r="CE3" s="28" t="s">
        <v>101</v>
      </c>
      <c r="CF3" s="91" t="s">
        <v>81</v>
      </c>
      <c r="CG3" s="264"/>
      <c r="CH3" s="264"/>
      <c r="CI3" s="28" t="s">
        <v>76</v>
      </c>
      <c r="CJ3" s="170" t="s">
        <v>195</v>
      </c>
      <c r="CK3" s="28" t="s">
        <v>101</v>
      </c>
      <c r="CL3" s="91" t="s">
        <v>81</v>
      </c>
      <c r="CM3" s="266"/>
      <c r="CN3" s="28" t="s">
        <v>76</v>
      </c>
      <c r="CO3" s="170" t="s">
        <v>195</v>
      </c>
      <c r="CP3" s="171" t="s">
        <v>101</v>
      </c>
      <c r="CQ3" s="92" t="s">
        <v>81</v>
      </c>
      <c r="CR3" s="28" t="s">
        <v>76</v>
      </c>
      <c r="CS3" s="170" t="s">
        <v>195</v>
      </c>
      <c r="CT3" s="28" t="s">
        <v>101</v>
      </c>
      <c r="CU3" s="91" t="s">
        <v>81</v>
      </c>
      <c r="CV3" s="266"/>
      <c r="CW3" s="28" t="s">
        <v>76</v>
      </c>
      <c r="CX3" s="170" t="s">
        <v>195</v>
      </c>
      <c r="CY3" s="28" t="s">
        <v>101</v>
      </c>
      <c r="CZ3" s="91" t="s">
        <v>81</v>
      </c>
      <c r="DD3" s="24" t="s">
        <v>81</v>
      </c>
      <c r="DE3" s="24" t="s">
        <v>81</v>
      </c>
      <c r="DF3" s="24"/>
      <c r="DG3" s="24"/>
      <c r="DI3" s="24"/>
      <c r="DJ3" s="24"/>
    </row>
    <row r="4" spans="2:114" s="107" customFormat="1" x14ac:dyDescent="0.25">
      <c r="B4" s="69">
        <v>43101</v>
      </c>
      <c r="C4" s="228">
        <v>23565941</v>
      </c>
      <c r="D4" s="229"/>
      <c r="E4" s="38" t="s">
        <v>201</v>
      </c>
      <c r="F4" s="228">
        <v>2709154</v>
      </c>
      <c r="G4" s="229"/>
      <c r="H4" s="38" t="s">
        <v>201</v>
      </c>
      <c r="I4" s="268">
        <v>130160</v>
      </c>
      <c r="J4" s="269"/>
      <c r="K4" s="38" t="s">
        <v>201</v>
      </c>
      <c r="L4" s="268">
        <v>167948</v>
      </c>
      <c r="M4" s="269"/>
      <c r="N4" s="38" t="s">
        <v>201</v>
      </c>
      <c r="O4" s="268">
        <v>11900</v>
      </c>
      <c r="P4" s="269"/>
      <c r="Q4" s="38" t="s">
        <v>201</v>
      </c>
      <c r="R4" s="15"/>
      <c r="S4" s="268">
        <v>3862940</v>
      </c>
      <c r="T4" s="269"/>
      <c r="U4" s="38" t="s">
        <v>201</v>
      </c>
      <c r="V4" s="227">
        <v>1717400</v>
      </c>
      <c r="W4" s="227"/>
      <c r="X4" s="38" t="s">
        <v>201</v>
      </c>
      <c r="Y4" s="37"/>
      <c r="Z4" s="15"/>
      <c r="AA4" s="174">
        <v>29909</v>
      </c>
      <c r="AB4" s="38" t="s">
        <v>201</v>
      </c>
      <c r="AC4" s="174">
        <v>614512425</v>
      </c>
      <c r="AD4" s="38" t="s">
        <v>201</v>
      </c>
      <c r="AE4" s="174">
        <v>527</v>
      </c>
      <c r="AF4" s="38" t="s">
        <v>201</v>
      </c>
      <c r="AG4" s="174">
        <v>15048</v>
      </c>
      <c r="AH4" s="38" t="s">
        <v>201</v>
      </c>
      <c r="AI4" s="174">
        <v>2345985</v>
      </c>
      <c r="AJ4" s="38" t="s">
        <v>201</v>
      </c>
      <c r="AK4" s="174">
        <v>7131</v>
      </c>
      <c r="AL4" s="38" t="s">
        <v>201</v>
      </c>
      <c r="AM4" s="26">
        <v>196</v>
      </c>
      <c r="AN4" s="38" t="s">
        <v>201</v>
      </c>
      <c r="AO4" s="26">
        <v>4640</v>
      </c>
      <c r="AP4" s="38" t="s">
        <v>201</v>
      </c>
      <c r="AQ4" s="15"/>
      <c r="AR4" s="69">
        <v>43101</v>
      </c>
      <c r="AS4" s="21">
        <v>1269</v>
      </c>
      <c r="AT4" s="38" t="s">
        <v>201</v>
      </c>
      <c r="AU4" s="15"/>
      <c r="AV4" s="26">
        <v>8481073</v>
      </c>
      <c r="AW4" s="38" t="s">
        <v>201</v>
      </c>
      <c r="AX4" s="26">
        <v>3060230</v>
      </c>
      <c r="AY4" s="38" t="s">
        <v>201</v>
      </c>
      <c r="AZ4" s="38" t="s">
        <v>201</v>
      </c>
      <c r="BA4" s="26">
        <v>6384600</v>
      </c>
      <c r="BB4" s="38" t="s">
        <v>201</v>
      </c>
      <c r="BC4" s="26">
        <v>3573500</v>
      </c>
      <c r="BD4" s="38" t="s">
        <v>201</v>
      </c>
      <c r="BE4" s="26">
        <v>18557406</v>
      </c>
      <c r="BF4" s="38" t="s">
        <v>201</v>
      </c>
      <c r="BG4"/>
      <c r="BH4"/>
      <c r="BI4" s="20">
        <f t="shared" ref="BI4:BI22" si="0">(C4)</f>
        <v>23565941</v>
      </c>
      <c r="BJ4" s="21">
        <v>234804</v>
      </c>
      <c r="BK4" s="20"/>
      <c r="BL4" s="71"/>
      <c r="BM4" s="98" t="s">
        <v>201</v>
      </c>
      <c r="BN4" s="20">
        <f t="shared" ref="BN4:BN22" si="1">(F4)</f>
        <v>2709154</v>
      </c>
      <c r="BO4" s="21">
        <v>26918</v>
      </c>
      <c r="BP4" s="20"/>
      <c r="BQ4" s="71"/>
      <c r="BR4" s="20">
        <f t="shared" ref="BR4:BR22" si="2">(S4)</f>
        <v>3862940</v>
      </c>
      <c r="BS4" s="21">
        <v>384003</v>
      </c>
      <c r="BT4" s="26"/>
      <c r="BU4" s="96"/>
      <c r="BV4" s="20">
        <f t="shared" ref="BV4:BV22" si="3">V4</f>
        <v>1717400</v>
      </c>
      <c r="BW4" s="94">
        <v>16019</v>
      </c>
      <c r="BX4" s="40" t="s">
        <v>201</v>
      </c>
      <c r="BY4" s="93" t="s">
        <v>201</v>
      </c>
      <c r="BZ4" s="105"/>
      <c r="CA4" s="93" t="s">
        <v>201</v>
      </c>
      <c r="CB4" s="15"/>
      <c r="CC4" s="20">
        <f t="shared" ref="CC4:CC22" si="4">(BA4)</f>
        <v>6384600</v>
      </c>
      <c r="CD4" s="21">
        <v>6382</v>
      </c>
      <c r="CE4" s="20" t="s">
        <v>201</v>
      </c>
      <c r="CF4" s="71" t="s">
        <v>201</v>
      </c>
      <c r="CG4" s="82"/>
      <c r="CH4" s="82"/>
      <c r="CI4" s="20">
        <f t="shared" ref="CI4:CI22" si="5">(AV4)</f>
        <v>8481073</v>
      </c>
      <c r="CJ4" s="21">
        <v>8410</v>
      </c>
      <c r="CK4" s="20"/>
      <c r="CL4" s="71"/>
      <c r="CM4" s="97" t="s">
        <v>201</v>
      </c>
      <c r="CN4" s="20">
        <f t="shared" ref="CN4:CN22" si="6">(AS4)</f>
        <v>1269</v>
      </c>
      <c r="CO4" s="21" t="s">
        <v>201</v>
      </c>
      <c r="CP4" s="26" t="s">
        <v>201</v>
      </c>
      <c r="CQ4" s="96" t="s">
        <v>201</v>
      </c>
      <c r="CR4" s="20">
        <f t="shared" ref="CR4:CR22" si="7">(BC4)</f>
        <v>3573500</v>
      </c>
      <c r="CS4" s="21">
        <v>3572</v>
      </c>
      <c r="CT4" s="20"/>
      <c r="CU4" s="71"/>
      <c r="CV4" s="97"/>
      <c r="CW4" s="20">
        <f t="shared" ref="CW4:CW22" si="8">(BE4)</f>
        <v>18557406</v>
      </c>
      <c r="CX4" s="21">
        <v>182480</v>
      </c>
      <c r="CY4" s="20"/>
      <c r="CZ4" s="71"/>
      <c r="DA4"/>
      <c r="DB4"/>
      <c r="DC4"/>
      <c r="DD4" s="50"/>
      <c r="DE4" s="50"/>
      <c r="DF4" s="50"/>
      <c r="DG4" s="50"/>
      <c r="DH4"/>
      <c r="DI4" s="180"/>
      <c r="DJ4" s="180"/>
    </row>
    <row r="5" spans="2:114" s="107" customFormat="1" x14ac:dyDescent="0.25">
      <c r="B5" s="69">
        <v>43131</v>
      </c>
      <c r="C5" s="228">
        <v>24048779</v>
      </c>
      <c r="D5" s="229"/>
      <c r="E5" s="38">
        <f t="shared" ref="E5:E15" si="9">SUM(C5-C4)*10</f>
        <v>4828380</v>
      </c>
      <c r="F5" s="228">
        <v>2752459</v>
      </c>
      <c r="G5" s="229"/>
      <c r="H5" s="38">
        <f t="shared" ref="H5:H15" si="10">SUM(F5-F4)*10</f>
        <v>433050</v>
      </c>
      <c r="I5" s="268">
        <v>132630</v>
      </c>
      <c r="J5" s="269"/>
      <c r="K5" s="38">
        <f t="shared" ref="K5:K22" si="11">SUM(I5-I4)*10</f>
        <v>24700</v>
      </c>
      <c r="L5" s="268">
        <v>171438</v>
      </c>
      <c r="M5" s="269"/>
      <c r="N5" s="38">
        <f t="shared" ref="N5:N22" si="12">SUM(L5-L4)*1000</f>
        <v>3490000</v>
      </c>
      <c r="O5" s="268">
        <v>12340</v>
      </c>
      <c r="P5" s="269"/>
      <c r="Q5" s="38">
        <f t="shared" ref="Q5:Q22" si="13">SUM(O5-O4)*100</f>
        <v>44000</v>
      </c>
      <c r="R5" s="15"/>
      <c r="S5" s="268">
        <v>3967018</v>
      </c>
      <c r="T5" s="269"/>
      <c r="U5" s="38">
        <f t="shared" ref="U5:U22" si="14">SUM(S5-S4)*10</f>
        <v>1040780</v>
      </c>
      <c r="V5" s="227">
        <v>2683003</v>
      </c>
      <c r="W5" s="227"/>
      <c r="X5" s="38">
        <f t="shared" ref="X5:X22" si="15">SUM(V5-V4)*10</f>
        <v>9656030</v>
      </c>
      <c r="Y5" s="37">
        <f t="shared" ref="Y5:Y22" si="16">SUM(U5+X5)</f>
        <v>10696810</v>
      </c>
      <c r="Z5" s="15"/>
      <c r="AA5" s="174">
        <v>30223</v>
      </c>
      <c r="AB5" s="38">
        <f t="shared" ref="AB5:AB22" si="17">SUM(AA5-AA4)*1000</f>
        <v>314000</v>
      </c>
      <c r="AC5" s="174">
        <v>622669328</v>
      </c>
      <c r="AD5" s="38">
        <f t="shared" ref="AD5:AD22" si="18">SUM(AC5-AC4)</f>
        <v>8156903</v>
      </c>
      <c r="AE5" s="174">
        <v>534</v>
      </c>
      <c r="AF5" s="38">
        <f t="shared" ref="AF5:AF22" si="19">SUM(AE5-AE4)*1000</f>
        <v>7000</v>
      </c>
      <c r="AG5" s="174">
        <v>15421</v>
      </c>
      <c r="AH5" s="38">
        <f t="shared" ref="AH5:AH22" si="20">SUM(AG5-AG4)*1000</f>
        <v>373000</v>
      </c>
      <c r="AI5" s="174">
        <v>2393229</v>
      </c>
      <c r="AJ5" s="38">
        <f t="shared" ref="AJ5:AJ22" si="21">SUM(AI5-AI4)</f>
        <v>47244</v>
      </c>
      <c r="AK5" s="174">
        <v>7764</v>
      </c>
      <c r="AL5" s="38">
        <f t="shared" ref="AL5:AL17" si="22">SUM(AK5-AK4)*1000</f>
        <v>633000</v>
      </c>
      <c r="AM5" s="26">
        <v>197</v>
      </c>
      <c r="AN5" s="38">
        <f t="shared" ref="AN5:AN17" si="23">SUM(AM5-AM4)*10</f>
        <v>10</v>
      </c>
      <c r="AO5" s="26">
        <v>4870</v>
      </c>
      <c r="AP5" s="38">
        <f t="shared" ref="AP5:AP22" si="24">SUM(AO5-AO4)*10</f>
        <v>2300</v>
      </c>
      <c r="AQ5" s="15"/>
      <c r="AR5" s="69">
        <v>43131</v>
      </c>
      <c r="AS5" s="21">
        <v>1736</v>
      </c>
      <c r="AT5" s="38">
        <f t="shared" ref="AT5:AT22" si="25">SUM(AS5-AS4)</f>
        <v>467</v>
      </c>
      <c r="AU5" s="15"/>
      <c r="AV5" s="26">
        <v>8755687</v>
      </c>
      <c r="AW5" s="38">
        <f>SUM(AV5-AV4)</f>
        <v>274614</v>
      </c>
      <c r="AX5" s="26">
        <v>3074850</v>
      </c>
      <c r="AY5" s="38">
        <f>SUM(AX5-AX4)</f>
        <v>14620</v>
      </c>
      <c r="AZ5" s="38">
        <f t="shared" ref="AZ5:AZ14" si="26">SUM(AW5-AY5)</f>
        <v>259994</v>
      </c>
      <c r="BA5" s="26">
        <v>6400100</v>
      </c>
      <c r="BB5" s="38">
        <f>SUM(BA5-BA4)</f>
        <v>15500</v>
      </c>
      <c r="BC5" s="26">
        <v>3584200</v>
      </c>
      <c r="BD5" s="38">
        <f>SUM(BC5-BC4)</f>
        <v>10700</v>
      </c>
      <c r="BE5" s="26">
        <v>18578000</v>
      </c>
      <c r="BF5" s="38">
        <f>SUM(BE5-BE4)</f>
        <v>20594</v>
      </c>
      <c r="BG5"/>
      <c r="BH5"/>
      <c r="BI5" s="20">
        <f t="shared" si="0"/>
        <v>24048779</v>
      </c>
      <c r="BJ5" s="21">
        <v>240700</v>
      </c>
      <c r="BK5" s="20">
        <f t="shared" ref="BK5:BK10" si="27">SUM(BJ5-BJ4)</f>
        <v>5896</v>
      </c>
      <c r="BL5" s="71">
        <f t="shared" ref="BL5:BL10" si="28">SUM(BK5*1.0766)+1986.71</f>
        <v>8334.3436000000002</v>
      </c>
      <c r="BM5" s="98">
        <v>20000</v>
      </c>
      <c r="BN5" s="20">
        <f t="shared" si="1"/>
        <v>2752459</v>
      </c>
      <c r="BO5" s="21">
        <v>27543</v>
      </c>
      <c r="BP5" s="20">
        <f t="shared" ref="BP5:BP10" si="29">SUM(BO5-BO4)</f>
        <v>625</v>
      </c>
      <c r="BQ5" s="71">
        <f t="shared" ref="BQ5:BQ12" si="30">SUM(BP5*0.8486)+1639.2</f>
        <v>2169.5749999999998</v>
      </c>
      <c r="BR5" s="20">
        <f t="shared" si="2"/>
        <v>3967018</v>
      </c>
      <c r="BS5" s="21">
        <v>394202</v>
      </c>
      <c r="BT5" s="26">
        <v>50877.760000000002</v>
      </c>
      <c r="BU5" s="96">
        <v>35977.75</v>
      </c>
      <c r="BV5" s="20">
        <f t="shared" si="3"/>
        <v>2683003</v>
      </c>
      <c r="BW5" s="94">
        <v>25133</v>
      </c>
      <c r="BX5" s="40">
        <v>3938.25</v>
      </c>
      <c r="BY5" s="93">
        <v>2796.1</v>
      </c>
      <c r="BZ5" s="105">
        <f t="shared" ref="BZ5:BZ14" si="31">SUM(BT5+BX5)</f>
        <v>54816.01</v>
      </c>
      <c r="CA5" s="93">
        <v>11972.94</v>
      </c>
      <c r="CB5" s="15"/>
      <c r="CC5" s="20">
        <f t="shared" si="4"/>
        <v>6400100</v>
      </c>
      <c r="CD5" s="21">
        <v>6399</v>
      </c>
      <c r="CE5" s="20">
        <f t="shared" ref="CE5:CE12" si="32">SUM(CD5-CD4)</f>
        <v>17</v>
      </c>
      <c r="CF5" s="71">
        <f t="shared" ref="CF5:CF14" si="33">SUM(CE5*1.0766)+124.09</f>
        <v>142.3922</v>
      </c>
      <c r="CG5" s="82">
        <v>110</v>
      </c>
      <c r="CH5" s="82">
        <v>1200</v>
      </c>
      <c r="CI5" s="20">
        <f t="shared" si="5"/>
        <v>8755687</v>
      </c>
      <c r="CJ5" s="21">
        <v>8663</v>
      </c>
      <c r="CK5" s="20">
        <f t="shared" ref="CK5:CK14" si="34">SUM(CJ5-CJ4)</f>
        <v>253</v>
      </c>
      <c r="CL5" s="71">
        <f t="shared" ref="CL5:CL14" si="35">SUM(CK5*1.0766)+198.63</f>
        <v>471.00979999999998</v>
      </c>
      <c r="CM5" s="97">
        <v>1500</v>
      </c>
      <c r="CN5" s="20">
        <f t="shared" si="6"/>
        <v>1736</v>
      </c>
      <c r="CO5" s="21">
        <v>1774</v>
      </c>
      <c r="CP5" s="26"/>
      <c r="CQ5" s="96">
        <v>1000</v>
      </c>
      <c r="CR5" s="20">
        <f t="shared" si="7"/>
        <v>3584200</v>
      </c>
      <c r="CS5" s="21">
        <v>3584</v>
      </c>
      <c r="CT5" s="20">
        <f t="shared" ref="CT5:CT10" si="36">SUM(CS5-CS4)</f>
        <v>12</v>
      </c>
      <c r="CU5" s="71">
        <f t="shared" ref="CU5:CU14" si="37">SUM(CT5*1.0766)+198.63</f>
        <v>211.54919999999998</v>
      </c>
      <c r="CV5" s="97"/>
      <c r="CW5" s="20">
        <f t="shared" si="8"/>
        <v>18578000</v>
      </c>
      <c r="CX5" s="21">
        <v>185780</v>
      </c>
      <c r="CY5" s="20">
        <f t="shared" ref="CY5:CY14" si="38">SUM(CX5-CX4)</f>
        <v>3300</v>
      </c>
      <c r="CZ5" s="71">
        <f t="shared" ref="CZ5:CZ14" si="39">SUM(CY5*0.8486)+1024.42</f>
        <v>3824.8</v>
      </c>
      <c r="DA5"/>
      <c r="DB5"/>
      <c r="DC5"/>
      <c r="DD5" s="82">
        <f>SUM(BL5+CF5+CL5+CU5)</f>
        <v>9159.2947999999997</v>
      </c>
      <c r="DE5" s="82">
        <f t="shared" ref="DE5:DE14" si="40">SUM(BQ5+CZ5)</f>
        <v>5994.375</v>
      </c>
      <c r="DF5" s="82">
        <f t="shared" ref="DF5:DF14" si="41">SUM(BM5+CG5+CV5)</f>
        <v>20110</v>
      </c>
      <c r="DG5" s="82">
        <f t="shared" ref="DG5:DG14" si="42">SUM(DD5:DF5)</f>
        <v>35263.669800000003</v>
      </c>
      <c r="DH5"/>
      <c r="DI5" s="99">
        <f>SUM(BU5+CQ5)</f>
        <v>36977.75</v>
      </c>
      <c r="DJ5" s="99">
        <f t="shared" ref="DJ5:DJ14" si="43">SUM(CA5+CH5)</f>
        <v>13172.94</v>
      </c>
    </row>
    <row r="6" spans="2:114" s="107" customFormat="1" x14ac:dyDescent="0.25">
      <c r="B6" s="69">
        <v>43159</v>
      </c>
      <c r="C6" s="228">
        <v>24536140</v>
      </c>
      <c r="D6" s="229"/>
      <c r="E6" s="38">
        <f t="shared" si="9"/>
        <v>4873610</v>
      </c>
      <c r="F6" s="228">
        <v>2790946</v>
      </c>
      <c r="G6" s="229"/>
      <c r="H6" s="38">
        <f t="shared" si="10"/>
        <v>384870</v>
      </c>
      <c r="I6" s="268">
        <v>134290</v>
      </c>
      <c r="J6" s="269"/>
      <c r="K6" s="38">
        <f t="shared" si="11"/>
        <v>16600</v>
      </c>
      <c r="L6" s="268">
        <v>175019</v>
      </c>
      <c r="M6" s="269"/>
      <c r="N6" s="38">
        <f t="shared" si="12"/>
        <v>3581000</v>
      </c>
      <c r="O6" s="268">
        <v>40</v>
      </c>
      <c r="P6" s="269"/>
      <c r="Q6" s="38">
        <v>44000</v>
      </c>
      <c r="R6" s="15"/>
      <c r="S6" s="268">
        <v>4050207</v>
      </c>
      <c r="T6" s="269"/>
      <c r="U6" s="38">
        <f t="shared" si="14"/>
        <v>831890</v>
      </c>
      <c r="V6" s="227">
        <v>3138200</v>
      </c>
      <c r="W6" s="227"/>
      <c r="X6" s="38">
        <f t="shared" si="15"/>
        <v>4551970</v>
      </c>
      <c r="Y6" s="37">
        <f t="shared" si="16"/>
        <v>5383860</v>
      </c>
      <c r="Z6" s="15"/>
      <c r="AA6" s="174">
        <v>30840</v>
      </c>
      <c r="AB6" s="38">
        <v>314000</v>
      </c>
      <c r="AC6" s="174">
        <v>638057152</v>
      </c>
      <c r="AD6" s="38">
        <f t="shared" si="18"/>
        <v>15387824</v>
      </c>
      <c r="AE6" s="174">
        <v>5499</v>
      </c>
      <c r="AF6" s="38">
        <v>7000</v>
      </c>
      <c r="AG6" s="174">
        <v>158012</v>
      </c>
      <c r="AH6" s="38">
        <v>51309000</v>
      </c>
      <c r="AI6" s="174">
        <v>2430812</v>
      </c>
      <c r="AJ6" s="38">
        <f t="shared" si="21"/>
        <v>37583</v>
      </c>
      <c r="AK6" s="174">
        <v>8366</v>
      </c>
      <c r="AL6" s="38">
        <f t="shared" si="22"/>
        <v>602000</v>
      </c>
      <c r="AM6" s="26">
        <v>218</v>
      </c>
      <c r="AN6" s="38">
        <f t="shared" si="23"/>
        <v>210</v>
      </c>
      <c r="AO6" s="26">
        <v>5026</v>
      </c>
      <c r="AP6" s="38">
        <f t="shared" si="24"/>
        <v>1560</v>
      </c>
      <c r="AQ6" s="15"/>
      <c r="AR6" s="69">
        <v>43159</v>
      </c>
      <c r="AS6" s="21">
        <v>2459</v>
      </c>
      <c r="AT6" s="38">
        <f t="shared" si="25"/>
        <v>723</v>
      </c>
      <c r="AU6" s="15"/>
      <c r="AV6" s="26">
        <v>8986462</v>
      </c>
      <c r="AW6" s="38">
        <f t="shared" ref="AW6:AW22" si="44">SUM(AV6-AV5)</f>
        <v>230775</v>
      </c>
      <c r="AX6" s="26">
        <v>3082420</v>
      </c>
      <c r="AY6" s="38">
        <f t="shared" ref="AY6:AY14" si="45">SUM(AX6-AX5)</f>
        <v>7570</v>
      </c>
      <c r="AZ6" s="38">
        <f t="shared" si="26"/>
        <v>223205</v>
      </c>
      <c r="BA6" s="26">
        <v>6419400</v>
      </c>
      <c r="BB6" s="38">
        <f t="shared" ref="BB6:BB22" si="46">SUM(BA6-BA5)</f>
        <v>19300</v>
      </c>
      <c r="BC6" s="26">
        <v>3595700</v>
      </c>
      <c r="BD6" s="38">
        <f t="shared" ref="BD6:BD22" si="47">SUM(BC6-BC5)</f>
        <v>11500</v>
      </c>
      <c r="BE6" s="26">
        <v>19113722</v>
      </c>
      <c r="BF6" s="38">
        <f t="shared" ref="BF6:BF22" si="48">SUM(BE6-BE5)</f>
        <v>535722</v>
      </c>
      <c r="BG6"/>
      <c r="BH6"/>
      <c r="BI6" s="20">
        <f t="shared" si="0"/>
        <v>24536140</v>
      </c>
      <c r="BJ6" s="21">
        <v>245267</v>
      </c>
      <c r="BK6" s="20">
        <f t="shared" si="27"/>
        <v>4567</v>
      </c>
      <c r="BL6" s="71">
        <f t="shared" si="28"/>
        <v>6903.5421999999999</v>
      </c>
      <c r="BM6" s="98">
        <v>22713.360000000001</v>
      </c>
      <c r="BN6" s="20">
        <f t="shared" si="1"/>
        <v>2790946</v>
      </c>
      <c r="BO6" s="21">
        <v>27894</v>
      </c>
      <c r="BP6" s="20">
        <f t="shared" si="29"/>
        <v>351</v>
      </c>
      <c r="BQ6" s="71">
        <f t="shared" si="30"/>
        <v>1937.0586000000001</v>
      </c>
      <c r="BR6" s="20">
        <f t="shared" si="2"/>
        <v>4050207</v>
      </c>
      <c r="BS6" s="21">
        <v>404609</v>
      </c>
      <c r="BT6" s="26">
        <v>51918.9</v>
      </c>
      <c r="BU6" s="96">
        <v>36785.269999999997</v>
      </c>
      <c r="BV6" s="20">
        <f t="shared" si="3"/>
        <v>3138200</v>
      </c>
      <c r="BW6" s="94">
        <v>31557</v>
      </c>
      <c r="BX6" s="40">
        <v>2775.87</v>
      </c>
      <c r="BY6" s="93">
        <v>1974.67</v>
      </c>
      <c r="BZ6" s="105">
        <f t="shared" si="31"/>
        <v>54694.770000000004</v>
      </c>
      <c r="CA6" s="93">
        <v>11797.46</v>
      </c>
      <c r="CB6" s="15"/>
      <c r="CC6" s="20">
        <f t="shared" si="4"/>
        <v>6419400</v>
      </c>
      <c r="CD6" s="21">
        <v>6419</v>
      </c>
      <c r="CE6" s="20">
        <f t="shared" si="32"/>
        <v>20</v>
      </c>
      <c r="CF6" s="71">
        <f t="shared" si="33"/>
        <v>145.62200000000001</v>
      </c>
      <c r="CG6" s="82">
        <v>120.4</v>
      </c>
      <c r="CH6" s="82">
        <v>1347.06</v>
      </c>
      <c r="CI6" s="20">
        <f t="shared" si="5"/>
        <v>8986462</v>
      </c>
      <c r="CJ6" s="21">
        <v>8962</v>
      </c>
      <c r="CK6" s="20">
        <f t="shared" si="34"/>
        <v>299</v>
      </c>
      <c r="CL6" s="71">
        <f t="shared" si="35"/>
        <v>520.53340000000003</v>
      </c>
      <c r="CM6" s="97">
        <v>1637.44</v>
      </c>
      <c r="CN6" s="20">
        <f t="shared" si="6"/>
        <v>2459</v>
      </c>
      <c r="CO6" s="21">
        <v>2461</v>
      </c>
      <c r="CP6" s="26">
        <v>1592.74</v>
      </c>
      <c r="CQ6" s="96">
        <v>1133.03</v>
      </c>
      <c r="CR6" s="20">
        <f t="shared" si="7"/>
        <v>3595700</v>
      </c>
      <c r="CS6" s="21">
        <v>3586</v>
      </c>
      <c r="CT6" s="20">
        <f t="shared" si="36"/>
        <v>2</v>
      </c>
      <c r="CU6" s="71">
        <f t="shared" si="37"/>
        <v>200.78319999999999</v>
      </c>
      <c r="CV6" s="97"/>
      <c r="CW6" s="20">
        <f t="shared" si="8"/>
        <v>19113722</v>
      </c>
      <c r="CX6" s="21">
        <v>188930</v>
      </c>
      <c r="CY6" s="20">
        <f t="shared" si="38"/>
        <v>3150</v>
      </c>
      <c r="CZ6" s="71">
        <f t="shared" si="39"/>
        <v>3697.51</v>
      </c>
      <c r="DA6"/>
      <c r="DB6"/>
      <c r="DC6"/>
      <c r="DD6" s="82" t="e">
        <f t="shared" ref="DD6" si="49">SUM(BL6+CF6+CL6+#REF!+CU6)</f>
        <v>#REF!</v>
      </c>
      <c r="DE6" s="82">
        <f t="shared" si="40"/>
        <v>5634.5686000000005</v>
      </c>
      <c r="DF6" s="82">
        <f t="shared" si="41"/>
        <v>22833.760000000002</v>
      </c>
      <c r="DG6" s="82" t="e">
        <f t="shared" si="42"/>
        <v>#REF!</v>
      </c>
      <c r="DH6"/>
      <c r="DI6" s="99">
        <f t="shared" ref="DI6:DI14" si="50">SUM(BU6+CQ6+BY6)</f>
        <v>39892.969999999994</v>
      </c>
      <c r="DJ6" s="99">
        <f t="shared" si="43"/>
        <v>13144.519999999999</v>
      </c>
    </row>
    <row r="7" spans="2:114" s="107" customFormat="1" x14ac:dyDescent="0.25">
      <c r="B7" s="69">
        <v>43191</v>
      </c>
      <c r="C7" s="228">
        <v>25113560</v>
      </c>
      <c r="D7" s="229"/>
      <c r="E7" s="38">
        <f t="shared" si="9"/>
        <v>5774200</v>
      </c>
      <c r="F7" s="228">
        <v>2920990</v>
      </c>
      <c r="G7" s="229"/>
      <c r="H7" s="38">
        <f t="shared" si="10"/>
        <v>1300440</v>
      </c>
      <c r="I7" s="268">
        <v>136160</v>
      </c>
      <c r="J7" s="269"/>
      <c r="K7" s="38">
        <f t="shared" si="11"/>
        <v>18700</v>
      </c>
      <c r="L7" s="268">
        <v>179325</v>
      </c>
      <c r="M7" s="269"/>
      <c r="N7" s="38">
        <f t="shared" si="12"/>
        <v>4306000</v>
      </c>
      <c r="O7" s="268">
        <v>1258</v>
      </c>
      <c r="P7" s="269"/>
      <c r="Q7" s="38">
        <f t="shared" si="13"/>
        <v>121800</v>
      </c>
      <c r="R7" s="15"/>
      <c r="S7" s="268">
        <v>4155890</v>
      </c>
      <c r="T7" s="269"/>
      <c r="U7" s="38">
        <v>931890</v>
      </c>
      <c r="V7" s="227">
        <v>3824700</v>
      </c>
      <c r="W7" s="227"/>
      <c r="X7" s="38">
        <f t="shared" si="15"/>
        <v>6865000</v>
      </c>
      <c r="Y7" s="37">
        <f t="shared" si="16"/>
        <v>7796890</v>
      </c>
      <c r="Z7" s="15"/>
      <c r="AA7" s="174">
        <v>31319</v>
      </c>
      <c r="AB7" s="38">
        <f t="shared" si="17"/>
        <v>479000</v>
      </c>
      <c r="AC7" s="174">
        <v>650783007</v>
      </c>
      <c r="AD7" s="38">
        <f t="shared" si="18"/>
        <v>12725855</v>
      </c>
      <c r="AE7" s="174">
        <v>5822</v>
      </c>
      <c r="AF7" s="38">
        <f t="shared" si="19"/>
        <v>323000</v>
      </c>
      <c r="AG7" s="174">
        <v>163142</v>
      </c>
      <c r="AH7" s="38">
        <f t="shared" si="20"/>
        <v>5130000</v>
      </c>
      <c r="AI7" s="174">
        <v>2470734</v>
      </c>
      <c r="AJ7" s="38">
        <f t="shared" si="21"/>
        <v>39922</v>
      </c>
      <c r="AK7" s="174">
        <v>9061</v>
      </c>
      <c r="AL7" s="38">
        <f t="shared" si="22"/>
        <v>695000</v>
      </c>
      <c r="AM7" s="26">
        <v>277</v>
      </c>
      <c r="AN7" s="38">
        <f t="shared" si="23"/>
        <v>590</v>
      </c>
      <c r="AO7" s="26">
        <v>5377</v>
      </c>
      <c r="AP7" s="38">
        <f t="shared" si="24"/>
        <v>3510</v>
      </c>
      <c r="AQ7" s="15"/>
      <c r="AR7" s="69">
        <v>43191</v>
      </c>
      <c r="AS7" s="21">
        <v>2953</v>
      </c>
      <c r="AT7" s="38">
        <f t="shared" si="25"/>
        <v>494</v>
      </c>
      <c r="AU7" s="15"/>
      <c r="AV7" s="26">
        <v>9258660</v>
      </c>
      <c r="AW7" s="38">
        <f t="shared" si="44"/>
        <v>272198</v>
      </c>
      <c r="AX7" s="26">
        <v>3097900</v>
      </c>
      <c r="AY7" s="38">
        <f t="shared" si="45"/>
        <v>15480</v>
      </c>
      <c r="AZ7" s="38">
        <f t="shared" si="26"/>
        <v>256718</v>
      </c>
      <c r="BA7" s="26">
        <v>6438300</v>
      </c>
      <c r="BB7" s="38">
        <f t="shared" si="46"/>
        <v>18900</v>
      </c>
      <c r="BC7" s="26">
        <v>3613800</v>
      </c>
      <c r="BD7" s="38">
        <f t="shared" si="47"/>
        <v>18100</v>
      </c>
      <c r="BE7" s="26">
        <v>21503816</v>
      </c>
      <c r="BF7" s="38">
        <f t="shared" si="48"/>
        <v>2390094</v>
      </c>
      <c r="BG7"/>
      <c r="BH7"/>
      <c r="BI7" s="20">
        <f t="shared" si="0"/>
        <v>25113560</v>
      </c>
      <c r="BJ7" s="21">
        <v>250396</v>
      </c>
      <c r="BK7" s="20">
        <f t="shared" si="27"/>
        <v>5129</v>
      </c>
      <c r="BL7" s="71">
        <f t="shared" si="28"/>
        <v>7508.5914000000002</v>
      </c>
      <c r="BM7" s="98">
        <v>25000</v>
      </c>
      <c r="BN7" s="20">
        <f t="shared" si="1"/>
        <v>2920990</v>
      </c>
      <c r="BO7" s="21">
        <v>29082</v>
      </c>
      <c r="BP7" s="20">
        <f t="shared" si="29"/>
        <v>1188</v>
      </c>
      <c r="BQ7" s="71">
        <f t="shared" si="30"/>
        <v>2647.3368</v>
      </c>
      <c r="BR7" s="20">
        <f t="shared" si="2"/>
        <v>4155890</v>
      </c>
      <c r="BS7" s="21">
        <v>415810</v>
      </c>
      <c r="BT7" s="26">
        <v>55878.43</v>
      </c>
      <c r="BU7" s="96">
        <v>37520.68</v>
      </c>
      <c r="BV7" s="20">
        <f t="shared" si="3"/>
        <v>3824700</v>
      </c>
      <c r="BW7" s="94">
        <v>40473</v>
      </c>
      <c r="BX7" s="40">
        <v>3852.69</v>
      </c>
      <c r="BY7" s="93">
        <v>2597.4299999999998</v>
      </c>
      <c r="BZ7" s="105">
        <f t="shared" si="31"/>
        <v>59731.12</v>
      </c>
      <c r="CA7" s="93">
        <v>11010.06</v>
      </c>
      <c r="CB7" s="15"/>
      <c r="CC7" s="20">
        <f t="shared" si="4"/>
        <v>6438300</v>
      </c>
      <c r="CD7" s="21">
        <v>6436</v>
      </c>
      <c r="CE7" s="20">
        <f t="shared" si="32"/>
        <v>17</v>
      </c>
      <c r="CF7" s="71">
        <f t="shared" si="33"/>
        <v>142.3922</v>
      </c>
      <c r="CG7" s="82">
        <v>125</v>
      </c>
      <c r="CH7" s="82">
        <v>1300</v>
      </c>
      <c r="CI7" s="20">
        <f t="shared" si="5"/>
        <v>9258660</v>
      </c>
      <c r="CJ7" s="21">
        <v>9200</v>
      </c>
      <c r="CK7" s="20">
        <f t="shared" si="34"/>
        <v>238</v>
      </c>
      <c r="CL7" s="71">
        <f t="shared" si="35"/>
        <v>454.86079999999998</v>
      </c>
      <c r="CM7" s="97">
        <v>1450</v>
      </c>
      <c r="CN7" s="20">
        <f t="shared" si="6"/>
        <v>2953</v>
      </c>
      <c r="CO7" s="21">
        <v>2953</v>
      </c>
      <c r="CP7" s="26"/>
      <c r="CQ7" s="96">
        <v>1000</v>
      </c>
      <c r="CR7" s="20">
        <f t="shared" si="7"/>
        <v>3613800</v>
      </c>
      <c r="CS7" s="21">
        <v>3610</v>
      </c>
      <c r="CT7" s="20">
        <f t="shared" si="36"/>
        <v>24</v>
      </c>
      <c r="CU7" s="71">
        <f t="shared" si="37"/>
        <v>224.4684</v>
      </c>
      <c r="CV7" s="97"/>
      <c r="CW7" s="20">
        <f t="shared" si="8"/>
        <v>21503816</v>
      </c>
      <c r="CX7" s="21">
        <v>212763</v>
      </c>
      <c r="CY7" s="20">
        <f t="shared" si="38"/>
        <v>23833</v>
      </c>
      <c r="CZ7" s="71">
        <f t="shared" si="39"/>
        <v>21249.103799999997</v>
      </c>
      <c r="DA7"/>
      <c r="DB7"/>
      <c r="DC7"/>
      <c r="DD7" s="82" t="e">
        <f t="shared" ref="DD7" si="51">SUM(BL7+CF7+CL7+#REF!+CU7)</f>
        <v>#REF!</v>
      </c>
      <c r="DE7" s="82">
        <f t="shared" si="40"/>
        <v>23896.440599999998</v>
      </c>
      <c r="DF7" s="82">
        <f t="shared" si="41"/>
        <v>25125</v>
      </c>
      <c r="DG7" s="82" t="e">
        <f t="shared" si="42"/>
        <v>#REF!</v>
      </c>
      <c r="DH7"/>
      <c r="DI7" s="99">
        <f t="shared" si="50"/>
        <v>41118.11</v>
      </c>
      <c r="DJ7" s="99">
        <f t="shared" si="43"/>
        <v>12310.06</v>
      </c>
    </row>
    <row r="8" spans="2:114" s="107" customFormat="1" x14ac:dyDescent="0.25">
      <c r="B8" s="69">
        <v>43221</v>
      </c>
      <c r="C8" s="228">
        <v>25713102</v>
      </c>
      <c r="D8" s="229"/>
      <c r="E8" s="38">
        <f t="shared" si="9"/>
        <v>5995420</v>
      </c>
      <c r="F8" s="228">
        <v>2986943</v>
      </c>
      <c r="G8" s="229"/>
      <c r="H8" s="38">
        <f t="shared" si="10"/>
        <v>659530</v>
      </c>
      <c r="I8" s="268">
        <v>137570</v>
      </c>
      <c r="J8" s="269"/>
      <c r="K8" s="38">
        <f t="shared" si="11"/>
        <v>14100</v>
      </c>
      <c r="L8" s="268">
        <v>183466</v>
      </c>
      <c r="M8" s="269"/>
      <c r="N8" s="38">
        <f t="shared" si="12"/>
        <v>4141000</v>
      </c>
      <c r="O8" s="268">
        <v>2424</v>
      </c>
      <c r="P8" s="269"/>
      <c r="Q8" s="38">
        <f t="shared" si="13"/>
        <v>116600</v>
      </c>
      <c r="R8" s="15"/>
      <c r="S8" s="268">
        <v>4252363</v>
      </c>
      <c r="T8" s="269"/>
      <c r="U8" s="38">
        <f t="shared" si="14"/>
        <v>964730</v>
      </c>
      <c r="V8" s="227">
        <v>4207520</v>
      </c>
      <c r="W8" s="227"/>
      <c r="X8" s="38">
        <f t="shared" si="15"/>
        <v>3828200</v>
      </c>
      <c r="Y8" s="37">
        <f t="shared" si="16"/>
        <v>4792930</v>
      </c>
      <c r="Z8" s="15"/>
      <c r="AA8" s="174">
        <v>31933</v>
      </c>
      <c r="AB8" s="38">
        <f t="shared" si="17"/>
        <v>614000</v>
      </c>
      <c r="AC8" s="174">
        <v>668291411</v>
      </c>
      <c r="AD8" s="38">
        <f t="shared" si="18"/>
        <v>17508404</v>
      </c>
      <c r="AE8" s="174">
        <v>6019</v>
      </c>
      <c r="AF8" s="38">
        <f t="shared" si="19"/>
        <v>197000</v>
      </c>
      <c r="AG8" s="174">
        <v>167918</v>
      </c>
      <c r="AH8" s="38">
        <f t="shared" si="20"/>
        <v>4776000</v>
      </c>
      <c r="AI8" s="174">
        <v>2505760</v>
      </c>
      <c r="AJ8" s="38">
        <f t="shared" si="21"/>
        <v>35026</v>
      </c>
      <c r="AK8" s="174">
        <v>9623</v>
      </c>
      <c r="AL8" s="38">
        <f t="shared" si="22"/>
        <v>562000</v>
      </c>
      <c r="AM8" s="26">
        <v>335</v>
      </c>
      <c r="AN8" s="38">
        <f t="shared" si="23"/>
        <v>580</v>
      </c>
      <c r="AO8" s="26">
        <v>5513</v>
      </c>
      <c r="AP8" s="38">
        <f t="shared" si="24"/>
        <v>1360</v>
      </c>
      <c r="AQ8" s="15"/>
      <c r="AR8" s="69">
        <v>43221</v>
      </c>
      <c r="AS8" s="21">
        <v>3544</v>
      </c>
      <c r="AT8" s="38">
        <f t="shared" si="25"/>
        <v>591</v>
      </c>
      <c r="AU8" s="15"/>
      <c r="AV8" s="26">
        <v>9436000</v>
      </c>
      <c r="AW8" s="38">
        <f t="shared" si="44"/>
        <v>177340</v>
      </c>
      <c r="AX8" s="26">
        <v>3097900</v>
      </c>
      <c r="AY8" s="38">
        <f t="shared" si="45"/>
        <v>0</v>
      </c>
      <c r="AZ8" s="38">
        <f t="shared" si="26"/>
        <v>177340</v>
      </c>
      <c r="BA8" s="26">
        <v>6438300</v>
      </c>
      <c r="BB8" s="38">
        <f t="shared" si="46"/>
        <v>0</v>
      </c>
      <c r="BC8" s="26">
        <v>3631000</v>
      </c>
      <c r="BD8" s="38">
        <f t="shared" si="47"/>
        <v>17200</v>
      </c>
      <c r="BE8" s="26">
        <v>22201200</v>
      </c>
      <c r="BF8" s="38">
        <f t="shared" si="48"/>
        <v>697384</v>
      </c>
      <c r="BG8"/>
      <c r="BH8"/>
      <c r="BI8" s="20">
        <f t="shared" si="0"/>
        <v>25713102</v>
      </c>
      <c r="BJ8" s="21">
        <v>255701</v>
      </c>
      <c r="BK8" s="20">
        <f t="shared" si="27"/>
        <v>5305</v>
      </c>
      <c r="BL8" s="71">
        <f t="shared" si="28"/>
        <v>7698.0730000000003</v>
      </c>
      <c r="BM8" s="98">
        <v>26867.26</v>
      </c>
      <c r="BN8" s="20">
        <f t="shared" si="1"/>
        <v>2986943</v>
      </c>
      <c r="BO8" s="21">
        <v>29695</v>
      </c>
      <c r="BP8" s="20">
        <f t="shared" si="29"/>
        <v>613</v>
      </c>
      <c r="BQ8" s="71">
        <f t="shared" si="30"/>
        <v>2159.3918000000003</v>
      </c>
      <c r="BR8" s="20">
        <f t="shared" si="2"/>
        <v>4252363</v>
      </c>
      <c r="BS8" s="21">
        <v>424803</v>
      </c>
      <c r="BT8" s="26">
        <v>44859.89</v>
      </c>
      <c r="BU8" s="96">
        <v>30097.62</v>
      </c>
      <c r="BV8" s="20">
        <f t="shared" si="3"/>
        <v>4207520</v>
      </c>
      <c r="BW8" s="94">
        <v>45360</v>
      </c>
      <c r="BX8" s="40">
        <v>2111.73</v>
      </c>
      <c r="BY8" s="93">
        <v>1422.3</v>
      </c>
      <c r="BZ8" s="105">
        <f t="shared" si="31"/>
        <v>46971.62</v>
      </c>
      <c r="CA8" s="93">
        <v>12188.32</v>
      </c>
      <c r="CB8" s="15"/>
      <c r="CC8" s="20">
        <f t="shared" si="4"/>
        <v>6438300</v>
      </c>
      <c r="CD8" s="21">
        <v>6459</v>
      </c>
      <c r="CE8" s="20">
        <f t="shared" si="32"/>
        <v>23</v>
      </c>
      <c r="CF8" s="71">
        <f t="shared" si="33"/>
        <v>148.8518</v>
      </c>
      <c r="CG8" s="82">
        <v>136.46</v>
      </c>
      <c r="CH8" s="82">
        <v>1243.44</v>
      </c>
      <c r="CI8" s="20">
        <f t="shared" si="5"/>
        <v>9436000</v>
      </c>
      <c r="CJ8" s="21">
        <v>9436</v>
      </c>
      <c r="CK8" s="20">
        <f t="shared" si="34"/>
        <v>236</v>
      </c>
      <c r="CL8" s="71">
        <f t="shared" si="35"/>
        <v>452.70759999999996</v>
      </c>
      <c r="CM8" s="97">
        <v>1354.5</v>
      </c>
      <c r="CN8" s="20">
        <f t="shared" si="6"/>
        <v>3544</v>
      </c>
      <c r="CO8" s="21">
        <v>3544</v>
      </c>
      <c r="CP8" s="26">
        <v>1370.17</v>
      </c>
      <c r="CQ8" s="96">
        <v>922.85</v>
      </c>
      <c r="CR8" s="20">
        <f t="shared" si="7"/>
        <v>3631000</v>
      </c>
      <c r="CS8" s="21">
        <v>3631</v>
      </c>
      <c r="CT8" s="20">
        <f t="shared" si="36"/>
        <v>21</v>
      </c>
      <c r="CU8" s="71">
        <f t="shared" si="37"/>
        <v>221.23859999999999</v>
      </c>
      <c r="CV8" s="97"/>
      <c r="CW8" s="20">
        <f t="shared" si="8"/>
        <v>22201200</v>
      </c>
      <c r="CX8" s="21">
        <v>222012</v>
      </c>
      <c r="CY8" s="20">
        <f t="shared" si="38"/>
        <v>9249</v>
      </c>
      <c r="CZ8" s="71">
        <f t="shared" si="39"/>
        <v>8873.1214</v>
      </c>
      <c r="DA8"/>
      <c r="DB8"/>
      <c r="DC8"/>
      <c r="DD8" s="82" t="e">
        <f t="shared" ref="DD8" si="52">SUM(BL8+CF8+CL8+#REF!+CU8)</f>
        <v>#REF!</v>
      </c>
      <c r="DE8" s="82">
        <f t="shared" si="40"/>
        <v>11032.513200000001</v>
      </c>
      <c r="DF8" s="82">
        <f t="shared" si="41"/>
        <v>27003.719999999998</v>
      </c>
      <c r="DG8" s="82" t="e">
        <f t="shared" si="42"/>
        <v>#REF!</v>
      </c>
      <c r="DH8"/>
      <c r="DI8" s="99">
        <f t="shared" si="50"/>
        <v>32442.769999999997</v>
      </c>
      <c r="DJ8" s="99">
        <f t="shared" si="43"/>
        <v>13431.76</v>
      </c>
    </row>
    <row r="9" spans="2:114" s="107" customFormat="1" x14ac:dyDescent="0.25">
      <c r="B9" s="69">
        <v>43255</v>
      </c>
      <c r="C9" s="228">
        <v>26308711</v>
      </c>
      <c r="D9" s="229"/>
      <c r="E9" s="38">
        <f t="shared" si="9"/>
        <v>5956090</v>
      </c>
      <c r="F9" s="228">
        <v>3054214</v>
      </c>
      <c r="G9" s="229"/>
      <c r="H9" s="38">
        <f t="shared" si="10"/>
        <v>672710</v>
      </c>
      <c r="I9" s="268">
        <v>139220</v>
      </c>
      <c r="J9" s="269"/>
      <c r="K9" s="38">
        <f t="shared" si="11"/>
        <v>16500</v>
      </c>
      <c r="L9" s="268">
        <v>188286</v>
      </c>
      <c r="M9" s="269"/>
      <c r="N9" s="38">
        <f t="shared" si="12"/>
        <v>4820000</v>
      </c>
      <c r="O9" s="268">
        <v>2914</v>
      </c>
      <c r="P9" s="269"/>
      <c r="Q9" s="38">
        <f t="shared" si="13"/>
        <v>49000</v>
      </c>
      <c r="R9" s="15"/>
      <c r="S9" s="268">
        <v>4352784</v>
      </c>
      <c r="T9" s="269"/>
      <c r="U9" s="38">
        <f t="shared" si="14"/>
        <v>1004210</v>
      </c>
      <c r="V9" s="227">
        <v>4488008</v>
      </c>
      <c r="W9" s="227"/>
      <c r="X9" s="38">
        <f t="shared" si="15"/>
        <v>2804880</v>
      </c>
      <c r="Y9" s="37">
        <f t="shared" si="16"/>
        <v>3809090</v>
      </c>
      <c r="Z9" s="15"/>
      <c r="AA9" s="174">
        <v>32470</v>
      </c>
      <c r="AB9" s="38">
        <f t="shared" si="17"/>
        <v>537000</v>
      </c>
      <c r="AC9" s="174">
        <v>694942581</v>
      </c>
      <c r="AD9" s="38">
        <f t="shared" si="18"/>
        <v>26651170</v>
      </c>
      <c r="AE9" s="174">
        <v>6243</v>
      </c>
      <c r="AF9" s="38">
        <f t="shared" si="19"/>
        <v>224000</v>
      </c>
      <c r="AG9" s="174">
        <v>171529</v>
      </c>
      <c r="AH9" s="38">
        <f t="shared" si="20"/>
        <v>3611000</v>
      </c>
      <c r="AI9" s="174">
        <v>2528641</v>
      </c>
      <c r="AJ9" s="38">
        <f t="shared" si="21"/>
        <v>22881</v>
      </c>
      <c r="AK9" s="174">
        <v>9883</v>
      </c>
      <c r="AL9" s="38">
        <f t="shared" si="22"/>
        <v>260000</v>
      </c>
      <c r="AM9" s="26">
        <v>392</v>
      </c>
      <c r="AN9" s="38">
        <f t="shared" si="23"/>
        <v>570</v>
      </c>
      <c r="AO9" s="26">
        <v>5817</v>
      </c>
      <c r="AP9" s="38">
        <f t="shared" si="24"/>
        <v>3040</v>
      </c>
      <c r="AQ9" s="15"/>
      <c r="AR9" s="69">
        <v>43255</v>
      </c>
      <c r="AS9" s="21">
        <v>4292</v>
      </c>
      <c r="AT9" s="38">
        <f t="shared" si="25"/>
        <v>748</v>
      </c>
      <c r="AU9" s="15"/>
      <c r="AV9" s="26">
        <v>9739000</v>
      </c>
      <c r="AW9" s="38">
        <f t="shared" si="44"/>
        <v>303000</v>
      </c>
      <c r="AX9" s="26">
        <v>3097900</v>
      </c>
      <c r="AY9" s="38">
        <f t="shared" si="45"/>
        <v>0</v>
      </c>
      <c r="AZ9" s="38">
        <f t="shared" si="26"/>
        <v>303000</v>
      </c>
      <c r="BA9" s="26">
        <v>6438300</v>
      </c>
      <c r="BB9" s="38">
        <f t="shared" si="46"/>
        <v>0</v>
      </c>
      <c r="BC9" s="26">
        <v>3645000</v>
      </c>
      <c r="BD9" s="38">
        <f t="shared" si="47"/>
        <v>14000</v>
      </c>
      <c r="BE9" s="26">
        <v>23296100</v>
      </c>
      <c r="BF9" s="38">
        <f t="shared" si="48"/>
        <v>1094900</v>
      </c>
      <c r="BG9"/>
      <c r="BH9"/>
      <c r="BI9" s="20">
        <f t="shared" si="0"/>
        <v>26308711</v>
      </c>
      <c r="BJ9" s="21">
        <v>262148</v>
      </c>
      <c r="BK9" s="20">
        <f t="shared" si="27"/>
        <v>6447</v>
      </c>
      <c r="BL9" s="71">
        <f t="shared" si="28"/>
        <v>8927.5501999999997</v>
      </c>
      <c r="BM9" s="98">
        <v>28500</v>
      </c>
      <c r="BN9" s="20">
        <f t="shared" si="1"/>
        <v>3054214</v>
      </c>
      <c r="BO9" s="21">
        <v>30518</v>
      </c>
      <c r="BP9" s="20">
        <f t="shared" si="29"/>
        <v>823</v>
      </c>
      <c r="BQ9" s="71">
        <f t="shared" si="30"/>
        <v>2337.5978</v>
      </c>
      <c r="BR9" s="20">
        <f t="shared" si="2"/>
        <v>4352784</v>
      </c>
      <c r="BS9" s="21">
        <v>434156</v>
      </c>
      <c r="BT9" s="26">
        <v>46661.81</v>
      </c>
      <c r="BU9" s="96">
        <v>31305.58</v>
      </c>
      <c r="BV9" s="20">
        <f t="shared" si="3"/>
        <v>4488008</v>
      </c>
      <c r="BW9" s="94">
        <v>47756</v>
      </c>
      <c r="BX9" s="40">
        <v>1036.6300000000001</v>
      </c>
      <c r="BY9" s="93">
        <v>698.21</v>
      </c>
      <c r="BZ9" s="105">
        <f t="shared" si="31"/>
        <v>47698.439999999995</v>
      </c>
      <c r="CA9" s="93">
        <v>15191.77</v>
      </c>
      <c r="CB9" s="15"/>
      <c r="CC9" s="20">
        <f t="shared" si="4"/>
        <v>6438300</v>
      </c>
      <c r="CD9" s="21">
        <v>6480</v>
      </c>
      <c r="CE9" s="20">
        <f t="shared" si="32"/>
        <v>21</v>
      </c>
      <c r="CF9" s="71">
        <f t="shared" si="33"/>
        <v>146.6986</v>
      </c>
      <c r="CG9" s="82">
        <v>125</v>
      </c>
      <c r="CH9" s="82">
        <v>1150</v>
      </c>
      <c r="CI9" s="20">
        <f t="shared" si="5"/>
        <v>9739000</v>
      </c>
      <c r="CJ9" s="21">
        <v>9739</v>
      </c>
      <c r="CK9" s="20">
        <f t="shared" si="34"/>
        <v>303</v>
      </c>
      <c r="CL9" s="71">
        <f t="shared" si="35"/>
        <v>524.83979999999997</v>
      </c>
      <c r="CM9" s="97">
        <v>1325</v>
      </c>
      <c r="CN9" s="20">
        <f t="shared" si="6"/>
        <v>4292</v>
      </c>
      <c r="CO9" s="21">
        <v>4292</v>
      </c>
      <c r="CP9" s="26"/>
      <c r="CQ9" s="96">
        <v>850</v>
      </c>
      <c r="CR9" s="20">
        <f t="shared" si="7"/>
        <v>3645000</v>
      </c>
      <c r="CS9" s="21">
        <v>3645</v>
      </c>
      <c r="CT9" s="20">
        <f t="shared" si="36"/>
        <v>14</v>
      </c>
      <c r="CU9" s="71">
        <f t="shared" si="37"/>
        <v>213.70239999999998</v>
      </c>
      <c r="CV9" s="97"/>
      <c r="CW9" s="20">
        <f t="shared" si="8"/>
        <v>23296100</v>
      </c>
      <c r="CX9" s="21">
        <v>232961</v>
      </c>
      <c r="CY9" s="20">
        <f t="shared" si="38"/>
        <v>10949</v>
      </c>
      <c r="CZ9" s="71">
        <f t="shared" si="39"/>
        <v>10315.741400000001</v>
      </c>
      <c r="DA9"/>
      <c r="DB9"/>
      <c r="DC9"/>
      <c r="DD9" s="82" t="e">
        <f t="shared" ref="DD9" si="53">SUM(BL9+CF9+CL9+#REF!+CU9)</f>
        <v>#REF!</v>
      </c>
      <c r="DE9" s="82">
        <f t="shared" si="40"/>
        <v>12653.3392</v>
      </c>
      <c r="DF9" s="82">
        <f t="shared" si="41"/>
        <v>28625</v>
      </c>
      <c r="DG9" s="82" t="e">
        <f t="shared" si="42"/>
        <v>#REF!</v>
      </c>
      <c r="DH9"/>
      <c r="DI9" s="99">
        <f t="shared" si="50"/>
        <v>32853.79</v>
      </c>
      <c r="DJ9" s="99">
        <f t="shared" si="43"/>
        <v>16341.77</v>
      </c>
    </row>
    <row r="10" spans="2:114" s="107" customFormat="1" x14ac:dyDescent="0.25">
      <c r="B10" s="69">
        <v>43281</v>
      </c>
      <c r="C10" s="228">
        <v>26865671</v>
      </c>
      <c r="D10" s="229"/>
      <c r="E10" s="38">
        <f t="shared" si="9"/>
        <v>5569600</v>
      </c>
      <c r="F10" s="228">
        <v>3113825</v>
      </c>
      <c r="G10" s="229"/>
      <c r="H10" s="38">
        <f t="shared" si="10"/>
        <v>596110</v>
      </c>
      <c r="I10" s="268">
        <v>139990</v>
      </c>
      <c r="J10" s="269"/>
      <c r="K10" s="38">
        <f t="shared" si="11"/>
        <v>7700</v>
      </c>
      <c r="L10" s="268">
        <v>192652</v>
      </c>
      <c r="M10" s="269"/>
      <c r="N10" s="38">
        <f t="shared" si="12"/>
        <v>4366000</v>
      </c>
      <c r="O10" s="268">
        <v>2918</v>
      </c>
      <c r="P10" s="269"/>
      <c r="Q10" s="38">
        <f t="shared" si="13"/>
        <v>400</v>
      </c>
      <c r="R10" s="15"/>
      <c r="S10" s="268">
        <v>4439150</v>
      </c>
      <c r="T10" s="269"/>
      <c r="U10" s="38">
        <f t="shared" si="14"/>
        <v>863660</v>
      </c>
      <c r="V10" s="227">
        <v>4577800</v>
      </c>
      <c r="W10" s="227"/>
      <c r="X10" s="38">
        <f t="shared" si="15"/>
        <v>897920</v>
      </c>
      <c r="Y10" s="37">
        <f t="shared" si="16"/>
        <v>1761580</v>
      </c>
      <c r="Z10" s="15"/>
      <c r="AA10" s="174">
        <v>33004</v>
      </c>
      <c r="AB10" s="38">
        <f t="shared" si="17"/>
        <v>534000</v>
      </c>
      <c r="AC10" s="174">
        <v>722030618</v>
      </c>
      <c r="AD10" s="38">
        <f t="shared" si="18"/>
        <v>27088037</v>
      </c>
      <c r="AE10" s="174">
        <v>6423</v>
      </c>
      <c r="AF10" s="38">
        <f t="shared" si="19"/>
        <v>180000</v>
      </c>
      <c r="AG10" s="174">
        <v>174096</v>
      </c>
      <c r="AH10" s="38">
        <f t="shared" si="20"/>
        <v>2567000</v>
      </c>
      <c r="AI10" s="174">
        <v>2547886</v>
      </c>
      <c r="AJ10" s="38">
        <f t="shared" si="21"/>
        <v>19245</v>
      </c>
      <c r="AK10" s="174">
        <v>10132</v>
      </c>
      <c r="AL10" s="38">
        <f t="shared" si="22"/>
        <v>249000</v>
      </c>
      <c r="AM10" s="26">
        <v>428</v>
      </c>
      <c r="AN10" s="38">
        <f t="shared" si="23"/>
        <v>360</v>
      </c>
      <c r="AO10" s="26">
        <v>6037</v>
      </c>
      <c r="AP10" s="38">
        <f t="shared" si="24"/>
        <v>2200</v>
      </c>
      <c r="AQ10" s="15"/>
      <c r="AR10" s="69">
        <v>43281</v>
      </c>
      <c r="AS10" s="21">
        <v>4762</v>
      </c>
      <c r="AT10" s="38">
        <f t="shared" si="25"/>
        <v>470</v>
      </c>
      <c r="AU10" s="15"/>
      <c r="AV10" s="26">
        <v>9966000</v>
      </c>
      <c r="AW10" s="38">
        <f t="shared" si="44"/>
        <v>227000</v>
      </c>
      <c r="AX10" s="26">
        <v>3123190</v>
      </c>
      <c r="AY10" s="38">
        <f t="shared" si="45"/>
        <v>25290</v>
      </c>
      <c r="AZ10" s="38">
        <f t="shared" si="26"/>
        <v>201710</v>
      </c>
      <c r="BA10" s="26">
        <v>6495100</v>
      </c>
      <c r="BB10" s="38">
        <f t="shared" si="46"/>
        <v>56800</v>
      </c>
      <c r="BC10" s="26">
        <v>3648000</v>
      </c>
      <c r="BD10" s="38">
        <f t="shared" si="47"/>
        <v>3000</v>
      </c>
      <c r="BE10" s="26">
        <v>24052286</v>
      </c>
      <c r="BF10" s="38">
        <f t="shared" si="48"/>
        <v>756186</v>
      </c>
      <c r="BG10"/>
      <c r="BH10"/>
      <c r="BI10" s="20">
        <f t="shared" si="0"/>
        <v>26865671</v>
      </c>
      <c r="BJ10" s="21">
        <v>267678</v>
      </c>
      <c r="BK10" s="20">
        <f t="shared" si="27"/>
        <v>5530</v>
      </c>
      <c r="BL10" s="71">
        <f t="shared" si="28"/>
        <v>7940.308</v>
      </c>
      <c r="BM10" s="98">
        <v>29859.200000000001</v>
      </c>
      <c r="BN10" s="20">
        <f t="shared" si="1"/>
        <v>3113825</v>
      </c>
      <c r="BO10" s="21">
        <v>31038</v>
      </c>
      <c r="BP10" s="20">
        <f t="shared" si="29"/>
        <v>520</v>
      </c>
      <c r="BQ10" s="71">
        <f t="shared" si="30"/>
        <v>2080.4720000000002</v>
      </c>
      <c r="BR10" s="20">
        <f t="shared" si="2"/>
        <v>4439150</v>
      </c>
      <c r="BS10" s="21">
        <v>442870</v>
      </c>
      <c r="BT10" s="26">
        <v>43471.53</v>
      </c>
      <c r="BU10" s="96">
        <v>29110</v>
      </c>
      <c r="BV10" s="20">
        <f t="shared" si="3"/>
        <v>4577800</v>
      </c>
      <c r="BW10" s="94">
        <v>49054</v>
      </c>
      <c r="BX10" s="40">
        <v>559.58000000000004</v>
      </c>
      <c r="BY10" s="93">
        <v>376.16</v>
      </c>
      <c r="BZ10" s="105">
        <f t="shared" si="31"/>
        <v>44031.11</v>
      </c>
      <c r="CA10" s="93">
        <v>11381.12</v>
      </c>
      <c r="CB10" s="15"/>
      <c r="CC10" s="20">
        <f t="shared" si="4"/>
        <v>6495100</v>
      </c>
      <c r="CD10" s="21">
        <v>6493</v>
      </c>
      <c r="CE10" s="20">
        <f t="shared" si="32"/>
        <v>13</v>
      </c>
      <c r="CF10" s="71">
        <f t="shared" si="33"/>
        <v>138.08580000000001</v>
      </c>
      <c r="CG10" s="82">
        <v>78.260000000000005</v>
      </c>
      <c r="CH10" s="82">
        <v>1243.44</v>
      </c>
      <c r="CI10" s="20">
        <f t="shared" si="5"/>
        <v>9966000</v>
      </c>
      <c r="CJ10" s="21">
        <v>9966</v>
      </c>
      <c r="CK10" s="20">
        <f t="shared" si="34"/>
        <v>227</v>
      </c>
      <c r="CL10" s="71">
        <f t="shared" si="35"/>
        <v>443.01819999999998</v>
      </c>
      <c r="CM10" s="97">
        <v>1336.44</v>
      </c>
      <c r="CN10" s="20">
        <f t="shared" si="6"/>
        <v>4762</v>
      </c>
      <c r="CO10" s="21">
        <v>4762</v>
      </c>
      <c r="CP10" s="26">
        <v>1069.95</v>
      </c>
      <c r="CQ10" s="96">
        <v>732.48</v>
      </c>
      <c r="CR10" s="20">
        <f t="shared" si="7"/>
        <v>3648000</v>
      </c>
      <c r="CS10" s="21">
        <v>3648</v>
      </c>
      <c r="CT10" s="20">
        <f t="shared" si="36"/>
        <v>3</v>
      </c>
      <c r="CU10" s="71">
        <f t="shared" si="37"/>
        <v>201.85980000000001</v>
      </c>
      <c r="CV10" s="97"/>
      <c r="CW10" s="20">
        <f t="shared" si="8"/>
        <v>24052286</v>
      </c>
      <c r="CX10" s="21">
        <v>240477</v>
      </c>
      <c r="CY10" s="20">
        <f t="shared" si="38"/>
        <v>7516</v>
      </c>
      <c r="CZ10" s="71">
        <f t="shared" si="39"/>
        <v>7402.4976000000006</v>
      </c>
      <c r="DA10"/>
      <c r="DB10"/>
      <c r="DC10"/>
      <c r="DD10" s="82" t="e">
        <f t="shared" ref="DD10" si="54">SUM(BL10+CF10+CL10+#REF!+CU10)</f>
        <v>#REF!</v>
      </c>
      <c r="DE10" s="82">
        <f t="shared" si="40"/>
        <v>9482.9696000000004</v>
      </c>
      <c r="DF10" s="82">
        <f t="shared" si="41"/>
        <v>29937.46</v>
      </c>
      <c r="DG10" s="82" t="e">
        <f t="shared" si="42"/>
        <v>#REF!</v>
      </c>
      <c r="DH10"/>
      <c r="DI10" s="99">
        <f t="shared" si="50"/>
        <v>30218.639999999999</v>
      </c>
      <c r="DJ10" s="99">
        <f t="shared" si="43"/>
        <v>12624.560000000001</v>
      </c>
    </row>
    <row r="11" spans="2:114" s="107" customFormat="1" x14ac:dyDescent="0.25">
      <c r="B11" s="69">
        <v>43312</v>
      </c>
      <c r="C11" s="228">
        <v>27420138</v>
      </c>
      <c r="D11" s="229"/>
      <c r="E11" s="38">
        <f t="shared" si="9"/>
        <v>5544670</v>
      </c>
      <c r="F11" s="228">
        <v>3163897</v>
      </c>
      <c r="G11" s="229"/>
      <c r="H11" s="38">
        <f t="shared" si="10"/>
        <v>500720</v>
      </c>
      <c r="I11" s="268">
        <v>140870</v>
      </c>
      <c r="J11" s="269"/>
      <c r="K11" s="38">
        <f t="shared" si="11"/>
        <v>8800</v>
      </c>
      <c r="L11" s="268">
        <v>197318</v>
      </c>
      <c r="M11" s="269"/>
      <c r="N11" s="38">
        <f t="shared" si="12"/>
        <v>4666000</v>
      </c>
      <c r="O11" s="268">
        <v>2918</v>
      </c>
      <c r="P11" s="269"/>
      <c r="Q11" s="38">
        <f t="shared" si="13"/>
        <v>0</v>
      </c>
      <c r="R11" s="15"/>
      <c r="S11" s="268">
        <v>452220</v>
      </c>
      <c r="T11" s="269"/>
      <c r="U11" s="38">
        <v>863660</v>
      </c>
      <c r="V11" s="227">
        <v>4674700</v>
      </c>
      <c r="W11" s="227"/>
      <c r="X11" s="38">
        <f t="shared" si="15"/>
        <v>969000</v>
      </c>
      <c r="Y11" s="37">
        <f t="shared" si="16"/>
        <v>1832660</v>
      </c>
      <c r="Z11" s="15"/>
      <c r="AA11" s="174">
        <v>33555</v>
      </c>
      <c r="AB11" s="38">
        <f t="shared" si="17"/>
        <v>551000</v>
      </c>
      <c r="AC11" s="174">
        <v>749752477</v>
      </c>
      <c r="AD11" s="38">
        <f t="shared" si="18"/>
        <v>27721859</v>
      </c>
      <c r="AE11" s="174">
        <v>6574</v>
      </c>
      <c r="AF11" s="38">
        <f t="shared" si="19"/>
        <v>151000</v>
      </c>
      <c r="AG11" s="174">
        <v>174632</v>
      </c>
      <c r="AH11" s="38">
        <f t="shared" si="20"/>
        <v>536000</v>
      </c>
      <c r="AI11" s="174">
        <v>2554947</v>
      </c>
      <c r="AJ11" s="38">
        <f t="shared" si="21"/>
        <v>7061</v>
      </c>
      <c r="AK11" s="174">
        <v>10237</v>
      </c>
      <c r="AL11" s="38">
        <f t="shared" si="22"/>
        <v>105000</v>
      </c>
      <c r="AM11" s="26">
        <v>465</v>
      </c>
      <c r="AN11" s="38">
        <f t="shared" si="23"/>
        <v>370</v>
      </c>
      <c r="AO11" s="26">
        <v>6234</v>
      </c>
      <c r="AP11" s="38">
        <f t="shared" si="24"/>
        <v>1970</v>
      </c>
      <c r="AQ11" s="15"/>
      <c r="AR11" s="69">
        <v>43312</v>
      </c>
      <c r="AS11" s="21">
        <v>5235</v>
      </c>
      <c r="AT11" s="38">
        <f t="shared" si="25"/>
        <v>473</v>
      </c>
      <c r="AU11" s="15"/>
      <c r="AV11" s="26">
        <v>10208000</v>
      </c>
      <c r="AW11" s="38">
        <f t="shared" si="44"/>
        <v>242000</v>
      </c>
      <c r="AX11" s="26">
        <v>3123190</v>
      </c>
      <c r="AY11" s="38">
        <f t="shared" si="45"/>
        <v>0</v>
      </c>
      <c r="AZ11" s="38">
        <f t="shared" si="26"/>
        <v>242000</v>
      </c>
      <c r="BA11" s="26">
        <v>6505000</v>
      </c>
      <c r="BB11" s="38">
        <f t="shared" si="46"/>
        <v>9900</v>
      </c>
      <c r="BC11" s="26">
        <v>3650000</v>
      </c>
      <c r="BD11" s="38">
        <f t="shared" si="47"/>
        <v>2000</v>
      </c>
      <c r="BE11" s="26">
        <v>24570300</v>
      </c>
      <c r="BF11" s="38">
        <f t="shared" si="48"/>
        <v>518014</v>
      </c>
      <c r="BG11"/>
      <c r="BH11"/>
      <c r="BI11" s="20">
        <f t="shared" si="0"/>
        <v>27420138</v>
      </c>
      <c r="BJ11" s="21">
        <v>271969</v>
      </c>
      <c r="BK11" s="20">
        <f t="shared" ref="BK11:BK12" si="55">SUM(BJ11-BJ10)</f>
        <v>4291</v>
      </c>
      <c r="BL11" s="71">
        <f t="shared" ref="BL11:BL12" si="56">SUM(BK11*1.0766)+1986.71</f>
        <v>6606.4005999999999</v>
      </c>
      <c r="BM11" s="98">
        <v>38000</v>
      </c>
      <c r="BN11" s="20">
        <f t="shared" si="1"/>
        <v>3163897</v>
      </c>
      <c r="BO11" s="21">
        <v>31492</v>
      </c>
      <c r="BP11" s="20">
        <f t="shared" ref="BP11:BP12" si="57">SUM(BO11-BO10)</f>
        <v>454</v>
      </c>
      <c r="BQ11" s="71">
        <f t="shared" si="30"/>
        <v>2024.4644000000001</v>
      </c>
      <c r="BR11" s="20">
        <f t="shared" si="2"/>
        <v>452220</v>
      </c>
      <c r="BS11" s="21">
        <v>450933</v>
      </c>
      <c r="BT11" s="26">
        <v>40223.89</v>
      </c>
      <c r="BU11" s="96">
        <v>26963.46</v>
      </c>
      <c r="BV11" s="20">
        <f t="shared" si="3"/>
        <v>4674700</v>
      </c>
      <c r="BW11" s="94">
        <v>49583</v>
      </c>
      <c r="BX11" s="40">
        <v>228.59</v>
      </c>
      <c r="BY11" s="93">
        <v>153.81</v>
      </c>
      <c r="BZ11" s="105">
        <f t="shared" si="31"/>
        <v>40452.479999999996</v>
      </c>
      <c r="CA11" s="93">
        <v>9568.41</v>
      </c>
      <c r="CB11" s="15"/>
      <c r="CC11" s="20">
        <f t="shared" si="4"/>
        <v>6505000</v>
      </c>
      <c r="CD11" s="21">
        <v>6505</v>
      </c>
      <c r="CE11" s="20">
        <f t="shared" si="32"/>
        <v>12</v>
      </c>
      <c r="CF11" s="71">
        <f t="shared" si="33"/>
        <v>137.00919999999999</v>
      </c>
      <c r="CG11" s="82">
        <v>100</v>
      </c>
      <c r="CH11" s="82">
        <v>1000</v>
      </c>
      <c r="CI11" s="20">
        <f t="shared" si="5"/>
        <v>10208000</v>
      </c>
      <c r="CJ11" s="21">
        <v>10208</v>
      </c>
      <c r="CK11" s="20">
        <f t="shared" si="34"/>
        <v>242</v>
      </c>
      <c r="CL11" s="71">
        <f t="shared" si="35"/>
        <v>459.16719999999998</v>
      </c>
      <c r="CM11" s="97">
        <v>1337.44</v>
      </c>
      <c r="CN11" s="20">
        <f t="shared" si="6"/>
        <v>5235</v>
      </c>
      <c r="CO11" s="21">
        <v>5235</v>
      </c>
      <c r="CP11" s="26"/>
      <c r="CQ11" s="96">
        <v>875</v>
      </c>
      <c r="CR11" s="20">
        <f t="shared" si="7"/>
        <v>3650000</v>
      </c>
      <c r="CS11" s="21">
        <v>3650</v>
      </c>
      <c r="CT11" s="20">
        <f t="shared" ref="CT11:CT12" si="58">SUM(CS11-CS10)</f>
        <v>2</v>
      </c>
      <c r="CU11" s="71">
        <f t="shared" si="37"/>
        <v>200.78319999999999</v>
      </c>
      <c r="CV11" s="97"/>
      <c r="CW11" s="20">
        <f t="shared" si="8"/>
        <v>24570300</v>
      </c>
      <c r="CX11" s="21">
        <v>245703</v>
      </c>
      <c r="CY11" s="20">
        <f t="shared" si="38"/>
        <v>5226</v>
      </c>
      <c r="CZ11" s="71">
        <f t="shared" si="39"/>
        <v>5459.2035999999998</v>
      </c>
      <c r="DA11"/>
      <c r="DB11"/>
      <c r="DC11"/>
      <c r="DD11" s="82" t="e">
        <f t="shared" ref="DD11" si="59">SUM(BL11+CF11+CL11+#REF!+CU11)</f>
        <v>#REF!</v>
      </c>
      <c r="DE11" s="82">
        <f t="shared" si="40"/>
        <v>7483.6679999999997</v>
      </c>
      <c r="DF11" s="82">
        <f t="shared" si="41"/>
        <v>38100</v>
      </c>
      <c r="DG11" s="82" t="e">
        <f t="shared" si="42"/>
        <v>#REF!</v>
      </c>
      <c r="DH11"/>
      <c r="DI11" s="99">
        <f t="shared" si="50"/>
        <v>27992.27</v>
      </c>
      <c r="DJ11" s="99">
        <f t="shared" si="43"/>
        <v>10568.41</v>
      </c>
    </row>
    <row r="12" spans="2:114" s="107" customFormat="1" x14ac:dyDescent="0.25">
      <c r="B12" s="69">
        <v>43342</v>
      </c>
      <c r="C12" s="228">
        <v>28591789</v>
      </c>
      <c r="D12" s="229"/>
      <c r="E12" s="38">
        <v>1716510</v>
      </c>
      <c r="F12" s="228">
        <v>3305859</v>
      </c>
      <c r="G12" s="229"/>
      <c r="H12" s="38">
        <f t="shared" si="10"/>
        <v>1419620</v>
      </c>
      <c r="I12" s="268">
        <v>144450</v>
      </c>
      <c r="J12" s="269"/>
      <c r="K12" s="38">
        <f t="shared" si="11"/>
        <v>35800</v>
      </c>
      <c r="L12" s="268">
        <v>206611</v>
      </c>
      <c r="M12" s="269"/>
      <c r="N12" s="38">
        <f t="shared" si="12"/>
        <v>9293000</v>
      </c>
      <c r="O12" s="268">
        <v>6770</v>
      </c>
      <c r="P12" s="269"/>
      <c r="Q12" s="38">
        <f t="shared" si="13"/>
        <v>385200</v>
      </c>
      <c r="R12" s="15"/>
      <c r="S12" s="268">
        <v>470110</v>
      </c>
      <c r="T12" s="269"/>
      <c r="U12" s="38">
        <f t="shared" si="14"/>
        <v>178900</v>
      </c>
      <c r="V12" s="227">
        <v>4878990</v>
      </c>
      <c r="W12" s="227"/>
      <c r="X12" s="38">
        <f t="shared" si="15"/>
        <v>2042900</v>
      </c>
      <c r="Y12" s="37">
        <f t="shared" si="16"/>
        <v>2221800</v>
      </c>
      <c r="Z12" s="15"/>
      <c r="AA12" s="174">
        <v>34822</v>
      </c>
      <c r="AB12" s="38">
        <f t="shared" si="17"/>
        <v>1267000</v>
      </c>
      <c r="AC12" s="174">
        <v>817039367</v>
      </c>
      <c r="AD12" s="38">
        <f t="shared" si="18"/>
        <v>67286890</v>
      </c>
      <c r="AE12" s="174">
        <v>6987</v>
      </c>
      <c r="AF12" s="38">
        <f t="shared" si="19"/>
        <v>413000</v>
      </c>
      <c r="AG12" s="174">
        <v>179048</v>
      </c>
      <c r="AH12" s="38">
        <f t="shared" si="20"/>
        <v>4416000</v>
      </c>
      <c r="AI12" s="174">
        <v>2618256</v>
      </c>
      <c r="AJ12" s="38">
        <f t="shared" si="21"/>
        <v>63309</v>
      </c>
      <c r="AK12" s="174">
        <v>10555</v>
      </c>
      <c r="AL12" s="38">
        <f t="shared" si="22"/>
        <v>318000</v>
      </c>
      <c r="AM12" s="26">
        <v>555</v>
      </c>
      <c r="AN12" s="38">
        <f t="shared" si="23"/>
        <v>900</v>
      </c>
      <c r="AO12" s="26">
        <v>6584</v>
      </c>
      <c r="AP12" s="38">
        <f t="shared" si="24"/>
        <v>3500</v>
      </c>
      <c r="AQ12" s="15"/>
      <c r="AR12" s="69">
        <v>43342</v>
      </c>
      <c r="AS12" s="21">
        <v>5841</v>
      </c>
      <c r="AT12" s="38">
        <f t="shared" si="25"/>
        <v>606</v>
      </c>
      <c r="AU12" s="15"/>
      <c r="AV12" s="26">
        <v>10500000</v>
      </c>
      <c r="AW12" s="38">
        <f t="shared" si="44"/>
        <v>292000</v>
      </c>
      <c r="AX12" s="26">
        <v>3123190</v>
      </c>
      <c r="AY12" s="38">
        <f t="shared" si="45"/>
        <v>0</v>
      </c>
      <c r="AZ12" s="38">
        <f t="shared" si="26"/>
        <v>292000</v>
      </c>
      <c r="BA12" s="26">
        <v>6520000</v>
      </c>
      <c r="BB12" s="38">
        <f t="shared" si="46"/>
        <v>15000</v>
      </c>
      <c r="BC12" s="26">
        <v>3651000</v>
      </c>
      <c r="BD12" s="38">
        <f t="shared" si="47"/>
        <v>1000</v>
      </c>
      <c r="BE12" s="26">
        <v>24997100</v>
      </c>
      <c r="BF12" s="38">
        <f t="shared" si="48"/>
        <v>426800</v>
      </c>
      <c r="BG12"/>
      <c r="BH12"/>
      <c r="BI12" s="20">
        <f t="shared" si="0"/>
        <v>28591789</v>
      </c>
      <c r="BJ12" s="21">
        <v>279675</v>
      </c>
      <c r="BK12" s="20">
        <f t="shared" si="55"/>
        <v>7706</v>
      </c>
      <c r="BL12" s="71">
        <f t="shared" si="56"/>
        <v>10282.989600000001</v>
      </c>
      <c r="BM12" s="98">
        <v>43446.45</v>
      </c>
      <c r="BN12" s="20">
        <f t="shared" si="1"/>
        <v>3305859</v>
      </c>
      <c r="BO12" s="21">
        <v>32253</v>
      </c>
      <c r="BP12" s="20">
        <f t="shared" si="57"/>
        <v>761</v>
      </c>
      <c r="BQ12" s="71">
        <f t="shared" si="30"/>
        <v>2284.9846000000002</v>
      </c>
      <c r="BR12" s="20">
        <f t="shared" si="2"/>
        <v>470110</v>
      </c>
      <c r="BS12" s="21">
        <v>461005</v>
      </c>
      <c r="BT12" s="26">
        <v>50246.19</v>
      </c>
      <c r="BU12" s="96">
        <v>33675.54</v>
      </c>
      <c r="BV12" s="20">
        <f t="shared" si="3"/>
        <v>4878990</v>
      </c>
      <c r="BW12" s="94">
        <v>49785</v>
      </c>
      <c r="BX12" s="40">
        <v>87.29</v>
      </c>
      <c r="BY12" s="93">
        <v>58.74</v>
      </c>
      <c r="BZ12" s="105">
        <f t="shared" si="31"/>
        <v>50333.48</v>
      </c>
      <c r="CA12" s="93">
        <v>13623.12</v>
      </c>
      <c r="CB12" s="15"/>
      <c r="CC12" s="20">
        <f t="shared" si="4"/>
        <v>6520000</v>
      </c>
      <c r="CD12" s="21">
        <v>6520</v>
      </c>
      <c r="CE12" s="20">
        <f t="shared" si="32"/>
        <v>15</v>
      </c>
      <c r="CF12" s="71">
        <f t="shared" si="33"/>
        <v>140.239</v>
      </c>
      <c r="CG12" s="82">
        <v>125</v>
      </c>
      <c r="CH12" s="82">
        <v>1715.7</v>
      </c>
      <c r="CI12" s="20">
        <f t="shared" si="5"/>
        <v>10500000</v>
      </c>
      <c r="CJ12" s="21">
        <v>10500</v>
      </c>
      <c r="CK12" s="20">
        <f t="shared" si="34"/>
        <v>292</v>
      </c>
      <c r="CL12" s="71">
        <f t="shared" si="35"/>
        <v>512.99720000000002</v>
      </c>
      <c r="CM12" s="97">
        <v>1338.44</v>
      </c>
      <c r="CN12" s="20">
        <f t="shared" si="6"/>
        <v>5841</v>
      </c>
      <c r="CO12" s="21">
        <v>5841</v>
      </c>
      <c r="CP12" s="26">
        <v>1404.95</v>
      </c>
      <c r="CQ12" s="96">
        <v>945.35</v>
      </c>
      <c r="CR12" s="20">
        <f t="shared" si="7"/>
        <v>3651000</v>
      </c>
      <c r="CS12" s="21">
        <v>3651</v>
      </c>
      <c r="CT12" s="20">
        <f t="shared" si="58"/>
        <v>1</v>
      </c>
      <c r="CU12" s="71">
        <f t="shared" si="37"/>
        <v>199.70660000000001</v>
      </c>
      <c r="CV12" s="97"/>
      <c r="CW12" s="20">
        <f t="shared" si="8"/>
        <v>24997100</v>
      </c>
      <c r="CX12" s="21">
        <v>249971</v>
      </c>
      <c r="CY12" s="20">
        <f t="shared" si="38"/>
        <v>4268</v>
      </c>
      <c r="CZ12" s="71">
        <f t="shared" si="39"/>
        <v>4646.2448000000004</v>
      </c>
      <c r="DA12"/>
      <c r="DB12"/>
      <c r="DC12"/>
      <c r="DD12" s="82" t="e">
        <f t="shared" ref="DD12" si="60">SUM(BL12+CF12+CL12+#REF!+CU12)</f>
        <v>#REF!</v>
      </c>
      <c r="DE12" s="82">
        <f t="shared" si="40"/>
        <v>6931.2294000000002</v>
      </c>
      <c r="DF12" s="82">
        <f t="shared" si="41"/>
        <v>43571.45</v>
      </c>
      <c r="DG12" s="82" t="e">
        <f t="shared" si="42"/>
        <v>#REF!</v>
      </c>
      <c r="DH12"/>
      <c r="DI12" s="99">
        <f t="shared" si="50"/>
        <v>34679.629999999997</v>
      </c>
      <c r="DJ12" s="99">
        <f t="shared" si="43"/>
        <v>15338.820000000002</v>
      </c>
    </row>
    <row r="13" spans="2:114" s="107" customFormat="1" x14ac:dyDescent="0.25">
      <c r="B13" s="69">
        <v>43366</v>
      </c>
      <c r="C13" s="228">
        <v>28728707</v>
      </c>
      <c r="D13" s="229"/>
      <c r="E13" s="38">
        <f t="shared" si="9"/>
        <v>1369180</v>
      </c>
      <c r="F13" s="228">
        <v>3324027</v>
      </c>
      <c r="G13" s="229"/>
      <c r="H13" s="38">
        <f t="shared" si="10"/>
        <v>181680</v>
      </c>
      <c r="I13" s="268">
        <v>144500</v>
      </c>
      <c r="J13" s="269"/>
      <c r="K13" s="38">
        <f t="shared" si="11"/>
        <v>500</v>
      </c>
      <c r="L13" s="268">
        <v>207671</v>
      </c>
      <c r="M13" s="269"/>
      <c r="N13" s="38">
        <f t="shared" si="12"/>
        <v>1060000</v>
      </c>
      <c r="O13" s="268">
        <v>6771</v>
      </c>
      <c r="P13" s="269"/>
      <c r="Q13" s="38">
        <f t="shared" si="13"/>
        <v>100</v>
      </c>
      <c r="R13" s="15"/>
      <c r="S13" s="268">
        <v>472259</v>
      </c>
      <c r="T13" s="269"/>
      <c r="U13" s="38">
        <f t="shared" si="14"/>
        <v>21490</v>
      </c>
      <c r="V13" s="227">
        <v>4909780</v>
      </c>
      <c r="W13" s="227"/>
      <c r="X13" s="38">
        <f t="shared" si="15"/>
        <v>307900</v>
      </c>
      <c r="Y13" s="37">
        <f t="shared" si="16"/>
        <v>329390</v>
      </c>
      <c r="Z13" s="15"/>
      <c r="AA13" s="174">
        <v>34974</v>
      </c>
      <c r="AB13" s="38">
        <f t="shared" si="17"/>
        <v>152000</v>
      </c>
      <c r="AC13" s="174">
        <v>824560207</v>
      </c>
      <c r="AD13" s="38">
        <f t="shared" si="18"/>
        <v>7520840</v>
      </c>
      <c r="AE13" s="174">
        <v>7025</v>
      </c>
      <c r="AF13" s="38">
        <f t="shared" si="19"/>
        <v>38000</v>
      </c>
      <c r="AG13" s="174">
        <v>180055</v>
      </c>
      <c r="AH13" s="38">
        <f t="shared" si="20"/>
        <v>1007000</v>
      </c>
      <c r="AI13" s="174">
        <v>2625300</v>
      </c>
      <c r="AJ13" s="38">
        <f t="shared" si="21"/>
        <v>7044</v>
      </c>
      <c r="AK13" s="174">
        <v>10640</v>
      </c>
      <c r="AL13" s="38">
        <f t="shared" si="22"/>
        <v>85000</v>
      </c>
      <c r="AM13" s="26">
        <v>560</v>
      </c>
      <c r="AN13" s="38">
        <f t="shared" si="23"/>
        <v>50</v>
      </c>
      <c r="AO13" s="26">
        <v>6620</v>
      </c>
      <c r="AP13" s="38">
        <f t="shared" si="24"/>
        <v>360</v>
      </c>
      <c r="AQ13" s="15"/>
      <c r="AR13" s="69">
        <v>43366</v>
      </c>
      <c r="AS13" s="21">
        <v>6316</v>
      </c>
      <c r="AT13" s="38">
        <f t="shared" si="25"/>
        <v>475</v>
      </c>
      <c r="AU13" s="15"/>
      <c r="AV13" s="26">
        <v>10797338</v>
      </c>
      <c r="AW13" s="38">
        <f t="shared" si="44"/>
        <v>297338</v>
      </c>
      <c r="AX13" s="26">
        <v>3142020</v>
      </c>
      <c r="AY13" s="38">
        <f t="shared" si="45"/>
        <v>18830</v>
      </c>
      <c r="AZ13" s="38">
        <f t="shared" si="26"/>
        <v>278508</v>
      </c>
      <c r="BA13" s="26">
        <v>6535000</v>
      </c>
      <c r="BB13" s="38">
        <f t="shared" si="46"/>
        <v>15000</v>
      </c>
      <c r="BC13" s="26">
        <v>3652000</v>
      </c>
      <c r="BD13" s="38">
        <f t="shared" si="47"/>
        <v>1000</v>
      </c>
      <c r="BE13" s="26">
        <v>25603400</v>
      </c>
      <c r="BF13" s="38">
        <f t="shared" si="48"/>
        <v>606300</v>
      </c>
      <c r="BG13"/>
      <c r="BH13"/>
      <c r="BI13" s="20">
        <f t="shared" si="0"/>
        <v>28728707</v>
      </c>
      <c r="BJ13" s="21">
        <v>284501</v>
      </c>
      <c r="BK13" s="20">
        <f t="shared" ref="BK13:BK14" si="61">SUM(BJ13-BJ12)</f>
        <v>4826</v>
      </c>
      <c r="BL13" s="71">
        <f t="shared" ref="BL13:BL14" si="62">SUM(BK13*1.0766)+1986.71</f>
        <v>7182.3815999999997</v>
      </c>
      <c r="BM13" s="98">
        <v>35000</v>
      </c>
      <c r="BN13" s="20">
        <f t="shared" si="1"/>
        <v>3324027</v>
      </c>
      <c r="BO13" s="21">
        <v>32903</v>
      </c>
      <c r="BP13" s="20">
        <f t="shared" ref="BP13:BP14" si="63">SUM(BO13-BO12)</f>
        <v>650</v>
      </c>
      <c r="BQ13" s="71">
        <f t="shared" ref="BQ13:BQ14" si="64">SUM(BP13*0.8486)+1639.2</f>
        <v>2190.79</v>
      </c>
      <c r="BR13" s="20">
        <f t="shared" si="2"/>
        <v>472259</v>
      </c>
      <c r="BS13" s="21">
        <v>466923</v>
      </c>
      <c r="BT13" s="26">
        <v>39500.53</v>
      </c>
      <c r="BU13" s="96">
        <v>27966.94</v>
      </c>
      <c r="BV13" s="20">
        <f t="shared" si="3"/>
        <v>4909780</v>
      </c>
      <c r="BW13" s="94">
        <v>49900</v>
      </c>
      <c r="BX13" s="40">
        <v>49.69</v>
      </c>
      <c r="BY13" s="93">
        <v>35.32</v>
      </c>
      <c r="BZ13" s="105">
        <f t="shared" si="31"/>
        <v>39550.22</v>
      </c>
      <c r="CA13" s="93">
        <v>8142.6</v>
      </c>
      <c r="CB13" s="15"/>
      <c r="CC13" s="20">
        <f t="shared" si="4"/>
        <v>6535000</v>
      </c>
      <c r="CD13" s="21">
        <v>6535</v>
      </c>
      <c r="CE13" s="20">
        <f t="shared" ref="CE13:CE14" si="65">SUM(CD13-CD12)</f>
        <v>15</v>
      </c>
      <c r="CF13" s="71">
        <f t="shared" si="33"/>
        <v>140.239</v>
      </c>
      <c r="CG13" s="82">
        <v>115</v>
      </c>
      <c r="CH13" s="82">
        <v>1700</v>
      </c>
      <c r="CI13" s="20">
        <f t="shared" si="5"/>
        <v>10797338</v>
      </c>
      <c r="CJ13" s="21">
        <v>10743</v>
      </c>
      <c r="CK13" s="20">
        <f t="shared" si="34"/>
        <v>243</v>
      </c>
      <c r="CL13" s="71">
        <f t="shared" si="35"/>
        <v>460.24380000000002</v>
      </c>
      <c r="CM13" s="97">
        <v>1500</v>
      </c>
      <c r="CN13" s="20">
        <f t="shared" si="6"/>
        <v>6316</v>
      </c>
      <c r="CO13" s="21">
        <v>6316</v>
      </c>
      <c r="CP13" s="26"/>
      <c r="CQ13" s="96">
        <v>1000</v>
      </c>
      <c r="CR13" s="20">
        <f t="shared" si="7"/>
        <v>3652000</v>
      </c>
      <c r="CS13" s="21">
        <v>3652</v>
      </c>
      <c r="CT13" s="20">
        <f t="shared" ref="CT13:CT14" si="66">SUM(CS13-CS12)</f>
        <v>1</v>
      </c>
      <c r="CU13" s="71">
        <f t="shared" si="37"/>
        <v>199.70660000000001</v>
      </c>
      <c r="CV13" s="97"/>
      <c r="CW13" s="20">
        <f t="shared" si="8"/>
        <v>25603400</v>
      </c>
      <c r="CX13" s="21">
        <v>256034</v>
      </c>
      <c r="CY13" s="20">
        <f t="shared" si="38"/>
        <v>6063</v>
      </c>
      <c r="CZ13" s="71">
        <f t="shared" si="39"/>
        <v>6169.4818000000005</v>
      </c>
      <c r="DA13"/>
      <c r="DB13"/>
      <c r="DC13"/>
      <c r="DD13" s="82" t="e">
        <f t="shared" ref="DD13" si="67">SUM(BL13+CF13+CL13+#REF!+CU13)</f>
        <v>#REF!</v>
      </c>
      <c r="DE13" s="82">
        <f t="shared" si="40"/>
        <v>8360.2718000000004</v>
      </c>
      <c r="DF13" s="82">
        <f t="shared" si="41"/>
        <v>35115</v>
      </c>
      <c r="DG13" s="82" t="e">
        <f t="shared" si="42"/>
        <v>#REF!</v>
      </c>
      <c r="DH13"/>
      <c r="DI13" s="99">
        <f t="shared" si="50"/>
        <v>29002.26</v>
      </c>
      <c r="DJ13" s="99">
        <f t="shared" si="43"/>
        <v>9842.6</v>
      </c>
    </row>
    <row r="14" spans="2:114" s="107" customFormat="1" x14ac:dyDescent="0.25">
      <c r="B14" s="69">
        <v>43404</v>
      </c>
      <c r="C14" s="228">
        <v>29164142</v>
      </c>
      <c r="D14" s="229"/>
      <c r="E14" s="38">
        <f t="shared" si="9"/>
        <v>4354350</v>
      </c>
      <c r="F14" s="228">
        <v>3378642</v>
      </c>
      <c r="G14" s="229"/>
      <c r="H14" s="38">
        <f t="shared" si="10"/>
        <v>546150</v>
      </c>
      <c r="I14" s="268">
        <v>144670</v>
      </c>
      <c r="J14" s="269"/>
      <c r="K14" s="38">
        <f t="shared" si="11"/>
        <v>1700</v>
      </c>
      <c r="L14" s="268">
        <v>211037</v>
      </c>
      <c r="M14" s="269"/>
      <c r="N14" s="38">
        <f t="shared" si="12"/>
        <v>3366000</v>
      </c>
      <c r="O14" s="268">
        <v>6771</v>
      </c>
      <c r="P14" s="269"/>
      <c r="Q14" s="38">
        <f t="shared" si="13"/>
        <v>0</v>
      </c>
      <c r="R14" s="15"/>
      <c r="S14" s="268">
        <v>479300</v>
      </c>
      <c r="T14" s="269"/>
      <c r="U14" s="38">
        <f t="shared" si="14"/>
        <v>70410</v>
      </c>
      <c r="V14" s="227">
        <v>5161000</v>
      </c>
      <c r="W14" s="227"/>
      <c r="X14" s="38">
        <f t="shared" si="15"/>
        <v>2512200</v>
      </c>
      <c r="Y14" s="37">
        <f t="shared" si="16"/>
        <v>2582610</v>
      </c>
      <c r="Z14" s="15"/>
      <c r="AA14" s="174">
        <v>35384</v>
      </c>
      <c r="AB14" s="38">
        <f t="shared" si="17"/>
        <v>410000</v>
      </c>
      <c r="AC14" s="174">
        <v>846508934</v>
      </c>
      <c r="AD14" s="38">
        <f t="shared" si="18"/>
        <v>21948727</v>
      </c>
      <c r="AE14" s="174">
        <v>7138</v>
      </c>
      <c r="AF14" s="38">
        <f t="shared" si="19"/>
        <v>113000</v>
      </c>
      <c r="AG14" s="174">
        <v>183679</v>
      </c>
      <c r="AH14" s="38">
        <f t="shared" si="20"/>
        <v>3624000</v>
      </c>
      <c r="AI14" s="174">
        <v>2645718</v>
      </c>
      <c r="AJ14" s="38">
        <f t="shared" si="21"/>
        <v>20418</v>
      </c>
      <c r="AK14" s="174">
        <v>10913</v>
      </c>
      <c r="AL14" s="38">
        <f t="shared" si="22"/>
        <v>273000</v>
      </c>
      <c r="AM14" s="26">
        <v>592</v>
      </c>
      <c r="AN14" s="38">
        <f t="shared" si="23"/>
        <v>320</v>
      </c>
      <c r="AO14" s="26">
        <v>6757</v>
      </c>
      <c r="AP14" s="38">
        <f t="shared" si="24"/>
        <v>1370</v>
      </c>
      <c r="AQ14" s="15"/>
      <c r="AR14" s="69">
        <v>43404</v>
      </c>
      <c r="AS14" s="21">
        <v>6986</v>
      </c>
      <c r="AT14" s="38">
        <f t="shared" si="25"/>
        <v>670</v>
      </c>
      <c r="AU14" s="15"/>
      <c r="AV14" s="26">
        <v>11038000</v>
      </c>
      <c r="AW14" s="38">
        <f t="shared" si="44"/>
        <v>240662</v>
      </c>
      <c r="AX14" s="26">
        <v>3142020</v>
      </c>
      <c r="AY14" s="38">
        <f t="shared" si="45"/>
        <v>0</v>
      </c>
      <c r="AZ14" s="38">
        <f t="shared" si="26"/>
        <v>240662</v>
      </c>
      <c r="BA14" s="26">
        <v>6552000</v>
      </c>
      <c r="BB14" s="38">
        <f t="shared" si="46"/>
        <v>17000</v>
      </c>
      <c r="BC14" s="26">
        <v>3653000</v>
      </c>
      <c r="BD14" s="38">
        <f t="shared" si="47"/>
        <v>1000</v>
      </c>
      <c r="BE14" s="26">
        <v>26731900</v>
      </c>
      <c r="BF14" s="38">
        <f t="shared" si="48"/>
        <v>1128500</v>
      </c>
      <c r="BG14"/>
      <c r="BH14"/>
      <c r="BI14" s="20">
        <f t="shared" si="0"/>
        <v>29164142</v>
      </c>
      <c r="BJ14" s="21">
        <v>291147</v>
      </c>
      <c r="BK14" s="20">
        <f t="shared" si="61"/>
        <v>6646</v>
      </c>
      <c r="BL14" s="71">
        <f t="shared" si="62"/>
        <v>9141.7936000000009</v>
      </c>
      <c r="BM14" s="98">
        <v>34482.559999999998</v>
      </c>
      <c r="BN14" s="20">
        <f t="shared" si="1"/>
        <v>3378642</v>
      </c>
      <c r="BO14" s="21">
        <v>33691</v>
      </c>
      <c r="BP14" s="20">
        <f t="shared" si="63"/>
        <v>788</v>
      </c>
      <c r="BQ14" s="71">
        <f t="shared" si="64"/>
        <v>2307.8968</v>
      </c>
      <c r="BR14" s="20">
        <f t="shared" si="2"/>
        <v>479300</v>
      </c>
      <c r="BS14" s="21">
        <v>479266</v>
      </c>
      <c r="BT14" s="26">
        <v>51596.12</v>
      </c>
      <c r="BU14" s="96">
        <v>36560.18</v>
      </c>
      <c r="BV14" s="20">
        <f t="shared" si="3"/>
        <v>5161000</v>
      </c>
      <c r="BW14" s="94">
        <v>51583</v>
      </c>
      <c r="BX14" s="40">
        <v>727.24</v>
      </c>
      <c r="BY14" s="93">
        <v>517.37</v>
      </c>
      <c r="BZ14" s="105">
        <f t="shared" si="31"/>
        <v>52323.360000000001</v>
      </c>
      <c r="CA14" s="93">
        <v>16722.12</v>
      </c>
      <c r="CB14" s="15"/>
      <c r="CC14" s="20">
        <f t="shared" si="4"/>
        <v>6552000</v>
      </c>
      <c r="CD14" s="21">
        <v>6552</v>
      </c>
      <c r="CE14" s="20">
        <f t="shared" si="65"/>
        <v>17</v>
      </c>
      <c r="CF14" s="71">
        <f t="shared" si="33"/>
        <v>142.3922</v>
      </c>
      <c r="CG14" s="82">
        <v>102.34</v>
      </c>
      <c r="CH14" s="82">
        <v>1761.54</v>
      </c>
      <c r="CI14" s="20">
        <f t="shared" si="5"/>
        <v>11038000</v>
      </c>
      <c r="CJ14" s="21">
        <v>11038</v>
      </c>
      <c r="CK14" s="20">
        <f t="shared" si="34"/>
        <v>295</v>
      </c>
      <c r="CL14" s="71">
        <f t="shared" si="35"/>
        <v>516.22699999999998</v>
      </c>
      <c r="CM14" s="97">
        <v>1733.76</v>
      </c>
      <c r="CN14" s="20">
        <f t="shared" si="6"/>
        <v>6986</v>
      </c>
      <c r="CO14" s="21">
        <v>6986</v>
      </c>
      <c r="CP14" s="26">
        <v>1553.33</v>
      </c>
      <c r="CQ14" s="96">
        <v>1015.16</v>
      </c>
      <c r="CR14" s="20">
        <f t="shared" si="7"/>
        <v>3653000</v>
      </c>
      <c r="CS14" s="21">
        <v>3653</v>
      </c>
      <c r="CT14" s="20">
        <f t="shared" si="66"/>
        <v>1</v>
      </c>
      <c r="CU14" s="71">
        <f t="shared" si="37"/>
        <v>199.70660000000001</v>
      </c>
      <c r="CV14" s="97"/>
      <c r="CW14" s="20">
        <f t="shared" si="8"/>
        <v>26731900</v>
      </c>
      <c r="CX14" s="21">
        <v>267319</v>
      </c>
      <c r="CY14" s="20">
        <f t="shared" si="38"/>
        <v>11285</v>
      </c>
      <c r="CZ14" s="71">
        <f t="shared" si="39"/>
        <v>10600.871000000001</v>
      </c>
      <c r="DA14"/>
      <c r="DB14"/>
      <c r="DC14"/>
      <c r="DD14" s="82" t="e">
        <f t="shared" ref="DD14" si="68">SUM(BL14+CF14+CL14+#REF!+CU14)</f>
        <v>#REF!</v>
      </c>
      <c r="DE14" s="82">
        <f t="shared" si="40"/>
        <v>12908.767800000001</v>
      </c>
      <c r="DF14" s="82">
        <f t="shared" si="41"/>
        <v>34584.899999999994</v>
      </c>
      <c r="DG14" s="82" t="e">
        <f t="shared" si="42"/>
        <v>#REF!</v>
      </c>
      <c r="DH14"/>
      <c r="DI14" s="99">
        <f t="shared" si="50"/>
        <v>38092.710000000006</v>
      </c>
      <c r="DJ14" s="99">
        <f t="shared" si="43"/>
        <v>18483.66</v>
      </c>
    </row>
    <row r="15" spans="2:114" s="107" customFormat="1" x14ac:dyDescent="0.25">
      <c r="B15" s="69">
        <v>43408</v>
      </c>
      <c r="C15" s="226">
        <v>29228181</v>
      </c>
      <c r="D15" s="226"/>
      <c r="E15" s="38">
        <f t="shared" si="9"/>
        <v>640390</v>
      </c>
      <c r="F15" s="226">
        <v>3385887</v>
      </c>
      <c r="G15" s="226"/>
      <c r="H15" s="38">
        <f t="shared" si="10"/>
        <v>72450</v>
      </c>
      <c r="I15" s="226">
        <v>144700</v>
      </c>
      <c r="J15" s="226"/>
      <c r="K15" s="38">
        <f t="shared" si="11"/>
        <v>300</v>
      </c>
      <c r="L15" s="226">
        <v>211496</v>
      </c>
      <c r="M15" s="226"/>
      <c r="N15" s="38">
        <f t="shared" si="12"/>
        <v>459000</v>
      </c>
      <c r="O15" s="226">
        <v>6771</v>
      </c>
      <c r="P15" s="226"/>
      <c r="Q15" s="38">
        <f t="shared" si="13"/>
        <v>0</v>
      </c>
      <c r="R15" s="36"/>
      <c r="S15" s="226">
        <v>480346</v>
      </c>
      <c r="T15" s="226"/>
      <c r="U15" s="38">
        <f t="shared" si="14"/>
        <v>10460</v>
      </c>
      <c r="V15" s="227">
        <v>5214630</v>
      </c>
      <c r="W15" s="227"/>
      <c r="X15" s="38">
        <f t="shared" si="15"/>
        <v>536300</v>
      </c>
      <c r="Y15" s="37">
        <f t="shared" si="16"/>
        <v>546760</v>
      </c>
      <c r="Z15" s="18"/>
      <c r="AA15" s="26">
        <v>35432</v>
      </c>
      <c r="AB15" s="38">
        <f t="shared" si="17"/>
        <v>48000</v>
      </c>
      <c r="AC15" s="26">
        <v>849186690</v>
      </c>
      <c r="AD15" s="38">
        <f t="shared" si="18"/>
        <v>2677756</v>
      </c>
      <c r="AE15" s="26">
        <v>7151</v>
      </c>
      <c r="AF15" s="38">
        <f t="shared" si="19"/>
        <v>13000</v>
      </c>
      <c r="AG15" s="26">
        <v>184158</v>
      </c>
      <c r="AH15" s="38">
        <f t="shared" si="20"/>
        <v>479000</v>
      </c>
      <c r="AI15" s="26">
        <v>2647714</v>
      </c>
      <c r="AJ15" s="38">
        <f t="shared" si="21"/>
        <v>1996</v>
      </c>
      <c r="AK15" s="26">
        <v>10966</v>
      </c>
      <c r="AL15" s="38">
        <f t="shared" si="22"/>
        <v>53000</v>
      </c>
      <c r="AM15" s="26">
        <v>597</v>
      </c>
      <c r="AN15" s="38">
        <f t="shared" si="23"/>
        <v>50</v>
      </c>
      <c r="AO15" s="26">
        <v>6773</v>
      </c>
      <c r="AP15" s="38">
        <f t="shared" si="24"/>
        <v>160</v>
      </c>
      <c r="AQ15" s="15"/>
      <c r="AR15" s="69">
        <v>43408</v>
      </c>
      <c r="AS15" s="21">
        <v>6986</v>
      </c>
      <c r="AT15" s="38">
        <f t="shared" si="25"/>
        <v>0</v>
      </c>
      <c r="AU15" s="15"/>
      <c r="AV15" s="26">
        <v>11038000</v>
      </c>
      <c r="AW15" s="38">
        <f t="shared" si="44"/>
        <v>0</v>
      </c>
      <c r="AX15" s="26">
        <v>3142020</v>
      </c>
      <c r="AY15" s="38">
        <f t="shared" ref="AY15:AY22" si="69">SUM(AX15-AX14)</f>
        <v>0</v>
      </c>
      <c r="AZ15" s="38">
        <f t="shared" ref="AZ15:AZ22" si="70">SUM(AW15-AY15)</f>
        <v>0</v>
      </c>
      <c r="BA15" s="26">
        <v>6552000</v>
      </c>
      <c r="BB15" s="38">
        <f t="shared" si="46"/>
        <v>0</v>
      </c>
      <c r="BC15" s="26">
        <v>3653000</v>
      </c>
      <c r="BD15" s="38">
        <f t="shared" si="47"/>
        <v>0</v>
      </c>
      <c r="BE15" s="26">
        <v>26731900</v>
      </c>
      <c r="BF15" s="38">
        <f t="shared" si="48"/>
        <v>0</v>
      </c>
      <c r="BG15"/>
      <c r="BH15"/>
      <c r="BI15" s="20">
        <f t="shared" si="0"/>
        <v>29228181</v>
      </c>
      <c r="BJ15" t="s">
        <v>201</v>
      </c>
      <c r="BK15"/>
      <c r="BL15" s="50"/>
      <c r="BM15" s="50"/>
      <c r="BN15" s="20">
        <f t="shared" si="1"/>
        <v>3385887</v>
      </c>
      <c r="BO15" t="s">
        <v>201</v>
      </c>
      <c r="BP15"/>
      <c r="BQ15"/>
      <c r="BR15" s="20">
        <f t="shared" si="2"/>
        <v>480346</v>
      </c>
      <c r="BS15"/>
      <c r="BT15"/>
      <c r="BU15" s="84"/>
      <c r="BV15" s="20">
        <f t="shared" si="3"/>
        <v>5214630</v>
      </c>
      <c r="BW15" s="85"/>
      <c r="BX15" s="86"/>
      <c r="BY15" s="84"/>
      <c r="BZ15" s="86"/>
      <c r="CA15" s="84"/>
      <c r="CB15" s="15"/>
      <c r="CC15" s="20">
        <f t="shared" si="4"/>
        <v>6552000</v>
      </c>
      <c r="CD15" s="21"/>
      <c r="CE15"/>
      <c r="CF15" s="50"/>
      <c r="CG15" s="82"/>
      <c r="CH15" s="82"/>
      <c r="CI15" s="20">
        <f t="shared" si="5"/>
        <v>11038000</v>
      </c>
      <c r="CJ15" s="21" t="s">
        <v>201</v>
      </c>
      <c r="CK15"/>
      <c r="CL15" s="50"/>
      <c r="CM15" s="97"/>
      <c r="CN15" s="20">
        <f t="shared" si="6"/>
        <v>6986</v>
      </c>
      <c r="CO15" s="21"/>
      <c r="CP15" s="49"/>
      <c r="CQ15" s="88"/>
      <c r="CR15" s="20">
        <f t="shared" si="7"/>
        <v>3653000</v>
      </c>
      <c r="CS15" s="21" t="s">
        <v>201</v>
      </c>
      <c r="CT15"/>
      <c r="CU15" s="50"/>
      <c r="CV15" s="87"/>
      <c r="CW15" s="20">
        <f t="shared" si="8"/>
        <v>26731900</v>
      </c>
      <c r="CX15" s="21" t="s">
        <v>201</v>
      </c>
      <c r="CY15"/>
      <c r="CZ15" s="50"/>
      <c r="DA15"/>
      <c r="DB15"/>
      <c r="DC15"/>
      <c r="DD15"/>
      <c r="DE15"/>
      <c r="DF15"/>
      <c r="DG15"/>
      <c r="DH15"/>
      <c r="DI15"/>
      <c r="DJ15"/>
    </row>
    <row r="16" spans="2:114" s="107" customFormat="1" x14ac:dyDescent="0.25">
      <c r="B16" s="69">
        <v>43415</v>
      </c>
      <c r="C16" s="226">
        <v>29359833</v>
      </c>
      <c r="D16" s="226"/>
      <c r="E16" s="38">
        <f t="shared" ref="E16" si="71">SUM(C16-C15)*10</f>
        <v>1316520</v>
      </c>
      <c r="F16" s="226">
        <v>3400530</v>
      </c>
      <c r="G16" s="226"/>
      <c r="H16" s="38">
        <f t="shared" ref="H16" si="72">SUM(F16-F15)*10</f>
        <v>146430</v>
      </c>
      <c r="I16" s="226">
        <v>144750</v>
      </c>
      <c r="J16" s="226"/>
      <c r="K16" s="38">
        <f t="shared" si="11"/>
        <v>500</v>
      </c>
      <c r="L16" s="226">
        <v>212506</v>
      </c>
      <c r="M16" s="226"/>
      <c r="N16" s="38">
        <f t="shared" si="12"/>
        <v>1010000</v>
      </c>
      <c r="O16" s="268">
        <v>6771</v>
      </c>
      <c r="P16" s="269"/>
      <c r="Q16" s="38">
        <f t="shared" si="13"/>
        <v>0</v>
      </c>
      <c r="R16" s="181"/>
      <c r="S16" s="226">
        <v>482344</v>
      </c>
      <c r="T16" s="226"/>
      <c r="U16" s="38">
        <f t="shared" si="14"/>
        <v>19980</v>
      </c>
      <c r="V16" s="227">
        <v>5282840</v>
      </c>
      <c r="W16" s="227"/>
      <c r="X16" s="38">
        <f t="shared" si="15"/>
        <v>682100</v>
      </c>
      <c r="Y16" s="37">
        <f t="shared" si="16"/>
        <v>702080</v>
      </c>
      <c r="Z16" s="18"/>
      <c r="AA16" s="26">
        <v>35541</v>
      </c>
      <c r="AB16" s="38">
        <f t="shared" si="17"/>
        <v>109000</v>
      </c>
      <c r="AC16" s="26">
        <v>855401629</v>
      </c>
      <c r="AD16" s="38">
        <f t="shared" si="18"/>
        <v>6214939</v>
      </c>
      <c r="AE16" s="26">
        <v>7166</v>
      </c>
      <c r="AF16" s="38">
        <f t="shared" si="19"/>
        <v>15000</v>
      </c>
      <c r="AG16" s="26">
        <v>185106</v>
      </c>
      <c r="AH16" s="38">
        <f t="shared" si="20"/>
        <v>948000</v>
      </c>
      <c r="AI16" s="26">
        <v>2659250</v>
      </c>
      <c r="AJ16" s="38">
        <f t="shared" si="21"/>
        <v>11536</v>
      </c>
      <c r="AK16" s="26">
        <v>11071</v>
      </c>
      <c r="AL16" s="38">
        <f t="shared" si="22"/>
        <v>105000</v>
      </c>
      <c r="AM16" s="26">
        <v>605</v>
      </c>
      <c r="AN16" s="38">
        <f t="shared" si="23"/>
        <v>80</v>
      </c>
      <c r="AO16" s="26">
        <v>6806</v>
      </c>
      <c r="AP16" s="38">
        <f t="shared" si="24"/>
        <v>330</v>
      </c>
      <c r="AQ16" s="15"/>
      <c r="AR16" s="69">
        <v>43415</v>
      </c>
      <c r="AS16" s="21">
        <v>6986</v>
      </c>
      <c r="AT16" s="38">
        <f t="shared" si="25"/>
        <v>0</v>
      </c>
      <c r="AU16" s="15"/>
      <c r="AV16" s="26">
        <v>11038000</v>
      </c>
      <c r="AW16" s="38">
        <f t="shared" si="44"/>
        <v>0</v>
      </c>
      <c r="AX16" s="26">
        <v>3142020</v>
      </c>
      <c r="AY16" s="38">
        <f t="shared" si="69"/>
        <v>0</v>
      </c>
      <c r="AZ16" s="38">
        <f t="shared" si="70"/>
        <v>0</v>
      </c>
      <c r="BA16" s="26">
        <v>6552000</v>
      </c>
      <c r="BB16" s="38">
        <f t="shared" si="46"/>
        <v>0</v>
      </c>
      <c r="BC16" s="26">
        <v>3653000</v>
      </c>
      <c r="BD16" s="38">
        <f t="shared" si="47"/>
        <v>0</v>
      </c>
      <c r="BE16" s="26">
        <v>26731900</v>
      </c>
      <c r="BF16" s="38">
        <f t="shared" si="48"/>
        <v>0</v>
      </c>
      <c r="BG16"/>
      <c r="BH16"/>
      <c r="BI16" s="20">
        <f t="shared" si="0"/>
        <v>29359833</v>
      </c>
      <c r="BJ16"/>
      <c r="BK16"/>
      <c r="BL16" s="50"/>
      <c r="BM16" s="50"/>
      <c r="BN16" s="20">
        <f t="shared" si="1"/>
        <v>3400530</v>
      </c>
      <c r="BO16"/>
      <c r="BP16"/>
      <c r="BQ16"/>
      <c r="BR16" s="20">
        <f t="shared" si="2"/>
        <v>482344</v>
      </c>
      <c r="BS16"/>
      <c r="BT16"/>
      <c r="BU16" s="84"/>
      <c r="BV16" s="20">
        <f t="shared" si="3"/>
        <v>5282840</v>
      </c>
      <c r="BW16" s="85"/>
      <c r="BX16" s="86"/>
      <c r="BY16" s="84"/>
      <c r="BZ16" s="86"/>
      <c r="CA16" s="84"/>
      <c r="CB16" s="15"/>
      <c r="CC16" s="20">
        <f t="shared" si="4"/>
        <v>6552000</v>
      </c>
      <c r="CD16" s="21"/>
      <c r="CE16"/>
      <c r="CF16" s="50"/>
      <c r="CG16" s="82"/>
      <c r="CH16" s="82"/>
      <c r="CI16" s="20">
        <f t="shared" si="5"/>
        <v>11038000</v>
      </c>
      <c r="CJ16" s="21"/>
      <c r="CK16"/>
      <c r="CL16" s="50"/>
      <c r="CM16" s="97"/>
      <c r="CN16" s="20">
        <f t="shared" si="6"/>
        <v>6986</v>
      </c>
      <c r="CO16" s="21"/>
      <c r="CP16" s="49"/>
      <c r="CQ16" s="88"/>
      <c r="CR16" s="20">
        <f t="shared" si="7"/>
        <v>3653000</v>
      </c>
      <c r="CS16" s="21"/>
      <c r="CT16"/>
      <c r="CU16" s="50"/>
      <c r="CV16" s="87"/>
      <c r="CW16" s="20">
        <f t="shared" si="8"/>
        <v>26731900</v>
      </c>
      <c r="CX16" s="21"/>
      <c r="CY16"/>
      <c r="CZ16" s="50"/>
      <c r="DA16"/>
      <c r="DB16"/>
      <c r="DC16"/>
      <c r="DD16"/>
      <c r="DE16"/>
      <c r="DF16"/>
      <c r="DG16"/>
      <c r="DH16"/>
      <c r="DI16"/>
      <c r="DJ16"/>
    </row>
    <row r="17" spans="2:114" s="107" customFormat="1" x14ac:dyDescent="0.25">
      <c r="B17" s="69">
        <v>43422</v>
      </c>
      <c r="C17" s="226">
        <v>29494087</v>
      </c>
      <c r="D17" s="226"/>
      <c r="E17" s="38">
        <f t="shared" ref="E17:E19" si="73">SUM(C17-C16)*10</f>
        <v>1342540</v>
      </c>
      <c r="F17" s="226">
        <v>3415973</v>
      </c>
      <c r="G17" s="226"/>
      <c r="H17" s="38">
        <f t="shared" ref="H17:H19" si="74">SUM(F17-F16)*10</f>
        <v>154430</v>
      </c>
      <c r="I17" s="226">
        <v>144810</v>
      </c>
      <c r="J17" s="226"/>
      <c r="K17" s="38">
        <f t="shared" si="11"/>
        <v>600</v>
      </c>
      <c r="L17" s="226">
        <v>213465</v>
      </c>
      <c r="M17" s="226"/>
      <c r="N17" s="38">
        <f t="shared" si="12"/>
        <v>959000</v>
      </c>
      <c r="O17" s="226">
        <v>6771</v>
      </c>
      <c r="P17" s="226"/>
      <c r="Q17" s="38">
        <f t="shared" si="13"/>
        <v>0</v>
      </c>
      <c r="R17" s="181"/>
      <c r="S17" s="226">
        <v>484515</v>
      </c>
      <c r="T17" s="226"/>
      <c r="U17" s="38">
        <f t="shared" si="14"/>
        <v>21710</v>
      </c>
      <c r="V17" s="227">
        <v>5405190</v>
      </c>
      <c r="W17" s="227"/>
      <c r="X17" s="38">
        <f t="shared" si="15"/>
        <v>1223500</v>
      </c>
      <c r="Y17" s="37">
        <f t="shared" si="16"/>
        <v>1245210</v>
      </c>
      <c r="Z17" s="18"/>
      <c r="AA17" s="26">
        <v>35566</v>
      </c>
      <c r="AB17" s="38">
        <f t="shared" si="17"/>
        <v>25000</v>
      </c>
      <c r="AC17" s="26">
        <v>855401629</v>
      </c>
      <c r="AD17" s="38">
        <f t="shared" si="18"/>
        <v>0</v>
      </c>
      <c r="AE17" s="26">
        <v>7191</v>
      </c>
      <c r="AF17" s="38">
        <f t="shared" si="19"/>
        <v>25000</v>
      </c>
      <c r="AG17" s="26">
        <v>186718</v>
      </c>
      <c r="AH17" s="38">
        <f t="shared" si="20"/>
        <v>1612000</v>
      </c>
      <c r="AI17" s="26">
        <v>2667474</v>
      </c>
      <c r="AJ17" s="38">
        <f t="shared" si="21"/>
        <v>8224</v>
      </c>
      <c r="AK17" s="26">
        <v>11192</v>
      </c>
      <c r="AL17" s="38">
        <f t="shared" si="22"/>
        <v>121000</v>
      </c>
      <c r="AM17" s="26">
        <v>614</v>
      </c>
      <c r="AN17" s="38">
        <f t="shared" si="23"/>
        <v>90</v>
      </c>
      <c r="AO17" s="26">
        <v>6837</v>
      </c>
      <c r="AP17" s="38">
        <f t="shared" si="24"/>
        <v>310</v>
      </c>
      <c r="AQ17" s="15"/>
      <c r="AR17" s="69">
        <v>43422</v>
      </c>
      <c r="AS17" s="21">
        <v>6986</v>
      </c>
      <c r="AT17" s="38">
        <f t="shared" si="25"/>
        <v>0</v>
      </c>
      <c r="AU17" s="15"/>
      <c r="AV17" s="26">
        <v>11038000</v>
      </c>
      <c r="AW17" s="38">
        <f t="shared" si="44"/>
        <v>0</v>
      </c>
      <c r="AX17" s="26">
        <v>3142020</v>
      </c>
      <c r="AY17" s="38">
        <f t="shared" si="69"/>
        <v>0</v>
      </c>
      <c r="AZ17" s="38">
        <f t="shared" si="70"/>
        <v>0</v>
      </c>
      <c r="BA17" s="26">
        <v>6552000</v>
      </c>
      <c r="BB17" s="38">
        <f t="shared" si="46"/>
        <v>0</v>
      </c>
      <c r="BC17" s="26">
        <v>3653000</v>
      </c>
      <c r="BD17" s="38">
        <f t="shared" si="47"/>
        <v>0</v>
      </c>
      <c r="BE17" s="26">
        <v>26731900</v>
      </c>
      <c r="BF17" s="38">
        <f t="shared" si="48"/>
        <v>0</v>
      </c>
      <c r="BG17"/>
      <c r="BH17"/>
      <c r="BI17" s="20">
        <f t="shared" si="0"/>
        <v>29494087</v>
      </c>
      <c r="BJ17"/>
      <c r="BK17"/>
      <c r="BL17" s="50"/>
      <c r="BM17" s="50"/>
      <c r="BN17" s="20">
        <f t="shared" si="1"/>
        <v>3415973</v>
      </c>
      <c r="BO17"/>
      <c r="BP17"/>
      <c r="BQ17"/>
      <c r="BR17" s="20">
        <f t="shared" si="2"/>
        <v>484515</v>
      </c>
      <c r="BS17"/>
      <c r="BT17"/>
      <c r="BU17" s="84"/>
      <c r="BV17" s="20">
        <f t="shared" si="3"/>
        <v>5405190</v>
      </c>
      <c r="BW17" s="85"/>
      <c r="BX17" s="86"/>
      <c r="BY17" s="84"/>
      <c r="BZ17" s="86"/>
      <c r="CA17" s="84"/>
      <c r="CB17" s="15"/>
      <c r="CC17" s="20">
        <f t="shared" si="4"/>
        <v>6552000</v>
      </c>
      <c r="CD17" s="21"/>
      <c r="CE17"/>
      <c r="CF17" s="50"/>
      <c r="CG17" s="82"/>
      <c r="CH17" s="82"/>
      <c r="CI17" s="20">
        <f t="shared" si="5"/>
        <v>11038000</v>
      </c>
      <c r="CJ17" s="21"/>
      <c r="CK17"/>
      <c r="CL17" s="50"/>
      <c r="CM17" s="97"/>
      <c r="CN17" s="20">
        <f t="shared" si="6"/>
        <v>6986</v>
      </c>
      <c r="CO17" s="21"/>
      <c r="CP17" s="49"/>
      <c r="CQ17" s="88"/>
      <c r="CR17" s="20">
        <f t="shared" si="7"/>
        <v>3653000</v>
      </c>
      <c r="CS17" s="21"/>
      <c r="CT17"/>
      <c r="CU17" s="50"/>
      <c r="CV17" s="87"/>
      <c r="CW17" s="20">
        <f t="shared" si="8"/>
        <v>26731900</v>
      </c>
      <c r="CX17" s="21"/>
      <c r="CY17"/>
      <c r="CZ17" s="50"/>
      <c r="DA17"/>
      <c r="DB17"/>
      <c r="DC17"/>
      <c r="DD17"/>
      <c r="DE17"/>
      <c r="DF17"/>
      <c r="DG17"/>
      <c r="DH17"/>
      <c r="DI17"/>
      <c r="DJ17"/>
    </row>
    <row r="18" spans="2:114" s="107" customFormat="1" x14ac:dyDescent="0.25">
      <c r="B18" s="69">
        <v>43429</v>
      </c>
      <c r="C18" s="226">
        <v>29631317</v>
      </c>
      <c r="D18" s="226"/>
      <c r="E18" s="38">
        <f t="shared" si="73"/>
        <v>1372300</v>
      </c>
      <c r="F18" s="226">
        <v>3432296</v>
      </c>
      <c r="G18" s="226"/>
      <c r="H18" s="38">
        <f t="shared" si="74"/>
        <v>163230</v>
      </c>
      <c r="I18" s="226">
        <v>144870</v>
      </c>
      <c r="J18" s="226"/>
      <c r="K18" s="38">
        <f t="shared" si="11"/>
        <v>600</v>
      </c>
      <c r="L18" s="226">
        <v>214437</v>
      </c>
      <c r="M18" s="226"/>
      <c r="N18" s="38">
        <f t="shared" si="12"/>
        <v>972000</v>
      </c>
      <c r="O18" s="268">
        <v>6771</v>
      </c>
      <c r="P18" s="269"/>
      <c r="Q18" s="38">
        <f t="shared" si="13"/>
        <v>0</v>
      </c>
      <c r="R18" s="181"/>
      <c r="S18" s="226">
        <v>486677</v>
      </c>
      <c r="T18" s="226"/>
      <c r="U18" s="38">
        <f t="shared" si="14"/>
        <v>21620</v>
      </c>
      <c r="V18" s="227">
        <v>5533200</v>
      </c>
      <c r="W18" s="227"/>
      <c r="X18" s="38">
        <f t="shared" si="15"/>
        <v>1280100</v>
      </c>
      <c r="Y18" s="37">
        <f t="shared" si="16"/>
        <v>1301720</v>
      </c>
      <c r="Z18" s="18"/>
      <c r="AA18" s="26">
        <v>35609</v>
      </c>
      <c r="AB18" s="38">
        <f t="shared" si="17"/>
        <v>43000</v>
      </c>
      <c r="AC18" s="26">
        <v>865057780</v>
      </c>
      <c r="AD18" s="38">
        <f t="shared" si="18"/>
        <v>9656151</v>
      </c>
      <c r="AE18" s="26">
        <v>7228</v>
      </c>
      <c r="AF18" s="38">
        <f t="shared" si="19"/>
        <v>37000</v>
      </c>
      <c r="AG18" s="26">
        <v>188479</v>
      </c>
      <c r="AH18" s="38">
        <f t="shared" si="20"/>
        <v>1761000</v>
      </c>
      <c r="AI18" s="26">
        <v>2677285</v>
      </c>
      <c r="AJ18" s="38">
        <f t="shared" si="21"/>
        <v>9811</v>
      </c>
      <c r="AK18" s="26">
        <v>11303</v>
      </c>
      <c r="AL18" s="38">
        <f t="shared" ref="AL18" si="75">SUM(AK18-AK17)*1000</f>
        <v>111000</v>
      </c>
      <c r="AM18" s="26">
        <v>623</v>
      </c>
      <c r="AN18" s="38">
        <f t="shared" ref="AN18" si="76">SUM(AM18-AM17)*10</f>
        <v>90</v>
      </c>
      <c r="AO18" s="26">
        <v>6910</v>
      </c>
      <c r="AP18" s="38">
        <f t="shared" si="24"/>
        <v>730</v>
      </c>
      <c r="AQ18" s="15"/>
      <c r="AR18" s="69">
        <v>43429</v>
      </c>
      <c r="AS18" s="21">
        <v>6986</v>
      </c>
      <c r="AT18" s="38">
        <f t="shared" si="25"/>
        <v>0</v>
      </c>
      <c r="AU18" s="15"/>
      <c r="AV18" s="26">
        <v>11038000</v>
      </c>
      <c r="AW18" s="38">
        <f t="shared" si="44"/>
        <v>0</v>
      </c>
      <c r="AX18" s="26">
        <v>3142020</v>
      </c>
      <c r="AY18" s="38">
        <f t="shared" si="69"/>
        <v>0</v>
      </c>
      <c r="AZ18" s="38">
        <f t="shared" si="70"/>
        <v>0</v>
      </c>
      <c r="BA18" s="26">
        <v>6552000</v>
      </c>
      <c r="BB18" s="38">
        <f t="shared" si="46"/>
        <v>0</v>
      </c>
      <c r="BC18" s="26">
        <v>3653000</v>
      </c>
      <c r="BD18" s="38">
        <f t="shared" si="47"/>
        <v>0</v>
      </c>
      <c r="BE18" s="26">
        <v>26731900</v>
      </c>
      <c r="BF18" s="38">
        <f t="shared" si="48"/>
        <v>0</v>
      </c>
      <c r="BG18"/>
      <c r="BH18"/>
      <c r="BI18" s="20">
        <f t="shared" si="0"/>
        <v>29631317</v>
      </c>
      <c r="BJ18"/>
      <c r="BK18"/>
      <c r="BL18" s="50"/>
      <c r="BM18" s="50"/>
      <c r="BN18" s="20">
        <f t="shared" si="1"/>
        <v>3432296</v>
      </c>
      <c r="BO18"/>
      <c r="BP18"/>
      <c r="BQ18"/>
      <c r="BR18" s="20">
        <f t="shared" si="2"/>
        <v>486677</v>
      </c>
      <c r="BS18"/>
      <c r="BT18"/>
      <c r="BU18" s="84"/>
      <c r="BV18" s="20">
        <f t="shared" si="3"/>
        <v>5533200</v>
      </c>
      <c r="BW18" s="85"/>
      <c r="BX18" s="86"/>
      <c r="BY18" s="84"/>
      <c r="BZ18" s="86"/>
      <c r="CA18" s="84"/>
      <c r="CB18" s="15"/>
      <c r="CC18" s="20">
        <f t="shared" si="4"/>
        <v>6552000</v>
      </c>
      <c r="CD18" s="21"/>
      <c r="CE18"/>
      <c r="CF18" s="50"/>
      <c r="CG18" s="82"/>
      <c r="CH18" s="82"/>
      <c r="CI18" s="20">
        <f t="shared" si="5"/>
        <v>11038000</v>
      </c>
      <c r="CJ18" s="21"/>
      <c r="CK18"/>
      <c r="CL18" s="50"/>
      <c r="CM18" s="97"/>
      <c r="CN18" s="20">
        <f t="shared" si="6"/>
        <v>6986</v>
      </c>
      <c r="CO18" s="21"/>
      <c r="CP18" s="49"/>
      <c r="CQ18" s="88"/>
      <c r="CR18" s="20">
        <f t="shared" si="7"/>
        <v>3653000</v>
      </c>
      <c r="CS18" s="21"/>
      <c r="CT18"/>
      <c r="CU18" s="50"/>
      <c r="CV18" s="87"/>
      <c r="CW18" s="20">
        <f t="shared" si="8"/>
        <v>26731900</v>
      </c>
      <c r="CX18" s="21"/>
      <c r="CY18"/>
      <c r="CZ18" s="50"/>
      <c r="DA18"/>
      <c r="DB18"/>
      <c r="DC18"/>
      <c r="DD18"/>
      <c r="DE18"/>
      <c r="DF18"/>
      <c r="DG18"/>
      <c r="DH18"/>
      <c r="DI18"/>
      <c r="DJ18"/>
    </row>
    <row r="19" spans="2:114" s="107" customFormat="1" x14ac:dyDescent="0.25">
      <c r="B19" s="69">
        <v>43436</v>
      </c>
      <c r="C19" s="226">
        <v>29749666</v>
      </c>
      <c r="D19" s="226"/>
      <c r="E19" s="38">
        <f t="shared" si="73"/>
        <v>1183490</v>
      </c>
      <c r="F19" s="226">
        <v>3443310</v>
      </c>
      <c r="G19" s="226"/>
      <c r="H19" s="38">
        <f t="shared" si="74"/>
        <v>110140</v>
      </c>
      <c r="I19" s="226">
        <v>144950</v>
      </c>
      <c r="J19" s="226"/>
      <c r="K19" s="38">
        <f t="shared" si="11"/>
        <v>800</v>
      </c>
      <c r="L19" s="226">
        <v>215244</v>
      </c>
      <c r="M19" s="226"/>
      <c r="N19" s="38">
        <f t="shared" si="12"/>
        <v>807000</v>
      </c>
      <c r="O19" s="226">
        <v>6771</v>
      </c>
      <c r="P19" s="226"/>
      <c r="Q19" s="38">
        <f t="shared" si="13"/>
        <v>0</v>
      </c>
      <c r="R19" s="181"/>
      <c r="S19" s="226">
        <v>488953</v>
      </c>
      <c r="T19" s="226"/>
      <c r="U19" s="38">
        <f t="shared" si="14"/>
        <v>22760</v>
      </c>
      <c r="V19" s="227">
        <v>5703000</v>
      </c>
      <c r="W19" s="227"/>
      <c r="X19" s="38">
        <f t="shared" si="15"/>
        <v>1698000</v>
      </c>
      <c r="Y19" s="37">
        <f t="shared" si="16"/>
        <v>1720760</v>
      </c>
      <c r="Z19" s="18"/>
      <c r="AA19" s="26">
        <v>35610</v>
      </c>
      <c r="AB19" s="38">
        <f t="shared" si="17"/>
        <v>1000</v>
      </c>
      <c r="AC19" s="26">
        <v>868396973</v>
      </c>
      <c r="AD19" s="38">
        <f t="shared" si="18"/>
        <v>3339193</v>
      </c>
      <c r="AE19" s="26">
        <v>7245</v>
      </c>
      <c r="AF19" s="38">
        <f t="shared" si="19"/>
        <v>17000</v>
      </c>
      <c r="AG19" s="26">
        <v>190003</v>
      </c>
      <c r="AH19" s="38">
        <f t="shared" si="20"/>
        <v>1524000</v>
      </c>
      <c r="AI19" s="26">
        <v>2685090</v>
      </c>
      <c r="AJ19" s="38">
        <f t="shared" si="21"/>
        <v>7805</v>
      </c>
      <c r="AK19" s="26">
        <v>11413</v>
      </c>
      <c r="AL19" s="38">
        <f t="shared" ref="AL19:AL22" si="77">SUM(AK19-AK18)*1000</f>
        <v>110000</v>
      </c>
      <c r="AM19" s="26">
        <v>634</v>
      </c>
      <c r="AN19" s="38">
        <f t="shared" ref="AN19:AN22" si="78">SUM(AM19-AM18)*10</f>
        <v>110</v>
      </c>
      <c r="AO19" s="26">
        <v>6946</v>
      </c>
      <c r="AP19" s="38">
        <f t="shared" si="24"/>
        <v>360</v>
      </c>
      <c r="AQ19" s="15"/>
      <c r="AR19" s="69">
        <v>43436</v>
      </c>
      <c r="AS19" s="21">
        <v>7515</v>
      </c>
      <c r="AT19" s="38">
        <f t="shared" si="25"/>
        <v>529</v>
      </c>
      <c r="AU19" s="15"/>
      <c r="AV19" s="26">
        <v>11269000</v>
      </c>
      <c r="AW19" s="38">
        <f t="shared" si="44"/>
        <v>231000</v>
      </c>
      <c r="AX19" s="26">
        <v>3150000</v>
      </c>
      <c r="AY19" s="38">
        <f t="shared" si="69"/>
        <v>7980</v>
      </c>
      <c r="AZ19" s="38">
        <f t="shared" si="70"/>
        <v>223020</v>
      </c>
      <c r="BA19" s="26">
        <v>6563000</v>
      </c>
      <c r="BB19" s="38">
        <f t="shared" si="46"/>
        <v>11000</v>
      </c>
      <c r="BC19" s="26">
        <v>3655000</v>
      </c>
      <c r="BD19" s="38">
        <f t="shared" si="47"/>
        <v>2000</v>
      </c>
      <c r="BE19" s="26">
        <v>27535700</v>
      </c>
      <c r="BF19" s="38">
        <f t="shared" si="48"/>
        <v>803800</v>
      </c>
      <c r="BG19"/>
      <c r="BH19"/>
      <c r="BI19" s="20">
        <f t="shared" si="0"/>
        <v>29749666</v>
      </c>
      <c r="BJ19" s="21">
        <v>296373</v>
      </c>
      <c r="BK19" s="20">
        <f>SUM(BJ19-BJ14)</f>
        <v>5226</v>
      </c>
      <c r="BL19" s="71">
        <f>SUM(BK19*1.0766)+1986.71</f>
        <v>7613.0216</v>
      </c>
      <c r="BM19" s="82">
        <v>27607.72</v>
      </c>
      <c r="BN19" s="20">
        <f t="shared" si="1"/>
        <v>3443310</v>
      </c>
      <c r="BO19" s="21">
        <v>34329</v>
      </c>
      <c r="BP19" s="20">
        <f>SUM(BO19-BO14)</f>
        <v>638</v>
      </c>
      <c r="BQ19" s="71">
        <f>SUM(BP19*0.8486)+1639.2</f>
        <v>2180.6068</v>
      </c>
      <c r="BR19" s="20">
        <f t="shared" si="2"/>
        <v>488953</v>
      </c>
      <c r="BS19" s="21">
        <v>487790</v>
      </c>
      <c r="BT19" s="21">
        <v>42523.68</v>
      </c>
      <c r="BU19" s="93">
        <v>30143.64</v>
      </c>
      <c r="BV19" s="20">
        <f t="shared" si="3"/>
        <v>5703000</v>
      </c>
      <c r="BW19" s="189">
        <v>56249</v>
      </c>
      <c r="BX19" s="190">
        <v>2016.23</v>
      </c>
      <c r="BY19" s="93">
        <v>1434.79</v>
      </c>
      <c r="BZ19" s="105">
        <f t="shared" ref="BZ19" si="79">SUM(BT19+BX19)</f>
        <v>44539.91</v>
      </c>
      <c r="CA19" s="93">
        <v>11676.82</v>
      </c>
      <c r="CB19" s="15"/>
      <c r="CC19" s="20">
        <f t="shared" si="4"/>
        <v>6563000</v>
      </c>
      <c r="CD19" s="21">
        <v>6563</v>
      </c>
      <c r="CE19" s="185">
        <f>SUM(CD19-CD14)</f>
        <v>11</v>
      </c>
      <c r="CF19" s="71">
        <f>SUM(CE19*1.0766)+124.09</f>
        <v>135.93260000000001</v>
      </c>
      <c r="CG19" s="82">
        <v>66.22</v>
      </c>
      <c r="CH19" s="82">
        <v>1105.28</v>
      </c>
      <c r="CI19" s="20">
        <f t="shared" si="5"/>
        <v>11269000</v>
      </c>
      <c r="CJ19" s="21">
        <v>11269</v>
      </c>
      <c r="CK19" s="185">
        <f>SUM(CJ19-CJ14)</f>
        <v>231</v>
      </c>
      <c r="CL19" s="71">
        <f>SUM(CK19*1.0766+198.63)</f>
        <v>447.32460000000003</v>
      </c>
      <c r="CM19" s="97">
        <v>1348.48</v>
      </c>
      <c r="CN19" s="20">
        <f t="shared" si="6"/>
        <v>7515</v>
      </c>
      <c r="CO19" s="21">
        <v>7515</v>
      </c>
      <c r="CP19" s="191">
        <v>324.3</v>
      </c>
      <c r="CQ19" s="96">
        <v>872.76</v>
      </c>
      <c r="CR19" s="20">
        <f t="shared" si="7"/>
        <v>3655000</v>
      </c>
      <c r="CS19" s="21">
        <v>3655</v>
      </c>
      <c r="CT19" s="185">
        <f>SUM(CS19-CS14)</f>
        <v>2</v>
      </c>
      <c r="CU19" s="71">
        <f>SUM(CT19*1.0766)+198.63</f>
        <v>200.78319999999999</v>
      </c>
      <c r="CV19" s="87"/>
      <c r="CW19" s="20">
        <f t="shared" si="8"/>
        <v>27535700</v>
      </c>
      <c r="CX19" s="21">
        <v>275357</v>
      </c>
      <c r="CY19" s="185">
        <f>SUM(CX19-CX14)</f>
        <v>8038</v>
      </c>
      <c r="CZ19" s="71">
        <f>SUM(CY19*0.8486)+1024.42</f>
        <v>7845.4668000000001</v>
      </c>
      <c r="DA19"/>
      <c r="DB19"/>
      <c r="DC19"/>
      <c r="DD19" s="82" t="e">
        <f>SUM(BL19+CF19+CL19+#REF!+CU19)</f>
        <v>#REF!</v>
      </c>
      <c r="DE19" s="82">
        <f>SUM(BQ19+CZ19)</f>
        <v>10026.0736</v>
      </c>
      <c r="DF19" s="82">
        <f>SUM(BM19+CG19+CV19)</f>
        <v>27673.940000000002</v>
      </c>
      <c r="DG19" s="82" t="e">
        <f>SUM(DD19:DF19)</f>
        <v>#REF!</v>
      </c>
      <c r="DH19"/>
      <c r="DI19" s="99">
        <f>SUM(BU19+CQ19+BY19)</f>
        <v>32451.19</v>
      </c>
      <c r="DJ19" s="99">
        <f>SUM(CA19+CH19)</f>
        <v>12782.1</v>
      </c>
    </row>
    <row r="20" spans="2:114" s="107" customFormat="1" x14ac:dyDescent="0.25">
      <c r="B20" s="69">
        <v>43443</v>
      </c>
      <c r="C20" s="226">
        <v>29867022</v>
      </c>
      <c r="D20" s="226"/>
      <c r="E20" s="38">
        <f t="shared" ref="E20" si="80">SUM(C20-C19)*10</f>
        <v>1173560</v>
      </c>
      <c r="F20" s="226">
        <v>3458307</v>
      </c>
      <c r="G20" s="226"/>
      <c r="H20" s="38">
        <f t="shared" ref="H20" si="81">SUM(F20-F19)*10</f>
        <v>149970</v>
      </c>
      <c r="I20" s="226">
        <v>145050</v>
      </c>
      <c r="J20" s="226"/>
      <c r="K20" s="38">
        <f t="shared" si="11"/>
        <v>1000</v>
      </c>
      <c r="L20" s="226">
        <v>216084</v>
      </c>
      <c r="M20" s="226"/>
      <c r="N20" s="38">
        <f t="shared" si="12"/>
        <v>840000</v>
      </c>
      <c r="O20" s="268">
        <v>6771</v>
      </c>
      <c r="P20" s="269"/>
      <c r="Q20" s="38">
        <f t="shared" si="13"/>
        <v>0</v>
      </c>
      <c r="R20" s="181"/>
      <c r="S20" s="226">
        <v>493042</v>
      </c>
      <c r="T20" s="226"/>
      <c r="U20" s="38">
        <f t="shared" si="14"/>
        <v>40890</v>
      </c>
      <c r="V20" s="227">
        <v>5866270</v>
      </c>
      <c r="W20" s="227"/>
      <c r="X20" s="38">
        <f t="shared" si="15"/>
        <v>1632700</v>
      </c>
      <c r="Y20" s="37">
        <f t="shared" si="16"/>
        <v>1673590</v>
      </c>
      <c r="Z20" s="18"/>
      <c r="AA20" s="26">
        <v>35611</v>
      </c>
      <c r="AB20" s="38">
        <f t="shared" si="17"/>
        <v>1000</v>
      </c>
      <c r="AC20" s="26">
        <v>872115119</v>
      </c>
      <c r="AD20" s="38">
        <f t="shared" si="18"/>
        <v>3718146</v>
      </c>
      <c r="AE20" s="26">
        <v>7288</v>
      </c>
      <c r="AF20" s="38">
        <f t="shared" si="19"/>
        <v>43000</v>
      </c>
      <c r="AG20" s="26">
        <v>191375</v>
      </c>
      <c r="AH20" s="38">
        <f t="shared" si="20"/>
        <v>1372000</v>
      </c>
      <c r="AI20" s="26">
        <v>2702172</v>
      </c>
      <c r="AJ20" s="38">
        <f t="shared" si="21"/>
        <v>17082</v>
      </c>
      <c r="AK20" s="26">
        <v>11503</v>
      </c>
      <c r="AL20" s="38">
        <f t="shared" si="77"/>
        <v>90000</v>
      </c>
      <c r="AM20" s="26">
        <v>646</v>
      </c>
      <c r="AN20" s="38">
        <f t="shared" si="78"/>
        <v>120</v>
      </c>
      <c r="AO20" s="26">
        <v>6979</v>
      </c>
      <c r="AP20" s="38">
        <f t="shared" si="24"/>
        <v>330</v>
      </c>
      <c r="AQ20" s="15"/>
      <c r="AR20" s="69">
        <v>43443</v>
      </c>
      <c r="AS20" s="21">
        <v>7515</v>
      </c>
      <c r="AT20" s="38">
        <f t="shared" si="25"/>
        <v>0</v>
      </c>
      <c r="AU20" s="15"/>
      <c r="AV20" s="26">
        <v>11269000</v>
      </c>
      <c r="AW20" s="38">
        <f t="shared" si="44"/>
        <v>0</v>
      </c>
      <c r="AX20" s="26">
        <v>3150000</v>
      </c>
      <c r="AY20" s="38">
        <f t="shared" si="69"/>
        <v>0</v>
      </c>
      <c r="AZ20" s="38">
        <f t="shared" si="70"/>
        <v>0</v>
      </c>
      <c r="BA20" s="26">
        <v>6563000</v>
      </c>
      <c r="BB20" s="38">
        <f t="shared" si="46"/>
        <v>0</v>
      </c>
      <c r="BC20" s="26">
        <v>3655000</v>
      </c>
      <c r="BD20" s="38">
        <f t="shared" si="47"/>
        <v>0</v>
      </c>
      <c r="BE20" s="26">
        <v>27535700</v>
      </c>
      <c r="BF20" s="38">
        <f t="shared" si="48"/>
        <v>0</v>
      </c>
      <c r="BG20"/>
      <c r="BH20"/>
      <c r="BI20" s="20">
        <f t="shared" si="0"/>
        <v>29867022</v>
      </c>
      <c r="BJ20"/>
      <c r="BK20"/>
      <c r="BL20" s="50"/>
      <c r="BM20" s="50"/>
      <c r="BN20" s="20">
        <f t="shared" si="1"/>
        <v>3458307</v>
      </c>
      <c r="BO20"/>
      <c r="BP20"/>
      <c r="BQ20"/>
      <c r="BR20" s="20">
        <f t="shared" si="2"/>
        <v>493042</v>
      </c>
      <c r="BS20"/>
      <c r="BT20"/>
      <c r="BU20" s="84"/>
      <c r="BV20" s="20">
        <f t="shared" si="3"/>
        <v>5866270</v>
      </c>
      <c r="BW20" s="85"/>
      <c r="BX20" s="86"/>
      <c r="BY20" s="84"/>
      <c r="BZ20" s="86"/>
      <c r="CA20" s="84"/>
      <c r="CB20" s="15"/>
      <c r="CC20" s="20">
        <f t="shared" si="4"/>
        <v>6563000</v>
      </c>
      <c r="CD20" s="21"/>
      <c r="CE20"/>
      <c r="CF20" s="50"/>
      <c r="CG20" s="82"/>
      <c r="CH20" s="82"/>
      <c r="CI20" s="20">
        <f t="shared" si="5"/>
        <v>11269000</v>
      </c>
      <c r="CJ20" s="21"/>
      <c r="CK20"/>
      <c r="CL20" s="50"/>
      <c r="CM20" s="97"/>
      <c r="CN20" s="20">
        <f t="shared" si="6"/>
        <v>7515</v>
      </c>
      <c r="CO20" s="21"/>
      <c r="CP20" s="49"/>
      <c r="CQ20" s="88"/>
      <c r="CR20" s="20">
        <f t="shared" si="7"/>
        <v>3655000</v>
      </c>
      <c r="CS20" s="21"/>
      <c r="CT20"/>
      <c r="CU20" s="50"/>
      <c r="CV20" s="87"/>
      <c r="CW20" s="20">
        <f t="shared" si="8"/>
        <v>27535700</v>
      </c>
      <c r="CX20" s="21"/>
      <c r="CY20"/>
      <c r="CZ20" s="50"/>
      <c r="DA20"/>
      <c r="DB20"/>
      <c r="DC20"/>
      <c r="DD20"/>
      <c r="DE20"/>
      <c r="DF20"/>
      <c r="DG20"/>
      <c r="DH20"/>
      <c r="DI20"/>
      <c r="DJ20"/>
    </row>
    <row r="21" spans="2:114" s="107" customFormat="1" x14ac:dyDescent="0.25">
      <c r="B21" s="69">
        <v>43450</v>
      </c>
      <c r="C21" s="226">
        <v>29966634</v>
      </c>
      <c r="D21" s="226"/>
      <c r="E21" s="38">
        <f t="shared" ref="E21:E22" si="82">SUM(C21-C20)*10</f>
        <v>996120</v>
      </c>
      <c r="F21" s="226">
        <v>3465294</v>
      </c>
      <c r="G21" s="226"/>
      <c r="H21" s="38">
        <f t="shared" ref="H21:H22" si="83">SUM(F21-F20)*10</f>
        <v>69870</v>
      </c>
      <c r="I21" s="226">
        <v>145190</v>
      </c>
      <c r="J21" s="226"/>
      <c r="K21" s="38">
        <f t="shared" si="11"/>
        <v>1400</v>
      </c>
      <c r="L21" s="226">
        <v>216817</v>
      </c>
      <c r="M21" s="226"/>
      <c r="N21" s="38">
        <f t="shared" si="12"/>
        <v>733000</v>
      </c>
      <c r="O21" s="226">
        <v>6771</v>
      </c>
      <c r="P21" s="226"/>
      <c r="Q21" s="38">
        <f t="shared" si="13"/>
        <v>0</v>
      </c>
      <c r="R21" s="181"/>
      <c r="S21" s="226">
        <v>493635</v>
      </c>
      <c r="T21" s="226"/>
      <c r="U21" s="38">
        <f t="shared" si="14"/>
        <v>5930</v>
      </c>
      <c r="V21" s="227">
        <v>6053520</v>
      </c>
      <c r="W21" s="227"/>
      <c r="X21" s="38">
        <f t="shared" si="15"/>
        <v>1872500</v>
      </c>
      <c r="Y21" s="37">
        <f t="shared" si="16"/>
        <v>1878430</v>
      </c>
      <c r="Z21" s="18"/>
      <c r="AA21" s="26">
        <v>35612</v>
      </c>
      <c r="AB21" s="38">
        <f t="shared" si="17"/>
        <v>1000</v>
      </c>
      <c r="AC21" s="26">
        <v>874744905</v>
      </c>
      <c r="AD21" s="38">
        <f t="shared" si="18"/>
        <v>2629786</v>
      </c>
      <c r="AE21" s="26">
        <v>7334</v>
      </c>
      <c r="AF21" s="38">
        <f t="shared" si="19"/>
        <v>46000</v>
      </c>
      <c r="AG21" s="26">
        <v>192117</v>
      </c>
      <c r="AH21" s="38">
        <f t="shared" si="20"/>
        <v>742000</v>
      </c>
      <c r="AI21" s="26">
        <v>2710476</v>
      </c>
      <c r="AJ21" s="38">
        <f t="shared" si="21"/>
        <v>8304</v>
      </c>
      <c r="AK21" s="26">
        <v>11602</v>
      </c>
      <c r="AL21" s="38">
        <f t="shared" si="77"/>
        <v>99000</v>
      </c>
      <c r="AM21" s="26">
        <v>659</v>
      </c>
      <c r="AN21" s="38">
        <f t="shared" si="78"/>
        <v>130</v>
      </c>
      <c r="AO21" s="26">
        <v>7019</v>
      </c>
      <c r="AP21" s="38">
        <f t="shared" si="24"/>
        <v>400</v>
      </c>
      <c r="AQ21" s="15"/>
      <c r="AR21" s="69">
        <v>43450</v>
      </c>
      <c r="AS21" s="21">
        <v>7515</v>
      </c>
      <c r="AT21" s="38">
        <f t="shared" si="25"/>
        <v>0</v>
      </c>
      <c r="AU21" s="15"/>
      <c r="AV21" s="26">
        <v>11269000</v>
      </c>
      <c r="AW21" s="38">
        <f t="shared" si="44"/>
        <v>0</v>
      </c>
      <c r="AX21" s="26">
        <v>3150000</v>
      </c>
      <c r="AY21" s="38">
        <f t="shared" si="69"/>
        <v>0</v>
      </c>
      <c r="AZ21" s="38">
        <f t="shared" si="70"/>
        <v>0</v>
      </c>
      <c r="BA21" s="26">
        <v>6563000</v>
      </c>
      <c r="BB21" s="38">
        <f t="shared" si="46"/>
        <v>0</v>
      </c>
      <c r="BC21" s="26">
        <v>3655000</v>
      </c>
      <c r="BD21" s="38">
        <f t="shared" si="47"/>
        <v>0</v>
      </c>
      <c r="BE21" s="26">
        <v>27535700</v>
      </c>
      <c r="BF21" s="38">
        <f t="shared" si="48"/>
        <v>0</v>
      </c>
      <c r="BG21"/>
      <c r="BH21"/>
      <c r="BI21" s="20">
        <f t="shared" si="0"/>
        <v>29966634</v>
      </c>
      <c r="BJ21"/>
      <c r="BK21"/>
      <c r="BL21" s="50"/>
      <c r="BM21" s="50"/>
      <c r="BN21" s="20">
        <f t="shared" si="1"/>
        <v>3465294</v>
      </c>
      <c r="BO21"/>
      <c r="BP21"/>
      <c r="BQ21"/>
      <c r="BR21" s="20">
        <f t="shared" si="2"/>
        <v>493635</v>
      </c>
      <c r="BS21"/>
      <c r="BT21"/>
      <c r="BU21" s="84"/>
      <c r="BV21" s="20">
        <f t="shared" si="3"/>
        <v>6053520</v>
      </c>
      <c r="BW21" s="85"/>
      <c r="BX21" s="86"/>
      <c r="BY21" s="84"/>
      <c r="BZ21" s="86"/>
      <c r="CA21" s="84"/>
      <c r="CB21" s="15"/>
      <c r="CC21" s="20">
        <f t="shared" si="4"/>
        <v>6563000</v>
      </c>
      <c r="CD21" s="21"/>
      <c r="CE21"/>
      <c r="CF21" s="50"/>
      <c r="CG21" s="82"/>
      <c r="CH21" s="82"/>
      <c r="CI21" s="20">
        <f t="shared" si="5"/>
        <v>11269000</v>
      </c>
      <c r="CJ21" s="21"/>
      <c r="CK21"/>
      <c r="CL21" s="50"/>
      <c r="CM21" s="97"/>
      <c r="CN21" s="20">
        <f t="shared" si="6"/>
        <v>7515</v>
      </c>
      <c r="CO21" s="21"/>
      <c r="CP21" s="49"/>
      <c r="CQ21" s="88"/>
      <c r="CR21" s="20">
        <f t="shared" si="7"/>
        <v>3655000</v>
      </c>
      <c r="CS21" s="21"/>
      <c r="CT21"/>
      <c r="CU21" s="50"/>
      <c r="CV21" s="87"/>
      <c r="CW21" s="20">
        <f t="shared" si="8"/>
        <v>27535700</v>
      </c>
      <c r="CX21" s="21"/>
      <c r="CY21"/>
      <c r="CZ21" s="50"/>
      <c r="DA21"/>
      <c r="DB21"/>
      <c r="DC21"/>
      <c r="DD21"/>
      <c r="DE21"/>
      <c r="DF21"/>
      <c r="DG21"/>
      <c r="DH21"/>
      <c r="DI21"/>
      <c r="DJ21"/>
    </row>
    <row r="22" spans="2:114" s="107" customFormat="1" x14ac:dyDescent="0.25">
      <c r="B22" s="69">
        <v>43465</v>
      </c>
      <c r="C22" s="226">
        <v>30229481</v>
      </c>
      <c r="D22" s="226"/>
      <c r="E22" s="38">
        <f t="shared" si="82"/>
        <v>2628470</v>
      </c>
      <c r="F22" s="226">
        <v>3465707</v>
      </c>
      <c r="G22" s="226"/>
      <c r="H22" s="38">
        <f t="shared" si="83"/>
        <v>4130</v>
      </c>
      <c r="I22" s="226">
        <v>145730</v>
      </c>
      <c r="J22" s="226"/>
      <c r="K22" s="38">
        <f t="shared" si="11"/>
        <v>5400</v>
      </c>
      <c r="L22" s="226">
        <v>218768</v>
      </c>
      <c r="M22" s="226"/>
      <c r="N22" s="38">
        <f t="shared" si="12"/>
        <v>1951000</v>
      </c>
      <c r="O22" s="268">
        <v>6771</v>
      </c>
      <c r="P22" s="269"/>
      <c r="Q22" s="38">
        <f t="shared" si="13"/>
        <v>0</v>
      </c>
      <c r="R22" s="181"/>
      <c r="S22" s="226">
        <v>498680</v>
      </c>
      <c r="T22" s="226"/>
      <c r="U22" s="38">
        <f t="shared" si="14"/>
        <v>50450</v>
      </c>
      <c r="V22" s="227">
        <v>6411200</v>
      </c>
      <c r="W22" s="227"/>
      <c r="X22" s="38">
        <f t="shared" si="15"/>
        <v>3576800</v>
      </c>
      <c r="Y22" s="37">
        <f t="shared" si="16"/>
        <v>3627250</v>
      </c>
      <c r="Z22" s="18"/>
      <c r="AA22" s="26">
        <v>35613</v>
      </c>
      <c r="AB22" s="38">
        <f t="shared" si="17"/>
        <v>1000</v>
      </c>
      <c r="AC22" s="26">
        <v>881465335</v>
      </c>
      <c r="AD22" s="38">
        <f t="shared" si="18"/>
        <v>6720430</v>
      </c>
      <c r="AE22" s="26">
        <v>7522</v>
      </c>
      <c r="AF22" s="38">
        <f t="shared" si="19"/>
        <v>188000</v>
      </c>
      <c r="AG22" s="26">
        <v>1944644</v>
      </c>
      <c r="AH22" s="38">
        <f t="shared" si="20"/>
        <v>1752527000</v>
      </c>
      <c r="AI22" s="26">
        <v>2733306</v>
      </c>
      <c r="AJ22" s="38">
        <f t="shared" si="21"/>
        <v>22830</v>
      </c>
      <c r="AK22" s="26">
        <v>11807</v>
      </c>
      <c r="AL22" s="38">
        <f t="shared" si="77"/>
        <v>205000</v>
      </c>
      <c r="AM22" s="26">
        <v>659</v>
      </c>
      <c r="AN22" s="38">
        <f t="shared" si="78"/>
        <v>0</v>
      </c>
      <c r="AO22" s="26">
        <v>7090</v>
      </c>
      <c r="AP22" s="38">
        <f t="shared" si="24"/>
        <v>710</v>
      </c>
      <c r="AQ22" s="15"/>
      <c r="AR22" s="69">
        <v>43465</v>
      </c>
      <c r="AS22" s="21">
        <v>8014</v>
      </c>
      <c r="AT22" s="38">
        <f t="shared" si="25"/>
        <v>499</v>
      </c>
      <c r="AU22" s="15"/>
      <c r="AV22" s="21">
        <v>11588057</v>
      </c>
      <c r="AW22" s="38">
        <f t="shared" si="44"/>
        <v>319057</v>
      </c>
      <c r="AX22" s="21">
        <v>3161970</v>
      </c>
      <c r="AY22" s="38">
        <f t="shared" si="69"/>
        <v>11970</v>
      </c>
      <c r="AZ22" s="38">
        <f t="shared" si="70"/>
        <v>307087</v>
      </c>
      <c r="BA22" s="21">
        <v>6578600</v>
      </c>
      <c r="BB22" s="38">
        <f t="shared" si="46"/>
        <v>15600</v>
      </c>
      <c r="BC22" s="21">
        <v>3656000</v>
      </c>
      <c r="BD22" s="38">
        <f t="shared" si="47"/>
        <v>1000</v>
      </c>
      <c r="BE22" s="21">
        <v>27681368</v>
      </c>
      <c r="BF22" s="38">
        <f t="shared" si="48"/>
        <v>145668</v>
      </c>
      <c r="BG22"/>
      <c r="BH22"/>
      <c r="BI22" s="20">
        <f t="shared" si="0"/>
        <v>30229481</v>
      </c>
      <c r="BJ22" s="21">
        <v>300817</v>
      </c>
      <c r="BK22" s="20">
        <f>SUM(BJ22-BJ19)</f>
        <v>4444</v>
      </c>
      <c r="BL22" s="71">
        <f>SUM(BK22*1.0766)+1986.71</f>
        <v>6771.1203999999998</v>
      </c>
      <c r="BM22" s="98">
        <v>23538.2</v>
      </c>
      <c r="BN22" s="20">
        <f t="shared" si="1"/>
        <v>3465707</v>
      </c>
      <c r="BO22" s="21">
        <v>34653</v>
      </c>
      <c r="BP22" s="20">
        <f>SUM(BO22-BO19)</f>
        <v>324</v>
      </c>
      <c r="BQ22" s="71">
        <f>SUM(BP22*0.8486)+1639.2</f>
        <v>1914.1464000000001</v>
      </c>
      <c r="BR22" s="20">
        <f t="shared" si="2"/>
        <v>498680</v>
      </c>
      <c r="BS22" s="21">
        <v>497096</v>
      </c>
      <c r="BT22" s="26">
        <v>46424.84</v>
      </c>
      <c r="BU22" s="96">
        <v>32807.33</v>
      </c>
      <c r="BV22" s="20">
        <f t="shared" si="3"/>
        <v>6411200</v>
      </c>
      <c r="BW22" s="94">
        <v>63362</v>
      </c>
      <c r="BX22" s="40">
        <v>3073.6</v>
      </c>
      <c r="BY22" s="93">
        <v>2180.62</v>
      </c>
      <c r="BZ22" s="105">
        <f t="shared" ref="BZ22" si="84">SUM(BT22+BX22)</f>
        <v>49498.439999999995</v>
      </c>
      <c r="CA22" s="93">
        <v>10891.18</v>
      </c>
      <c r="CB22" s="15"/>
      <c r="CC22" s="20">
        <f t="shared" si="4"/>
        <v>6578600</v>
      </c>
      <c r="CD22" s="21">
        <v>6577</v>
      </c>
      <c r="CE22" s="185">
        <f>SUM(CD22-CD19)</f>
        <v>14</v>
      </c>
      <c r="CF22" s="71">
        <f>SUM(CE22*1.0766)+124.09</f>
        <v>139.16239999999999</v>
      </c>
      <c r="CG22" s="82">
        <v>84.28</v>
      </c>
      <c r="CH22" s="82">
        <v>1208.9000000000001</v>
      </c>
      <c r="CI22" s="20">
        <f t="shared" si="5"/>
        <v>11588057</v>
      </c>
      <c r="CJ22" s="21">
        <v>11535</v>
      </c>
      <c r="CK22" s="20">
        <f>SUM(CJ22-CJ13)</f>
        <v>792</v>
      </c>
      <c r="CL22" s="71">
        <f>SUM(CK22*1.0766+198.63)</f>
        <v>1051.2972</v>
      </c>
      <c r="CM22" s="97">
        <v>1565.2</v>
      </c>
      <c r="CN22" s="20">
        <f t="shared" si="6"/>
        <v>8014</v>
      </c>
      <c r="CO22" s="21">
        <v>8014</v>
      </c>
      <c r="CP22" s="191">
        <v>321.49</v>
      </c>
      <c r="CQ22" s="96">
        <v>865.18</v>
      </c>
      <c r="CR22" s="20">
        <f t="shared" si="7"/>
        <v>3656000</v>
      </c>
      <c r="CS22" s="21">
        <v>3656</v>
      </c>
      <c r="CT22" s="185">
        <f>SUM(CS22-CS19)</f>
        <v>1</v>
      </c>
      <c r="CU22" s="71">
        <f>SUM(CT22*1.0766)+198.63</f>
        <v>199.70660000000001</v>
      </c>
      <c r="CV22" s="87"/>
      <c r="CW22" s="20">
        <f t="shared" si="8"/>
        <v>27681368</v>
      </c>
      <c r="CX22" s="21">
        <v>276786</v>
      </c>
      <c r="CY22" s="20">
        <f>SUM(CX22-CX13)</f>
        <v>20752</v>
      </c>
      <c r="CZ22" s="71">
        <f>SUM(CY22*0.8486)+1024.42</f>
        <v>18634.567199999998</v>
      </c>
      <c r="DA22"/>
      <c r="DB22"/>
      <c r="DC22"/>
      <c r="DD22" s="82" t="e">
        <f>SUM(BL22+CF22+CL22+#REF!+CU22)</f>
        <v>#REF!</v>
      </c>
      <c r="DE22" s="82">
        <f>SUM(BQ22+CZ22)</f>
        <v>20548.713599999999</v>
      </c>
      <c r="DF22" s="82">
        <f>SUM(BM22+CG22+CV22)</f>
        <v>23622.48</v>
      </c>
      <c r="DG22" s="82" t="e">
        <f>SUM(DD22:DF22)</f>
        <v>#REF!</v>
      </c>
      <c r="DH22"/>
      <c r="DI22" s="99">
        <f>SUM(BU22+CQ22+BY22)</f>
        <v>35853.130000000005</v>
      </c>
      <c r="DJ22" s="99">
        <f>SUM(CA22+CH22)</f>
        <v>12100.08</v>
      </c>
    </row>
    <row r="23" spans="2:114" x14ac:dyDescent="0.25">
      <c r="AR23" s="25">
        <v>44197</v>
      </c>
    </row>
  </sheetData>
  <mergeCells count="193">
    <mergeCell ref="V22:W22"/>
    <mergeCell ref="C22:D22"/>
    <mergeCell ref="F22:G22"/>
    <mergeCell ref="I22:J22"/>
    <mergeCell ref="L22:M22"/>
    <mergeCell ref="O22:P22"/>
    <mergeCell ref="S22:T22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www.w3.org/XML/1998/namespace"/>
    <ds:schemaRef ds:uri="77842aba-bda6-4832-96cd-e75cb5324294"/>
    <ds:schemaRef ds:uri="http://schemas.microsoft.com/office/2006/documentManagement/types"/>
    <ds:schemaRef ds:uri="ed2f2222-2bff-489f-89bb-9539c67e7b9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2022-02-04T20:14:53Z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