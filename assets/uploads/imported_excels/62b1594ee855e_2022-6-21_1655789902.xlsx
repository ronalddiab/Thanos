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35" documentId="13_ncr:1_{76C55D63-F869-4AF5-AAA3-3D809A91432B}" xr6:coauthVersionLast="47" xr6:coauthVersionMax="47" xr10:uidLastSave="{7BA16525-1411-46A1-B4AB-BF44C32A4DB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5" i="27" l="1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26" i="27"/>
  <c r="L27" i="27"/>
  <c r="L28" i="27"/>
  <c r="L29" i="27"/>
  <c r="L30" i="27"/>
  <c r="L31" i="27"/>
  <c r="L32" i="27"/>
  <c r="L33" i="27"/>
  <c r="L34" i="27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<sst xmlns="http://schemas.openxmlformats.org/spreadsheetml/2006/main" count="71" uniqueCount="33">
  <si>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</si>
  <si>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</si>
  <si>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</si>
  <si>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</si>
  <si>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</si>
  <si>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</si>
  <si>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</si>
  <si>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</si>
  <si>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</si>
  <si>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</si>
  <si>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</si>
  <si>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</si>
  <si>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</si>
  <si>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</si>
  <si>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</si>
  <si>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June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</si>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</sst>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E1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6</v>
      </c>
      <c r="D2" s="10">
        <v>2022</v>
      </c>
      <c r="E2" s="11">
        <f>IF(Electricity!F8&lt;0,0,Electricity!F8)</f>
        <v>24165.000000002692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2488</v>
      </c>
      <c r="J2" s="83">
        <v>0.21186441</v>
      </c>
      <c r="K2" s="11">
        <f>IF('Water, Gas, Diesel'!F6&lt;0,0,'Water, Gas, Diesel'!F6)</f>
        <v>260</v>
      </c>
      <c r="L2" s="83">
        <v>1.6949000000000001</v>
      </c>
      <c r="M2" s="11">
        <f>Electricity!H8</f>
        <v>153</v>
      </c>
      <c r="O2" s="104"/>
    </row>
    <row r="3" spans="1:15">
      <c r="A3" s="8" t="s">
        <v>13</v>
      </c>
      <c r="B3" s="9">
        <f>B2+1</f>
        <v>2</v>
      </c>
      <c r="C3" s="9">
        <v>6</v>
      </c>
      <c r="D3" s="10">
        <v>2022</v>
      </c>
      <c r="E3" s="11">
        <f>IF(Electricity!F9&lt;0,0,Electricity!F9)</f>
        <v>24927.50000000342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2422</v>
      </c>
      <c r="J3" s="83">
        <v>0.21186441</v>
      </c>
      <c r="K3" s="11">
        <f>IF('Water, Gas, Diesel'!F7&lt;0,0,'Water, Gas, Diesel'!F7)</f>
        <v>277</v>
      </c>
      <c r="L3" s="83">
        <v>1.6949000000000001</v>
      </c>
      <c r="M3" s="11">
        <f>Electricity!H9</f>
        <v>146</v>
      </c>
    </row>
    <row r="4" spans="1:15">
      <c r="A4" s="8" t="s">
        <v>13</v>
      </c>
      <c r="B4" s="9">
        <f t="shared" ref="B4:B31" si="0">B3+1</f>
        <v>3</v>
      </c>
      <c r="C4" s="9">
        <v>6</v>
      </c>
      <c r="D4" s="10">
        <v>2022</v>
      </c>
      <c r="E4" s="11">
        <f>IF(Electricity!F10&lt;0,0,Electricity!F10)</f>
        <v>22639.999999996689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2186</v>
      </c>
      <c r="J4" s="83">
        <v>0.21186441</v>
      </c>
      <c r="K4" s="11">
        <f>IF('Water, Gas, Diesel'!F8&lt;0,0,'Water, Gas, Diesel'!F8)</f>
        <v>276</v>
      </c>
      <c r="L4" s="83">
        <v>1.6949000000000001</v>
      </c>
      <c r="M4" s="11">
        <f>Electricity!H10</f>
        <v>112</v>
      </c>
    </row>
    <row r="5" spans="1:15">
      <c r="A5" s="8" t="s">
        <v>13</v>
      </c>
      <c r="B5" s="9">
        <f t="shared" si="0"/>
        <v>4</v>
      </c>
      <c r="C5" s="9">
        <v>6</v>
      </c>
      <c r="D5" s="10">
        <v>2022</v>
      </c>
      <c r="E5" s="11">
        <f>IF(Electricity!F11&lt;0,0,Electricity!F11)</f>
        <v>22007.499999999709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2092</v>
      </c>
      <c r="J5" s="83">
        <v>0.21186441</v>
      </c>
      <c r="K5" s="11">
        <f>IF('Water, Gas, Diesel'!F9&lt;0,0,'Water, Gas, Diesel'!F9)</f>
        <v>277</v>
      </c>
      <c r="L5" s="83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6</v>
      </c>
      <c r="D6" s="10">
        <v>2022</v>
      </c>
      <c r="E6" s="11">
        <f>IF(Electricity!F12&lt;0,0,Electricity!F12)</f>
        <v>21610.000000000582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1898</v>
      </c>
      <c r="J6" s="83">
        <v>0.21186441</v>
      </c>
      <c r="K6" s="11">
        <f>IF('Water, Gas, Diesel'!F10&lt;0,0,'Water, Gas, Diesel'!F10)</f>
        <v>250</v>
      </c>
      <c r="L6" s="83">
        <v>1.6949000000000001</v>
      </c>
      <c r="M6" s="11">
        <f>Electricity!H12</f>
        <v>65</v>
      </c>
    </row>
    <row r="7" spans="1:15">
      <c r="A7" s="8" t="s">
        <v>13</v>
      </c>
      <c r="B7" s="9">
        <f t="shared" si="0"/>
        <v>6</v>
      </c>
      <c r="C7" s="9">
        <v>6</v>
      </c>
      <c r="D7" s="10">
        <v>2022</v>
      </c>
      <c r="E7" s="11">
        <f>IF(Electricity!F13&lt;0,0,Electricity!F13)</f>
        <v>20734.999999999673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1879</v>
      </c>
      <c r="J7" s="83">
        <v>0.21186441</v>
      </c>
      <c r="K7" s="11">
        <f>IF('Water, Gas, Diesel'!F11&lt;0,0,'Water, Gas, Diesel'!F11)</f>
        <v>221</v>
      </c>
      <c r="L7" s="83">
        <v>1.6949000000000001</v>
      </c>
      <c r="M7" s="11">
        <f>Electricity!H13</f>
        <v>58</v>
      </c>
    </row>
    <row r="8" spans="1:15">
      <c r="A8" s="8" t="s">
        <v>13</v>
      </c>
      <c r="B8" s="9">
        <f t="shared" si="0"/>
        <v>7</v>
      </c>
      <c r="C8" s="9">
        <v>6</v>
      </c>
      <c r="D8" s="10">
        <v>2022</v>
      </c>
      <c r="E8" s="11">
        <f>IF(Electricity!F14&lt;0,0,Electricity!F14)</f>
        <v>20787.499999996726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2028</v>
      </c>
      <c r="J8" s="83">
        <v>0.21186441</v>
      </c>
      <c r="K8" s="11">
        <f>IF('Water, Gas, Diesel'!F12&lt;0,0,'Water, Gas, Diesel'!F12)</f>
        <v>195</v>
      </c>
      <c r="L8" s="83">
        <v>1.6949000000000001</v>
      </c>
      <c r="M8" s="11">
        <f>Electricity!H14</f>
        <v>59</v>
      </c>
    </row>
    <row r="9" spans="1:15">
      <c r="A9" s="8" t="s">
        <v>13</v>
      </c>
      <c r="B9" s="9">
        <f t="shared" si="0"/>
        <v>8</v>
      </c>
      <c r="C9" s="9">
        <v>6</v>
      </c>
      <c r="D9" s="10">
        <v>2022</v>
      </c>
      <c r="E9" s="11">
        <f>IF(Electricity!F15&lt;0,0,Electricity!F15)</f>
        <v>22015.000000005784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2097</v>
      </c>
      <c r="J9" s="83">
        <v>0.21186441</v>
      </c>
      <c r="K9" s="11">
        <f>IF('Water, Gas, Diesel'!F13&lt;0,0,'Water, Gas, Diesel'!F13)</f>
        <v>234</v>
      </c>
      <c r="L9" s="83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6</v>
      </c>
      <c r="D10" s="10">
        <v>2022</v>
      </c>
      <c r="E10" s="11">
        <f>IF(Electricity!F16&lt;0,0,Electricity!F16)</f>
        <v>25234.999999997854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2010</v>
      </c>
      <c r="J10" s="83">
        <v>0.21186441</v>
      </c>
      <c r="K10" s="11">
        <f>IF('Water, Gas, Diesel'!F14&lt;0,0,'Water, Gas, Diesel'!F14)</f>
        <v>262</v>
      </c>
      <c r="L10" s="83">
        <v>1.6949000000000001</v>
      </c>
      <c r="M10" s="11">
        <f>Electricity!H16</f>
        <v>160</v>
      </c>
    </row>
    <row r="11" spans="1:15">
      <c r="A11" s="8" t="s">
        <v>13</v>
      </c>
      <c r="B11" s="9">
        <f t="shared" si="0"/>
        <v>10</v>
      </c>
      <c r="C11" s="9">
        <v>6</v>
      </c>
      <c r="D11" s="10">
        <v>2022</v>
      </c>
      <c r="E11" s="11">
        <f>IF(Electricity!F17&lt;0,0,Electricity!F17)</f>
        <v>23917.500000002292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2756</v>
      </c>
      <c r="J11" s="83">
        <v>0.21186441</v>
      </c>
      <c r="K11" s="11">
        <f>IF('Water, Gas, Diesel'!F15&lt;0,0,'Water, Gas, Diesel'!F15)</f>
        <v>269</v>
      </c>
      <c r="L11" s="83">
        <v>1.6949000000000001</v>
      </c>
      <c r="M11" s="11">
        <f>Electricity!H17</f>
        <v>163</v>
      </c>
    </row>
    <row r="12" spans="1:15">
      <c r="A12" s="8" t="s">
        <v>13</v>
      </c>
      <c r="B12" s="9">
        <f t="shared" si="0"/>
        <v>11</v>
      </c>
      <c r="C12" s="9">
        <v>6</v>
      </c>
      <c r="D12" s="10">
        <v>2022</v>
      </c>
      <c r="E12" s="11">
        <f>IF(Electricity!F18&lt;0,0,Electricity!F18)</f>
        <v>22957.499999993161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2038</v>
      </c>
      <c r="J12" s="83">
        <v>0.21186441</v>
      </c>
      <c r="K12" s="11">
        <f>IF('Water, Gas, Diesel'!F16&lt;0,0,'Water, Gas, Diesel'!F16)</f>
        <v>251</v>
      </c>
      <c r="L12" s="83">
        <v>1.6949000000000001</v>
      </c>
      <c r="M12" s="11">
        <f>Electricity!H18</f>
        <v>171</v>
      </c>
    </row>
    <row r="13" spans="1:15">
      <c r="A13" s="8" t="s">
        <v>13</v>
      </c>
      <c r="B13" s="9">
        <f t="shared" si="0"/>
        <v>12</v>
      </c>
      <c r="C13" s="9">
        <v>6</v>
      </c>
      <c r="D13" s="10">
        <v>2022</v>
      </c>
      <c r="E13" s="11">
        <f>IF(Electricity!F19&lt;0,0,Electricity!F19)</f>
        <v>20615.00000000251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1788</v>
      </c>
      <c r="J13" s="83">
        <v>0.21186441</v>
      </c>
      <c r="K13" s="11">
        <f>IF('Water, Gas, Diesel'!F17&lt;0,0,'Water, Gas, Diesel'!F17)</f>
        <v>220</v>
      </c>
      <c r="L13" s="83">
        <v>1.6949000000000001</v>
      </c>
      <c r="M13" s="11">
        <f>Electricity!H19</f>
        <v>166</v>
      </c>
    </row>
    <row r="14" spans="1:15">
      <c r="A14" s="8" t="s">
        <v>13</v>
      </c>
      <c r="B14" s="9">
        <f t="shared" si="0"/>
        <v>13</v>
      </c>
      <c r="C14" s="9">
        <v>6</v>
      </c>
      <c r="D14" s="10">
        <v>2022</v>
      </c>
      <c r="E14" s="11">
        <f>IF(Electricity!F20&lt;0,0,Electricity!F20)</f>
        <v>7770.0000000004366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1690</v>
      </c>
      <c r="J14" s="83">
        <v>0.21186441</v>
      </c>
      <c r="K14" s="11">
        <f>IF('Water, Gas, Diesel'!F18&lt;0,0,'Water, Gas, Diesel'!F18)</f>
        <v>296</v>
      </c>
      <c r="L14" s="83">
        <v>1.6949000000000001</v>
      </c>
      <c r="M14" s="11">
        <f>Electricity!H20</f>
        <v>50</v>
      </c>
    </row>
    <row r="15" spans="1:15">
      <c r="A15" s="8" t="s">
        <v>13</v>
      </c>
      <c r="B15" s="9">
        <f t="shared" si="0"/>
        <v>14</v>
      </c>
      <c r="C15" s="9">
        <v>6</v>
      </c>
      <c r="D15" s="10">
        <v>2022</v>
      </c>
      <c r="E15" s="11">
        <f>IF(Electricity!F21&lt;0,0,Electricity!F21)</f>
        <v>40070.000000000618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2212</v>
      </c>
      <c r="J15" s="83">
        <v>0.21186441</v>
      </c>
      <c r="K15" s="11">
        <f>IF('Water, Gas, Diesel'!F19&lt;0,0,'Water, Gas, Diesel'!F19)</f>
        <v>273</v>
      </c>
      <c r="L15" s="83">
        <v>1.6949000000000001</v>
      </c>
      <c r="M15" s="11">
        <f>Electricity!H21</f>
        <v>86</v>
      </c>
    </row>
    <row r="16" spans="1:15">
      <c r="A16" s="8" t="s">
        <v>13</v>
      </c>
      <c r="B16" s="9">
        <f t="shared" si="0"/>
        <v>15</v>
      </c>
      <c r="C16" s="9">
        <v>6</v>
      </c>
      <c r="D16" s="10">
        <v>2022</v>
      </c>
      <c r="E16" s="11">
        <f>IF(Electricity!F22&lt;0,0,Electricity!F22)</f>
        <v>23085.000000000946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1963</v>
      </c>
      <c r="J16" s="83">
        <v>0.21186441</v>
      </c>
      <c r="K16" s="11">
        <f>IF('Water, Gas, Diesel'!F20&lt;0,0,'Water, Gas, Diesel'!F20)</f>
        <v>250</v>
      </c>
      <c r="L16" s="83">
        <v>1.6949000000000001</v>
      </c>
      <c r="M16" s="11">
        <f>Electricity!H22</f>
        <v>166</v>
      </c>
    </row>
    <row r="17" spans="1:13">
      <c r="A17" s="8" t="s">
        <v>13</v>
      </c>
      <c r="B17" s="9">
        <f t="shared" si="0"/>
        <v>16</v>
      </c>
      <c r="C17" s="9">
        <v>6</v>
      </c>
      <c r="D17" s="10">
        <v>2022</v>
      </c>
      <c r="E17" s="11">
        <f>IF(Electricity!F23&lt;0,0,Electricity!F23)</f>
        <v>24909.999999999854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2050</v>
      </c>
      <c r="J17" s="83">
        <v>0.21186441</v>
      </c>
      <c r="K17" s="11">
        <f>IF('Water, Gas, Diesel'!F21&lt;0,0,'Water, Gas, Diesel'!F21)</f>
        <v>288</v>
      </c>
      <c r="L17" s="83">
        <v>1.6949000000000001</v>
      </c>
      <c r="M17" s="11">
        <f>Electricity!H23</f>
        <v>171</v>
      </c>
    </row>
    <row r="18" spans="1:13">
      <c r="A18" s="8" t="s">
        <v>13</v>
      </c>
      <c r="B18" s="9">
        <f t="shared" si="0"/>
        <v>17</v>
      </c>
      <c r="C18" s="9">
        <v>6</v>
      </c>
      <c r="D18" s="10">
        <v>2022</v>
      </c>
      <c r="E18" s="11">
        <f>IF(Electricity!F24&lt;0,0,Electricity!F24)</f>
        <v>24510.000000000218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1995</v>
      </c>
      <c r="J18" s="83">
        <v>0.21186441</v>
      </c>
      <c r="K18" s="11">
        <f>IF('Water, Gas, Diesel'!F22&lt;0,0,'Water, Gas, Diesel'!F22)</f>
        <v>268</v>
      </c>
      <c r="L18" s="83">
        <v>1.6949000000000001</v>
      </c>
      <c r="M18" s="11">
        <f>Electricity!H24</f>
        <v>170</v>
      </c>
    </row>
    <row r="19" spans="1:13">
      <c r="A19" s="8" t="s">
        <v>13</v>
      </c>
      <c r="B19" s="9">
        <f t="shared" si="0"/>
        <v>18</v>
      </c>
      <c r="C19" s="9">
        <v>6</v>
      </c>
      <c r="D19" s="10">
        <v>2022</v>
      </c>
      <c r="E19" s="11">
        <f>IF(Electricity!F25&lt;0,0,Electricity!F25)</f>
        <v>22555.00000000211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1795</v>
      </c>
      <c r="J19" s="83">
        <v>0.21186441</v>
      </c>
      <c r="K19" s="11">
        <f>IF('Water, Gas, Diesel'!F23&lt;0,0,'Water, Gas, Diesel'!F23)</f>
        <v>266</v>
      </c>
      <c r="L19" s="83">
        <v>1.6949000000000001</v>
      </c>
      <c r="M19" s="11">
        <f>Electricity!H25</f>
        <v>164</v>
      </c>
    </row>
    <row r="20" spans="1:13">
      <c r="A20" s="8" t="s">
        <v>13</v>
      </c>
      <c r="B20" s="9">
        <f t="shared" si="0"/>
        <v>19</v>
      </c>
      <c r="C20" s="9">
        <v>6</v>
      </c>
      <c r="D20" s="10">
        <v>2022</v>
      </c>
      <c r="E20" s="11">
        <f>IF(Electricity!F26&lt;0,0,Electricity!F26)</f>
        <v>10272.500000000946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1756</v>
      </c>
      <c r="J20" s="83">
        <v>0.21186441</v>
      </c>
      <c r="K20" s="11">
        <f>IF('Water, Gas, Diesel'!F24&lt;0,0,'Water, Gas, Diesel'!F24)</f>
        <v>281</v>
      </c>
      <c r="L20" s="83">
        <v>1.6949000000000001</v>
      </c>
      <c r="M20" s="11">
        <f>Electricity!H26</f>
        <v>139</v>
      </c>
    </row>
    <row r="21" spans="1:13">
      <c r="A21" s="8" t="s">
        <v>13</v>
      </c>
      <c r="B21" s="9">
        <f t="shared" si="0"/>
        <v>20</v>
      </c>
      <c r="C21" s="9">
        <v>6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11890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119</v>
      </c>
    </row>
    <row r="22" spans="1:13">
      <c r="A22" s="8" t="s">
        <v>13</v>
      </c>
      <c r="B22" s="9">
        <f t="shared" si="0"/>
        <v>21</v>
      </c>
      <c r="C22" s="9">
        <v>6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6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6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6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6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6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6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6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6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6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1" activePane="bottomLeft" state="frozen"/>
      <selection pane="bottomLeft" activeCell="L25" sqref="L2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134"/>
    </row>
    <row r="7" spans="1:8" ht="27.75" customHeight="1">
      <c r="A7" s="96">
        <v>31</v>
      </c>
      <c r="B7" s="68">
        <v>15262.465</v>
      </c>
      <c r="C7" s="69">
        <f t="shared" ref="C7:C24" si="0">(B8-B7)*2500</f>
        <v>12712.499999997817</v>
      </c>
      <c r="D7" s="68">
        <v>15630.817999999999</v>
      </c>
      <c r="E7" s="69">
        <f t="shared" ref="E7:E24" si="1">(D8-D7)*2500</f>
        <v>9940.0000000014188</v>
      </c>
      <c r="F7" s="93">
        <f t="shared" ref="F7:F38" si="2">C7+E7</f>
        <v>22652.499999999236</v>
      </c>
      <c r="G7" s="67">
        <f>F7*0.0932</f>
        <v>2111.2129999999288</v>
      </c>
      <c r="H7" s="135">
        <v>122</v>
      </c>
    </row>
    <row r="8" spans="1:8" ht="30.95" customHeight="1">
      <c r="A8" s="97">
        <v>1</v>
      </c>
      <c r="B8" s="92">
        <v>15267.55</v>
      </c>
      <c r="C8" s="70">
        <f t="shared" si="0"/>
        <v>13510.000000001128</v>
      </c>
      <c r="D8" s="71">
        <v>15634.794</v>
      </c>
      <c r="E8" s="70">
        <f t="shared" si="1"/>
        <v>10655.000000001564</v>
      </c>
      <c r="F8" s="51">
        <f t="shared" si="2"/>
        <v>24165.000000002692</v>
      </c>
      <c r="G8" s="67">
        <f t="shared" ref="G8:G38" si="3">F8*0.0932</f>
        <v>2252.1780000002509</v>
      </c>
      <c r="H8" s="98">
        <v>153</v>
      </c>
    </row>
    <row r="9" spans="1:8" ht="30.95" customHeight="1">
      <c r="A9" s="99">
        <v>2</v>
      </c>
      <c r="B9" s="72">
        <v>15272.954</v>
      </c>
      <c r="C9" s="39">
        <f t="shared" si="0"/>
        <v>13942.500000002838</v>
      </c>
      <c r="D9" s="71">
        <v>15639.056</v>
      </c>
      <c r="E9" s="39">
        <f t="shared" si="1"/>
        <v>10985.000000000582</v>
      </c>
      <c r="F9" s="47">
        <f t="shared" si="2"/>
        <v>24927.50000000342</v>
      </c>
      <c r="G9" s="67">
        <f t="shared" si="3"/>
        <v>2323.2430000003187</v>
      </c>
      <c r="H9" s="100">
        <v>146</v>
      </c>
    </row>
    <row r="10" spans="1:8" ht="30.95" customHeight="1">
      <c r="A10" s="97">
        <v>3</v>
      </c>
      <c r="B10" s="73">
        <v>15278.531000000001</v>
      </c>
      <c r="C10" s="70">
        <f t="shared" si="0"/>
        <v>12812.5</v>
      </c>
      <c r="D10" s="74">
        <v>15643.45</v>
      </c>
      <c r="E10" s="70">
        <f t="shared" si="1"/>
        <v>9827.4999999966894</v>
      </c>
      <c r="F10" s="51">
        <f t="shared" si="2"/>
        <v>22639.999999996689</v>
      </c>
      <c r="G10" s="67">
        <f t="shared" si="3"/>
        <v>2110.0479999996915</v>
      </c>
      <c r="H10" s="100">
        <v>112</v>
      </c>
    </row>
    <row r="11" spans="1:8" ht="30.95" customHeight="1">
      <c r="A11" s="99">
        <v>4</v>
      </c>
      <c r="B11" s="75">
        <v>15283.656000000001</v>
      </c>
      <c r="C11" s="39">
        <f t="shared" si="0"/>
        <v>12602.499999998145</v>
      </c>
      <c r="D11" s="76">
        <v>15647.380999999999</v>
      </c>
      <c r="E11" s="39">
        <f t="shared" si="1"/>
        <v>9405.0000000015643</v>
      </c>
      <c r="F11" s="47">
        <f t="shared" si="2"/>
        <v>22007.499999999709</v>
      </c>
      <c r="G11" s="67">
        <f t="shared" si="3"/>
        <v>2051.0989999999729</v>
      </c>
      <c r="H11" s="100">
        <v>89</v>
      </c>
    </row>
    <row r="12" spans="1:8" ht="30.95" customHeight="1">
      <c r="A12" s="97">
        <v>5</v>
      </c>
      <c r="B12" s="77">
        <v>15288.697</v>
      </c>
      <c r="C12" s="70">
        <f t="shared" si="0"/>
        <v>12325.000000000728</v>
      </c>
      <c r="D12" s="74">
        <v>15651.143</v>
      </c>
      <c r="E12" s="70">
        <f t="shared" si="1"/>
        <v>9284.9999999998545</v>
      </c>
      <c r="F12" s="51">
        <f t="shared" si="2"/>
        <v>21610.000000000582</v>
      </c>
      <c r="G12" s="67">
        <f t="shared" si="3"/>
        <v>2014.0520000000542</v>
      </c>
      <c r="H12" s="100">
        <v>65</v>
      </c>
    </row>
    <row r="13" spans="1:8" ht="30.95" customHeight="1">
      <c r="A13" s="99">
        <v>6</v>
      </c>
      <c r="B13" s="75">
        <v>15293.627</v>
      </c>
      <c r="C13" s="39">
        <f t="shared" si="0"/>
        <v>11607.500000000073</v>
      </c>
      <c r="D13" s="76">
        <v>15654.857</v>
      </c>
      <c r="E13" s="39">
        <f t="shared" si="1"/>
        <v>9127.4999999995998</v>
      </c>
      <c r="F13" s="47">
        <f t="shared" si="2"/>
        <v>20734.999999999673</v>
      </c>
      <c r="G13" s="67">
        <f t="shared" si="3"/>
        <v>1932.5019999999695</v>
      </c>
      <c r="H13" s="100">
        <v>58</v>
      </c>
    </row>
    <row r="14" spans="1:8" ht="30.95" customHeight="1">
      <c r="A14" s="97">
        <v>7</v>
      </c>
      <c r="B14" s="77">
        <v>15298.27</v>
      </c>
      <c r="C14" s="70">
        <f t="shared" si="0"/>
        <v>11864.999999997963</v>
      </c>
      <c r="D14" s="101">
        <v>15658.508</v>
      </c>
      <c r="E14" s="70">
        <f t="shared" si="1"/>
        <v>8922.4999999987631</v>
      </c>
      <c r="F14" s="51">
        <f t="shared" si="2"/>
        <v>20787.499999996726</v>
      </c>
      <c r="G14" s="67">
        <f t="shared" si="3"/>
        <v>1937.3949999996948</v>
      </c>
      <c r="H14" s="100">
        <v>59</v>
      </c>
    </row>
    <row r="15" spans="1:8" ht="30.95" customHeight="1">
      <c r="A15" s="99">
        <v>8</v>
      </c>
      <c r="B15" s="75">
        <v>15303.016</v>
      </c>
      <c r="C15" s="39">
        <f t="shared" si="0"/>
        <v>12467.500000002474</v>
      </c>
      <c r="D15" s="78">
        <v>15662.076999999999</v>
      </c>
      <c r="E15" s="39">
        <f t="shared" si="1"/>
        <v>9547.5000000033106</v>
      </c>
      <c r="F15" s="47">
        <f t="shared" si="2"/>
        <v>22015.000000005784</v>
      </c>
      <c r="G15" s="67">
        <f t="shared" si="3"/>
        <v>2051.7980000005391</v>
      </c>
      <c r="H15" s="100">
        <v>43</v>
      </c>
    </row>
    <row r="16" spans="1:8" ht="30.95" customHeight="1">
      <c r="A16" s="97">
        <v>9</v>
      </c>
      <c r="B16" s="79">
        <v>15308.003000000001</v>
      </c>
      <c r="C16" s="70">
        <f t="shared" si="0"/>
        <v>13942.49999999829</v>
      </c>
      <c r="D16" s="80">
        <v>15665.896000000001</v>
      </c>
      <c r="E16" s="70">
        <f t="shared" si="1"/>
        <v>11292.499999999563</v>
      </c>
      <c r="F16" s="51">
        <f t="shared" si="2"/>
        <v>25234.999999997854</v>
      </c>
      <c r="G16" s="67">
        <f t="shared" si="3"/>
        <v>2351.9019999998</v>
      </c>
      <c r="H16" s="100">
        <v>160</v>
      </c>
    </row>
    <row r="17" spans="1:8" ht="30.95" customHeight="1">
      <c r="A17" s="99">
        <v>10</v>
      </c>
      <c r="B17" s="77">
        <v>15313.58</v>
      </c>
      <c r="C17" s="39">
        <f t="shared" si="0"/>
        <v>12285.000000001673</v>
      </c>
      <c r="D17" s="101">
        <v>15670.413</v>
      </c>
      <c r="E17" s="39">
        <f t="shared" si="1"/>
        <v>11632.500000000618</v>
      </c>
      <c r="F17" s="47">
        <f t="shared" si="2"/>
        <v>23917.500000002292</v>
      </c>
      <c r="G17" s="67">
        <f t="shared" si="3"/>
        <v>2229.1110000002136</v>
      </c>
      <c r="H17" s="100">
        <v>163</v>
      </c>
    </row>
    <row r="18" spans="1:8" ht="30.95" customHeight="1">
      <c r="A18" s="97">
        <v>11</v>
      </c>
      <c r="B18" s="75">
        <v>15318.494000000001</v>
      </c>
      <c r="C18" s="70">
        <f t="shared" si="0"/>
        <v>12772.499999996398</v>
      </c>
      <c r="D18" s="78">
        <v>15675.066000000001</v>
      </c>
      <c r="E18" s="70">
        <f t="shared" si="1"/>
        <v>10184.999999996762</v>
      </c>
      <c r="F18" s="51">
        <f t="shared" si="2"/>
        <v>22957.499999993161</v>
      </c>
      <c r="G18" s="67">
        <f t="shared" si="3"/>
        <v>2139.6389999993626</v>
      </c>
      <c r="H18" s="100">
        <v>171</v>
      </c>
    </row>
    <row r="19" spans="1:8" ht="30.95" customHeight="1">
      <c r="A19" s="99">
        <v>12</v>
      </c>
      <c r="B19" s="77">
        <v>15323.602999999999</v>
      </c>
      <c r="C19" s="39">
        <f t="shared" si="0"/>
        <v>11230.000000000473</v>
      </c>
      <c r="D19" s="101">
        <v>15679.14</v>
      </c>
      <c r="E19" s="39">
        <f t="shared" si="1"/>
        <v>9385.0000000020373</v>
      </c>
      <c r="F19" s="47">
        <f t="shared" si="2"/>
        <v>20615.00000000251</v>
      </c>
      <c r="G19" s="67">
        <f t="shared" si="3"/>
        <v>1921.318000000234</v>
      </c>
      <c r="H19" s="100">
        <v>166</v>
      </c>
    </row>
    <row r="20" spans="1:8" ht="30.95" customHeight="1">
      <c r="A20" s="97">
        <v>13</v>
      </c>
      <c r="B20" s="75">
        <v>15328.094999999999</v>
      </c>
      <c r="C20" s="70">
        <f t="shared" si="0"/>
        <v>5012.5000000025466</v>
      </c>
      <c r="D20" s="81">
        <v>15682.894</v>
      </c>
      <c r="E20" s="70">
        <f t="shared" si="1"/>
        <v>2757.49999999789</v>
      </c>
      <c r="F20" s="51">
        <f t="shared" si="2"/>
        <v>7770.0000000004366</v>
      </c>
      <c r="G20" s="67">
        <f t="shared" si="3"/>
        <v>724.16400000004069</v>
      </c>
      <c r="H20" s="100">
        <v>50</v>
      </c>
    </row>
    <row r="21" spans="1:8" ht="30.95" customHeight="1">
      <c r="A21" s="99">
        <v>14</v>
      </c>
      <c r="B21" s="75">
        <v>15330.1</v>
      </c>
      <c r="C21" s="39">
        <f t="shared" si="0"/>
        <v>20405.000000000655</v>
      </c>
      <c r="D21" s="78">
        <v>15683.996999999999</v>
      </c>
      <c r="E21" s="39">
        <f t="shared" si="1"/>
        <v>19664.999999999964</v>
      </c>
      <c r="F21" s="47">
        <f t="shared" si="2"/>
        <v>40070.000000000618</v>
      </c>
      <c r="G21" s="67">
        <f t="shared" si="3"/>
        <v>3734.5240000000576</v>
      </c>
      <c r="H21" s="100">
        <v>86</v>
      </c>
    </row>
    <row r="22" spans="1:8" ht="30.95" customHeight="1">
      <c r="A22" s="97">
        <v>15</v>
      </c>
      <c r="B22" s="75">
        <v>15338.262000000001</v>
      </c>
      <c r="C22" s="70">
        <f t="shared" si="0"/>
        <v>12092.499999998836</v>
      </c>
      <c r="D22" s="57">
        <v>15691.862999999999</v>
      </c>
      <c r="E22" s="70">
        <f t="shared" si="1"/>
        <v>10992.50000000211</v>
      </c>
      <c r="F22" s="51">
        <f t="shared" si="2"/>
        <v>23085.000000000946</v>
      </c>
      <c r="G22" s="67">
        <f t="shared" si="3"/>
        <v>2151.5220000000882</v>
      </c>
      <c r="H22" s="100">
        <v>166</v>
      </c>
    </row>
    <row r="23" spans="1:8" ht="30.95" customHeight="1">
      <c r="A23" s="99">
        <v>16</v>
      </c>
      <c r="B23" s="84">
        <v>15343.099</v>
      </c>
      <c r="C23" s="39">
        <f t="shared" si="0"/>
        <v>13609.999999998763</v>
      </c>
      <c r="D23" s="136">
        <v>15696.26</v>
      </c>
      <c r="E23" s="39">
        <f t="shared" si="1"/>
        <v>11300.000000001091</v>
      </c>
      <c r="F23" s="47">
        <f t="shared" si="2"/>
        <v>24909.999999999854</v>
      </c>
      <c r="G23" s="67">
        <f t="shared" si="3"/>
        <v>2321.6119999999864</v>
      </c>
      <c r="H23" s="100">
        <v>171</v>
      </c>
    </row>
    <row r="24" spans="1:8" ht="30.95" customHeight="1">
      <c r="A24" s="97">
        <v>17</v>
      </c>
      <c r="B24" s="85">
        <v>15348.543</v>
      </c>
      <c r="C24" s="70">
        <f t="shared" si="0"/>
        <v>13317.500000002838</v>
      </c>
      <c r="D24" s="101">
        <v>15700.78</v>
      </c>
      <c r="E24" s="70">
        <f t="shared" si="1"/>
        <v>11192.499999997381</v>
      </c>
      <c r="F24" s="51">
        <f t="shared" si="2"/>
        <v>24510.000000000218</v>
      </c>
      <c r="G24" s="67">
        <f t="shared" si="3"/>
        <v>2284.3320000000203</v>
      </c>
      <c r="H24" s="100">
        <v>170</v>
      </c>
    </row>
    <row r="25" spans="1:8" ht="30.95" customHeight="1">
      <c r="A25" s="99">
        <v>18</v>
      </c>
      <c r="B25" s="75">
        <v>15353.87</v>
      </c>
      <c r="C25" s="39">
        <f>(B26-B25)*2500</f>
        <v>12519.999999999527</v>
      </c>
      <c r="D25" s="78">
        <v>15705.257</v>
      </c>
      <c r="E25" s="39">
        <f>(D26-D25)*2500</f>
        <v>10035.000000002583</v>
      </c>
      <c r="F25" s="47">
        <f t="shared" si="2"/>
        <v>22555.00000000211</v>
      </c>
      <c r="G25" s="67">
        <f t="shared" si="3"/>
        <v>2102.1260000001967</v>
      </c>
      <c r="H25" s="100">
        <v>164</v>
      </c>
    </row>
    <row r="26" spans="1:8" ht="30.95" customHeight="1">
      <c r="A26" s="97">
        <v>19</v>
      </c>
      <c r="B26" s="77">
        <v>15358.878000000001</v>
      </c>
      <c r="C26" s="70">
        <f t="shared" ref="C26:C38" si="4">(B27-B26)*2500</f>
        <v>5962.5000000005457</v>
      </c>
      <c r="D26" s="101">
        <v>15709.271000000001</v>
      </c>
      <c r="E26" s="70">
        <f t="shared" ref="E26:E38" si="5">(D27-D26)*2500</f>
        <v>4310.0000000004002</v>
      </c>
      <c r="F26" s="47">
        <f t="shared" si="2"/>
        <v>10272.500000000946</v>
      </c>
      <c r="G26" s="67">
        <f t="shared" si="3"/>
        <v>957.39700000008816</v>
      </c>
      <c r="H26" s="100">
        <v>139</v>
      </c>
    </row>
    <row r="27" spans="1:8" ht="30.95" customHeight="1">
      <c r="A27" s="99">
        <v>20</v>
      </c>
      <c r="B27" s="75">
        <v>15361.263000000001</v>
      </c>
      <c r="C27" s="39">
        <f t="shared" si="4"/>
        <v>-38403157.5</v>
      </c>
      <c r="D27" s="81">
        <v>15710.995000000001</v>
      </c>
      <c r="E27" s="39">
        <f t="shared" si="5"/>
        <v>-39277487.5</v>
      </c>
      <c r="F27" s="51">
        <f t="shared" si="2"/>
        <v>-77680645</v>
      </c>
      <c r="G27" s="67">
        <f t="shared" si="3"/>
        <v>-7239836.1140000001</v>
      </c>
      <c r="H27" s="100">
        <v>119</v>
      </c>
    </row>
    <row r="28" spans="1:8" ht="30.95" customHeight="1">
      <c r="A28" s="97">
        <v>21</v>
      </c>
      <c r="B28" s="77"/>
      <c r="C28" s="70">
        <f t="shared" si="4"/>
        <v>0</v>
      </c>
      <c r="D28" s="101"/>
      <c r="E28" s="70">
        <f t="shared" si="5"/>
        <v>0</v>
      </c>
      <c r="F28" s="47">
        <f t="shared" si="2"/>
        <v>0</v>
      </c>
      <c r="G28" s="67">
        <f t="shared" si="3"/>
        <v>0</v>
      </c>
      <c r="H28" s="100"/>
    </row>
    <row r="29" spans="1:8" ht="30.95" customHeight="1">
      <c r="A29" s="99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0"/>
    </row>
    <row r="30" spans="1:8" ht="30.95" customHeight="1">
      <c r="A30" s="97">
        <v>23</v>
      </c>
      <c r="B30" s="77"/>
      <c r="C30" s="70">
        <f t="shared" si="4"/>
        <v>0</v>
      </c>
      <c r="D30" s="101"/>
      <c r="E30" s="70">
        <f t="shared" si="5"/>
        <v>0</v>
      </c>
      <c r="F30" s="47">
        <f t="shared" si="2"/>
        <v>0</v>
      </c>
      <c r="G30" s="67">
        <f t="shared" si="3"/>
        <v>0</v>
      </c>
      <c r="H30" s="100"/>
    </row>
    <row r="31" spans="1:8" ht="30.95" customHeight="1">
      <c r="A31" s="99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0"/>
    </row>
    <row r="32" spans="1:8" ht="30.95" customHeight="1">
      <c r="A32" s="97">
        <v>25</v>
      </c>
      <c r="B32" s="77"/>
      <c r="C32" s="70">
        <f t="shared" si="4"/>
        <v>0</v>
      </c>
      <c r="D32" s="101"/>
      <c r="E32" s="70">
        <f t="shared" si="5"/>
        <v>0</v>
      </c>
      <c r="F32" s="47">
        <f t="shared" si="2"/>
        <v>0</v>
      </c>
      <c r="G32" s="67">
        <f t="shared" si="3"/>
        <v>0</v>
      </c>
      <c r="H32" s="100"/>
    </row>
    <row r="33" spans="1:8" ht="30.95" customHeight="1">
      <c r="A33" s="99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0"/>
    </row>
    <row r="34" spans="1:8" ht="30.95" customHeight="1">
      <c r="A34" s="97">
        <v>27</v>
      </c>
      <c r="B34" s="77"/>
      <c r="C34" s="70">
        <f t="shared" si="4"/>
        <v>0</v>
      </c>
      <c r="D34" s="101"/>
      <c r="E34" s="39">
        <f t="shared" si="5"/>
        <v>0</v>
      </c>
      <c r="F34" s="47">
        <f t="shared" si="2"/>
        <v>0</v>
      </c>
      <c r="G34" s="67">
        <f t="shared" si="3"/>
        <v>0</v>
      </c>
      <c r="H34" s="100"/>
    </row>
    <row r="35" spans="1:8" ht="30.95" customHeight="1">
      <c r="A35" s="99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0"/>
    </row>
    <row r="36" spans="1:8" ht="30.95" customHeight="1">
      <c r="A36" s="97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8"/>
    </row>
    <row r="37" spans="1:8" ht="30.95" customHeight="1">
      <c r="A37" s="113">
        <v>30</v>
      </c>
      <c r="B37" s="114"/>
      <c r="C37" s="115">
        <f>(B38-B37)*2500</f>
        <v>0</v>
      </c>
      <c r="D37" s="116"/>
      <c r="E37" s="115">
        <f>(D38-D37)*2500</f>
        <v>0</v>
      </c>
      <c r="F37" s="117">
        <f t="shared" si="2"/>
        <v>0</v>
      </c>
      <c r="G37" s="133">
        <f t="shared" si="3"/>
        <v>0</v>
      </c>
      <c r="H37" s="118"/>
    </row>
    <row r="38" spans="1:8" ht="30.95" customHeight="1">
      <c r="A38" s="105">
        <v>1</v>
      </c>
      <c r="B38" s="107"/>
      <c r="C38" s="108">
        <f t="shared" si="4"/>
        <v>0</v>
      </c>
      <c r="D38" s="109"/>
      <c r="E38" s="108">
        <f t="shared" si="5"/>
        <v>0</v>
      </c>
      <c r="F38" s="110">
        <f t="shared" si="2"/>
        <v>0</v>
      </c>
      <c r="G38" s="111">
        <f t="shared" si="3"/>
        <v>0</v>
      </c>
      <c r="H38" s="112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2" activePane="bottomLeft" state="frozen"/>
      <selection pane="bottomLeft" activeCell="O27" sqref="O2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6857851</v>
      </c>
      <c r="C5" s="102">
        <f>B6-B5</f>
        <v>2448</v>
      </c>
      <c r="D5" s="34">
        <f>C5*0.21186441</f>
        <v>518.64407568000001</v>
      </c>
      <c r="E5" s="35">
        <v>533333</v>
      </c>
      <c r="F5" s="103">
        <f>E6-E5</f>
        <v>280</v>
      </c>
      <c r="G5" s="36">
        <f>F5*0.84746</f>
        <v>237.28880000000001</v>
      </c>
      <c r="H5" s="36">
        <f>F5*0.84746</f>
        <v>237.28880000000001</v>
      </c>
      <c r="I5" s="90">
        <f>G5+H5</f>
        <v>474.57760000000002</v>
      </c>
      <c r="J5" s="37">
        <f>5210+6440</f>
        <v>11650</v>
      </c>
      <c r="K5" s="38">
        <f>J5-J6</f>
        <v>-240</v>
      </c>
      <c r="L5" s="39">
        <f>K5*0.7</f>
        <v>-168</v>
      </c>
    </row>
    <row r="6" spans="1:12" ht="32.450000000000003" customHeight="1">
      <c r="A6" s="40">
        <v>1</v>
      </c>
      <c r="B6" s="89">
        <v>6860299</v>
      </c>
      <c r="C6" s="53">
        <f t="shared" ref="C6:C15" si="0">B7-B6</f>
        <v>2488</v>
      </c>
      <c r="D6" s="41">
        <f>C6*0.21186441</f>
        <v>527.11865208000006</v>
      </c>
      <c r="E6" s="42">
        <v>533613</v>
      </c>
      <c r="F6" s="54">
        <f t="shared" ref="F6:F15" si="1">E7-E6</f>
        <v>260</v>
      </c>
      <c r="G6" s="43">
        <f>F6*0.84746</f>
        <v>220.33959999999999</v>
      </c>
      <c r="H6" s="43">
        <f>F6*0.84746</f>
        <v>220.33959999999999</v>
      </c>
      <c r="I6" s="44">
        <f t="shared" ref="I6:I36" si="2">G6+H6</f>
        <v>440.67919999999998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6862787</v>
      </c>
      <c r="C7" s="55">
        <f t="shared" si="0"/>
        <v>2422</v>
      </c>
      <c r="D7" s="46">
        <f>C7*0.21186441</f>
        <v>513.13560101999997</v>
      </c>
      <c r="E7" s="47">
        <v>533873</v>
      </c>
      <c r="F7" s="56">
        <f t="shared" si="1"/>
        <v>277</v>
      </c>
      <c r="G7" s="48">
        <f t="shared" ref="G7:G36" si="4">F7*0.84746</f>
        <v>234.74642</v>
      </c>
      <c r="H7" s="48">
        <f t="shared" ref="H7:H36" si="5">F7*0.84746</f>
        <v>234.74642</v>
      </c>
      <c r="I7" s="49">
        <f t="shared" si="2"/>
        <v>469.49284</v>
      </c>
      <c r="J7" s="37">
        <f>5450+6440</f>
        <v>11890</v>
      </c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>
        <v>6865209</v>
      </c>
      <c r="C8" s="53">
        <f t="shared" si="0"/>
        <v>2186</v>
      </c>
      <c r="D8" s="46">
        <f t="shared" ref="D8:D36" si="7">C8*0.21186441</f>
        <v>463.13560025999999</v>
      </c>
      <c r="E8" s="47">
        <v>534150</v>
      </c>
      <c r="F8" s="54">
        <f t="shared" si="1"/>
        <v>276</v>
      </c>
      <c r="G8" s="43">
        <f t="shared" si="4"/>
        <v>233.89895999999999</v>
      </c>
      <c r="H8" s="43">
        <f t="shared" si="5"/>
        <v>233.89895999999999</v>
      </c>
      <c r="I8" s="49">
        <f t="shared" si="2"/>
        <v>467.79791999999998</v>
      </c>
      <c r="J8" s="37">
        <f>5450+6440</f>
        <v>11890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6867395</v>
      </c>
      <c r="C9" s="55">
        <f t="shared" si="0"/>
        <v>2092</v>
      </c>
      <c r="D9" s="46">
        <f t="shared" si="7"/>
        <v>443.22034572000001</v>
      </c>
      <c r="E9" s="47">
        <v>534426</v>
      </c>
      <c r="F9" s="56">
        <f t="shared" si="1"/>
        <v>277</v>
      </c>
      <c r="G9" s="48">
        <f t="shared" si="4"/>
        <v>234.74642</v>
      </c>
      <c r="H9" s="48">
        <f t="shared" si="5"/>
        <v>234.74642</v>
      </c>
      <c r="I9" s="49">
        <f t="shared" si="2"/>
        <v>469.49284</v>
      </c>
      <c r="J9" s="37">
        <f>5450+6440</f>
        <v>11890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6869487</v>
      </c>
      <c r="C10" s="53">
        <f t="shared" si="0"/>
        <v>1898</v>
      </c>
      <c r="D10" s="46">
        <f t="shared" si="7"/>
        <v>402.11865018000003</v>
      </c>
      <c r="E10" s="47">
        <v>534703</v>
      </c>
      <c r="F10" s="54">
        <f t="shared" si="1"/>
        <v>250</v>
      </c>
      <c r="G10" s="43">
        <f t="shared" si="4"/>
        <v>211.86500000000001</v>
      </c>
      <c r="H10" s="43">
        <f t="shared" si="5"/>
        <v>211.86500000000001</v>
      </c>
      <c r="I10" s="49">
        <f t="shared" si="2"/>
        <v>423.73</v>
      </c>
      <c r="J10" s="37">
        <f>5450+6440</f>
        <v>11890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6871385</v>
      </c>
      <c r="C11" s="55">
        <f t="shared" si="0"/>
        <v>1879</v>
      </c>
      <c r="D11" s="46">
        <f t="shared" si="7"/>
        <v>398.09322638999998</v>
      </c>
      <c r="E11" s="47">
        <v>534953</v>
      </c>
      <c r="F11" s="56">
        <f t="shared" si="1"/>
        <v>221</v>
      </c>
      <c r="G11" s="48">
        <f t="shared" si="4"/>
        <v>187.28865999999999</v>
      </c>
      <c r="H11" s="48">
        <f t="shared" si="5"/>
        <v>187.28865999999999</v>
      </c>
      <c r="I11" s="49">
        <f t="shared" si="2"/>
        <v>374.57731999999999</v>
      </c>
      <c r="J11" s="37">
        <f>5450+6440</f>
        <v>11890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6873264</v>
      </c>
      <c r="C12" s="53">
        <f t="shared" si="0"/>
        <v>2028</v>
      </c>
      <c r="D12" s="46">
        <f t="shared" si="7"/>
        <v>429.66102347999998</v>
      </c>
      <c r="E12" s="47">
        <v>535174</v>
      </c>
      <c r="F12" s="54">
        <f t="shared" si="1"/>
        <v>195</v>
      </c>
      <c r="G12" s="43">
        <f t="shared" si="4"/>
        <v>165.25469999999999</v>
      </c>
      <c r="H12" s="43">
        <f t="shared" si="5"/>
        <v>165.25469999999999</v>
      </c>
      <c r="I12" s="49">
        <f t="shared" si="2"/>
        <v>330.50939999999997</v>
      </c>
      <c r="J12" s="37">
        <f>5450+6440</f>
        <v>11890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6875292</v>
      </c>
      <c r="C13" s="55">
        <f t="shared" si="0"/>
        <v>2097</v>
      </c>
      <c r="D13" s="46">
        <f t="shared" si="7"/>
        <v>444.27966777</v>
      </c>
      <c r="E13" s="47">
        <v>535369</v>
      </c>
      <c r="F13" s="56">
        <f t="shared" si="1"/>
        <v>234</v>
      </c>
      <c r="G13" s="48">
        <f t="shared" si="4"/>
        <v>198.30564000000001</v>
      </c>
      <c r="H13" s="48">
        <f t="shared" si="5"/>
        <v>198.30564000000001</v>
      </c>
      <c r="I13" s="49">
        <f t="shared" si="2"/>
        <v>396.61128000000002</v>
      </c>
      <c r="J13" s="37">
        <f>5450+6440</f>
        <v>11890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6877389</v>
      </c>
      <c r="C14" s="53">
        <f t="shared" si="0"/>
        <v>2010</v>
      </c>
      <c r="D14" s="46">
        <f t="shared" si="7"/>
        <v>425.84746410000002</v>
      </c>
      <c r="E14" s="47">
        <v>535603</v>
      </c>
      <c r="F14" s="54">
        <f t="shared" si="1"/>
        <v>262</v>
      </c>
      <c r="G14" s="48">
        <f t="shared" si="4"/>
        <v>222.03451999999999</v>
      </c>
      <c r="H14" s="43">
        <f t="shared" si="5"/>
        <v>222.03451999999999</v>
      </c>
      <c r="I14" s="49">
        <f t="shared" si="2"/>
        <v>444.06903999999997</v>
      </c>
      <c r="J14" s="37">
        <f>5450+6440</f>
        <v>11890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6879399</v>
      </c>
      <c r="C15" s="55">
        <f t="shared" si="0"/>
        <v>2756</v>
      </c>
      <c r="D15" s="46">
        <f t="shared" si="7"/>
        <v>583.89831396</v>
      </c>
      <c r="E15" s="47">
        <v>535865</v>
      </c>
      <c r="F15" s="56">
        <f t="shared" si="1"/>
        <v>269</v>
      </c>
      <c r="G15" s="48">
        <f t="shared" si="4"/>
        <v>227.96673999999999</v>
      </c>
      <c r="H15" s="48">
        <f t="shared" si="5"/>
        <v>227.96673999999999</v>
      </c>
      <c r="I15" s="49">
        <f t="shared" si="2"/>
        <v>455.93347999999997</v>
      </c>
      <c r="J15" s="37">
        <f>5450+6440</f>
        <v>11890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6882155</v>
      </c>
      <c r="C16" s="53">
        <f>B17-B16</f>
        <v>2038</v>
      </c>
      <c r="D16" s="46">
        <f t="shared" si="7"/>
        <v>431.77966758000002</v>
      </c>
      <c r="E16" s="47">
        <v>536134</v>
      </c>
      <c r="F16" s="54">
        <f>E17-E16</f>
        <v>251</v>
      </c>
      <c r="G16" s="43">
        <f t="shared" si="4"/>
        <v>212.71245999999999</v>
      </c>
      <c r="H16" s="43">
        <f t="shared" si="5"/>
        <v>212.71245999999999</v>
      </c>
      <c r="I16" s="49">
        <f t="shared" si="2"/>
        <v>425.42491999999999</v>
      </c>
      <c r="J16" s="37">
        <f>5450+6440</f>
        <v>11890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6884193</v>
      </c>
      <c r="C17" s="55">
        <f t="shared" ref="C17:C35" si="8">B18-B17</f>
        <v>1788</v>
      </c>
      <c r="D17" s="46">
        <f t="shared" si="7"/>
        <v>378.81356507999999</v>
      </c>
      <c r="E17" s="47">
        <v>536385</v>
      </c>
      <c r="F17" s="56">
        <f t="shared" ref="F17:F35" si="9">E18-E17</f>
        <v>220</v>
      </c>
      <c r="G17" s="48">
        <f t="shared" si="4"/>
        <v>186.44120000000001</v>
      </c>
      <c r="H17" s="48">
        <f t="shared" si="5"/>
        <v>186.44120000000001</v>
      </c>
      <c r="I17" s="49">
        <f t="shared" si="2"/>
        <v>372.88240000000002</v>
      </c>
      <c r="J17" s="37">
        <f>5450+6440</f>
        <v>11890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6885981</v>
      </c>
      <c r="C18" s="53">
        <f t="shared" si="8"/>
        <v>1690</v>
      </c>
      <c r="D18" s="46">
        <f t="shared" si="7"/>
        <v>358.0508529</v>
      </c>
      <c r="E18" s="51">
        <v>536605</v>
      </c>
      <c r="F18" s="54">
        <f t="shared" si="9"/>
        <v>296</v>
      </c>
      <c r="G18" s="43">
        <f t="shared" si="4"/>
        <v>250.84816000000001</v>
      </c>
      <c r="H18" s="43">
        <f t="shared" si="5"/>
        <v>250.84816000000001</v>
      </c>
      <c r="I18" s="49">
        <f t="shared" si="2"/>
        <v>501.69632000000001</v>
      </c>
      <c r="J18" s="37">
        <f>5450+6440</f>
        <v>11890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6887671</v>
      </c>
      <c r="C19" s="55">
        <f t="shared" si="8"/>
        <v>2212</v>
      </c>
      <c r="D19" s="46">
        <f t="shared" si="7"/>
        <v>468.64407491999998</v>
      </c>
      <c r="E19" s="52">
        <v>536901</v>
      </c>
      <c r="F19" s="56">
        <f t="shared" si="9"/>
        <v>273</v>
      </c>
      <c r="G19" s="48">
        <f t="shared" si="4"/>
        <v>231.35658000000001</v>
      </c>
      <c r="H19" s="48">
        <f t="shared" si="5"/>
        <v>231.35658000000001</v>
      </c>
      <c r="I19" s="49">
        <f t="shared" si="2"/>
        <v>462.71316000000002</v>
      </c>
      <c r="J19" s="37">
        <f>5450+6440</f>
        <v>11890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6889883</v>
      </c>
      <c r="C20" s="53">
        <f t="shared" si="8"/>
        <v>1963</v>
      </c>
      <c r="D20" s="46">
        <f t="shared" si="7"/>
        <v>415.88983682999998</v>
      </c>
      <c r="E20" s="51">
        <v>537174</v>
      </c>
      <c r="F20" s="54">
        <f t="shared" si="9"/>
        <v>250</v>
      </c>
      <c r="G20" s="43">
        <f t="shared" si="4"/>
        <v>211.86500000000001</v>
      </c>
      <c r="H20" s="43">
        <f t="shared" si="5"/>
        <v>211.86500000000001</v>
      </c>
      <c r="I20" s="49">
        <f t="shared" si="2"/>
        <v>423.73</v>
      </c>
      <c r="J20" s="37">
        <f>5450+6440</f>
        <v>11890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6891846</v>
      </c>
      <c r="C21" s="55">
        <f t="shared" si="8"/>
        <v>2050</v>
      </c>
      <c r="D21" s="46">
        <f t="shared" si="7"/>
        <v>434.32204050000001</v>
      </c>
      <c r="E21" s="86">
        <v>537424</v>
      </c>
      <c r="F21" s="56">
        <f t="shared" si="9"/>
        <v>288</v>
      </c>
      <c r="G21" s="48">
        <f t="shared" si="4"/>
        <v>244.06847999999999</v>
      </c>
      <c r="H21" s="48">
        <f t="shared" si="5"/>
        <v>244.06847999999999</v>
      </c>
      <c r="I21" s="49">
        <f t="shared" si="2"/>
        <v>488.13695999999999</v>
      </c>
      <c r="J21" s="37">
        <f>5450+6440</f>
        <v>11890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6893896</v>
      </c>
      <c r="C22" s="53">
        <f t="shared" si="8"/>
        <v>1995</v>
      </c>
      <c r="D22" s="46">
        <f t="shared" si="7"/>
        <v>422.66949794999999</v>
      </c>
      <c r="E22" s="52">
        <v>537712</v>
      </c>
      <c r="F22" s="54">
        <f t="shared" si="9"/>
        <v>268</v>
      </c>
      <c r="G22" s="43">
        <f t="shared" si="4"/>
        <v>227.11928</v>
      </c>
      <c r="H22" s="43">
        <f t="shared" si="5"/>
        <v>227.11928</v>
      </c>
      <c r="I22" s="49">
        <f t="shared" si="2"/>
        <v>454.23856000000001</v>
      </c>
      <c r="J22" s="37">
        <f>5450+6440</f>
        <v>11890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6895891</v>
      </c>
      <c r="C23" s="55">
        <f t="shared" si="8"/>
        <v>1795</v>
      </c>
      <c r="D23" s="46">
        <f t="shared" si="7"/>
        <v>380.29661594999999</v>
      </c>
      <c r="E23" s="52">
        <v>537980</v>
      </c>
      <c r="F23" s="56">
        <f t="shared" si="9"/>
        <v>266</v>
      </c>
      <c r="G23" s="48">
        <f t="shared" si="4"/>
        <v>225.42436000000001</v>
      </c>
      <c r="H23" s="48">
        <f t="shared" si="5"/>
        <v>225.42436000000001</v>
      </c>
      <c r="I23" s="49">
        <f t="shared" si="2"/>
        <v>450.84872000000001</v>
      </c>
      <c r="J23" s="37">
        <f>5450+6440</f>
        <v>11890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6897686</v>
      </c>
      <c r="C24" s="53">
        <f t="shared" si="8"/>
        <v>1756</v>
      </c>
      <c r="D24" s="46">
        <f t="shared" si="7"/>
        <v>372.03390396000003</v>
      </c>
      <c r="E24" s="52">
        <v>538246</v>
      </c>
      <c r="F24" s="54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5450+6440</f>
        <v>11890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6899442</v>
      </c>
      <c r="C25" s="55">
        <f t="shared" si="8"/>
        <v>-6899442</v>
      </c>
      <c r="D25" s="46">
        <f t="shared" si="7"/>
        <v>-1461746.20865922</v>
      </c>
      <c r="E25" s="52">
        <v>538527</v>
      </c>
      <c r="F25" s="56">
        <f t="shared" si="9"/>
        <v>-538527</v>
      </c>
      <c r="G25" s="48">
        <f t="shared" si="4"/>
        <v>-456380.09142000001</v>
      </c>
      <c r="H25" s="48">
        <f t="shared" si="5"/>
        <v>-456380.09142000001</v>
      </c>
      <c r="I25" s="49">
        <f t="shared" si="2"/>
        <v>-912760.18284000002</v>
      </c>
      <c r="J25" s="37">
        <f>5450+6440</f>
        <v>11890</v>
      </c>
      <c r="K25" s="38">
        <f t="shared" si="3"/>
        <v>11890</v>
      </c>
      <c r="L25" s="39">
        <f t="shared" si="6"/>
        <v>8323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5">
        <v>30</v>
      </c>
      <c r="B35" s="126"/>
      <c r="C35" s="127">
        <f t="shared" si="8"/>
        <v>0</v>
      </c>
      <c r="D35" s="128">
        <f t="shared" si="7"/>
        <v>0</v>
      </c>
      <c r="E35" s="117"/>
      <c r="F35" s="127">
        <f t="shared" si="9"/>
        <v>0</v>
      </c>
      <c r="G35" s="129">
        <f t="shared" si="4"/>
        <v>0</v>
      </c>
      <c r="H35" s="129">
        <f t="shared" si="5"/>
        <v>0</v>
      </c>
      <c r="I35" s="130">
        <f t="shared" si="2"/>
        <v>0</v>
      </c>
      <c r="J35" s="131"/>
      <c r="K35" s="132">
        <f t="shared" si="3"/>
        <v>0</v>
      </c>
      <c r="L35" s="115">
        <f>K35*0.7</f>
        <v>0</v>
      </c>
    </row>
    <row r="36" spans="1:12" ht="32.450000000000003" customHeight="1">
      <c r="A36" s="105">
        <v>1</v>
      </c>
      <c r="B36" s="107"/>
      <c r="C36" s="119">
        <f t="shared" ref="C36" si="10">B37-B36</f>
        <v>0</v>
      </c>
      <c r="D36" s="120">
        <f t="shared" si="7"/>
        <v>0</v>
      </c>
      <c r="E36" s="110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06">
        <f t="shared" ref="I36" si="14">G36+H36</f>
        <v>0</v>
      </c>
      <c r="J36" s="122"/>
      <c r="K36" s="123">
        <f t="shared" ref="K36" si="15">J36-J37</f>
        <v>0</v>
      </c>
      <c r="L36" s="124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2022-06-21T05:37:42Z</dcterms:modified>
  <cp:category/>
  <cp:contentStatus/>
</cp:coreProperties>
</file>