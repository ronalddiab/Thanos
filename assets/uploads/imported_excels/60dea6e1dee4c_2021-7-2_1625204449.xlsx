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B6B1D68D-FE03-4D06-8F5F-1C2EF283850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<sst xmlns="http://schemas.openxmlformats.org/spreadsheetml/2006/main" count="201" uniqueCount="128">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</sst>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-407660</c:v>
                </c:pt>
                <c:pt idx="1">
                  <c:v>-2308100</c:v>
                </c:pt>
                <c:pt idx="2">
                  <c:v>-222830</c:v>
                </c:pt>
                <c:pt idx="3">
                  <c:v>-872610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-51028</c:v>
                </c:pt>
                <c:pt idx="1">
                  <c:v>0.1806761369269336</c:v>
                </c:pt>
                <c:pt idx="2" formatCode="_(* #,##0.00_);_(* \(#,##0.00\);_(* &quot;-&quot;??_);_(@_)">
                  <c:v>-198035</c:v>
                </c:pt>
                <c:pt idx="3">
                  <c:v>0.70118755930715082</c:v>
                </c:pt>
                <c:pt idx="4" formatCode="0.00">
                  <c:v>-26689</c:v>
                </c:pt>
                <c:pt idx="5">
                  <c:v>9.449842083646097E-2</c:v>
                </c:pt>
                <c:pt idx="6" formatCode="0.00">
                  <c:v>-36195</c:v>
                </c:pt>
                <c:pt idx="7">
                  <c:v>0.12815655671533985</c:v>
                </c:pt>
                <c:pt idx="8" formatCode="0.00">
                  <c:v>-6107</c:v>
                </c:pt>
                <c:pt idx="9">
                  <c:v>2.1623210163298257E-2</c:v>
                </c:pt>
                <c:pt idx="10" formatCode="0.00">
                  <c:v>-503</c:v>
                </c:pt>
                <c:pt idx="11">
                  <c:v>1.780984888183891E-3</c:v>
                </c:pt>
                <c:pt idx="12" formatCode="0.00">
                  <c:v>-66906</c:v>
                </c:pt>
                <c:pt idx="13">
                  <c:v>0.2368957752064243</c:v>
                </c:pt>
                <c:pt idx="14" formatCode="_(* #,##0.00_);_(* \(#,##0.00\);_(* &quot;-&quot;??_);_(@_)">
                  <c:v>-245992</c:v>
                </c:pt>
                <c:pt idx="15">
                  <c:v>0.87099012845751833</c:v>
                </c:pt>
                <c:pt idx="16" formatCode="0.00">
                  <c:v>-111170</c:v>
                </c:pt>
                <c:pt idx="17">
                  <c:v>0.39362244536660673</c:v>
                </c:pt>
                <c:pt idx="18" formatCode="0.00">
                  <c:v>-19755</c:v>
                </c:pt>
                <c:pt idx="19">
                  <c:v>6.994703074765958E-2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9023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-282428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-762380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0920960"/>
        <c:axId val="230922496"/>
      </c:barChart>
      <c:catAx>
        <c:axId val="230920960"/>
        <c:scaling>
          <c:orientation val="minMax"/>
        </c:scaling>
        <c:delete val="1"/>
        <c:axPos val="b"/>
        <c:majorTickMark val="none"/>
        <c:minorTickMark val="none"/>
        <c:tickLblPos val="nextTo"/>
        <c:crossAx val="230922496"/>
        <c:crosses val="autoZero"/>
        <c:auto val="1"/>
        <c:lblAlgn val="ctr"/>
        <c:lblOffset val="100"/>
        <c:noMultiLvlLbl val="0"/>
      </c:catAx>
      <c:valAx>
        <c:axId val="23092249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30920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31" sqref="M31:O3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6</v>
      </c>
      <c r="D2" s="46">
        <v>2021</v>
      </c>
      <c r="E2" s="107">
        <v>22750.000000000684</v>
      </c>
      <c r="F2" s="48">
        <v>0.14000000000000001</v>
      </c>
      <c r="G2" s="107">
        <v>6559</v>
      </c>
      <c r="H2" s="48">
        <v>0.4453480216384178</v>
      </c>
      <c r="I2" s="65">
        <v>428</v>
      </c>
      <c r="J2" s="76">
        <v>0.4</v>
      </c>
      <c r="K2" s="108"/>
      <c r="L2" s="76">
        <v>1.5287027707808565</v>
      </c>
      <c r="M2" s="72">
        <v>20</v>
      </c>
      <c r="N2" s="72">
        <v>46</v>
      </c>
      <c r="O2" s="72">
        <v>141</v>
      </c>
    </row>
    <row r="3" spans="1:15" ht="15" x14ac:dyDescent="0.25">
      <c r="A3" s="45" t="s">
        <v>9</v>
      </c>
      <c r="B3" s="46">
        <f>B2+1</f>
        <v>2</v>
      </c>
      <c r="C3" s="47">
        <v>6</v>
      </c>
      <c r="D3" s="46">
        <v>2021</v>
      </c>
      <c r="E3" s="107">
        <v>23169.999999999618</v>
      </c>
      <c r="F3" s="48">
        <v>0.14000000000000001</v>
      </c>
      <c r="G3" s="107">
        <v>6159</v>
      </c>
      <c r="H3" s="48">
        <v>0.4453480216384178</v>
      </c>
      <c r="I3" s="65">
        <v>334</v>
      </c>
      <c r="J3" s="76">
        <v>0.4</v>
      </c>
      <c r="K3" s="108"/>
      <c r="L3" s="76">
        <v>1.5287027707808565</v>
      </c>
      <c r="M3" s="72">
        <v>20</v>
      </c>
      <c r="N3" s="72">
        <v>47</v>
      </c>
      <c r="O3" s="72">
        <v>130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6</v>
      </c>
      <c r="D4" s="46">
        <v>2021</v>
      </c>
      <c r="E4" s="107">
        <v>22990.00000000024</v>
      </c>
      <c r="F4" s="48">
        <v>0.14000000000000001</v>
      </c>
      <c r="G4" s="107">
        <v>6405</v>
      </c>
      <c r="H4" s="48">
        <v>0.4453480216384178</v>
      </c>
      <c r="I4" s="65">
        <v>346</v>
      </c>
      <c r="J4" s="76">
        <v>0.4</v>
      </c>
      <c r="K4" s="108"/>
      <c r="L4" s="76">
        <v>1.5287027707808565</v>
      </c>
      <c r="M4" s="72">
        <v>19</v>
      </c>
      <c r="N4" s="72">
        <v>46</v>
      </c>
      <c r="O4" s="72">
        <v>130</v>
      </c>
    </row>
    <row r="5" spans="1:15" ht="15" x14ac:dyDescent="0.25">
      <c r="A5" s="45" t="s">
        <v>9</v>
      </c>
      <c r="B5" s="46">
        <f t="shared" si="0"/>
        <v>4</v>
      </c>
      <c r="C5" s="47">
        <v>6</v>
      </c>
      <c r="D5" s="46">
        <v>2021</v>
      </c>
      <c r="E5" s="107">
        <v>22279.99999999952</v>
      </c>
      <c r="F5" s="48">
        <v>0.14000000000000001</v>
      </c>
      <c r="G5" s="107">
        <v>6004</v>
      </c>
      <c r="H5" s="48">
        <v>0.4453480216384178</v>
      </c>
      <c r="I5" s="65">
        <v>292</v>
      </c>
      <c r="J5" s="76">
        <v>0.4</v>
      </c>
      <c r="K5" s="108"/>
      <c r="L5" s="76">
        <v>1.5287027707808565</v>
      </c>
      <c r="M5" s="72">
        <v>16</v>
      </c>
      <c r="N5" s="72">
        <v>40</v>
      </c>
      <c r="O5" s="72">
        <v>99</v>
      </c>
    </row>
    <row r="6" spans="1:15" ht="15" x14ac:dyDescent="0.25">
      <c r="A6" s="45" t="s">
        <v>9</v>
      </c>
      <c r="B6" s="46">
        <f t="shared" si="0"/>
        <v>5</v>
      </c>
      <c r="C6" s="47">
        <v>6</v>
      </c>
      <c r="D6" s="46">
        <v>2021</v>
      </c>
      <c r="E6" s="107">
        <v>22609.999999999673</v>
      </c>
      <c r="F6" s="48">
        <v>0.14000000000000001</v>
      </c>
      <c r="G6" s="107">
        <v>5993</v>
      </c>
      <c r="H6" s="48">
        <v>0.4453480216384178</v>
      </c>
      <c r="I6" s="65">
        <v>347</v>
      </c>
      <c r="J6" s="76">
        <v>0.4</v>
      </c>
      <c r="K6" s="108"/>
      <c r="L6" s="76">
        <v>1.5287027707808565</v>
      </c>
      <c r="M6" s="72">
        <v>14</v>
      </c>
      <c r="N6" s="72">
        <v>36</v>
      </c>
      <c r="O6" s="72">
        <v>137</v>
      </c>
    </row>
    <row r="7" spans="1:15" ht="15" x14ac:dyDescent="0.25">
      <c r="A7" s="45" t="s">
        <v>9</v>
      </c>
      <c r="B7" s="46">
        <f t="shared" si="0"/>
        <v>6</v>
      </c>
      <c r="C7" s="47">
        <v>6</v>
      </c>
      <c r="D7" s="46">
        <v>2021</v>
      </c>
      <c r="E7" s="107">
        <v>22650.000000001004</v>
      </c>
      <c r="F7" s="48">
        <v>0.14000000000000001</v>
      </c>
      <c r="G7" s="107">
        <v>6523</v>
      </c>
      <c r="H7" s="48">
        <v>0.4453480216384178</v>
      </c>
      <c r="I7" s="65">
        <v>328</v>
      </c>
      <c r="J7" s="76">
        <v>0.4</v>
      </c>
      <c r="K7" s="108"/>
      <c r="L7" s="76">
        <v>1.5287027707808565</v>
      </c>
      <c r="M7" s="72">
        <v>9</v>
      </c>
      <c r="N7" s="72">
        <v>24</v>
      </c>
      <c r="O7" s="72">
        <v>51</v>
      </c>
    </row>
    <row r="8" spans="1:15" ht="15" x14ac:dyDescent="0.25">
      <c r="A8" s="45" t="s">
        <v>9</v>
      </c>
      <c r="B8" s="46">
        <f t="shared" si="0"/>
        <v>7</v>
      </c>
      <c r="C8" s="47">
        <v>6</v>
      </c>
      <c r="D8" s="46">
        <v>2021</v>
      </c>
      <c r="E8" s="107">
        <v>23299.999999999498</v>
      </c>
      <c r="F8" s="48">
        <v>0.14000000000000001</v>
      </c>
      <c r="G8" s="107">
        <v>6177</v>
      </c>
      <c r="H8" s="48">
        <v>0.4453480216384178</v>
      </c>
      <c r="I8" s="65">
        <v>314</v>
      </c>
      <c r="J8" s="76">
        <v>0.4</v>
      </c>
      <c r="K8" s="108">
        <v>990</v>
      </c>
      <c r="L8" s="76">
        <v>1.5287027707808565</v>
      </c>
      <c r="M8" s="72">
        <v>10</v>
      </c>
      <c r="N8" s="72">
        <v>26</v>
      </c>
      <c r="O8" s="72">
        <v>125</v>
      </c>
    </row>
    <row r="9" spans="1:15" ht="15" x14ac:dyDescent="0.25">
      <c r="A9" s="45" t="s">
        <v>9</v>
      </c>
      <c r="B9" s="46">
        <f t="shared" si="0"/>
        <v>8</v>
      </c>
      <c r="C9" s="47">
        <v>6</v>
      </c>
      <c r="D9" s="46">
        <v>2021</v>
      </c>
      <c r="E9" s="107">
        <v>22609.999999999447</v>
      </c>
      <c r="F9" s="48">
        <v>0.14000000000000001</v>
      </c>
      <c r="G9" s="107">
        <v>6181</v>
      </c>
      <c r="H9" s="48">
        <v>0.4453480216384178</v>
      </c>
      <c r="I9" s="65">
        <v>387</v>
      </c>
      <c r="J9" s="76">
        <v>0.4</v>
      </c>
      <c r="K9" s="108"/>
      <c r="L9" s="76">
        <v>1.5287027707808565</v>
      </c>
      <c r="M9" s="72">
        <v>13</v>
      </c>
      <c r="N9" s="72">
        <v>32</v>
      </c>
      <c r="O9" s="72">
        <v>80</v>
      </c>
    </row>
    <row r="10" spans="1:15" ht="15" x14ac:dyDescent="0.25">
      <c r="A10" s="45" t="s">
        <v>9</v>
      </c>
      <c r="B10" s="46">
        <f t="shared" si="0"/>
        <v>9</v>
      </c>
      <c r="C10" s="47">
        <v>6</v>
      </c>
      <c r="D10" s="46">
        <v>2021</v>
      </c>
      <c r="E10" s="107">
        <v>23510.000000001128</v>
      </c>
      <c r="F10" s="48">
        <v>0.14000000000000001</v>
      </c>
      <c r="G10" s="107">
        <v>6746</v>
      </c>
      <c r="H10" s="48">
        <v>0.4453480216384178</v>
      </c>
      <c r="I10" s="65">
        <v>254</v>
      </c>
      <c r="J10" s="76">
        <v>0.4</v>
      </c>
      <c r="K10" s="108"/>
      <c r="L10" s="76">
        <v>1.5287027707808565</v>
      </c>
      <c r="M10" s="72">
        <v>17</v>
      </c>
      <c r="N10" s="72">
        <v>39</v>
      </c>
      <c r="O10" s="72">
        <v>140</v>
      </c>
    </row>
    <row r="11" spans="1:15" ht="15" x14ac:dyDescent="0.25">
      <c r="A11" s="45" t="s">
        <v>9</v>
      </c>
      <c r="B11" s="46">
        <f t="shared" si="0"/>
        <v>10</v>
      </c>
      <c r="C11" s="47">
        <v>6</v>
      </c>
      <c r="D11" s="46">
        <v>2021</v>
      </c>
      <c r="E11" s="107">
        <v>23329.999999999927</v>
      </c>
      <c r="F11" s="48">
        <v>0.14000000000000001</v>
      </c>
      <c r="G11" s="107">
        <v>6041</v>
      </c>
      <c r="H11" s="48">
        <v>0.4453480216384178</v>
      </c>
      <c r="I11" s="65">
        <v>343</v>
      </c>
      <c r="J11" s="76">
        <v>0.4</v>
      </c>
      <c r="K11" s="108"/>
      <c r="L11" s="76">
        <v>1.5287027707808565</v>
      </c>
      <c r="M11" s="72">
        <v>16</v>
      </c>
      <c r="N11" s="72">
        <v>40</v>
      </c>
      <c r="O11" s="72">
        <v>112</v>
      </c>
    </row>
    <row r="12" spans="1:15" ht="15" x14ac:dyDescent="0.25">
      <c r="A12" s="45" t="s">
        <v>9</v>
      </c>
      <c r="B12" s="46">
        <f t="shared" si="0"/>
        <v>11</v>
      </c>
      <c r="C12" s="47">
        <v>6</v>
      </c>
      <c r="D12" s="46">
        <v>2021</v>
      </c>
      <c r="E12" s="107">
        <v>22709.999999999127</v>
      </c>
      <c r="F12" s="48">
        <v>0.14000000000000001</v>
      </c>
      <c r="G12" s="107">
        <v>5988</v>
      </c>
      <c r="H12" s="48">
        <v>0.4453480216384178</v>
      </c>
      <c r="I12" s="65">
        <v>257</v>
      </c>
      <c r="J12" s="76">
        <v>0.4</v>
      </c>
      <c r="K12" s="108"/>
      <c r="L12" s="76">
        <v>1.5287027707808565</v>
      </c>
      <c r="M12" s="72">
        <v>19</v>
      </c>
      <c r="N12" s="72">
        <v>44</v>
      </c>
      <c r="O12" s="72">
        <v>116</v>
      </c>
    </row>
    <row r="13" spans="1:15" ht="15" x14ac:dyDescent="0.25">
      <c r="A13" s="45" t="s">
        <v>9</v>
      </c>
      <c r="B13" s="46">
        <f t="shared" si="0"/>
        <v>12</v>
      </c>
      <c r="C13" s="47">
        <v>6</v>
      </c>
      <c r="D13" s="46">
        <v>2021</v>
      </c>
      <c r="E13" s="107">
        <v>22700.000000001637</v>
      </c>
      <c r="F13" s="48">
        <v>0.14000000000000001</v>
      </c>
      <c r="G13" s="107">
        <v>6353</v>
      </c>
      <c r="H13" s="48">
        <v>0.4453480216384178</v>
      </c>
      <c r="I13" s="65">
        <v>273</v>
      </c>
      <c r="J13" s="76">
        <v>0.4</v>
      </c>
      <c r="K13" s="108">
        <v>1035</v>
      </c>
      <c r="L13" s="76">
        <v>1.5287027707808565</v>
      </c>
      <c r="M13" s="72">
        <v>20</v>
      </c>
      <c r="N13" s="72">
        <v>50</v>
      </c>
      <c r="O13" s="72">
        <v>151</v>
      </c>
    </row>
    <row r="14" spans="1:15" ht="15" x14ac:dyDescent="0.25">
      <c r="A14" s="45" t="s">
        <v>9</v>
      </c>
      <c r="B14" s="46">
        <f t="shared" si="0"/>
        <v>13</v>
      </c>
      <c r="C14" s="47">
        <v>6</v>
      </c>
      <c r="D14" s="46">
        <v>2021</v>
      </c>
      <c r="E14" s="107">
        <v>23749.999999999091</v>
      </c>
      <c r="F14" s="48">
        <v>0.14000000000000001</v>
      </c>
      <c r="G14" s="107">
        <v>6542</v>
      </c>
      <c r="H14" s="48">
        <v>0.4453480216384178</v>
      </c>
      <c r="I14" s="65">
        <v>291</v>
      </c>
      <c r="J14" s="76">
        <v>0.4</v>
      </c>
      <c r="K14" s="108"/>
      <c r="L14" s="76">
        <v>1.5287027707808565</v>
      </c>
      <c r="M14" s="72">
        <v>18</v>
      </c>
      <c r="N14" s="72">
        <v>49</v>
      </c>
      <c r="O14" s="72">
        <v>144</v>
      </c>
    </row>
    <row r="15" spans="1:15" ht="15" x14ac:dyDescent="0.25">
      <c r="A15" s="45" t="s">
        <v>9</v>
      </c>
      <c r="B15" s="46">
        <f t="shared" si="0"/>
        <v>14</v>
      </c>
      <c r="C15" s="47">
        <v>6</v>
      </c>
      <c r="D15" s="46">
        <v>2021</v>
      </c>
      <c r="E15" s="107">
        <v>22739.999999999782</v>
      </c>
      <c r="F15" s="48">
        <v>0.14000000000000001</v>
      </c>
      <c r="G15" s="107">
        <v>6216</v>
      </c>
      <c r="H15" s="48">
        <v>0.4453480216384178</v>
      </c>
      <c r="I15" s="65">
        <v>274</v>
      </c>
      <c r="J15" s="76">
        <v>0.4</v>
      </c>
      <c r="K15" s="108"/>
      <c r="L15" s="76">
        <v>1.5287027707808565</v>
      </c>
      <c r="M15" s="72">
        <v>11</v>
      </c>
      <c r="N15" s="72">
        <v>32</v>
      </c>
      <c r="O15" s="72">
        <v>78</v>
      </c>
    </row>
    <row r="16" spans="1:15" ht="15" x14ac:dyDescent="0.25">
      <c r="A16" s="45" t="s">
        <v>9</v>
      </c>
      <c r="B16" s="46">
        <f t="shared" si="0"/>
        <v>15</v>
      </c>
      <c r="C16" s="47">
        <v>6</v>
      </c>
      <c r="D16" s="46">
        <v>2021</v>
      </c>
      <c r="E16" s="107">
        <v>22609.999999999902</v>
      </c>
      <c r="F16" s="48">
        <v>0.14000000000000001</v>
      </c>
      <c r="G16" s="107">
        <v>6361</v>
      </c>
      <c r="H16" s="48">
        <v>0.4453480216384178</v>
      </c>
      <c r="I16" s="65">
        <v>329</v>
      </c>
      <c r="J16" s="76">
        <v>0.4</v>
      </c>
      <c r="K16" s="108"/>
      <c r="L16" s="76">
        <v>1.5287027707808565</v>
      </c>
      <c r="M16" s="72">
        <v>9</v>
      </c>
      <c r="N16" s="72">
        <v>30</v>
      </c>
      <c r="O16" s="72">
        <v>69</v>
      </c>
    </row>
    <row r="17" spans="1:15" ht="15" x14ac:dyDescent="0.25">
      <c r="A17" s="45" t="s">
        <v>9</v>
      </c>
      <c r="B17" s="46">
        <f t="shared" si="0"/>
        <v>16</v>
      </c>
      <c r="C17" s="47">
        <v>6</v>
      </c>
      <c r="D17" s="46">
        <v>2021</v>
      </c>
      <c r="E17" s="107">
        <v>24020.000000000207</v>
      </c>
      <c r="F17" s="48">
        <v>0.14000000000000001</v>
      </c>
      <c r="G17" s="107">
        <v>6325</v>
      </c>
      <c r="H17" s="48">
        <v>0.4453480216384178</v>
      </c>
      <c r="I17" s="65">
        <v>281</v>
      </c>
      <c r="J17" s="76">
        <v>0.4</v>
      </c>
      <c r="K17" s="108"/>
      <c r="L17" s="76">
        <v>1.5287027707808565</v>
      </c>
      <c r="M17" s="72">
        <v>14</v>
      </c>
      <c r="N17" s="72">
        <v>41</v>
      </c>
      <c r="O17" s="72">
        <v>104</v>
      </c>
    </row>
    <row r="18" spans="1:15" ht="15" x14ac:dyDescent="0.25">
      <c r="A18" s="45" t="s">
        <v>9</v>
      </c>
      <c r="B18" s="46">
        <f t="shared" si="0"/>
        <v>17</v>
      </c>
      <c r="C18" s="47">
        <v>6</v>
      </c>
      <c r="D18" s="46">
        <v>2021</v>
      </c>
      <c r="E18" s="107">
        <v>22610.000000000124</v>
      </c>
      <c r="F18" s="48">
        <v>0.14000000000000001</v>
      </c>
      <c r="G18" s="107">
        <v>6346</v>
      </c>
      <c r="H18" s="48">
        <v>0.4453480216384178</v>
      </c>
      <c r="I18" s="65">
        <v>346</v>
      </c>
      <c r="J18" s="76">
        <v>0.4</v>
      </c>
      <c r="K18" s="108">
        <v>1260</v>
      </c>
      <c r="L18" s="76">
        <v>1.5287027707808565</v>
      </c>
      <c r="M18" s="72">
        <v>13</v>
      </c>
      <c r="N18" s="72">
        <v>33</v>
      </c>
      <c r="O18" s="72">
        <v>90</v>
      </c>
    </row>
    <row r="19" spans="1:15" ht="15" x14ac:dyDescent="0.25">
      <c r="A19" s="45" t="s">
        <v>9</v>
      </c>
      <c r="B19" s="46">
        <f t="shared" si="0"/>
        <v>18</v>
      </c>
      <c r="C19" s="47">
        <v>6</v>
      </c>
      <c r="D19" s="46">
        <v>2021</v>
      </c>
      <c r="E19" s="107">
        <v>23489.999999999327</v>
      </c>
      <c r="F19" s="48">
        <v>0.14000000000000001</v>
      </c>
      <c r="G19" s="107">
        <v>6276</v>
      </c>
      <c r="H19" s="48">
        <v>0.4453480216384178</v>
      </c>
      <c r="I19" s="65">
        <v>327</v>
      </c>
      <c r="J19" s="76">
        <v>0.4</v>
      </c>
      <c r="K19" s="108"/>
      <c r="L19" s="76">
        <v>1.5287027707808565</v>
      </c>
      <c r="M19" s="72">
        <v>17</v>
      </c>
      <c r="N19" s="72">
        <v>41</v>
      </c>
      <c r="O19" s="72">
        <v>120</v>
      </c>
    </row>
    <row r="20" spans="1:15" ht="15" x14ac:dyDescent="0.25">
      <c r="A20" s="45" t="s">
        <v>9</v>
      </c>
      <c r="B20" s="46">
        <f t="shared" si="0"/>
        <v>19</v>
      </c>
      <c r="C20" s="47">
        <v>6</v>
      </c>
      <c r="D20" s="46">
        <v>2021</v>
      </c>
      <c r="E20" s="107">
        <v>23380.000000000109</v>
      </c>
      <c r="F20" s="48">
        <v>0.14000000000000001</v>
      </c>
      <c r="G20" s="107">
        <v>6239</v>
      </c>
      <c r="H20" s="48">
        <v>0.4453480216384178</v>
      </c>
      <c r="I20" s="65">
        <v>283</v>
      </c>
      <c r="J20" s="76">
        <v>0.4</v>
      </c>
      <c r="K20" s="108"/>
      <c r="L20" s="76">
        <v>1.5287027707808565</v>
      </c>
      <c r="M20" s="72">
        <v>21</v>
      </c>
      <c r="N20" s="72">
        <v>50</v>
      </c>
      <c r="O20" s="72">
        <v>153</v>
      </c>
    </row>
    <row r="21" spans="1:15" ht="15" x14ac:dyDescent="0.25">
      <c r="A21" s="45" t="s">
        <v>9</v>
      </c>
      <c r="B21" s="46">
        <f t="shared" si="0"/>
        <v>20</v>
      </c>
      <c r="C21" s="47">
        <v>6</v>
      </c>
      <c r="D21" s="46">
        <v>2021</v>
      </c>
      <c r="E21" s="107">
        <v>22530.00000000111</v>
      </c>
      <c r="F21" s="48">
        <v>0.14000000000000001</v>
      </c>
      <c r="G21" s="107">
        <v>6230</v>
      </c>
      <c r="H21" s="48">
        <v>0.4453480216384178</v>
      </c>
      <c r="I21" s="65">
        <v>273</v>
      </c>
      <c r="J21" s="76">
        <v>0.4</v>
      </c>
      <c r="K21" s="108"/>
      <c r="L21" s="76">
        <v>1.5287027707808565</v>
      </c>
      <c r="M21" s="72">
        <v>23</v>
      </c>
      <c r="N21" s="72">
        <v>56</v>
      </c>
      <c r="O21" s="72">
        <v>176</v>
      </c>
    </row>
    <row r="22" spans="1:15" ht="15" x14ac:dyDescent="0.25">
      <c r="A22" s="45" t="s">
        <v>9</v>
      </c>
      <c r="B22" s="46">
        <f t="shared" si="0"/>
        <v>21</v>
      </c>
      <c r="C22" s="47">
        <v>6</v>
      </c>
      <c r="D22" s="46">
        <v>2021</v>
      </c>
      <c r="E22" s="107">
        <v>24279.999999999061</v>
      </c>
      <c r="F22" s="48">
        <v>0.14000000000000001</v>
      </c>
      <c r="G22" s="107">
        <v>6554</v>
      </c>
      <c r="H22" s="48">
        <v>0.4453480216384178</v>
      </c>
      <c r="I22" s="65">
        <v>298</v>
      </c>
      <c r="J22" s="76">
        <v>0.4</v>
      </c>
      <c r="K22" s="108"/>
      <c r="L22" s="76">
        <v>1.5287027707808565</v>
      </c>
      <c r="M22" s="72">
        <v>18</v>
      </c>
      <c r="N22" s="72">
        <v>52</v>
      </c>
      <c r="O22" s="72">
        <v>135</v>
      </c>
    </row>
    <row r="23" spans="1:15" ht="15" x14ac:dyDescent="0.25">
      <c r="A23" s="45" t="s">
        <v>9</v>
      </c>
      <c r="B23" s="46">
        <f t="shared" si="0"/>
        <v>22</v>
      </c>
      <c r="C23" s="47">
        <v>6</v>
      </c>
      <c r="D23" s="46">
        <v>2021</v>
      </c>
      <c r="E23" s="107">
        <v>23740.000000000236</v>
      </c>
      <c r="F23" s="48">
        <v>0.14000000000000001</v>
      </c>
      <c r="G23" s="107">
        <v>6270</v>
      </c>
      <c r="H23" s="48">
        <v>0.4453480216384178</v>
      </c>
      <c r="I23" s="65">
        <v>328</v>
      </c>
      <c r="J23" s="76">
        <v>0.4</v>
      </c>
      <c r="K23" s="108">
        <v>990</v>
      </c>
      <c r="L23" s="76">
        <v>1.5287027707808565</v>
      </c>
      <c r="M23" s="72">
        <v>11</v>
      </c>
      <c r="N23" s="72">
        <v>34</v>
      </c>
      <c r="O23" s="72">
        <v>111</v>
      </c>
    </row>
    <row r="24" spans="1:15" ht="15" x14ac:dyDescent="0.25">
      <c r="A24" s="45" t="s">
        <v>9</v>
      </c>
      <c r="B24" s="46">
        <f t="shared" si="0"/>
        <v>23</v>
      </c>
      <c r="C24" s="47">
        <v>6</v>
      </c>
      <c r="D24" s="46">
        <v>2021</v>
      </c>
      <c r="E24" s="107">
        <v>22890.000000000098</v>
      </c>
      <c r="F24" s="48">
        <v>0.14000000000000001</v>
      </c>
      <c r="G24" s="107">
        <v>6383</v>
      </c>
      <c r="H24" s="48">
        <v>0.4453480216384178</v>
      </c>
      <c r="I24" s="65">
        <v>273</v>
      </c>
      <c r="J24" s="76">
        <v>0.4</v>
      </c>
      <c r="K24" s="108"/>
      <c r="L24" s="76">
        <v>1.5287027707808565</v>
      </c>
      <c r="M24" s="72">
        <v>17</v>
      </c>
      <c r="N24" s="72">
        <v>50</v>
      </c>
      <c r="O24" s="72">
        <v>104</v>
      </c>
    </row>
    <row r="25" spans="1:15" ht="15" x14ac:dyDescent="0.25">
      <c r="A25" s="45" t="s">
        <v>9</v>
      </c>
      <c r="B25" s="46">
        <f t="shared" si="0"/>
        <v>24</v>
      </c>
      <c r="C25" s="47">
        <v>6</v>
      </c>
      <c r="D25" s="46">
        <v>2021</v>
      </c>
      <c r="E25" s="107">
        <v>23200.000000000273</v>
      </c>
      <c r="F25" s="48">
        <v>0.14000000000000001</v>
      </c>
      <c r="G25" s="107">
        <v>6284</v>
      </c>
      <c r="H25" s="48">
        <v>0.4453480216384178</v>
      </c>
      <c r="I25" s="65">
        <v>222</v>
      </c>
      <c r="J25" s="76">
        <v>0.4</v>
      </c>
      <c r="K25" s="108"/>
      <c r="L25" s="76">
        <v>1.5287027707808565</v>
      </c>
      <c r="M25" s="72">
        <v>18</v>
      </c>
      <c r="N25" s="72">
        <v>51</v>
      </c>
      <c r="O25" s="72">
        <v>129</v>
      </c>
    </row>
    <row r="26" spans="1:15" ht="15" x14ac:dyDescent="0.25">
      <c r="A26" s="45" t="s">
        <v>9</v>
      </c>
      <c r="B26" s="46">
        <f>B25+1</f>
        <v>25</v>
      </c>
      <c r="C26" s="47">
        <v>6</v>
      </c>
      <c r="D26" s="46">
        <v>2021</v>
      </c>
      <c r="E26" s="107">
        <v>21459.999999999811</v>
      </c>
      <c r="F26" s="48">
        <v>0.14000000000000001</v>
      </c>
      <c r="G26" s="107">
        <v>5822</v>
      </c>
      <c r="H26" s="48">
        <v>0.4453480216384178</v>
      </c>
      <c r="I26" s="65">
        <v>309</v>
      </c>
      <c r="J26" s="76">
        <v>0.4</v>
      </c>
      <c r="K26" s="108"/>
      <c r="L26" s="76">
        <v>1.5287027707808565</v>
      </c>
      <c r="M26" s="72">
        <v>19</v>
      </c>
      <c r="N26" s="72">
        <v>52</v>
      </c>
      <c r="O26" s="72">
        <v>152</v>
      </c>
    </row>
    <row r="27" spans="1:15" ht="15" x14ac:dyDescent="0.25">
      <c r="A27" s="45" t="s">
        <v>9</v>
      </c>
      <c r="B27" s="46">
        <f t="shared" si="0"/>
        <v>26</v>
      </c>
      <c r="C27" s="47">
        <v>6</v>
      </c>
      <c r="D27" s="46">
        <v>2021</v>
      </c>
      <c r="E27" s="107">
        <v>22209.999999999811</v>
      </c>
      <c r="F27" s="48">
        <v>0.14000000000000001</v>
      </c>
      <c r="G27" s="107">
        <v>6126</v>
      </c>
      <c r="H27" s="48">
        <v>0.4453480216384178</v>
      </c>
      <c r="I27" s="65">
        <v>290</v>
      </c>
      <c r="J27" s="76">
        <v>0.4</v>
      </c>
      <c r="K27" s="108"/>
      <c r="L27" s="76">
        <v>1.5287027707808565</v>
      </c>
      <c r="M27" s="72">
        <v>16</v>
      </c>
      <c r="N27" s="72">
        <v>43</v>
      </c>
      <c r="O27" s="72">
        <v>119</v>
      </c>
    </row>
    <row r="28" spans="1:15" ht="15" x14ac:dyDescent="0.25">
      <c r="A28" s="45" t="s">
        <v>9</v>
      </c>
      <c r="B28" s="46">
        <f t="shared" si="0"/>
        <v>27</v>
      </c>
      <c r="C28" s="47">
        <v>6</v>
      </c>
      <c r="D28" s="46">
        <v>2021</v>
      </c>
      <c r="E28" s="107">
        <v>20760.000000000444</v>
      </c>
      <c r="F28" s="48">
        <v>0.14000000000000001</v>
      </c>
      <c r="G28" s="107">
        <v>5643</v>
      </c>
      <c r="H28" s="48">
        <v>0.4453480216384178</v>
      </c>
      <c r="I28" s="65">
        <v>296</v>
      </c>
      <c r="J28" s="76">
        <v>0.4</v>
      </c>
      <c r="K28" s="108"/>
      <c r="L28" s="76">
        <v>1.5287027707808565</v>
      </c>
      <c r="M28" s="72">
        <v>12</v>
      </c>
      <c r="N28" s="72">
        <v>37</v>
      </c>
      <c r="O28" s="72">
        <v>96</v>
      </c>
    </row>
    <row r="29" spans="1:15" ht="15" x14ac:dyDescent="0.25">
      <c r="A29" s="45" t="s">
        <v>9</v>
      </c>
      <c r="B29" s="46">
        <f t="shared" si="0"/>
        <v>28</v>
      </c>
      <c r="C29" s="47">
        <v>6</v>
      </c>
      <c r="D29" s="46">
        <v>2021</v>
      </c>
      <c r="E29" s="107">
        <v>22029.999999999745</v>
      </c>
      <c r="F29" s="48">
        <v>0.14000000000000001</v>
      </c>
      <c r="G29" s="107">
        <v>5819</v>
      </c>
      <c r="H29" s="48">
        <v>0.4453480216384178</v>
      </c>
      <c r="I29" s="65">
        <v>185</v>
      </c>
      <c r="J29" s="76">
        <v>0.4</v>
      </c>
      <c r="K29" s="108">
        <v>1280</v>
      </c>
      <c r="L29" s="76">
        <v>1.5287027707808565</v>
      </c>
      <c r="M29" s="72">
        <v>11</v>
      </c>
      <c r="N29" s="72">
        <v>38</v>
      </c>
      <c r="O29" s="72">
        <v>94</v>
      </c>
    </row>
    <row r="30" spans="1:15" ht="15" x14ac:dyDescent="0.25">
      <c r="A30" s="45" t="s">
        <v>9</v>
      </c>
      <c r="B30" s="46">
        <f t="shared" si="0"/>
        <v>29</v>
      </c>
      <c r="C30" s="47">
        <v>6</v>
      </c>
      <c r="D30" s="46">
        <v>2021</v>
      </c>
      <c r="E30" s="107">
        <v>20730.000000000015</v>
      </c>
      <c r="F30" s="48">
        <v>0.14000000000000001</v>
      </c>
      <c r="G30" s="107">
        <v>5636</v>
      </c>
      <c r="H30" s="48">
        <v>0.4453480216384178</v>
      </c>
      <c r="I30" s="65">
        <v>247</v>
      </c>
      <c r="J30" s="76">
        <v>0.4</v>
      </c>
      <c r="K30" s="108"/>
      <c r="L30" s="76">
        <v>1.5287027707808565</v>
      </c>
      <c r="M30" s="72">
        <v>9</v>
      </c>
      <c r="N30" s="72">
        <v>25</v>
      </c>
      <c r="O30" s="72">
        <v>57</v>
      </c>
    </row>
    <row r="31" spans="1:15" ht="15" x14ac:dyDescent="0.25">
      <c r="A31" s="45" t="s">
        <v>9</v>
      </c>
      <c r="B31" s="46">
        <f t="shared" si="0"/>
        <v>30</v>
      </c>
      <c r="C31" s="47">
        <v>6</v>
      </c>
      <c r="D31" s="46">
        <v>2021</v>
      </c>
      <c r="E31" s="107">
        <v>22649.999999999411</v>
      </c>
      <c r="F31" s="48">
        <v>0.14000000000000001</v>
      </c>
      <c r="G31" s="107">
        <v>6165</v>
      </c>
      <c r="H31" s="48">
        <v>0.4453480216384178</v>
      </c>
      <c r="I31" s="65">
        <v>227</v>
      </c>
      <c r="J31" s="76">
        <v>0.4</v>
      </c>
      <c r="K31" s="108"/>
      <c r="L31" s="76">
        <v>1.5287027707808565</v>
      </c>
      <c r="M31" s="72">
        <v>8</v>
      </c>
      <c r="N31" s="72">
        <v>23</v>
      </c>
      <c r="O31" s="72">
        <v>55</v>
      </c>
    </row>
    <row r="32" spans="1:15" ht="15" x14ac:dyDescent="0.25">
      <c r="A32" s="45" t="s">
        <v>9</v>
      </c>
      <c r="B32" s="46">
        <f t="shared" si="0"/>
        <v>31</v>
      </c>
      <c r="C32" s="47">
        <v>6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683689.99999999988</v>
      </c>
      <c r="F33" s="104">
        <v>0</v>
      </c>
      <c r="G33" s="101">
        <f>SUM(G2:G32)</f>
        <v>186366</v>
      </c>
      <c r="H33" s="102">
        <v>0</v>
      </c>
      <c r="I33" s="103">
        <f>SUM(I2:I32)</f>
        <v>8982</v>
      </c>
      <c r="J33" s="104">
        <v>0</v>
      </c>
      <c r="K33" s="105">
        <v>0</v>
      </c>
      <c r="L33" s="102">
        <v>0</v>
      </c>
      <c r="M33" s="106">
        <f t="shared" ref="M33:O33" si="1">SUM(M2:M32)</f>
        <v>458</v>
      </c>
      <c r="N33" s="106">
        <f t="shared" si="1"/>
        <v>1207</v>
      </c>
      <c r="O33" s="106">
        <f t="shared" si="1"/>
        <v>3398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0" zoomScale="78" zoomScaleNormal="78" workbookViewId="0">
      <selection activeCell="V33" sqref="V33:X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44348</v>
      </c>
      <c r="B4" s="1">
        <v>941.59</v>
      </c>
      <c r="C4" s="1">
        <v>222.83</v>
      </c>
      <c r="D4" s="1">
        <v>7406516.4000000004</v>
      </c>
      <c r="E4" s="1">
        <v>8087986.3700000001</v>
      </c>
      <c r="F4" s="1">
        <v>2.3081</v>
      </c>
      <c r="G4" s="1">
        <v>719.09</v>
      </c>
      <c r="H4" s="1">
        <v>608.01</v>
      </c>
      <c r="I4" s="1">
        <v>226.28</v>
      </c>
      <c r="J4" s="1">
        <v>310.55</v>
      </c>
      <c r="K4" s="1">
        <v>333.63</v>
      </c>
      <c r="L4" s="1">
        <v>228.43</v>
      </c>
      <c r="M4" s="1">
        <v>494.46</v>
      </c>
      <c r="N4" s="1">
        <v>448.54</v>
      </c>
      <c r="O4" s="1">
        <v>144.04</v>
      </c>
      <c r="P4" s="1">
        <v>586.59</v>
      </c>
      <c r="Q4" s="1">
        <v>439.13</v>
      </c>
      <c r="R4" s="1">
        <v>148.63999999999999</v>
      </c>
      <c r="S4" s="1">
        <v>111.34</v>
      </c>
      <c r="T4" s="1">
        <v>407.66</v>
      </c>
      <c r="V4" s="71">
        <v>20</v>
      </c>
      <c r="W4" s="71">
        <v>46</v>
      </c>
      <c r="X4" s="71">
        <v>141</v>
      </c>
      <c r="Y4" s="17"/>
    </row>
    <row r="5" spans="1:25" ht="21" customHeight="1" x14ac:dyDescent="0.25">
      <c r="A5" s="8">
        <v>44349</v>
      </c>
      <c r="B5" s="1">
        <v>942.77</v>
      </c>
      <c r="C5" s="1">
        <v>223.04</v>
      </c>
      <c r="D5" s="1">
        <v>7409068.96</v>
      </c>
      <c r="E5" s="1">
        <v>8091095.5300000003</v>
      </c>
      <c r="F5" s="1">
        <v>2.3100999999999998</v>
      </c>
      <c r="G5" s="1">
        <v>720.02</v>
      </c>
      <c r="H5" s="1">
        <v>608.52</v>
      </c>
      <c r="I5" s="1">
        <v>226.59</v>
      </c>
      <c r="J5" s="1">
        <v>310.7</v>
      </c>
      <c r="K5" s="1">
        <v>333.86</v>
      </c>
      <c r="L5" s="1">
        <v>228.6</v>
      </c>
      <c r="M5" s="1">
        <v>495.24</v>
      </c>
      <c r="N5" s="1">
        <v>449.31</v>
      </c>
      <c r="O5" s="1">
        <v>144.30000000000001</v>
      </c>
      <c r="P5" s="1">
        <v>587.67999999999995</v>
      </c>
      <c r="Q5" s="1">
        <v>439.8</v>
      </c>
      <c r="R5" s="1">
        <v>148.97</v>
      </c>
      <c r="S5" s="1">
        <v>111.46</v>
      </c>
      <c r="T5" s="1">
        <v>408.14</v>
      </c>
      <c r="V5" s="71">
        <v>20</v>
      </c>
      <c r="W5" s="71">
        <v>47</v>
      </c>
      <c r="X5" s="71">
        <v>130</v>
      </c>
      <c r="Y5" s="17"/>
    </row>
    <row r="6" spans="1:25" ht="21" customHeight="1" x14ac:dyDescent="0.25">
      <c r="A6" s="8">
        <v>44350</v>
      </c>
      <c r="B6" s="1">
        <v>944.01</v>
      </c>
      <c r="C6" s="1">
        <v>223.25</v>
      </c>
      <c r="D6" s="1">
        <v>7411692.0899999999</v>
      </c>
      <c r="E6" s="1">
        <v>8094277.3200000003</v>
      </c>
      <c r="F6" s="1">
        <v>2.3123999999999998</v>
      </c>
      <c r="G6" s="1">
        <v>721.01</v>
      </c>
      <c r="H6" s="1">
        <v>609.1</v>
      </c>
      <c r="I6" s="1">
        <v>226.92</v>
      </c>
      <c r="J6" s="1">
        <v>310.87</v>
      </c>
      <c r="K6" s="1">
        <v>334.11</v>
      </c>
      <c r="L6" s="1">
        <v>228.76</v>
      </c>
      <c r="M6" s="1">
        <v>496.01</v>
      </c>
      <c r="N6" s="1">
        <v>450.13</v>
      </c>
      <c r="O6" s="1">
        <v>144.57</v>
      </c>
      <c r="P6" s="1">
        <v>588.83000000000004</v>
      </c>
      <c r="Q6" s="1">
        <v>440.53</v>
      </c>
      <c r="R6" s="1">
        <v>149.30000000000001</v>
      </c>
      <c r="S6" s="1">
        <v>111.61</v>
      </c>
      <c r="T6" s="1">
        <v>408.64</v>
      </c>
      <c r="V6" s="71">
        <v>19</v>
      </c>
      <c r="W6" s="71">
        <v>46</v>
      </c>
      <c r="X6" s="71">
        <v>130</v>
      </c>
      <c r="Y6" s="17"/>
    </row>
    <row r="7" spans="1:25" ht="21" customHeight="1" x14ac:dyDescent="0.25">
      <c r="A7" s="8">
        <v>44351</v>
      </c>
      <c r="B7" s="1">
        <v>945.3</v>
      </c>
      <c r="C7" s="1">
        <v>223.47</v>
      </c>
      <c r="D7" s="109">
        <v>7414329</v>
      </c>
      <c r="E7" s="1">
        <v>8097468.0999999996</v>
      </c>
      <c r="F7" s="1">
        <v>2.3148</v>
      </c>
      <c r="G7" s="1">
        <v>721.98</v>
      </c>
      <c r="H7" s="1">
        <v>609.66999999999996</v>
      </c>
      <c r="I7" s="1">
        <v>227.28</v>
      </c>
      <c r="J7" s="1">
        <v>311.05</v>
      </c>
      <c r="K7" s="1">
        <v>334.35</v>
      </c>
      <c r="L7" s="1">
        <v>228.94</v>
      </c>
      <c r="M7" s="1">
        <v>496.8</v>
      </c>
      <c r="N7" s="1">
        <v>451.01</v>
      </c>
      <c r="O7" s="1">
        <v>144.80000000000001</v>
      </c>
      <c r="P7" s="1">
        <v>589.97</v>
      </c>
      <c r="Q7" s="1">
        <v>441.2</v>
      </c>
      <c r="R7" s="1">
        <v>149.63999999999999</v>
      </c>
      <c r="S7" s="1">
        <v>111.73</v>
      </c>
      <c r="T7" s="1">
        <v>409.16</v>
      </c>
      <c r="V7" s="71">
        <v>16</v>
      </c>
      <c r="W7" s="71">
        <v>40</v>
      </c>
      <c r="X7" s="71">
        <v>99</v>
      </c>
      <c r="Y7" s="17"/>
    </row>
    <row r="8" spans="1:25" ht="21" customHeight="1" x14ac:dyDescent="0.25">
      <c r="A8" s="8">
        <v>44352</v>
      </c>
      <c r="B8" s="1">
        <v>946.57</v>
      </c>
      <c r="C8" s="1">
        <v>223.72</v>
      </c>
      <c r="D8" s="1">
        <v>7416934.1200000001</v>
      </c>
      <c r="E8" s="1">
        <v>8100365.9199999999</v>
      </c>
      <c r="F8" s="1">
        <v>2.3170999999999999</v>
      </c>
      <c r="G8" s="1">
        <v>722.98</v>
      </c>
      <c r="H8" s="1">
        <v>610.20000000000005</v>
      </c>
      <c r="I8" s="1">
        <v>227.61</v>
      </c>
      <c r="J8" s="1">
        <v>311.27999999999997</v>
      </c>
      <c r="K8" s="1">
        <v>334.56</v>
      </c>
      <c r="L8" s="1">
        <v>229.16</v>
      </c>
      <c r="M8" s="1">
        <v>497.6</v>
      </c>
      <c r="N8" s="1">
        <v>451.86</v>
      </c>
      <c r="O8" s="1">
        <v>145.03</v>
      </c>
      <c r="P8" s="1">
        <v>591.04</v>
      </c>
      <c r="Q8" s="1">
        <v>441.91</v>
      </c>
      <c r="R8" s="1">
        <v>149.94</v>
      </c>
      <c r="S8" s="1">
        <v>111.85</v>
      </c>
      <c r="T8" s="1">
        <v>409.45</v>
      </c>
      <c r="V8" s="71">
        <v>14</v>
      </c>
      <c r="W8" s="71">
        <v>36</v>
      </c>
      <c r="X8" s="71">
        <v>137</v>
      </c>
      <c r="Y8" s="17"/>
    </row>
    <row r="9" spans="1:25" ht="21" customHeight="1" x14ac:dyDescent="0.25">
      <c r="A9" s="8">
        <v>44353</v>
      </c>
      <c r="B9" s="111">
        <v>947.76</v>
      </c>
      <c r="C9" s="15">
        <v>223.98</v>
      </c>
      <c r="D9" s="111">
        <v>7419302.3700000001</v>
      </c>
      <c r="E9" s="111">
        <v>8103442.2800000003</v>
      </c>
      <c r="F9" s="15">
        <v>2.3193999999999999</v>
      </c>
      <c r="G9" s="111">
        <v>723.95</v>
      </c>
      <c r="H9" s="111">
        <v>610.69000000000005</v>
      </c>
      <c r="I9" s="111">
        <v>227.91</v>
      </c>
      <c r="J9" s="1">
        <v>311.38</v>
      </c>
      <c r="K9" s="1">
        <v>334.65</v>
      </c>
      <c r="L9" s="1">
        <v>229.26</v>
      </c>
      <c r="M9" s="1">
        <v>498.37</v>
      </c>
      <c r="N9" s="1">
        <v>452.82</v>
      </c>
      <c r="O9" s="1">
        <v>145.27000000000001</v>
      </c>
      <c r="P9" s="1">
        <v>592.11</v>
      </c>
      <c r="Q9" s="1">
        <v>442.58</v>
      </c>
      <c r="R9" s="1">
        <v>150.27000000000001</v>
      </c>
      <c r="S9" s="1">
        <v>111.99</v>
      </c>
      <c r="T9" s="1">
        <v>409.93</v>
      </c>
      <c r="V9" s="71">
        <v>9</v>
      </c>
      <c r="W9" s="71">
        <v>24</v>
      </c>
      <c r="X9" s="71">
        <v>51</v>
      </c>
      <c r="Y9" s="17"/>
    </row>
    <row r="10" spans="1:25" ht="21" customHeight="1" x14ac:dyDescent="0.25">
      <c r="A10" s="8">
        <v>44354</v>
      </c>
      <c r="B10" s="1">
        <v>949.11</v>
      </c>
      <c r="C10" s="1">
        <v>224.15</v>
      </c>
      <c r="D10" s="1">
        <v>7421777.6399999997</v>
      </c>
      <c r="E10" s="1">
        <v>8106476.6799999997</v>
      </c>
      <c r="F10" s="1">
        <v>2.3220000000000001</v>
      </c>
      <c r="G10" s="1">
        <v>724.89</v>
      </c>
      <c r="H10" s="1">
        <v>611.23</v>
      </c>
      <c r="I10" s="1">
        <v>228.23</v>
      </c>
      <c r="J10" s="1">
        <v>311.58999999999997</v>
      </c>
      <c r="K10" s="1">
        <v>334.94</v>
      </c>
      <c r="L10" s="1">
        <v>229.45</v>
      </c>
      <c r="M10" s="1">
        <v>499.23</v>
      </c>
      <c r="N10" s="1">
        <v>453.4</v>
      </c>
      <c r="O10" s="1">
        <v>145.53</v>
      </c>
      <c r="P10" s="1">
        <v>593.20000000000005</v>
      </c>
      <c r="Q10" s="1">
        <v>443.4</v>
      </c>
      <c r="R10" s="1">
        <v>150.44</v>
      </c>
      <c r="S10" s="1">
        <v>112.1</v>
      </c>
      <c r="T10" s="1">
        <v>410.35</v>
      </c>
      <c r="V10" s="71">
        <v>10</v>
      </c>
      <c r="W10" s="71">
        <v>26</v>
      </c>
      <c r="X10" s="71">
        <v>125</v>
      </c>
      <c r="Y10" s="17"/>
    </row>
    <row r="11" spans="1:25" ht="21" customHeight="1" x14ac:dyDescent="0.25">
      <c r="A11" s="8">
        <v>44355</v>
      </c>
      <c r="B11" s="1">
        <v>950.45</v>
      </c>
      <c r="C11" s="1">
        <v>224.35</v>
      </c>
      <c r="D11" s="1">
        <v>7424119.6900000004</v>
      </c>
      <c r="E11" s="1">
        <v>8109663.7599999998</v>
      </c>
      <c r="F11" s="1">
        <v>2.3243</v>
      </c>
      <c r="G11" s="1">
        <v>725.8</v>
      </c>
      <c r="H11" s="1">
        <v>611.76</v>
      </c>
      <c r="I11" s="1">
        <v>228.55</v>
      </c>
      <c r="J11" s="1">
        <v>311.77999999999997</v>
      </c>
      <c r="K11" s="1">
        <v>335.16</v>
      </c>
      <c r="L11" s="1">
        <v>229.64</v>
      </c>
      <c r="M11" s="1">
        <v>500.14</v>
      </c>
      <c r="N11" s="1">
        <v>454.18</v>
      </c>
      <c r="O11" s="1">
        <v>145.82</v>
      </c>
      <c r="P11" s="1">
        <v>594.25</v>
      </c>
      <c r="Q11" s="1">
        <v>444.22</v>
      </c>
      <c r="R11" s="1">
        <v>150.75</v>
      </c>
      <c r="S11" s="1">
        <v>112.22</v>
      </c>
      <c r="T11" s="1">
        <v>410.76</v>
      </c>
      <c r="V11" s="71">
        <v>13</v>
      </c>
      <c r="W11" s="71">
        <v>32</v>
      </c>
      <c r="X11" s="71">
        <v>80</v>
      </c>
      <c r="Y11" s="17"/>
    </row>
    <row r="12" spans="1:25" ht="21" customHeight="1" x14ac:dyDescent="0.25">
      <c r="A12" s="8">
        <v>44356</v>
      </c>
      <c r="B12" s="1">
        <v>951.69</v>
      </c>
      <c r="C12" s="1">
        <v>224.57</v>
      </c>
      <c r="D12" s="1">
        <v>7426484.4800000004</v>
      </c>
      <c r="E12" s="1">
        <v>8112916.3300000001</v>
      </c>
      <c r="F12" s="1">
        <v>2.3266</v>
      </c>
      <c r="G12" s="1">
        <v>726.76</v>
      </c>
      <c r="H12" s="1">
        <v>612.23</v>
      </c>
      <c r="I12" s="1">
        <v>228.87</v>
      </c>
      <c r="J12" s="1">
        <v>311.99</v>
      </c>
      <c r="K12" s="1">
        <v>335.38</v>
      </c>
      <c r="L12" s="1">
        <v>229.8</v>
      </c>
      <c r="M12" s="1">
        <v>501.04</v>
      </c>
      <c r="N12" s="1">
        <v>455</v>
      </c>
      <c r="O12" s="1">
        <v>146.11000000000001</v>
      </c>
      <c r="P12" s="1">
        <v>595.29</v>
      </c>
      <c r="Q12" s="1">
        <v>444.92</v>
      </c>
      <c r="R12" s="1">
        <v>151.06</v>
      </c>
      <c r="S12" s="1">
        <v>112.37</v>
      </c>
      <c r="T12" s="1">
        <v>411.17</v>
      </c>
      <c r="V12" s="71">
        <v>17</v>
      </c>
      <c r="W12" s="71">
        <v>39</v>
      </c>
      <c r="X12" s="71">
        <v>140</v>
      </c>
      <c r="Y12" s="17"/>
    </row>
    <row r="13" spans="1:25" ht="21" customHeight="1" x14ac:dyDescent="0.25">
      <c r="A13" s="8">
        <v>44357</v>
      </c>
      <c r="B13" s="1">
        <v>952.97</v>
      </c>
      <c r="C13" s="1">
        <v>224.79</v>
      </c>
      <c r="D13" s="1">
        <v>7428945.1799999997</v>
      </c>
      <c r="E13" s="1">
        <v>8116349.0800000001</v>
      </c>
      <c r="F13" s="1">
        <v>2.3290000000000002</v>
      </c>
      <c r="G13" s="1">
        <v>727.71</v>
      </c>
      <c r="H13" s="1">
        <v>612.66</v>
      </c>
      <c r="I13" s="1">
        <v>229.2</v>
      </c>
      <c r="J13" s="1">
        <v>312.19</v>
      </c>
      <c r="K13" s="1">
        <v>335.54</v>
      </c>
      <c r="L13" s="1">
        <v>229.97</v>
      </c>
      <c r="M13" s="1">
        <v>501.96</v>
      </c>
      <c r="N13" s="1">
        <v>455.84</v>
      </c>
      <c r="O13" s="1">
        <v>146.38999999999999</v>
      </c>
      <c r="P13" s="1">
        <v>596.44000000000005</v>
      </c>
      <c r="Q13" s="1">
        <v>445.98</v>
      </c>
      <c r="R13" s="1">
        <v>151.4</v>
      </c>
      <c r="S13" s="1">
        <v>112.51</v>
      </c>
      <c r="T13" s="1">
        <v>411.64</v>
      </c>
      <c r="V13" s="71">
        <v>16</v>
      </c>
      <c r="W13" s="71">
        <v>40</v>
      </c>
      <c r="X13" s="71">
        <v>112</v>
      </c>
      <c r="Y13" s="17"/>
    </row>
    <row r="14" spans="1:25" ht="21" customHeight="1" x14ac:dyDescent="0.25">
      <c r="A14" s="8">
        <v>44358</v>
      </c>
      <c r="B14" s="1">
        <v>954.28</v>
      </c>
      <c r="C14" s="1">
        <v>225.01</v>
      </c>
      <c r="D14" s="1">
        <v>7431482.3099999996</v>
      </c>
      <c r="E14" s="1">
        <v>8119663.3099999996</v>
      </c>
      <c r="F14" s="1">
        <v>2.3315000000000001</v>
      </c>
      <c r="G14" s="1">
        <v>728.73</v>
      </c>
      <c r="H14" s="1">
        <v>613.11</v>
      </c>
      <c r="I14" s="1">
        <v>229.52</v>
      </c>
      <c r="J14" s="1">
        <v>312.33999999999997</v>
      </c>
      <c r="K14" s="1">
        <v>335.8</v>
      </c>
      <c r="L14" s="1">
        <v>230.15</v>
      </c>
      <c r="M14" s="1">
        <v>502.85</v>
      </c>
      <c r="N14" s="1">
        <v>456.69</v>
      </c>
      <c r="O14" s="1">
        <v>146.61000000000001</v>
      </c>
      <c r="P14" s="1">
        <v>597.55999999999995</v>
      </c>
      <c r="Q14" s="1">
        <v>446.57</v>
      </c>
      <c r="R14" s="1">
        <v>151.66</v>
      </c>
      <c r="S14" s="1">
        <v>112.63</v>
      </c>
      <c r="T14" s="1">
        <v>412.1</v>
      </c>
      <c r="V14" s="71">
        <v>19</v>
      </c>
      <c r="W14" s="71">
        <v>44</v>
      </c>
      <c r="X14" s="71">
        <v>116</v>
      </c>
      <c r="Y14" s="17"/>
    </row>
    <row r="15" spans="1:25" ht="21" customHeight="1" x14ac:dyDescent="0.25">
      <c r="A15" s="8">
        <v>44359</v>
      </c>
      <c r="B15" s="1">
        <v>955.69</v>
      </c>
      <c r="C15" s="1">
        <v>225.26</v>
      </c>
      <c r="D15" s="1">
        <v>7433992.9500000002</v>
      </c>
      <c r="E15" s="1">
        <v>8122691.8499999996</v>
      </c>
      <c r="F15" s="1">
        <v>2.3340999999999998</v>
      </c>
      <c r="G15" s="1">
        <v>729.74</v>
      </c>
      <c r="H15" s="1">
        <v>613.53</v>
      </c>
      <c r="I15" s="1">
        <v>229.85</v>
      </c>
      <c r="J15" s="1">
        <v>312.52</v>
      </c>
      <c r="K15" s="1">
        <v>336.06</v>
      </c>
      <c r="L15" s="1">
        <v>230.33</v>
      </c>
      <c r="M15" s="1">
        <v>503.66</v>
      </c>
      <c r="N15" s="1">
        <v>457.66</v>
      </c>
      <c r="O15" s="1">
        <v>146.91</v>
      </c>
      <c r="P15" s="1">
        <v>598.73</v>
      </c>
      <c r="Q15" s="1">
        <v>447.33</v>
      </c>
      <c r="R15" s="1">
        <v>151.96</v>
      </c>
      <c r="S15" s="1">
        <v>112.74</v>
      </c>
      <c r="T15" s="1">
        <v>412.37</v>
      </c>
      <c r="V15" s="71">
        <v>20</v>
      </c>
      <c r="W15" s="71">
        <v>50</v>
      </c>
      <c r="X15" s="71">
        <v>151</v>
      </c>
      <c r="Y15" s="17"/>
    </row>
    <row r="16" spans="1:25" ht="21" customHeight="1" x14ac:dyDescent="0.25">
      <c r="A16" s="8">
        <v>44360</v>
      </c>
      <c r="B16" s="1">
        <v>957.02</v>
      </c>
      <c r="C16" s="1">
        <v>225.47</v>
      </c>
      <c r="D16" s="1">
        <v>7436505.0999999996</v>
      </c>
      <c r="E16" s="1">
        <v>8125871.3099999996</v>
      </c>
      <c r="F16" s="1">
        <v>2.3365</v>
      </c>
      <c r="G16" s="1">
        <v>730.66</v>
      </c>
      <c r="H16" s="1">
        <v>613.91999999999996</v>
      </c>
      <c r="I16" s="1">
        <v>230.15</v>
      </c>
      <c r="J16" s="1">
        <v>312.7</v>
      </c>
      <c r="K16" s="1">
        <v>336.29</v>
      </c>
      <c r="L16" s="1">
        <v>230.5</v>
      </c>
      <c r="M16" s="1">
        <v>504.36</v>
      </c>
      <c r="N16" s="1">
        <v>458.59</v>
      </c>
      <c r="O16" s="1">
        <v>147.18</v>
      </c>
      <c r="P16" s="1">
        <v>599.85</v>
      </c>
      <c r="Q16" s="1">
        <v>448.06</v>
      </c>
      <c r="R16" s="1">
        <v>152.29</v>
      </c>
      <c r="S16" s="1">
        <v>112.85</v>
      </c>
      <c r="T16" s="1">
        <v>412.85</v>
      </c>
      <c r="V16" s="71">
        <v>18</v>
      </c>
      <c r="W16" s="71">
        <v>49</v>
      </c>
      <c r="X16" s="71">
        <v>144</v>
      </c>
      <c r="Y16" s="17"/>
    </row>
    <row r="17" spans="1:25" ht="21" customHeight="1" x14ac:dyDescent="0.25">
      <c r="A17" s="8">
        <v>44361</v>
      </c>
      <c r="B17" s="1">
        <v>958.32</v>
      </c>
      <c r="C17" s="1">
        <v>225.71</v>
      </c>
      <c r="D17" s="1">
        <v>7439126.8799999999</v>
      </c>
      <c r="E17" s="1">
        <v>8129252.8600000003</v>
      </c>
      <c r="F17" s="1">
        <v>2.339</v>
      </c>
      <c r="G17" s="1">
        <v>731.63</v>
      </c>
      <c r="H17" s="1">
        <v>614.33000000000004</v>
      </c>
      <c r="I17" s="1">
        <v>230.68</v>
      </c>
      <c r="J17" s="1">
        <v>312.87</v>
      </c>
      <c r="K17" s="1">
        <v>336.53</v>
      </c>
      <c r="L17" s="1">
        <v>230.68</v>
      </c>
      <c r="M17" s="1">
        <v>505.1</v>
      </c>
      <c r="N17" s="1">
        <v>459.57</v>
      </c>
      <c r="O17" s="1">
        <v>147.47999999999999</v>
      </c>
      <c r="P17" s="1">
        <v>601.04999999999995</v>
      </c>
      <c r="Q17" s="1">
        <v>448.71</v>
      </c>
      <c r="R17" s="1">
        <v>152.6</v>
      </c>
      <c r="S17" s="1">
        <v>113.01</v>
      </c>
      <c r="T17" s="1">
        <v>413.34</v>
      </c>
      <c r="V17" s="71">
        <v>11</v>
      </c>
      <c r="W17" s="71">
        <v>32</v>
      </c>
      <c r="X17" s="71">
        <v>78</v>
      </c>
      <c r="Y17" s="17"/>
    </row>
    <row r="18" spans="1:25" ht="21" customHeight="1" x14ac:dyDescent="0.25">
      <c r="A18" s="8">
        <v>44362</v>
      </c>
      <c r="B18" s="1">
        <v>959.72</v>
      </c>
      <c r="C18" s="1">
        <v>225.96</v>
      </c>
      <c r="D18" s="1">
        <v>7441803.0300000003</v>
      </c>
      <c r="E18" s="1">
        <v>8132510.1799999997</v>
      </c>
      <c r="F18" s="1">
        <v>2.3416000000000001</v>
      </c>
      <c r="G18" s="1">
        <v>732.67</v>
      </c>
      <c r="H18" s="1">
        <v>614.74</v>
      </c>
      <c r="I18" s="1">
        <v>230.81</v>
      </c>
      <c r="J18" s="1">
        <v>313.2</v>
      </c>
      <c r="K18" s="1">
        <v>336.83</v>
      </c>
      <c r="L18" s="1">
        <v>230.93</v>
      </c>
      <c r="M18" s="1">
        <v>505.96</v>
      </c>
      <c r="N18" s="1">
        <v>460.48</v>
      </c>
      <c r="O18" s="1">
        <v>147.76</v>
      </c>
      <c r="P18" s="1">
        <v>602.08000000000004</v>
      </c>
      <c r="Q18" s="1">
        <v>449.43</v>
      </c>
      <c r="R18" s="1">
        <v>152.91</v>
      </c>
      <c r="S18" s="1">
        <v>113.14</v>
      </c>
      <c r="T18" s="1">
        <v>413.76</v>
      </c>
      <c r="V18" s="71">
        <v>9</v>
      </c>
      <c r="W18" s="71">
        <v>30</v>
      </c>
      <c r="X18" s="71">
        <v>69</v>
      </c>
      <c r="Y18" s="17"/>
    </row>
    <row r="19" spans="1:25" ht="21" customHeight="1" x14ac:dyDescent="0.25">
      <c r="A19" s="8">
        <v>44363</v>
      </c>
      <c r="B19" s="1">
        <v>961.02</v>
      </c>
      <c r="C19" s="1">
        <v>226.19</v>
      </c>
      <c r="D19" s="1">
        <v>7444179.2400000002</v>
      </c>
      <c r="E19" s="1">
        <v>8135560.4299999997</v>
      </c>
      <c r="F19" s="1">
        <v>2.3437999999999999</v>
      </c>
      <c r="G19" s="1">
        <v>733.55</v>
      </c>
      <c r="H19" s="1">
        <v>615.16</v>
      </c>
      <c r="I19" s="1">
        <v>231.11</v>
      </c>
      <c r="J19" s="1">
        <v>313.29000000000002</v>
      </c>
      <c r="K19" s="1">
        <v>336.99</v>
      </c>
      <c r="L19" s="1">
        <v>231.08</v>
      </c>
      <c r="M19" s="1">
        <v>506.74</v>
      </c>
      <c r="N19" s="1">
        <v>461.25</v>
      </c>
      <c r="O19" s="1">
        <v>148</v>
      </c>
      <c r="P19" s="1">
        <v>603.01</v>
      </c>
      <c r="Q19" s="1">
        <v>450.19</v>
      </c>
      <c r="R19" s="1">
        <v>153.24</v>
      </c>
      <c r="S19" s="1">
        <v>113.2</v>
      </c>
      <c r="T19" s="1">
        <v>414.18</v>
      </c>
      <c r="V19" s="71">
        <v>14</v>
      </c>
      <c r="W19" s="71">
        <v>41</v>
      </c>
      <c r="X19" s="71">
        <v>104</v>
      </c>
      <c r="Y19" s="17"/>
    </row>
    <row r="20" spans="1:25" ht="21" customHeight="1" x14ac:dyDescent="0.25">
      <c r="A20" s="8">
        <v>44364</v>
      </c>
      <c r="B20" s="1">
        <v>962.42</v>
      </c>
      <c r="C20" s="1">
        <v>226.4</v>
      </c>
      <c r="D20" s="1">
        <v>7446082.1799999997</v>
      </c>
      <c r="E20" s="1">
        <v>8139013.1500000004</v>
      </c>
      <c r="F20" s="1">
        <v>2.3464</v>
      </c>
      <c r="G20" s="1">
        <v>734.46</v>
      </c>
      <c r="H20" s="1">
        <v>615.58000000000004</v>
      </c>
      <c r="I20" s="1">
        <v>231.45</v>
      </c>
      <c r="J20" s="1">
        <v>313.47000000000003</v>
      </c>
      <c r="K20" s="1">
        <v>337.19</v>
      </c>
      <c r="L20" s="1">
        <v>231.25</v>
      </c>
      <c r="M20" s="1">
        <v>507.63</v>
      </c>
      <c r="N20" s="1">
        <v>462.05</v>
      </c>
      <c r="O20" s="1">
        <v>148.25</v>
      </c>
      <c r="P20" s="1">
        <v>604.21</v>
      </c>
      <c r="Q20" s="1">
        <v>450.97</v>
      </c>
      <c r="R20" s="1">
        <v>153.56</v>
      </c>
      <c r="S20" s="1">
        <v>113.48</v>
      </c>
      <c r="T20" s="1">
        <v>414.68</v>
      </c>
      <c r="V20" s="71">
        <v>13</v>
      </c>
      <c r="W20" s="71">
        <v>33</v>
      </c>
      <c r="X20" s="71">
        <v>90</v>
      </c>
      <c r="Y20" s="17"/>
    </row>
    <row r="21" spans="1:25" ht="21" customHeight="1" x14ac:dyDescent="0.25">
      <c r="A21" s="8">
        <v>44365</v>
      </c>
      <c r="B21" s="1">
        <v>963.89</v>
      </c>
      <c r="C21" s="1">
        <v>226.6</v>
      </c>
      <c r="D21" s="1">
        <v>7449267.9100000001</v>
      </c>
      <c r="E21" s="1">
        <v>8142139.4199999999</v>
      </c>
      <c r="F21" s="1">
        <v>2.3489</v>
      </c>
      <c r="G21" s="1">
        <v>735.35</v>
      </c>
      <c r="H21" s="1">
        <v>616</v>
      </c>
      <c r="I21" s="1">
        <v>231.74</v>
      </c>
      <c r="J21" s="1">
        <v>313.72000000000003</v>
      </c>
      <c r="K21" s="1">
        <v>337.46</v>
      </c>
      <c r="L21" s="1">
        <v>231.44</v>
      </c>
      <c r="M21" s="1">
        <v>508.5</v>
      </c>
      <c r="N21" s="1">
        <v>462.86</v>
      </c>
      <c r="O21" s="1">
        <v>148.52000000000001</v>
      </c>
      <c r="P21" s="1">
        <v>605.28</v>
      </c>
      <c r="Q21" s="1">
        <v>451.73</v>
      </c>
      <c r="R21" s="1">
        <v>153.82</v>
      </c>
      <c r="S21" s="1">
        <v>113.56</v>
      </c>
      <c r="T21" s="1">
        <v>415.1</v>
      </c>
      <c r="V21" s="71">
        <v>17</v>
      </c>
      <c r="W21" s="71">
        <v>41</v>
      </c>
      <c r="X21" s="71">
        <v>120</v>
      </c>
      <c r="Y21" s="17"/>
    </row>
    <row r="22" spans="1:25" ht="21" customHeight="1" x14ac:dyDescent="0.25">
      <c r="A22" s="8">
        <v>44366</v>
      </c>
      <c r="B22" s="1">
        <v>965.35</v>
      </c>
      <c r="C22" s="1">
        <v>226.83</v>
      </c>
      <c r="D22" s="1">
        <v>7451994.2999999998</v>
      </c>
      <c r="E22" s="1">
        <v>8145341.4699999997</v>
      </c>
      <c r="F22" s="1">
        <v>2.3515000000000001</v>
      </c>
      <c r="G22" s="1">
        <v>736.29</v>
      </c>
      <c r="H22" s="1">
        <v>616.39</v>
      </c>
      <c r="I22" s="1">
        <v>232.13</v>
      </c>
      <c r="J22" s="1">
        <v>313.92</v>
      </c>
      <c r="K22" s="1">
        <v>337.71</v>
      </c>
      <c r="L22" s="1">
        <v>231.63</v>
      </c>
      <c r="M22" s="1">
        <v>509.35</v>
      </c>
      <c r="N22" s="1">
        <v>463.65</v>
      </c>
      <c r="O22" s="1">
        <v>148.79</v>
      </c>
      <c r="P22" s="1">
        <v>606.41999999999996</v>
      </c>
      <c r="Q22" s="1">
        <v>452.59</v>
      </c>
      <c r="R22" s="28">
        <v>154.1</v>
      </c>
      <c r="S22" s="28">
        <v>113.65</v>
      </c>
      <c r="T22" s="1">
        <v>415.4</v>
      </c>
      <c r="V22" s="71">
        <v>21</v>
      </c>
      <c r="W22" s="71">
        <v>50</v>
      </c>
      <c r="X22" s="71">
        <v>153</v>
      </c>
      <c r="Y22" s="17"/>
    </row>
    <row r="23" spans="1:25" ht="21" customHeight="1" x14ac:dyDescent="0.25">
      <c r="A23" s="8">
        <v>44367</v>
      </c>
      <c r="B23" s="1">
        <v>966.66</v>
      </c>
      <c r="C23" s="1">
        <v>227.63</v>
      </c>
      <c r="D23" s="1">
        <v>7454597.6399999997</v>
      </c>
      <c r="E23" s="1">
        <v>8148925.7000000002</v>
      </c>
      <c r="F23" s="1">
        <v>2.3538999999999999</v>
      </c>
      <c r="G23" s="1">
        <v>737.18</v>
      </c>
      <c r="H23" s="1">
        <v>616.82000000000005</v>
      </c>
      <c r="I23" s="1">
        <v>232.48</v>
      </c>
      <c r="J23" s="1">
        <v>314.05</v>
      </c>
      <c r="K23" s="1">
        <v>337.92</v>
      </c>
      <c r="L23" s="1">
        <v>231.81</v>
      </c>
      <c r="M23" s="1">
        <v>510.09</v>
      </c>
      <c r="N23" s="1">
        <v>464.4</v>
      </c>
      <c r="O23" s="1">
        <v>149.01</v>
      </c>
      <c r="P23" s="1">
        <v>607.51</v>
      </c>
      <c r="Q23" s="1">
        <v>453.36</v>
      </c>
      <c r="R23" s="1">
        <v>154.41999999999999</v>
      </c>
      <c r="S23" s="1">
        <v>113.79</v>
      </c>
      <c r="T23" s="1">
        <v>415.86</v>
      </c>
      <c r="V23" s="71">
        <v>23</v>
      </c>
      <c r="W23" s="71">
        <v>56</v>
      </c>
      <c r="X23" s="71">
        <v>176</v>
      </c>
      <c r="Y23" s="17"/>
    </row>
    <row r="24" spans="1:25" ht="21" customHeight="1" x14ac:dyDescent="0.25">
      <c r="A24" s="8">
        <v>44368</v>
      </c>
      <c r="B24" s="1">
        <v>967.92</v>
      </c>
      <c r="C24" s="1">
        <v>227.24</v>
      </c>
      <c r="D24" s="1">
        <v>7457237.21</v>
      </c>
      <c r="E24" s="1">
        <v>8152480.1799999997</v>
      </c>
      <c r="F24" s="1">
        <v>2.3563999999999998</v>
      </c>
      <c r="G24" s="1">
        <v>738.07</v>
      </c>
      <c r="H24" s="1">
        <v>617.34</v>
      </c>
      <c r="I24" s="1">
        <v>232.83</v>
      </c>
      <c r="J24" s="1">
        <v>314.18</v>
      </c>
      <c r="K24" s="1">
        <v>338.15</v>
      </c>
      <c r="L24" s="1">
        <v>231.98</v>
      </c>
      <c r="M24" s="1">
        <v>510.87</v>
      </c>
      <c r="N24" s="1">
        <v>465.16</v>
      </c>
      <c r="O24" s="1">
        <v>149.24</v>
      </c>
      <c r="P24" s="1">
        <v>608.57000000000005</v>
      </c>
      <c r="Q24" s="1">
        <v>454.12</v>
      </c>
      <c r="R24" s="1">
        <v>154.91999999999999</v>
      </c>
      <c r="S24" s="1">
        <v>113.92</v>
      </c>
      <c r="T24" s="1">
        <v>416.32</v>
      </c>
      <c r="V24" s="71">
        <v>18</v>
      </c>
      <c r="W24" s="71">
        <v>52</v>
      </c>
      <c r="X24" s="71">
        <v>135</v>
      </c>
      <c r="Y24" s="17"/>
    </row>
    <row r="25" spans="1:25" ht="21" customHeight="1" x14ac:dyDescent="0.25">
      <c r="A25" s="8">
        <v>44369</v>
      </c>
      <c r="B25" s="1">
        <v>969.36</v>
      </c>
      <c r="C25" s="1">
        <v>227.5</v>
      </c>
      <c r="D25" s="1">
        <v>7460025.2699999996</v>
      </c>
      <c r="E25" s="1">
        <v>8156239.6100000003</v>
      </c>
      <c r="F25" s="1">
        <v>2.3589000000000002</v>
      </c>
      <c r="G25" s="1">
        <v>739.03</v>
      </c>
      <c r="H25" s="1">
        <v>617.82000000000005</v>
      </c>
      <c r="I25" s="1">
        <v>233.2</v>
      </c>
      <c r="J25" s="1">
        <v>314.42</v>
      </c>
      <c r="K25" s="1">
        <v>338.43</v>
      </c>
      <c r="L25" s="1">
        <v>232.18</v>
      </c>
      <c r="M25" s="1">
        <v>511.68</v>
      </c>
      <c r="N25" s="1">
        <v>465.96</v>
      </c>
      <c r="O25" s="1">
        <v>149.47</v>
      </c>
      <c r="P25" s="1">
        <v>609.63</v>
      </c>
      <c r="Q25" s="1">
        <v>454.9</v>
      </c>
      <c r="R25" s="1">
        <v>155.05000000000001</v>
      </c>
      <c r="S25" s="1">
        <v>114.06</v>
      </c>
      <c r="T25" s="1">
        <v>416.83</v>
      </c>
      <c r="V25" s="71">
        <v>11</v>
      </c>
      <c r="W25" s="71">
        <v>34</v>
      </c>
      <c r="X25" s="71">
        <v>111</v>
      </c>
      <c r="Y25" s="17"/>
    </row>
    <row r="26" spans="1:25" ht="21" customHeight="1" x14ac:dyDescent="0.25">
      <c r="A26" s="8">
        <v>44370</v>
      </c>
      <c r="B26" s="1">
        <v>970.73</v>
      </c>
      <c r="C26" s="1">
        <v>227.74</v>
      </c>
      <c r="D26" s="1">
        <v>7462669.0700000003</v>
      </c>
      <c r="E26" s="1">
        <v>8159919.3499999996</v>
      </c>
      <c r="F26" s="1">
        <v>2.3614000000000002</v>
      </c>
      <c r="G26" s="1">
        <v>739.94</v>
      </c>
      <c r="H26" s="1">
        <v>618.35</v>
      </c>
      <c r="I26" s="1">
        <v>233.57</v>
      </c>
      <c r="J26" s="1">
        <v>314.63</v>
      </c>
      <c r="K26" s="1">
        <v>338.7</v>
      </c>
      <c r="L26" s="1">
        <v>232.38</v>
      </c>
      <c r="M26" s="1">
        <v>512.54</v>
      </c>
      <c r="N26" s="1">
        <v>466.72</v>
      </c>
      <c r="O26" s="1">
        <v>149.66999999999999</v>
      </c>
      <c r="P26" s="1">
        <v>610.70000000000005</v>
      </c>
      <c r="Q26" s="1">
        <v>455.65</v>
      </c>
      <c r="R26" s="1">
        <v>155.36000000000001</v>
      </c>
      <c r="S26" s="1">
        <v>114.2</v>
      </c>
      <c r="T26" s="1">
        <v>417.3</v>
      </c>
      <c r="V26" s="71">
        <v>17</v>
      </c>
      <c r="W26" s="71">
        <v>50</v>
      </c>
      <c r="X26" s="71">
        <v>104</v>
      </c>
      <c r="Y26" s="17"/>
    </row>
    <row r="27" spans="1:25" ht="21" customHeight="1" x14ac:dyDescent="0.25">
      <c r="A27" s="8">
        <v>44371</v>
      </c>
      <c r="B27" s="1">
        <v>972.07</v>
      </c>
      <c r="C27" s="1">
        <v>227.98</v>
      </c>
      <c r="D27" s="1">
        <v>7464948.9400000004</v>
      </c>
      <c r="E27" s="1">
        <v>8163578.8200000003</v>
      </c>
      <c r="F27" s="1">
        <v>2.3639000000000001</v>
      </c>
      <c r="G27" s="1">
        <v>740.81</v>
      </c>
      <c r="H27" s="1">
        <v>618.85</v>
      </c>
      <c r="I27" s="1">
        <v>233.93</v>
      </c>
      <c r="J27" s="1">
        <v>314.87</v>
      </c>
      <c r="K27" s="1">
        <v>338.97</v>
      </c>
      <c r="L27" s="1">
        <v>232.57</v>
      </c>
      <c r="M27" s="1">
        <v>513.29</v>
      </c>
      <c r="N27" s="1">
        <v>467.48</v>
      </c>
      <c r="O27" s="1">
        <v>149.97</v>
      </c>
      <c r="P27" s="1">
        <v>611.79999999999995</v>
      </c>
      <c r="Q27" s="1">
        <v>456.39</v>
      </c>
      <c r="R27" s="1">
        <v>155.69</v>
      </c>
      <c r="S27" s="1">
        <v>114.33</v>
      </c>
      <c r="T27" s="1">
        <v>417.75</v>
      </c>
      <c r="V27" s="71">
        <v>18</v>
      </c>
      <c r="W27" s="71">
        <v>51</v>
      </c>
      <c r="X27" s="71">
        <v>129</v>
      </c>
      <c r="Y27" s="17"/>
    </row>
    <row r="28" spans="1:25" ht="21" customHeight="1" x14ac:dyDescent="0.25">
      <c r="A28" s="8">
        <v>44372</v>
      </c>
      <c r="B28" s="1">
        <v>973.4</v>
      </c>
      <c r="C28" s="1">
        <v>228.18</v>
      </c>
      <c r="D28" s="1">
        <v>7467350.8300000001</v>
      </c>
      <c r="E28" s="1">
        <v>8167123.2999999998</v>
      </c>
      <c r="F28" s="1">
        <v>2.3664000000000001</v>
      </c>
      <c r="G28" s="1">
        <v>741.69</v>
      </c>
      <c r="H28" s="1">
        <v>619.32000000000005</v>
      </c>
      <c r="I28" s="1">
        <v>234.25</v>
      </c>
      <c r="J28" s="1">
        <v>315.05</v>
      </c>
      <c r="K28" s="1">
        <v>339.18</v>
      </c>
      <c r="L28" s="1">
        <v>232.75</v>
      </c>
      <c r="M28" s="1">
        <v>514.02</v>
      </c>
      <c r="N28" s="1">
        <v>468.31</v>
      </c>
      <c r="O28" s="1">
        <v>150.13999999999999</v>
      </c>
      <c r="P28" s="1">
        <v>613.04999999999995</v>
      </c>
      <c r="Q28" s="1">
        <v>457.19</v>
      </c>
      <c r="R28" s="1">
        <v>155.86000000000001</v>
      </c>
      <c r="S28" s="1">
        <v>114.44</v>
      </c>
      <c r="T28" s="1">
        <v>418.22</v>
      </c>
      <c r="V28" s="71">
        <v>19</v>
      </c>
      <c r="W28" s="71">
        <v>52</v>
      </c>
      <c r="X28" s="71">
        <v>152</v>
      </c>
      <c r="Y28" s="17"/>
    </row>
    <row r="29" spans="1:25" ht="21" customHeight="1" x14ac:dyDescent="0.25">
      <c r="A29" s="8">
        <v>44373</v>
      </c>
      <c r="B29" s="1">
        <v>974.72</v>
      </c>
      <c r="C29" s="1">
        <v>228.43</v>
      </c>
      <c r="D29" s="1">
        <v>7469457.3899999997</v>
      </c>
      <c r="E29" s="1">
        <v>8170121.4199999999</v>
      </c>
      <c r="F29" s="1">
        <v>2.3679999999999999</v>
      </c>
      <c r="G29" s="1">
        <v>742.48</v>
      </c>
      <c r="H29" s="1">
        <v>619.79</v>
      </c>
      <c r="I29" s="1">
        <v>234.56</v>
      </c>
      <c r="J29" s="1">
        <v>315.29000000000002</v>
      </c>
      <c r="K29" s="1">
        <v>339.43</v>
      </c>
      <c r="L29" s="1">
        <v>232.94</v>
      </c>
      <c r="M29" s="1">
        <v>514.80999999999995</v>
      </c>
      <c r="N29" s="1">
        <v>469.11</v>
      </c>
      <c r="O29" s="1">
        <v>150.34</v>
      </c>
      <c r="P29" s="1">
        <v>614.11</v>
      </c>
      <c r="Q29" s="1">
        <v>458.01</v>
      </c>
      <c r="R29" s="1">
        <v>156.16999999999999</v>
      </c>
      <c r="S29" s="1">
        <v>114.56</v>
      </c>
      <c r="T29" s="1">
        <v>418.5</v>
      </c>
      <c r="V29" s="71">
        <v>16</v>
      </c>
      <c r="W29" s="71">
        <v>43</v>
      </c>
      <c r="X29" s="71">
        <v>119</v>
      </c>
      <c r="Y29" s="17"/>
    </row>
    <row r="30" spans="1:25" ht="21" customHeight="1" x14ac:dyDescent="0.25">
      <c r="A30" s="8">
        <v>44374</v>
      </c>
      <c r="B30" s="1">
        <v>976.09</v>
      </c>
      <c r="C30" s="1">
        <v>228.66</v>
      </c>
      <c r="D30" s="1">
        <v>7471846.3099999996</v>
      </c>
      <c r="E30" s="1">
        <v>8173084.6200000001</v>
      </c>
      <c r="F30" s="1">
        <v>2.3714</v>
      </c>
      <c r="G30" s="1">
        <v>743.28</v>
      </c>
      <c r="H30" s="1">
        <v>620.29</v>
      </c>
      <c r="I30" s="1">
        <v>234.87</v>
      </c>
      <c r="J30" s="1">
        <v>315.47000000000003</v>
      </c>
      <c r="K30" s="1">
        <v>339.68</v>
      </c>
      <c r="L30" s="1">
        <v>233.14</v>
      </c>
      <c r="M30" s="1">
        <v>515.54</v>
      </c>
      <c r="N30" s="1">
        <v>469.88</v>
      </c>
      <c r="O30" s="1">
        <v>150.55000000000001</v>
      </c>
      <c r="P30" s="1">
        <v>615.1</v>
      </c>
      <c r="Q30" s="1">
        <v>458.81</v>
      </c>
      <c r="R30" s="1">
        <v>156.49</v>
      </c>
      <c r="S30" s="1">
        <v>114.67</v>
      </c>
      <c r="T30" s="1">
        <v>418.97</v>
      </c>
      <c r="V30" s="71">
        <v>12</v>
      </c>
      <c r="W30" s="71">
        <v>37</v>
      </c>
      <c r="X30" s="71">
        <v>96</v>
      </c>
      <c r="Y30" s="17"/>
    </row>
    <row r="31" spans="1:25" ht="21" customHeight="1" x14ac:dyDescent="0.25">
      <c r="A31" s="8">
        <v>44375</v>
      </c>
      <c r="B31" s="1">
        <v>977.29</v>
      </c>
      <c r="C31" s="1">
        <v>228.88</v>
      </c>
      <c r="D31" s="1">
        <v>7473772.46</v>
      </c>
      <c r="E31" s="1">
        <v>8175720.7300000004</v>
      </c>
      <c r="F31" s="1">
        <v>2.3738999999999999</v>
      </c>
      <c r="G31" s="1">
        <v>743.97</v>
      </c>
      <c r="H31" s="1">
        <v>620.76</v>
      </c>
      <c r="I31" s="1">
        <v>235.15</v>
      </c>
      <c r="J31" s="1">
        <v>315.76</v>
      </c>
      <c r="K31" s="1">
        <v>339.93</v>
      </c>
      <c r="L31" s="1">
        <v>233.35</v>
      </c>
      <c r="M31" s="1">
        <v>516.21</v>
      </c>
      <c r="N31" s="1">
        <v>470.53</v>
      </c>
      <c r="O31" s="1">
        <v>150.76</v>
      </c>
      <c r="P31" s="1">
        <v>615.94000000000005</v>
      </c>
      <c r="Q31" s="1">
        <v>459.55</v>
      </c>
      <c r="R31" s="1">
        <v>156.82</v>
      </c>
      <c r="S31" s="1">
        <v>114.81</v>
      </c>
      <c r="T31" s="1">
        <v>419.41</v>
      </c>
      <c r="V31" s="71">
        <v>11</v>
      </c>
      <c r="W31" s="71">
        <v>38</v>
      </c>
      <c r="X31" s="71">
        <v>94</v>
      </c>
      <c r="Y31" s="17"/>
    </row>
    <row r="32" spans="1:25" ht="21" customHeight="1" x14ac:dyDescent="0.25">
      <c r="A32" s="8">
        <v>44376</v>
      </c>
      <c r="B32" s="1">
        <v>978.6</v>
      </c>
      <c r="C32" s="1">
        <v>229.1</v>
      </c>
      <c r="D32" s="1">
        <v>7476237.7300000004</v>
      </c>
      <c r="E32" s="1">
        <v>8178881.29</v>
      </c>
      <c r="F32" s="1">
        <v>2.3761999999999999</v>
      </c>
      <c r="G32" s="1">
        <v>744.72</v>
      </c>
      <c r="H32" s="1">
        <v>621.26</v>
      </c>
      <c r="I32" s="1">
        <v>235.45</v>
      </c>
      <c r="J32" s="1">
        <v>315.99</v>
      </c>
      <c r="K32" s="1">
        <v>340.21</v>
      </c>
      <c r="L32" s="1">
        <v>233.54</v>
      </c>
      <c r="M32" s="1">
        <v>517.02</v>
      </c>
      <c r="N32" s="1">
        <v>471.25</v>
      </c>
      <c r="O32" s="1">
        <v>150.97999999999999</v>
      </c>
      <c r="P32" s="1">
        <v>616.85</v>
      </c>
      <c r="Q32" s="1">
        <v>460.29</v>
      </c>
      <c r="R32" s="1">
        <v>157.11000000000001</v>
      </c>
      <c r="S32" s="1">
        <v>114.92</v>
      </c>
      <c r="T32" s="1">
        <v>419.9</v>
      </c>
      <c r="V32" s="71">
        <v>9</v>
      </c>
      <c r="W32" s="71">
        <v>25</v>
      </c>
      <c r="X32" s="71">
        <v>57</v>
      </c>
      <c r="Y32" s="17"/>
    </row>
    <row r="33" spans="1:25" ht="19.5" customHeight="1" x14ac:dyDescent="0.25">
      <c r="A33" s="8">
        <v>44377</v>
      </c>
      <c r="B33" s="1">
        <v>979.84</v>
      </c>
      <c r="C33" s="1">
        <v>229.35</v>
      </c>
      <c r="D33" s="1">
        <v>7478260.29</v>
      </c>
      <c r="E33" s="1">
        <v>8181527.1200000001</v>
      </c>
      <c r="F33" s="1">
        <v>2.3784999999999998</v>
      </c>
      <c r="G33" s="1">
        <v>745.41</v>
      </c>
      <c r="H33" s="1">
        <v>621.69000000000005</v>
      </c>
      <c r="I33" s="1">
        <v>235.72</v>
      </c>
      <c r="J33" s="1">
        <v>316.20999999999998</v>
      </c>
      <c r="K33" s="1">
        <v>340.5</v>
      </c>
      <c r="L33" s="1">
        <v>233.73</v>
      </c>
      <c r="M33" s="1">
        <v>517.70000000000005</v>
      </c>
      <c r="N33" s="1">
        <v>471.89</v>
      </c>
      <c r="O33" s="1">
        <v>151.16999999999999</v>
      </c>
      <c r="P33" s="1">
        <v>617.66</v>
      </c>
      <c r="Q33" s="1">
        <v>461</v>
      </c>
      <c r="R33" s="1">
        <v>157.41999999999999</v>
      </c>
      <c r="S33" s="1">
        <v>115.04</v>
      </c>
      <c r="T33" s="1">
        <v>420.32</v>
      </c>
      <c r="V33" s="71">
        <v>8</v>
      </c>
      <c r="W33" s="71">
        <v>23</v>
      </c>
      <c r="X33" s="71">
        <v>55</v>
      </c>
      <c r="Y33" s="17"/>
    </row>
    <row r="34" spans="1:25" ht="19.5" customHeight="1" x14ac:dyDescent="0.25">
      <c r="A34" s="8">
        <v>44378</v>
      </c>
      <c r="B34" s="1">
        <v>981.18</v>
      </c>
      <c r="C34" s="1">
        <v>229.58</v>
      </c>
      <c r="D34" s="1">
        <v>7480564.5499999998</v>
      </c>
      <c r="E34" s="1">
        <v>8184646.8899999997</v>
      </c>
      <c r="F34" s="1">
        <v>2.3807999999999998</v>
      </c>
      <c r="G34" s="1">
        <v>746.17</v>
      </c>
      <c r="H34" s="1">
        <v>622.15</v>
      </c>
      <c r="I34" s="1">
        <v>236.04</v>
      </c>
      <c r="J34" s="1">
        <v>316.45999999999998</v>
      </c>
      <c r="K34" s="1">
        <v>340.8</v>
      </c>
      <c r="L34" s="1">
        <v>233.9</v>
      </c>
      <c r="M34" s="1">
        <v>518.45000000000005</v>
      </c>
      <c r="N34" s="1">
        <v>472.62</v>
      </c>
      <c r="O34" s="1">
        <v>151.38</v>
      </c>
      <c r="P34" s="1">
        <v>618.58000000000004</v>
      </c>
      <c r="Q34" s="1">
        <v>461.67</v>
      </c>
      <c r="R34" s="1">
        <v>157.72999999999999</v>
      </c>
      <c r="S34" s="1">
        <v>115.16</v>
      </c>
      <c r="T34" s="1">
        <v>420.76</v>
      </c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458</v>
      </c>
      <c r="W35" s="78">
        <f>SUM(W4:W34)</f>
        <v>1207</v>
      </c>
      <c r="X35" s="78">
        <f>SUM(X4:X34)</f>
        <v>3398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G39" sqref="G3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44348</v>
      </c>
      <c r="B4" s="26">
        <v>25520</v>
      </c>
      <c r="C4" s="4">
        <f>('Kwh Reading'!T5-'Kwh Reading'!T4)*1000</f>
        <v>479.99999999996135</v>
      </c>
      <c r="D4" s="2">
        <f>('Kwh Reading'!F5-'Kwh Reading'!F4)*1000000</f>
        <v>1999.9999999997797</v>
      </c>
      <c r="E4" s="2">
        <f>('Kwh Reading'!C5-'Kwh Reading'!C4)*1000</f>
        <v>209.99999999997954</v>
      </c>
      <c r="F4" s="2">
        <f>('Kwh Reading'!J5-'Kwh Reading'!J4)*1000</f>
        <v>149.99999999997726</v>
      </c>
      <c r="G4" s="2">
        <f>('Kwh Reading'!K5-'Kwh Reading'!K4)*1000</f>
        <v>230.00000000001819</v>
      </c>
      <c r="H4" s="2">
        <f>('Kwh Reading'!L5-'Kwh Reading'!L4)*1000</f>
        <v>169.99999999998749</v>
      </c>
      <c r="I4" s="2">
        <f>('Kwh Reading'!R5-'Kwh Reading'!R4)*1000</f>
        <v>330.00000000001251</v>
      </c>
      <c r="J4" s="2">
        <f>('Kwh Reading'!S5-'Kwh Reading'!S4)*1000</f>
        <v>119.99999999999034</v>
      </c>
      <c r="K4" s="2">
        <f>('Kwh Reading'!I5-'Kwh Reading'!I4)*1000</f>
        <v>310.00000000000227</v>
      </c>
      <c r="L4" s="2">
        <f>('Kwh Reading'!B5-'Kwh Reading'!B4)*1000</f>
        <v>1179.99999999995</v>
      </c>
      <c r="M4" s="2">
        <f>('Kwh Reading'!M5-'Kwh Reading'!M4)*1000</f>
        <v>780.00000000002956</v>
      </c>
      <c r="N4" s="2">
        <f>('Kwh Reading'!H5-'Kwh Reading'!H4)*1000</f>
        <v>509.99999999999091</v>
      </c>
      <c r="O4" s="2">
        <f>('Kwh Reading'!P5-'Kwh Reading'!P4)*1000</f>
        <v>1089.9999999999181</v>
      </c>
      <c r="P4" s="2">
        <f>('Kwh Reading'!G5-'Kwh Reading'!G4)*1000</f>
        <v>929.99999999994998</v>
      </c>
      <c r="Q4" s="2">
        <f>('Kwh Reading'!Q5-'Kwh Reading'!Q4)*1000</f>
        <v>670.00000000001592</v>
      </c>
      <c r="R4" s="2">
        <f>('Kwh Reading'!N5-'Kwh Reading'!N4)*1000</f>
        <v>769.99999999998181</v>
      </c>
      <c r="S4" s="2">
        <f>'Kwh Reading'!E5-'Kwh Reading'!E4</f>
        <v>3109.160000000149</v>
      </c>
      <c r="T4" s="2">
        <f>'Kwh Reading'!D5-'Kwh Reading'!D4</f>
        <v>2552.5599999995902</v>
      </c>
      <c r="U4" s="27">
        <f>('Kwh Reading'!O5-'Kwh Reading'!O4)*1000</f>
        <v>260.00000000001933</v>
      </c>
      <c r="V4" s="16">
        <f>B4-(SUM(C4:U4))</f>
        <v>9668.2800000006937</v>
      </c>
    </row>
    <row r="5" spans="1:22" x14ac:dyDescent="0.25">
      <c r="A5" s="3">
        <f>'Kwh Reading'!A5</f>
        <v>44349</v>
      </c>
      <c r="B5" s="26">
        <f>TOTAL!E3</f>
        <v>23169.999999999618</v>
      </c>
      <c r="C5" s="4">
        <f>('Kwh Reading'!T6-'Kwh Reading'!T5)*1000</f>
        <v>500</v>
      </c>
      <c r="D5" s="2">
        <f>('Kwh Reading'!F6-'Kwh Reading'!F5)*1000000</f>
        <v>2299.9999999999686</v>
      </c>
      <c r="E5" s="2">
        <f>('Kwh Reading'!C6-'Kwh Reading'!C5)*1000</f>
        <v>210.00000000000796</v>
      </c>
      <c r="F5" s="2">
        <f>('Kwh Reading'!J6-'Kwh Reading'!J5)*1000</f>
        <v>170.00000000001592</v>
      </c>
      <c r="G5" s="2">
        <f>('Kwh Reading'!K6-'Kwh Reading'!K5)*1000</f>
        <v>250</v>
      </c>
      <c r="H5" s="2">
        <f>('Kwh Reading'!L6-'Kwh Reading'!L5)*1000</f>
        <v>159.99999999999659</v>
      </c>
      <c r="I5" s="2">
        <f>('Kwh Reading'!R6-'Kwh Reading'!R5)*1000</f>
        <v>330.00000000001251</v>
      </c>
      <c r="J5" s="2">
        <f>('Kwh Reading'!S6-'Kwh Reading'!S5)*1000</f>
        <v>150.00000000000568</v>
      </c>
      <c r="K5" s="2">
        <f>('Kwh Reading'!I6-'Kwh Reading'!I5)*1000</f>
        <v>329.99999999998408</v>
      </c>
      <c r="L5" s="2">
        <f>('Kwh Reading'!B6-'Kwh Reading'!B5)*1000</f>
        <v>1240.0000000000091</v>
      </c>
      <c r="M5" s="2">
        <f>('Kwh Reading'!M6-'Kwh Reading'!M5)*1000</f>
        <v>769.99999999998181</v>
      </c>
      <c r="N5" s="2">
        <f>('Kwh Reading'!H6-'Kwh Reading'!H5)*1000</f>
        <v>580.00000000004093</v>
      </c>
      <c r="O5" s="2">
        <f>('Kwh Reading'!P6-'Kwh Reading'!P5)*1000</f>
        <v>1150.0000000000909</v>
      </c>
      <c r="P5" s="2">
        <f>('Kwh Reading'!G6-'Kwh Reading'!G5)*1000</f>
        <v>990.00000000000909</v>
      </c>
      <c r="Q5" s="2">
        <f>('Kwh Reading'!Q6-'Kwh Reading'!Q5)*1000</f>
        <v>729.99999999996135</v>
      </c>
      <c r="R5" s="2">
        <f>('Kwh Reading'!N6-'Kwh Reading'!N5)*1000</f>
        <v>819.99999999999318</v>
      </c>
      <c r="S5" s="2">
        <f>'Kwh Reading'!E6-'Kwh Reading'!E5</f>
        <v>3181.7900000000373</v>
      </c>
      <c r="T5" s="2">
        <f>'Kwh Reading'!D6-'Kwh Reading'!D5</f>
        <v>2623.1299999998882</v>
      </c>
      <c r="U5" s="27">
        <f>('Kwh Reading'!O6-'Kwh Reading'!O5)*1000</f>
        <v>269.99999999998181</v>
      </c>
      <c r="V5" s="16">
        <f t="shared" ref="V5:V9" si="0">B5-(SUM(C5:U5))</f>
        <v>6415.0799999996307</v>
      </c>
    </row>
    <row r="6" spans="1:22" x14ac:dyDescent="0.25">
      <c r="A6" s="3">
        <f>'Kwh Reading'!A6</f>
        <v>44350</v>
      </c>
      <c r="B6" s="26">
        <f>TOTAL!E4</f>
        <v>22990.00000000024</v>
      </c>
      <c r="C6" s="4">
        <f>('Kwh Reading'!T7-'Kwh Reading'!T6)*1000</f>
        <v>520.00000000003865</v>
      </c>
      <c r="D6" s="2">
        <f>('Kwh Reading'!F7-'Kwh Reading'!F6)*1000000</f>
        <v>2400.0000000001796</v>
      </c>
      <c r="E6" s="2">
        <f>('Kwh Reading'!C7-'Kwh Reading'!C6)*1000</f>
        <v>219.99999999999886</v>
      </c>
      <c r="F6" s="2">
        <f>('Kwh Reading'!J7-'Kwh Reading'!J6)*1000</f>
        <v>180.00000000000682</v>
      </c>
      <c r="G6" s="2">
        <f>('Kwh Reading'!K7-'Kwh Reading'!K6)*1000</f>
        <v>240.00000000000909</v>
      </c>
      <c r="H6" s="2">
        <f>('Kwh Reading'!L7-'Kwh Reading'!L6)*1000</f>
        <v>180.00000000000682</v>
      </c>
      <c r="I6" s="2">
        <f>('Kwh Reading'!R7-'Kwh Reading'!R6)*1000</f>
        <v>339.99999999997499</v>
      </c>
      <c r="J6" s="2">
        <f>('Kwh Reading'!S7-'Kwh Reading'!S6)*1000</f>
        <v>120.00000000000455</v>
      </c>
      <c r="K6" s="2">
        <f>('Kwh Reading'!I7-'Kwh Reading'!I6)*1000</f>
        <v>360.00000000001364</v>
      </c>
      <c r="L6" s="2">
        <f>('Kwh Reading'!B7-'Kwh Reading'!B6)*1000</f>
        <v>1289.9999999999636</v>
      </c>
      <c r="M6" s="2">
        <f>('Kwh Reading'!M7-'Kwh Reading'!M6)*1000</f>
        <v>790.00000000002046</v>
      </c>
      <c r="N6" s="2">
        <f>('Kwh Reading'!H7-'Kwh Reading'!H6)*1000</f>
        <v>569.99999999993634</v>
      </c>
      <c r="O6" s="2">
        <f>('Kwh Reading'!P7-'Kwh Reading'!P6)*1000</f>
        <v>1139.9999999999864</v>
      </c>
      <c r="P6" s="2">
        <f>('Kwh Reading'!G7-'Kwh Reading'!G6)*1000</f>
        <v>970.00000000002728</v>
      </c>
      <c r="Q6" s="2">
        <f>('Kwh Reading'!Q7-'Kwh Reading'!Q6)*1000</f>
        <v>670.00000000001592</v>
      </c>
      <c r="R6" s="2">
        <f>('Kwh Reading'!N7-'Kwh Reading'!N6)*1000</f>
        <v>879.99999999999545</v>
      </c>
      <c r="S6" s="2">
        <f>'Kwh Reading'!E7-'Kwh Reading'!E6</f>
        <v>3190.7799999993294</v>
      </c>
      <c r="T6" s="2">
        <f>'Kwh Reading'!D7-'Kwh Reading'!D6</f>
        <v>2636.910000000149</v>
      </c>
      <c r="U6" s="27">
        <f>('Kwh Reading'!O7-'Kwh Reading'!O6)*1000</f>
        <v>230.00000000001819</v>
      </c>
      <c r="V6" s="16">
        <f t="shared" si="0"/>
        <v>6062.3100000005616</v>
      </c>
    </row>
    <row r="7" spans="1:22" x14ac:dyDescent="0.25">
      <c r="A7" s="3">
        <f>'Kwh Reading'!A7</f>
        <v>44351</v>
      </c>
      <c r="B7" s="26">
        <f>TOTAL!E5</f>
        <v>22279.99999999952</v>
      </c>
      <c r="C7" s="4">
        <f>('Kwh Reading'!T8-'Kwh Reading'!T7)*1000</f>
        <v>289.99999999996362</v>
      </c>
      <c r="D7" s="2">
        <f>('Kwh Reading'!F8-'Kwh Reading'!F7)*1000000</f>
        <v>2299.9999999999686</v>
      </c>
      <c r="E7" s="2">
        <f>('Kwh Reading'!C8-'Kwh Reading'!C7)*1000</f>
        <v>250</v>
      </c>
      <c r="F7" s="2">
        <f>('Kwh Reading'!J8-'Kwh Reading'!J7)*1000</f>
        <v>229.99999999996135</v>
      </c>
      <c r="G7" s="2">
        <f>('Kwh Reading'!K8-'Kwh Reading'!K7)*1000</f>
        <v>209.99999999997954</v>
      </c>
      <c r="H7" s="2">
        <f>('Kwh Reading'!L8-'Kwh Reading'!L7)*1000</f>
        <v>219.99999999999886</v>
      </c>
      <c r="I7" s="2">
        <f>('Kwh Reading'!R8-'Kwh Reading'!R7)*1000</f>
        <v>300.00000000001137</v>
      </c>
      <c r="J7" s="2">
        <f>('Kwh Reading'!S8-'Kwh Reading'!S7)*1000</f>
        <v>119.99999999999034</v>
      </c>
      <c r="K7" s="2">
        <f>('Kwh Reading'!I8-'Kwh Reading'!I7)*1000</f>
        <v>330.00000000001251</v>
      </c>
      <c r="L7" s="2">
        <f>('Kwh Reading'!B8-'Kwh Reading'!B7)*1000</f>
        <v>1270.0000000000955</v>
      </c>
      <c r="M7" s="2">
        <f>('Kwh Reading'!M8-'Kwh Reading'!M7)*1000</f>
        <v>800.00000000001137</v>
      </c>
      <c r="N7" s="2">
        <f>('Kwh Reading'!H8-'Kwh Reading'!H7)*1000</f>
        <v>530.0000000000864</v>
      </c>
      <c r="O7" s="2">
        <f>('Kwh Reading'!P8-'Kwh Reading'!P7)*1000</f>
        <v>1069.9999999999363</v>
      </c>
      <c r="P7" s="2">
        <f>('Kwh Reading'!G8-'Kwh Reading'!G7)*1000</f>
        <v>1000</v>
      </c>
      <c r="Q7" s="2">
        <f>('Kwh Reading'!Q8-'Kwh Reading'!Q7)*1000</f>
        <v>710.00000000003638</v>
      </c>
      <c r="R7" s="2">
        <f>('Kwh Reading'!N8-'Kwh Reading'!N7)*1000</f>
        <v>850.00000000002274</v>
      </c>
      <c r="S7" s="2">
        <f>'Kwh Reading'!E8-'Kwh Reading'!E7</f>
        <v>2897.820000000298</v>
      </c>
      <c r="T7" s="2">
        <f>'Kwh Reading'!D8-'Kwh Reading'!D7</f>
        <v>2605.1200000001118</v>
      </c>
      <c r="U7" s="27">
        <f>('Kwh Reading'!O8-'Kwh Reading'!O7)*1000</f>
        <v>229.99999999998977</v>
      </c>
      <c r="V7" s="16">
        <f t="shared" si="0"/>
        <v>6067.0599999990482</v>
      </c>
    </row>
    <row r="8" spans="1:22" x14ac:dyDescent="0.25">
      <c r="A8" s="3">
        <f>'Kwh Reading'!A8</f>
        <v>44352</v>
      </c>
      <c r="B8" s="26">
        <f>TOTAL!E6</f>
        <v>22609.999999999673</v>
      </c>
      <c r="C8" s="4">
        <f>('Kwh Reading'!T9-'Kwh Reading'!T8)*1000</f>
        <v>480.00000000001819</v>
      </c>
      <c r="D8" s="2">
        <f>('Kwh Reading'!F9-'Kwh Reading'!F8)*1000000</f>
        <v>2299.9999999999686</v>
      </c>
      <c r="E8" s="2">
        <f>('Kwh Reading'!C9-'Kwh Reading'!C8)*1000</f>
        <v>259.99999999999091</v>
      </c>
      <c r="F8" s="2">
        <f>('Kwh Reading'!J9-'Kwh Reading'!J8)*1000</f>
        <v>100.00000000002274</v>
      </c>
      <c r="G8" s="2">
        <f>('Kwh Reading'!K9-'Kwh Reading'!K8)*1000</f>
        <v>89.999999999974989</v>
      </c>
      <c r="H8" s="2">
        <f>('Kwh Reading'!L9-'Kwh Reading'!L8)*1000</f>
        <v>99.999999999994316</v>
      </c>
      <c r="I8" s="2">
        <f>('Kwh Reading'!R9-'Kwh Reading'!R8)*1000</f>
        <v>330.00000000001251</v>
      </c>
      <c r="J8" s="2">
        <f>('Kwh Reading'!S9-'Kwh Reading'!S8)*1000</f>
        <v>140.00000000000057</v>
      </c>
      <c r="K8" s="2">
        <f>('Kwh Reading'!I9-'Kwh Reading'!I8)*1000</f>
        <v>299.99999999998295</v>
      </c>
      <c r="L8" s="2">
        <f>('Kwh Reading'!B9-'Kwh Reading'!B8)*1000</f>
        <v>1189.9999999999409</v>
      </c>
      <c r="M8" s="2">
        <f>('Kwh Reading'!M9-'Kwh Reading'!M8)*1000</f>
        <v>769.99999999998181</v>
      </c>
      <c r="N8" s="2">
        <f>('Kwh Reading'!H9-'Kwh Reading'!H8)*1000</f>
        <v>490.00000000000909</v>
      </c>
      <c r="O8" s="2">
        <f>('Kwh Reading'!P9-'Kwh Reading'!P8)*1000</f>
        <v>1070.00000000005</v>
      </c>
      <c r="P8" s="2">
        <f>('Kwh Reading'!G9-'Kwh Reading'!G8)*1000</f>
        <v>970.00000000002728</v>
      </c>
      <c r="Q8" s="2">
        <f>('Kwh Reading'!Q9-'Kwh Reading'!Q8)*1000</f>
        <v>669.99999999995907</v>
      </c>
      <c r="R8" s="2">
        <f>('Kwh Reading'!N9-'Kwh Reading'!N8)*1000</f>
        <v>959.99999999997954</v>
      </c>
      <c r="S8" s="2">
        <f>'Kwh Reading'!E9-'Kwh Reading'!E8</f>
        <v>3076.3600000003353</v>
      </c>
      <c r="T8" s="2">
        <f>'Kwh Reading'!D9-'Kwh Reading'!D8</f>
        <v>2368.25</v>
      </c>
      <c r="U8" s="27">
        <f>('Kwh Reading'!O9-'Kwh Reading'!O8)*1000</f>
        <v>240.00000000000909</v>
      </c>
      <c r="V8" s="16">
        <f t="shared" si="0"/>
        <v>6705.3899999994137</v>
      </c>
    </row>
    <row r="9" spans="1:22" x14ac:dyDescent="0.25">
      <c r="A9" s="3">
        <f>'Kwh Reading'!A9</f>
        <v>44353</v>
      </c>
      <c r="B9" s="26">
        <f>TOTAL!E7</f>
        <v>22650.000000001004</v>
      </c>
      <c r="C9" s="4">
        <f>('Kwh Reading'!T10-'Kwh Reading'!T9)*1000</f>
        <v>420.00000000001592</v>
      </c>
      <c r="D9" s="2">
        <f>('Kwh Reading'!F10-'Kwh Reading'!F9)*1000000</f>
        <v>2600.0000000001578</v>
      </c>
      <c r="E9" s="2">
        <f>('Kwh Reading'!C10-'Kwh Reading'!C9)*1000</f>
        <v>170.00000000001592</v>
      </c>
      <c r="F9" s="2">
        <f>('Kwh Reading'!J10-'Kwh Reading'!J9)*1000</f>
        <v>209.99999999997954</v>
      </c>
      <c r="G9" s="2">
        <f>('Kwh Reading'!K10-'Kwh Reading'!K9)*1000</f>
        <v>290.00000000002046</v>
      </c>
      <c r="H9" s="2">
        <f>('Kwh Reading'!L10-'Kwh Reading'!L9)*1000</f>
        <v>189.99999999999773</v>
      </c>
      <c r="I9" s="2">
        <f>('Kwh Reading'!R10-'Kwh Reading'!R9)*1000</f>
        <v>169.99999999998749</v>
      </c>
      <c r="J9" s="2">
        <f>('Kwh Reading'!S10-'Kwh Reading'!S9)*1000</f>
        <v>109.99999999999943</v>
      </c>
      <c r="K9" s="2">
        <f>('Kwh Reading'!I10-'Kwh Reading'!I9)*1000</f>
        <v>319.99999999999318</v>
      </c>
      <c r="L9" s="2">
        <f>('Kwh Reading'!B10-'Kwh Reading'!B9)*1000</f>
        <v>1350.0000000000227</v>
      </c>
      <c r="M9" s="2">
        <f>('Kwh Reading'!M10-'Kwh Reading'!M9)*1000</f>
        <v>860.00000000001364</v>
      </c>
      <c r="N9" s="2">
        <f>('Kwh Reading'!H10-'Kwh Reading'!H9)*1000</f>
        <v>539.99999999996362</v>
      </c>
      <c r="O9" s="2">
        <f>('Kwh Reading'!P10-'Kwh Reading'!P9)*1000</f>
        <v>1090.0000000000318</v>
      </c>
      <c r="P9" s="2">
        <f>('Kwh Reading'!G10-'Kwh Reading'!G9)*1000</f>
        <v>939.99999999994088</v>
      </c>
      <c r="Q9" s="2">
        <f>('Kwh Reading'!Q10-'Kwh Reading'!Q9)*1000</f>
        <v>819.99999999999318</v>
      </c>
      <c r="R9" s="2">
        <f>('Kwh Reading'!N10-'Kwh Reading'!N9)*1000</f>
        <v>579.99999999998408</v>
      </c>
      <c r="S9" s="2">
        <f>'Kwh Reading'!E10-'Kwh Reading'!E9</f>
        <v>3034.3999999994412</v>
      </c>
      <c r="T9" s="2">
        <f>'Kwh Reading'!D10-'Kwh Reading'!D9</f>
        <v>2475.269999999553</v>
      </c>
      <c r="U9" s="27">
        <f>('Kwh Reading'!O10-'Kwh Reading'!O9)*1000</f>
        <v>259.99999999999091</v>
      </c>
      <c r="V9" s="16">
        <f t="shared" si="0"/>
        <v>6220.3300000019008</v>
      </c>
    </row>
    <row r="10" spans="1:22" x14ac:dyDescent="0.25">
      <c r="A10" s="3">
        <f>'Kwh Reading'!A10</f>
        <v>44354</v>
      </c>
      <c r="B10" s="26">
        <f>TOTAL!E8</f>
        <v>23299.999999999498</v>
      </c>
      <c r="C10" s="4">
        <f>('Kwh Reading'!T11-'Kwh Reading'!T10)*1000</f>
        <v>409.99999999996817</v>
      </c>
      <c r="D10" s="2">
        <f>('Kwh Reading'!F11-'Kwh Reading'!F10)*1000000</f>
        <v>2299.9999999999686</v>
      </c>
      <c r="E10" s="2">
        <f>('Kwh Reading'!C11-'Kwh Reading'!C10)*1000</f>
        <v>199.99999999998863</v>
      </c>
      <c r="F10" s="2">
        <f>('Kwh Reading'!J11-'Kwh Reading'!J10)*1000</f>
        <v>189.99999999999773</v>
      </c>
      <c r="G10" s="2">
        <f>('Kwh Reading'!K11-'Kwh Reading'!K10)*1000</f>
        <v>220.00000000002728</v>
      </c>
      <c r="H10" s="2">
        <f>('Kwh Reading'!L11-'Kwh Reading'!L10)*1000</f>
        <v>189.99999999999773</v>
      </c>
      <c r="I10" s="2">
        <f>('Kwh Reading'!R11-'Kwh Reading'!R10)*1000</f>
        <v>310.00000000000227</v>
      </c>
      <c r="J10" s="2">
        <f>('Kwh Reading'!S11-'Kwh Reading'!S10)*1000</f>
        <v>120.00000000000455</v>
      </c>
      <c r="K10" s="2">
        <f>('Kwh Reading'!I11-'Kwh Reading'!I10)*1000</f>
        <v>320.0000000000216</v>
      </c>
      <c r="L10" s="2">
        <f>('Kwh Reading'!B11-'Kwh Reading'!B10)*1000</f>
        <v>1340.0000000000318</v>
      </c>
      <c r="M10" s="2">
        <f>('Kwh Reading'!M11-'Kwh Reading'!M10)*1000</f>
        <v>909.99999999996817</v>
      </c>
      <c r="N10" s="2">
        <f>('Kwh Reading'!H11-'Kwh Reading'!H10)*1000</f>
        <v>529.99999999997272</v>
      </c>
      <c r="O10" s="2">
        <f>('Kwh Reading'!P11-'Kwh Reading'!P10)*1000</f>
        <v>1049.9999999999545</v>
      </c>
      <c r="P10" s="2">
        <f>('Kwh Reading'!G11-'Kwh Reading'!G10)*1000</f>
        <v>909.99999999996817</v>
      </c>
      <c r="Q10" s="2">
        <f>('Kwh Reading'!Q11-'Kwh Reading'!Q10)*1000</f>
        <v>820.00000000005002</v>
      </c>
      <c r="R10" s="2">
        <f>('Kwh Reading'!N11-'Kwh Reading'!N10)*1000</f>
        <v>780.00000000002956</v>
      </c>
      <c r="S10" s="34">
        <f>'Kwh Reading'!E11-'Kwh Reading'!E10</f>
        <v>3187.0800000000745</v>
      </c>
      <c r="T10" s="34">
        <f>'Kwh Reading'!D11-'Kwh Reading'!D10</f>
        <v>2342.0500000007451</v>
      </c>
      <c r="U10" s="27">
        <f>('Kwh Reading'!O11-'Kwh Reading'!O10)*1000</f>
        <v>289.99999999999204</v>
      </c>
      <c r="V10" s="16">
        <f t="shared" ref="V10:V34" si="1">B10-(SUM(C10:U10))</f>
        <v>6880.869999998733</v>
      </c>
    </row>
    <row r="11" spans="1:22" x14ac:dyDescent="0.25">
      <c r="A11" s="3">
        <f>'Kwh Reading'!A11</f>
        <v>44355</v>
      </c>
      <c r="B11" s="26">
        <f>TOTAL!E9</f>
        <v>22609.999999999447</v>
      </c>
      <c r="C11" s="4">
        <f>('Kwh Reading'!T12-'Kwh Reading'!T11)*1000</f>
        <v>410.00000000002501</v>
      </c>
      <c r="D11" s="2">
        <f>('Kwh Reading'!F12-'Kwh Reading'!F11)*1000000</f>
        <v>2299.9999999999686</v>
      </c>
      <c r="E11" s="2">
        <f>('Kwh Reading'!C12-'Kwh Reading'!C11)*1000</f>
        <v>219.99999999999886</v>
      </c>
      <c r="F11" s="2">
        <f>('Kwh Reading'!J12-'Kwh Reading'!J11)*1000</f>
        <v>210.00000000003638</v>
      </c>
      <c r="G11" s="2">
        <f>('Kwh Reading'!K12-'Kwh Reading'!K11)*1000</f>
        <v>219.99999999997044</v>
      </c>
      <c r="H11" s="2">
        <f>('Kwh Reading'!L12-'Kwh Reading'!L11)*1000</f>
        <v>160.00000000002501</v>
      </c>
      <c r="I11" s="2">
        <f>('Kwh Reading'!R12-'Kwh Reading'!R11)*1000</f>
        <v>310.00000000000227</v>
      </c>
      <c r="J11" s="2">
        <f>('Kwh Reading'!S12-'Kwh Reading'!S11)*1000</f>
        <v>150.00000000000568</v>
      </c>
      <c r="K11" s="2">
        <f>('Kwh Reading'!I12-'Kwh Reading'!I11)*1000</f>
        <v>319.99999999999318</v>
      </c>
      <c r="L11" s="2">
        <f>('Kwh Reading'!B12-'Kwh Reading'!B11)*1000</f>
        <v>1240.0000000000091</v>
      </c>
      <c r="M11" s="2">
        <f>('Kwh Reading'!M12-'Kwh Reading'!M11)*1000</f>
        <v>900.00000000003411</v>
      </c>
      <c r="N11" s="2">
        <f>('Kwh Reading'!H12-'Kwh Reading'!H11)*1000</f>
        <v>470.00000000002728</v>
      </c>
      <c r="O11" s="2">
        <f>('Kwh Reading'!P12-'Kwh Reading'!P11)*1000</f>
        <v>1039.9999999999636</v>
      </c>
      <c r="P11" s="2">
        <f>('Kwh Reading'!G12-'Kwh Reading'!G11)*1000</f>
        <v>960.00000000003638</v>
      </c>
      <c r="Q11" s="2">
        <f>('Kwh Reading'!Q12-'Kwh Reading'!Q11)*1000</f>
        <v>699.99999999998863</v>
      </c>
      <c r="R11" s="2">
        <f>('Kwh Reading'!N12-'Kwh Reading'!N11)*1000</f>
        <v>819.99999999999318</v>
      </c>
      <c r="S11" s="34">
        <f>'Kwh Reading'!E12-'Kwh Reading'!E11</f>
        <v>3252.570000000298</v>
      </c>
      <c r="T11" s="34">
        <f>'Kwh Reading'!D12-'Kwh Reading'!D11</f>
        <v>2364.7900000000373</v>
      </c>
      <c r="U11" s="27">
        <f>('Kwh Reading'!O12-'Kwh Reading'!O11)*1000</f>
        <v>290.00000000002046</v>
      </c>
      <c r="V11" s="16">
        <f t="shared" si="1"/>
        <v>6272.6399999990135</v>
      </c>
    </row>
    <row r="12" spans="1:22" x14ac:dyDescent="0.25">
      <c r="A12" s="3">
        <f>'Kwh Reading'!A12</f>
        <v>44356</v>
      </c>
      <c r="B12" s="26">
        <f>TOTAL!E10</f>
        <v>23510.000000001128</v>
      </c>
      <c r="C12" s="4">
        <f>('Kwh Reading'!T13-'Kwh Reading'!T12)*1000</f>
        <v>469.99999999997044</v>
      </c>
      <c r="D12" s="2">
        <f>('Kwh Reading'!F13-'Kwh Reading'!F12)*1000000</f>
        <v>2400.0000000001796</v>
      </c>
      <c r="E12" s="2">
        <f>('Kwh Reading'!C13-'Kwh Reading'!C12)*1000</f>
        <v>219.99999999999886</v>
      </c>
      <c r="F12" s="2">
        <f>('Kwh Reading'!J13-'Kwh Reading'!J12)*1000</f>
        <v>199.99999999998863</v>
      </c>
      <c r="G12" s="2">
        <f>('Kwh Reading'!K13-'Kwh Reading'!K12)*1000</f>
        <v>160.00000000002501</v>
      </c>
      <c r="H12" s="2">
        <f>('Kwh Reading'!L13-'Kwh Reading'!L12)*1000</f>
        <v>169.99999999998749</v>
      </c>
      <c r="I12" s="2">
        <f>('Kwh Reading'!R13-'Kwh Reading'!R12)*1000</f>
        <v>340.00000000000341</v>
      </c>
      <c r="J12" s="2">
        <f>('Kwh Reading'!S13-'Kwh Reading'!S12)*1000</f>
        <v>140.00000000000057</v>
      </c>
      <c r="K12" s="2">
        <f>('Kwh Reading'!I13-'Kwh Reading'!I12)*1000</f>
        <v>329.99999999998408</v>
      </c>
      <c r="L12" s="2">
        <f>('Kwh Reading'!B13-'Kwh Reading'!B12)*1000</f>
        <v>1279.9999999999727</v>
      </c>
      <c r="M12" s="2">
        <f>('Kwh Reading'!M13-'Kwh Reading'!M12)*1000</f>
        <v>919.99999999995907</v>
      </c>
      <c r="N12" s="2">
        <f>('Kwh Reading'!H13-'Kwh Reading'!H12)*1000</f>
        <v>429.99999999994998</v>
      </c>
      <c r="O12" s="2">
        <f>('Kwh Reading'!P13-'Kwh Reading'!P12)*1000</f>
        <v>1150.0000000000909</v>
      </c>
      <c r="P12" s="2">
        <f>('Kwh Reading'!G13-'Kwh Reading'!G12)*1000</f>
        <v>950.00000000004547</v>
      </c>
      <c r="Q12" s="2">
        <f>('Kwh Reading'!Q13-'Kwh Reading'!Q12)*1000</f>
        <v>1060.0000000000023</v>
      </c>
      <c r="R12" s="2">
        <f>('Kwh Reading'!N13-'Kwh Reading'!N12)*1000</f>
        <v>839.99999999997499</v>
      </c>
      <c r="S12" s="34">
        <f>'Kwh Reading'!E13-'Kwh Reading'!E12</f>
        <v>3432.75</v>
      </c>
      <c r="T12" s="34">
        <f>'Kwh Reading'!D13-'Kwh Reading'!D12</f>
        <v>2460.6999999992549</v>
      </c>
      <c r="U12" s="27">
        <f>('Kwh Reading'!O13-'Kwh Reading'!O12)*1000</f>
        <v>279.99999999997272</v>
      </c>
      <c r="V12" s="16">
        <f t="shared" si="1"/>
        <v>6276.550000001771</v>
      </c>
    </row>
    <row r="13" spans="1:22" x14ac:dyDescent="0.25">
      <c r="A13" s="3">
        <f>'Kwh Reading'!A13</f>
        <v>44357</v>
      </c>
      <c r="B13" s="26">
        <f>TOTAL!E11</f>
        <v>23329.999999999927</v>
      </c>
      <c r="C13" s="4">
        <f>('Kwh Reading'!T14-'Kwh Reading'!T13)*1000</f>
        <v>460.00000000003638</v>
      </c>
      <c r="D13" s="2">
        <f>('Kwh Reading'!F14-'Kwh Reading'!F13)*1000000</f>
        <v>2499.9999999999468</v>
      </c>
      <c r="E13" s="2">
        <f>('Kwh Reading'!C14-'Kwh Reading'!C13)*1000</f>
        <v>219.99999999999886</v>
      </c>
      <c r="F13" s="2">
        <f>('Kwh Reading'!J14-'Kwh Reading'!J13)*1000</f>
        <v>149.99999999997726</v>
      </c>
      <c r="G13" s="2">
        <f>('Kwh Reading'!K14-'Kwh Reading'!K13)*1000</f>
        <v>259.99999999999091</v>
      </c>
      <c r="H13" s="2">
        <f>('Kwh Reading'!L14-'Kwh Reading'!L13)*1000</f>
        <v>180.00000000000682</v>
      </c>
      <c r="I13" s="2">
        <f>('Kwh Reading'!R14-'Kwh Reading'!R13)*1000</f>
        <v>259.99999999999091</v>
      </c>
      <c r="J13" s="2">
        <f>('Kwh Reading'!S14-'Kwh Reading'!S13)*1000</f>
        <v>119.99999999999034</v>
      </c>
      <c r="K13" s="2">
        <f>('Kwh Reading'!I14-'Kwh Reading'!I13)*1000</f>
        <v>320.0000000000216</v>
      </c>
      <c r="L13" s="2">
        <f>('Kwh Reading'!B14-'Kwh Reading'!B13)*1000</f>
        <v>1309.9999999999454</v>
      </c>
      <c r="M13" s="2">
        <f>('Kwh Reading'!M14-'Kwh Reading'!M13)*1000</f>
        <v>890.0000000000432</v>
      </c>
      <c r="N13" s="2">
        <f>('Kwh Reading'!H14-'Kwh Reading'!H13)*1000</f>
        <v>450.00000000004547</v>
      </c>
      <c r="O13" s="2">
        <f>('Kwh Reading'!P14-'Kwh Reading'!P13)*1000</f>
        <v>1119.9999999998909</v>
      </c>
      <c r="P13" s="2">
        <f>('Kwh Reading'!G14-'Kwh Reading'!G13)*1000</f>
        <v>1019.9999999999818</v>
      </c>
      <c r="Q13" s="2">
        <f>('Kwh Reading'!Q14-'Kwh Reading'!Q13)*1000</f>
        <v>589.99999999997499</v>
      </c>
      <c r="R13" s="2">
        <f>('Kwh Reading'!N14-'Kwh Reading'!N13)*1000</f>
        <v>850.00000000002274</v>
      </c>
      <c r="S13" s="34">
        <f>'Kwh Reading'!E14-'Kwh Reading'!E13</f>
        <v>3314.2299999995157</v>
      </c>
      <c r="T13" s="34">
        <f>'Kwh Reading'!D14-'Kwh Reading'!D13</f>
        <v>2537.1299999998882</v>
      </c>
      <c r="U13" s="27">
        <f>('Kwh Reading'!O14-'Kwh Reading'!O13)*1000</f>
        <v>220.00000000002728</v>
      </c>
      <c r="V13" s="16">
        <f t="shared" si="1"/>
        <v>6558.6400000006324</v>
      </c>
    </row>
    <row r="14" spans="1:22" x14ac:dyDescent="0.25">
      <c r="A14" s="3">
        <f>'Kwh Reading'!A14</f>
        <v>44358</v>
      </c>
      <c r="B14" s="26">
        <f>TOTAL!E12</f>
        <v>22709.999999999127</v>
      </c>
      <c r="C14" s="4">
        <f>('Kwh Reading'!T15-'Kwh Reading'!T14)*1000</f>
        <v>269.99999999998181</v>
      </c>
      <c r="D14" s="2">
        <f>('Kwh Reading'!F15-'Kwh Reading'!F14)*1000000</f>
        <v>2599.9999999997135</v>
      </c>
      <c r="E14" s="2">
        <f>('Kwh Reading'!C15-'Kwh Reading'!C14)*1000</f>
        <v>250</v>
      </c>
      <c r="F14" s="2">
        <f>('Kwh Reading'!J15-'Kwh Reading'!J14)*1000</f>
        <v>180.00000000000682</v>
      </c>
      <c r="G14" s="2">
        <f>('Kwh Reading'!K15-'Kwh Reading'!K14)*1000</f>
        <v>259.99999999999091</v>
      </c>
      <c r="H14" s="2">
        <f>('Kwh Reading'!L15-'Kwh Reading'!L14)*1000</f>
        <v>180.00000000000682</v>
      </c>
      <c r="I14" s="2">
        <f>('Kwh Reading'!R15-'Kwh Reading'!R14)*1000</f>
        <v>300.00000000001137</v>
      </c>
      <c r="J14" s="2">
        <f>('Kwh Reading'!S15-'Kwh Reading'!S14)*1000</f>
        <v>109.99999999999943</v>
      </c>
      <c r="K14" s="2">
        <f>('Kwh Reading'!I15-'Kwh Reading'!I14)*1000</f>
        <v>329.99999999998408</v>
      </c>
      <c r="L14" s="2">
        <f>('Kwh Reading'!B15-'Kwh Reading'!B14)*1000</f>
        <v>1410.0000000000819</v>
      </c>
      <c r="M14" s="2">
        <f>('Kwh Reading'!M15-'Kwh Reading'!M14)*1000</f>
        <v>810.00000000000227</v>
      </c>
      <c r="N14" s="2">
        <f>('Kwh Reading'!H15-'Kwh Reading'!H14)*1000</f>
        <v>419.99999999995907</v>
      </c>
      <c r="O14" s="2">
        <f>('Kwh Reading'!P15-'Kwh Reading'!P14)*1000</f>
        <v>1170.0000000000728</v>
      </c>
      <c r="P14" s="2">
        <f>('Kwh Reading'!G15-'Kwh Reading'!G14)*1000</f>
        <v>1009.9999999999909</v>
      </c>
      <c r="Q14" s="2">
        <f>('Kwh Reading'!Q15-'Kwh Reading'!Q14)*1000</f>
        <v>759.99999999999091</v>
      </c>
      <c r="R14" s="2">
        <f>('Kwh Reading'!N15-'Kwh Reading'!N14)*1000</f>
        <v>970.00000000002728</v>
      </c>
      <c r="S14" s="34">
        <f>'Kwh Reading'!E15-'Kwh Reading'!E14</f>
        <v>3028.5400000000373</v>
      </c>
      <c r="T14" s="34">
        <f>'Kwh Reading'!D15-'Kwh Reading'!D14</f>
        <v>2510.640000000596</v>
      </c>
      <c r="U14" s="27">
        <f>('Kwh Reading'!O15-'Kwh Reading'!O14)*1000</f>
        <v>299.99999999998295</v>
      </c>
      <c r="V14" s="16">
        <f t="shared" si="1"/>
        <v>5840.8199999986937</v>
      </c>
    </row>
    <row r="15" spans="1:22" x14ac:dyDescent="0.25">
      <c r="A15" s="3">
        <f>'Kwh Reading'!A15</f>
        <v>44359</v>
      </c>
      <c r="B15" s="26">
        <f>TOTAL!E13</f>
        <v>22700.000000001637</v>
      </c>
      <c r="C15" s="4">
        <f>('Kwh Reading'!T16-'Kwh Reading'!T15)*1000</f>
        <v>480.00000000001819</v>
      </c>
      <c r="D15" s="2">
        <f>('Kwh Reading'!F16-'Kwh Reading'!F15)*1000000</f>
        <v>2400.0000000001796</v>
      </c>
      <c r="E15" s="2">
        <f>('Kwh Reading'!C16-'Kwh Reading'!C15)*1000</f>
        <v>210.00000000000796</v>
      </c>
      <c r="F15" s="2">
        <f>('Kwh Reading'!J16-'Kwh Reading'!J15)*1000</f>
        <v>180.00000000000682</v>
      </c>
      <c r="G15" s="2">
        <f>('Kwh Reading'!K16-'Kwh Reading'!K15)*1000</f>
        <v>230.00000000001819</v>
      </c>
      <c r="H15" s="2">
        <f>('Kwh Reading'!L16-'Kwh Reading'!L15)*1000</f>
        <v>169.99999999998749</v>
      </c>
      <c r="I15" s="2">
        <f>('Kwh Reading'!R16-'Kwh Reading'!R15)*1000</f>
        <v>329.99999999998408</v>
      </c>
      <c r="J15" s="2">
        <f>('Kwh Reading'!S16-'Kwh Reading'!S15)*1000</f>
        <v>109.99999999999943</v>
      </c>
      <c r="K15" s="2">
        <f>('Kwh Reading'!I16-'Kwh Reading'!I15)*1000</f>
        <v>300.00000000001137</v>
      </c>
      <c r="L15" s="2">
        <f>('Kwh Reading'!B16-'Kwh Reading'!B15)*1000</f>
        <v>1329.9999999999272</v>
      </c>
      <c r="M15" s="2">
        <f>('Kwh Reading'!M16-'Kwh Reading'!M15)*1000</f>
        <v>699.99999999998863</v>
      </c>
      <c r="N15" s="2">
        <f>('Kwh Reading'!H16-'Kwh Reading'!H15)*1000</f>
        <v>389.99999999998636</v>
      </c>
      <c r="O15" s="2">
        <f>('Kwh Reading'!P16-'Kwh Reading'!P15)*1000</f>
        <v>1120.0000000000045</v>
      </c>
      <c r="P15" s="2">
        <f>('Kwh Reading'!G16-'Kwh Reading'!G15)*1000</f>
        <v>919.99999999995907</v>
      </c>
      <c r="Q15" s="2">
        <f>('Kwh Reading'!Q16-'Kwh Reading'!Q15)*1000</f>
        <v>730.00000000001819</v>
      </c>
      <c r="R15" s="2">
        <f>('Kwh Reading'!N16-'Kwh Reading'!N15)*1000</f>
        <v>929.99999999994998</v>
      </c>
      <c r="S15" s="34">
        <f>'Kwh Reading'!E16-'Kwh Reading'!E15</f>
        <v>3179.4599999999627</v>
      </c>
      <c r="T15" s="34">
        <f>'Kwh Reading'!D16-'Kwh Reading'!D15</f>
        <v>2512.1499999994412</v>
      </c>
      <c r="U15" s="27">
        <f>('Kwh Reading'!O16-'Kwh Reading'!O15)*1000</f>
        <v>270.00000000001023</v>
      </c>
      <c r="V15" s="16">
        <f t="shared" si="1"/>
        <v>6208.3900000021749</v>
      </c>
    </row>
    <row r="16" spans="1:22" x14ac:dyDescent="0.25">
      <c r="A16" s="3">
        <f>'Kwh Reading'!A16</f>
        <v>44360</v>
      </c>
      <c r="B16" s="26">
        <f>TOTAL!E14</f>
        <v>23749.999999999091</v>
      </c>
      <c r="C16" s="4">
        <f>('Kwh Reading'!T17-'Kwh Reading'!T16)*1000</f>
        <v>489.99999999995225</v>
      </c>
      <c r="D16" s="2">
        <f>('Kwh Reading'!F17-'Kwh Reading'!F16)*1000000</f>
        <v>2499.9999999999468</v>
      </c>
      <c r="E16" s="2">
        <f>('Kwh Reading'!C17-'Kwh Reading'!C16)*1000</f>
        <v>240.00000000000909</v>
      </c>
      <c r="F16" s="2">
        <f>('Kwh Reading'!J17-'Kwh Reading'!J16)*1000</f>
        <v>170.00000000001592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310.00000000000227</v>
      </c>
      <c r="J16" s="2">
        <f>('Kwh Reading'!S17-'Kwh Reading'!S16)*1000</f>
        <v>160.0000000000108</v>
      </c>
      <c r="K16" s="2">
        <f>('Kwh Reading'!I17-'Kwh Reading'!I16)*1000</f>
        <v>530.00000000000114</v>
      </c>
      <c r="L16" s="2">
        <f>('Kwh Reading'!B17-'Kwh Reading'!B16)*1000</f>
        <v>1300.0000000000682</v>
      </c>
      <c r="M16" s="2">
        <f>('Kwh Reading'!M17-'Kwh Reading'!M16)*1000</f>
        <v>740.00000000000909</v>
      </c>
      <c r="N16" s="2">
        <f>('Kwh Reading'!H17-'Kwh Reading'!H16)*1000</f>
        <v>410.00000000008185</v>
      </c>
      <c r="O16" s="2">
        <f>('Kwh Reading'!P17-'Kwh Reading'!P16)*1000</f>
        <v>1199.9999999999318</v>
      </c>
      <c r="P16" s="2">
        <f>('Kwh Reading'!G17-'Kwh Reading'!G16)*1000</f>
        <v>970.00000000002728</v>
      </c>
      <c r="Q16" s="2">
        <f>('Kwh Reading'!Q17-'Kwh Reading'!Q16)*1000</f>
        <v>649.99999999997726</v>
      </c>
      <c r="R16" s="2">
        <f>('Kwh Reading'!N17-'Kwh Reading'!N16)*1000</f>
        <v>980.00000000001819</v>
      </c>
      <c r="S16" s="34">
        <f>'Kwh Reading'!E17-'Kwh Reading'!E16</f>
        <v>3381.5500000007451</v>
      </c>
      <c r="T16" s="34">
        <f>'Kwh Reading'!D17-'Kwh Reading'!D16</f>
        <v>2621.7800000002608</v>
      </c>
      <c r="U16" s="27">
        <f>('Kwh Reading'!O17-'Kwh Reading'!O16)*1000</f>
        <v>299.99999999998295</v>
      </c>
      <c r="V16" s="16">
        <f t="shared" si="1"/>
        <v>6376.669999998092</v>
      </c>
    </row>
    <row r="17" spans="1:22" x14ac:dyDescent="0.25">
      <c r="A17" s="3">
        <f>'Kwh Reading'!A17</f>
        <v>44361</v>
      </c>
      <c r="B17" s="26">
        <f>TOTAL!E15</f>
        <v>22739.999999999782</v>
      </c>
      <c r="C17" s="4">
        <f>('Kwh Reading'!T18-'Kwh Reading'!T17)*1000</f>
        <v>420.00000000001592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329.99999999998408</v>
      </c>
      <c r="G17" s="2">
        <f>('Kwh Reading'!K18-'Kwh Reading'!K17)*1000</f>
        <v>300.00000000001137</v>
      </c>
      <c r="H17" s="2">
        <f>('Kwh Reading'!L18-'Kwh Reading'!L17)*1000</f>
        <v>250</v>
      </c>
      <c r="I17" s="2">
        <f>('Kwh Reading'!R18-'Kwh Reading'!R17)*1000</f>
        <v>310.00000000000227</v>
      </c>
      <c r="J17" s="2">
        <f>('Kwh Reading'!S18-'Kwh Reading'!S17)*1000</f>
        <v>129.99999999999545</v>
      </c>
      <c r="K17" s="2">
        <f>('Kwh Reading'!I18-'Kwh Reading'!I17)*1000</f>
        <v>129.99999999999545</v>
      </c>
      <c r="L17" s="2">
        <f>('Kwh Reading'!B18-'Kwh Reading'!B17)*1000</f>
        <v>1399.9999999999773</v>
      </c>
      <c r="M17" s="2">
        <f>('Kwh Reading'!M18-'Kwh Reading'!M17)*1000</f>
        <v>859.9999999999568</v>
      </c>
      <c r="N17" s="2">
        <f>('Kwh Reading'!H18-'Kwh Reading'!H17)*1000</f>
        <v>409.99999999996817</v>
      </c>
      <c r="O17" s="2">
        <f>('Kwh Reading'!P18-'Kwh Reading'!P17)*1000</f>
        <v>1030.0000000000864</v>
      </c>
      <c r="P17" s="2">
        <f>('Kwh Reading'!G18-'Kwh Reading'!G17)*1000</f>
        <v>1039.9999999999636</v>
      </c>
      <c r="Q17" s="2">
        <f>('Kwh Reading'!Q18-'Kwh Reading'!Q17)*1000</f>
        <v>720.00000000002728</v>
      </c>
      <c r="R17" s="2">
        <f>('Kwh Reading'!N18-'Kwh Reading'!N17)*1000</f>
        <v>910.00000000002501</v>
      </c>
      <c r="S17" s="34">
        <f>'Kwh Reading'!E18-'Kwh Reading'!E17</f>
        <v>3257.3199999993667</v>
      </c>
      <c r="T17" s="34">
        <f>'Kwh Reading'!D18-'Kwh Reading'!D17</f>
        <v>2676.1500000003725</v>
      </c>
      <c r="U17" s="27">
        <f>('Kwh Reading'!O18-'Kwh Reading'!O17)*1000</f>
        <v>280.00000000000114</v>
      </c>
      <c r="V17" s="16">
        <f t="shared" si="1"/>
        <v>5436.5299999998751</v>
      </c>
    </row>
    <row r="18" spans="1:22" x14ac:dyDescent="0.25">
      <c r="A18" s="3">
        <f>'Kwh Reading'!A18</f>
        <v>44362</v>
      </c>
      <c r="B18" s="26">
        <f>TOTAL!E16</f>
        <v>22609.999999999902</v>
      </c>
      <c r="C18" s="4">
        <f>('Kwh Reading'!T19-'Kwh Reading'!T18)*1000</f>
        <v>420.00000000001592</v>
      </c>
      <c r="D18" s="2">
        <f>('Kwh Reading'!F19-'Kwh Reading'!F18)*1000000</f>
        <v>2199.9999999997576</v>
      </c>
      <c r="E18" s="2">
        <f>('Kwh Reading'!C19-'Kwh Reading'!C18)*1000</f>
        <v>229.99999999998977</v>
      </c>
      <c r="F18" s="2">
        <f>('Kwh Reading'!J19-'Kwh Reading'!J18)*1000</f>
        <v>90.000000000031832</v>
      </c>
      <c r="G18" s="2">
        <f>('Kwh Reading'!K19-'Kwh Reading'!K18)*1000</f>
        <v>160.00000000002501</v>
      </c>
      <c r="H18" s="2">
        <f>('Kwh Reading'!L19-'Kwh Reading'!L18)*1000</f>
        <v>150.00000000000568</v>
      </c>
      <c r="I18" s="2">
        <f>('Kwh Reading'!R19-'Kwh Reading'!R18)*1000</f>
        <v>330.00000000001251</v>
      </c>
      <c r="J18" s="2">
        <f>('Kwh Reading'!S19-'Kwh Reading'!S18)*1000</f>
        <v>60.000000000002274</v>
      </c>
      <c r="K18" s="2">
        <f>('Kwh Reading'!I19-'Kwh Reading'!I18)*1000</f>
        <v>300.00000000001137</v>
      </c>
      <c r="L18" s="2">
        <f>('Kwh Reading'!B19-'Kwh Reading'!B18)*1000</f>
        <v>1299.9999999999545</v>
      </c>
      <c r="M18" s="2">
        <f>('Kwh Reading'!M19-'Kwh Reading'!M18)*1000</f>
        <v>780.00000000002956</v>
      </c>
      <c r="N18" s="2">
        <f>('Kwh Reading'!H19-'Kwh Reading'!H18)*1000</f>
        <v>419.99999999995907</v>
      </c>
      <c r="O18" s="2">
        <f>('Kwh Reading'!P19-'Kwh Reading'!P18)*1000</f>
        <v>929.99999999994998</v>
      </c>
      <c r="P18" s="2">
        <f>('Kwh Reading'!G19-'Kwh Reading'!G18)*1000</f>
        <v>879.99999999999545</v>
      </c>
      <c r="Q18" s="2">
        <f>('Kwh Reading'!Q19-'Kwh Reading'!Q18)*1000</f>
        <v>759.99999999999091</v>
      </c>
      <c r="R18" s="2">
        <f>('Kwh Reading'!N19-'Kwh Reading'!N18)*1000</f>
        <v>769.99999999998181</v>
      </c>
      <c r="S18" s="34">
        <f>'Kwh Reading'!E19-'Kwh Reading'!E18</f>
        <v>3050.25</v>
      </c>
      <c r="T18" s="34">
        <f>'Kwh Reading'!D19-'Kwh Reading'!D18</f>
        <v>2376.2099999999627</v>
      </c>
      <c r="U18" s="27">
        <f>('Kwh Reading'!O19-'Kwh Reading'!O18)*1000</f>
        <v>240.00000000000909</v>
      </c>
      <c r="V18" s="16">
        <f t="shared" si="1"/>
        <v>7163.5400000002155</v>
      </c>
    </row>
    <row r="19" spans="1:22" x14ac:dyDescent="0.25">
      <c r="A19" s="3">
        <f>'Kwh Reading'!A19</f>
        <v>44363</v>
      </c>
      <c r="B19" s="26">
        <f>TOTAL!E17</f>
        <v>24020.000000000207</v>
      </c>
      <c r="C19" s="4">
        <f>('Kwh Reading'!T20-'Kwh Reading'!T19)*1000</f>
        <v>500</v>
      </c>
      <c r="D19" s="2">
        <f>('Kwh Reading'!F20-'Kwh Reading'!F19)*1000000</f>
        <v>2600.0000000001578</v>
      </c>
      <c r="E19" s="2">
        <f>('Kwh Reading'!C20-'Kwh Reading'!C19)*1000</f>
        <v>210.00000000000796</v>
      </c>
      <c r="F19" s="2">
        <f>('Kwh Reading'!J20-'Kwh Reading'!J19)*1000</f>
        <v>180.00000000000682</v>
      </c>
      <c r="G19" s="2">
        <f>('Kwh Reading'!K20-'Kwh Reading'!K19)*1000</f>
        <v>199.99999999998863</v>
      </c>
      <c r="H19" s="2">
        <f>('Kwh Reading'!L20-'Kwh Reading'!L19)*1000</f>
        <v>169.99999999998749</v>
      </c>
      <c r="I19" s="2">
        <f>('Kwh Reading'!R20-'Kwh Reading'!R19)*1000</f>
        <v>319.99999999999318</v>
      </c>
      <c r="J19" s="2">
        <f>('Kwh Reading'!S20-'Kwh Reading'!S19)*1000</f>
        <v>280.00000000000114</v>
      </c>
      <c r="K19" s="2">
        <f>('Kwh Reading'!I20-'Kwh Reading'!I19)*1000</f>
        <v>339.99999999997499</v>
      </c>
      <c r="L19" s="2">
        <f>('Kwh Reading'!B20-'Kwh Reading'!B19)*1000</f>
        <v>1399.9999999999773</v>
      </c>
      <c r="M19" s="2">
        <f>('Kwh Reading'!M20-'Kwh Reading'!M19)*1000</f>
        <v>889.99999999998636</v>
      </c>
      <c r="N19" s="2">
        <f>('Kwh Reading'!H20-'Kwh Reading'!H19)*1000</f>
        <v>420.00000000007276</v>
      </c>
      <c r="O19" s="2">
        <f>('Kwh Reading'!P20-'Kwh Reading'!P19)*1000</f>
        <v>1200.0000000000455</v>
      </c>
      <c r="P19" s="2">
        <f>('Kwh Reading'!G20-'Kwh Reading'!G19)*1000</f>
        <v>910.00000000008185</v>
      </c>
      <c r="Q19" s="2">
        <f>('Kwh Reading'!Q20-'Kwh Reading'!Q19)*1000</f>
        <v>780.00000000002956</v>
      </c>
      <c r="R19" s="2">
        <f>('Kwh Reading'!N20-'Kwh Reading'!N19)*1000</f>
        <v>800.00000000001137</v>
      </c>
      <c r="S19" s="34">
        <f>'Kwh Reading'!E20-'Kwh Reading'!E19</f>
        <v>3452.7200000006706</v>
      </c>
      <c r="T19" s="34">
        <f>'Kwh Reading'!D20-'Kwh Reading'!D19</f>
        <v>1902.9399999994785</v>
      </c>
      <c r="U19" s="27">
        <f>('Kwh Reading'!O20-'Kwh Reading'!O19)*1000</f>
        <v>250</v>
      </c>
      <c r="V19" s="16">
        <f t="shared" si="1"/>
        <v>7214.3399999997382</v>
      </c>
    </row>
    <row r="20" spans="1:22" x14ac:dyDescent="0.25">
      <c r="A20" s="3">
        <f>'Kwh Reading'!A20</f>
        <v>44364</v>
      </c>
      <c r="B20" s="26">
        <f>TOTAL!E18</f>
        <v>22610.000000000124</v>
      </c>
      <c r="C20" s="4">
        <f>('Kwh Reading'!T21-'Kwh Reading'!T20)*1000</f>
        <v>420.00000000001592</v>
      </c>
      <c r="D20" s="2">
        <f>('Kwh Reading'!F21-'Kwh Reading'!F20)*1000000</f>
        <v>2499.9999999999468</v>
      </c>
      <c r="E20" s="2">
        <f>('Kwh Reading'!C21-'Kwh Reading'!C20)*1000</f>
        <v>199.99999999998863</v>
      </c>
      <c r="F20" s="2">
        <f>('Kwh Reading'!J21-'Kwh Reading'!J20)*1000</f>
        <v>250</v>
      </c>
      <c r="G20" s="2">
        <f>('Kwh Reading'!K21-'Kwh Reading'!K20)*1000</f>
        <v>269.99999999998181</v>
      </c>
      <c r="H20" s="2">
        <f>('Kwh Reading'!L21-'Kwh Reading'!L20)*1000</f>
        <v>189.99999999999773</v>
      </c>
      <c r="I20" s="2">
        <f>('Kwh Reading'!R21-'Kwh Reading'!R20)*1000</f>
        <v>259.99999999999091</v>
      </c>
      <c r="J20" s="2">
        <f>('Kwh Reading'!S21-'Kwh Reading'!S20)*1000</f>
        <v>79.999999999998295</v>
      </c>
      <c r="K20" s="2">
        <f>('Kwh Reading'!I21-'Kwh Reading'!I20)*1000</f>
        <v>290.00000000002046</v>
      </c>
      <c r="L20" s="2">
        <f>('Kwh Reading'!B21-'Kwh Reading'!B20)*1000</f>
        <v>1470.0000000000273</v>
      </c>
      <c r="M20" s="2">
        <f>('Kwh Reading'!M21-'Kwh Reading'!M20)*1000</f>
        <v>870.00000000000455</v>
      </c>
      <c r="N20" s="2">
        <f>('Kwh Reading'!H21-'Kwh Reading'!H20)*1000</f>
        <v>419.99999999995907</v>
      </c>
      <c r="O20" s="2">
        <f>('Kwh Reading'!P21-'Kwh Reading'!P20)*1000</f>
        <v>1069.9999999999363</v>
      </c>
      <c r="P20" s="2">
        <f>('Kwh Reading'!G21-'Kwh Reading'!G20)*1000</f>
        <v>889.99999999998636</v>
      </c>
      <c r="Q20" s="2">
        <f>('Kwh Reading'!Q21-'Kwh Reading'!Q20)*1000</f>
        <v>759.99999999999091</v>
      </c>
      <c r="R20" s="2">
        <f>('Kwh Reading'!N21-'Kwh Reading'!N20)*1000</f>
        <v>810.00000000000227</v>
      </c>
      <c r="S20" s="34">
        <f>'Kwh Reading'!E21-'Kwh Reading'!E20</f>
        <v>3126.269999999553</v>
      </c>
      <c r="T20" s="34">
        <f>'Kwh Reading'!D21-'Kwh Reading'!D20</f>
        <v>3185.730000000447</v>
      </c>
      <c r="U20" s="27">
        <f>('Kwh Reading'!O21-'Kwh Reading'!O20)*1000</f>
        <v>270.00000000001023</v>
      </c>
      <c r="V20" s="16">
        <f t="shared" si="1"/>
        <v>5278.0000000002656</v>
      </c>
    </row>
    <row r="21" spans="1:22" ht="16.5" customHeight="1" x14ac:dyDescent="0.25">
      <c r="A21" s="3">
        <f>'Kwh Reading'!A21</f>
        <v>44365</v>
      </c>
      <c r="B21" s="26">
        <f>TOTAL!E19</f>
        <v>23489.999999999327</v>
      </c>
      <c r="C21" s="4">
        <f>('Kwh Reading'!T22-'Kwh Reading'!T21)*1000</f>
        <v>299.99999999995453</v>
      </c>
      <c r="D21" s="2">
        <f>('Kwh Reading'!F22-'Kwh Reading'!F21)*1000000</f>
        <v>2600.0000000001578</v>
      </c>
      <c r="E21" s="2">
        <f>('Kwh Reading'!C22-'Kwh Reading'!C21)*1000</f>
        <v>230.00000000001819</v>
      </c>
      <c r="F21" s="2">
        <f>('Kwh Reading'!J22-'Kwh Reading'!J21)*1000</f>
        <v>199.99999999998863</v>
      </c>
      <c r="G21" s="2">
        <f>('Kwh Reading'!K22-'Kwh Reading'!K21)*1000</f>
        <v>250</v>
      </c>
      <c r="H21" s="2">
        <f>('Kwh Reading'!L22-'Kwh Reading'!L21)*1000</f>
        <v>189.99999999999773</v>
      </c>
      <c r="I21" s="2">
        <f>('Kwh Reading'!R22-'Kwh Reading'!R21)*1000</f>
        <v>280.00000000000114</v>
      </c>
      <c r="J21" s="2">
        <f>('Kwh Reading'!S22-'Kwh Reading'!S21)*1000</f>
        <v>90.000000000003411</v>
      </c>
      <c r="K21" s="2">
        <f>('Kwh Reading'!I22-'Kwh Reading'!I21)*1000</f>
        <v>389.99999999998636</v>
      </c>
      <c r="L21" s="2">
        <f>('Kwh Reading'!B22-'Kwh Reading'!B21)*1000</f>
        <v>1460.0000000000364</v>
      </c>
      <c r="M21" s="2">
        <f>('Kwh Reading'!M22-'Kwh Reading'!M21)*1000</f>
        <v>850.00000000002274</v>
      </c>
      <c r="N21" s="2">
        <f>('Kwh Reading'!H22-'Kwh Reading'!H21)*1000</f>
        <v>389.99999999998636</v>
      </c>
      <c r="O21" s="2">
        <f>('Kwh Reading'!P22-'Kwh Reading'!P21)*1000</f>
        <v>1139.9999999999864</v>
      </c>
      <c r="P21" s="2">
        <f>('Kwh Reading'!G22-'Kwh Reading'!G21)*1000</f>
        <v>939.99999999994088</v>
      </c>
      <c r="Q21" s="2">
        <f>('Kwh Reading'!Q22-'Kwh Reading'!Q21)*1000</f>
        <v>859.9999999999568</v>
      </c>
      <c r="R21" s="2">
        <f>('Kwh Reading'!N22-'Kwh Reading'!N21)*1000</f>
        <v>789.99999999996362</v>
      </c>
      <c r="S21" s="34">
        <f>'Kwh Reading'!E22-'Kwh Reading'!E21</f>
        <v>3202.0499999998137</v>
      </c>
      <c r="T21" s="34">
        <f>'Kwh Reading'!D22-'Kwh Reading'!D21</f>
        <v>2726.3899999996647</v>
      </c>
      <c r="U21" s="27">
        <f>('Kwh Reading'!O22-'Kwh Reading'!O21)*1000</f>
        <v>269.99999999998181</v>
      </c>
      <c r="V21" s="16">
        <f t="shared" si="1"/>
        <v>6331.5599999998667</v>
      </c>
    </row>
    <row r="22" spans="1:22" x14ac:dyDescent="0.25">
      <c r="A22" s="3">
        <f>'Kwh Reading'!A22</f>
        <v>44366</v>
      </c>
      <c r="B22" s="26">
        <f>TOTAL!E20</f>
        <v>23380.000000000109</v>
      </c>
      <c r="C22" s="4">
        <f>('Kwh Reading'!T23-'Kwh Reading'!T22)*1000</f>
        <v>460.00000000003638</v>
      </c>
      <c r="D22" s="2">
        <f>('Kwh Reading'!F23-'Kwh Reading'!F22)*1000000</f>
        <v>2399.9999999997358</v>
      </c>
      <c r="E22" s="2">
        <f>('Kwh Reading'!C23-'Kwh Reading'!C22)*1000</f>
        <v>799.99999999998295</v>
      </c>
      <c r="F22" s="2">
        <f>('Kwh Reading'!J23-'Kwh Reading'!J22)*1000</f>
        <v>129.99999999999545</v>
      </c>
      <c r="G22" s="2">
        <f>('Kwh Reading'!K23-'Kwh Reading'!K22)*1000</f>
        <v>210.00000000003638</v>
      </c>
      <c r="H22" s="2">
        <f>('Kwh Reading'!L23-'Kwh Reading'!L22)*1000</f>
        <v>180.00000000000682</v>
      </c>
      <c r="I22" s="2">
        <f>('Kwh Reading'!R23-'Kwh Reading'!R22)*1000</f>
        <v>319.99999999999318</v>
      </c>
      <c r="J22" s="2">
        <f>('Kwh Reading'!S23-'Kwh Reading'!S22)*1000</f>
        <v>140.00000000000057</v>
      </c>
      <c r="K22" s="2">
        <f>('Kwh Reading'!I23-'Kwh Reading'!I22)*1000</f>
        <v>349.99999999999432</v>
      </c>
      <c r="L22" s="2">
        <f>('Kwh Reading'!B23-'Kwh Reading'!B22)*1000</f>
        <v>1309.9999999999454</v>
      </c>
      <c r="M22" s="2">
        <f>('Kwh Reading'!M23-'Kwh Reading'!M22)*1000</f>
        <v>739.99999999995225</v>
      </c>
      <c r="N22" s="2">
        <f>('Kwh Reading'!H23-'Kwh Reading'!H22)*1000</f>
        <v>430.00000000006366</v>
      </c>
      <c r="O22" s="2">
        <f>('Kwh Reading'!P23-'Kwh Reading'!P22)*1000</f>
        <v>1090.0000000000318</v>
      </c>
      <c r="P22" s="2">
        <f>('Kwh Reading'!G23-'Kwh Reading'!G22)*1000</f>
        <v>889.99999999998636</v>
      </c>
      <c r="Q22" s="2">
        <f>('Kwh Reading'!Q23-'Kwh Reading'!Q22)*1000</f>
        <v>770.00000000003865</v>
      </c>
      <c r="R22" s="2">
        <f>('Kwh Reading'!N23-'Kwh Reading'!N22)*1000</f>
        <v>750</v>
      </c>
      <c r="S22" s="34">
        <f>'Kwh Reading'!E23-'Kwh Reading'!E22</f>
        <v>3584.230000000447</v>
      </c>
      <c r="T22" s="34">
        <f>'Kwh Reading'!D23-'Kwh Reading'!D22</f>
        <v>2603.339999999851</v>
      </c>
      <c r="U22" s="27">
        <f>('Kwh Reading'!O23-'Kwh Reading'!O22)*1000</f>
        <v>219.99999999999886</v>
      </c>
      <c r="V22" s="16">
        <f t="shared" si="1"/>
        <v>6002.4300000000148</v>
      </c>
    </row>
    <row r="23" spans="1:22" x14ac:dyDescent="0.25">
      <c r="A23" s="3">
        <f>'Kwh Reading'!A23</f>
        <v>44367</v>
      </c>
      <c r="B23" s="26">
        <f>TOTAL!E21</f>
        <v>22530.00000000111</v>
      </c>
      <c r="C23" s="4">
        <f>('Kwh Reading'!T24-'Kwh Reading'!T23)*1000</f>
        <v>459.99999999997954</v>
      </c>
      <c r="D23" s="2">
        <f>('Kwh Reading'!F24-'Kwh Reading'!F23)*1000000</f>
        <v>2499.9999999999468</v>
      </c>
      <c r="E23" s="2">
        <f>('Kwh Reading'!C24-'Kwh Reading'!C23)*1000</f>
        <v>-389.99999999998636</v>
      </c>
      <c r="F23" s="2">
        <f>('Kwh Reading'!J24-'Kwh Reading'!J23)*1000</f>
        <v>129.99999999999545</v>
      </c>
      <c r="G23" s="2">
        <f>('Kwh Reading'!K24-'Kwh Reading'!K23)*1000</f>
        <v>229.99999999996135</v>
      </c>
      <c r="H23" s="2">
        <f>('Kwh Reading'!L24-'Kwh Reading'!L23)*1000</f>
        <v>169.99999999998749</v>
      </c>
      <c r="I23" s="2">
        <f>('Kwh Reading'!R24-'Kwh Reading'!R23)*1000</f>
        <v>500</v>
      </c>
      <c r="J23" s="2">
        <f>('Kwh Reading'!S24-'Kwh Reading'!S23)*1000</f>
        <v>129.99999999999545</v>
      </c>
      <c r="K23" s="2">
        <f>('Kwh Reading'!I24-'Kwh Reading'!I23)*1000</f>
        <v>350.00000000002274</v>
      </c>
      <c r="L23" s="2">
        <f>('Kwh Reading'!B24-'Kwh Reading'!B23)*1000</f>
        <v>1259.9999999999909</v>
      </c>
      <c r="M23" s="2">
        <f>('Kwh Reading'!M24-'Kwh Reading'!M23)*1000</f>
        <v>780.00000000002956</v>
      </c>
      <c r="N23" s="2">
        <f>('Kwh Reading'!H24-'Kwh Reading'!H23)*1000</f>
        <v>519.99999999998181</v>
      </c>
      <c r="O23" s="2">
        <f>('Kwh Reading'!P24-'Kwh Reading'!P23)*1000</f>
        <v>1060.0000000000591</v>
      </c>
      <c r="P23" s="2">
        <f>('Kwh Reading'!G24-'Kwh Reading'!G23)*1000</f>
        <v>890.00000000010004</v>
      </c>
      <c r="Q23" s="2">
        <f>('Kwh Reading'!Q24-'Kwh Reading'!Q23)*1000</f>
        <v>759.99999999999091</v>
      </c>
      <c r="R23" s="2">
        <f>('Kwh Reading'!N24-'Kwh Reading'!N23)*1000</f>
        <v>760.00000000004775</v>
      </c>
      <c r="S23" s="34">
        <f>'Kwh Reading'!E24-'Kwh Reading'!E23</f>
        <v>3554.4799999995157</v>
      </c>
      <c r="T23" s="34">
        <f>'Kwh Reading'!D24-'Kwh Reading'!D23</f>
        <v>2639.570000000298</v>
      </c>
      <c r="U23" s="27">
        <f>('Kwh Reading'!O24-'Kwh Reading'!O23)*1000</f>
        <v>230.00000000001819</v>
      </c>
      <c r="V23" s="16">
        <f t="shared" si="1"/>
        <v>5995.9500000011722</v>
      </c>
    </row>
    <row r="24" spans="1:22" x14ac:dyDescent="0.25">
      <c r="A24" s="3">
        <f>'Kwh Reading'!A24</f>
        <v>44368</v>
      </c>
      <c r="B24" s="26">
        <f>TOTAL!E22</f>
        <v>24279.999999999061</v>
      </c>
      <c r="C24" s="4">
        <f>('Kwh Reading'!T25-'Kwh Reading'!T24)*1000</f>
        <v>509.99999999999091</v>
      </c>
      <c r="D24" s="2">
        <f>('Kwh Reading'!F25-'Kwh Reading'!F24)*1000000</f>
        <v>2500.0000000003906</v>
      </c>
      <c r="E24" s="2">
        <f>('Kwh Reading'!C25-'Kwh Reading'!C24)*1000</f>
        <v>259.99999999999091</v>
      </c>
      <c r="F24" s="2">
        <f>('Kwh Reading'!J25-'Kwh Reading'!J24)*1000</f>
        <v>240.00000000000909</v>
      </c>
      <c r="G24" s="2">
        <f>('Kwh Reading'!K25-'Kwh Reading'!K24)*1000</f>
        <v>280.00000000002956</v>
      </c>
      <c r="H24" s="2">
        <f>('Kwh Reading'!L25-'Kwh Reading'!L24)*1000</f>
        <v>200.00000000001705</v>
      </c>
      <c r="I24" s="2">
        <f>('Kwh Reading'!R25-'Kwh Reading'!R24)*1000</f>
        <v>130.00000000002387</v>
      </c>
      <c r="J24" s="2">
        <f>('Kwh Reading'!S25-'Kwh Reading'!S24)*1000</f>
        <v>140.00000000000057</v>
      </c>
      <c r="K24" s="2">
        <f>('Kwh Reading'!I25-'Kwh Reading'!I24)*1000</f>
        <v>369.99999999997613</v>
      </c>
      <c r="L24" s="2">
        <f>('Kwh Reading'!B25-'Kwh Reading'!B24)*1000</f>
        <v>1440.0000000000546</v>
      </c>
      <c r="M24" s="2">
        <f>('Kwh Reading'!M25-'Kwh Reading'!M24)*1000</f>
        <v>810.00000000000227</v>
      </c>
      <c r="N24" s="2">
        <f>('Kwh Reading'!H25-'Kwh Reading'!H24)*1000</f>
        <v>480.00000000001819</v>
      </c>
      <c r="O24" s="2">
        <f>('Kwh Reading'!P25-'Kwh Reading'!P24)*1000</f>
        <v>1059.9999999999454</v>
      </c>
      <c r="P24" s="2">
        <f>('Kwh Reading'!G25-'Kwh Reading'!G24)*1000</f>
        <v>959.99999999992269</v>
      </c>
      <c r="Q24" s="2">
        <f>('Kwh Reading'!Q25-'Kwh Reading'!Q24)*1000</f>
        <v>779.99999999997272</v>
      </c>
      <c r="R24" s="2">
        <f>('Kwh Reading'!N25-'Kwh Reading'!N24)*1000</f>
        <v>799.99999999995453</v>
      </c>
      <c r="S24" s="2">
        <f>'Kwh Reading'!E25-'Kwh Reading'!E24</f>
        <v>3759.4300000006333</v>
      </c>
      <c r="T24" s="2">
        <f>'Kwh Reading'!D25-'Kwh Reading'!D24</f>
        <v>2788.0599999995902</v>
      </c>
      <c r="U24" s="27">
        <f>('Kwh Reading'!O25-'Kwh Reading'!O24)*1000</f>
        <v>229.99999999998977</v>
      </c>
      <c r="V24" s="16">
        <f t="shared" si="1"/>
        <v>6542.5099999985505</v>
      </c>
    </row>
    <row r="25" spans="1:22" x14ac:dyDescent="0.25">
      <c r="A25" s="3">
        <f>'Kwh Reading'!A25</f>
        <v>44369</v>
      </c>
      <c r="B25" s="26">
        <f>TOTAL!E23</f>
        <v>23740.000000000236</v>
      </c>
      <c r="C25" s="4">
        <f>('Kwh Reading'!T26-'Kwh Reading'!T25)*1000</f>
        <v>470.00000000002728</v>
      </c>
      <c r="D25" s="2">
        <f>('Kwh Reading'!F26-'Kwh Reading'!F25)*1000000</f>
        <v>2499.9999999999468</v>
      </c>
      <c r="E25" s="2">
        <f>('Kwh Reading'!C26-'Kwh Reading'!C25)*1000</f>
        <v>240.00000000000909</v>
      </c>
      <c r="F25" s="2">
        <f>('Kwh Reading'!J26-'Kwh Reading'!J25)*1000</f>
        <v>209.99999999997954</v>
      </c>
      <c r="G25" s="2">
        <f>('Kwh Reading'!K26-'Kwh Reading'!K25)*1000</f>
        <v>269.99999999998181</v>
      </c>
      <c r="H25" s="2">
        <f>('Kwh Reading'!L26-'Kwh Reading'!L25)*1000</f>
        <v>199.99999999998863</v>
      </c>
      <c r="I25" s="2">
        <f>('Kwh Reading'!R26-'Kwh Reading'!R25)*1000</f>
        <v>310.00000000000227</v>
      </c>
      <c r="J25" s="2">
        <f>('Kwh Reading'!S26-'Kwh Reading'!S25)*1000</f>
        <v>140.00000000000057</v>
      </c>
      <c r="K25" s="2">
        <f>('Kwh Reading'!I26-'Kwh Reading'!I25)*1000</f>
        <v>370.00000000000455</v>
      </c>
      <c r="L25" s="2">
        <f>('Kwh Reading'!B26-'Kwh Reading'!B25)*1000</f>
        <v>1370.0000000000045</v>
      </c>
      <c r="M25" s="2">
        <f>('Kwh Reading'!M26-'Kwh Reading'!M25)*1000</f>
        <v>859.9999999999568</v>
      </c>
      <c r="N25" s="2">
        <f>('Kwh Reading'!H26-'Kwh Reading'!H25)*1000</f>
        <v>529.99999999997272</v>
      </c>
      <c r="O25" s="2">
        <f>('Kwh Reading'!P26-'Kwh Reading'!P25)*1000</f>
        <v>1070.00000000005</v>
      </c>
      <c r="P25" s="2">
        <f>('Kwh Reading'!G26-'Kwh Reading'!G25)*1000</f>
        <v>910.00000000008185</v>
      </c>
      <c r="Q25" s="2">
        <f>('Kwh Reading'!Q26-'Kwh Reading'!Q25)*1000</f>
        <v>750</v>
      </c>
      <c r="R25" s="2">
        <f>('Kwh Reading'!N26-'Kwh Reading'!N25)*1000</f>
        <v>760.00000000004775</v>
      </c>
      <c r="S25" s="2">
        <f>'Kwh Reading'!E26-'Kwh Reading'!E25</f>
        <v>3679.7399999992922</v>
      </c>
      <c r="T25" s="2">
        <f>'Kwh Reading'!D26-'Kwh Reading'!D25</f>
        <v>2643.8000000007451</v>
      </c>
      <c r="U25" s="27">
        <f>('Kwh Reading'!O26-'Kwh Reading'!O25)*1000</f>
        <v>199.99999999998863</v>
      </c>
      <c r="V25" s="16">
        <f t="shared" si="1"/>
        <v>6256.4600000001592</v>
      </c>
    </row>
    <row r="26" spans="1:22" x14ac:dyDescent="0.25">
      <c r="A26" s="3">
        <f>'Kwh Reading'!A26</f>
        <v>44370</v>
      </c>
      <c r="B26" s="26">
        <f>TOTAL!E24</f>
        <v>22890.000000000098</v>
      </c>
      <c r="C26" s="4">
        <f>('Kwh Reading'!T27-'Kwh Reading'!T26)*1000</f>
        <v>449.99999999998863</v>
      </c>
      <c r="D26" s="2">
        <f>('Kwh Reading'!F27-'Kwh Reading'!F26)*1000000</f>
        <v>2499.9999999999468</v>
      </c>
      <c r="E26" s="2">
        <f>('Kwh Reading'!C27-'Kwh Reading'!C26)*1000</f>
        <v>239.99999999998067</v>
      </c>
      <c r="F26" s="2">
        <f>('Kwh Reading'!J27-'Kwh Reading'!J26)*1000</f>
        <v>240.00000000000909</v>
      </c>
      <c r="G26" s="2">
        <f>('Kwh Reading'!K27-'Kwh Reading'!K26)*1000</f>
        <v>270.00000000003865</v>
      </c>
      <c r="H26" s="2">
        <f>('Kwh Reading'!L27-'Kwh Reading'!L26)*1000</f>
        <v>189.99999999999773</v>
      </c>
      <c r="I26" s="2">
        <f>('Kwh Reading'!R27-'Kwh Reading'!R26)*1000</f>
        <v>329.99999999998408</v>
      </c>
      <c r="J26" s="2">
        <f>('Kwh Reading'!S27-'Kwh Reading'!S26)*1000</f>
        <v>129.99999999999545</v>
      </c>
      <c r="K26" s="2">
        <f>('Kwh Reading'!I27-'Kwh Reading'!I26)*1000</f>
        <v>360.00000000001364</v>
      </c>
      <c r="L26" s="2">
        <f>('Kwh Reading'!B27-'Kwh Reading'!B26)*1000</f>
        <v>1340.0000000000318</v>
      </c>
      <c r="M26" s="2">
        <f>('Kwh Reading'!M27-'Kwh Reading'!M26)*1000</f>
        <v>750</v>
      </c>
      <c r="N26" s="2">
        <f>('Kwh Reading'!H27-'Kwh Reading'!H26)*1000</f>
        <v>500</v>
      </c>
      <c r="O26" s="2">
        <f>('Kwh Reading'!P27-'Kwh Reading'!P26)*1000</f>
        <v>1099.9999999999091</v>
      </c>
      <c r="P26" s="2">
        <f>('Kwh Reading'!G27-'Kwh Reading'!G26)*1000</f>
        <v>869.99999999989086</v>
      </c>
      <c r="Q26" s="2">
        <f>('Kwh Reading'!Q27-'Kwh Reading'!Q26)*1000</f>
        <v>740.00000000000909</v>
      </c>
      <c r="R26" s="2">
        <f>('Kwh Reading'!N27-'Kwh Reading'!N26)*1000</f>
        <v>759.99999999999091</v>
      </c>
      <c r="S26" s="2">
        <f>'Kwh Reading'!E27-'Kwh Reading'!E26</f>
        <v>3659.4700000006706</v>
      </c>
      <c r="T26" s="2">
        <f>'Kwh Reading'!D27-'Kwh Reading'!D26</f>
        <v>2279.8700000001118</v>
      </c>
      <c r="U26" s="27">
        <f>('Kwh Reading'!O27-'Kwh Reading'!O26)*1000</f>
        <v>300.00000000001137</v>
      </c>
      <c r="V26" s="16">
        <f t="shared" si="1"/>
        <v>5880.6599999995196</v>
      </c>
    </row>
    <row r="27" spans="1:22" x14ac:dyDescent="0.25">
      <c r="A27" s="3">
        <f>'Kwh Reading'!A27</f>
        <v>44371</v>
      </c>
      <c r="B27" s="26">
        <f>TOTAL!E25</f>
        <v>23200.000000000273</v>
      </c>
      <c r="C27" s="4">
        <f>('Kwh Reading'!T28-'Kwh Reading'!T27)*1000</f>
        <v>470.00000000002728</v>
      </c>
      <c r="D27" s="2">
        <f>('Kwh Reading'!F28-'Kwh Reading'!F27)*1000000</f>
        <v>2499.9999999999468</v>
      </c>
      <c r="E27" s="2">
        <f>('Kwh Reading'!C28-'Kwh Reading'!C27)*1000</f>
        <v>200.00000000001705</v>
      </c>
      <c r="F27" s="2">
        <f>('Kwh Reading'!J28-'Kwh Reading'!J27)*1000</f>
        <v>180.00000000000682</v>
      </c>
      <c r="G27" s="2">
        <f>('Kwh Reading'!K28-'Kwh Reading'!K27)*1000</f>
        <v>209.99999999997954</v>
      </c>
      <c r="H27" s="2">
        <f>('Kwh Reading'!L28-'Kwh Reading'!L27)*1000</f>
        <v>180.00000000000682</v>
      </c>
      <c r="I27" s="2">
        <f>('Kwh Reading'!R28-'Kwh Reading'!R27)*1000</f>
        <v>170.00000000001592</v>
      </c>
      <c r="J27" s="2">
        <f>('Kwh Reading'!S28-'Kwh Reading'!S27)*1000</f>
        <v>109.99999999999943</v>
      </c>
      <c r="K27" s="2">
        <f>('Kwh Reading'!I28-'Kwh Reading'!I27)*1000</f>
        <v>319.99999999999318</v>
      </c>
      <c r="L27" s="2">
        <f>('Kwh Reading'!B28-'Kwh Reading'!B27)*1000</f>
        <v>1329.9999999999272</v>
      </c>
      <c r="M27" s="2">
        <f>('Kwh Reading'!M28-'Kwh Reading'!M27)*1000</f>
        <v>730.00000000001819</v>
      </c>
      <c r="N27" s="2">
        <f>('Kwh Reading'!H28-'Kwh Reading'!H27)*1000</f>
        <v>470.00000000002728</v>
      </c>
      <c r="O27" s="2">
        <f>('Kwh Reading'!P28-'Kwh Reading'!P27)*1000</f>
        <v>1250</v>
      </c>
      <c r="P27" s="2">
        <f>('Kwh Reading'!G28-'Kwh Reading'!G27)*1000</f>
        <v>880.00000000010914</v>
      </c>
      <c r="Q27" s="2">
        <f>('Kwh Reading'!Q28-'Kwh Reading'!Q27)*1000</f>
        <v>800.00000000001137</v>
      </c>
      <c r="R27" s="2">
        <f>('Kwh Reading'!N28-'Kwh Reading'!N27)*1000</f>
        <v>829.99999999998408</v>
      </c>
      <c r="S27" s="2">
        <f>'Kwh Reading'!E28-'Kwh Reading'!E27</f>
        <v>3544.4799999995157</v>
      </c>
      <c r="T27" s="2">
        <f>'Kwh Reading'!D28-'Kwh Reading'!D27</f>
        <v>2401.8899999996647</v>
      </c>
      <c r="U27" s="27">
        <f>('Kwh Reading'!O28-'Kwh Reading'!O27)*1000</f>
        <v>169.99999999998749</v>
      </c>
      <c r="V27" s="16">
        <f t="shared" si="1"/>
        <v>6453.6300000010342</v>
      </c>
    </row>
    <row r="28" spans="1:22" x14ac:dyDescent="0.25">
      <c r="A28" s="3">
        <f>'Kwh Reading'!A28</f>
        <v>44372</v>
      </c>
      <c r="B28" s="26">
        <f>TOTAL!E26</f>
        <v>21459.999999999811</v>
      </c>
      <c r="C28" s="4">
        <f>('Kwh Reading'!T29-'Kwh Reading'!T28)*1000</f>
        <v>279.99999999997272</v>
      </c>
      <c r="D28" s="2">
        <f>('Kwh Reading'!F29-'Kwh Reading'!F28)*1000000</f>
        <v>1599.9999999998238</v>
      </c>
      <c r="E28" s="2">
        <f>('Kwh Reading'!C29-'Kwh Reading'!C28)*1000</f>
        <v>250</v>
      </c>
      <c r="F28" s="2">
        <f>('Kwh Reading'!J29-'Kwh Reading'!J28)*1000</f>
        <v>240.00000000000909</v>
      </c>
      <c r="G28" s="2">
        <f>('Kwh Reading'!K29-'Kwh Reading'!K28)*1000</f>
        <v>250</v>
      </c>
      <c r="H28" s="2">
        <f>('Kwh Reading'!L29-'Kwh Reading'!L28)*1000</f>
        <v>189.99999999999773</v>
      </c>
      <c r="I28" s="2">
        <f>('Kwh Reading'!R29-'Kwh Reading'!R28)*1000</f>
        <v>309.99999999997385</v>
      </c>
      <c r="J28" s="2">
        <f>('Kwh Reading'!S29-'Kwh Reading'!S28)*1000</f>
        <v>120.00000000000455</v>
      </c>
      <c r="K28" s="2">
        <f>('Kwh Reading'!I29-'Kwh Reading'!I28)*1000</f>
        <v>310.00000000000227</v>
      </c>
      <c r="L28" s="2">
        <f>('Kwh Reading'!B29-'Kwh Reading'!B28)*1000</f>
        <v>1320.00000000005</v>
      </c>
      <c r="M28" s="2">
        <f>('Kwh Reading'!M29-'Kwh Reading'!M28)*1000</f>
        <v>789.99999999996362</v>
      </c>
      <c r="N28" s="2">
        <f>('Kwh Reading'!H29-'Kwh Reading'!H28)*1000</f>
        <v>469.9999999999136</v>
      </c>
      <c r="O28" s="2">
        <f>('Kwh Reading'!P29-'Kwh Reading'!P28)*1000</f>
        <v>1060.0000000000591</v>
      </c>
      <c r="P28" s="2">
        <f>('Kwh Reading'!G29-'Kwh Reading'!G28)*1000</f>
        <v>789.99999999996362</v>
      </c>
      <c r="Q28" s="2">
        <f>('Kwh Reading'!Q29-'Kwh Reading'!Q28)*1000</f>
        <v>819.99999999999318</v>
      </c>
      <c r="R28" s="2">
        <f>('Kwh Reading'!N29-'Kwh Reading'!N28)*1000</f>
        <v>800.00000000001137</v>
      </c>
      <c r="S28" s="2">
        <f>'Kwh Reading'!E29-'Kwh Reading'!E28</f>
        <v>2998.1200000001118</v>
      </c>
      <c r="T28" s="2">
        <f>'Kwh Reading'!D29-'Kwh Reading'!D28</f>
        <v>2106.5599999995902</v>
      </c>
      <c r="U28" s="27">
        <f>('Kwh Reading'!O29-'Kwh Reading'!O28)*1000</f>
        <v>200.00000000001705</v>
      </c>
      <c r="V28" s="16">
        <f t="shared" si="1"/>
        <v>6555.3200000003544</v>
      </c>
    </row>
    <row r="29" spans="1:22" x14ac:dyDescent="0.25">
      <c r="A29" s="3">
        <f>'Kwh Reading'!A29</f>
        <v>44373</v>
      </c>
      <c r="B29" s="26">
        <f>TOTAL!E27</f>
        <v>22209.999999999811</v>
      </c>
      <c r="C29" s="4">
        <f>('Kwh Reading'!T30-'Kwh Reading'!T29)*1000</f>
        <v>470.00000000002728</v>
      </c>
      <c r="D29" s="2">
        <f>('Kwh Reading'!F30-'Kwh Reading'!F29)*1000000</f>
        <v>3400.0000000000696</v>
      </c>
      <c r="E29" s="2">
        <f>('Kwh Reading'!C30-'Kwh Reading'!C29)*1000</f>
        <v>229.99999999998977</v>
      </c>
      <c r="F29" s="2">
        <f>('Kwh Reading'!J30-'Kwh Reading'!J29)*1000</f>
        <v>180.00000000000682</v>
      </c>
      <c r="G29" s="2">
        <f>('Kwh Reading'!K30-'Kwh Reading'!K29)*1000</f>
        <v>250</v>
      </c>
      <c r="H29" s="2">
        <f>('Kwh Reading'!L30-'Kwh Reading'!L29)*1000</f>
        <v>199.99999999998863</v>
      </c>
      <c r="I29" s="2">
        <f>('Kwh Reading'!R30-'Kwh Reading'!R29)*1000</f>
        <v>320.0000000000216</v>
      </c>
      <c r="J29" s="2">
        <f>('Kwh Reading'!S30-'Kwh Reading'!S29)*1000</f>
        <v>109.99999999999943</v>
      </c>
      <c r="K29" s="2">
        <f>('Kwh Reading'!I30-'Kwh Reading'!I29)*1000</f>
        <v>310.00000000000227</v>
      </c>
      <c r="L29" s="2">
        <f>('Kwh Reading'!B30-'Kwh Reading'!B29)*1000</f>
        <v>1370.0000000000045</v>
      </c>
      <c r="M29" s="2">
        <f>('Kwh Reading'!M30-'Kwh Reading'!M29)*1000</f>
        <v>730.00000000001819</v>
      </c>
      <c r="N29" s="2">
        <f>('Kwh Reading'!H30-'Kwh Reading'!H29)*1000</f>
        <v>500</v>
      </c>
      <c r="O29" s="2">
        <f>('Kwh Reading'!P30-'Kwh Reading'!P29)*1000</f>
        <v>990.00000000000909</v>
      </c>
      <c r="P29" s="2">
        <f>('Kwh Reading'!G30-'Kwh Reading'!G29)*1000</f>
        <v>799.99999999995453</v>
      </c>
      <c r="Q29" s="2">
        <f>('Kwh Reading'!Q30-'Kwh Reading'!Q29)*1000</f>
        <v>800.00000000001137</v>
      </c>
      <c r="R29" s="2">
        <f>('Kwh Reading'!N30-'Kwh Reading'!N29)*1000</f>
        <v>769.99999999998181</v>
      </c>
      <c r="S29" s="2">
        <f>'Kwh Reading'!E30-'Kwh Reading'!E29</f>
        <v>2963.2000000001863</v>
      </c>
      <c r="T29" s="2">
        <f>'Kwh Reading'!D30-'Kwh Reading'!D29</f>
        <v>2388.9199999999255</v>
      </c>
      <c r="U29" s="27">
        <f>('Kwh Reading'!O30-'Kwh Reading'!O29)*1000</f>
        <v>210.00000000000796</v>
      </c>
      <c r="V29" s="16">
        <f t="shared" si="1"/>
        <v>5217.8799999996045</v>
      </c>
    </row>
    <row r="30" spans="1:22" x14ac:dyDescent="0.25">
      <c r="A30" s="3">
        <f>'Kwh Reading'!A30</f>
        <v>44374</v>
      </c>
      <c r="B30" s="26">
        <f>TOTAL!E28</f>
        <v>20760.000000000444</v>
      </c>
      <c r="C30" s="4">
        <f>('Kwh Reading'!T31-'Kwh Reading'!T30)*1000</f>
        <v>439.99999999999773</v>
      </c>
      <c r="D30" s="2">
        <f>('Kwh Reading'!F31-'Kwh Reading'!F30)*1000000</f>
        <v>2499.9999999999468</v>
      </c>
      <c r="E30" s="2">
        <f>('Kwh Reading'!C31-'Kwh Reading'!C30)*1000</f>
        <v>219.99999999999886</v>
      </c>
      <c r="F30" s="2">
        <f>('Kwh Reading'!J31-'Kwh Reading'!J30)*1000</f>
        <v>289.99999999996362</v>
      </c>
      <c r="G30" s="2">
        <f>('Kwh Reading'!K31-'Kwh Reading'!K30)*1000</f>
        <v>250</v>
      </c>
      <c r="H30" s="2">
        <f>('Kwh Reading'!L31-'Kwh Reading'!L30)*1000</f>
        <v>210.00000000000796</v>
      </c>
      <c r="I30" s="2">
        <f>('Kwh Reading'!R31-'Kwh Reading'!R30)*1000</f>
        <v>329.99999999998408</v>
      </c>
      <c r="J30" s="2">
        <f>('Kwh Reading'!S31-'Kwh Reading'!S30)*1000</f>
        <v>140.00000000000057</v>
      </c>
      <c r="K30" s="2">
        <f>('Kwh Reading'!I31-'Kwh Reading'!I30)*1000</f>
        <v>280.00000000000114</v>
      </c>
      <c r="L30" s="2">
        <f>('Kwh Reading'!B31-'Kwh Reading'!B30)*1000</f>
        <v>1199.9999999999318</v>
      </c>
      <c r="M30" s="2">
        <f>('Kwh Reading'!M31-'Kwh Reading'!M30)*1000</f>
        <v>670.00000000007276</v>
      </c>
      <c r="N30" s="2">
        <f>('Kwh Reading'!H31-'Kwh Reading'!H30)*1000</f>
        <v>470.00000000002728</v>
      </c>
      <c r="O30" s="2">
        <f>('Kwh Reading'!P31-'Kwh Reading'!P30)*1000</f>
        <v>840.00000000003183</v>
      </c>
      <c r="P30" s="2">
        <f>('Kwh Reading'!G31-'Kwh Reading'!G30)*1000</f>
        <v>690.00000000005457</v>
      </c>
      <c r="Q30" s="2">
        <f>('Kwh Reading'!Q31-'Kwh Reading'!Q30)*1000</f>
        <v>740.00000000000909</v>
      </c>
      <c r="R30" s="2">
        <f>('Kwh Reading'!N31-'Kwh Reading'!N30)*1000</f>
        <v>649.99999999997726</v>
      </c>
      <c r="S30" s="2">
        <f>'Kwh Reading'!E31-'Kwh Reading'!E30</f>
        <v>2636.1100000003353</v>
      </c>
      <c r="T30" s="2">
        <f>'Kwh Reading'!D31-'Kwh Reading'!D30</f>
        <v>1926.1500000003725</v>
      </c>
      <c r="U30" s="27">
        <f>('Kwh Reading'!O31-'Kwh Reading'!O30)*1000</f>
        <v>209.99999999997954</v>
      </c>
      <c r="V30" s="16">
        <f t="shared" si="1"/>
        <v>6067.7399999997488</v>
      </c>
    </row>
    <row r="31" spans="1:22" x14ac:dyDescent="0.25">
      <c r="A31" s="3">
        <f>'Kwh Reading'!A31</f>
        <v>44375</v>
      </c>
      <c r="B31" s="26">
        <f>TOTAL!E29</f>
        <v>22029.999999999745</v>
      </c>
      <c r="C31" s="4">
        <f>('Kwh Reading'!T32-'Kwh Reading'!T31)*1000</f>
        <v>489.99999999995225</v>
      </c>
      <c r="D31" s="2">
        <f>('Kwh Reading'!F32-'Kwh Reading'!F31)*1000000</f>
        <v>2299.9999999999686</v>
      </c>
      <c r="E31" s="2">
        <f>('Kwh Reading'!C32-'Kwh Reading'!C31)*1000</f>
        <v>219.99999999999886</v>
      </c>
      <c r="F31" s="2">
        <f>('Kwh Reading'!J32-'Kwh Reading'!J31)*1000</f>
        <v>230.00000000001819</v>
      </c>
      <c r="G31" s="2">
        <f>('Kwh Reading'!K32-'Kwh Reading'!K31)*1000</f>
        <v>279.99999999997272</v>
      </c>
      <c r="H31" s="2">
        <f>('Kwh Reading'!L32-'Kwh Reading'!L31)*1000</f>
        <v>189.99999999999773</v>
      </c>
      <c r="I31" s="2">
        <f>('Kwh Reading'!R32-'Kwh Reading'!R31)*1000</f>
        <v>290.00000000002046</v>
      </c>
      <c r="J31" s="2">
        <f>('Kwh Reading'!S32-'Kwh Reading'!S31)*1000</f>
        <v>109.99999999999943</v>
      </c>
      <c r="K31" s="2">
        <f>('Kwh Reading'!I32-'Kwh Reading'!I31)*1000</f>
        <v>299.99999999998295</v>
      </c>
      <c r="L31" s="2">
        <f>('Kwh Reading'!B32-'Kwh Reading'!B31)*1000</f>
        <v>1310.0000000000591</v>
      </c>
      <c r="M31" s="2">
        <f>('Kwh Reading'!M32-'Kwh Reading'!M31)*1000</f>
        <v>809.99999999994543</v>
      </c>
      <c r="N31" s="2">
        <f>('Kwh Reading'!H32-'Kwh Reading'!H31)*1000</f>
        <v>500</v>
      </c>
      <c r="O31" s="2">
        <f>('Kwh Reading'!P32-'Kwh Reading'!P31)*1000</f>
        <v>909.99999999996817</v>
      </c>
      <c r="P31" s="2">
        <f>('Kwh Reading'!G32-'Kwh Reading'!G31)*1000</f>
        <v>750</v>
      </c>
      <c r="Q31" s="2">
        <f>('Kwh Reading'!Q32-'Kwh Reading'!Q31)*1000</f>
        <v>740.00000000000909</v>
      </c>
      <c r="R31" s="2">
        <f>('Kwh Reading'!N32-'Kwh Reading'!N31)*1000</f>
        <v>720.00000000002728</v>
      </c>
      <c r="S31" s="2">
        <f>'Kwh Reading'!E32-'Kwh Reading'!E31</f>
        <v>3160.5599999995902</v>
      </c>
      <c r="T31" s="2">
        <f>'Kwh Reading'!D32-'Kwh Reading'!D31</f>
        <v>2465.2700000004843</v>
      </c>
      <c r="U31" s="27">
        <f>('Kwh Reading'!O32-'Kwh Reading'!O31)*1000</f>
        <v>219.99999999999886</v>
      </c>
      <c r="V31" s="16">
        <f t="shared" si="1"/>
        <v>6034.1699999997527</v>
      </c>
    </row>
    <row r="32" spans="1:22" x14ac:dyDescent="0.25">
      <c r="A32" s="3">
        <f>'Kwh Reading'!A32</f>
        <v>44376</v>
      </c>
      <c r="B32" s="26">
        <f>TOTAL!E30</f>
        <v>20730.000000000015</v>
      </c>
      <c r="C32" s="4">
        <f>('Kwh Reading'!T33-'Kwh Reading'!T32)*1000</f>
        <v>420.00000000001592</v>
      </c>
      <c r="D32" s="2">
        <f>('Kwh Reading'!F33-'Kwh Reading'!F32)*1000000</f>
        <v>2299.9999999999686</v>
      </c>
      <c r="E32" s="2">
        <f>('Kwh Reading'!C33-'Kwh Reading'!C32)*1000</f>
        <v>250</v>
      </c>
      <c r="F32" s="2">
        <f>('Kwh Reading'!J33-'Kwh Reading'!J32)*1000</f>
        <v>219.99999999997044</v>
      </c>
      <c r="G32" s="2">
        <f>('Kwh Reading'!K33-'Kwh Reading'!K32)*1000</f>
        <v>290.00000000002046</v>
      </c>
      <c r="H32" s="2">
        <f>('Kwh Reading'!L33-'Kwh Reading'!L32)*1000</f>
        <v>189.99999999999773</v>
      </c>
      <c r="I32" s="2">
        <f>('Kwh Reading'!R33-'Kwh Reading'!R32)*1000</f>
        <v>309.99999999997385</v>
      </c>
      <c r="J32" s="2">
        <f>('Kwh Reading'!S33-'Kwh Reading'!S32)*1000</f>
        <v>120.00000000000455</v>
      </c>
      <c r="K32" s="2">
        <f>('Kwh Reading'!I33-'Kwh Reading'!I32)*1000</f>
        <v>270.00000000001023</v>
      </c>
      <c r="L32" s="2">
        <f>('Kwh Reading'!B33-'Kwh Reading'!B32)*1000</f>
        <v>1240.0000000000091</v>
      </c>
      <c r="M32" s="2">
        <f>('Kwh Reading'!M33-'Kwh Reading'!M32)*1000</f>
        <v>680.00000000006366</v>
      </c>
      <c r="N32" s="2">
        <f>('Kwh Reading'!H33-'Kwh Reading'!H32)*1000</f>
        <v>430.00000000006366</v>
      </c>
      <c r="O32" s="2">
        <f>('Kwh Reading'!P33-'Kwh Reading'!P32)*1000</f>
        <v>809.99999999994543</v>
      </c>
      <c r="P32" s="2">
        <f>('Kwh Reading'!G33-'Kwh Reading'!G32)*1000</f>
        <v>689.99999999994088</v>
      </c>
      <c r="Q32" s="2">
        <f>('Kwh Reading'!Q33-'Kwh Reading'!Q32)*1000</f>
        <v>709.99999999997954</v>
      </c>
      <c r="R32" s="2">
        <f>('Kwh Reading'!N33-'Kwh Reading'!N32)*1000</f>
        <v>639.99999999998636</v>
      </c>
      <c r="S32" s="2">
        <f>'Kwh Reading'!E33-'Kwh Reading'!E32</f>
        <v>2645.8300000000745</v>
      </c>
      <c r="T32" s="2">
        <f>'Kwh Reading'!D33-'Kwh Reading'!D32</f>
        <v>2022.5599999995902</v>
      </c>
      <c r="U32" s="27">
        <f>('Kwh Reading'!O33-'Kwh Reading'!O32)*1000</f>
        <v>189.99999999999773</v>
      </c>
      <c r="V32" s="16">
        <f t="shared" si="1"/>
        <v>6301.6100000003989</v>
      </c>
    </row>
    <row r="33" spans="1:22" x14ac:dyDescent="0.25">
      <c r="A33" s="3">
        <f>'Kwh Reading'!A33</f>
        <v>44377</v>
      </c>
      <c r="B33" s="26">
        <f>TOTAL!E31</f>
        <v>22649.999999999411</v>
      </c>
      <c r="C33" s="4">
        <f>('Kwh Reading'!T34-'Kwh Reading'!T33)*1000</f>
        <v>439.99999999999773</v>
      </c>
      <c r="D33" s="2">
        <f>('Kwh Reading'!F34-'Kwh Reading'!F33)*1000000</f>
        <v>2299.9999999999686</v>
      </c>
      <c r="E33" s="2">
        <f>('Kwh Reading'!C34-'Kwh Reading'!C33)*1000</f>
        <v>230.00000000001819</v>
      </c>
      <c r="F33" s="2">
        <f>('Kwh Reading'!J34-'Kwh Reading'!J33)*1000</f>
        <v>250</v>
      </c>
      <c r="G33" s="2">
        <f>('Kwh Reading'!K34-'Kwh Reading'!K33)*1000</f>
        <v>300.00000000001137</v>
      </c>
      <c r="H33" s="2">
        <f>('Kwh Reading'!L34-'Kwh Reading'!L33)*1000</f>
        <v>170.00000000001592</v>
      </c>
      <c r="I33" s="2">
        <f>('Kwh Reading'!R34-'Kwh Reading'!R33)*1000</f>
        <v>310.00000000000227</v>
      </c>
      <c r="J33" s="2">
        <f>('Kwh Reading'!S34-'Kwh Reading'!S33)*1000</f>
        <v>119.99999999999034</v>
      </c>
      <c r="K33" s="2">
        <f>('Kwh Reading'!I34-'Kwh Reading'!I33)*1000</f>
        <v>319.99999999999318</v>
      </c>
      <c r="L33" s="2">
        <f>('Kwh Reading'!B34-'Kwh Reading'!B33)*1000</f>
        <v>1339.9999999999181</v>
      </c>
      <c r="M33" s="2">
        <f>('Kwh Reading'!M34-'Kwh Reading'!M33)*1000</f>
        <v>750</v>
      </c>
      <c r="N33" s="2">
        <f>('Kwh Reading'!H34-'Kwh Reading'!H33)*1000</f>
        <v>459.99999999992269</v>
      </c>
      <c r="O33" s="2">
        <f>('Kwh Reading'!P34-'Kwh Reading'!P33)*1000</f>
        <v>920.00000000007276</v>
      </c>
      <c r="P33" s="2">
        <f>('Kwh Reading'!G34-'Kwh Reading'!G33)*1000</f>
        <v>759.99999999999091</v>
      </c>
      <c r="Q33" s="2">
        <f>('Kwh Reading'!Q34-'Kwh Reading'!Q33)*1000</f>
        <v>670.00000000001592</v>
      </c>
      <c r="R33" s="2">
        <f>('Kwh Reading'!N34-'Kwh Reading'!N33)*1000</f>
        <v>730.00000000001819</v>
      </c>
      <c r="S33" s="2">
        <f>'Kwh Reading'!E34-'Kwh Reading'!E33</f>
        <v>3119.769999999553</v>
      </c>
      <c r="T33" s="2">
        <f>'Kwh Reading'!D34-'Kwh Reading'!D33</f>
        <v>2304.2599999997765</v>
      </c>
      <c r="U33" s="27">
        <f>('Kwh Reading'!O34-'Kwh Reading'!O33)*1000</f>
        <v>210.00000000000796</v>
      </c>
      <c r="V33" s="16">
        <f t="shared" si="1"/>
        <v>6945.9700000001376</v>
      </c>
    </row>
    <row r="34" spans="1:22" x14ac:dyDescent="0.25">
      <c r="A34" s="3">
        <f>'Kwh Reading'!A34</f>
        <v>44378</v>
      </c>
      <c r="B34" s="26">
        <f>TOTAL!E32</f>
        <v>0</v>
      </c>
      <c r="C34" s="4">
        <f>('Kwh Reading'!T35-'Kwh Reading'!T34)*1000</f>
        <v>-420760</v>
      </c>
      <c r="D34" s="2">
        <f>('Kwh Reading'!F35-'Kwh Reading'!F34)*1000000</f>
        <v>-2380800</v>
      </c>
      <c r="E34" s="2">
        <f>('Kwh Reading'!C35-'Kwh Reading'!C34)*1000</f>
        <v>-229580</v>
      </c>
      <c r="F34" s="2">
        <f>('Kwh Reading'!J35-'Kwh Reading'!J34)*1000</f>
        <v>-316460</v>
      </c>
      <c r="G34" s="2">
        <f>('Kwh Reading'!K35-'Kwh Reading'!K34)*1000</f>
        <v>-340800</v>
      </c>
      <c r="H34" s="2">
        <f>('Kwh Reading'!L35-'Kwh Reading'!L34)*1000</f>
        <v>-233900</v>
      </c>
      <c r="I34" s="2">
        <f>('Kwh Reading'!R35-'Kwh Reading'!R34)*1000</f>
        <v>-157730</v>
      </c>
      <c r="J34" s="2">
        <f>('Kwh Reading'!S35-'Kwh Reading'!S34)*1000</f>
        <v>-115160</v>
      </c>
      <c r="K34" s="2">
        <f>('Kwh Reading'!I35-'Kwh Reading'!I34)*1000</f>
        <v>-236040</v>
      </c>
      <c r="L34" s="2">
        <f>('Kwh Reading'!B35-'Kwh Reading'!B34)*1000</f>
        <v>-981180</v>
      </c>
      <c r="M34" s="2">
        <f>('Kwh Reading'!M35-'Kwh Reading'!M34)*1000</f>
        <v>-518450.00000000006</v>
      </c>
      <c r="N34" s="2">
        <f>('Kwh Reading'!H35-'Kwh Reading'!H34)*1000</f>
        <v>-622150</v>
      </c>
      <c r="O34" s="2">
        <f>('Kwh Reading'!P35-'Kwh Reading'!P34)*1000</f>
        <v>-618580</v>
      </c>
      <c r="P34" s="2">
        <f>('Kwh Reading'!G35-'Kwh Reading'!G34)*1000</f>
        <v>-746170</v>
      </c>
      <c r="Q34" s="2">
        <f>('Kwh Reading'!Q35-'Kwh Reading'!Q34)*1000</f>
        <v>-461670</v>
      </c>
      <c r="R34" s="2">
        <f>('Kwh Reading'!N35-'Kwh Reading'!N34)*1000</f>
        <v>-472620</v>
      </c>
      <c r="S34" s="2">
        <f>'Kwh Reading'!E35-'Kwh Reading'!E34</f>
        <v>-8184646.8899999997</v>
      </c>
      <c r="T34" s="2">
        <f>'Kwh Reading'!D35-'Kwh Reading'!D34</f>
        <v>-7480564.5499999998</v>
      </c>
      <c r="U34" s="27">
        <f>('Kwh Reading'!O35-'Kwh Reading'!O34)*1000</f>
        <v>-151380</v>
      </c>
      <c r="V34" s="16">
        <f t="shared" si="1"/>
        <v>24668641.440000001</v>
      </c>
    </row>
    <row r="35" spans="1:22" x14ac:dyDescent="0.25">
      <c r="A35" s="80" t="s">
        <v>53</v>
      </c>
      <c r="B35" s="79">
        <f>SUM(B4:B34)</f>
        <v>686459.99999999919</v>
      </c>
      <c r="C35" s="75">
        <f t="shared" ref="C35" si="2">SUM(C4:C34)</f>
        <v>-407660</v>
      </c>
      <c r="D35" s="75">
        <f t="shared" ref="D35" si="3">SUM(D4:D34)</f>
        <v>-2308100</v>
      </c>
      <c r="E35" s="75">
        <f t="shared" ref="E35" si="4">SUM(E4:E34)</f>
        <v>-222830</v>
      </c>
      <c r="F35" s="75">
        <f t="shared" ref="F35" si="5">SUM(F4:F34)</f>
        <v>-310550.00000000006</v>
      </c>
      <c r="G35" s="75">
        <f t="shared" ref="G35:U35" si="6">SUM(G4:G34)</f>
        <v>-333630</v>
      </c>
      <c r="H35" s="75">
        <f t="shared" si="6"/>
        <v>-228430</v>
      </c>
      <c r="I35" s="75">
        <f t="shared" si="6"/>
        <v>-148640</v>
      </c>
      <c r="J35" s="75">
        <f t="shared" si="6"/>
        <v>-111340</v>
      </c>
      <c r="K35" s="75">
        <f t="shared" si="6"/>
        <v>-226280</v>
      </c>
      <c r="L35" s="75">
        <f t="shared" si="6"/>
        <v>-941590.00000000012</v>
      </c>
      <c r="M35" s="75">
        <f t="shared" si="6"/>
        <v>-494460</v>
      </c>
      <c r="N35" s="75">
        <f t="shared" si="6"/>
        <v>-608010</v>
      </c>
      <c r="O35" s="75">
        <f t="shared" si="6"/>
        <v>-586590</v>
      </c>
      <c r="P35" s="75">
        <f t="shared" si="6"/>
        <v>-719090.00000000012</v>
      </c>
      <c r="Q35" s="75">
        <f t="shared" si="6"/>
        <v>-439130</v>
      </c>
      <c r="R35" s="75">
        <f t="shared" si="6"/>
        <v>-448540</v>
      </c>
      <c r="S35" s="75">
        <f t="shared" si="6"/>
        <v>-8087986.3700000001</v>
      </c>
      <c r="T35" s="75">
        <f t="shared" si="6"/>
        <v>-7406516.4000000004</v>
      </c>
      <c r="U35" s="75">
        <f t="shared" si="6"/>
        <v>-144040</v>
      </c>
      <c r="V35" s="75">
        <f>SUM(V4:V34)</f>
        <v>24859872.770000003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44348</v>
      </c>
      <c r="B3" s="83">
        <f>TOTAL!E2</f>
        <v>22750.000000000684</v>
      </c>
      <c r="C3" s="1">
        <f>'Kwh Consumption'!C4</f>
        <v>479.99999999996135</v>
      </c>
      <c r="D3" s="1">
        <f>'Kwh Consumption'!D4</f>
        <v>1999.9999999997797</v>
      </c>
      <c r="E3" s="1">
        <f>'Kwh Consumption'!E4</f>
        <v>209.99999999997954</v>
      </c>
      <c r="F3" s="1">
        <f>('Kwh Consumption'!F4+'Kwh Consumption'!G4+'Kwh Consumption'!H4)</f>
        <v>549.99999999998295</v>
      </c>
      <c r="G3" s="16">
        <f>('Kwh Consumption'!I4+'Kwh Consumption'!J4)</f>
        <v>450.00000000000284</v>
      </c>
      <c r="H3" s="1">
        <f>('Kwh Consumption'!K4+'Kwh Consumption'!L4)</f>
        <v>1489.9999999999523</v>
      </c>
      <c r="I3" s="1">
        <f>('Kwh Consumption'!M4+'Kwh Consumption'!N4+'Kwh Consumption'!O4+'Kwh Consumption'!P4+'Kwh Consumption'!Q4+'Kwh Consumption'!R4)</f>
        <v>4749.9999999998863</v>
      </c>
      <c r="J3" s="1">
        <f>('Kwh Consumption'!S4+'Kwh Consumption'!T4)</f>
        <v>5661.7199999997392</v>
      </c>
      <c r="K3" s="1">
        <f>'Kwh Consumption'!U4</f>
        <v>260.00000000001933</v>
      </c>
      <c r="L3" s="32">
        <f t="shared" ref="L3:L33" si="0">B3-C3-D3-E3-F3-G3-H3-I3-J3-K3</f>
        <v>6898.280000001384</v>
      </c>
    </row>
    <row r="4" spans="1:12" x14ac:dyDescent="0.25">
      <c r="A4" s="14">
        <f>'Kwh Reading'!A5</f>
        <v>44349</v>
      </c>
      <c r="B4" s="83">
        <f>TOTAL!E3</f>
        <v>23169.999999999618</v>
      </c>
      <c r="C4" s="1">
        <f>'Kwh Consumption'!C5</f>
        <v>500</v>
      </c>
      <c r="D4" s="1">
        <f>'Kwh Consumption'!D5</f>
        <v>2299.9999999999686</v>
      </c>
      <c r="E4" s="1">
        <f>'Kwh Consumption'!E5</f>
        <v>210.00000000000796</v>
      </c>
      <c r="F4" s="1">
        <f>('Kwh Consumption'!F5+'Kwh Consumption'!G5+'Kwh Consumption'!H5)</f>
        <v>580.00000000001251</v>
      </c>
      <c r="G4" s="16">
        <f>('Kwh Consumption'!I5+'Kwh Consumption'!J5)</f>
        <v>480.00000000001819</v>
      </c>
      <c r="H4" s="1">
        <f>('Kwh Consumption'!K5+'Kwh Consumption'!L5)</f>
        <v>1569.9999999999932</v>
      </c>
      <c r="I4" s="1">
        <f>('Kwh Consumption'!M5+'Kwh Consumption'!N5+'Kwh Consumption'!O5+'Kwh Consumption'!P5+'Kwh Consumption'!Q5+'Kwh Consumption'!R5)</f>
        <v>5040.0000000000764</v>
      </c>
      <c r="J4" s="1">
        <f>('Kwh Consumption'!S5+'Kwh Consumption'!T5)</f>
        <v>5804.9199999999255</v>
      </c>
      <c r="K4" s="1">
        <f>'Kwh Consumption'!U5</f>
        <v>269.99999999998181</v>
      </c>
      <c r="L4" s="32">
        <f t="shared" si="0"/>
        <v>6415.0799999996379</v>
      </c>
    </row>
    <row r="5" spans="1:12" x14ac:dyDescent="0.25">
      <c r="A5" s="14">
        <f>'Kwh Reading'!A6</f>
        <v>44350</v>
      </c>
      <c r="B5" s="83">
        <f>TOTAL!E4</f>
        <v>22990.00000000024</v>
      </c>
      <c r="C5" s="1">
        <f>'Kwh Consumption'!C6</f>
        <v>520.00000000003865</v>
      </c>
      <c r="D5" s="1">
        <f>'Kwh Consumption'!D6</f>
        <v>2400.0000000001796</v>
      </c>
      <c r="E5" s="1">
        <f>'Kwh Consumption'!E6</f>
        <v>219.99999999999886</v>
      </c>
      <c r="F5" s="1">
        <f>('Kwh Consumption'!F6+'Kwh Consumption'!G6+'Kwh Consumption'!H6)</f>
        <v>600.00000000002274</v>
      </c>
      <c r="G5" s="16">
        <f>('Kwh Consumption'!I6+'Kwh Consumption'!J6)</f>
        <v>459.99999999997954</v>
      </c>
      <c r="H5" s="1">
        <f>('Kwh Consumption'!K6+'Kwh Consumption'!L6)</f>
        <v>1649.9999999999773</v>
      </c>
      <c r="I5" s="1">
        <f>('Kwh Consumption'!M6+'Kwh Consumption'!N6+'Kwh Consumption'!O6+'Kwh Consumption'!P6+'Kwh Consumption'!Q6+'Kwh Consumption'!R6)</f>
        <v>5019.9999999999818</v>
      </c>
      <c r="J5" s="1">
        <f>('Kwh Consumption'!S6+'Kwh Consumption'!T6)</f>
        <v>5827.6899999994785</v>
      </c>
      <c r="K5" s="1">
        <f>'Kwh Consumption'!U6</f>
        <v>230.00000000001819</v>
      </c>
      <c r="L5" s="32">
        <f t="shared" si="0"/>
        <v>6062.3100000005652</v>
      </c>
    </row>
    <row r="6" spans="1:12" x14ac:dyDescent="0.25">
      <c r="A6" s="14">
        <f>'Kwh Reading'!A7</f>
        <v>44351</v>
      </c>
      <c r="B6" s="83">
        <f>TOTAL!E5</f>
        <v>22279.99999999952</v>
      </c>
      <c r="C6" s="1">
        <f>'Kwh Consumption'!C7</f>
        <v>289.99999999996362</v>
      </c>
      <c r="D6" s="1">
        <f>'Kwh Consumption'!D7</f>
        <v>2299.9999999999686</v>
      </c>
      <c r="E6" s="1">
        <f>'Kwh Consumption'!E7</f>
        <v>250</v>
      </c>
      <c r="F6" s="1">
        <f>('Kwh Consumption'!F7+'Kwh Consumption'!G7+'Kwh Consumption'!H7)</f>
        <v>659.99999999993975</v>
      </c>
      <c r="G6" s="16">
        <f>('Kwh Consumption'!I7+'Kwh Consumption'!J7)</f>
        <v>420.00000000000171</v>
      </c>
      <c r="H6" s="1">
        <f>('Kwh Consumption'!K7+'Kwh Consumption'!L7)</f>
        <v>1600.000000000108</v>
      </c>
      <c r="I6" s="1">
        <f>('Kwh Consumption'!M7+'Kwh Consumption'!N7+'Kwh Consumption'!O7+'Kwh Consumption'!P7+'Kwh Consumption'!Q7+'Kwh Consumption'!R7)</f>
        <v>4960.0000000000937</v>
      </c>
      <c r="J6" s="1">
        <f>('Kwh Consumption'!S7+'Kwh Consumption'!T7)</f>
        <v>5502.9400000004098</v>
      </c>
      <c r="K6" s="1">
        <f>'Kwh Consumption'!U7</f>
        <v>229.99999999998977</v>
      </c>
      <c r="L6" s="32">
        <f t="shared" si="0"/>
        <v>6067.0599999990472</v>
      </c>
    </row>
    <row r="7" spans="1:12" x14ac:dyDescent="0.25">
      <c r="A7" s="14">
        <f>'Kwh Reading'!A8</f>
        <v>44352</v>
      </c>
      <c r="B7" s="83">
        <f>TOTAL!E6</f>
        <v>22609.999999999673</v>
      </c>
      <c r="C7" s="1">
        <f>'Kwh Consumption'!C8</f>
        <v>480.00000000001819</v>
      </c>
      <c r="D7" s="1">
        <f>'Kwh Consumption'!D8</f>
        <v>2299.9999999999686</v>
      </c>
      <c r="E7" s="1">
        <f>'Kwh Consumption'!E8</f>
        <v>259.99999999999091</v>
      </c>
      <c r="F7" s="1">
        <f>('Kwh Consumption'!F8+'Kwh Consumption'!G8+'Kwh Consumption'!H8)</f>
        <v>289.99999999999204</v>
      </c>
      <c r="G7" s="16">
        <f>('Kwh Consumption'!I8+'Kwh Consumption'!J8)</f>
        <v>470.00000000001307</v>
      </c>
      <c r="H7" s="1">
        <f>('Kwh Consumption'!K8+'Kwh Consumption'!L8)</f>
        <v>1489.9999999999238</v>
      </c>
      <c r="I7" s="1">
        <f>('Kwh Consumption'!M8+'Kwh Consumption'!N8+'Kwh Consumption'!O8+'Kwh Consumption'!P8+'Kwh Consumption'!Q8+'Kwh Consumption'!R8)</f>
        <v>4930.0000000000073</v>
      </c>
      <c r="J7" s="1">
        <f>('Kwh Consumption'!S8+'Kwh Consumption'!T8)</f>
        <v>5444.6100000003353</v>
      </c>
      <c r="K7" s="1">
        <f>'Kwh Consumption'!U8</f>
        <v>240.00000000000909</v>
      </c>
      <c r="L7" s="32">
        <f t="shared" si="0"/>
        <v>6705.3899999994119</v>
      </c>
    </row>
    <row r="8" spans="1:12" x14ac:dyDescent="0.25">
      <c r="A8" s="14">
        <f>'Kwh Reading'!A9</f>
        <v>44353</v>
      </c>
      <c r="B8" s="83">
        <f>TOTAL!E7</f>
        <v>22650.000000001004</v>
      </c>
      <c r="C8" s="1">
        <f>'Kwh Consumption'!C9</f>
        <v>420.00000000001592</v>
      </c>
      <c r="D8" s="1">
        <f>'Kwh Consumption'!D9</f>
        <v>2600.0000000001578</v>
      </c>
      <c r="E8" s="1">
        <f>'Kwh Consumption'!E9</f>
        <v>170.00000000001592</v>
      </c>
      <c r="F8" s="1">
        <f>('Kwh Consumption'!F9+'Kwh Consumption'!G9+'Kwh Consumption'!H9)</f>
        <v>689.99999999999773</v>
      </c>
      <c r="G8" s="16">
        <f>('Kwh Consumption'!I9+'Kwh Consumption'!J9)</f>
        <v>279.99999999998693</v>
      </c>
      <c r="H8" s="1">
        <f>('Kwh Consumption'!K9+'Kwh Consumption'!L9)</f>
        <v>1670.0000000000159</v>
      </c>
      <c r="I8" s="1">
        <f>('Kwh Consumption'!M9+'Kwh Consumption'!N9+'Kwh Consumption'!O9+'Kwh Consumption'!P9+'Kwh Consumption'!Q9+'Kwh Consumption'!R9)</f>
        <v>4829.9999999999272</v>
      </c>
      <c r="J8" s="1">
        <f>('Kwh Consumption'!S9+'Kwh Consumption'!T9)</f>
        <v>5509.6699999989942</v>
      </c>
      <c r="K8" s="1">
        <f>'Kwh Consumption'!U9</f>
        <v>259.99999999999091</v>
      </c>
      <c r="L8" s="32">
        <f t="shared" si="0"/>
        <v>6220.3300000019099</v>
      </c>
    </row>
    <row r="9" spans="1:12" x14ac:dyDescent="0.25">
      <c r="A9" s="14">
        <f>'Kwh Reading'!A10</f>
        <v>44354</v>
      </c>
      <c r="B9" s="83">
        <f>TOTAL!E8</f>
        <v>23299.999999999498</v>
      </c>
      <c r="C9" s="1">
        <f>'Kwh Consumption'!C10</f>
        <v>409.99999999996817</v>
      </c>
      <c r="D9" s="1">
        <f>'Kwh Consumption'!D10</f>
        <v>2299.9999999999686</v>
      </c>
      <c r="E9" s="1">
        <f>'Kwh Consumption'!E10</f>
        <v>199.99999999998863</v>
      </c>
      <c r="F9" s="1">
        <f>('Kwh Consumption'!F10+'Kwh Consumption'!G10+'Kwh Consumption'!H10)</f>
        <v>600.00000000002274</v>
      </c>
      <c r="G9" s="16">
        <f>('Kwh Consumption'!I10+'Kwh Consumption'!J10)</f>
        <v>430.00000000000682</v>
      </c>
      <c r="H9" s="1">
        <f>('Kwh Consumption'!K10+'Kwh Consumption'!L10)</f>
        <v>1660.0000000000534</v>
      </c>
      <c r="I9" s="1">
        <f>('Kwh Consumption'!M10+'Kwh Consumption'!N10+'Kwh Consumption'!O10+'Kwh Consumption'!P10+'Kwh Consumption'!Q10+'Kwh Consumption'!R10)</f>
        <v>4999.9999999999436</v>
      </c>
      <c r="J9" s="1">
        <f>('Kwh Consumption'!S10+'Kwh Consumption'!T10)</f>
        <v>5529.1300000008196</v>
      </c>
      <c r="K9" s="1">
        <f>'Kwh Consumption'!U10</f>
        <v>289.99999999999204</v>
      </c>
      <c r="L9" s="32">
        <f t="shared" si="0"/>
        <v>6880.8699999987357</v>
      </c>
    </row>
    <row r="10" spans="1:12" x14ac:dyDescent="0.25">
      <c r="A10" s="14">
        <f>'Kwh Reading'!A11</f>
        <v>44355</v>
      </c>
      <c r="B10" s="83">
        <f>TOTAL!E9</f>
        <v>22609.999999999447</v>
      </c>
      <c r="C10" s="1">
        <f>'Kwh Consumption'!C11</f>
        <v>410.00000000002501</v>
      </c>
      <c r="D10" s="1">
        <f>'Kwh Consumption'!D11</f>
        <v>2299.9999999999686</v>
      </c>
      <c r="E10" s="1">
        <f>'Kwh Consumption'!E11</f>
        <v>219.99999999999886</v>
      </c>
      <c r="F10" s="1">
        <f>('Kwh Consumption'!F11+'Kwh Consumption'!G11+'Kwh Consumption'!H11)</f>
        <v>590.00000000003183</v>
      </c>
      <c r="G10" s="16">
        <f>('Kwh Consumption'!I11+'Kwh Consumption'!J11)</f>
        <v>460.00000000000796</v>
      </c>
      <c r="H10" s="1">
        <f>('Kwh Consumption'!K11+'Kwh Consumption'!L11)</f>
        <v>1560.0000000000023</v>
      </c>
      <c r="I10" s="1">
        <f>('Kwh Consumption'!M11+'Kwh Consumption'!N11+'Kwh Consumption'!O11+'Kwh Consumption'!P11+'Kwh Consumption'!Q11+'Kwh Consumption'!R11)</f>
        <v>4890.0000000000437</v>
      </c>
      <c r="J10" s="1">
        <f>('Kwh Consumption'!S11+'Kwh Consumption'!T11)</f>
        <v>5617.3600000003353</v>
      </c>
      <c r="K10" s="1">
        <f>'Kwh Consumption'!U11</f>
        <v>290.00000000002046</v>
      </c>
      <c r="L10" s="32">
        <f t="shared" si="0"/>
        <v>6272.6399999990117</v>
      </c>
    </row>
    <row r="11" spans="1:12" x14ac:dyDescent="0.25">
      <c r="A11" s="14">
        <f>'Kwh Reading'!A12</f>
        <v>44356</v>
      </c>
      <c r="B11" s="83">
        <f>TOTAL!E10</f>
        <v>23510.000000001128</v>
      </c>
      <c r="C11" s="1">
        <f>'Kwh Consumption'!C12</f>
        <v>469.99999999997044</v>
      </c>
      <c r="D11" s="1">
        <f>'Kwh Consumption'!D12</f>
        <v>2400.0000000001796</v>
      </c>
      <c r="E11" s="1">
        <f>'Kwh Consumption'!E12</f>
        <v>219.99999999999886</v>
      </c>
      <c r="F11" s="1">
        <f>('Kwh Consumption'!F12+'Kwh Consumption'!G12+'Kwh Consumption'!H12)</f>
        <v>530.00000000000114</v>
      </c>
      <c r="G11" s="16">
        <f>('Kwh Consumption'!I12+'Kwh Consumption'!J12)</f>
        <v>480.00000000000398</v>
      </c>
      <c r="H11" s="1">
        <f>('Kwh Consumption'!K12+'Kwh Consumption'!L12)</f>
        <v>1609.9999999999568</v>
      </c>
      <c r="I11" s="1">
        <f>('Kwh Consumption'!M12+'Kwh Consumption'!N12+'Kwh Consumption'!O12+'Kwh Consumption'!P12+'Kwh Consumption'!Q12+'Kwh Consumption'!R12)</f>
        <v>5350.0000000000218</v>
      </c>
      <c r="J11" s="1">
        <f>('Kwh Consumption'!S12+'Kwh Consumption'!T12)</f>
        <v>5893.4499999992549</v>
      </c>
      <c r="K11" s="1">
        <f>'Kwh Consumption'!U12</f>
        <v>279.99999999997272</v>
      </c>
      <c r="L11" s="32">
        <f t="shared" si="0"/>
        <v>6276.5500000017691</v>
      </c>
    </row>
    <row r="12" spans="1:12" x14ac:dyDescent="0.25">
      <c r="A12" s="14">
        <f>'Kwh Reading'!A13</f>
        <v>44357</v>
      </c>
      <c r="B12" s="83">
        <f>TOTAL!E11</f>
        <v>23329.999999999927</v>
      </c>
      <c r="C12" s="1">
        <f>'Kwh Consumption'!C13</f>
        <v>460.00000000003638</v>
      </c>
      <c r="D12" s="1">
        <f>'Kwh Consumption'!D13</f>
        <v>2499.9999999999468</v>
      </c>
      <c r="E12" s="1">
        <f>'Kwh Consumption'!E13</f>
        <v>219.99999999999886</v>
      </c>
      <c r="F12" s="1">
        <f>('Kwh Consumption'!F13+'Kwh Consumption'!G13+'Kwh Consumption'!H13)</f>
        <v>589.99999999997499</v>
      </c>
      <c r="G12" s="16">
        <f>('Kwh Consumption'!I13+'Kwh Consumption'!J13)</f>
        <v>379.99999999998124</v>
      </c>
      <c r="H12" s="1">
        <f>('Kwh Consumption'!K13+'Kwh Consumption'!L13)</f>
        <v>1629.999999999967</v>
      </c>
      <c r="I12" s="1">
        <f>('Kwh Consumption'!M13+'Kwh Consumption'!N13+'Kwh Consumption'!O13+'Kwh Consumption'!P13+'Kwh Consumption'!Q13+'Kwh Consumption'!R13)</f>
        <v>4919.9999999999591</v>
      </c>
      <c r="J12" s="1">
        <f>('Kwh Consumption'!S13+'Kwh Consumption'!T13)</f>
        <v>5851.359999999404</v>
      </c>
      <c r="K12" s="1">
        <f>'Kwh Consumption'!U13</f>
        <v>220.00000000002728</v>
      </c>
      <c r="L12" s="32">
        <f t="shared" si="0"/>
        <v>6558.6400000006306</v>
      </c>
    </row>
    <row r="13" spans="1:12" x14ac:dyDescent="0.25">
      <c r="A13" s="14">
        <f>'Kwh Reading'!A14</f>
        <v>44358</v>
      </c>
      <c r="B13" s="83">
        <f>TOTAL!E12</f>
        <v>22709.999999999127</v>
      </c>
      <c r="C13" s="1">
        <f>'Kwh Consumption'!C14</f>
        <v>269.99999999998181</v>
      </c>
      <c r="D13" s="1">
        <f>'Kwh Consumption'!D14</f>
        <v>2599.9999999997135</v>
      </c>
      <c r="E13" s="1">
        <f>'Kwh Consumption'!E14</f>
        <v>250</v>
      </c>
      <c r="F13" s="1">
        <f>('Kwh Consumption'!F14+'Kwh Consumption'!G14+'Kwh Consumption'!H14)</f>
        <v>620.00000000000455</v>
      </c>
      <c r="G13" s="16">
        <f>('Kwh Consumption'!I14+'Kwh Consumption'!J14)</f>
        <v>410.0000000000108</v>
      </c>
      <c r="H13" s="1">
        <f>('Kwh Consumption'!K14+'Kwh Consumption'!L14)</f>
        <v>1740.0000000000659</v>
      </c>
      <c r="I13" s="1">
        <f>('Kwh Consumption'!M14+'Kwh Consumption'!N14+'Kwh Consumption'!O14+'Kwh Consumption'!P14+'Kwh Consumption'!Q14+'Kwh Consumption'!R14)</f>
        <v>5140.0000000000437</v>
      </c>
      <c r="J13" s="1">
        <f>('Kwh Consumption'!S14+'Kwh Consumption'!T14)</f>
        <v>5539.1800000006333</v>
      </c>
      <c r="K13" s="1">
        <f>'Kwh Consumption'!U14</f>
        <v>299.99999999998295</v>
      </c>
      <c r="L13" s="32">
        <f t="shared" si="0"/>
        <v>5840.8199999986928</v>
      </c>
    </row>
    <row r="14" spans="1:12" x14ac:dyDescent="0.25">
      <c r="A14" s="14">
        <f>'Kwh Reading'!A15</f>
        <v>44359</v>
      </c>
      <c r="B14" s="83">
        <f>TOTAL!E13</f>
        <v>22700.000000001637</v>
      </c>
      <c r="C14" s="1">
        <f>'Kwh Consumption'!C15</f>
        <v>480.00000000001819</v>
      </c>
      <c r="D14" s="1">
        <f>'Kwh Consumption'!D15</f>
        <v>2400.0000000001796</v>
      </c>
      <c r="E14" s="1">
        <f>'Kwh Consumption'!E15</f>
        <v>210.00000000000796</v>
      </c>
      <c r="F14" s="1">
        <f>('Kwh Consumption'!F15+'Kwh Consumption'!G15+'Kwh Consumption'!H15)</f>
        <v>580.00000000001251</v>
      </c>
      <c r="G14" s="16">
        <f>('Kwh Consumption'!I15+'Kwh Consumption'!J15)</f>
        <v>439.99999999998352</v>
      </c>
      <c r="H14" s="1">
        <f>('Kwh Consumption'!K15+'Kwh Consumption'!L15)</f>
        <v>1629.9999999999386</v>
      </c>
      <c r="I14" s="1">
        <f>('Kwh Consumption'!M15+'Kwh Consumption'!N15+'Kwh Consumption'!O15+'Kwh Consumption'!P15+'Kwh Consumption'!Q15+'Kwh Consumption'!R15)</f>
        <v>4789.9999999999072</v>
      </c>
      <c r="J14" s="1">
        <f>('Kwh Consumption'!S15+'Kwh Consumption'!T15)</f>
        <v>5691.609999999404</v>
      </c>
      <c r="K14" s="1">
        <f>'Kwh Consumption'!U15</f>
        <v>270.00000000001023</v>
      </c>
      <c r="L14" s="32">
        <f t="shared" si="0"/>
        <v>6208.3900000021813</v>
      </c>
    </row>
    <row r="15" spans="1:12" x14ac:dyDescent="0.25">
      <c r="A15" s="14">
        <f>'Kwh Reading'!A16</f>
        <v>44360</v>
      </c>
      <c r="B15" s="83">
        <f>TOTAL!E14</f>
        <v>23749.999999999091</v>
      </c>
      <c r="C15" s="1">
        <f>'Kwh Consumption'!C16</f>
        <v>489.99999999995225</v>
      </c>
      <c r="D15" s="1">
        <f>'Kwh Consumption'!D16</f>
        <v>2499.9999999999468</v>
      </c>
      <c r="E15" s="1">
        <f>'Kwh Consumption'!E16</f>
        <v>240.00000000000909</v>
      </c>
      <c r="F15" s="1">
        <f>('Kwh Consumption'!F16+'Kwh Consumption'!G16+'Kwh Consumption'!H16)</f>
        <v>589.99999999997499</v>
      </c>
      <c r="G15" s="16">
        <f>('Kwh Consumption'!I16+'Kwh Consumption'!J16)</f>
        <v>470.00000000001307</v>
      </c>
      <c r="H15" s="1">
        <f>('Kwh Consumption'!K16+'Kwh Consumption'!L16)</f>
        <v>1830.0000000000693</v>
      </c>
      <c r="I15" s="1">
        <f>('Kwh Consumption'!M16+'Kwh Consumption'!N16+'Kwh Consumption'!O16+'Kwh Consumption'!P16+'Kwh Consumption'!Q16+'Kwh Consumption'!R16)</f>
        <v>4950.0000000000455</v>
      </c>
      <c r="J15" s="1">
        <f>('Kwh Consumption'!S16+'Kwh Consumption'!T16)</f>
        <v>6003.3300000010058</v>
      </c>
      <c r="K15" s="1">
        <f>'Kwh Consumption'!U16</f>
        <v>299.99999999998295</v>
      </c>
      <c r="L15" s="32">
        <f t="shared" si="0"/>
        <v>6376.6699999980929</v>
      </c>
    </row>
    <row r="16" spans="1:12" x14ac:dyDescent="0.25">
      <c r="A16" s="14">
        <f>'Kwh Reading'!A17</f>
        <v>44361</v>
      </c>
      <c r="B16" s="83">
        <f>TOTAL!E15</f>
        <v>22739.999999999782</v>
      </c>
      <c r="C16" s="1">
        <f>'Kwh Consumption'!C17</f>
        <v>420.00000000001592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879.99999999999545</v>
      </c>
      <c r="G16" s="16">
        <f>('Kwh Consumption'!I17+'Kwh Consumption'!J17)</f>
        <v>439.99999999999773</v>
      </c>
      <c r="H16" s="1">
        <f>('Kwh Consumption'!K17+'Kwh Consumption'!L17)</f>
        <v>1529.9999999999727</v>
      </c>
      <c r="I16" s="1">
        <f>('Kwh Consumption'!M17+'Kwh Consumption'!N17+'Kwh Consumption'!O17+'Kwh Consumption'!P17+'Kwh Consumption'!Q17+'Kwh Consumption'!R17)</f>
        <v>4970.0000000000273</v>
      </c>
      <c r="J16" s="1">
        <f>('Kwh Consumption'!S17+'Kwh Consumption'!T17)</f>
        <v>5933.4699999997392</v>
      </c>
      <c r="K16" s="1">
        <f>'Kwh Consumption'!U17</f>
        <v>280.00000000000114</v>
      </c>
      <c r="L16" s="32">
        <f t="shared" si="0"/>
        <v>5436.5299999998761</v>
      </c>
    </row>
    <row r="17" spans="1:12" x14ac:dyDescent="0.25">
      <c r="A17" s="14">
        <f>'Kwh Reading'!A18</f>
        <v>44362</v>
      </c>
      <c r="B17" s="83">
        <f>TOTAL!E16</f>
        <v>22609.999999999902</v>
      </c>
      <c r="C17" s="1">
        <f>'Kwh Consumption'!C18</f>
        <v>420.00000000001592</v>
      </c>
      <c r="D17" s="1">
        <f>'Kwh Consumption'!D18</f>
        <v>2199.9999999997576</v>
      </c>
      <c r="E17" s="1">
        <f>'Kwh Consumption'!E18</f>
        <v>229.99999999998977</v>
      </c>
      <c r="F17" s="1">
        <f>('Kwh Consumption'!F18+'Kwh Consumption'!G18+'Kwh Consumption'!H18)</f>
        <v>400.00000000006253</v>
      </c>
      <c r="G17" s="16">
        <f>('Kwh Consumption'!I18+'Kwh Consumption'!J18)</f>
        <v>390.00000000001478</v>
      </c>
      <c r="H17" s="1">
        <f>('Kwh Consumption'!K18+'Kwh Consumption'!L18)</f>
        <v>1599.9999999999659</v>
      </c>
      <c r="I17" s="1">
        <f>('Kwh Consumption'!M18+'Kwh Consumption'!N18+'Kwh Consumption'!O18+'Kwh Consumption'!P18+'Kwh Consumption'!Q18+'Kwh Consumption'!R18)</f>
        <v>4539.9999999999072</v>
      </c>
      <c r="J17" s="1">
        <f>('Kwh Consumption'!S18+'Kwh Consumption'!T18)</f>
        <v>5426.4599999999627</v>
      </c>
      <c r="K17" s="31">
        <f>'Kwh Consumption'!U18</f>
        <v>240.00000000000909</v>
      </c>
      <c r="L17" s="32">
        <f t="shared" si="0"/>
        <v>7163.5400000002192</v>
      </c>
    </row>
    <row r="18" spans="1:12" x14ac:dyDescent="0.25">
      <c r="A18" s="14">
        <f>'Kwh Reading'!A19</f>
        <v>44363</v>
      </c>
      <c r="B18" s="83">
        <f>TOTAL!E17</f>
        <v>24020.000000000207</v>
      </c>
      <c r="C18" s="1">
        <f>'Kwh Consumption'!C19</f>
        <v>500</v>
      </c>
      <c r="D18" s="1">
        <f>'Kwh Consumption'!D19</f>
        <v>2600.0000000001578</v>
      </c>
      <c r="E18" s="1">
        <f>'Kwh Consumption'!E19</f>
        <v>210.00000000000796</v>
      </c>
      <c r="F18" s="1">
        <f>('Kwh Consumption'!F19+'Kwh Consumption'!G19+'Kwh Consumption'!H19)</f>
        <v>549.99999999998295</v>
      </c>
      <c r="G18" s="16">
        <f>('Kwh Consumption'!I19+'Kwh Consumption'!J19)</f>
        <v>599.99999999999432</v>
      </c>
      <c r="H18" s="1">
        <f>('Kwh Consumption'!K19+'Kwh Consumption'!L19)</f>
        <v>1739.9999999999523</v>
      </c>
      <c r="I18" s="1">
        <f>('Kwh Consumption'!M19+'Kwh Consumption'!N19+'Kwh Consumption'!O19+'Kwh Consumption'!P19+'Kwh Consumption'!Q19+'Kwh Consumption'!R19)</f>
        <v>5000.0000000002274</v>
      </c>
      <c r="J18" s="1">
        <f>('Kwh Consumption'!S19+'Kwh Consumption'!T19)</f>
        <v>5355.660000000149</v>
      </c>
      <c r="K18" s="31">
        <f>'Kwh Consumption'!U19</f>
        <v>250</v>
      </c>
      <c r="L18" s="32">
        <f t="shared" si="0"/>
        <v>7214.33999999974</v>
      </c>
    </row>
    <row r="19" spans="1:12" x14ac:dyDescent="0.25">
      <c r="A19" s="14">
        <f>'Kwh Reading'!A20</f>
        <v>44364</v>
      </c>
      <c r="B19" s="83">
        <f>TOTAL!E18</f>
        <v>22610.000000000124</v>
      </c>
      <c r="C19" s="1">
        <f>'Kwh Consumption'!C20</f>
        <v>420.00000000001592</v>
      </c>
      <c r="D19" s="1">
        <f>'Kwh Consumption'!D20</f>
        <v>2499.9999999999468</v>
      </c>
      <c r="E19" s="1">
        <f>'Kwh Consumption'!E20</f>
        <v>199.99999999998863</v>
      </c>
      <c r="F19" s="1">
        <f>('Kwh Consumption'!F20+'Kwh Consumption'!G20+'Kwh Consumption'!H20)</f>
        <v>709.99999999997954</v>
      </c>
      <c r="G19" s="16">
        <f>('Kwh Consumption'!I20+'Kwh Consumption'!J20)</f>
        <v>339.9999999999892</v>
      </c>
      <c r="H19" s="1">
        <f>('Kwh Consumption'!K20+'Kwh Consumption'!L20)</f>
        <v>1760.0000000000477</v>
      </c>
      <c r="I19" s="1">
        <f>('Kwh Consumption'!M20+'Kwh Consumption'!N20+'Kwh Consumption'!O20+'Kwh Consumption'!P20+'Kwh Consumption'!Q20+'Kwh Consumption'!R20)</f>
        <v>4819.9999999998799</v>
      </c>
      <c r="J19" s="1">
        <f>('Kwh Consumption'!S20+'Kwh Consumption'!T20)</f>
        <v>6312</v>
      </c>
      <c r="K19" s="1">
        <f>'Kwh Consumption'!U20</f>
        <v>270.00000000001023</v>
      </c>
      <c r="L19" s="32">
        <f t="shared" si="0"/>
        <v>5278.0000000002701</v>
      </c>
    </row>
    <row r="20" spans="1:12" x14ac:dyDescent="0.25">
      <c r="A20" s="14">
        <f>'Kwh Reading'!A21</f>
        <v>44365</v>
      </c>
      <c r="B20" s="83">
        <f>TOTAL!E19</f>
        <v>23489.999999999327</v>
      </c>
      <c r="C20" s="1">
        <f>'Kwh Consumption'!C21</f>
        <v>299.99999999995453</v>
      </c>
      <c r="D20" s="1">
        <f>'Kwh Consumption'!D21</f>
        <v>2600.0000000001578</v>
      </c>
      <c r="E20" s="1">
        <f>'Kwh Consumption'!E21</f>
        <v>230.00000000001819</v>
      </c>
      <c r="F20" s="1">
        <f>('Kwh Consumption'!F21+'Kwh Consumption'!G21+'Kwh Consumption'!H21)</f>
        <v>639.99999999998636</v>
      </c>
      <c r="G20" s="16">
        <f>('Kwh Consumption'!I21+'Kwh Consumption'!J21)</f>
        <v>370.00000000000455</v>
      </c>
      <c r="H20" s="1">
        <f>('Kwh Consumption'!K21+'Kwh Consumption'!L21)</f>
        <v>1850.0000000000227</v>
      </c>
      <c r="I20" s="1">
        <f>('Kwh Consumption'!M21+'Kwh Consumption'!N21+'Kwh Consumption'!O21+'Kwh Consumption'!P21+'Kwh Consumption'!Q21+'Kwh Consumption'!R21)</f>
        <v>4969.9999999998563</v>
      </c>
      <c r="J20" s="1">
        <f>('Kwh Consumption'!S21+'Kwh Consumption'!T21)</f>
        <v>5928.4399999994785</v>
      </c>
      <c r="K20" s="1">
        <f>'Kwh Consumption'!U21</f>
        <v>269.99999999998181</v>
      </c>
      <c r="L20" s="32">
        <f t="shared" si="0"/>
        <v>6331.5599999998722</v>
      </c>
    </row>
    <row r="21" spans="1:12" x14ac:dyDescent="0.25">
      <c r="A21" s="14">
        <f>'Kwh Reading'!A22</f>
        <v>44366</v>
      </c>
      <c r="B21" s="83">
        <f>TOTAL!E20</f>
        <v>23380.000000000109</v>
      </c>
      <c r="C21" s="1">
        <f>'Kwh Consumption'!C22</f>
        <v>460.00000000003638</v>
      </c>
      <c r="D21" s="1">
        <f>'Kwh Consumption'!D22</f>
        <v>2399.9999999997358</v>
      </c>
      <c r="E21" s="1">
        <f>'Kwh Consumption'!E22</f>
        <v>799.99999999998295</v>
      </c>
      <c r="F21" s="1">
        <f>('Kwh Consumption'!F22+'Kwh Consumption'!G22+'Kwh Consumption'!H22)</f>
        <v>520.00000000003865</v>
      </c>
      <c r="G21" s="16">
        <f>('Kwh Consumption'!I22+'Kwh Consumption'!J22)</f>
        <v>459.99999999999375</v>
      </c>
      <c r="H21" s="1">
        <f>('Kwh Consumption'!K22+'Kwh Consumption'!L22)</f>
        <v>1659.9999999999397</v>
      </c>
      <c r="I21" s="1">
        <f>('Kwh Consumption'!M22+'Kwh Consumption'!N22+'Kwh Consumption'!O22+'Kwh Consumption'!P22+'Kwh Consumption'!Q22+'Kwh Consumption'!R22)</f>
        <v>4670.0000000000728</v>
      </c>
      <c r="J21" s="1">
        <f>('Kwh Consumption'!S22+'Kwh Consumption'!T22)</f>
        <v>6187.570000000298</v>
      </c>
      <c r="K21" s="1">
        <f>'Kwh Consumption'!U22</f>
        <v>219.99999999999886</v>
      </c>
      <c r="L21" s="32">
        <f t="shared" si="0"/>
        <v>6002.4300000000158</v>
      </c>
    </row>
    <row r="22" spans="1:12" x14ac:dyDescent="0.25">
      <c r="A22" s="14">
        <f>'Kwh Reading'!A23</f>
        <v>44367</v>
      </c>
      <c r="B22" s="83">
        <f>TOTAL!E21</f>
        <v>22530.00000000111</v>
      </c>
      <c r="C22" s="1">
        <f>'Kwh Consumption'!C23</f>
        <v>459.99999999997954</v>
      </c>
      <c r="D22" s="1">
        <f>'Kwh Consumption'!D23</f>
        <v>2499.9999999999468</v>
      </c>
      <c r="E22" s="1">
        <f>'Kwh Consumption'!E23</f>
        <v>-389.99999999998636</v>
      </c>
      <c r="F22" s="1">
        <f>('Kwh Consumption'!F23+'Kwh Consumption'!G23+'Kwh Consumption'!H23)</f>
        <v>529.99999999994429</v>
      </c>
      <c r="G22" s="16">
        <f>('Kwh Consumption'!I23+'Kwh Consumption'!J23)</f>
        <v>629.99999999999545</v>
      </c>
      <c r="H22" s="1">
        <f>('Kwh Consumption'!K23+'Kwh Consumption'!L23)</f>
        <v>1610.0000000000136</v>
      </c>
      <c r="I22" s="1">
        <f>('Kwh Consumption'!M23+'Kwh Consumption'!N23+'Kwh Consumption'!O23+'Kwh Consumption'!P23+'Kwh Consumption'!Q23+'Kwh Consumption'!R23)</f>
        <v>4770.0000000002092</v>
      </c>
      <c r="J22" s="1">
        <f>('Kwh Consumption'!S23+'Kwh Consumption'!T23)</f>
        <v>6194.0499999998137</v>
      </c>
      <c r="K22" s="1">
        <f>'Kwh Consumption'!U23</f>
        <v>230.00000000001819</v>
      </c>
      <c r="L22" s="32">
        <f t="shared" si="0"/>
        <v>5995.950000001174</v>
      </c>
    </row>
    <row r="23" spans="1:12" x14ac:dyDescent="0.25">
      <c r="A23" s="14">
        <f>'Kwh Reading'!A24</f>
        <v>44368</v>
      </c>
      <c r="B23" s="83">
        <f>TOTAL!E22</f>
        <v>24279.999999999061</v>
      </c>
      <c r="C23" s="1">
        <f>'Kwh Consumption'!C24</f>
        <v>509.99999999999091</v>
      </c>
      <c r="D23" s="1">
        <f>'Kwh Consumption'!D24</f>
        <v>2500.0000000003906</v>
      </c>
      <c r="E23" s="1">
        <f>'Kwh Consumption'!E24</f>
        <v>259.99999999999091</v>
      </c>
      <c r="F23" s="1">
        <f>('Kwh Consumption'!F24+'Kwh Consumption'!G24+'Kwh Consumption'!H24)</f>
        <v>720.00000000005571</v>
      </c>
      <c r="G23" s="16">
        <f>('Kwh Consumption'!I24+'Kwh Consumption'!J24)</f>
        <v>270.00000000002444</v>
      </c>
      <c r="H23" s="1">
        <f>('Kwh Consumption'!K24+'Kwh Consumption'!L24)</f>
        <v>1810.0000000000307</v>
      </c>
      <c r="I23" s="1">
        <f>('Kwh Consumption'!M24+'Kwh Consumption'!N24+'Kwh Consumption'!O24+'Kwh Consumption'!P24+'Kwh Consumption'!Q24+'Kwh Consumption'!R24)</f>
        <v>4889.9999999998163</v>
      </c>
      <c r="J23" s="1">
        <f>('Kwh Consumption'!S24+'Kwh Consumption'!T24)</f>
        <v>6547.4900000002235</v>
      </c>
      <c r="K23" s="1">
        <f>'Kwh Consumption'!U24</f>
        <v>229.99999999998977</v>
      </c>
      <c r="L23" s="32">
        <f t="shared" si="0"/>
        <v>6542.5099999985514</v>
      </c>
    </row>
    <row r="24" spans="1:12" x14ac:dyDescent="0.25">
      <c r="A24" s="14">
        <f>'Kwh Reading'!A25</f>
        <v>44369</v>
      </c>
      <c r="B24" s="83">
        <f>TOTAL!E23</f>
        <v>23740.000000000236</v>
      </c>
      <c r="C24" s="1">
        <f>'Kwh Consumption'!C25</f>
        <v>470.00000000002728</v>
      </c>
      <c r="D24" s="1">
        <f>'Kwh Consumption'!D25</f>
        <v>2499.9999999999468</v>
      </c>
      <c r="E24" s="1">
        <f>'Kwh Consumption'!E25</f>
        <v>240.00000000000909</v>
      </c>
      <c r="F24" s="1">
        <f>('Kwh Consumption'!F25+'Kwh Consumption'!G25+'Kwh Consumption'!H25)</f>
        <v>679.99999999994998</v>
      </c>
      <c r="G24" s="16">
        <f>('Kwh Consumption'!I25+'Kwh Consumption'!J25)</f>
        <v>450.00000000000284</v>
      </c>
      <c r="H24" s="1">
        <f>('Kwh Consumption'!K25+'Kwh Consumption'!L25)</f>
        <v>1740.0000000000091</v>
      </c>
      <c r="I24" s="1">
        <f>('Kwh Consumption'!M25+'Kwh Consumption'!N25+'Kwh Consumption'!O25+'Kwh Consumption'!P25+'Kwh Consumption'!Q25+'Kwh Consumption'!R25)</f>
        <v>4880.0000000001091</v>
      </c>
      <c r="J24" s="1">
        <f>('Kwh Consumption'!S25+'Kwh Consumption'!T25)</f>
        <v>6323.5400000000373</v>
      </c>
      <c r="K24" s="1">
        <f>'Kwh Consumption'!U25</f>
        <v>199.99999999998863</v>
      </c>
      <c r="L24" s="32">
        <f t="shared" si="0"/>
        <v>6256.4600000001556</v>
      </c>
    </row>
    <row r="25" spans="1:12" x14ac:dyDescent="0.25">
      <c r="A25" s="14">
        <f>'Kwh Reading'!A26</f>
        <v>44370</v>
      </c>
      <c r="B25" s="83">
        <f>TOTAL!E24</f>
        <v>22890.000000000098</v>
      </c>
      <c r="C25" s="1">
        <f>'Kwh Consumption'!C26</f>
        <v>449.99999999998863</v>
      </c>
      <c r="D25" s="1">
        <f>'Kwh Consumption'!D26</f>
        <v>2499.9999999999468</v>
      </c>
      <c r="E25" s="1">
        <f>'Kwh Consumption'!E26</f>
        <v>239.99999999998067</v>
      </c>
      <c r="F25" s="1">
        <f>('Kwh Consumption'!F26+'Kwh Consumption'!G26+'Kwh Consumption'!H26)</f>
        <v>700.00000000004547</v>
      </c>
      <c r="G25" s="16">
        <f>('Kwh Consumption'!I26+'Kwh Consumption'!J26)</f>
        <v>459.99999999997954</v>
      </c>
      <c r="H25" s="1">
        <f>('Kwh Consumption'!K26+'Kwh Consumption'!L26)</f>
        <v>1700.0000000000455</v>
      </c>
      <c r="I25" s="1">
        <f>('Kwh Consumption'!M26+'Kwh Consumption'!N26+'Kwh Consumption'!O26+'Kwh Consumption'!P26+'Kwh Consumption'!Q26+'Kwh Consumption'!R26)</f>
        <v>4719.9999999997999</v>
      </c>
      <c r="J25" s="1">
        <f>('Kwh Consumption'!S26+'Kwh Consumption'!T26)</f>
        <v>5939.3400000007823</v>
      </c>
      <c r="K25" s="1">
        <f>'Kwh Consumption'!U26</f>
        <v>300.00000000001137</v>
      </c>
      <c r="L25" s="32">
        <f t="shared" si="0"/>
        <v>5880.6599999995233</v>
      </c>
    </row>
    <row r="26" spans="1:12" x14ac:dyDescent="0.25">
      <c r="A26" s="14">
        <f>'Kwh Reading'!A27</f>
        <v>44371</v>
      </c>
      <c r="B26" s="83">
        <f>TOTAL!E25</f>
        <v>23200.000000000273</v>
      </c>
      <c r="C26" s="1">
        <f>'Kwh Consumption'!C27</f>
        <v>470.00000000002728</v>
      </c>
      <c r="D26" s="1">
        <f>'Kwh Consumption'!D27</f>
        <v>2499.9999999999468</v>
      </c>
      <c r="E26" s="1">
        <f>'Kwh Consumption'!E27</f>
        <v>200.00000000001705</v>
      </c>
      <c r="F26" s="1">
        <f>('Kwh Consumption'!F27+'Kwh Consumption'!G27+'Kwh Consumption'!H27)</f>
        <v>569.99999999999318</v>
      </c>
      <c r="G26" s="16">
        <f>('Kwh Consumption'!I27+'Kwh Consumption'!J27)</f>
        <v>280.00000000001535</v>
      </c>
      <c r="H26" s="1">
        <f>('Kwh Consumption'!K27+'Kwh Consumption'!L27)</f>
        <v>1649.9999999999204</v>
      </c>
      <c r="I26" s="1">
        <f>('Kwh Consumption'!M27+'Kwh Consumption'!N27+'Kwh Consumption'!O27+'Kwh Consumption'!P27+'Kwh Consumption'!Q27+'Kwh Consumption'!R27)</f>
        <v>4960.0000000001492</v>
      </c>
      <c r="J26" s="1">
        <f>('Kwh Consumption'!S27+'Kwh Consumption'!T27)</f>
        <v>5946.3699999991804</v>
      </c>
      <c r="K26" s="1">
        <f>'Kwh Consumption'!U27</f>
        <v>169.99999999998749</v>
      </c>
      <c r="L26" s="32">
        <f t="shared" si="0"/>
        <v>6453.6300000010397</v>
      </c>
    </row>
    <row r="27" spans="1:12" x14ac:dyDescent="0.25">
      <c r="A27" s="14">
        <f>'Kwh Reading'!A28</f>
        <v>44372</v>
      </c>
      <c r="B27" s="83">
        <f>TOTAL!E26</f>
        <v>21459.999999999811</v>
      </c>
      <c r="C27" s="1">
        <f>'Kwh Consumption'!C28</f>
        <v>279.99999999997272</v>
      </c>
      <c r="D27" s="1">
        <f>'Kwh Consumption'!D28</f>
        <v>1599.9999999998238</v>
      </c>
      <c r="E27" s="1">
        <f>'Kwh Consumption'!E28</f>
        <v>250</v>
      </c>
      <c r="F27" s="1">
        <f>('Kwh Consumption'!F28+'Kwh Consumption'!G28+'Kwh Consumption'!H28)</f>
        <v>680.00000000000682</v>
      </c>
      <c r="G27" s="16">
        <f>('Kwh Consumption'!I28+'Kwh Consumption'!J28)</f>
        <v>429.9999999999784</v>
      </c>
      <c r="H27" s="1">
        <f>('Kwh Consumption'!K28+'Kwh Consumption'!L28)</f>
        <v>1630.0000000000523</v>
      </c>
      <c r="I27" s="1">
        <f>('Kwh Consumption'!M28+'Kwh Consumption'!N28+'Kwh Consumption'!O28+'Kwh Consumption'!P28+'Kwh Consumption'!Q28+'Kwh Consumption'!R28)</f>
        <v>4729.9999999999045</v>
      </c>
      <c r="J27" s="1">
        <f>('Kwh Consumption'!S28+'Kwh Consumption'!T28)</f>
        <v>5104.679999999702</v>
      </c>
      <c r="K27" s="1">
        <f>'Kwh Consumption'!U28</f>
        <v>200.00000000001705</v>
      </c>
      <c r="L27" s="32">
        <f t="shared" si="0"/>
        <v>6555.3200000003535</v>
      </c>
    </row>
    <row r="28" spans="1:12" x14ac:dyDescent="0.25">
      <c r="A28" s="14">
        <f>'Kwh Reading'!A29</f>
        <v>44373</v>
      </c>
      <c r="B28" s="83">
        <f>TOTAL!E27</f>
        <v>22209.999999999811</v>
      </c>
      <c r="C28" s="1">
        <f>'Kwh Consumption'!C29</f>
        <v>470.00000000002728</v>
      </c>
      <c r="D28" s="1">
        <f>'Kwh Consumption'!D29</f>
        <v>3400.0000000000696</v>
      </c>
      <c r="E28" s="1">
        <f>'Kwh Consumption'!E29</f>
        <v>229.99999999998977</v>
      </c>
      <c r="F28" s="1">
        <f>('Kwh Consumption'!F29+'Kwh Consumption'!G29+'Kwh Consumption'!H29)</f>
        <v>629.99999999999545</v>
      </c>
      <c r="G28" s="16">
        <f>('Kwh Consumption'!I29+'Kwh Consumption'!J29)</f>
        <v>430.00000000002103</v>
      </c>
      <c r="H28" s="1">
        <f>('Kwh Consumption'!K29+'Kwh Consumption'!L29)</f>
        <v>1680.0000000000068</v>
      </c>
      <c r="I28" s="1">
        <f>('Kwh Consumption'!M29+'Kwh Consumption'!N29+'Kwh Consumption'!O29+'Kwh Consumption'!P29+'Kwh Consumption'!Q29+'Kwh Consumption'!R29)</f>
        <v>4589.9999999999745</v>
      </c>
      <c r="J28" s="1">
        <f>('Kwh Consumption'!S29+'Kwh Consumption'!T29)</f>
        <v>5352.1200000001118</v>
      </c>
      <c r="K28" s="1">
        <f>'Kwh Consumption'!U29</f>
        <v>210.00000000000796</v>
      </c>
      <c r="L28" s="32">
        <f t="shared" si="0"/>
        <v>5217.8799999996036</v>
      </c>
    </row>
    <row r="29" spans="1:12" x14ac:dyDescent="0.25">
      <c r="A29" s="14">
        <f>'Kwh Reading'!A30</f>
        <v>44374</v>
      </c>
      <c r="B29" s="83">
        <f>TOTAL!E28</f>
        <v>20760.000000000444</v>
      </c>
      <c r="C29" s="1">
        <f>'Kwh Consumption'!C30</f>
        <v>439.99999999999773</v>
      </c>
      <c r="D29" s="1">
        <f>'Kwh Consumption'!D30</f>
        <v>2499.9999999999468</v>
      </c>
      <c r="E29" s="1">
        <f>'Kwh Consumption'!E30</f>
        <v>219.99999999999886</v>
      </c>
      <c r="F29" s="1">
        <f>('Kwh Consumption'!F30+'Kwh Consumption'!G30+'Kwh Consumption'!H30)</f>
        <v>749.99999999997158</v>
      </c>
      <c r="G29" s="16">
        <f>('Kwh Consumption'!I30+'Kwh Consumption'!J30)</f>
        <v>469.99999999998465</v>
      </c>
      <c r="H29" s="1">
        <f>('Kwh Consumption'!K30+'Kwh Consumption'!L30)</f>
        <v>1479.9999999999329</v>
      </c>
      <c r="I29" s="1">
        <f>('Kwh Consumption'!M30+'Kwh Consumption'!N30+'Kwh Consumption'!O30+'Kwh Consumption'!P30+'Kwh Consumption'!Q30+'Kwh Consumption'!R30)</f>
        <v>4060.0000000001728</v>
      </c>
      <c r="J29" s="1">
        <f>('Kwh Consumption'!S30+'Kwh Consumption'!T30)</f>
        <v>4562.2600000007078</v>
      </c>
      <c r="K29" s="1">
        <f>'Kwh Consumption'!U30</f>
        <v>209.99999999997954</v>
      </c>
      <c r="L29" s="32">
        <f t="shared" si="0"/>
        <v>6067.7399999997524</v>
      </c>
    </row>
    <row r="30" spans="1:12" x14ac:dyDescent="0.25">
      <c r="A30" s="14">
        <f>'Kwh Reading'!A31</f>
        <v>44375</v>
      </c>
      <c r="B30" s="83">
        <f>TOTAL!E29</f>
        <v>22029.999999999745</v>
      </c>
      <c r="C30" s="1">
        <f>'Kwh Consumption'!C31</f>
        <v>489.99999999995225</v>
      </c>
      <c r="D30" s="1">
        <f>'Kwh Consumption'!D31</f>
        <v>2299.9999999999686</v>
      </c>
      <c r="E30" s="1">
        <f>'Kwh Consumption'!E31</f>
        <v>219.99999999999886</v>
      </c>
      <c r="F30" s="1">
        <f>('Kwh Consumption'!F31+'Kwh Consumption'!G31+'Kwh Consumption'!H31)</f>
        <v>699.99999999998863</v>
      </c>
      <c r="G30" s="16">
        <f>('Kwh Consumption'!I31+'Kwh Consumption'!J31)</f>
        <v>400.0000000000199</v>
      </c>
      <c r="H30" s="1">
        <f>('Kwh Consumption'!K31+'Kwh Consumption'!L31)</f>
        <v>1610.0000000000421</v>
      </c>
      <c r="I30" s="1">
        <f>('Kwh Consumption'!M31+'Kwh Consumption'!N31+'Kwh Consumption'!O31+'Kwh Consumption'!P31+'Kwh Consumption'!Q31+'Kwh Consumption'!R31)</f>
        <v>4429.99999999995</v>
      </c>
      <c r="J30" s="1">
        <f>('Kwh Consumption'!S31+'Kwh Consumption'!T31)</f>
        <v>5625.8300000000745</v>
      </c>
      <c r="K30" s="1">
        <f>'Kwh Consumption'!U31</f>
        <v>219.99999999999886</v>
      </c>
      <c r="L30" s="32">
        <f t="shared" si="0"/>
        <v>6034.1699999997518</v>
      </c>
    </row>
    <row r="31" spans="1:12" x14ac:dyDescent="0.25">
      <c r="A31" s="14">
        <f>'Kwh Reading'!A32</f>
        <v>44376</v>
      </c>
      <c r="B31" s="83">
        <f>TOTAL!E30</f>
        <v>20730.000000000015</v>
      </c>
      <c r="C31" s="1">
        <f>'Kwh Consumption'!C32</f>
        <v>420.00000000001592</v>
      </c>
      <c r="D31" s="1">
        <f>'Kwh Consumption'!D32</f>
        <v>2299.9999999999686</v>
      </c>
      <c r="E31" s="1">
        <f>'Kwh Consumption'!E32</f>
        <v>250</v>
      </c>
      <c r="F31" s="1">
        <f>('Kwh Consumption'!F32+'Kwh Consumption'!G32+'Kwh Consumption'!H32)</f>
        <v>699.99999999998863</v>
      </c>
      <c r="G31" s="16">
        <f>('Kwh Consumption'!I32+'Kwh Consumption'!J32)</f>
        <v>429.9999999999784</v>
      </c>
      <c r="H31" s="1">
        <f>('Kwh Consumption'!K32+'Kwh Consumption'!L32)</f>
        <v>1510.0000000000193</v>
      </c>
      <c r="I31" s="1">
        <f>('Kwh Consumption'!M32+'Kwh Consumption'!N32+'Kwh Consumption'!O32+'Kwh Consumption'!P32+'Kwh Consumption'!Q32+'Kwh Consumption'!R32)</f>
        <v>3959.9999999999795</v>
      </c>
      <c r="J31" s="1">
        <f>('Kwh Consumption'!S32+'Kwh Consumption'!T32)</f>
        <v>4668.3899999996647</v>
      </c>
      <c r="K31" s="1">
        <f>'Kwh Consumption'!U32</f>
        <v>189.99999999999773</v>
      </c>
      <c r="L31" s="32">
        <f t="shared" si="0"/>
        <v>6301.6100000004026</v>
      </c>
    </row>
    <row r="32" spans="1:12" x14ac:dyDescent="0.25">
      <c r="A32" s="14">
        <f>'Kwh Reading'!A33</f>
        <v>44377</v>
      </c>
      <c r="B32" s="83">
        <f>TOTAL!E31</f>
        <v>22649.999999999411</v>
      </c>
      <c r="C32" s="1">
        <f>'Kwh Consumption'!C33</f>
        <v>439.99999999999773</v>
      </c>
      <c r="D32" s="1">
        <f>'Kwh Consumption'!D33</f>
        <v>2299.9999999999686</v>
      </c>
      <c r="E32" s="1">
        <f>'Kwh Consumption'!E33</f>
        <v>230.00000000001819</v>
      </c>
      <c r="F32" s="1">
        <f>('Kwh Consumption'!F33+'Kwh Consumption'!G33+'Kwh Consumption'!H33)</f>
        <v>720.00000000002728</v>
      </c>
      <c r="G32" s="16">
        <f>('Kwh Consumption'!I33+'Kwh Consumption'!J33)</f>
        <v>429.99999999999261</v>
      </c>
      <c r="H32" s="1">
        <f>('Kwh Consumption'!K33+'Kwh Consumption'!L33)</f>
        <v>1659.9999999999113</v>
      </c>
      <c r="I32" s="1">
        <f>('Kwh Consumption'!M33+'Kwh Consumption'!N33+'Kwh Consumption'!O33+'Kwh Consumption'!P33+'Kwh Consumption'!Q33+'Kwh Consumption'!R33)</f>
        <v>4290.00000000002</v>
      </c>
      <c r="J32" s="1">
        <f>('Kwh Consumption'!S33+'Kwh Consumption'!T33)</f>
        <v>5424.0299999993294</v>
      </c>
      <c r="K32" s="1">
        <f>'Kwh Consumption'!U33</f>
        <v>210.00000000000796</v>
      </c>
      <c r="L32" s="32">
        <f t="shared" si="0"/>
        <v>6945.9700000001403</v>
      </c>
    </row>
    <row r="33" spans="1:13" x14ac:dyDescent="0.25">
      <c r="A33" s="14">
        <f>'Kwh Reading'!A34</f>
        <v>44378</v>
      </c>
      <c r="B33" s="83">
        <f>TOTAL!E32</f>
        <v>0</v>
      </c>
      <c r="C33" s="1">
        <f>'Kwh Consumption'!C34</f>
        <v>-420760</v>
      </c>
      <c r="D33" s="1">
        <f>'Kwh Consumption'!D34</f>
        <v>-2380800</v>
      </c>
      <c r="E33" s="1">
        <f>'Kwh Consumption'!E34</f>
        <v>-229580</v>
      </c>
      <c r="F33" s="1">
        <f>('Kwh Consumption'!F34+'Kwh Consumption'!G34+'Kwh Consumption'!H34)</f>
        <v>-891160</v>
      </c>
      <c r="G33" s="16">
        <f>('Kwh Consumption'!I34+'Kwh Consumption'!J34)</f>
        <v>-272890</v>
      </c>
      <c r="H33" s="1">
        <f>('Kwh Consumption'!K34+'Kwh Consumption'!L34)</f>
        <v>-1217220</v>
      </c>
      <c r="I33" s="1">
        <f>('Kwh Consumption'!M34+'Kwh Consumption'!N34+'Kwh Consumption'!O34+'Kwh Consumption'!P34+'Kwh Consumption'!Q34+'Kwh Consumption'!R34)</f>
        <v>-3439640</v>
      </c>
      <c r="J33" s="1">
        <f>('Kwh Consumption'!S34+'Kwh Consumption'!T34)</f>
        <v>-15665211.439999999</v>
      </c>
      <c r="K33" s="1">
        <f>'Kwh Consumption'!U34</f>
        <v>-151380</v>
      </c>
      <c r="L33" s="32">
        <f t="shared" si="0"/>
        <v>24668641.439999998</v>
      </c>
    </row>
    <row r="34" spans="1:13" ht="15.75" x14ac:dyDescent="0.25">
      <c r="A34" s="85" t="s">
        <v>121</v>
      </c>
      <c r="B34" s="75">
        <f>SUM(B3:B33)</f>
        <v>683689.99999999988</v>
      </c>
      <c r="C34" s="75">
        <f>SUM(C3:C33)</f>
        <v>-407660</v>
      </c>
      <c r="D34" s="75">
        <f t="shared" ref="D34:L34" si="1">SUM(D3:D33)</f>
        <v>-2308100</v>
      </c>
      <c r="E34" s="75">
        <f t="shared" si="1"/>
        <v>-222830</v>
      </c>
      <c r="F34" s="75">
        <f t="shared" si="1"/>
        <v>-872610</v>
      </c>
      <c r="G34" s="75">
        <f t="shared" si="1"/>
        <v>-259980</v>
      </c>
      <c r="H34" s="75">
        <f t="shared" si="1"/>
        <v>-1167870</v>
      </c>
      <c r="I34" s="75">
        <f t="shared" si="1"/>
        <v>-3295820</v>
      </c>
      <c r="J34" s="75">
        <f t="shared" si="1"/>
        <v>-15494502.77</v>
      </c>
      <c r="K34" s="75">
        <f t="shared" si="1"/>
        <v>-144040</v>
      </c>
      <c r="L34" s="75">
        <f t="shared" si="1"/>
        <v>24857102.77</v>
      </c>
      <c r="M34" s="84">
        <f>C34+D34+E34+F34+G34+H34+I34+J34+K34+L34</f>
        <v>683690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-57072.400000000009</v>
      </c>
      <c r="D36" s="75">
        <f>D34*B36</f>
        <v>-323134.00000000006</v>
      </c>
      <c r="E36" s="75">
        <f>E34*B36</f>
        <v>-31196.200000000004</v>
      </c>
      <c r="F36" s="75">
        <f>F34*B36</f>
        <v>-122165.40000000001</v>
      </c>
      <c r="G36" s="75">
        <f>G34*B36</f>
        <v>-36397.200000000004</v>
      </c>
      <c r="H36" s="75">
        <f>H34*B36</f>
        <v>-163501.80000000002</v>
      </c>
      <c r="I36" s="75">
        <f>I34*B36</f>
        <v>-461414.80000000005</v>
      </c>
      <c r="J36" s="75">
        <f>J34*B36</f>
        <v>-2169230.3878000001</v>
      </c>
      <c r="K36" s="75">
        <f>K34*B36</f>
        <v>-20165.600000000002</v>
      </c>
      <c r="L36" s="75">
        <f>L34*B36</f>
        <v>3479994.3878000001</v>
      </c>
      <c r="M36" s="84">
        <f>C36+D36+E36+F36+G36+H36+I36+J36+K36+L36</f>
        <v>95716.599999999627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44348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67.199999999994589</v>
      </c>
      <c r="E3" s="1">
        <f>'Kwh Consumption'!D4*' Kwh area wise $ '!B3</f>
        <v>279.99999999996919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76.999999999997627</v>
      </c>
      <c r="H3" s="16">
        <f>('Kwh Consumption'!I4+'Kwh Consumption'!J4)*' Kwh area wise $ '!B3</f>
        <v>63.000000000000405</v>
      </c>
      <c r="I3" s="1">
        <f>('Kwh Consumption'!K4+'Kwh Consumption'!L4)*' Kwh area wise $ '!B3</f>
        <v>208.59999999999334</v>
      </c>
      <c r="J3" s="1">
        <f>('Kwh Consumption'!M4+'Kwh Consumption'!N4+'Kwh Consumption'!O4+'Kwh Consumption'!P4+'Kwh Consumption'!Q4+'Kwh Consumption'!R4)*' Kwh area wise $ '!B3</f>
        <v>664.9999999999842</v>
      </c>
      <c r="K3" s="1">
        <f>('Kwh Consumption'!S4+'Kwh Consumption'!T4)*' Kwh area wise $ '!B3</f>
        <v>792.64079999996352</v>
      </c>
      <c r="L3" s="1">
        <f>'Kwh Consumption'!U4*' Kwh area wise $ '!B3</f>
        <v>36.400000000002706</v>
      </c>
      <c r="M3" s="1">
        <f>'Kwh Consumption'!V4*' Kwh area wise $ '!B3</f>
        <v>1353.5592000000972</v>
      </c>
    </row>
    <row r="4" spans="1:13" x14ac:dyDescent="0.25">
      <c r="A4" s="14">
        <f>'Kwh Reading'!A5</f>
        <v>44349</v>
      </c>
      <c r="B4" s="11">
        <f>TOTAL!F3</f>
        <v>0.14000000000000001</v>
      </c>
      <c r="C4" s="11">
        <f>'Kwh Consumption'!B5*' Kwh area wise $ '!B4</f>
        <v>3243.799999999947</v>
      </c>
      <c r="D4" s="1">
        <f>'Kwh Consumption'!C5*' Kwh area wise $ '!B4</f>
        <v>70</v>
      </c>
      <c r="E4" s="1">
        <f>'Kwh Consumption'!D5*' Kwh area wise $ '!B4</f>
        <v>321.99999999999562</v>
      </c>
      <c r="F4" s="1">
        <f>'Kwh Consumption'!E5*' Kwh area wise $ '!B4</f>
        <v>29.400000000001118</v>
      </c>
      <c r="G4" s="1">
        <f>('Kwh Consumption'!F5+'Kwh Consumption'!G5+'Kwh Consumption'!H5)*' Kwh area wise $ '!B4</f>
        <v>81.200000000001765</v>
      </c>
      <c r="H4" s="16">
        <f>('Kwh Consumption'!I5+'Kwh Consumption'!J5)*' Kwh area wise $ '!B4</f>
        <v>67.200000000002547</v>
      </c>
      <c r="I4" s="1">
        <f>('Kwh Consumption'!K5+'Kwh Consumption'!L5)*' Kwh area wise $ '!B4</f>
        <v>219.79999999999907</v>
      </c>
      <c r="J4" s="1">
        <f>('Kwh Consumption'!M5+'Kwh Consumption'!N5+'Kwh Consumption'!O5+'Kwh Consumption'!P5+'Kwh Consumption'!Q5+'Kwh Consumption'!R5)*' Kwh area wise $ '!B4</f>
        <v>705.60000000001071</v>
      </c>
      <c r="K4" s="1">
        <f>('Kwh Consumption'!S5+'Kwh Consumption'!T5)*' Kwh area wise $ '!B4</f>
        <v>812.68879999998967</v>
      </c>
      <c r="L4" s="1">
        <f>'Kwh Consumption'!U5*' Kwh area wise $ '!B4</f>
        <v>37.799999999997461</v>
      </c>
      <c r="M4" s="1">
        <f>'Kwh Consumption'!V5*' Kwh area wise $ '!B4</f>
        <v>898.11119999994833</v>
      </c>
    </row>
    <row r="5" spans="1:13" x14ac:dyDescent="0.25">
      <c r="A5" s="14">
        <f>'Kwh Reading'!A6</f>
        <v>44350</v>
      </c>
      <c r="B5" s="11">
        <f>TOTAL!F4</f>
        <v>0.14000000000000001</v>
      </c>
      <c r="C5" s="11">
        <f>'Kwh Consumption'!B6*' Kwh area wise $ '!B5</f>
        <v>3218.600000000034</v>
      </c>
      <c r="D5" s="1">
        <f>'Kwh Consumption'!C6*' Kwh area wise $ '!B5</f>
        <v>72.800000000005411</v>
      </c>
      <c r="E5" s="1">
        <f>'Kwh Consumption'!D6*' Kwh area wise $ '!B5</f>
        <v>336.00000000002518</v>
      </c>
      <c r="F5" s="1">
        <f>'Kwh Consumption'!E6*' Kwh area wise $ '!B5</f>
        <v>30.799999999999844</v>
      </c>
      <c r="G5" s="1">
        <f>('Kwh Consumption'!F6+'Kwh Consumption'!G6+'Kwh Consumption'!H6)*' Kwh area wise $ '!B5</f>
        <v>84.000000000003197</v>
      </c>
      <c r="H5" s="16">
        <f>('Kwh Consumption'!I6+'Kwh Consumption'!J6)*' Kwh area wise $ '!B5</f>
        <v>64.399999999997135</v>
      </c>
      <c r="I5" s="1">
        <f>('Kwh Consumption'!K6+'Kwh Consumption'!L6)*' Kwh area wise $ '!B5</f>
        <v>230.99999999999685</v>
      </c>
      <c r="J5" s="1">
        <f>('Kwh Consumption'!M6+'Kwh Consumption'!N6+'Kwh Consumption'!O6+'Kwh Consumption'!P6+'Kwh Consumption'!Q6+'Kwh Consumption'!R6)*' Kwh area wise $ '!B5</f>
        <v>702.79999999999757</v>
      </c>
      <c r="K5" s="1">
        <f>('Kwh Consumption'!S6+'Kwh Consumption'!T6)*' Kwh area wise $ '!B5</f>
        <v>815.87659999992707</v>
      </c>
      <c r="L5" s="1">
        <f>'Kwh Consumption'!U6*' Kwh area wise $ '!B5</f>
        <v>32.200000000002547</v>
      </c>
      <c r="M5" s="1">
        <f>'Kwh Consumption'!V6*' Kwh area wise $ '!B5</f>
        <v>848.72340000007875</v>
      </c>
    </row>
    <row r="6" spans="1:13" x14ac:dyDescent="0.25">
      <c r="A6" s="14">
        <f>'Kwh Reading'!A7</f>
        <v>44351</v>
      </c>
      <c r="B6" s="11">
        <f>TOTAL!F5</f>
        <v>0.14000000000000001</v>
      </c>
      <c r="C6" s="11">
        <f>'Kwh Consumption'!B7*' Kwh area wise $ '!B6</f>
        <v>3119.199999999933</v>
      </c>
      <c r="D6" s="1">
        <f>'Kwh Consumption'!C7*' Kwh area wise $ '!B6</f>
        <v>40.599999999994914</v>
      </c>
      <c r="E6" s="1">
        <f>'Kwh Consumption'!D7*' Kwh area wise $ '!B6</f>
        <v>321.99999999999562</v>
      </c>
      <c r="F6" s="1">
        <f>'Kwh Consumption'!E7*' Kwh area wise $ '!B6</f>
        <v>35</v>
      </c>
      <c r="G6" s="1">
        <f>('Kwh Consumption'!F7+'Kwh Consumption'!G7+'Kwh Consumption'!H7)*' Kwh area wise $ '!B6</f>
        <v>92.399999999991579</v>
      </c>
      <c r="H6" s="16">
        <f>('Kwh Consumption'!I7+'Kwh Consumption'!J7)*' Kwh area wise $ '!B6</f>
        <v>58.800000000000246</v>
      </c>
      <c r="I6" s="1">
        <f>('Kwh Consumption'!K7+'Kwh Consumption'!L7)*' Kwh area wise $ '!B6</f>
        <v>224.00000000001515</v>
      </c>
      <c r="J6" s="1">
        <f>('Kwh Consumption'!M7+'Kwh Consumption'!N7+'Kwh Consumption'!O7+'Kwh Consumption'!P7+'Kwh Consumption'!Q7+'Kwh Consumption'!R7)*' Kwh area wise $ '!B6</f>
        <v>694.40000000001316</v>
      </c>
      <c r="K6" s="1">
        <f>('Kwh Consumption'!S7+'Kwh Consumption'!T7)*' Kwh area wise $ '!B6</f>
        <v>770.41160000005743</v>
      </c>
      <c r="L6" s="1">
        <f>'Kwh Consumption'!U7*' Kwh area wise $ '!B6</f>
        <v>32.199999999998568</v>
      </c>
      <c r="M6" s="1">
        <f>'Kwh Consumption'!V7*' Kwh area wise $ '!B6</f>
        <v>849.38839999986681</v>
      </c>
    </row>
    <row r="7" spans="1:13" x14ac:dyDescent="0.25">
      <c r="A7" s="14">
        <f>'Kwh Reading'!A8</f>
        <v>44352</v>
      </c>
      <c r="B7" s="11">
        <f>TOTAL!F6</f>
        <v>0.14000000000000001</v>
      </c>
      <c r="C7" s="11">
        <f>'Kwh Consumption'!B8*' Kwh area wise $ '!B7</f>
        <v>3165.3999999999546</v>
      </c>
      <c r="D7" s="1">
        <f>'Kwh Consumption'!C8*' Kwh area wise $ '!B7</f>
        <v>67.200000000002547</v>
      </c>
      <c r="E7" s="1">
        <f>'Kwh Consumption'!D8*' Kwh area wise $ '!B7</f>
        <v>321.99999999999562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40.599999999998893</v>
      </c>
      <c r="H7" s="16">
        <f>('Kwh Consumption'!I8+'Kwh Consumption'!J8)*' Kwh area wise $ '!B7</f>
        <v>65.80000000000183</v>
      </c>
      <c r="I7" s="1">
        <f>('Kwh Consumption'!K8+'Kwh Consumption'!L8)*' Kwh area wise $ '!B7</f>
        <v>208.59999999998936</v>
      </c>
      <c r="J7" s="1">
        <f>('Kwh Consumption'!M8+'Kwh Consumption'!N8+'Kwh Consumption'!O8+'Kwh Consumption'!P8+'Kwh Consumption'!Q8+'Kwh Consumption'!R8)*' Kwh area wise $ '!B7</f>
        <v>690.20000000000107</v>
      </c>
      <c r="K7" s="1">
        <f>('Kwh Consumption'!S8+'Kwh Consumption'!T8)*' Kwh area wise $ '!B7</f>
        <v>762.24540000004697</v>
      </c>
      <c r="L7" s="1">
        <f>'Kwh Consumption'!U8*' Kwh area wise $ '!B7</f>
        <v>33.600000000001273</v>
      </c>
      <c r="M7" s="1">
        <f>'Kwh Consumption'!V8*' Kwh area wise $ '!B7</f>
        <v>938.75459999991801</v>
      </c>
    </row>
    <row r="8" spans="1:13" x14ac:dyDescent="0.25">
      <c r="A8" s="14">
        <f>'Kwh Reading'!A9</f>
        <v>44353</v>
      </c>
      <c r="B8" s="11">
        <f>TOTAL!F7</f>
        <v>0.14000000000000001</v>
      </c>
      <c r="C8" s="11">
        <f>'Kwh Consumption'!B9*' Kwh area wise $ '!B8</f>
        <v>3171.000000000141</v>
      </c>
      <c r="D8" s="1">
        <f>'Kwh Consumption'!C9*' Kwh area wise $ '!B8</f>
        <v>58.800000000002235</v>
      </c>
      <c r="E8" s="1">
        <f>'Kwh Consumption'!D9*' Kwh area wise $ '!B8</f>
        <v>364.00000000002211</v>
      </c>
      <c r="F8" s="1">
        <f>'Kwh Consumption'!E9*' Kwh area wise $ '!B8</f>
        <v>23.800000000002232</v>
      </c>
      <c r="G8" s="1">
        <f>('Kwh Consumption'!F9+'Kwh Consumption'!G9+'Kwh Consumption'!H9)*' Kwh area wise $ '!B8</f>
        <v>96.599999999999696</v>
      </c>
      <c r="H8" s="16">
        <f>('Kwh Consumption'!I9+'Kwh Consumption'!J9)*' Kwh area wise $ '!B8</f>
        <v>39.199999999998177</v>
      </c>
      <c r="I8" s="1">
        <f>('Kwh Consumption'!K9+'Kwh Consumption'!L9)*' Kwh area wise $ '!B8</f>
        <v>233.80000000000226</v>
      </c>
      <c r="J8" s="1">
        <f>('Kwh Consumption'!M9+'Kwh Consumption'!N9+'Kwh Consumption'!O9+'Kwh Consumption'!P9+'Kwh Consumption'!Q9+'Kwh Consumption'!R9)*' Kwh area wise $ '!B8</f>
        <v>676.19999999998993</v>
      </c>
      <c r="K8" s="1">
        <f>('Kwh Consumption'!S9+'Kwh Consumption'!T9)*' Kwh area wise $ '!B8</f>
        <v>771.35379999985923</v>
      </c>
      <c r="L8" s="1">
        <f>'Kwh Consumption'!U9*' Kwh area wise $ '!B8</f>
        <v>36.399999999998727</v>
      </c>
      <c r="M8" s="1">
        <f>'Kwh Consumption'!V9*' Kwh area wise $ '!B8</f>
        <v>870.84620000026621</v>
      </c>
    </row>
    <row r="9" spans="1:13" x14ac:dyDescent="0.25">
      <c r="A9" s="14">
        <f>'Kwh Reading'!A10</f>
        <v>44354</v>
      </c>
      <c r="B9" s="11">
        <f>TOTAL!F8</f>
        <v>0.14000000000000001</v>
      </c>
      <c r="C9" s="11">
        <f>'Kwh Consumption'!B10*' Kwh area wise $ '!B9</f>
        <v>3261.99999999993</v>
      </c>
      <c r="D9" s="1">
        <f>'Kwh Consumption'!C10*' Kwh area wise $ '!B9</f>
        <v>57.399999999995551</v>
      </c>
      <c r="E9" s="1">
        <f>'Kwh Consumption'!D10*' Kwh area wise $ '!B9</f>
        <v>321.99999999999562</v>
      </c>
      <c r="F9" s="1">
        <f>'Kwh Consumption'!E10*' Kwh area wise $ '!B9</f>
        <v>27.999999999998412</v>
      </c>
      <c r="G9" s="1">
        <f>('Kwh Consumption'!F10+'Kwh Consumption'!G10+'Kwh Consumption'!H10)*' Kwh area wise $ '!B9</f>
        <v>84.000000000003197</v>
      </c>
      <c r="H9" s="16">
        <f>('Kwh Consumption'!I10+'Kwh Consumption'!J10)*' Kwh area wise $ '!B9</f>
        <v>60.200000000000962</v>
      </c>
      <c r="I9" s="1">
        <f>('Kwh Consumption'!K10+'Kwh Consumption'!L10)*' Kwh area wise $ '!B9</f>
        <v>232.40000000000751</v>
      </c>
      <c r="J9" s="1">
        <f>('Kwh Consumption'!M10+'Kwh Consumption'!N10+'Kwh Consumption'!O10+'Kwh Consumption'!P10+'Kwh Consumption'!Q10+'Kwh Consumption'!R10)*' Kwh area wise $ '!B9</f>
        <v>699.99999999999216</v>
      </c>
      <c r="K9" s="1">
        <f>('Kwh Consumption'!S10+'Kwh Consumption'!T10)*' Kwh area wise $ '!B9</f>
        <v>774.07820000011486</v>
      </c>
      <c r="L9" s="1">
        <f>'Kwh Consumption'!U10*' Kwh area wise $ '!B9</f>
        <v>40.599999999998893</v>
      </c>
      <c r="M9" s="1">
        <f>'Kwh Consumption'!V10*' Kwh area wise $ '!B9</f>
        <v>963.3217999998227</v>
      </c>
    </row>
    <row r="10" spans="1:13" x14ac:dyDescent="0.25">
      <c r="A10" s="14">
        <f>'Kwh Reading'!A11</f>
        <v>44355</v>
      </c>
      <c r="B10" s="11">
        <f>TOTAL!F9</f>
        <v>0.14000000000000001</v>
      </c>
      <c r="C10" s="11">
        <f>'Kwh Consumption'!B11*' Kwh area wise $ '!B10</f>
        <v>3165.3999999999228</v>
      </c>
      <c r="D10" s="1">
        <f>'Kwh Consumption'!C11*' Kwh area wise $ '!B10</f>
        <v>57.400000000003509</v>
      </c>
      <c r="E10" s="1">
        <f>'Kwh Consumption'!D11*' Kwh area wise $ '!B10</f>
        <v>321.99999999999562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82.600000000004471</v>
      </c>
      <c r="H10" s="16">
        <f>('Kwh Consumption'!I11+'Kwh Consumption'!J11)*' Kwh area wise $ '!B10</f>
        <v>64.400000000001114</v>
      </c>
      <c r="I10" s="1">
        <f>('Kwh Consumption'!K11+'Kwh Consumption'!L11)*' Kwh area wise $ '!B10</f>
        <v>218.40000000000035</v>
      </c>
      <c r="J10" s="1">
        <f>('Kwh Consumption'!M11+'Kwh Consumption'!N11+'Kwh Consumption'!O11+'Kwh Consumption'!P11+'Kwh Consumption'!Q11+'Kwh Consumption'!R11)*' Kwh area wise $ '!B10</f>
        <v>684.60000000000616</v>
      </c>
      <c r="K10" s="1">
        <f>('Kwh Consumption'!S11+'Kwh Consumption'!T11)*' Kwh area wise $ '!B10</f>
        <v>786.43040000004703</v>
      </c>
      <c r="L10" s="1">
        <f>'Kwh Consumption'!U11*' Kwh area wise $ '!B10</f>
        <v>40.600000000002872</v>
      </c>
      <c r="M10" s="1">
        <f>'Kwh Consumption'!V11*' Kwh area wise $ '!B10</f>
        <v>878.16959999986193</v>
      </c>
    </row>
    <row r="11" spans="1:13" x14ac:dyDescent="0.25">
      <c r="A11" s="14">
        <f>'Kwh Reading'!A12</f>
        <v>44356</v>
      </c>
      <c r="B11" s="11">
        <f>TOTAL!F10</f>
        <v>0.14000000000000001</v>
      </c>
      <c r="C11" s="11">
        <f>'Kwh Consumption'!B12*' Kwh area wise $ '!B11</f>
        <v>3291.4000000001583</v>
      </c>
      <c r="D11" s="1">
        <f>'Kwh Consumption'!C12*' Kwh area wise $ '!B11</f>
        <v>65.799999999995862</v>
      </c>
      <c r="E11" s="1">
        <f>'Kwh Consumption'!D12*' Kwh area wise $ '!B11</f>
        <v>336.00000000002518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74.200000000000159</v>
      </c>
      <c r="H11" s="16">
        <f>('Kwh Consumption'!I12+'Kwh Consumption'!J12)*' Kwh area wise $ '!B11</f>
        <v>67.200000000000557</v>
      </c>
      <c r="I11" s="1">
        <f>('Kwh Consumption'!K12+'Kwh Consumption'!L12)*' Kwh area wise $ '!B11</f>
        <v>225.39999999999398</v>
      </c>
      <c r="J11" s="1">
        <f>('Kwh Consumption'!M12+'Kwh Consumption'!N12+'Kwh Consumption'!O12+'Kwh Consumption'!P12+'Kwh Consumption'!Q12+'Kwh Consumption'!R12)*' Kwh area wise $ '!B11</f>
        <v>749.00000000000318</v>
      </c>
      <c r="K11" s="1">
        <f>('Kwh Consumption'!S12+'Kwh Consumption'!T12)*' Kwh area wise $ '!B11</f>
        <v>825.08299999989572</v>
      </c>
      <c r="L11" s="1">
        <f>'Kwh Consumption'!U12*' Kwh area wise $ '!B11</f>
        <v>39.199999999996187</v>
      </c>
      <c r="M11" s="1">
        <f>'Kwh Consumption'!V12*' Kwh area wise $ '!B11</f>
        <v>878.71700000024805</v>
      </c>
    </row>
    <row r="12" spans="1:13" x14ac:dyDescent="0.25">
      <c r="A12" s="14">
        <f>'Kwh Reading'!A13</f>
        <v>44357</v>
      </c>
      <c r="B12" s="11">
        <f>TOTAL!F11</f>
        <v>0.14000000000000001</v>
      </c>
      <c r="C12" s="11">
        <f>'Kwh Consumption'!B13*' Kwh area wise $ '!B12</f>
        <v>3266.1999999999903</v>
      </c>
      <c r="D12" s="1">
        <f>'Kwh Consumption'!C13*' Kwh area wise $ '!B12</f>
        <v>64.400000000005093</v>
      </c>
      <c r="E12" s="1">
        <f>'Kwh Consumption'!D13*' Kwh area wise $ '!B12</f>
        <v>349.99999999999261</v>
      </c>
      <c r="F12" s="1">
        <f>'Kwh Consumption'!E13*' Kwh area wise $ '!B12</f>
        <v>30.799999999999844</v>
      </c>
      <c r="G12" s="1">
        <f>('Kwh Consumption'!F13+'Kwh Consumption'!G13+'Kwh Consumption'!H13)*' Kwh area wise $ '!B12</f>
        <v>82.599999999996513</v>
      </c>
      <c r="H12" s="16">
        <f>('Kwh Consumption'!I13+'Kwh Consumption'!J13)*' Kwh area wise $ '!B12</f>
        <v>53.199999999997381</v>
      </c>
      <c r="I12" s="1">
        <f>('Kwh Consumption'!K13+'Kwh Consumption'!L13)*' Kwh area wise $ '!B12</f>
        <v>228.19999999999541</v>
      </c>
      <c r="J12" s="1">
        <f>('Kwh Consumption'!M13+'Kwh Consumption'!N13+'Kwh Consumption'!O13+'Kwh Consumption'!P13+'Kwh Consumption'!Q13+'Kwh Consumption'!R13)*' Kwh area wise $ '!B12</f>
        <v>688.79999999999438</v>
      </c>
      <c r="K12" s="1">
        <f>('Kwh Consumption'!S13+'Kwh Consumption'!T13)*' Kwh area wise $ '!B12</f>
        <v>819.19039999991662</v>
      </c>
      <c r="L12" s="1">
        <f>'Kwh Consumption'!U13*' Kwh area wise $ '!B12</f>
        <v>30.800000000003823</v>
      </c>
      <c r="M12" s="1">
        <f>'Kwh Consumption'!V13*' Kwh area wise $ '!B12</f>
        <v>918.20960000008859</v>
      </c>
    </row>
    <row r="13" spans="1:13" x14ac:dyDescent="0.25">
      <c r="A13" s="14">
        <f>'Kwh Reading'!A14</f>
        <v>44358</v>
      </c>
      <c r="B13" s="11">
        <f>TOTAL!F12</f>
        <v>0.14000000000000001</v>
      </c>
      <c r="C13" s="11">
        <f>'Kwh Consumption'!B14*' Kwh area wise $ '!B13</f>
        <v>3179.3999999998782</v>
      </c>
      <c r="D13" s="1">
        <f>'Kwh Consumption'!C14*' Kwh area wise $ '!B13</f>
        <v>37.799999999997461</v>
      </c>
      <c r="E13" s="1">
        <f>'Kwh Consumption'!D14*' Kwh area wise $ '!B13</f>
        <v>363.99999999995993</v>
      </c>
      <c r="F13" s="1">
        <f>'Kwh Consumption'!E14*' Kwh area wise $ '!B13</f>
        <v>35</v>
      </c>
      <c r="G13" s="1">
        <f>('Kwh Consumption'!F14+'Kwh Consumption'!G14+'Kwh Consumption'!H14)*' Kwh area wise $ '!B13</f>
        <v>86.800000000000651</v>
      </c>
      <c r="H13" s="16">
        <f>('Kwh Consumption'!I14+'Kwh Consumption'!J14)*' Kwh area wise $ '!B13</f>
        <v>57.400000000001519</v>
      </c>
      <c r="I13" s="1">
        <f>('Kwh Consumption'!K14+'Kwh Consumption'!L14)*' Kwh area wise $ '!B13</f>
        <v>243.60000000000926</v>
      </c>
      <c r="J13" s="1">
        <f>('Kwh Consumption'!M14+'Kwh Consumption'!N14+'Kwh Consumption'!O14+'Kwh Consumption'!P14+'Kwh Consumption'!Q14+'Kwh Consumption'!R14)*' Kwh area wise $ '!B13</f>
        <v>719.60000000000616</v>
      </c>
      <c r="K13" s="1">
        <f>('Kwh Consumption'!S14+'Kwh Consumption'!T14)*' Kwh area wise $ '!B13</f>
        <v>775.48520000008875</v>
      </c>
      <c r="L13" s="1">
        <f>'Kwh Consumption'!U14*' Kwh area wise $ '!B13</f>
        <v>41.99999999999762</v>
      </c>
      <c r="M13" s="1">
        <f>'Kwh Consumption'!V14*' Kwh area wise $ '!B13</f>
        <v>817.71479999981716</v>
      </c>
    </row>
    <row r="14" spans="1:13" x14ac:dyDescent="0.25">
      <c r="A14" s="14">
        <f>'Kwh Reading'!A15</f>
        <v>44359</v>
      </c>
      <c r="B14" s="11">
        <f>TOTAL!F13</f>
        <v>0.14000000000000001</v>
      </c>
      <c r="C14" s="11">
        <f>'Kwh Consumption'!B15*' Kwh area wise $ '!B14</f>
        <v>3178.0000000002296</v>
      </c>
      <c r="D14" s="1">
        <f>'Kwh Consumption'!C15*' Kwh area wise $ '!B14</f>
        <v>67.200000000002547</v>
      </c>
      <c r="E14" s="1">
        <f>'Kwh Consumption'!D15*' Kwh area wise $ '!B14</f>
        <v>336.00000000002518</v>
      </c>
      <c r="F14" s="1">
        <f>'Kwh Consumption'!E15*' Kwh area wise $ '!B14</f>
        <v>29.400000000001118</v>
      </c>
      <c r="G14" s="1">
        <f>('Kwh Consumption'!F15+'Kwh Consumption'!G15+'Kwh Consumption'!H15)*' Kwh area wise $ '!B14</f>
        <v>81.200000000001765</v>
      </c>
      <c r="H14" s="16">
        <f>('Kwh Consumption'!I15+'Kwh Consumption'!J15)*' Kwh area wise $ '!B14</f>
        <v>61.599999999997699</v>
      </c>
      <c r="I14" s="1">
        <f>('Kwh Consumption'!K15+'Kwh Consumption'!L15)*' Kwh area wise $ '!B14</f>
        <v>228.19999999999143</v>
      </c>
      <c r="J14" s="1">
        <f>('Kwh Consumption'!M15+'Kwh Consumption'!N15+'Kwh Consumption'!O15+'Kwh Consumption'!P15+'Kwh Consumption'!Q15+'Kwh Consumption'!R15)*' Kwh area wise $ '!B14</f>
        <v>670.59999999998706</v>
      </c>
      <c r="K14" s="1">
        <f>('Kwh Consumption'!S15+'Kwh Consumption'!T15)*' Kwh area wise $ '!B14</f>
        <v>796.82539999991661</v>
      </c>
      <c r="L14" s="1">
        <f>'Kwh Consumption'!U15*' Kwh area wise $ '!B14</f>
        <v>37.80000000000144</v>
      </c>
      <c r="M14" s="1">
        <f>'Kwh Consumption'!V15*' Kwh area wise $ '!B14</f>
        <v>869.17460000030462</v>
      </c>
    </row>
    <row r="15" spans="1:13" x14ac:dyDescent="0.25">
      <c r="A15" s="14">
        <f>'Kwh Reading'!A16</f>
        <v>44360</v>
      </c>
      <c r="B15" s="11">
        <f>TOTAL!F14</f>
        <v>0.14000000000000001</v>
      </c>
      <c r="C15" s="11">
        <f>'Kwh Consumption'!B16*' Kwh area wise $ '!B15</f>
        <v>3324.9999999998731</v>
      </c>
      <c r="D15" s="1">
        <f>'Kwh Consumption'!C16*' Kwh area wise $ '!B15</f>
        <v>68.599999999993315</v>
      </c>
      <c r="E15" s="1">
        <f>'Kwh Consumption'!D16*' Kwh area wise $ '!B15</f>
        <v>349.99999999999261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82.599999999996513</v>
      </c>
      <c r="H15" s="16">
        <f>('Kwh Consumption'!I16+'Kwh Consumption'!J16)*' Kwh area wise $ '!B15</f>
        <v>65.80000000000183</v>
      </c>
      <c r="I15" s="1">
        <f>('Kwh Consumption'!K16+'Kwh Consumption'!L16)*' Kwh area wise $ '!B15</f>
        <v>256.20000000000971</v>
      </c>
      <c r="J15" s="1">
        <f>('Kwh Consumption'!M16+'Kwh Consumption'!N16+'Kwh Consumption'!O16+'Kwh Consumption'!P16+'Kwh Consumption'!Q16+'Kwh Consumption'!R16)*' Kwh area wise $ '!B15</f>
        <v>693.00000000000648</v>
      </c>
      <c r="K15" s="1">
        <f>('Kwh Consumption'!S16+'Kwh Consumption'!T16)*' Kwh area wise $ '!B15</f>
        <v>840.46620000014093</v>
      </c>
      <c r="L15" s="1">
        <f>'Kwh Consumption'!U16*' Kwh area wise $ '!B15</f>
        <v>41.99999999999762</v>
      </c>
      <c r="M15" s="1">
        <f>'Kwh Consumption'!V16*' Kwh area wise $ '!B15</f>
        <v>892.73379999973292</v>
      </c>
    </row>
    <row r="16" spans="1:13" x14ac:dyDescent="0.25">
      <c r="A16" s="14">
        <f>'Kwh Reading'!A17</f>
        <v>44361</v>
      </c>
      <c r="B16" s="11">
        <f>TOTAL!F15</f>
        <v>0.14000000000000001</v>
      </c>
      <c r="C16" s="11">
        <f>'Kwh Consumption'!B17*' Kwh area wise $ '!B16</f>
        <v>3183.5999999999699</v>
      </c>
      <c r="D16" s="1">
        <f>'Kwh Consumption'!C17*' Kwh area wise $ '!B16</f>
        <v>58.800000000002235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123.19999999999938</v>
      </c>
      <c r="H16" s="16">
        <f>('Kwh Consumption'!I17+'Kwh Consumption'!J17)*' Kwh area wise $ '!B16</f>
        <v>61.599999999999689</v>
      </c>
      <c r="I16" s="1">
        <f>('Kwh Consumption'!K17+'Kwh Consumption'!L17)*' Kwh area wise $ '!B16</f>
        <v>214.19999999999621</v>
      </c>
      <c r="J16" s="1">
        <f>('Kwh Consumption'!M17+'Kwh Consumption'!N17+'Kwh Consumption'!O17+'Kwh Consumption'!P17+'Kwh Consumption'!Q17+'Kwh Consumption'!R17)*' Kwh area wise $ '!B16</f>
        <v>695.80000000000393</v>
      </c>
      <c r="K16" s="1">
        <f>('Kwh Consumption'!S17+'Kwh Consumption'!T17)*' Kwh area wise $ '!B16</f>
        <v>830.68579999996359</v>
      </c>
      <c r="L16" s="1">
        <f>'Kwh Consumption'!U17*' Kwh area wise $ '!B16</f>
        <v>39.200000000000166</v>
      </c>
      <c r="M16" s="1">
        <f>'Kwh Consumption'!V17*' Kwh area wise $ '!B16</f>
        <v>761.11419999998259</v>
      </c>
    </row>
    <row r="17" spans="1:13" x14ac:dyDescent="0.25">
      <c r="A17" s="14">
        <f>'Kwh Reading'!A18</f>
        <v>44362</v>
      </c>
      <c r="B17" s="11">
        <f>TOTAL!F16</f>
        <v>0.14000000000000001</v>
      </c>
      <c r="C17" s="11">
        <f>'Kwh Consumption'!B18*' Kwh area wise $ '!B17</f>
        <v>3165.3999999999864</v>
      </c>
      <c r="D17" s="1">
        <f>'Kwh Consumption'!C18*' Kwh area wise $ '!B17</f>
        <v>58.800000000002235</v>
      </c>
      <c r="E17" s="1">
        <f>'Kwh Consumption'!D18*' Kwh area wise $ '!B17</f>
        <v>307.99999999996612</v>
      </c>
      <c r="F17" s="1">
        <f>'Kwh Consumption'!E18*' Kwh area wise $ '!B17</f>
        <v>32.199999999998568</v>
      </c>
      <c r="G17" s="1">
        <f>('Kwh Consumption'!F18+'Kwh Consumption'!G18+'Kwh Consumption'!H18)*' Kwh area wise $ '!B17</f>
        <v>56.000000000008761</v>
      </c>
      <c r="H17" s="16">
        <f>('Kwh Consumption'!I18+'Kwh Consumption'!J18)*' Kwh area wise $ '!B17</f>
        <v>54.600000000002076</v>
      </c>
      <c r="I17" s="1">
        <f>('Kwh Consumption'!K18+'Kwh Consumption'!L18)*' Kwh area wise $ '!B17</f>
        <v>223.99999999999525</v>
      </c>
      <c r="J17" s="1">
        <f>('Kwh Consumption'!M18+'Kwh Consumption'!N18+'Kwh Consumption'!O18+'Kwh Consumption'!P18+'Kwh Consumption'!Q18+'Kwh Consumption'!R18)*' Kwh area wise $ '!B17</f>
        <v>635.59999999998706</v>
      </c>
      <c r="K17" s="1">
        <f>('Kwh Consumption'!S18+'Kwh Consumption'!T18)*' Kwh area wise $ '!B17</f>
        <v>759.70439999999485</v>
      </c>
      <c r="L17" s="1">
        <f>'Kwh Consumption'!U18*' Kwh area wise $ '!B17</f>
        <v>33.600000000001273</v>
      </c>
      <c r="M17" s="1">
        <f>'Kwh Consumption'!V18*' Kwh area wise $ '!B17</f>
        <v>1002.8956000000303</v>
      </c>
    </row>
    <row r="18" spans="1:13" x14ac:dyDescent="0.25">
      <c r="A18" s="14">
        <f>'Kwh Reading'!A19</f>
        <v>44363</v>
      </c>
      <c r="B18" s="11">
        <f>TOTAL!F17</f>
        <v>0.14000000000000001</v>
      </c>
      <c r="C18" s="11">
        <f>'Kwh Consumption'!B19*' Kwh area wise $ '!B18</f>
        <v>3362.8000000000293</v>
      </c>
      <c r="D18" s="1">
        <f>'Kwh Consumption'!C19*' Kwh area wise $ '!B18</f>
        <v>70</v>
      </c>
      <c r="E18" s="1">
        <f>'Kwh Consumption'!D19*' Kwh area wise $ '!B18</f>
        <v>364.00000000002211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76.999999999997627</v>
      </c>
      <c r="H18" s="16">
        <f>('Kwh Consumption'!I19+'Kwh Consumption'!J19)*' Kwh area wise $ '!B18</f>
        <v>83.999999999999218</v>
      </c>
      <c r="I18" s="1">
        <f>('Kwh Consumption'!K19+'Kwh Consumption'!L19)*' Kwh area wise $ '!B18</f>
        <v>243.59999999999334</v>
      </c>
      <c r="J18" s="1">
        <f>('Kwh Consumption'!M19+'Kwh Consumption'!N19+'Kwh Consumption'!O19+'Kwh Consumption'!P19+'Kwh Consumption'!Q19+'Kwh Consumption'!R19)*' Kwh area wise $ '!B18</f>
        <v>700.00000000003195</v>
      </c>
      <c r="K18" s="1">
        <f>('Kwh Consumption'!S19+'Kwh Consumption'!T19)*' Kwh area wise $ '!B18</f>
        <v>749.79240000002096</v>
      </c>
      <c r="L18" s="1">
        <f>'Kwh Consumption'!U19*' Kwh area wise $ '!B18</f>
        <v>35</v>
      </c>
      <c r="M18" s="1">
        <f>'Kwh Consumption'!V19*' Kwh area wise $ '!B18</f>
        <v>1010.0075999999634</v>
      </c>
    </row>
    <row r="19" spans="1:13" x14ac:dyDescent="0.25">
      <c r="A19" s="14">
        <f>'Kwh Reading'!A20</f>
        <v>44364</v>
      </c>
      <c r="B19" s="11">
        <f>TOTAL!F18</f>
        <v>0.14000000000000001</v>
      </c>
      <c r="C19" s="11">
        <f>'Kwh Consumption'!B20*' Kwh area wise $ '!B19</f>
        <v>3165.4000000000178</v>
      </c>
      <c r="D19" s="1">
        <f>'Kwh Consumption'!C20*' Kwh area wise $ '!B19</f>
        <v>58.800000000002235</v>
      </c>
      <c r="E19" s="1">
        <f>'Kwh Consumption'!D20*' Kwh area wise $ '!B19</f>
        <v>349.99999999999261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99.399999999997149</v>
      </c>
      <c r="H19" s="16">
        <f>('Kwh Consumption'!I20+'Kwh Consumption'!J20)*' Kwh area wise $ '!B19</f>
        <v>47.599999999998495</v>
      </c>
      <c r="I19" s="1">
        <f>('Kwh Consumption'!K20+'Kwh Consumption'!L20)*' Kwh area wise $ '!B19</f>
        <v>246.40000000000671</v>
      </c>
      <c r="J19" s="1">
        <f>('Kwh Consumption'!M20+'Kwh Consumption'!N20+'Kwh Consumption'!O20+'Kwh Consumption'!P20+'Kwh Consumption'!Q20+'Kwh Consumption'!R20)*' Kwh area wise $ '!B19</f>
        <v>674.79999999998324</v>
      </c>
      <c r="K19" s="1">
        <f>('Kwh Consumption'!S20+'Kwh Consumption'!T20)*' Kwh area wise $ '!B19</f>
        <v>883.68000000000006</v>
      </c>
      <c r="L19" s="1">
        <f>'Kwh Consumption'!U20*' Kwh area wise $ '!B19</f>
        <v>37.80000000000144</v>
      </c>
      <c r="M19" s="1">
        <f>'Kwh Consumption'!V20*' Kwh area wise $ '!B19</f>
        <v>738.92000000003725</v>
      </c>
    </row>
    <row r="20" spans="1:13" x14ac:dyDescent="0.25">
      <c r="A20" s="14">
        <f>'Kwh Reading'!A21</f>
        <v>44365</v>
      </c>
      <c r="B20" s="11">
        <f>TOTAL!F19</f>
        <v>0.14000000000000001</v>
      </c>
      <c r="C20" s="11">
        <f>'Kwh Consumption'!B21*' Kwh area wise $ '!B20</f>
        <v>3288.5999999999062</v>
      </c>
      <c r="D20" s="1">
        <f>'Kwh Consumption'!C21*' Kwh area wise $ '!B20</f>
        <v>41.999999999993641</v>
      </c>
      <c r="E20" s="1">
        <f>'Kwh Consumption'!D21*' Kwh area wise $ '!B20</f>
        <v>364.00000000002211</v>
      </c>
      <c r="F20" s="1">
        <f>'Kwh Consumption'!E21*' Kwh area wise $ '!B20</f>
        <v>32.200000000002547</v>
      </c>
      <c r="G20" s="1">
        <f>('Kwh Consumption'!F21+'Kwh Consumption'!G21+'Kwh Consumption'!H21)*' Kwh area wise $ '!B20</f>
        <v>89.599999999998104</v>
      </c>
      <c r="H20" s="16">
        <f>('Kwh Consumption'!I21+'Kwh Consumption'!J21)*' Kwh area wise $ '!B20</f>
        <v>51.800000000000644</v>
      </c>
      <c r="I20" s="1">
        <f>('Kwh Consumption'!K21+'Kwh Consumption'!L21)*' Kwh area wise $ '!B20</f>
        <v>259.00000000000318</v>
      </c>
      <c r="J20" s="1">
        <f>('Kwh Consumption'!M21+'Kwh Consumption'!N21+'Kwh Consumption'!O21+'Kwh Consumption'!P21+'Kwh Consumption'!Q21+'Kwh Consumption'!R21)*' Kwh area wise $ '!B20</f>
        <v>695.79999999997995</v>
      </c>
      <c r="K20" s="1">
        <f>('Kwh Consumption'!S21+'Kwh Consumption'!T21)*' Kwh area wise $ '!B20</f>
        <v>829.98159999992708</v>
      </c>
      <c r="L20" s="1">
        <f>'Kwh Consumption'!U21*' Kwh area wise $ '!B20</f>
        <v>37.799999999997461</v>
      </c>
      <c r="M20" s="1">
        <f>'Kwh Consumption'!V21*' Kwh area wise $ '!B20</f>
        <v>886.41839999998138</v>
      </c>
    </row>
    <row r="21" spans="1:13" x14ac:dyDescent="0.25">
      <c r="A21" s="14">
        <f>'Kwh Reading'!A22</f>
        <v>44366</v>
      </c>
      <c r="B21" s="11">
        <f>TOTAL!F20</f>
        <v>0.14000000000000001</v>
      </c>
      <c r="C21" s="11">
        <f>'Kwh Consumption'!B22*' Kwh area wise $ '!B21</f>
        <v>3273.2000000000157</v>
      </c>
      <c r="D21" s="1">
        <f>'Kwh Consumption'!C22*' Kwh area wise $ '!B21</f>
        <v>64.400000000005093</v>
      </c>
      <c r="E21" s="1">
        <f>'Kwh Consumption'!D22*' Kwh area wise $ '!B21</f>
        <v>335.99999999996305</v>
      </c>
      <c r="F21" s="1">
        <f>'Kwh Consumption'!E22*' Kwh area wise $ '!B21</f>
        <v>111.99999999999763</v>
      </c>
      <c r="G21" s="1">
        <f>('Kwh Consumption'!F22+'Kwh Consumption'!G22+'Kwh Consumption'!H22)*' Kwh area wise $ '!B21</f>
        <v>72.800000000005411</v>
      </c>
      <c r="H21" s="16">
        <f>('Kwh Consumption'!I22+'Kwh Consumption'!J22)*' Kwh area wise $ '!B21</f>
        <v>64.399999999999125</v>
      </c>
      <c r="I21" s="1">
        <f>('Kwh Consumption'!K22+'Kwh Consumption'!L22)*' Kwh area wise $ '!B21</f>
        <v>232.39999999999159</v>
      </c>
      <c r="J21" s="1">
        <f>('Kwh Consumption'!M22+'Kwh Consumption'!N22+'Kwh Consumption'!O22+'Kwh Consumption'!P22+'Kwh Consumption'!Q22+'Kwh Consumption'!R22)*' Kwh area wise $ '!B21</f>
        <v>653.8000000000103</v>
      </c>
      <c r="K21" s="1">
        <f>('Kwh Consumption'!S22+'Kwh Consumption'!T22)*' Kwh area wise $ '!B21</f>
        <v>866.25980000004176</v>
      </c>
      <c r="L21" s="1">
        <f>'Kwh Consumption'!U22*' Kwh area wise $ '!B21</f>
        <v>30.799999999999844</v>
      </c>
      <c r="M21" s="1">
        <f>'Kwh Consumption'!V22*' Kwh area wise $ '!B21</f>
        <v>840.34020000000214</v>
      </c>
    </row>
    <row r="22" spans="1:13" x14ac:dyDescent="0.25">
      <c r="A22" s="14">
        <f>'Kwh Reading'!A23</f>
        <v>44367</v>
      </c>
      <c r="B22" s="11">
        <f>TOTAL!F21</f>
        <v>0.14000000000000001</v>
      </c>
      <c r="C22" s="11">
        <f>'Kwh Consumption'!B23*' Kwh area wise $ '!B22</f>
        <v>3154.2000000001558</v>
      </c>
      <c r="D22" s="1">
        <f>'Kwh Consumption'!C23*' Kwh area wise $ '!B22</f>
        <v>64.399999999997135</v>
      </c>
      <c r="E22" s="1">
        <f>'Kwh Consumption'!D23*' Kwh area wise $ '!B22</f>
        <v>349.99999999999261</v>
      </c>
      <c r="F22" s="1">
        <f>'Kwh Consumption'!E23*' Kwh area wise $ '!B22</f>
        <v>-54.599999999998097</v>
      </c>
      <c r="G22" s="1">
        <f>('Kwh Consumption'!F23+'Kwh Consumption'!G23+'Kwh Consumption'!H23)*' Kwh area wise $ '!B22</f>
        <v>74.199999999992201</v>
      </c>
      <c r="H22" s="16">
        <f>('Kwh Consumption'!I23+'Kwh Consumption'!J23)*' Kwh area wise $ '!B22</f>
        <v>88.199999999999378</v>
      </c>
      <c r="I22" s="1">
        <f>('Kwh Consumption'!K23+'Kwh Consumption'!L23)*' Kwh area wise $ '!B22</f>
        <v>225.40000000000194</v>
      </c>
      <c r="J22" s="1">
        <f>('Kwh Consumption'!M23+'Kwh Consumption'!N23+'Kwh Consumption'!O23+'Kwh Consumption'!P23+'Kwh Consumption'!Q23+'Kwh Consumption'!R23)*' Kwh area wise $ '!B22</f>
        <v>667.8000000000294</v>
      </c>
      <c r="K22" s="1">
        <f>('Kwh Consumption'!S23+'Kwh Consumption'!T23)*' Kwh area wise $ '!B22</f>
        <v>867.166999999974</v>
      </c>
      <c r="L22" s="1">
        <f>'Kwh Consumption'!U23*' Kwh area wise $ '!B22</f>
        <v>32.200000000002547</v>
      </c>
      <c r="M22" s="1">
        <f>'Kwh Consumption'!V23*' Kwh area wise $ '!B22</f>
        <v>839.43300000016416</v>
      </c>
    </row>
    <row r="23" spans="1:13" x14ac:dyDescent="0.25">
      <c r="A23" s="14">
        <f>'Kwh Reading'!A24</f>
        <v>44368</v>
      </c>
      <c r="B23" s="11">
        <f>TOTAL!F22</f>
        <v>0.14000000000000001</v>
      </c>
      <c r="C23" s="11">
        <f>'Kwh Consumption'!B24*' Kwh area wise $ '!B23</f>
        <v>3399.1999999998689</v>
      </c>
      <c r="D23" s="1">
        <f>'Kwh Consumption'!C24*' Kwh area wise $ '!B23</f>
        <v>71.399999999998727</v>
      </c>
      <c r="E23" s="1">
        <f>'Kwh Consumption'!D24*' Kwh area wise $ '!B23</f>
        <v>350.00000000005474</v>
      </c>
      <c r="F23" s="1">
        <f>'Kwh Consumption'!E24*' Kwh area wise $ '!B23</f>
        <v>36.399999999998727</v>
      </c>
      <c r="G23" s="1">
        <f>('Kwh Consumption'!F24+'Kwh Consumption'!G24+'Kwh Consumption'!H24)*' Kwh area wise $ '!B23</f>
        <v>100.80000000000781</v>
      </c>
      <c r="H23" s="16">
        <f>('Kwh Consumption'!I24+'Kwh Consumption'!J24)*' Kwh area wise $ '!B23</f>
        <v>37.800000000003429</v>
      </c>
      <c r="I23" s="1">
        <f>('Kwh Consumption'!K24+'Kwh Consumption'!L24)*' Kwh area wise $ '!B23</f>
        <v>253.40000000000433</v>
      </c>
      <c r="J23" s="1">
        <f>('Kwh Consumption'!M24+'Kwh Consumption'!N24+'Kwh Consumption'!O24+'Kwh Consumption'!P24+'Kwh Consumption'!Q24+'Kwh Consumption'!R24)*' Kwh area wise $ '!B23</f>
        <v>684.59999999997433</v>
      </c>
      <c r="K23" s="1">
        <f>('Kwh Consumption'!S24+'Kwh Consumption'!T24)*' Kwh area wise $ '!B23</f>
        <v>916.64860000003137</v>
      </c>
      <c r="L23" s="1">
        <f>'Kwh Consumption'!U24*' Kwh area wise $ '!B23</f>
        <v>32.199999999998568</v>
      </c>
      <c r="M23" s="1">
        <f>'Kwh Consumption'!V24*' Kwh area wise $ '!B23</f>
        <v>915.9513999997971</v>
      </c>
    </row>
    <row r="24" spans="1:13" x14ac:dyDescent="0.25">
      <c r="A24" s="14">
        <f>'Kwh Reading'!A25</f>
        <v>44369</v>
      </c>
      <c r="B24" s="11">
        <f>TOTAL!F23</f>
        <v>0.14000000000000001</v>
      </c>
      <c r="C24" s="11">
        <f>'Kwh Consumption'!B25*' Kwh area wise $ '!B24</f>
        <v>3323.6000000000336</v>
      </c>
      <c r="D24" s="1">
        <f>'Kwh Consumption'!C25*' Kwh area wise $ '!B24</f>
        <v>65.80000000000382</v>
      </c>
      <c r="E24" s="1">
        <f>'Kwh Consumption'!D25*' Kwh area wise $ '!B24</f>
        <v>349.99999999999261</v>
      </c>
      <c r="F24" s="1">
        <f>'Kwh Consumption'!E25*' Kwh area wise $ '!B24</f>
        <v>33.600000000001273</v>
      </c>
      <c r="G24" s="1">
        <f>('Kwh Consumption'!F25+'Kwh Consumption'!G25+'Kwh Consumption'!H25)*' Kwh area wise $ '!B24</f>
        <v>95.199999999993011</v>
      </c>
      <c r="H24" s="16">
        <f>('Kwh Consumption'!I25+'Kwh Consumption'!J25)*' Kwh area wise $ '!B24</f>
        <v>63.000000000000405</v>
      </c>
      <c r="I24" s="1">
        <f>('Kwh Consumption'!K25+'Kwh Consumption'!L25)*' Kwh area wise $ '!B24</f>
        <v>243.6000000000013</v>
      </c>
      <c r="J24" s="1">
        <f>('Kwh Consumption'!M25+'Kwh Consumption'!N25+'Kwh Consumption'!O25+'Kwh Consumption'!P25+'Kwh Consumption'!Q25+'Kwh Consumption'!R25)*' Kwh area wise $ '!B24</f>
        <v>683.20000000001539</v>
      </c>
      <c r="K24" s="1">
        <f>('Kwh Consumption'!S25+'Kwh Consumption'!T25)*' Kwh area wise $ '!B24</f>
        <v>885.29560000000527</v>
      </c>
      <c r="L24" s="1">
        <f>'Kwh Consumption'!U25*' Kwh area wise $ '!B24</f>
        <v>27.999999999998412</v>
      </c>
      <c r="M24" s="1">
        <f>'Kwh Consumption'!V25*' Kwh area wise $ '!B24</f>
        <v>875.90440000002241</v>
      </c>
    </row>
    <row r="25" spans="1:13" x14ac:dyDescent="0.25">
      <c r="A25" s="14">
        <f>'Kwh Reading'!A26</f>
        <v>44370</v>
      </c>
      <c r="B25" s="11">
        <f>TOTAL!F24</f>
        <v>0.14000000000000001</v>
      </c>
      <c r="C25" s="11">
        <f>'Kwh Consumption'!B26*' Kwh area wise $ '!B25</f>
        <v>3204.600000000014</v>
      </c>
      <c r="D25" s="1">
        <f>'Kwh Consumption'!C26*' Kwh area wise $ '!B25</f>
        <v>62.999999999998415</v>
      </c>
      <c r="E25" s="1">
        <f>'Kwh Consumption'!D26*' Kwh area wise $ '!B25</f>
        <v>349.99999999999261</v>
      </c>
      <c r="F25" s="1">
        <f>'Kwh Consumption'!E26*' Kwh area wise $ '!B25</f>
        <v>33.599999999997294</v>
      </c>
      <c r="G25" s="1">
        <f>('Kwh Consumption'!F26+'Kwh Consumption'!G26+'Kwh Consumption'!H26)*' Kwh area wise $ '!B25</f>
        <v>98.000000000006381</v>
      </c>
      <c r="H25" s="16">
        <f>('Kwh Consumption'!I26+'Kwh Consumption'!J26)*' Kwh area wise $ '!B25</f>
        <v>64.399999999997135</v>
      </c>
      <c r="I25" s="1">
        <f>('Kwh Consumption'!K26+'Kwh Consumption'!L26)*' Kwh area wise $ '!B25</f>
        <v>238.00000000000639</v>
      </c>
      <c r="J25" s="1">
        <f>('Kwh Consumption'!M26+'Kwh Consumption'!N26+'Kwh Consumption'!O26+'Kwh Consumption'!P26+'Kwh Consumption'!Q26+'Kwh Consumption'!R26)*' Kwh area wise $ '!B25</f>
        <v>660.7999999999721</v>
      </c>
      <c r="K25" s="1">
        <f>('Kwh Consumption'!S26+'Kwh Consumption'!T26)*' Kwh area wise $ '!B25</f>
        <v>831.50760000010962</v>
      </c>
      <c r="L25" s="1">
        <f>'Kwh Consumption'!U26*' Kwh area wise $ '!B25</f>
        <v>42.000000000001599</v>
      </c>
      <c r="M25" s="1">
        <f>'Kwh Consumption'!V26*' Kwh area wise $ '!B25</f>
        <v>823.29239999993285</v>
      </c>
    </row>
    <row r="26" spans="1:13" x14ac:dyDescent="0.25">
      <c r="A26" s="14">
        <f>'Kwh Reading'!A27</f>
        <v>44371</v>
      </c>
      <c r="B26" s="11">
        <f>TOTAL!F25</f>
        <v>0.14000000000000001</v>
      </c>
      <c r="C26" s="11">
        <f>'Kwh Consumption'!B27*' Kwh area wise $ '!B26</f>
        <v>3248.0000000000387</v>
      </c>
      <c r="D26" s="1">
        <f>'Kwh Consumption'!C27*' Kwh area wise $ '!B26</f>
        <v>65.80000000000382</v>
      </c>
      <c r="E26" s="1">
        <f>'Kwh Consumption'!D27*' Kwh area wise $ '!B26</f>
        <v>349.99999999999261</v>
      </c>
      <c r="F26" s="1">
        <f>'Kwh Consumption'!E27*' Kwh area wise $ '!B26</f>
        <v>28.000000000002391</v>
      </c>
      <c r="G26" s="1">
        <f>('Kwh Consumption'!F27+'Kwh Consumption'!G27+'Kwh Consumption'!H27)*' Kwh area wise $ '!B26</f>
        <v>79.799999999999059</v>
      </c>
      <c r="H26" s="16">
        <f>('Kwh Consumption'!I27+'Kwh Consumption'!J27)*' Kwh area wise $ '!B26</f>
        <v>39.200000000002156</v>
      </c>
      <c r="I26" s="1">
        <f>('Kwh Consumption'!K27+'Kwh Consumption'!L27)*' Kwh area wise $ '!B26</f>
        <v>230.99999999998889</v>
      </c>
      <c r="J26" s="1">
        <f>('Kwh Consumption'!M27+'Kwh Consumption'!N27+'Kwh Consumption'!O27+'Kwh Consumption'!P27+'Kwh Consumption'!Q27+'Kwh Consumption'!R27)*' Kwh area wise $ '!B26</f>
        <v>694.4000000000209</v>
      </c>
      <c r="K26" s="1">
        <f>('Kwh Consumption'!S27+'Kwh Consumption'!T27)*' Kwh area wise $ '!B26</f>
        <v>832.4917999998853</v>
      </c>
      <c r="L26" s="1">
        <f>'Kwh Consumption'!U27*' Kwh area wise $ '!B26</f>
        <v>23.799999999998253</v>
      </c>
      <c r="M26" s="1">
        <f>'Kwh Consumption'!V27*' Kwh area wise $ '!B26</f>
        <v>903.50820000014483</v>
      </c>
    </row>
    <row r="27" spans="1:13" x14ac:dyDescent="0.25">
      <c r="A27" s="14">
        <f>'Kwh Reading'!A28</f>
        <v>44372</v>
      </c>
      <c r="B27" s="11">
        <f>TOTAL!F26</f>
        <v>0.14000000000000001</v>
      </c>
      <c r="C27" s="11">
        <f>'Kwh Consumption'!B28*' Kwh area wise $ '!B27</f>
        <v>3004.3999999999737</v>
      </c>
      <c r="D27" s="1">
        <f>'Kwh Consumption'!C28*' Kwh area wise $ '!B27</f>
        <v>39.199999999996187</v>
      </c>
      <c r="E27" s="1">
        <f>'Kwh Consumption'!D28*' Kwh area wise $ '!B27</f>
        <v>223.99999999997536</v>
      </c>
      <c r="F27" s="1">
        <f>'Kwh Consumption'!E28*' Kwh area wise $ '!B27</f>
        <v>35</v>
      </c>
      <c r="G27" s="1">
        <f>('Kwh Consumption'!F28+'Kwh Consumption'!G28+'Kwh Consumption'!H28)*' Kwh area wise $ '!B27</f>
        <v>95.200000000000969</v>
      </c>
      <c r="H27" s="16">
        <f>('Kwh Consumption'!I28+'Kwh Consumption'!J28)*' Kwh area wise $ '!B27</f>
        <v>60.199999999996983</v>
      </c>
      <c r="I27" s="1">
        <f>('Kwh Consumption'!K28+'Kwh Consumption'!L28)*' Kwh area wise $ '!B27</f>
        <v>228.20000000000735</v>
      </c>
      <c r="J27" s="1">
        <f>('Kwh Consumption'!M28+'Kwh Consumption'!N28+'Kwh Consumption'!O28+'Kwh Consumption'!P28+'Kwh Consumption'!Q28+'Kwh Consumption'!R28)*' Kwh area wise $ '!B27</f>
        <v>662.19999999998674</v>
      </c>
      <c r="K27" s="1">
        <f>('Kwh Consumption'!S28+'Kwh Consumption'!T28)*' Kwh area wise $ '!B27</f>
        <v>714.65519999995831</v>
      </c>
      <c r="L27" s="1">
        <f>'Kwh Consumption'!U28*' Kwh area wise $ '!B27</f>
        <v>28.000000000002391</v>
      </c>
      <c r="M27" s="1">
        <f>'Kwh Consumption'!V28*' Kwh area wise $ '!B27</f>
        <v>917.74480000004974</v>
      </c>
    </row>
    <row r="28" spans="1:13" x14ac:dyDescent="0.25">
      <c r="A28" s="14">
        <f>'Kwh Reading'!A29</f>
        <v>44373</v>
      </c>
      <c r="B28" s="11">
        <f>TOTAL!F27</f>
        <v>0.14000000000000001</v>
      </c>
      <c r="C28" s="11">
        <f>'Kwh Consumption'!B29*' Kwh area wise $ '!B28</f>
        <v>3109.3999999999737</v>
      </c>
      <c r="D28" s="1">
        <f>'Kwh Consumption'!C29*' Kwh area wise $ '!B28</f>
        <v>65.80000000000382</v>
      </c>
      <c r="E28" s="1">
        <f>'Kwh Consumption'!D29*' Kwh area wise $ '!B28</f>
        <v>476.00000000000978</v>
      </c>
      <c r="F28" s="1">
        <f>'Kwh Consumption'!E29*' Kwh area wise $ '!B28</f>
        <v>32.199999999998568</v>
      </c>
      <c r="G28" s="1">
        <f>('Kwh Consumption'!F29+'Kwh Consumption'!G29+'Kwh Consumption'!H29)*' Kwh area wise $ '!B28</f>
        <v>88.199999999999378</v>
      </c>
      <c r="H28" s="16">
        <f>('Kwh Consumption'!I29+'Kwh Consumption'!J29)*' Kwh area wise $ '!B28</f>
        <v>60.200000000002952</v>
      </c>
      <c r="I28" s="1">
        <f>('Kwh Consumption'!K29+'Kwh Consumption'!L29)*' Kwh area wise $ '!B28</f>
        <v>235.20000000000098</v>
      </c>
      <c r="J28" s="1">
        <f>('Kwh Consumption'!M29+'Kwh Consumption'!N29+'Kwh Consumption'!O29+'Kwh Consumption'!P29+'Kwh Consumption'!Q29+'Kwh Consumption'!R29)*' Kwh area wise $ '!B28</f>
        <v>642.5999999999965</v>
      </c>
      <c r="K28" s="1">
        <f>('Kwh Consumption'!S29+'Kwh Consumption'!T29)*' Kwh area wise $ '!B28</f>
        <v>749.29680000001576</v>
      </c>
      <c r="L28" s="1">
        <f>'Kwh Consumption'!U29*' Kwh area wise $ '!B28</f>
        <v>29.400000000001118</v>
      </c>
      <c r="M28" s="1">
        <f>'Kwh Consumption'!V29*' Kwh area wise $ '!B28</f>
        <v>730.50319999994474</v>
      </c>
    </row>
    <row r="29" spans="1:13" x14ac:dyDescent="0.25">
      <c r="A29" s="14">
        <f>'Kwh Reading'!A30</f>
        <v>44374</v>
      </c>
      <c r="B29" s="11">
        <f>TOTAL!F28</f>
        <v>0.14000000000000001</v>
      </c>
      <c r="C29" s="11">
        <f>'Kwh Consumption'!B30*' Kwh area wise $ '!B29</f>
        <v>2906.4000000000624</v>
      </c>
      <c r="D29" s="1">
        <f>'Kwh Consumption'!C30*' Kwh area wise $ '!B29</f>
        <v>61.599999999999689</v>
      </c>
      <c r="E29" s="1">
        <f>'Kwh Consumption'!D30*' Kwh area wise $ '!B29</f>
        <v>349.99999999999261</v>
      </c>
      <c r="F29" s="1">
        <f>'Kwh Consumption'!E30*' Kwh area wise $ '!B29</f>
        <v>30.799999999999844</v>
      </c>
      <c r="G29" s="1">
        <f>('Kwh Consumption'!F30+'Kwh Consumption'!G30+'Kwh Consumption'!H30)*' Kwh area wise $ '!B29</f>
        <v>104.99999999999604</v>
      </c>
      <c r="H29" s="16">
        <f>('Kwh Consumption'!I30+'Kwh Consumption'!J30)*' Kwh area wise $ '!B29</f>
        <v>65.799999999997851</v>
      </c>
      <c r="I29" s="1">
        <f>('Kwh Consumption'!K30+'Kwh Consumption'!L30)*' Kwh area wise $ '!B29</f>
        <v>207.19999999999064</v>
      </c>
      <c r="J29" s="1">
        <f>('Kwh Consumption'!M30+'Kwh Consumption'!N30+'Kwh Consumption'!O30+'Kwh Consumption'!P30+'Kwh Consumption'!Q30+'Kwh Consumption'!R30)*' Kwh area wise $ '!B29</f>
        <v>568.40000000002419</v>
      </c>
      <c r="K29" s="1">
        <f>('Kwh Consumption'!S30+'Kwh Consumption'!T30)*' Kwh area wise $ '!B29</f>
        <v>638.71640000009916</v>
      </c>
      <c r="L29" s="1">
        <f>'Kwh Consumption'!U30*' Kwh area wise $ '!B29</f>
        <v>29.399999999997139</v>
      </c>
      <c r="M29" s="1">
        <f>'Kwh Consumption'!V30*' Kwh area wise $ '!B29</f>
        <v>849.48359999996489</v>
      </c>
    </row>
    <row r="30" spans="1:13" x14ac:dyDescent="0.25">
      <c r="A30" s="14">
        <f>'Kwh Reading'!A31</f>
        <v>44375</v>
      </c>
      <c r="B30" s="11">
        <f>TOTAL!F29</f>
        <v>0.14000000000000001</v>
      </c>
      <c r="C30" s="11">
        <f>'Kwh Consumption'!B31*' Kwh area wise $ '!B30</f>
        <v>3084.1999999999648</v>
      </c>
      <c r="D30" s="1">
        <f>'Kwh Consumption'!C31*' Kwh area wise $ '!B30</f>
        <v>68.599999999993315</v>
      </c>
      <c r="E30" s="1">
        <f>'Kwh Consumption'!D31*' Kwh area wise $ '!B30</f>
        <v>321.99999999999562</v>
      </c>
      <c r="F30" s="1">
        <f>'Kwh Consumption'!E31*' Kwh area wise $ '!B30</f>
        <v>30.799999999999844</v>
      </c>
      <c r="G30" s="1">
        <f>('Kwh Consumption'!F31+'Kwh Consumption'!G31+'Kwh Consumption'!H31)*' Kwh area wise $ '!B30</f>
        <v>97.999999999998423</v>
      </c>
      <c r="H30" s="16">
        <f>('Kwh Consumption'!I31+'Kwh Consumption'!J31)*' Kwh area wise $ '!B30</f>
        <v>56.000000000002792</v>
      </c>
      <c r="I30" s="1">
        <f>('Kwh Consumption'!K31+'Kwh Consumption'!L31)*' Kwh area wise $ '!B30</f>
        <v>225.40000000000592</v>
      </c>
      <c r="J30" s="1">
        <f>('Kwh Consumption'!M31+'Kwh Consumption'!N31+'Kwh Consumption'!O31+'Kwh Consumption'!P31+'Kwh Consumption'!Q31+'Kwh Consumption'!R31)*' Kwh area wise $ '!B30</f>
        <v>620.19999999999311</v>
      </c>
      <c r="K30" s="1">
        <f>('Kwh Consumption'!S31+'Kwh Consumption'!T31)*' Kwh area wise $ '!B30</f>
        <v>787.61620000001051</v>
      </c>
      <c r="L30" s="1">
        <f>'Kwh Consumption'!U31*' Kwh area wise $ '!B30</f>
        <v>30.799999999999844</v>
      </c>
      <c r="M30" s="1">
        <f>'Kwh Consumption'!V31*' Kwh area wise $ '!B30</f>
        <v>844.78379999996548</v>
      </c>
    </row>
    <row r="31" spans="1:13" x14ac:dyDescent="0.25">
      <c r="A31" s="14">
        <f>'Kwh Reading'!A32</f>
        <v>44376</v>
      </c>
      <c r="B31" s="11">
        <f>TOTAL!F30</f>
        <v>0.14000000000000001</v>
      </c>
      <c r="C31" s="11">
        <f>'Kwh Consumption'!B32*' Kwh area wise $ '!B31</f>
        <v>2902.2000000000021</v>
      </c>
      <c r="D31" s="1">
        <f>'Kwh Consumption'!C32*' Kwh area wise $ '!B31</f>
        <v>58.800000000002235</v>
      </c>
      <c r="E31" s="1">
        <f>'Kwh Consumption'!D32*' Kwh area wise $ '!B31</f>
        <v>321.99999999999562</v>
      </c>
      <c r="F31" s="1">
        <f>'Kwh Consumption'!E32*' Kwh area wise $ '!B31</f>
        <v>35</v>
      </c>
      <c r="G31" s="1">
        <f>('Kwh Consumption'!F32+'Kwh Consumption'!G32+'Kwh Consumption'!H32)*' Kwh area wise $ '!B31</f>
        <v>97.999999999998423</v>
      </c>
      <c r="H31" s="16">
        <f>('Kwh Consumption'!I32+'Kwh Consumption'!J32)*' Kwh area wise $ '!B31</f>
        <v>60.199999999996983</v>
      </c>
      <c r="I31" s="1">
        <f>('Kwh Consumption'!K32+'Kwh Consumption'!L32)*' Kwh area wise $ '!B31</f>
        <v>211.40000000000273</v>
      </c>
      <c r="J31" s="1">
        <f>('Kwh Consumption'!M32+'Kwh Consumption'!N32+'Kwh Consumption'!O32+'Kwh Consumption'!P32+'Kwh Consumption'!Q32+'Kwh Consumption'!R32)*' Kwh area wise $ '!B31</f>
        <v>554.39999999999714</v>
      </c>
      <c r="K31" s="1">
        <f>('Kwh Consumption'!S32+'Kwh Consumption'!T32)*' Kwh area wise $ '!B31</f>
        <v>653.57459999995308</v>
      </c>
      <c r="L31" s="1">
        <f>'Kwh Consumption'!U32*' Kwh area wise $ '!B31</f>
        <v>26.599999999999685</v>
      </c>
      <c r="M31" s="1">
        <f>'Kwh Consumption'!V32*' Kwh area wise $ '!B31</f>
        <v>882.22540000005597</v>
      </c>
    </row>
    <row r="32" spans="1:13" x14ac:dyDescent="0.25">
      <c r="A32" s="14">
        <f>'Kwh Reading'!A33</f>
        <v>44377</v>
      </c>
      <c r="B32" s="11">
        <f>TOTAL!F31</f>
        <v>0.14000000000000001</v>
      </c>
      <c r="C32" s="11">
        <f>'Kwh Consumption'!B33*' Kwh area wise $ '!B32</f>
        <v>3170.9999999999177</v>
      </c>
      <c r="D32" s="1">
        <f>'Kwh Consumption'!C33*' Kwh area wise $ '!B32</f>
        <v>61.599999999999689</v>
      </c>
      <c r="E32" s="1">
        <f>'Kwh Consumption'!D33*' Kwh area wise $ '!B32</f>
        <v>321.99999999999562</v>
      </c>
      <c r="F32" s="1">
        <f>'Kwh Consumption'!E33*' Kwh area wise $ '!B32</f>
        <v>32.200000000002547</v>
      </c>
      <c r="G32" s="1">
        <f>('Kwh Consumption'!F33+'Kwh Consumption'!G33+'Kwh Consumption'!H33)*' Kwh area wise $ '!B32</f>
        <v>100.80000000000383</v>
      </c>
      <c r="H32" s="16">
        <f>('Kwh Consumption'!I33+'Kwh Consumption'!J33)*' Kwh area wise $ '!B32</f>
        <v>60.199999999998973</v>
      </c>
      <c r="I32" s="1">
        <f>('Kwh Consumption'!K33+'Kwh Consumption'!L33)*' Kwh area wise $ '!B32</f>
        <v>232.39999999998761</v>
      </c>
      <c r="J32" s="1">
        <f>('Kwh Consumption'!M33+'Kwh Consumption'!N33+'Kwh Consumption'!O33+'Kwh Consumption'!P33+'Kwh Consumption'!Q33+'Kwh Consumption'!R33)*' Kwh area wise $ '!B32</f>
        <v>600.60000000000286</v>
      </c>
      <c r="K32" s="1">
        <f>('Kwh Consumption'!S33+'Kwh Consumption'!T33)*' Kwh area wise $ '!B32</f>
        <v>759.36419999990619</v>
      </c>
      <c r="L32" s="1">
        <f>'Kwh Consumption'!U33*' Kwh area wise $ '!B32</f>
        <v>29.400000000001118</v>
      </c>
      <c r="M32" s="1">
        <f>'Kwh Consumption'!V33*' Kwh area wise $ '!B32</f>
        <v>972.4358000000193</v>
      </c>
    </row>
    <row r="33" spans="1:14" x14ac:dyDescent="0.25">
      <c r="A33" s="14">
        <f>'Kwh Reading'!A34</f>
        <v>44378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-58906.400000000009</v>
      </c>
      <c r="E33" s="1">
        <f>'Kwh Consumption'!D34*' Kwh area wise $ '!B33</f>
        <v>-333312.00000000006</v>
      </c>
      <c r="F33" s="1">
        <f>'Kwh Consumption'!E34*' Kwh area wise $ '!B33</f>
        <v>-32141.200000000004</v>
      </c>
      <c r="G33" s="1">
        <f>('Kwh Consumption'!F34+'Kwh Consumption'!G34+'Kwh Consumption'!H34)*' Kwh area wise $ '!B33</f>
        <v>-124762.40000000001</v>
      </c>
      <c r="H33" s="16">
        <f>('Kwh Consumption'!I34+'Kwh Consumption'!J34)*' Kwh area wise $ '!B33</f>
        <v>-38204.600000000006</v>
      </c>
      <c r="I33" s="1">
        <f>('Kwh Consumption'!K34+'Kwh Consumption'!L34)*' Kwh area wise $ '!B33</f>
        <v>-170410.80000000002</v>
      </c>
      <c r="J33" s="1">
        <f>('Kwh Consumption'!M34+'Kwh Consumption'!N34+'Kwh Consumption'!O34+'Kwh Consumption'!P34+'Kwh Consumption'!Q34+'Kwh Consumption'!R34)*' Kwh area wise $ '!B33</f>
        <v>-481549.60000000003</v>
      </c>
      <c r="K33" s="1">
        <f>('Kwh Consumption'!S34+'Kwh Consumption'!T34)*' Kwh area wise $ '!B33</f>
        <v>-2193129.6016000002</v>
      </c>
      <c r="L33" s="1">
        <f>'Kwh Consumption'!U34*' Kwh area wise $ '!B33</f>
        <v>-21193.200000000001</v>
      </c>
      <c r="M33" s="1">
        <f>'Kwh Consumption'!V34*' Kwh area wise $ '!B33</f>
        <v>3453609.8016000004</v>
      </c>
    </row>
    <row r="34" spans="1:14" ht="15.75" x14ac:dyDescent="0.25">
      <c r="A34" s="134" t="s">
        <v>53</v>
      </c>
      <c r="B34" s="134"/>
      <c r="C34" s="75">
        <f t="shared" ref="C34:L34" si="0">SUM(C3:C33)</f>
        <v>96104.399999999951</v>
      </c>
      <c r="D34" s="75">
        <f t="shared" si="0"/>
        <v>-57072.400000000016</v>
      </c>
      <c r="E34" s="75">
        <f t="shared" si="0"/>
        <v>-323134.00000000012</v>
      </c>
      <c r="F34" s="75">
        <f t="shared" si="0"/>
        <v>-31196.200000000004</v>
      </c>
      <c r="G34" s="75">
        <f t="shared" si="0"/>
        <v>-122165.40000000001</v>
      </c>
      <c r="H34" s="75">
        <f t="shared" si="0"/>
        <v>-36397.200000000004</v>
      </c>
      <c r="I34" s="75">
        <f t="shared" si="0"/>
        <v>-163501.80000000002</v>
      </c>
      <c r="J34" s="75">
        <f t="shared" si="0"/>
        <v>-461414.80000000005</v>
      </c>
      <c r="K34" s="75">
        <f t="shared" si="0"/>
        <v>-2169230.3878000001</v>
      </c>
      <c r="L34" s="75">
        <f t="shared" si="0"/>
        <v>-20165.599999999999</v>
      </c>
      <c r="M34" s="75">
        <f>SUM(M3:M33)</f>
        <v>3480382.1878000004</v>
      </c>
      <c r="N34" s="84">
        <f>D34+E34+F34+G34+H34+I34+J34+K34+L34+M34</f>
        <v>96104.399999999907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33" sqref="R3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44348</v>
      </c>
      <c r="B3" s="33">
        <v>160897</v>
      </c>
      <c r="C3" s="56">
        <v>121531</v>
      </c>
      <c r="D3" s="33">
        <v>204645</v>
      </c>
      <c r="E3" s="33">
        <v>245992</v>
      </c>
      <c r="F3" s="33">
        <v>66906</v>
      </c>
      <c r="G3" s="33">
        <v>111170</v>
      </c>
      <c r="H3" s="33">
        <v>51028</v>
      </c>
      <c r="I3" s="33">
        <v>62884</v>
      </c>
      <c r="J3" s="33">
        <v>19755</v>
      </c>
      <c r="K3" s="33">
        <v>1024</v>
      </c>
      <c r="L3" s="33">
        <v>17035</v>
      </c>
      <c r="M3" s="33">
        <v>23724</v>
      </c>
      <c r="N3" s="33">
        <v>7075</v>
      </c>
      <c r="O3" s="33">
        <v>1640</v>
      </c>
      <c r="P3" s="33">
        <v>26689</v>
      </c>
      <c r="Q3" s="33">
        <v>503</v>
      </c>
      <c r="R3" s="33">
        <v>6107</v>
      </c>
    </row>
    <row r="4" spans="1:21" x14ac:dyDescent="0.25">
      <c r="A4" s="54">
        <v>44349</v>
      </c>
      <c r="B4" s="56">
        <v>161062</v>
      </c>
      <c r="C4" s="56">
        <v>121808</v>
      </c>
      <c r="D4" s="55">
        <v>204812</v>
      </c>
      <c r="E4" s="55">
        <v>246049</v>
      </c>
      <c r="F4" s="55">
        <v>66907</v>
      </c>
      <c r="G4" s="55">
        <v>111184</v>
      </c>
      <c r="H4" s="33">
        <v>51123</v>
      </c>
      <c r="I4" s="55">
        <v>63020</v>
      </c>
      <c r="J4" s="55">
        <v>19768</v>
      </c>
      <c r="K4" s="55">
        <v>1024</v>
      </c>
      <c r="L4" s="55">
        <v>17042</v>
      </c>
      <c r="M4" s="55">
        <v>23739</v>
      </c>
      <c r="N4" s="55">
        <v>7078</v>
      </c>
      <c r="O4" s="55">
        <v>1641</v>
      </c>
      <c r="P4" s="55">
        <v>26789</v>
      </c>
      <c r="Q4" s="33">
        <v>505.3</v>
      </c>
      <c r="R4" s="55">
        <v>6111</v>
      </c>
    </row>
    <row r="5" spans="1:21" x14ac:dyDescent="0.25">
      <c r="A5" s="54">
        <v>44350</v>
      </c>
      <c r="B5" s="55">
        <v>161221</v>
      </c>
      <c r="C5" s="33">
        <v>121993</v>
      </c>
      <c r="D5" s="55">
        <v>205001</v>
      </c>
      <c r="E5" s="55">
        <v>246104</v>
      </c>
      <c r="F5" s="55">
        <v>66907</v>
      </c>
      <c r="G5" s="55">
        <v>111198</v>
      </c>
      <c r="H5" s="33">
        <v>51231</v>
      </c>
      <c r="I5" s="55">
        <v>63032</v>
      </c>
      <c r="J5" s="55">
        <v>19781</v>
      </c>
      <c r="K5" s="55">
        <v>1024</v>
      </c>
      <c r="L5" s="55">
        <v>17047</v>
      </c>
      <c r="M5" s="55">
        <v>23755</v>
      </c>
      <c r="N5" s="55">
        <v>7082</v>
      </c>
      <c r="O5" s="55">
        <v>1642</v>
      </c>
      <c r="P5" s="55">
        <v>26789</v>
      </c>
      <c r="Q5" s="33">
        <v>513.70000000000005</v>
      </c>
      <c r="R5" s="55">
        <v>6116</v>
      </c>
    </row>
    <row r="6" spans="1:21" x14ac:dyDescent="0.25">
      <c r="A6" s="54">
        <v>44351</v>
      </c>
      <c r="B6" s="56">
        <v>161337</v>
      </c>
      <c r="C6" s="56">
        <v>122122</v>
      </c>
      <c r="D6" s="55">
        <v>205144</v>
      </c>
      <c r="E6" s="55">
        <v>246168</v>
      </c>
      <c r="F6" s="55">
        <v>66908</v>
      </c>
      <c r="G6" s="55">
        <v>111214</v>
      </c>
      <c r="H6" s="33">
        <v>51312</v>
      </c>
      <c r="I6" s="55">
        <v>63057</v>
      </c>
      <c r="J6" s="55">
        <v>19794</v>
      </c>
      <c r="K6" s="55">
        <v>1024</v>
      </c>
      <c r="L6" s="55">
        <v>17054</v>
      </c>
      <c r="M6" s="55">
        <v>23777</v>
      </c>
      <c r="N6" s="55">
        <v>7085</v>
      </c>
      <c r="O6" s="55">
        <v>1643</v>
      </c>
      <c r="P6" s="55">
        <v>26795</v>
      </c>
      <c r="Q6" s="33">
        <v>515</v>
      </c>
      <c r="R6" s="55">
        <v>6122</v>
      </c>
    </row>
    <row r="7" spans="1:21" x14ac:dyDescent="0.25">
      <c r="A7" s="54">
        <v>44352</v>
      </c>
      <c r="B7" s="56">
        <v>161532</v>
      </c>
      <c r="C7" s="33">
        <v>122374</v>
      </c>
      <c r="D7" s="55">
        <v>205336</v>
      </c>
      <c r="E7" s="55">
        <v>246233</v>
      </c>
      <c r="F7" s="55">
        <v>66908</v>
      </c>
      <c r="G7" s="55">
        <v>111227</v>
      </c>
      <c r="H7" s="33">
        <v>51318</v>
      </c>
      <c r="I7" s="55">
        <v>63066</v>
      </c>
      <c r="J7" s="55">
        <v>19809</v>
      </c>
      <c r="K7" s="55">
        <v>1024</v>
      </c>
      <c r="L7" s="55">
        <v>17061</v>
      </c>
      <c r="M7" s="55">
        <v>23784</v>
      </c>
      <c r="N7" s="55">
        <v>7087</v>
      </c>
      <c r="O7" s="55">
        <v>1644</v>
      </c>
      <c r="P7" s="55">
        <v>26799</v>
      </c>
      <c r="Q7" s="33">
        <v>579</v>
      </c>
      <c r="R7" s="55">
        <v>6124</v>
      </c>
    </row>
    <row r="8" spans="1:21" x14ac:dyDescent="0.25">
      <c r="A8" s="54">
        <v>44353</v>
      </c>
      <c r="B8" s="33">
        <v>161708</v>
      </c>
      <c r="C8" s="56">
        <v>122553</v>
      </c>
      <c r="D8" s="55">
        <v>205574</v>
      </c>
      <c r="E8" s="55">
        <v>246298</v>
      </c>
      <c r="F8" s="55">
        <v>66909</v>
      </c>
      <c r="G8" s="55">
        <v>111235</v>
      </c>
      <c r="H8" s="33">
        <v>51441</v>
      </c>
      <c r="I8" s="55">
        <v>63089</v>
      </c>
      <c r="J8" s="55">
        <v>19825</v>
      </c>
      <c r="K8" s="55">
        <v>1024</v>
      </c>
      <c r="L8" s="55">
        <v>17067</v>
      </c>
      <c r="M8" s="55">
        <v>23797</v>
      </c>
      <c r="N8" s="55">
        <v>7092</v>
      </c>
      <c r="O8" s="55">
        <v>1645</v>
      </c>
      <c r="P8" s="55">
        <v>26812</v>
      </c>
      <c r="Q8" s="33">
        <v>521</v>
      </c>
      <c r="R8" s="55">
        <v>6128</v>
      </c>
    </row>
    <row r="9" spans="1:21" x14ac:dyDescent="0.25">
      <c r="A9" s="54">
        <v>44354</v>
      </c>
      <c r="B9" s="33">
        <v>162036</v>
      </c>
      <c r="C9" s="33">
        <v>122867</v>
      </c>
      <c r="D9" s="55">
        <v>205728</v>
      </c>
      <c r="E9" s="55">
        <v>246365</v>
      </c>
      <c r="F9" s="55">
        <v>66910</v>
      </c>
      <c r="G9" s="55">
        <v>111253</v>
      </c>
      <c r="H9" s="33">
        <v>51517</v>
      </c>
      <c r="I9" s="55">
        <v>63119</v>
      </c>
      <c r="J9" s="55">
        <v>19841</v>
      </c>
      <c r="K9" s="55">
        <v>1024</v>
      </c>
      <c r="L9" s="55">
        <v>17074</v>
      </c>
      <c r="M9" s="55">
        <v>23813</v>
      </c>
      <c r="N9" s="55">
        <v>7094</v>
      </c>
      <c r="O9" s="55">
        <v>1646</v>
      </c>
      <c r="P9" s="55">
        <v>26830</v>
      </c>
      <c r="Q9" s="33">
        <v>529</v>
      </c>
      <c r="R9" s="55">
        <v>6131</v>
      </c>
    </row>
    <row r="10" spans="1:21" x14ac:dyDescent="0.25">
      <c r="A10" s="54">
        <v>44355</v>
      </c>
      <c r="B10" s="33">
        <v>162367</v>
      </c>
      <c r="C10" s="56">
        <v>123131</v>
      </c>
      <c r="D10" s="55">
        <v>205904</v>
      </c>
      <c r="E10" s="55">
        <v>246437</v>
      </c>
      <c r="F10" s="55">
        <v>66911</v>
      </c>
      <c r="G10" s="55">
        <v>111266</v>
      </c>
      <c r="H10" s="33">
        <v>51598</v>
      </c>
      <c r="I10" s="55">
        <v>63140</v>
      </c>
      <c r="J10" s="55">
        <v>19857</v>
      </c>
      <c r="K10" s="55">
        <v>1024</v>
      </c>
      <c r="L10" s="55">
        <v>17080</v>
      </c>
      <c r="M10" s="55">
        <v>238298</v>
      </c>
      <c r="N10" s="55">
        <v>7099</v>
      </c>
      <c r="O10" s="55">
        <v>1646</v>
      </c>
      <c r="P10" s="55">
        <v>26837</v>
      </c>
      <c r="Q10" s="33">
        <v>535</v>
      </c>
      <c r="R10" s="55">
        <v>6135</v>
      </c>
    </row>
    <row r="11" spans="1:21" x14ac:dyDescent="0.25">
      <c r="A11" s="54">
        <v>44356</v>
      </c>
      <c r="B11" s="33">
        <v>162677</v>
      </c>
      <c r="C11" s="33">
        <v>123466</v>
      </c>
      <c r="D11" s="55">
        <v>206120</v>
      </c>
      <c r="E11" s="55">
        <v>246505</v>
      </c>
      <c r="F11" s="55">
        <v>66912</v>
      </c>
      <c r="G11" s="55">
        <v>111278</v>
      </c>
      <c r="H11" s="33">
        <v>51665</v>
      </c>
      <c r="I11" s="55">
        <v>63148</v>
      </c>
      <c r="J11" s="55">
        <v>19873</v>
      </c>
      <c r="K11" s="55">
        <v>1024</v>
      </c>
      <c r="L11" s="55">
        <v>17087</v>
      </c>
      <c r="M11" s="55">
        <v>23843</v>
      </c>
      <c r="N11" s="55">
        <v>7110</v>
      </c>
      <c r="O11" s="55">
        <v>1649</v>
      </c>
      <c r="P11" s="55">
        <v>26837</v>
      </c>
      <c r="Q11" s="33">
        <v>536</v>
      </c>
      <c r="R11" s="55">
        <v>6138</v>
      </c>
    </row>
    <row r="12" spans="1:21" x14ac:dyDescent="0.25">
      <c r="A12" s="54">
        <v>44357</v>
      </c>
      <c r="B12" s="33">
        <v>162883</v>
      </c>
      <c r="C12" s="56">
        <v>123604</v>
      </c>
      <c r="D12" s="55">
        <v>206277</v>
      </c>
      <c r="E12" s="55">
        <v>246570</v>
      </c>
      <c r="F12" s="55">
        <v>66913</v>
      </c>
      <c r="G12" s="55">
        <v>111291</v>
      </c>
      <c r="H12" s="33">
        <v>51724</v>
      </c>
      <c r="I12" s="55">
        <v>63173</v>
      </c>
      <c r="J12" s="55">
        <v>19890</v>
      </c>
      <c r="K12" s="55">
        <v>1024</v>
      </c>
      <c r="L12" s="55">
        <v>17094</v>
      </c>
      <c r="M12" s="55">
        <v>23858</v>
      </c>
      <c r="N12" s="55">
        <v>7118</v>
      </c>
      <c r="O12" s="55">
        <v>1650</v>
      </c>
      <c r="P12" s="55">
        <v>26852</v>
      </c>
      <c r="Q12" s="33">
        <v>541</v>
      </c>
      <c r="R12" s="55">
        <v>6142</v>
      </c>
    </row>
    <row r="13" spans="1:21" x14ac:dyDescent="0.25">
      <c r="A13" s="54">
        <v>44358</v>
      </c>
      <c r="B13" s="33">
        <v>163035</v>
      </c>
      <c r="C13" s="33">
        <v>123927</v>
      </c>
      <c r="D13" s="55">
        <v>206400</v>
      </c>
      <c r="E13" s="55">
        <v>246636</v>
      </c>
      <c r="F13" s="55">
        <v>66913</v>
      </c>
      <c r="G13" s="55">
        <v>111309</v>
      </c>
      <c r="H13" s="33">
        <v>51793</v>
      </c>
      <c r="I13" s="55">
        <v>63197</v>
      </c>
      <c r="J13" s="55">
        <v>19906</v>
      </c>
      <c r="K13" s="55">
        <v>1024</v>
      </c>
      <c r="L13" s="55">
        <v>17100</v>
      </c>
      <c r="M13" s="55">
        <v>23877</v>
      </c>
      <c r="N13" s="55">
        <v>7131</v>
      </c>
      <c r="O13" s="55">
        <v>1652</v>
      </c>
      <c r="P13" s="55">
        <v>26859</v>
      </c>
      <c r="Q13" s="33">
        <v>542</v>
      </c>
      <c r="R13" s="55">
        <v>6146</v>
      </c>
    </row>
    <row r="14" spans="1:21" x14ac:dyDescent="0.25">
      <c r="A14" s="54">
        <v>44359</v>
      </c>
      <c r="B14" s="33">
        <v>163126</v>
      </c>
      <c r="C14" s="56">
        <v>124130</v>
      </c>
      <c r="D14" s="55">
        <v>206514</v>
      </c>
      <c r="E14" s="55">
        <v>246698</v>
      </c>
      <c r="F14" s="55">
        <v>66914</v>
      </c>
      <c r="G14" s="55">
        <v>111326</v>
      </c>
      <c r="H14" s="33">
        <v>51856</v>
      </c>
      <c r="I14" s="55">
        <v>63216</v>
      </c>
      <c r="J14" s="55">
        <v>19924</v>
      </c>
      <c r="K14" s="55">
        <v>1024</v>
      </c>
      <c r="L14" s="55">
        <v>17107</v>
      </c>
      <c r="M14" s="55">
        <v>23888</v>
      </c>
      <c r="N14" s="55">
        <v>7140</v>
      </c>
      <c r="O14" s="55">
        <v>1652</v>
      </c>
      <c r="P14" s="55">
        <v>26863</v>
      </c>
      <c r="Q14" s="33">
        <v>544</v>
      </c>
      <c r="R14" s="55">
        <v>6147</v>
      </c>
    </row>
    <row r="15" spans="1:21" x14ac:dyDescent="0.25">
      <c r="A15" s="54">
        <v>44360</v>
      </c>
      <c r="B15" s="33">
        <v>164135</v>
      </c>
      <c r="C15" s="33">
        <v>124437</v>
      </c>
      <c r="D15" s="55">
        <v>206612</v>
      </c>
      <c r="E15" s="55">
        <v>246756</v>
      </c>
      <c r="F15" s="55">
        <v>66915</v>
      </c>
      <c r="G15" s="55">
        <v>111340</v>
      </c>
      <c r="H15" s="33">
        <v>51921</v>
      </c>
      <c r="I15" s="55">
        <v>63243</v>
      </c>
      <c r="J15" s="55">
        <v>19941</v>
      </c>
      <c r="K15" s="55">
        <v>1024</v>
      </c>
      <c r="L15" s="55">
        <v>17113</v>
      </c>
      <c r="M15" s="55">
        <v>23902</v>
      </c>
      <c r="N15" s="55">
        <v>7152</v>
      </c>
      <c r="O15" s="55">
        <v>1652</v>
      </c>
      <c r="P15" s="55">
        <v>26879</v>
      </c>
      <c r="Q15" s="33">
        <v>551</v>
      </c>
      <c r="R15" s="55">
        <v>6153</v>
      </c>
      <c r="T15" s="110"/>
      <c r="U15" s="110"/>
    </row>
    <row r="16" spans="1:21" x14ac:dyDescent="0.25">
      <c r="A16" s="54">
        <v>44361</v>
      </c>
      <c r="B16" s="33">
        <v>164329</v>
      </c>
      <c r="C16" s="56">
        <v>124453</v>
      </c>
      <c r="D16" s="55">
        <v>206833</v>
      </c>
      <c r="E16" s="55">
        <v>246819</v>
      </c>
      <c r="F16" s="55">
        <v>66916</v>
      </c>
      <c r="G16" s="55">
        <v>111358</v>
      </c>
      <c r="H16" s="33">
        <v>51927</v>
      </c>
      <c r="I16" s="55">
        <v>63278</v>
      </c>
      <c r="J16" s="55">
        <v>19960</v>
      </c>
      <c r="K16" s="55">
        <v>1024</v>
      </c>
      <c r="L16" s="55">
        <v>17121</v>
      </c>
      <c r="M16" s="55">
        <v>23915</v>
      </c>
      <c r="N16" s="55">
        <v>7166</v>
      </c>
      <c r="O16" s="55">
        <v>1653</v>
      </c>
      <c r="P16" s="55">
        <v>26891</v>
      </c>
      <c r="Q16" s="33">
        <v>556</v>
      </c>
      <c r="R16" s="55">
        <v>6158</v>
      </c>
    </row>
    <row r="17" spans="1:22" x14ac:dyDescent="0.25">
      <c r="A17" s="54">
        <v>44362</v>
      </c>
      <c r="B17" s="33">
        <v>164560</v>
      </c>
      <c r="C17" s="33">
        <v>124460</v>
      </c>
      <c r="D17" s="55">
        <v>206953</v>
      </c>
      <c r="E17" s="55">
        <v>246873</v>
      </c>
      <c r="F17" s="55">
        <v>66917</v>
      </c>
      <c r="G17" s="55">
        <v>111373</v>
      </c>
      <c r="H17" s="33">
        <v>52048</v>
      </c>
      <c r="I17" s="55">
        <v>63304</v>
      </c>
      <c r="J17" s="55">
        <v>19978</v>
      </c>
      <c r="K17" s="55">
        <v>1024</v>
      </c>
      <c r="L17" s="55">
        <v>17127</v>
      </c>
      <c r="M17" s="55">
        <v>23928</v>
      </c>
      <c r="N17" s="55">
        <v>7176</v>
      </c>
      <c r="O17" s="55">
        <v>1654</v>
      </c>
      <c r="P17" s="55">
        <v>26901</v>
      </c>
      <c r="Q17" s="33">
        <v>562</v>
      </c>
      <c r="R17" s="55">
        <v>6161</v>
      </c>
    </row>
    <row r="18" spans="1:22" x14ac:dyDescent="0.25">
      <c r="A18" s="54">
        <v>44363</v>
      </c>
      <c r="B18" s="33">
        <v>164877</v>
      </c>
      <c r="C18" s="56">
        <v>124468</v>
      </c>
      <c r="D18" s="55">
        <v>207095</v>
      </c>
      <c r="E18" s="55">
        <v>246932</v>
      </c>
      <c r="F18" s="55">
        <v>66918</v>
      </c>
      <c r="G18" s="55">
        <v>111388</v>
      </c>
      <c r="H18" s="33">
        <v>52143</v>
      </c>
      <c r="I18" s="55">
        <v>63329</v>
      </c>
      <c r="J18" s="33">
        <v>19996</v>
      </c>
      <c r="K18" s="55">
        <v>1024</v>
      </c>
      <c r="L18" s="55">
        <v>17133</v>
      </c>
      <c r="M18" s="55">
        <v>23944</v>
      </c>
      <c r="N18" s="55">
        <v>7187</v>
      </c>
      <c r="O18" s="55">
        <v>1655</v>
      </c>
      <c r="P18" s="55">
        <v>26915</v>
      </c>
      <c r="Q18" s="33">
        <v>563</v>
      </c>
      <c r="R18" s="55">
        <v>6165</v>
      </c>
      <c r="U18" s="110"/>
    </row>
    <row r="19" spans="1:22" x14ac:dyDescent="0.25">
      <c r="A19" s="54">
        <v>44364</v>
      </c>
      <c r="B19" s="33">
        <v>165030</v>
      </c>
      <c r="C19" s="33">
        <v>125197</v>
      </c>
      <c r="D19" s="55">
        <v>207244</v>
      </c>
      <c r="E19" s="55">
        <v>246994</v>
      </c>
      <c r="F19" s="55">
        <v>66919</v>
      </c>
      <c r="G19" s="55">
        <v>111404</v>
      </c>
      <c r="H19" s="33">
        <v>52210</v>
      </c>
      <c r="I19" s="55">
        <v>63340</v>
      </c>
      <c r="J19" s="55">
        <v>20013</v>
      </c>
      <c r="K19" s="55">
        <v>1024</v>
      </c>
      <c r="L19" s="55">
        <v>17140</v>
      </c>
      <c r="M19" s="55">
        <v>23959</v>
      </c>
      <c r="N19" s="55">
        <v>7197</v>
      </c>
      <c r="O19" s="55">
        <v>1656</v>
      </c>
      <c r="P19" s="55">
        <v>26915</v>
      </c>
      <c r="Q19" s="33">
        <v>571</v>
      </c>
      <c r="R19" s="55">
        <v>6170</v>
      </c>
    </row>
    <row r="20" spans="1:22" x14ac:dyDescent="0.25">
      <c r="A20" s="54">
        <v>44365</v>
      </c>
      <c r="B20" s="33">
        <v>165111</v>
      </c>
      <c r="C20" s="56">
        <v>125439</v>
      </c>
      <c r="D20" s="10">
        <v>207405</v>
      </c>
      <c r="E20" s="55">
        <v>247090</v>
      </c>
      <c r="F20" s="55">
        <v>66919</v>
      </c>
      <c r="G20" s="55">
        <v>111422</v>
      </c>
      <c r="H20" s="33">
        <v>52252</v>
      </c>
      <c r="I20" s="55">
        <v>63371</v>
      </c>
      <c r="J20" s="55">
        <v>20034</v>
      </c>
      <c r="K20" s="55">
        <v>1024</v>
      </c>
      <c r="L20" s="55">
        <v>17144</v>
      </c>
      <c r="M20" s="55">
        <v>23976</v>
      </c>
      <c r="N20" s="55">
        <v>7205</v>
      </c>
      <c r="O20" s="55">
        <v>1657</v>
      </c>
      <c r="P20" s="55">
        <v>26930</v>
      </c>
      <c r="Q20" s="33">
        <v>577</v>
      </c>
      <c r="R20" s="55">
        <v>6174</v>
      </c>
    </row>
    <row r="21" spans="1:22" x14ac:dyDescent="0.25">
      <c r="A21" s="54">
        <v>44366</v>
      </c>
      <c r="B21" s="33">
        <v>165363</v>
      </c>
      <c r="C21" s="33">
        <v>125484</v>
      </c>
      <c r="D21" s="55">
        <v>207548</v>
      </c>
      <c r="E21" s="55">
        <v>247193</v>
      </c>
      <c r="F21" s="55">
        <v>66921</v>
      </c>
      <c r="G21" s="55">
        <v>111439</v>
      </c>
      <c r="H21" s="33">
        <v>52307</v>
      </c>
      <c r="I21" s="55">
        <v>63384</v>
      </c>
      <c r="J21" s="55">
        <v>20050</v>
      </c>
      <c r="K21" s="55">
        <v>1024</v>
      </c>
      <c r="L21" s="55">
        <v>17150</v>
      </c>
      <c r="M21" s="55">
        <v>23983</v>
      </c>
      <c r="N21" s="55">
        <v>7213</v>
      </c>
      <c r="O21" s="55">
        <v>1658</v>
      </c>
      <c r="P21" s="55">
        <v>26930</v>
      </c>
      <c r="Q21" s="33">
        <v>579</v>
      </c>
      <c r="R21" s="55">
        <v>6175</v>
      </c>
    </row>
    <row r="22" spans="1:22" x14ac:dyDescent="0.25">
      <c r="A22" s="54">
        <v>44367</v>
      </c>
      <c r="B22" s="33">
        <v>165531</v>
      </c>
      <c r="C22" s="56">
        <v>125812</v>
      </c>
      <c r="D22" s="55">
        <v>207687</v>
      </c>
      <c r="E22" s="55">
        <v>247244</v>
      </c>
      <c r="F22" s="55">
        <v>66922</v>
      </c>
      <c r="G22" s="55">
        <v>111453</v>
      </c>
      <c r="H22" s="33">
        <v>52382</v>
      </c>
      <c r="I22" s="55">
        <v>63411</v>
      </c>
      <c r="J22" s="55">
        <v>20067</v>
      </c>
      <c r="K22" s="55">
        <v>1024</v>
      </c>
      <c r="L22" s="55">
        <v>17157</v>
      </c>
      <c r="M22" s="55">
        <v>23998</v>
      </c>
      <c r="N22" s="55">
        <v>7223</v>
      </c>
      <c r="O22" s="55">
        <v>1659</v>
      </c>
      <c r="P22" s="55">
        <v>26942</v>
      </c>
      <c r="Q22" s="33">
        <v>580</v>
      </c>
      <c r="R22" s="55">
        <v>6180</v>
      </c>
    </row>
    <row r="23" spans="1:22" x14ac:dyDescent="0.25">
      <c r="A23" s="54">
        <v>44368</v>
      </c>
      <c r="B23" s="33">
        <v>165625</v>
      </c>
      <c r="C23" s="33">
        <v>126142</v>
      </c>
      <c r="D23" s="55">
        <v>207832</v>
      </c>
      <c r="E23" s="55">
        <v>247297</v>
      </c>
      <c r="F23" s="55">
        <v>66922</v>
      </c>
      <c r="G23" s="55">
        <v>111469</v>
      </c>
      <c r="H23" s="33">
        <v>52440</v>
      </c>
      <c r="I23" s="55">
        <v>63436</v>
      </c>
      <c r="J23" s="55">
        <v>20087</v>
      </c>
      <c r="K23" s="55">
        <v>1024</v>
      </c>
      <c r="L23" s="55">
        <v>17163</v>
      </c>
      <c r="M23" s="55">
        <v>24108</v>
      </c>
      <c r="N23" s="55">
        <v>7237</v>
      </c>
      <c r="O23" s="55">
        <v>1659</v>
      </c>
      <c r="P23" s="55">
        <v>26954</v>
      </c>
      <c r="Q23" s="33">
        <v>591</v>
      </c>
      <c r="R23" s="55">
        <v>6186</v>
      </c>
    </row>
    <row r="24" spans="1:22" x14ac:dyDescent="0.25">
      <c r="A24" s="54">
        <v>44369</v>
      </c>
      <c r="B24" s="33">
        <v>165754</v>
      </c>
      <c r="C24" s="56">
        <v>126470</v>
      </c>
      <c r="D24" s="55">
        <v>207981</v>
      </c>
      <c r="E24" s="55">
        <v>247352</v>
      </c>
      <c r="F24" s="55">
        <v>66923</v>
      </c>
      <c r="G24" s="55">
        <v>111487</v>
      </c>
      <c r="H24" s="33">
        <v>52485</v>
      </c>
      <c r="I24" s="55">
        <v>63466</v>
      </c>
      <c r="J24" s="55">
        <v>20106</v>
      </c>
      <c r="K24" s="55">
        <v>1024</v>
      </c>
      <c r="L24" s="55">
        <v>17170</v>
      </c>
      <c r="M24" s="55">
        <v>24025</v>
      </c>
      <c r="N24" s="55">
        <v>7239</v>
      </c>
      <c r="O24" s="55">
        <v>1660</v>
      </c>
      <c r="P24" s="55">
        <v>26966</v>
      </c>
      <c r="Q24" s="33">
        <v>599</v>
      </c>
      <c r="R24" s="55">
        <v>6190</v>
      </c>
    </row>
    <row r="25" spans="1:22" x14ac:dyDescent="0.25">
      <c r="A25" s="54">
        <v>44370</v>
      </c>
      <c r="B25" s="33">
        <v>165909</v>
      </c>
      <c r="C25" s="33">
        <v>126525</v>
      </c>
      <c r="D25" s="55">
        <v>208153</v>
      </c>
      <c r="E25" s="55">
        <v>247420</v>
      </c>
      <c r="F25" s="55">
        <v>66924</v>
      </c>
      <c r="G25" s="55">
        <v>111503</v>
      </c>
      <c r="H25" s="33">
        <v>52559</v>
      </c>
      <c r="I25" s="55">
        <v>63479</v>
      </c>
      <c r="J25" s="55">
        <v>20125</v>
      </c>
      <c r="K25" s="55">
        <v>1024</v>
      </c>
      <c r="L25" s="55">
        <v>17175</v>
      </c>
      <c r="M25" s="55">
        <v>24040</v>
      </c>
      <c r="N25" s="55">
        <v>7247</v>
      </c>
      <c r="O25" s="55">
        <v>1662</v>
      </c>
      <c r="P25" s="55">
        <v>26966</v>
      </c>
      <c r="Q25" s="33">
        <v>601</v>
      </c>
      <c r="R25" s="55">
        <v>6196</v>
      </c>
    </row>
    <row r="26" spans="1:22" x14ac:dyDescent="0.25">
      <c r="A26" s="54">
        <v>44371</v>
      </c>
      <c r="B26" s="33">
        <v>166258</v>
      </c>
      <c r="C26" s="56">
        <v>126537</v>
      </c>
      <c r="D26" s="55">
        <v>208281</v>
      </c>
      <c r="E26" s="55">
        <v>247478</v>
      </c>
      <c r="F26" s="55">
        <v>66924</v>
      </c>
      <c r="G26" s="55">
        <v>111520</v>
      </c>
      <c r="H26" s="33">
        <v>52611</v>
      </c>
      <c r="I26" s="55">
        <v>63503</v>
      </c>
      <c r="J26" s="55">
        <v>20145</v>
      </c>
      <c r="K26" s="55">
        <v>1024</v>
      </c>
      <c r="L26" s="55">
        <v>17182</v>
      </c>
      <c r="M26" s="55">
        <v>24055</v>
      </c>
      <c r="N26" s="55">
        <v>7255</v>
      </c>
      <c r="O26" s="55">
        <v>1664</v>
      </c>
      <c r="P26" s="55">
        <v>26982</v>
      </c>
      <c r="Q26" s="33">
        <v>618</v>
      </c>
      <c r="R26" s="55">
        <v>6200</v>
      </c>
    </row>
    <row r="27" spans="1:22" x14ac:dyDescent="0.25">
      <c r="A27" s="54">
        <v>44372</v>
      </c>
      <c r="B27" s="33">
        <v>166438</v>
      </c>
      <c r="C27" s="33">
        <v>127192</v>
      </c>
      <c r="D27" s="55">
        <v>208451</v>
      </c>
      <c r="E27" s="55">
        <v>247534</v>
      </c>
      <c r="F27" s="55">
        <v>66925</v>
      </c>
      <c r="G27" s="55">
        <v>111535</v>
      </c>
      <c r="H27" s="33">
        <v>52651</v>
      </c>
      <c r="I27" s="55">
        <v>63533</v>
      </c>
      <c r="J27" s="55">
        <v>20164</v>
      </c>
      <c r="K27" s="55">
        <v>1024</v>
      </c>
      <c r="L27" s="55">
        <v>17188</v>
      </c>
      <c r="M27" s="55">
        <v>24070</v>
      </c>
      <c r="N27" s="55">
        <v>7265</v>
      </c>
      <c r="O27" s="55">
        <v>1664</v>
      </c>
      <c r="P27" s="55">
        <v>26995</v>
      </c>
      <c r="Q27" s="33">
        <v>620</v>
      </c>
      <c r="R27" s="55">
        <v>6204</v>
      </c>
    </row>
    <row r="28" spans="1:22" x14ac:dyDescent="0.25">
      <c r="A28" s="54">
        <v>44373</v>
      </c>
      <c r="B28" s="33">
        <v>167270</v>
      </c>
      <c r="C28" s="56">
        <v>127277</v>
      </c>
      <c r="D28" s="55">
        <v>208640</v>
      </c>
      <c r="E28" s="55">
        <v>247593</v>
      </c>
      <c r="F28" s="55">
        <v>66928</v>
      </c>
      <c r="G28" s="55">
        <v>111555</v>
      </c>
      <c r="H28" s="33">
        <v>52704</v>
      </c>
      <c r="I28" s="55">
        <v>63546</v>
      </c>
      <c r="J28" s="55">
        <v>20185</v>
      </c>
      <c r="K28" s="55">
        <v>1024</v>
      </c>
      <c r="L28" s="55">
        <v>17197</v>
      </c>
      <c r="M28" s="55">
        <v>24085</v>
      </c>
      <c r="N28" s="55">
        <v>7273</v>
      </c>
      <c r="O28" s="55">
        <v>1665</v>
      </c>
      <c r="P28" s="55">
        <v>26995</v>
      </c>
      <c r="Q28" s="33">
        <v>624</v>
      </c>
      <c r="R28" s="55">
        <v>6206</v>
      </c>
    </row>
    <row r="29" spans="1:22" x14ac:dyDescent="0.25">
      <c r="A29" s="54">
        <v>44374</v>
      </c>
      <c r="B29" s="33">
        <v>167521</v>
      </c>
      <c r="C29" s="33">
        <v>127328</v>
      </c>
      <c r="D29" s="55">
        <v>208772</v>
      </c>
      <c r="E29" s="55">
        <v>247640</v>
      </c>
      <c r="F29" s="55">
        <v>66926</v>
      </c>
      <c r="G29" s="55">
        <v>111569</v>
      </c>
      <c r="H29" s="33">
        <v>52754</v>
      </c>
      <c r="I29" s="10">
        <v>63598</v>
      </c>
      <c r="J29" s="55">
        <v>20203</v>
      </c>
      <c r="K29" s="55">
        <v>1024</v>
      </c>
      <c r="L29" s="55">
        <v>17203</v>
      </c>
      <c r="M29" s="55">
        <v>24099</v>
      </c>
      <c r="N29" s="55">
        <v>7279</v>
      </c>
      <c r="O29" s="55">
        <v>1666</v>
      </c>
      <c r="P29" s="55">
        <v>26995</v>
      </c>
      <c r="Q29" s="55">
        <v>626</v>
      </c>
      <c r="R29" s="55">
        <v>6212</v>
      </c>
    </row>
    <row r="30" spans="1:22" x14ac:dyDescent="0.25">
      <c r="A30" s="54">
        <v>44375</v>
      </c>
      <c r="B30" s="33">
        <v>167841</v>
      </c>
      <c r="C30" s="56">
        <v>127484</v>
      </c>
      <c r="D30" s="55">
        <v>208940</v>
      </c>
      <c r="E30" s="55">
        <v>247693</v>
      </c>
      <c r="F30" s="55">
        <v>66927</v>
      </c>
      <c r="G30" s="55">
        <v>111588</v>
      </c>
      <c r="H30" s="33">
        <v>52799</v>
      </c>
      <c r="I30" s="55">
        <v>63570</v>
      </c>
      <c r="J30" s="55">
        <v>20223</v>
      </c>
      <c r="K30" s="55">
        <v>1024</v>
      </c>
      <c r="L30" s="55">
        <v>17209</v>
      </c>
      <c r="M30" s="55">
        <v>24003</v>
      </c>
      <c r="N30" s="55">
        <v>7285</v>
      </c>
      <c r="O30" s="55">
        <v>1667</v>
      </c>
      <c r="P30" s="55">
        <v>26995</v>
      </c>
      <c r="Q30" s="55">
        <v>630</v>
      </c>
      <c r="R30" s="55">
        <v>6215</v>
      </c>
    </row>
    <row r="31" spans="1:22" x14ac:dyDescent="0.25">
      <c r="A31" s="54">
        <v>44376</v>
      </c>
      <c r="B31" s="33">
        <v>168296</v>
      </c>
      <c r="C31" s="33">
        <v>127534</v>
      </c>
      <c r="D31" s="55">
        <v>209058</v>
      </c>
      <c r="E31" s="10">
        <v>247750</v>
      </c>
      <c r="F31" s="55">
        <v>66927</v>
      </c>
      <c r="G31" s="55">
        <v>111611</v>
      </c>
      <c r="H31" s="33">
        <v>52852</v>
      </c>
      <c r="I31" s="55">
        <v>63599</v>
      </c>
      <c r="J31" s="10">
        <v>20244</v>
      </c>
      <c r="K31" s="55">
        <v>1024</v>
      </c>
      <c r="L31" s="55">
        <v>17216</v>
      </c>
      <c r="M31" s="55">
        <v>24130</v>
      </c>
      <c r="N31" s="55">
        <v>7287</v>
      </c>
      <c r="O31" s="55">
        <v>1667</v>
      </c>
      <c r="P31" s="55">
        <v>27008</v>
      </c>
      <c r="Q31" s="55">
        <v>635</v>
      </c>
      <c r="R31" s="55">
        <v>6221</v>
      </c>
      <c r="S31" s="57"/>
      <c r="T31" s="57"/>
      <c r="U31" s="57"/>
      <c r="V31" s="57"/>
    </row>
    <row r="32" spans="1:22" x14ac:dyDescent="0.25">
      <c r="A32" s="54">
        <v>44377</v>
      </c>
      <c r="B32" s="33">
        <v>168569</v>
      </c>
      <c r="C32" s="56">
        <v>127664</v>
      </c>
      <c r="D32" s="55">
        <v>209181</v>
      </c>
      <c r="E32" s="55">
        <v>247801</v>
      </c>
      <c r="F32" s="55">
        <v>66928</v>
      </c>
      <c r="G32" s="55">
        <v>111626</v>
      </c>
      <c r="H32" s="56">
        <v>52878</v>
      </c>
      <c r="I32" s="33">
        <v>63610</v>
      </c>
      <c r="J32" s="55">
        <v>20262</v>
      </c>
      <c r="K32" s="55">
        <v>1024</v>
      </c>
      <c r="L32" s="55">
        <v>17224</v>
      </c>
      <c r="M32" s="55">
        <v>24144</v>
      </c>
      <c r="N32" s="55">
        <v>7292</v>
      </c>
      <c r="O32" s="55">
        <v>1668</v>
      </c>
      <c r="P32" s="55">
        <v>27008</v>
      </c>
      <c r="Q32" s="55">
        <v>639</v>
      </c>
      <c r="R32" s="55">
        <v>6225</v>
      </c>
      <c r="S32" s="58"/>
      <c r="T32" s="57"/>
      <c r="U32" s="57"/>
      <c r="V32" s="57"/>
    </row>
    <row r="33" spans="1:22" x14ac:dyDescent="0.25">
      <c r="A33" s="54">
        <v>44378</v>
      </c>
      <c r="B33" s="33">
        <v>169330</v>
      </c>
      <c r="C33" s="33">
        <v>128135</v>
      </c>
      <c r="D33" s="55">
        <v>209296</v>
      </c>
      <c r="E33" s="55">
        <v>247852</v>
      </c>
      <c r="F33" s="55">
        <v>66928</v>
      </c>
      <c r="G33" s="55">
        <v>111641</v>
      </c>
      <c r="H33" s="56">
        <v>52942</v>
      </c>
      <c r="I33" s="33">
        <v>63628</v>
      </c>
      <c r="J33" s="55">
        <v>20282</v>
      </c>
      <c r="K33" s="55">
        <v>1024</v>
      </c>
      <c r="L33" s="55">
        <v>17229</v>
      </c>
      <c r="M33" s="55">
        <v>24158</v>
      </c>
      <c r="N33" s="55">
        <v>7292</v>
      </c>
      <c r="O33" s="55">
        <v>1670</v>
      </c>
      <c r="P33" s="55">
        <v>27014</v>
      </c>
      <c r="Q33" s="55">
        <v>641.5</v>
      </c>
      <c r="R33" s="55">
        <v>6229</v>
      </c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H40" sqref="H4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44348</v>
      </c>
      <c r="B4" s="65">
        <v>469</v>
      </c>
      <c r="C4" s="66">
        <f>('Water Reading'!B4-'Water Reading'!B3)+('Water Reading'!C4-'Water Reading'!C3)</f>
        <v>442</v>
      </c>
      <c r="D4" s="67">
        <f>C4/B4</f>
        <v>0.94243070362473347</v>
      </c>
      <c r="E4" s="88">
        <f>'Water Reading'!H4-'Water Reading'!H3</f>
        <v>95</v>
      </c>
      <c r="F4" s="89">
        <f>E4/C4</f>
        <v>0.21493212669683259</v>
      </c>
      <c r="G4" s="93">
        <f>('Water Reading'!D4-'Water Reading'!D3)-('Water Reading'!R4-'Water Reading'!R3)-('Water Reading'!Q4-'Water Reading'!Q3)</f>
        <v>160.69999999999999</v>
      </c>
      <c r="H4" s="89">
        <f>G4/C4</f>
        <v>0.36357466063348415</v>
      </c>
      <c r="I4" s="90">
        <f>'Water Reading'!P4-'Water Reading'!P3</f>
        <v>100</v>
      </c>
      <c r="J4" s="68">
        <f>I4/C4</f>
        <v>0.22624434389140272</v>
      </c>
      <c r="K4" s="91">
        <f>('Water Reading'!I4-'Water Reading'!I3)-('Water Reading'!P4-'Water Reading'!P3)</f>
        <v>36</v>
      </c>
      <c r="L4" s="68">
        <f>K4/C4</f>
        <v>8.1447963800904979E-2</v>
      </c>
      <c r="M4" s="90">
        <f>'Water Reading'!R4-'Water Reading'!R3</f>
        <v>4</v>
      </c>
      <c r="N4" s="92">
        <f>M4/C4</f>
        <v>9.0497737556561094E-3</v>
      </c>
      <c r="O4" s="90">
        <f>'Water Reading'!Q4-'Water Reading'!Q3</f>
        <v>2.3000000000000114</v>
      </c>
      <c r="P4" s="99">
        <f>O4/C4</f>
        <v>5.2036199095022882E-3</v>
      </c>
      <c r="Q4" s="91">
        <f>'Water Reading'!F4-'Water Reading'!F3</f>
        <v>1</v>
      </c>
      <c r="R4" s="100">
        <f>Q4/C4</f>
        <v>2.2624434389140274E-3</v>
      </c>
      <c r="S4" s="90">
        <f>'Water Reading'!E4-'Water Reading'!E3</f>
        <v>57</v>
      </c>
      <c r="T4" s="100">
        <f>S4/C4</f>
        <v>0.12895927601809956</v>
      </c>
      <c r="U4" s="90">
        <f>'Water Reading'!G4-'Water Reading'!G3</f>
        <v>14</v>
      </c>
      <c r="V4" s="100">
        <f>U4/C4</f>
        <v>3.1674208144796379E-2</v>
      </c>
      <c r="W4" s="90">
        <f>'Water Reading'!J4-'Water Reading'!J3</f>
        <v>13</v>
      </c>
      <c r="X4" s="100">
        <f>W4/C4</f>
        <v>2.9411764705882353E-2</v>
      </c>
      <c r="Y4" s="66">
        <f t="shared" ref="Y4:Y34" si="0">E4+I4+K4+M4+O4+G4+Q4+S4+U4+W4</f>
        <v>483</v>
      </c>
      <c r="Z4" s="67">
        <f t="shared" ref="Z4:Z35" si="1">Y4/B4</f>
        <v>1.0298507462686568</v>
      </c>
    </row>
    <row r="5" spans="1:26" x14ac:dyDescent="0.25">
      <c r="A5" s="8">
        <f>'Water Reading'!A4</f>
        <v>44349</v>
      </c>
      <c r="B5" s="65">
        <f>TOTAL!I3</f>
        <v>334</v>
      </c>
      <c r="C5" s="66">
        <f>('Water Reading'!B5-'Water Reading'!B4)+('Water Reading'!C5-'Water Reading'!C4)</f>
        <v>344</v>
      </c>
      <c r="D5" s="67">
        <f t="shared" ref="D5:D34" si="2">C5/B5</f>
        <v>1.0299401197604789</v>
      </c>
      <c r="E5" s="88">
        <f>'Water Reading'!H5-'Water Reading'!H4</f>
        <v>108</v>
      </c>
      <c r="F5" s="89">
        <f t="shared" ref="F5:F34" si="3">E5/C5</f>
        <v>0.31395348837209303</v>
      </c>
      <c r="G5" s="93">
        <f>('Water Reading'!D5-'Water Reading'!D4)-('Water Reading'!R5-'Water Reading'!R4)-('Water Reading'!Q5-'Water Reading'!Q4)</f>
        <v>175.59999999999997</v>
      </c>
      <c r="H5" s="89">
        <f t="shared" ref="H5:H34" si="4">G5/C5</f>
        <v>0.51046511627906965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12</v>
      </c>
      <c r="L5" s="68">
        <f t="shared" ref="L5:L34" si="6">K5/C5</f>
        <v>3.4883720930232558E-2</v>
      </c>
      <c r="M5" s="90">
        <f>'Water Reading'!R5-'Water Reading'!R4</f>
        <v>5</v>
      </c>
      <c r="N5" s="92">
        <f t="shared" ref="N5:N34" si="7">M5/C5</f>
        <v>1.4534883720930232E-2</v>
      </c>
      <c r="O5" s="90">
        <f>'Water Reading'!Q5-'Water Reading'!Q4</f>
        <v>8.4000000000000341</v>
      </c>
      <c r="P5" s="99">
        <f t="shared" ref="P5:P34" si="8">O5/C5</f>
        <v>2.4418604651162891E-2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55</v>
      </c>
      <c r="T5" s="100">
        <f t="shared" ref="T5:T34" si="10">S5/C5</f>
        <v>0.15988372093023256</v>
      </c>
      <c r="U5" s="90">
        <f>'Water Reading'!G5-'Water Reading'!G4</f>
        <v>14</v>
      </c>
      <c r="V5" s="100">
        <f t="shared" ref="V5:V34" si="11">U5/C5</f>
        <v>4.0697674418604654E-2</v>
      </c>
      <c r="W5" s="90">
        <f>'Water Reading'!J5-'Water Reading'!J4</f>
        <v>13</v>
      </c>
      <c r="X5" s="100">
        <f t="shared" ref="X5:X34" si="12">W5/C5</f>
        <v>3.7790697674418602E-2</v>
      </c>
      <c r="Y5" s="66">
        <f t="shared" si="0"/>
        <v>391</v>
      </c>
      <c r="Z5" s="67">
        <f t="shared" si="1"/>
        <v>1.1706586826347305</v>
      </c>
    </row>
    <row r="6" spans="1:26" x14ac:dyDescent="0.25">
      <c r="A6" s="8">
        <f>'Water Reading'!A5</f>
        <v>44350</v>
      </c>
      <c r="B6" s="65">
        <f>TOTAL!I4</f>
        <v>346</v>
      </c>
      <c r="C6" s="66">
        <f>('Water Reading'!B6-'Water Reading'!B5)+('Water Reading'!C6-'Water Reading'!C5)</f>
        <v>245</v>
      </c>
      <c r="D6" s="67">
        <f t="shared" si="2"/>
        <v>0.70809248554913296</v>
      </c>
      <c r="E6" s="88">
        <f>'Water Reading'!H6-'Water Reading'!H5</f>
        <v>81</v>
      </c>
      <c r="F6" s="89">
        <f t="shared" si="3"/>
        <v>0.33061224489795921</v>
      </c>
      <c r="G6" s="93">
        <f>('Water Reading'!D6-'Water Reading'!D5)-('Water Reading'!R6-'Water Reading'!R5)-('Water Reading'!Q6-'Water Reading'!Q5)</f>
        <v>135.70000000000005</v>
      </c>
      <c r="H6" s="89">
        <f t="shared" si="4"/>
        <v>0.55387755102040837</v>
      </c>
      <c r="I6" s="90">
        <f>'Water Reading'!P6-'Water Reading'!P5</f>
        <v>6</v>
      </c>
      <c r="J6" s="68">
        <f t="shared" si="5"/>
        <v>2.4489795918367346E-2</v>
      </c>
      <c r="K6" s="91">
        <f>('Water Reading'!I6-'Water Reading'!I5)-('Water Reading'!P6-'Water Reading'!P5)</f>
        <v>19</v>
      </c>
      <c r="L6" s="68">
        <f t="shared" si="6"/>
        <v>7.7551020408163265E-2</v>
      </c>
      <c r="M6" s="90">
        <f>'Water Reading'!R6-'Water Reading'!R5</f>
        <v>6</v>
      </c>
      <c r="N6" s="92">
        <f t="shared" si="7"/>
        <v>2.4489795918367346E-2</v>
      </c>
      <c r="O6" s="90">
        <f>'Water Reading'!Q6-'Water Reading'!Q5</f>
        <v>1.2999999999999545</v>
      </c>
      <c r="P6" s="99">
        <f t="shared" si="8"/>
        <v>5.3061224489794065E-3</v>
      </c>
      <c r="Q6" s="91">
        <f>'Water Reading'!F6-'Water Reading'!F5</f>
        <v>1</v>
      </c>
      <c r="R6" s="100">
        <f t="shared" si="9"/>
        <v>4.0816326530612249E-3</v>
      </c>
      <c r="S6" s="90">
        <f>'Water Reading'!E6-'Water Reading'!E5</f>
        <v>64</v>
      </c>
      <c r="T6" s="100">
        <f t="shared" si="10"/>
        <v>0.26122448979591839</v>
      </c>
      <c r="U6" s="90">
        <f>'Water Reading'!G6-'Water Reading'!G5</f>
        <v>16</v>
      </c>
      <c r="V6" s="100">
        <f t="shared" si="11"/>
        <v>6.5306122448979598E-2</v>
      </c>
      <c r="W6" s="90">
        <f>'Water Reading'!J6-'Water Reading'!J5</f>
        <v>13</v>
      </c>
      <c r="X6" s="100">
        <f t="shared" si="12"/>
        <v>5.3061224489795916E-2</v>
      </c>
      <c r="Y6" s="66">
        <f t="shared" si="0"/>
        <v>343</v>
      </c>
      <c r="Z6" s="67">
        <f t="shared" si="1"/>
        <v>0.99132947976878616</v>
      </c>
    </row>
    <row r="7" spans="1:26" x14ac:dyDescent="0.25">
      <c r="A7" s="8">
        <f>'Water Reading'!A6</f>
        <v>44351</v>
      </c>
      <c r="B7" s="65">
        <f>TOTAL!I5</f>
        <v>292</v>
      </c>
      <c r="C7" s="66">
        <f>('Water Reading'!B7-'Water Reading'!B6)+('Water Reading'!C7-'Water Reading'!C6)</f>
        <v>447</v>
      </c>
      <c r="D7" s="67">
        <f t="shared" si="2"/>
        <v>1.5308219178082192</v>
      </c>
      <c r="E7" s="88">
        <f>'Water Reading'!H7-'Water Reading'!H6</f>
        <v>6</v>
      </c>
      <c r="F7" s="89">
        <f t="shared" si="3"/>
        <v>1.3422818791946308E-2</v>
      </c>
      <c r="G7" s="93">
        <f>('Water Reading'!D7-'Water Reading'!D6)-('Water Reading'!R7-'Water Reading'!R6)-('Water Reading'!Q7-'Water Reading'!Q6)</f>
        <v>126</v>
      </c>
      <c r="H7" s="89">
        <f t="shared" si="4"/>
        <v>0.28187919463087246</v>
      </c>
      <c r="I7" s="90">
        <f>'Water Reading'!P7-'Water Reading'!P6</f>
        <v>4</v>
      </c>
      <c r="J7" s="68">
        <f t="shared" si="5"/>
        <v>8.948545861297539E-3</v>
      </c>
      <c r="K7" s="91">
        <f>('Water Reading'!I7-'Water Reading'!I6)-('Water Reading'!P7-'Water Reading'!P6)</f>
        <v>5</v>
      </c>
      <c r="L7" s="68">
        <f t="shared" si="6"/>
        <v>1.1185682326621925E-2</v>
      </c>
      <c r="M7" s="90">
        <f>'Water Reading'!R7-'Water Reading'!R6</f>
        <v>2</v>
      </c>
      <c r="N7" s="92">
        <f t="shared" si="7"/>
        <v>4.4742729306487695E-3</v>
      </c>
      <c r="O7" s="90">
        <f>'Water Reading'!Q7-'Water Reading'!Q6</f>
        <v>64</v>
      </c>
      <c r="P7" s="99">
        <f t="shared" si="8"/>
        <v>0.14317673378076062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65</v>
      </c>
      <c r="T7" s="100">
        <f t="shared" si="10"/>
        <v>0.14541387024608501</v>
      </c>
      <c r="U7" s="90">
        <f>'Water Reading'!G7-'Water Reading'!G6</f>
        <v>13</v>
      </c>
      <c r="V7" s="100">
        <f t="shared" si="11"/>
        <v>2.9082774049217001E-2</v>
      </c>
      <c r="W7" s="90">
        <f>'Water Reading'!J7-'Water Reading'!J6</f>
        <v>15</v>
      </c>
      <c r="X7" s="100">
        <f t="shared" si="12"/>
        <v>3.3557046979865772E-2</v>
      </c>
      <c r="Y7" s="66">
        <f t="shared" si="0"/>
        <v>300</v>
      </c>
      <c r="Z7" s="67">
        <f t="shared" si="1"/>
        <v>1.0273972602739727</v>
      </c>
    </row>
    <row r="8" spans="1:26" x14ac:dyDescent="0.25">
      <c r="A8" s="8">
        <f>'Water Reading'!A7</f>
        <v>44352</v>
      </c>
      <c r="B8" s="65">
        <f>TOTAL!I6</f>
        <v>347</v>
      </c>
      <c r="C8" s="66">
        <f>('Water Reading'!B8-'Water Reading'!B7)+('Water Reading'!C8-'Water Reading'!C7)</f>
        <v>355</v>
      </c>
      <c r="D8" s="67">
        <f t="shared" si="2"/>
        <v>1.0230547550432276</v>
      </c>
      <c r="E8" s="88">
        <f>'Water Reading'!H8-'Water Reading'!H7</f>
        <v>123</v>
      </c>
      <c r="F8" s="89">
        <f t="shared" si="3"/>
        <v>0.3464788732394366</v>
      </c>
      <c r="G8" s="93">
        <f>('Water Reading'!D8-'Water Reading'!D7)-('Water Reading'!R8-'Water Reading'!R7)-('Water Reading'!Q8-'Water Reading'!Q7)</f>
        <v>292</v>
      </c>
      <c r="H8" s="89">
        <f t="shared" si="4"/>
        <v>0.82253521126760565</v>
      </c>
      <c r="I8" s="90">
        <f>'Water Reading'!P8-'Water Reading'!P7</f>
        <v>13</v>
      </c>
      <c r="J8" s="68">
        <f t="shared" si="5"/>
        <v>3.6619718309859155E-2</v>
      </c>
      <c r="K8" s="91">
        <f>('Water Reading'!I8-'Water Reading'!I7)-('Water Reading'!P8-'Water Reading'!P7)</f>
        <v>10</v>
      </c>
      <c r="L8" s="68">
        <f t="shared" si="6"/>
        <v>2.8169014084507043E-2</v>
      </c>
      <c r="M8" s="90">
        <f>'Water Reading'!R8-'Water Reading'!R7</f>
        <v>4</v>
      </c>
      <c r="N8" s="92">
        <f t="shared" si="7"/>
        <v>1.1267605633802818E-2</v>
      </c>
      <c r="O8" s="90">
        <f>'Water Reading'!Q8-'Water Reading'!Q7</f>
        <v>-58</v>
      </c>
      <c r="P8" s="99">
        <f t="shared" si="8"/>
        <v>-0.16338028169014085</v>
      </c>
      <c r="Q8" s="91">
        <f>'Water Reading'!F8-'Water Reading'!F7</f>
        <v>1</v>
      </c>
      <c r="R8" s="100">
        <f t="shared" si="9"/>
        <v>2.8169014084507044E-3</v>
      </c>
      <c r="S8" s="90">
        <f>'Water Reading'!E8-'Water Reading'!E7</f>
        <v>65</v>
      </c>
      <c r="T8" s="100">
        <f t="shared" si="10"/>
        <v>0.18309859154929578</v>
      </c>
      <c r="U8" s="90">
        <f>'Water Reading'!G8-'Water Reading'!G7</f>
        <v>8</v>
      </c>
      <c r="V8" s="100">
        <f t="shared" si="11"/>
        <v>2.2535211267605635E-2</v>
      </c>
      <c r="W8" s="90">
        <f>'Water Reading'!J8-'Water Reading'!J7</f>
        <v>16</v>
      </c>
      <c r="X8" s="100">
        <f t="shared" si="12"/>
        <v>4.507042253521127E-2</v>
      </c>
      <c r="Y8" s="66">
        <f t="shared" si="0"/>
        <v>474</v>
      </c>
      <c r="Z8" s="67">
        <f t="shared" si="1"/>
        <v>1.3659942363112392</v>
      </c>
    </row>
    <row r="9" spans="1:26" x14ac:dyDescent="0.25">
      <c r="A9" s="8">
        <f>'Water Reading'!A8</f>
        <v>44353</v>
      </c>
      <c r="B9" s="65">
        <f>TOTAL!I7</f>
        <v>328</v>
      </c>
      <c r="C9" s="66">
        <f>('Water Reading'!B9-'Water Reading'!B8)+('Water Reading'!C9-'Water Reading'!C8)</f>
        <v>642</v>
      </c>
      <c r="D9" s="67">
        <f t="shared" si="2"/>
        <v>1.9573170731707317</v>
      </c>
      <c r="E9" s="88">
        <f>'Water Reading'!H9-'Water Reading'!H8</f>
        <v>76</v>
      </c>
      <c r="F9" s="89">
        <f t="shared" si="3"/>
        <v>0.11838006230529595</v>
      </c>
      <c r="G9" s="93">
        <f>('Water Reading'!D9-'Water Reading'!D8)-('Water Reading'!R9-'Water Reading'!R8)-('Water Reading'!Q9-'Water Reading'!Q8)</f>
        <v>143</v>
      </c>
      <c r="H9" s="89">
        <f t="shared" si="4"/>
        <v>0.22274143302180685</v>
      </c>
      <c r="I9" s="90">
        <f>'Water Reading'!P9-'Water Reading'!P8</f>
        <v>18</v>
      </c>
      <c r="J9" s="68">
        <f t="shared" si="5"/>
        <v>2.8037383177570093E-2</v>
      </c>
      <c r="K9" s="91">
        <f>('Water Reading'!I9-'Water Reading'!I8)-('Water Reading'!P9-'Water Reading'!P8)</f>
        <v>12</v>
      </c>
      <c r="L9" s="68">
        <f t="shared" si="6"/>
        <v>1.8691588785046728E-2</v>
      </c>
      <c r="M9" s="90">
        <f>'Water Reading'!R9-'Water Reading'!R8</f>
        <v>3</v>
      </c>
      <c r="N9" s="92">
        <f t="shared" si="7"/>
        <v>4.6728971962616819E-3</v>
      </c>
      <c r="O9" s="90">
        <f>'Water Reading'!Q9-'Water Reading'!Q8</f>
        <v>8</v>
      </c>
      <c r="P9" s="99">
        <f t="shared" si="8"/>
        <v>1.2461059190031152E-2</v>
      </c>
      <c r="Q9" s="91">
        <f>'Water Reading'!F9-'Water Reading'!F8</f>
        <v>1</v>
      </c>
      <c r="R9" s="100">
        <f t="shared" si="9"/>
        <v>1.557632398753894E-3</v>
      </c>
      <c r="S9" s="90">
        <f>'Water Reading'!E9-'Water Reading'!E8</f>
        <v>67</v>
      </c>
      <c r="T9" s="100">
        <f t="shared" si="10"/>
        <v>0.1043613707165109</v>
      </c>
      <c r="U9" s="90">
        <f>'Water Reading'!G9-'Water Reading'!G8</f>
        <v>18</v>
      </c>
      <c r="V9" s="100">
        <f t="shared" si="11"/>
        <v>2.8037383177570093E-2</v>
      </c>
      <c r="W9" s="90">
        <f>'Water Reading'!J9-'Water Reading'!J8</f>
        <v>16</v>
      </c>
      <c r="X9" s="100">
        <f t="shared" si="12"/>
        <v>2.4922118380062305E-2</v>
      </c>
      <c r="Y9" s="66">
        <f t="shared" si="0"/>
        <v>362</v>
      </c>
      <c r="Z9" s="67">
        <f t="shared" si="1"/>
        <v>1.1036585365853659</v>
      </c>
    </row>
    <row r="10" spans="1:26" x14ac:dyDescent="0.25">
      <c r="A10" s="8">
        <f>'Water Reading'!A9</f>
        <v>44354</v>
      </c>
      <c r="B10" s="65">
        <f>TOTAL!I8</f>
        <v>314</v>
      </c>
      <c r="C10" s="66">
        <f>('Water Reading'!B10-'Water Reading'!B9)+('Water Reading'!C10-'Water Reading'!C9)</f>
        <v>595</v>
      </c>
      <c r="D10" s="67">
        <f t="shared" si="2"/>
        <v>1.894904458598726</v>
      </c>
      <c r="E10" s="88">
        <f>'Water Reading'!H10-'Water Reading'!H9</f>
        <v>81</v>
      </c>
      <c r="F10" s="89">
        <f t="shared" si="3"/>
        <v>0.13613445378151259</v>
      </c>
      <c r="G10" s="93">
        <f>('Water Reading'!D10-'Water Reading'!D9)-('Water Reading'!R10-'Water Reading'!R9)-('Water Reading'!Q10-'Water Reading'!Q9)</f>
        <v>166</v>
      </c>
      <c r="H10" s="89">
        <f t="shared" si="4"/>
        <v>0.27899159663865547</v>
      </c>
      <c r="I10" s="90">
        <f>'Water Reading'!P10-'Water Reading'!P9</f>
        <v>7</v>
      </c>
      <c r="J10" s="68">
        <f t="shared" si="5"/>
        <v>1.1764705882352941E-2</v>
      </c>
      <c r="K10" s="91">
        <f>('Water Reading'!I10-'Water Reading'!I9)-('Water Reading'!P10-'Water Reading'!P9)</f>
        <v>14</v>
      </c>
      <c r="L10" s="68">
        <f t="shared" si="6"/>
        <v>2.3529411764705882E-2</v>
      </c>
      <c r="M10" s="90">
        <f>'Water Reading'!R10-'Water Reading'!R9</f>
        <v>4</v>
      </c>
      <c r="N10" s="92">
        <f t="shared" si="7"/>
        <v>6.7226890756302525E-3</v>
      </c>
      <c r="O10" s="90">
        <f>'Water Reading'!Q10-'Water Reading'!Q9</f>
        <v>6</v>
      </c>
      <c r="P10" s="99">
        <f t="shared" si="8"/>
        <v>1.0084033613445379E-2</v>
      </c>
      <c r="Q10" s="91">
        <f>'Water Reading'!F10-'Water Reading'!F9</f>
        <v>1</v>
      </c>
      <c r="R10" s="100">
        <f t="shared" si="9"/>
        <v>1.6806722689075631E-3</v>
      </c>
      <c r="S10" s="90">
        <f>'Water Reading'!E10-'Water Reading'!E9</f>
        <v>72</v>
      </c>
      <c r="T10" s="100">
        <f t="shared" si="10"/>
        <v>0.12100840336134454</v>
      </c>
      <c r="U10" s="90">
        <f>'Water Reading'!G10-'Water Reading'!G9</f>
        <v>13</v>
      </c>
      <c r="V10" s="100">
        <f t="shared" si="11"/>
        <v>2.1848739495798318E-2</v>
      </c>
      <c r="W10" s="90">
        <f>'Water Reading'!J10-'Water Reading'!J9</f>
        <v>16</v>
      </c>
      <c r="X10" s="100">
        <f t="shared" si="12"/>
        <v>2.689075630252101E-2</v>
      </c>
      <c r="Y10" s="66">
        <f t="shared" si="0"/>
        <v>380</v>
      </c>
      <c r="Z10" s="67">
        <f t="shared" si="1"/>
        <v>1.2101910828025477</v>
      </c>
    </row>
    <row r="11" spans="1:26" x14ac:dyDescent="0.25">
      <c r="A11" s="8">
        <f>'Water Reading'!A10</f>
        <v>44355</v>
      </c>
      <c r="B11" s="65">
        <f>TOTAL!I9</f>
        <v>387</v>
      </c>
      <c r="C11" s="66">
        <f>('Water Reading'!B11-'Water Reading'!B10)+('Water Reading'!C11-'Water Reading'!C10)</f>
        <v>645</v>
      </c>
      <c r="D11" s="67">
        <f t="shared" si="2"/>
        <v>1.6666666666666667</v>
      </c>
      <c r="E11" s="88">
        <f>'Water Reading'!H11-'Water Reading'!H10</f>
        <v>67</v>
      </c>
      <c r="F11" s="89">
        <f t="shared" si="3"/>
        <v>0.10387596899224806</v>
      </c>
      <c r="G11" s="93">
        <f>('Water Reading'!D11-'Water Reading'!D10)-('Water Reading'!R11-'Water Reading'!R10)-('Water Reading'!Q11-'Water Reading'!Q10)</f>
        <v>212</v>
      </c>
      <c r="H11" s="89">
        <f t="shared" si="4"/>
        <v>0.32868217054263565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8</v>
      </c>
      <c r="L11" s="68">
        <f t="shared" si="6"/>
        <v>1.2403100775193798E-2</v>
      </c>
      <c r="M11" s="90">
        <f>'Water Reading'!R11-'Water Reading'!R10</f>
        <v>3</v>
      </c>
      <c r="N11" s="92">
        <f t="shared" si="7"/>
        <v>4.6511627906976744E-3</v>
      </c>
      <c r="O11" s="98">
        <f>'Water Reading'!Q11-'Water Reading'!Q10</f>
        <v>1</v>
      </c>
      <c r="P11" s="99">
        <f t="shared" si="8"/>
        <v>1.5503875968992248E-3</v>
      </c>
      <c r="Q11" s="91">
        <f>'Water Reading'!F11-'Water Reading'!F10</f>
        <v>1</v>
      </c>
      <c r="R11" s="100">
        <f t="shared" si="9"/>
        <v>1.5503875968992248E-3</v>
      </c>
      <c r="S11" s="90">
        <f>'Water Reading'!E11-'Water Reading'!E10</f>
        <v>68</v>
      </c>
      <c r="T11" s="100">
        <f t="shared" si="10"/>
        <v>0.10542635658914729</v>
      </c>
      <c r="U11" s="90">
        <f>'Water Reading'!G11-'Water Reading'!G10</f>
        <v>12</v>
      </c>
      <c r="V11" s="100">
        <f t="shared" si="11"/>
        <v>1.8604651162790697E-2</v>
      </c>
      <c r="W11" s="90">
        <f>'Water Reading'!J11-'Water Reading'!J10</f>
        <v>16</v>
      </c>
      <c r="X11" s="100">
        <f t="shared" si="12"/>
        <v>2.4806201550387597E-2</v>
      </c>
      <c r="Y11" s="66">
        <f t="shared" si="0"/>
        <v>388</v>
      </c>
      <c r="Z11" s="67">
        <f t="shared" si="1"/>
        <v>1.0025839793281655</v>
      </c>
    </row>
    <row r="12" spans="1:26" x14ac:dyDescent="0.25">
      <c r="A12" s="8">
        <f>'Water Reading'!A11</f>
        <v>44356</v>
      </c>
      <c r="B12" s="65">
        <f>TOTAL!I10</f>
        <v>254</v>
      </c>
      <c r="C12" s="66">
        <f>('Water Reading'!B12-'Water Reading'!B11)+('Water Reading'!C12-'Water Reading'!C11)</f>
        <v>344</v>
      </c>
      <c r="D12" s="67">
        <f t="shared" si="2"/>
        <v>1.3543307086614174</v>
      </c>
      <c r="E12" s="88">
        <f>'Water Reading'!H12-'Water Reading'!H11</f>
        <v>59</v>
      </c>
      <c r="F12" s="89">
        <f t="shared" si="3"/>
        <v>0.17151162790697674</v>
      </c>
      <c r="G12" s="93">
        <f>('Water Reading'!D12-'Water Reading'!D11)-('Water Reading'!R12-'Water Reading'!R11)-('Water Reading'!Q12-'Water Reading'!Q11)</f>
        <v>148</v>
      </c>
      <c r="H12" s="89">
        <f t="shared" si="4"/>
        <v>0.43023255813953487</v>
      </c>
      <c r="I12" s="90">
        <f>'Water Reading'!P12-'Water Reading'!P11</f>
        <v>15</v>
      </c>
      <c r="J12" s="68">
        <f t="shared" si="5"/>
        <v>4.3604651162790699E-2</v>
      </c>
      <c r="K12" s="91">
        <f>('Water Reading'!I12-'Water Reading'!I11)-('Water Reading'!P12-'Water Reading'!P11)</f>
        <v>10</v>
      </c>
      <c r="L12" s="68">
        <f t="shared" si="6"/>
        <v>2.9069767441860465E-2</v>
      </c>
      <c r="M12" s="90">
        <f>'Water Reading'!R12-'Water Reading'!R11</f>
        <v>4</v>
      </c>
      <c r="N12" s="92">
        <f t="shared" si="7"/>
        <v>1.1627906976744186E-2</v>
      </c>
      <c r="O12" s="98">
        <f>'Water Reading'!Q12-'Water Reading'!Q11</f>
        <v>5</v>
      </c>
      <c r="P12" s="99">
        <f t="shared" si="8"/>
        <v>1.4534883720930232E-2</v>
      </c>
      <c r="Q12" s="91">
        <f>'Water Reading'!F12-'Water Reading'!F11</f>
        <v>1</v>
      </c>
      <c r="R12" s="100">
        <f t="shared" si="9"/>
        <v>2.9069767441860465E-3</v>
      </c>
      <c r="S12" s="90">
        <f>'Water Reading'!E12-'Water Reading'!E11</f>
        <v>65</v>
      </c>
      <c r="T12" s="100">
        <f t="shared" si="10"/>
        <v>0.18895348837209303</v>
      </c>
      <c r="U12" s="90">
        <f>'Water Reading'!G12-'Water Reading'!G11</f>
        <v>13</v>
      </c>
      <c r="V12" s="100">
        <f t="shared" si="11"/>
        <v>3.7790697674418602E-2</v>
      </c>
      <c r="W12" s="90">
        <f>'Water Reading'!J12-'Water Reading'!J11</f>
        <v>17</v>
      </c>
      <c r="X12" s="100">
        <f t="shared" si="12"/>
        <v>4.9418604651162788E-2</v>
      </c>
      <c r="Y12" s="66">
        <f t="shared" si="0"/>
        <v>337</v>
      </c>
      <c r="Z12" s="67">
        <f t="shared" si="1"/>
        <v>1.3267716535433072</v>
      </c>
    </row>
    <row r="13" spans="1:26" x14ac:dyDescent="0.25">
      <c r="A13" s="8">
        <f>'Water Reading'!A12</f>
        <v>44357</v>
      </c>
      <c r="B13" s="65">
        <f>TOTAL!I11</f>
        <v>343</v>
      </c>
      <c r="C13" s="66">
        <f>('Water Reading'!B13-'Water Reading'!B12)+('Water Reading'!C13-'Water Reading'!C12)</f>
        <v>475</v>
      </c>
      <c r="D13" s="67">
        <f t="shared" si="2"/>
        <v>1.3848396501457727</v>
      </c>
      <c r="E13" s="87">
        <f>'Water Reading'!H13-'Water Reading'!H12</f>
        <v>69</v>
      </c>
      <c r="F13" s="89">
        <f t="shared" si="3"/>
        <v>0.14526315789473684</v>
      </c>
      <c r="G13" s="93">
        <f>('Water Reading'!D13-'Water Reading'!D12)-('Water Reading'!R13-'Water Reading'!R12)-('Water Reading'!Q13-'Water Reading'!Q12)</f>
        <v>118</v>
      </c>
      <c r="H13" s="89">
        <f t="shared" si="4"/>
        <v>0.24842105263157896</v>
      </c>
      <c r="I13" s="90">
        <f>'Water Reading'!P13-'Water Reading'!P12</f>
        <v>7</v>
      </c>
      <c r="J13" s="68">
        <f t="shared" si="5"/>
        <v>1.4736842105263158E-2</v>
      </c>
      <c r="K13" s="91">
        <f>('Water Reading'!I13-'Water Reading'!I12)-('Water Reading'!P13-'Water Reading'!P12)</f>
        <v>17</v>
      </c>
      <c r="L13" s="68">
        <f t="shared" si="6"/>
        <v>3.5789473684210524E-2</v>
      </c>
      <c r="M13" s="90">
        <f>'Water Reading'!R13-'Water Reading'!R12</f>
        <v>4</v>
      </c>
      <c r="N13" s="92">
        <f t="shared" si="7"/>
        <v>8.4210526315789472E-3</v>
      </c>
      <c r="O13" s="90">
        <f>'Water Reading'!Q13-'Water Reading'!Q12</f>
        <v>1</v>
      </c>
      <c r="P13" s="99">
        <f t="shared" si="8"/>
        <v>2.1052631578947368E-3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66</v>
      </c>
      <c r="T13" s="100">
        <f t="shared" si="10"/>
        <v>0.13894736842105262</v>
      </c>
      <c r="U13" s="90">
        <f>'Water Reading'!G13-'Water Reading'!G12</f>
        <v>18</v>
      </c>
      <c r="V13" s="100">
        <f t="shared" si="11"/>
        <v>3.7894736842105266E-2</v>
      </c>
      <c r="W13" s="90">
        <f>'Water Reading'!J13-'Water Reading'!J12</f>
        <v>16</v>
      </c>
      <c r="X13" s="100">
        <f t="shared" si="12"/>
        <v>3.3684210526315789E-2</v>
      </c>
      <c r="Y13" s="66">
        <f t="shared" si="0"/>
        <v>316</v>
      </c>
      <c r="Z13" s="67">
        <f t="shared" si="1"/>
        <v>0.92128279883381925</v>
      </c>
    </row>
    <row r="14" spans="1:26" x14ac:dyDescent="0.25">
      <c r="A14" s="8">
        <f>'Water Reading'!A13</f>
        <v>44358</v>
      </c>
      <c r="B14" s="65">
        <f>TOTAL!I12</f>
        <v>257</v>
      </c>
      <c r="C14" s="66">
        <f>('Water Reading'!B14-'Water Reading'!B13)+('Water Reading'!C14-'Water Reading'!C13)</f>
        <v>294</v>
      </c>
      <c r="D14" s="67">
        <f t="shared" si="2"/>
        <v>1.1439688715953307</v>
      </c>
      <c r="E14" s="88">
        <f>'Water Reading'!H14-'Water Reading'!H13</f>
        <v>63</v>
      </c>
      <c r="F14" s="89">
        <f t="shared" si="3"/>
        <v>0.21428571428571427</v>
      </c>
      <c r="G14" s="93">
        <f>('Water Reading'!D14-'Water Reading'!D13)-('Water Reading'!R14-'Water Reading'!R13)-('Water Reading'!Q14-'Water Reading'!Q13)</f>
        <v>111</v>
      </c>
      <c r="H14" s="89">
        <f t="shared" si="4"/>
        <v>0.37755102040816324</v>
      </c>
      <c r="I14" s="90">
        <f>'Water Reading'!P14-'Water Reading'!P13</f>
        <v>4</v>
      </c>
      <c r="J14" s="68">
        <f t="shared" si="5"/>
        <v>1.3605442176870748E-2</v>
      </c>
      <c r="K14" s="91">
        <f>('Water Reading'!I14-'Water Reading'!I13)-('Water Reading'!P14-'Water Reading'!P13)</f>
        <v>15</v>
      </c>
      <c r="L14" s="68">
        <f t="shared" si="6"/>
        <v>5.1020408163265307E-2</v>
      </c>
      <c r="M14" s="90">
        <f>'Water Reading'!R14-'Water Reading'!R13</f>
        <v>1</v>
      </c>
      <c r="N14" s="92">
        <f t="shared" si="7"/>
        <v>3.4013605442176869E-3</v>
      </c>
      <c r="O14" s="90">
        <f>'Water Reading'!Q14-'Water Reading'!Q13</f>
        <v>2</v>
      </c>
      <c r="P14" s="99">
        <f t="shared" si="8"/>
        <v>6.8027210884353739E-3</v>
      </c>
      <c r="Q14" s="91">
        <f>'Water Reading'!F14-'Water Reading'!F13</f>
        <v>1</v>
      </c>
      <c r="R14" s="100">
        <f t="shared" si="9"/>
        <v>3.4013605442176869E-3</v>
      </c>
      <c r="S14" s="94">
        <f>'Water Reading'!E14-'Water Reading'!E13</f>
        <v>62</v>
      </c>
      <c r="T14" s="100">
        <f t="shared" si="10"/>
        <v>0.21088435374149661</v>
      </c>
      <c r="U14" s="90">
        <f>'Water Reading'!G14-'Water Reading'!G13</f>
        <v>17</v>
      </c>
      <c r="V14" s="100">
        <f t="shared" si="11"/>
        <v>5.7823129251700682E-2</v>
      </c>
      <c r="W14" s="90">
        <f>'Water Reading'!J14-'Water Reading'!J13</f>
        <v>18</v>
      </c>
      <c r="X14" s="100">
        <f t="shared" si="12"/>
        <v>6.1224489795918366E-2</v>
      </c>
      <c r="Y14" s="66">
        <f t="shared" si="0"/>
        <v>294</v>
      </c>
      <c r="Z14" s="67">
        <f t="shared" si="1"/>
        <v>1.1439688715953307</v>
      </c>
    </row>
    <row r="15" spans="1:26" x14ac:dyDescent="0.25">
      <c r="A15" s="8">
        <f>'Water Reading'!A14</f>
        <v>44359</v>
      </c>
      <c r="B15" s="65">
        <f>TOTAL!I13</f>
        <v>273</v>
      </c>
      <c r="C15" s="66">
        <f>('Water Reading'!B15-'Water Reading'!B14)+('Water Reading'!C15-'Water Reading'!C14)</f>
        <v>1316</v>
      </c>
      <c r="D15" s="67">
        <f t="shared" si="2"/>
        <v>4.8205128205128203</v>
      </c>
      <c r="E15" s="87">
        <f>'Water Reading'!H15-'Water Reading'!H14</f>
        <v>65</v>
      </c>
      <c r="F15" s="89">
        <f t="shared" si="3"/>
        <v>4.939209726443769E-2</v>
      </c>
      <c r="G15" s="93">
        <f>('Water Reading'!D15-'Water Reading'!D14)-('Water Reading'!R15-'Water Reading'!R14)-('Water Reading'!Q15-'Water Reading'!Q14)</f>
        <v>85</v>
      </c>
      <c r="H15" s="89">
        <f t="shared" si="4"/>
        <v>6.4589665653495443E-2</v>
      </c>
      <c r="I15" s="90">
        <f>'Water Reading'!P15-'Water Reading'!P14</f>
        <v>16</v>
      </c>
      <c r="J15" s="68">
        <f t="shared" si="5"/>
        <v>1.2158054711246201E-2</v>
      </c>
      <c r="K15" s="91">
        <f>('Water Reading'!I15-'Water Reading'!I14)-('Water Reading'!P15-'Water Reading'!P14)</f>
        <v>11</v>
      </c>
      <c r="L15" s="68">
        <f t="shared" si="6"/>
        <v>8.3586626139817623E-3</v>
      </c>
      <c r="M15" s="90">
        <f>'Water Reading'!R15-'Water Reading'!R14</f>
        <v>6</v>
      </c>
      <c r="N15" s="92">
        <f t="shared" si="7"/>
        <v>4.559270516717325E-3</v>
      </c>
      <c r="O15" s="90">
        <f>'Water Reading'!Q15-'Water Reading'!Q14</f>
        <v>7</v>
      </c>
      <c r="P15" s="99">
        <f t="shared" si="8"/>
        <v>5.3191489361702126E-3</v>
      </c>
      <c r="Q15" s="91">
        <f>'Water Reading'!F15-'Water Reading'!F14</f>
        <v>1</v>
      </c>
      <c r="R15" s="100">
        <f t="shared" si="9"/>
        <v>7.5987841945288754E-4</v>
      </c>
      <c r="S15" s="94">
        <f>'Water Reading'!E15-'Water Reading'!E14</f>
        <v>58</v>
      </c>
      <c r="T15" s="100">
        <f t="shared" si="10"/>
        <v>4.4072948328267476E-2</v>
      </c>
      <c r="U15" s="90">
        <f>'Water Reading'!G15-'Water Reading'!G14</f>
        <v>14</v>
      </c>
      <c r="V15" s="100">
        <f t="shared" si="11"/>
        <v>1.0638297872340425E-2</v>
      </c>
      <c r="W15" s="90">
        <f>'Water Reading'!J15-'Water Reading'!J14</f>
        <v>17</v>
      </c>
      <c r="X15" s="100">
        <f t="shared" si="12"/>
        <v>1.2917933130699088E-2</v>
      </c>
      <c r="Y15" s="66">
        <f t="shared" si="0"/>
        <v>280</v>
      </c>
      <c r="Z15" s="67">
        <f t="shared" si="1"/>
        <v>1.0256410256410255</v>
      </c>
    </row>
    <row r="16" spans="1:26" x14ac:dyDescent="0.25">
      <c r="A16" s="8">
        <f>'Water Reading'!A15</f>
        <v>44360</v>
      </c>
      <c r="B16" s="65">
        <f>TOTAL!I14</f>
        <v>291</v>
      </c>
      <c r="C16" s="66">
        <f>('Water Reading'!B16-'Water Reading'!B15)+('Water Reading'!C16-'Water Reading'!C15)</f>
        <v>210</v>
      </c>
      <c r="D16" s="67">
        <f t="shared" si="2"/>
        <v>0.72164948453608246</v>
      </c>
      <c r="E16" s="87">
        <f>'Water Reading'!H16-'Water Reading'!H15</f>
        <v>6</v>
      </c>
      <c r="F16" s="89">
        <f t="shared" si="3"/>
        <v>2.8571428571428571E-2</v>
      </c>
      <c r="G16" s="93">
        <f>('Water Reading'!D16-'Water Reading'!D15)-('Water Reading'!R16-'Water Reading'!R15)-('Water Reading'!Q16-'Water Reading'!Q15)</f>
        <v>211</v>
      </c>
      <c r="H16" s="89">
        <f t="shared" si="4"/>
        <v>1.0047619047619047</v>
      </c>
      <c r="I16" s="90">
        <f>'Water Reading'!P16-'Water Reading'!P15</f>
        <v>12</v>
      </c>
      <c r="J16" s="68">
        <f t="shared" si="5"/>
        <v>5.7142857142857141E-2</v>
      </c>
      <c r="K16" s="91">
        <f>('Water Reading'!I16-'Water Reading'!I15)-('Water Reading'!P16-'Water Reading'!P15)</f>
        <v>23</v>
      </c>
      <c r="L16" s="68">
        <f t="shared" si="6"/>
        <v>0.10952380952380952</v>
      </c>
      <c r="M16" s="90">
        <f>'Water Reading'!R16-'Water Reading'!R15</f>
        <v>5</v>
      </c>
      <c r="N16" s="92">
        <f t="shared" si="7"/>
        <v>2.3809523809523808E-2</v>
      </c>
      <c r="O16" s="90">
        <f>'Water Reading'!Q16-'Water Reading'!Q15</f>
        <v>5</v>
      </c>
      <c r="P16" s="99">
        <f t="shared" si="8"/>
        <v>2.3809523809523808E-2</v>
      </c>
      <c r="Q16" s="91">
        <f>'Water Reading'!F16-'Water Reading'!F15</f>
        <v>1</v>
      </c>
      <c r="R16" s="100">
        <f t="shared" si="9"/>
        <v>4.7619047619047623E-3</v>
      </c>
      <c r="S16" s="94">
        <f>'Water Reading'!E16-'Water Reading'!E15</f>
        <v>63</v>
      </c>
      <c r="T16" s="100">
        <f t="shared" si="10"/>
        <v>0.3</v>
      </c>
      <c r="U16" s="90">
        <f>'Water Reading'!G16-'Water Reading'!G15</f>
        <v>18</v>
      </c>
      <c r="V16" s="100">
        <f t="shared" si="11"/>
        <v>8.5714285714285715E-2</v>
      </c>
      <c r="W16" s="90">
        <f>'Water Reading'!J16-'Water Reading'!J15</f>
        <v>19</v>
      </c>
      <c r="X16" s="100">
        <f t="shared" si="12"/>
        <v>9.0476190476190474E-2</v>
      </c>
      <c r="Y16" s="66">
        <f t="shared" si="0"/>
        <v>363</v>
      </c>
      <c r="Z16" s="67">
        <f t="shared" si="1"/>
        <v>1.2474226804123711</v>
      </c>
    </row>
    <row r="17" spans="1:26" x14ac:dyDescent="0.25">
      <c r="A17" s="8">
        <f>'Water Reading'!A16</f>
        <v>44361</v>
      </c>
      <c r="B17" s="65">
        <f>TOTAL!I15</f>
        <v>274</v>
      </c>
      <c r="C17" s="66">
        <f>('Water Reading'!B17-'Water Reading'!B16)+('Water Reading'!C17-'Water Reading'!C16)</f>
        <v>238</v>
      </c>
      <c r="D17" s="67">
        <f t="shared" si="2"/>
        <v>0.86861313868613144</v>
      </c>
      <c r="E17" s="87">
        <f>'Water Reading'!H17-'Water Reading'!H16</f>
        <v>121</v>
      </c>
      <c r="F17" s="89">
        <f t="shared" si="3"/>
        <v>0.50840336134453779</v>
      </c>
      <c r="G17" s="93">
        <f>('Water Reading'!D17-'Water Reading'!D16)-('Water Reading'!R17-'Water Reading'!R16)-('Water Reading'!Q17-'Water Reading'!Q16)</f>
        <v>111</v>
      </c>
      <c r="H17" s="89">
        <f t="shared" si="4"/>
        <v>0.46638655462184875</v>
      </c>
      <c r="I17" s="90">
        <f>'Water Reading'!P17-'Water Reading'!P16</f>
        <v>10</v>
      </c>
      <c r="J17" s="68">
        <f t="shared" si="5"/>
        <v>4.2016806722689079E-2</v>
      </c>
      <c r="K17" s="91">
        <f>('Water Reading'!I17-'Water Reading'!I16)-('Water Reading'!P17-'Water Reading'!P16)</f>
        <v>16</v>
      </c>
      <c r="L17" s="68">
        <f t="shared" si="6"/>
        <v>6.7226890756302518E-2</v>
      </c>
      <c r="M17" s="90">
        <f>'Water Reading'!R17-'Water Reading'!R16</f>
        <v>3</v>
      </c>
      <c r="N17" s="92">
        <f t="shared" si="7"/>
        <v>1.2605042016806723E-2</v>
      </c>
      <c r="O17" s="90">
        <f>'Water Reading'!Q17-'Water Reading'!Q16</f>
        <v>6</v>
      </c>
      <c r="P17" s="99">
        <f t="shared" si="8"/>
        <v>2.5210084033613446E-2</v>
      </c>
      <c r="Q17" s="91">
        <f>'Water Reading'!F17-'Water Reading'!F16</f>
        <v>1</v>
      </c>
      <c r="R17" s="100">
        <f t="shared" si="9"/>
        <v>4.2016806722689074E-3</v>
      </c>
      <c r="S17" s="94">
        <f>'Water Reading'!E17-'Water Reading'!E16</f>
        <v>54</v>
      </c>
      <c r="T17" s="100">
        <f t="shared" si="10"/>
        <v>0.22689075630252101</v>
      </c>
      <c r="U17" s="90">
        <f>'Water Reading'!G17-'Water Reading'!G16</f>
        <v>15</v>
      </c>
      <c r="V17" s="100">
        <f t="shared" si="11"/>
        <v>6.3025210084033612E-2</v>
      </c>
      <c r="W17" s="90">
        <f>'Water Reading'!J17-'Water Reading'!J16</f>
        <v>18</v>
      </c>
      <c r="X17" s="100">
        <f t="shared" si="12"/>
        <v>7.5630252100840331E-2</v>
      </c>
      <c r="Y17" s="66">
        <f t="shared" si="0"/>
        <v>355</v>
      </c>
      <c r="Z17" s="67">
        <f t="shared" si="1"/>
        <v>1.2956204379562044</v>
      </c>
    </row>
    <row r="18" spans="1:26" x14ac:dyDescent="0.25">
      <c r="A18" s="8">
        <f>'Water Reading'!A17</f>
        <v>44362</v>
      </c>
      <c r="B18" s="65">
        <f>TOTAL!I16</f>
        <v>329</v>
      </c>
      <c r="C18" s="66">
        <f>('Water Reading'!B18-'Water Reading'!B17)+('Water Reading'!C18-'Water Reading'!C17)</f>
        <v>325</v>
      </c>
      <c r="D18" s="67">
        <f t="shared" si="2"/>
        <v>0.9878419452887538</v>
      </c>
      <c r="E18" s="87">
        <f>'Water Reading'!H18-'Water Reading'!H17</f>
        <v>95</v>
      </c>
      <c r="F18" s="89">
        <f t="shared" si="3"/>
        <v>0.29230769230769232</v>
      </c>
      <c r="G18" s="93">
        <f>('Water Reading'!D18-'Water Reading'!D17)-('Water Reading'!R18-'Water Reading'!R17)-('Water Reading'!Q18-'Water Reading'!Q17)</f>
        <v>137</v>
      </c>
      <c r="H18" s="89">
        <f t="shared" si="4"/>
        <v>0.42153846153846153</v>
      </c>
      <c r="I18" s="90">
        <f>'Water Reading'!P18-'Water Reading'!P17</f>
        <v>14</v>
      </c>
      <c r="J18" s="68">
        <f t="shared" si="5"/>
        <v>4.3076923076923075E-2</v>
      </c>
      <c r="K18" s="91">
        <f>('Water Reading'!I18-'Water Reading'!I17)-('Water Reading'!P18-'Water Reading'!P17)</f>
        <v>11</v>
      </c>
      <c r="L18" s="68">
        <f t="shared" si="6"/>
        <v>3.3846153846153845E-2</v>
      </c>
      <c r="M18" s="90">
        <f>'Water Reading'!R18-'Water Reading'!R17</f>
        <v>4</v>
      </c>
      <c r="N18" s="92">
        <f t="shared" si="7"/>
        <v>1.2307692307692308E-2</v>
      </c>
      <c r="O18" s="90">
        <f>'Water Reading'!Q18-'Water Reading'!Q17</f>
        <v>1</v>
      </c>
      <c r="P18" s="99">
        <f t="shared" si="8"/>
        <v>3.0769230769230769E-3</v>
      </c>
      <c r="Q18" s="91">
        <f>'Water Reading'!F18-'Water Reading'!F17</f>
        <v>1</v>
      </c>
      <c r="R18" s="100">
        <f t="shared" si="9"/>
        <v>3.0769230769230769E-3</v>
      </c>
      <c r="S18" s="94">
        <f>'Water Reading'!E18-'Water Reading'!E17</f>
        <v>59</v>
      </c>
      <c r="T18" s="100">
        <f t="shared" si="10"/>
        <v>0.18153846153846154</v>
      </c>
      <c r="U18" s="90">
        <f>'Water Reading'!G18-'Water Reading'!G17</f>
        <v>15</v>
      </c>
      <c r="V18" s="100">
        <f t="shared" si="11"/>
        <v>4.6153846153846156E-2</v>
      </c>
      <c r="W18" s="90">
        <f>'Water Reading'!J18-'Water Reading'!J17</f>
        <v>18</v>
      </c>
      <c r="X18" s="100">
        <f t="shared" si="12"/>
        <v>5.5384615384615386E-2</v>
      </c>
      <c r="Y18" s="66">
        <f t="shared" si="0"/>
        <v>355</v>
      </c>
      <c r="Z18" s="67">
        <f t="shared" si="1"/>
        <v>1.0790273556231003</v>
      </c>
    </row>
    <row r="19" spans="1:26" x14ac:dyDescent="0.25">
      <c r="A19" s="8">
        <f>'Water Reading'!A18</f>
        <v>44363</v>
      </c>
      <c r="B19" s="65">
        <f>TOTAL!I17</f>
        <v>281</v>
      </c>
      <c r="C19" s="66">
        <f>('Water Reading'!B19-'Water Reading'!B18)+('Water Reading'!C19-'Water Reading'!C18)</f>
        <v>882</v>
      </c>
      <c r="D19" s="67">
        <f t="shared" si="2"/>
        <v>3.1387900355871885</v>
      </c>
      <c r="E19" s="87">
        <f>'Water Reading'!H19-'Water Reading'!H18</f>
        <v>67</v>
      </c>
      <c r="F19" s="89">
        <f t="shared" si="3"/>
        <v>7.5963718820861684E-2</v>
      </c>
      <c r="G19" s="93">
        <f>('Water Reading'!D19-'Water Reading'!D18)-('Water Reading'!R19-'Water Reading'!R18)-('Water Reading'!Q19-'Water Reading'!Q18)</f>
        <v>136</v>
      </c>
      <c r="H19" s="89">
        <f t="shared" si="4"/>
        <v>0.15419501133786848</v>
      </c>
      <c r="I19" s="90">
        <f>'Water Reading'!P19-'Water Reading'!P18</f>
        <v>0</v>
      </c>
      <c r="J19" s="68">
        <f t="shared" si="5"/>
        <v>0</v>
      </c>
      <c r="K19" s="91">
        <f>('Water Reading'!I19-'Water Reading'!I18)-('Water Reading'!P19-'Water Reading'!P18)</f>
        <v>11</v>
      </c>
      <c r="L19" s="68">
        <f t="shared" si="6"/>
        <v>1.2471655328798186E-2</v>
      </c>
      <c r="M19" s="90">
        <f>'Water Reading'!R19-'Water Reading'!R18</f>
        <v>5</v>
      </c>
      <c r="N19" s="92">
        <f t="shared" si="7"/>
        <v>5.6689342403628117E-3</v>
      </c>
      <c r="O19" s="90">
        <f>'Water Reading'!Q19-'Water Reading'!Q18</f>
        <v>8</v>
      </c>
      <c r="P19" s="99">
        <f t="shared" si="8"/>
        <v>9.0702947845804991E-3</v>
      </c>
      <c r="Q19" s="91">
        <f>'Water Reading'!F19-'Water Reading'!F18</f>
        <v>1</v>
      </c>
      <c r="R19" s="100">
        <f t="shared" si="9"/>
        <v>1.1337868480725624E-3</v>
      </c>
      <c r="S19" s="94">
        <f>'Water Reading'!E19-'Water Reading'!E18</f>
        <v>62</v>
      </c>
      <c r="T19" s="100">
        <f t="shared" si="10"/>
        <v>7.029478458049887E-2</v>
      </c>
      <c r="U19" s="90">
        <f>'Water Reading'!G19-'Water Reading'!G18</f>
        <v>16</v>
      </c>
      <c r="V19" s="100">
        <f t="shared" si="11"/>
        <v>1.8140589569160998E-2</v>
      </c>
      <c r="W19" s="90">
        <f>'Water Reading'!J19-'Water Reading'!J18</f>
        <v>17</v>
      </c>
      <c r="X19" s="100">
        <f t="shared" si="12"/>
        <v>1.927437641723356E-2</v>
      </c>
      <c r="Y19" s="66">
        <f t="shared" si="0"/>
        <v>323</v>
      </c>
      <c r="Z19" s="67">
        <f t="shared" si="1"/>
        <v>1.1494661921708185</v>
      </c>
    </row>
    <row r="20" spans="1:26" x14ac:dyDescent="0.25">
      <c r="A20" s="8">
        <f>'Water Reading'!A19</f>
        <v>44364</v>
      </c>
      <c r="B20" s="65">
        <f>TOTAL!I18</f>
        <v>346</v>
      </c>
      <c r="C20" s="66">
        <f>('Water Reading'!B20-'Water Reading'!B19)+('Water Reading'!C20-'Water Reading'!C19)</f>
        <v>323</v>
      </c>
      <c r="D20" s="67">
        <f t="shared" si="2"/>
        <v>0.93352601156069359</v>
      </c>
      <c r="E20" s="87">
        <f>'Water Reading'!H20-'Water Reading'!H19</f>
        <v>42</v>
      </c>
      <c r="F20" s="89">
        <f t="shared" si="3"/>
        <v>0.13003095975232198</v>
      </c>
      <c r="G20" s="93">
        <f>('Water Reading'!D20-'Water Reading'!D19)-('Water Reading'!R20-'Water Reading'!R19)-('Water Reading'!Q20-'Water Reading'!Q19)</f>
        <v>151</v>
      </c>
      <c r="H20" s="89">
        <f t="shared" si="4"/>
        <v>0.46749226006191952</v>
      </c>
      <c r="I20" s="90">
        <f>'Water Reading'!P20-'Water Reading'!P19</f>
        <v>15</v>
      </c>
      <c r="J20" s="68">
        <f t="shared" si="5"/>
        <v>4.6439628482972138E-2</v>
      </c>
      <c r="K20" s="91">
        <f>('Water Reading'!I20-'Water Reading'!I19)-('Water Reading'!P20-'Water Reading'!P19)</f>
        <v>16</v>
      </c>
      <c r="L20" s="68">
        <f t="shared" si="6"/>
        <v>4.9535603715170282E-2</v>
      </c>
      <c r="M20" s="90">
        <f>'Water Reading'!R20-'Water Reading'!R19</f>
        <v>4</v>
      </c>
      <c r="N20" s="92">
        <f t="shared" si="7"/>
        <v>1.238390092879257E-2</v>
      </c>
      <c r="O20" s="90">
        <f>'Water Reading'!Q20-'Water Reading'!Q19</f>
        <v>6</v>
      </c>
      <c r="P20" s="99">
        <f t="shared" si="8"/>
        <v>1.8575851393188854E-2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96</v>
      </c>
      <c r="T20" s="100">
        <f t="shared" si="10"/>
        <v>0.29721362229102166</v>
      </c>
      <c r="U20" s="90">
        <f>'Water Reading'!G20-'Water Reading'!G19</f>
        <v>18</v>
      </c>
      <c r="V20" s="100">
        <f t="shared" si="11"/>
        <v>5.5727554179566562E-2</v>
      </c>
      <c r="W20" s="90">
        <f>'Water Reading'!J20-'Water Reading'!J19</f>
        <v>21</v>
      </c>
      <c r="X20" s="100">
        <f t="shared" si="12"/>
        <v>6.5015479876160992E-2</v>
      </c>
      <c r="Y20" s="66">
        <f t="shared" si="0"/>
        <v>369</v>
      </c>
      <c r="Z20" s="67">
        <f t="shared" si="1"/>
        <v>1.0664739884393064</v>
      </c>
    </row>
    <row r="21" spans="1:26" x14ac:dyDescent="0.25">
      <c r="A21" s="8">
        <f>'Water Reading'!A20</f>
        <v>44365</v>
      </c>
      <c r="B21" s="65">
        <f>TOTAL!I19</f>
        <v>327</v>
      </c>
      <c r="C21" s="66">
        <f>('Water Reading'!B21-'Water Reading'!B20)+('Water Reading'!C21-'Water Reading'!C20)</f>
        <v>297</v>
      </c>
      <c r="D21" s="67">
        <f t="shared" si="2"/>
        <v>0.90825688073394495</v>
      </c>
      <c r="E21" s="87">
        <f>'Water Reading'!H21-'Water Reading'!H20</f>
        <v>55</v>
      </c>
      <c r="F21" s="89">
        <f t="shared" si="3"/>
        <v>0.18518518518518517</v>
      </c>
      <c r="G21" s="93">
        <f>('Water Reading'!D21-'Water Reading'!D20)-('Water Reading'!R21-'Water Reading'!R20)-('Water Reading'!Q21-'Water Reading'!Q20)</f>
        <v>140</v>
      </c>
      <c r="H21" s="89">
        <f t="shared" si="4"/>
        <v>0.4713804713804714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13</v>
      </c>
      <c r="L21" s="68">
        <f t="shared" si="6"/>
        <v>4.3771043771043773E-2</v>
      </c>
      <c r="M21" s="90">
        <f>'Water Reading'!R21-'Water Reading'!R20</f>
        <v>1</v>
      </c>
      <c r="N21" s="92">
        <f t="shared" si="7"/>
        <v>3.3670033670033669E-3</v>
      </c>
      <c r="O21" s="90">
        <f>'Water Reading'!Q21-'Water Reading'!Q20</f>
        <v>2</v>
      </c>
      <c r="P21" s="99">
        <f t="shared" si="8"/>
        <v>6.7340067340067337E-3</v>
      </c>
      <c r="Q21" s="91">
        <f>'Water Reading'!F21-'Water Reading'!F20</f>
        <v>2</v>
      </c>
      <c r="R21" s="100">
        <f t="shared" si="9"/>
        <v>6.7340067340067337E-3</v>
      </c>
      <c r="S21" s="94">
        <f>'Water Reading'!E21-'Water Reading'!E20</f>
        <v>103</v>
      </c>
      <c r="T21" s="100">
        <f t="shared" si="10"/>
        <v>0.34680134680134678</v>
      </c>
      <c r="U21" s="90">
        <f>'Water Reading'!G21-'Water Reading'!G20</f>
        <v>17</v>
      </c>
      <c r="V21" s="100">
        <f t="shared" si="11"/>
        <v>5.7239057239057242E-2</v>
      </c>
      <c r="W21" s="90">
        <f>'Water Reading'!J21-'Water Reading'!J20</f>
        <v>16</v>
      </c>
      <c r="X21" s="100">
        <f t="shared" si="12"/>
        <v>5.387205387205387E-2</v>
      </c>
      <c r="Y21" s="66">
        <f t="shared" si="0"/>
        <v>349</v>
      </c>
      <c r="Z21" s="67">
        <f t="shared" si="1"/>
        <v>1.0672782874617737</v>
      </c>
    </row>
    <row r="22" spans="1:26" x14ac:dyDescent="0.25">
      <c r="A22" s="8">
        <f>'Water Reading'!A21</f>
        <v>44366</v>
      </c>
      <c r="B22" s="65">
        <f>TOTAL!I20</f>
        <v>283</v>
      </c>
      <c r="C22" s="66">
        <f>('Water Reading'!B22-'Water Reading'!B21)+('Water Reading'!C22-'Water Reading'!C21)</f>
        <v>496</v>
      </c>
      <c r="D22" s="67">
        <f t="shared" si="2"/>
        <v>1.7526501766784452</v>
      </c>
      <c r="E22" s="87">
        <f>'Water Reading'!H22-'Water Reading'!H21</f>
        <v>75</v>
      </c>
      <c r="F22" s="89">
        <f t="shared" si="3"/>
        <v>0.15120967741935484</v>
      </c>
      <c r="G22" s="93">
        <f>('Water Reading'!D22-'Water Reading'!D21)-('Water Reading'!R22-'Water Reading'!R21)-('Water Reading'!Q22-'Water Reading'!Q21)</f>
        <v>133</v>
      </c>
      <c r="H22" s="89">
        <f t="shared" si="4"/>
        <v>0.26814516129032256</v>
      </c>
      <c r="I22" s="90">
        <f>'Water Reading'!P22-'Water Reading'!P21</f>
        <v>12</v>
      </c>
      <c r="J22" s="68">
        <f t="shared" si="5"/>
        <v>2.4193548387096774E-2</v>
      </c>
      <c r="K22" s="91">
        <f>('Water Reading'!I22-'Water Reading'!I21)-('Water Reading'!P22-'Water Reading'!P21)</f>
        <v>15</v>
      </c>
      <c r="L22" s="68">
        <f t="shared" si="6"/>
        <v>3.0241935483870969E-2</v>
      </c>
      <c r="M22" s="90">
        <f>'Water Reading'!R22-'Water Reading'!R21</f>
        <v>5</v>
      </c>
      <c r="N22" s="92">
        <f t="shared" si="7"/>
        <v>1.0080645161290322E-2</v>
      </c>
      <c r="O22" s="90">
        <f>'Water Reading'!Q22-'Water Reading'!Q21</f>
        <v>1</v>
      </c>
      <c r="P22" s="99">
        <f t="shared" si="8"/>
        <v>2.0161290322580645E-3</v>
      </c>
      <c r="Q22" s="91">
        <f>'Water Reading'!F22-'Water Reading'!F21</f>
        <v>1</v>
      </c>
      <c r="R22" s="100">
        <f t="shared" si="9"/>
        <v>2.0161290322580645E-3</v>
      </c>
      <c r="S22" s="94">
        <f>'Water Reading'!E22-'Water Reading'!E21</f>
        <v>51</v>
      </c>
      <c r="T22" s="100">
        <f t="shared" si="10"/>
        <v>0.1028225806451613</v>
      </c>
      <c r="U22" s="90">
        <f>'Water Reading'!G22-'Water Reading'!G21</f>
        <v>14</v>
      </c>
      <c r="V22" s="100">
        <f t="shared" si="11"/>
        <v>2.8225806451612902E-2</v>
      </c>
      <c r="W22" s="90">
        <f>'Water Reading'!J22-'Water Reading'!J21</f>
        <v>17</v>
      </c>
      <c r="X22" s="100">
        <f t="shared" si="12"/>
        <v>3.4274193548387094E-2</v>
      </c>
      <c r="Y22" s="66">
        <f t="shared" si="0"/>
        <v>324</v>
      </c>
      <c r="Z22" s="67">
        <f t="shared" si="1"/>
        <v>1.1448763250883391</v>
      </c>
    </row>
    <row r="23" spans="1:26" x14ac:dyDescent="0.25">
      <c r="A23" s="8">
        <f>'Water Reading'!A22</f>
        <v>44367</v>
      </c>
      <c r="B23" s="65">
        <f>TOTAL!I21</f>
        <v>273</v>
      </c>
      <c r="C23" s="66">
        <f>('Water Reading'!B23-'Water Reading'!B22)+('Water Reading'!C23-'Water Reading'!C22)</f>
        <v>424</v>
      </c>
      <c r="D23" s="67">
        <f t="shared" si="2"/>
        <v>1.5531135531135531</v>
      </c>
      <c r="E23" s="87">
        <f>'Water Reading'!H23-'Water Reading'!H22</f>
        <v>58</v>
      </c>
      <c r="F23" s="89">
        <f t="shared" si="3"/>
        <v>0.13679245283018868</v>
      </c>
      <c r="G23" s="93">
        <f>('Water Reading'!D23-'Water Reading'!D22)-('Water Reading'!R23-'Water Reading'!R22)-('Water Reading'!Q23-'Water Reading'!Q22)</f>
        <v>128</v>
      </c>
      <c r="H23" s="89">
        <f t="shared" si="4"/>
        <v>0.30188679245283018</v>
      </c>
      <c r="I23" s="90">
        <f>'Water Reading'!P23-'Water Reading'!P22</f>
        <v>12</v>
      </c>
      <c r="J23" s="68">
        <f t="shared" si="5"/>
        <v>2.8301886792452831E-2</v>
      </c>
      <c r="K23" s="91">
        <f>('Water Reading'!I23-'Water Reading'!I22)-('Water Reading'!P23-'Water Reading'!P22)</f>
        <v>13</v>
      </c>
      <c r="L23" s="68">
        <f t="shared" si="6"/>
        <v>3.0660377358490566E-2</v>
      </c>
      <c r="M23" s="90">
        <f>'Water Reading'!R23-'Water Reading'!R22</f>
        <v>6</v>
      </c>
      <c r="N23" s="92">
        <f t="shared" si="7"/>
        <v>1.4150943396226415E-2</v>
      </c>
      <c r="O23" s="90">
        <f>'Water Reading'!Q23-'Water Reading'!Q22</f>
        <v>11</v>
      </c>
      <c r="P23" s="99">
        <f t="shared" si="8"/>
        <v>2.5943396226415096E-2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53</v>
      </c>
      <c r="T23" s="100">
        <f t="shared" si="10"/>
        <v>0.125</v>
      </c>
      <c r="U23" s="90">
        <f>'Water Reading'!G23-'Water Reading'!G22</f>
        <v>16</v>
      </c>
      <c r="V23" s="100">
        <f t="shared" si="11"/>
        <v>3.7735849056603772E-2</v>
      </c>
      <c r="W23" s="90">
        <f>'Water Reading'!J23-'Water Reading'!J22</f>
        <v>20</v>
      </c>
      <c r="X23" s="100">
        <f t="shared" si="12"/>
        <v>4.716981132075472E-2</v>
      </c>
      <c r="Y23" s="66">
        <f t="shared" si="0"/>
        <v>317</v>
      </c>
      <c r="Z23" s="67">
        <f t="shared" si="1"/>
        <v>1.1611721611721613</v>
      </c>
    </row>
    <row r="24" spans="1:26" x14ac:dyDescent="0.25">
      <c r="A24" s="8">
        <f>'Water Reading'!A23</f>
        <v>44368</v>
      </c>
      <c r="B24" s="65">
        <f>TOTAL!I22</f>
        <v>298</v>
      </c>
      <c r="C24" s="66">
        <f>('Water Reading'!B24-'Water Reading'!B23)+('Water Reading'!C24-'Water Reading'!C23)</f>
        <v>457</v>
      </c>
      <c r="D24" s="67">
        <f t="shared" si="2"/>
        <v>1.5335570469798658</v>
      </c>
      <c r="E24" s="87">
        <f>'Water Reading'!H24-'Water Reading'!H23</f>
        <v>45</v>
      </c>
      <c r="F24" s="89">
        <f t="shared" si="3"/>
        <v>9.8468271334792121E-2</v>
      </c>
      <c r="G24" s="93">
        <f>('Water Reading'!D24-'Water Reading'!D23)-('Water Reading'!R24-'Water Reading'!R23)-('Water Reading'!Q24-'Water Reading'!Q23)</f>
        <v>137</v>
      </c>
      <c r="H24" s="89">
        <f t="shared" si="4"/>
        <v>0.29978118161925604</v>
      </c>
      <c r="I24" s="90">
        <f>'Water Reading'!P24-'Water Reading'!P23</f>
        <v>12</v>
      </c>
      <c r="J24" s="68">
        <f t="shared" si="5"/>
        <v>2.6258205689277898E-2</v>
      </c>
      <c r="K24" s="91">
        <f>('Water Reading'!I24-'Water Reading'!I23)-('Water Reading'!P24-'Water Reading'!P23)</f>
        <v>18</v>
      </c>
      <c r="L24" s="68">
        <f t="shared" si="6"/>
        <v>3.9387308533916851E-2</v>
      </c>
      <c r="M24" s="90">
        <f>'Water Reading'!R24-'Water Reading'!R23</f>
        <v>4</v>
      </c>
      <c r="N24" s="92">
        <f t="shared" si="7"/>
        <v>8.7527352297592995E-3</v>
      </c>
      <c r="O24" s="90">
        <f>'Water Reading'!Q24-'Water Reading'!Q23</f>
        <v>8</v>
      </c>
      <c r="P24" s="99">
        <f t="shared" si="8"/>
        <v>1.7505470459518599E-2</v>
      </c>
      <c r="Q24" s="91">
        <f>'Water Reading'!F24-'Water Reading'!F23</f>
        <v>1</v>
      </c>
      <c r="R24" s="100">
        <f t="shared" si="9"/>
        <v>2.1881838074398249E-3</v>
      </c>
      <c r="S24" s="94">
        <f>'Water Reading'!E24-'Water Reading'!E23</f>
        <v>55</v>
      </c>
      <c r="T24" s="100">
        <f t="shared" si="10"/>
        <v>0.12035010940919037</v>
      </c>
      <c r="U24" s="90">
        <f>'Water Reading'!G24-'Water Reading'!G23</f>
        <v>18</v>
      </c>
      <c r="V24" s="100">
        <f t="shared" si="11"/>
        <v>3.9387308533916851E-2</v>
      </c>
      <c r="W24" s="90">
        <f>'Water Reading'!J24-'Water Reading'!J23</f>
        <v>19</v>
      </c>
      <c r="X24" s="100">
        <f t="shared" si="12"/>
        <v>4.1575492341356671E-2</v>
      </c>
      <c r="Y24" s="66">
        <f t="shared" si="0"/>
        <v>317</v>
      </c>
      <c r="Z24" s="67">
        <f t="shared" si="1"/>
        <v>1.063758389261745</v>
      </c>
    </row>
    <row r="25" spans="1:26" x14ac:dyDescent="0.25">
      <c r="A25" s="8">
        <f>'Water Reading'!A24</f>
        <v>44369</v>
      </c>
      <c r="B25" s="65">
        <f>TOTAL!I23</f>
        <v>328</v>
      </c>
      <c r="C25" s="66">
        <f>('Water Reading'!B25-'Water Reading'!B24)+('Water Reading'!C25-'Water Reading'!C24)</f>
        <v>210</v>
      </c>
      <c r="D25" s="67">
        <f t="shared" si="2"/>
        <v>0.6402439024390244</v>
      </c>
      <c r="E25" s="87">
        <f>'Water Reading'!H25-'Water Reading'!H24</f>
        <v>74</v>
      </c>
      <c r="F25" s="89">
        <f t="shared" si="3"/>
        <v>0.35238095238095241</v>
      </c>
      <c r="G25" s="93">
        <f>('Water Reading'!D25-'Water Reading'!D24)-('Water Reading'!R25-'Water Reading'!R24)-('Water Reading'!Q25-'Water Reading'!Q24)</f>
        <v>164</v>
      </c>
      <c r="H25" s="89">
        <f t="shared" si="4"/>
        <v>0.78095238095238095</v>
      </c>
      <c r="I25" s="90">
        <f>'Water Reading'!P25-'Water Reading'!P24</f>
        <v>0</v>
      </c>
      <c r="J25" s="68">
        <f t="shared" si="5"/>
        <v>0</v>
      </c>
      <c r="K25" s="91">
        <f>('Water Reading'!I25-'Water Reading'!I24)-('Water Reading'!P25-'Water Reading'!P24)</f>
        <v>13</v>
      </c>
      <c r="L25" s="68">
        <f t="shared" si="6"/>
        <v>6.1904761904761907E-2</v>
      </c>
      <c r="M25" s="90">
        <f>'Water Reading'!R25-'Water Reading'!R24</f>
        <v>6</v>
      </c>
      <c r="N25" s="92">
        <f t="shared" si="7"/>
        <v>2.8571428571428571E-2</v>
      </c>
      <c r="O25" s="90">
        <f>'Water Reading'!Q25-'Water Reading'!Q24</f>
        <v>2</v>
      </c>
      <c r="P25" s="99">
        <f t="shared" si="8"/>
        <v>9.5238095238095247E-3</v>
      </c>
      <c r="Q25" s="91">
        <f>'Water Reading'!F25-'Water Reading'!F24</f>
        <v>1</v>
      </c>
      <c r="R25" s="100">
        <f t="shared" si="9"/>
        <v>4.7619047619047623E-3</v>
      </c>
      <c r="S25" s="94">
        <f>'Water Reading'!E25-'Water Reading'!E24</f>
        <v>68</v>
      </c>
      <c r="T25" s="100">
        <f t="shared" si="10"/>
        <v>0.32380952380952382</v>
      </c>
      <c r="U25" s="90">
        <f>'Water Reading'!G25-'Water Reading'!G24</f>
        <v>16</v>
      </c>
      <c r="V25" s="100">
        <f t="shared" si="11"/>
        <v>7.6190476190476197E-2</v>
      </c>
      <c r="W25" s="90">
        <f>'Water Reading'!J25-'Water Reading'!J24</f>
        <v>19</v>
      </c>
      <c r="X25" s="100">
        <f t="shared" si="12"/>
        <v>9.0476190476190474E-2</v>
      </c>
      <c r="Y25" s="66">
        <f t="shared" si="0"/>
        <v>363</v>
      </c>
      <c r="Z25" s="67">
        <f t="shared" si="1"/>
        <v>1.1067073170731707</v>
      </c>
    </row>
    <row r="26" spans="1:26" x14ac:dyDescent="0.25">
      <c r="A26" s="8">
        <f>'Water Reading'!A25</f>
        <v>44370</v>
      </c>
      <c r="B26" s="65">
        <f>TOTAL!I24</f>
        <v>273</v>
      </c>
      <c r="C26" s="66">
        <f>('Water Reading'!B26-'Water Reading'!B25)+('Water Reading'!C26-'Water Reading'!C25)</f>
        <v>361</v>
      </c>
      <c r="D26" s="67">
        <f t="shared" si="2"/>
        <v>1.3223443223443223</v>
      </c>
      <c r="E26" s="87">
        <f>'Water Reading'!H26-'Water Reading'!H25</f>
        <v>52</v>
      </c>
      <c r="F26" s="89">
        <f t="shared" si="3"/>
        <v>0.1440443213296399</v>
      </c>
      <c r="G26" s="93">
        <f>('Water Reading'!D26-'Water Reading'!D25)-('Water Reading'!R26-'Water Reading'!R25)-('Water Reading'!Q26-'Water Reading'!Q25)</f>
        <v>107</v>
      </c>
      <c r="H26" s="89">
        <f t="shared" si="4"/>
        <v>0.296398891966759</v>
      </c>
      <c r="I26" s="90">
        <f>'Water Reading'!P26-'Water Reading'!P25</f>
        <v>16</v>
      </c>
      <c r="J26" s="68">
        <f t="shared" si="5"/>
        <v>4.4321329639889197E-2</v>
      </c>
      <c r="K26" s="91">
        <f>('Water Reading'!I26-'Water Reading'!I25)-('Water Reading'!P26-'Water Reading'!P25)</f>
        <v>8</v>
      </c>
      <c r="L26" s="68">
        <f t="shared" si="6"/>
        <v>2.2160664819944598E-2</v>
      </c>
      <c r="M26" s="90">
        <f>'Water Reading'!R26-'Water Reading'!R25</f>
        <v>4</v>
      </c>
      <c r="N26" s="92">
        <f t="shared" si="7"/>
        <v>1.1080332409972299E-2</v>
      </c>
      <c r="O26" s="90">
        <f>'Water Reading'!Q26-'Water Reading'!Q25</f>
        <v>17</v>
      </c>
      <c r="P26" s="99">
        <f t="shared" si="8"/>
        <v>4.7091412742382273E-2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0.16066481994459833</v>
      </c>
      <c r="U26" s="90">
        <f>'Water Reading'!G26-'Water Reading'!G25</f>
        <v>17</v>
      </c>
      <c r="V26" s="100">
        <f t="shared" si="11"/>
        <v>4.7091412742382273E-2</v>
      </c>
      <c r="W26" s="90">
        <f>'Water Reading'!J26-'Water Reading'!J25</f>
        <v>20</v>
      </c>
      <c r="X26" s="100">
        <f t="shared" si="12"/>
        <v>5.5401662049861494E-2</v>
      </c>
      <c r="Y26" s="66">
        <f t="shared" si="0"/>
        <v>299</v>
      </c>
      <c r="Z26" s="67">
        <f t="shared" si="1"/>
        <v>1.0952380952380953</v>
      </c>
    </row>
    <row r="27" spans="1:26" x14ac:dyDescent="0.25">
      <c r="A27" s="8">
        <f>'Water Reading'!A26</f>
        <v>44371</v>
      </c>
      <c r="B27" s="65">
        <f>TOTAL!I25</f>
        <v>222</v>
      </c>
      <c r="C27" s="66">
        <f>('Water Reading'!B27-'Water Reading'!B26)+('Water Reading'!C27-'Water Reading'!C26)</f>
        <v>835</v>
      </c>
      <c r="D27" s="67">
        <f t="shared" si="2"/>
        <v>3.7612612612612613</v>
      </c>
      <c r="E27" s="87">
        <f>'Water Reading'!H27-'Water Reading'!H26</f>
        <v>40</v>
      </c>
      <c r="F27" s="89">
        <f t="shared" si="3"/>
        <v>4.790419161676647E-2</v>
      </c>
      <c r="G27" s="93">
        <f>('Water Reading'!D27-'Water Reading'!D26)-('Water Reading'!R27-'Water Reading'!R26)-('Water Reading'!Q27-'Water Reading'!Q26)</f>
        <v>164</v>
      </c>
      <c r="H27" s="89">
        <f t="shared" si="4"/>
        <v>0.19640718562874251</v>
      </c>
      <c r="I27" s="90">
        <f>'Water Reading'!P27-'Water Reading'!P26</f>
        <v>13</v>
      </c>
      <c r="J27" s="68">
        <f t="shared" si="5"/>
        <v>1.5568862275449102E-2</v>
      </c>
      <c r="K27" s="91">
        <f>('Water Reading'!I27-'Water Reading'!I26)-('Water Reading'!P27-'Water Reading'!P26)</f>
        <v>17</v>
      </c>
      <c r="L27" s="68">
        <f t="shared" si="6"/>
        <v>2.0359281437125749E-2</v>
      </c>
      <c r="M27" s="90">
        <f>'Water Reading'!R27-'Water Reading'!R26</f>
        <v>4</v>
      </c>
      <c r="N27" s="92">
        <f t="shared" si="7"/>
        <v>4.7904191616766467E-3</v>
      </c>
      <c r="O27" s="90">
        <f>'Water Reading'!Q27-'Water Reading'!Q26</f>
        <v>2</v>
      </c>
      <c r="P27" s="99">
        <f t="shared" si="8"/>
        <v>2.3952095808383233E-3</v>
      </c>
      <c r="Q27" s="91">
        <f>'Water Reading'!F27-'Water Reading'!F26</f>
        <v>1</v>
      </c>
      <c r="R27" s="100">
        <f t="shared" si="9"/>
        <v>1.1976047904191617E-3</v>
      </c>
      <c r="S27" s="94">
        <f>'Water Reading'!E27-'Water Reading'!E26</f>
        <v>56</v>
      </c>
      <c r="T27" s="100">
        <f t="shared" si="10"/>
        <v>6.706586826347305E-2</v>
      </c>
      <c r="U27" s="90">
        <f>'Water Reading'!G27-'Water Reading'!G26</f>
        <v>15</v>
      </c>
      <c r="V27" s="100">
        <f t="shared" si="11"/>
        <v>1.7964071856287425E-2</v>
      </c>
      <c r="W27" s="90">
        <f>'Water Reading'!J27-'Water Reading'!J26</f>
        <v>19</v>
      </c>
      <c r="X27" s="100">
        <f t="shared" si="12"/>
        <v>2.2754491017964073E-2</v>
      </c>
      <c r="Y27" s="66">
        <f t="shared" si="0"/>
        <v>331</v>
      </c>
      <c r="Z27" s="67">
        <f t="shared" si="1"/>
        <v>1.4909909909909911</v>
      </c>
    </row>
    <row r="28" spans="1:26" x14ac:dyDescent="0.25">
      <c r="A28" s="8">
        <f>'Water Reading'!A27</f>
        <v>44372</v>
      </c>
      <c r="B28" s="65">
        <f>TOTAL!I26</f>
        <v>309</v>
      </c>
      <c r="C28" s="66">
        <f>('Water Reading'!B28-'Water Reading'!B27)+('Water Reading'!C28-'Water Reading'!C27)</f>
        <v>917</v>
      </c>
      <c r="D28" s="67">
        <f t="shared" si="2"/>
        <v>2.9676375404530746</v>
      </c>
      <c r="E28" s="87">
        <f>'Water Reading'!H28-'Water Reading'!H27</f>
        <v>53</v>
      </c>
      <c r="F28" s="89">
        <f t="shared" si="3"/>
        <v>5.7797164667393673E-2</v>
      </c>
      <c r="G28" s="93">
        <f>('Water Reading'!D28-'Water Reading'!D27)-('Water Reading'!R28-'Water Reading'!R27)-('Water Reading'!Q28-'Water Reading'!Q27)</f>
        <v>183</v>
      </c>
      <c r="H28" s="89">
        <f t="shared" si="4"/>
        <v>0.19956379498364232</v>
      </c>
      <c r="I28" s="90">
        <f>'Water Reading'!P28-'Water Reading'!P27</f>
        <v>0</v>
      </c>
      <c r="J28" s="68">
        <f t="shared" si="5"/>
        <v>0</v>
      </c>
      <c r="K28" s="91">
        <f>('Water Reading'!I28-'Water Reading'!I27)-('Water Reading'!P28-'Water Reading'!P27)</f>
        <v>13</v>
      </c>
      <c r="L28" s="68">
        <f t="shared" si="6"/>
        <v>1.4176663031624863E-2</v>
      </c>
      <c r="M28" s="90">
        <f>'Water Reading'!R28-'Water Reading'!R27</f>
        <v>2</v>
      </c>
      <c r="N28" s="92">
        <f t="shared" si="7"/>
        <v>2.1810250817884407E-3</v>
      </c>
      <c r="O28" s="90">
        <f>'Water Reading'!Q28-'Water Reading'!Q27</f>
        <v>4</v>
      </c>
      <c r="P28" s="99">
        <f t="shared" si="8"/>
        <v>4.3620501635768813E-3</v>
      </c>
      <c r="Q28" s="91">
        <f>'Water Reading'!F28-'Water Reading'!F27</f>
        <v>3</v>
      </c>
      <c r="R28" s="100">
        <f t="shared" si="9"/>
        <v>3.2715376226826608E-3</v>
      </c>
      <c r="S28" s="94">
        <f>'Water Reading'!E28-'Water Reading'!E27</f>
        <v>59</v>
      </c>
      <c r="T28" s="100">
        <f t="shared" si="10"/>
        <v>6.4340239912759001E-2</v>
      </c>
      <c r="U28" s="90">
        <f>'Water Reading'!G28-'Water Reading'!G27</f>
        <v>20</v>
      </c>
      <c r="V28" s="100">
        <f t="shared" si="11"/>
        <v>2.1810250817884406E-2</v>
      </c>
      <c r="W28" s="90">
        <f>'Water Reading'!J28-'Water Reading'!J27</f>
        <v>21</v>
      </c>
      <c r="X28" s="100">
        <f t="shared" si="12"/>
        <v>2.2900763358778626E-2</v>
      </c>
      <c r="Y28" s="66">
        <f t="shared" si="0"/>
        <v>358</v>
      </c>
      <c r="Z28" s="67">
        <f t="shared" si="1"/>
        <v>1.1585760517799353</v>
      </c>
    </row>
    <row r="29" spans="1:26" x14ac:dyDescent="0.25">
      <c r="A29" s="8">
        <f>'Water Reading'!A28</f>
        <v>44373</v>
      </c>
      <c r="B29" s="65">
        <f>TOTAL!I27</f>
        <v>290</v>
      </c>
      <c r="C29" s="66">
        <f>('Water Reading'!B29-'Water Reading'!B28)+('Water Reading'!C29-'Water Reading'!C28)</f>
        <v>302</v>
      </c>
      <c r="D29" s="67">
        <f t="shared" si="2"/>
        <v>1.0413793103448277</v>
      </c>
      <c r="E29" s="87">
        <f>'Water Reading'!H29-'Water Reading'!H28</f>
        <v>50</v>
      </c>
      <c r="F29" s="89">
        <f t="shared" si="3"/>
        <v>0.16556291390728478</v>
      </c>
      <c r="G29" s="93">
        <f>('Water Reading'!D29-'Water Reading'!D28)-('Water Reading'!R29-'Water Reading'!R28)-('Water Reading'!Q29-'Water Reading'!Q28)</f>
        <v>124</v>
      </c>
      <c r="H29" s="89">
        <f t="shared" si="4"/>
        <v>0.41059602649006621</v>
      </c>
      <c r="I29" s="90">
        <f>'Water Reading'!P29-'Water Reading'!P28</f>
        <v>0</v>
      </c>
      <c r="J29" s="68">
        <f t="shared" si="5"/>
        <v>0</v>
      </c>
      <c r="K29" s="91">
        <f>('Water Reading'!I29-'Water Reading'!I28)-('Water Reading'!P29-'Water Reading'!P28)</f>
        <v>52</v>
      </c>
      <c r="L29" s="68">
        <f t="shared" si="6"/>
        <v>0.17218543046357615</v>
      </c>
      <c r="M29" s="90">
        <f>'Water Reading'!R29-'Water Reading'!R28</f>
        <v>6</v>
      </c>
      <c r="N29" s="92">
        <f t="shared" si="7"/>
        <v>1.9867549668874173E-2</v>
      </c>
      <c r="O29" s="90">
        <f>'Water Reading'!Q29-'Water Reading'!Q28</f>
        <v>2</v>
      </c>
      <c r="P29" s="99">
        <f t="shared" si="8"/>
        <v>6.6225165562913907E-3</v>
      </c>
      <c r="Q29" s="91">
        <f>'Water Reading'!F29-'Water Reading'!F28</f>
        <v>-2</v>
      </c>
      <c r="R29" s="100">
        <f t="shared" si="9"/>
        <v>-6.6225165562913907E-3</v>
      </c>
      <c r="S29" s="94">
        <f>'Water Reading'!E29-'Water Reading'!E28</f>
        <v>47</v>
      </c>
      <c r="T29" s="100">
        <f t="shared" si="10"/>
        <v>0.15562913907284767</v>
      </c>
      <c r="U29" s="90">
        <f>'Water Reading'!G29-'Water Reading'!G28</f>
        <v>14</v>
      </c>
      <c r="V29" s="100">
        <f t="shared" si="11"/>
        <v>4.6357615894039736E-2</v>
      </c>
      <c r="W29" s="90">
        <f>'Water Reading'!J29-'Water Reading'!J28</f>
        <v>18</v>
      </c>
      <c r="X29" s="100">
        <f t="shared" si="12"/>
        <v>5.9602649006622516E-2</v>
      </c>
      <c r="Y29" s="66">
        <f t="shared" si="0"/>
        <v>311</v>
      </c>
      <c r="Z29" s="67">
        <f t="shared" si="1"/>
        <v>1.0724137931034483</v>
      </c>
    </row>
    <row r="30" spans="1:26" x14ac:dyDescent="0.25">
      <c r="A30" s="8">
        <f>'Water Reading'!A29</f>
        <v>44374</v>
      </c>
      <c r="B30" s="65">
        <f>TOTAL!I28</f>
        <v>296</v>
      </c>
      <c r="C30" s="66">
        <f>('Water Reading'!B30-'Water Reading'!B29)+('Water Reading'!C30-'Water Reading'!C29)</f>
        <v>476</v>
      </c>
      <c r="D30" s="67">
        <f t="shared" si="2"/>
        <v>1.6081081081081081</v>
      </c>
      <c r="E30" s="87">
        <f>'Water Reading'!H30-'Water Reading'!H29</f>
        <v>45</v>
      </c>
      <c r="F30" s="89">
        <f t="shared" si="3"/>
        <v>9.4537815126050417E-2</v>
      </c>
      <c r="G30" s="93">
        <f>('Water Reading'!D30-'Water Reading'!D29)-('Water Reading'!R30-'Water Reading'!R29)-('Water Reading'!Q30-'Water Reading'!Q29)</f>
        <v>161</v>
      </c>
      <c r="H30" s="89">
        <f t="shared" si="4"/>
        <v>0.33823529411764708</v>
      </c>
      <c r="I30" s="90">
        <f>'Water Reading'!P30-'Water Reading'!P29</f>
        <v>0</v>
      </c>
      <c r="J30" s="68">
        <f t="shared" si="5"/>
        <v>0</v>
      </c>
      <c r="K30" s="91">
        <f>('Water Reading'!I30-'Water Reading'!I29)-('Water Reading'!P30-'Water Reading'!P29)</f>
        <v>-28</v>
      </c>
      <c r="L30" s="68">
        <f t="shared" si="6"/>
        <v>-5.8823529411764705E-2</v>
      </c>
      <c r="M30" s="90">
        <f>'Water Reading'!R30-'Water Reading'!R29</f>
        <v>3</v>
      </c>
      <c r="N30" s="92">
        <f t="shared" si="7"/>
        <v>6.3025210084033615E-3</v>
      </c>
      <c r="O30" s="90">
        <f>'Water Reading'!Q30-'Water Reading'!Q29</f>
        <v>4</v>
      </c>
      <c r="P30" s="99">
        <f t="shared" si="8"/>
        <v>8.4033613445378148E-3</v>
      </c>
      <c r="Q30" s="91">
        <f>'Water Reading'!F30-'Water Reading'!F29</f>
        <v>1</v>
      </c>
      <c r="R30" s="100">
        <f t="shared" si="9"/>
        <v>2.1008403361344537E-3</v>
      </c>
      <c r="S30" s="94">
        <f>'Water Reading'!E30-'Water Reading'!E29</f>
        <v>53</v>
      </c>
      <c r="T30" s="100">
        <f t="shared" si="10"/>
        <v>0.11134453781512606</v>
      </c>
      <c r="U30" s="90">
        <f>'Water Reading'!G30-'Water Reading'!G29</f>
        <v>19</v>
      </c>
      <c r="V30" s="100">
        <f t="shared" si="11"/>
        <v>3.9915966386554619E-2</v>
      </c>
      <c r="W30" s="90">
        <f>'Water Reading'!J30-'Water Reading'!J29</f>
        <v>20</v>
      </c>
      <c r="X30" s="100">
        <f t="shared" si="12"/>
        <v>4.2016806722689079E-2</v>
      </c>
      <c r="Y30" s="66">
        <f t="shared" si="0"/>
        <v>278</v>
      </c>
      <c r="Z30" s="67">
        <f t="shared" si="1"/>
        <v>0.93918918918918914</v>
      </c>
    </row>
    <row r="31" spans="1:26" x14ac:dyDescent="0.25">
      <c r="A31" s="8">
        <f>'Water Reading'!A30</f>
        <v>44375</v>
      </c>
      <c r="B31" s="65">
        <f>TOTAL!I29</f>
        <v>185</v>
      </c>
      <c r="C31" s="66">
        <f>('Water Reading'!B31-'Water Reading'!B30)+('Water Reading'!C31-'Water Reading'!C30)</f>
        <v>505</v>
      </c>
      <c r="D31" s="67">
        <f t="shared" si="2"/>
        <v>2.7297297297297298</v>
      </c>
      <c r="E31" s="87">
        <f>'Water Reading'!H31-'Water Reading'!H30</f>
        <v>53</v>
      </c>
      <c r="F31" s="89">
        <f t="shared" si="3"/>
        <v>0.10495049504950495</v>
      </c>
      <c r="G31" s="93">
        <f>('Water Reading'!D31-'Water Reading'!D30)-('Water Reading'!R31-'Water Reading'!R30)-('Water Reading'!Q31-'Water Reading'!Q30)</f>
        <v>107</v>
      </c>
      <c r="H31" s="89">
        <f t="shared" si="4"/>
        <v>0.21188118811881188</v>
      </c>
      <c r="I31" s="90">
        <f>'Water Reading'!P31-'Water Reading'!P30</f>
        <v>13</v>
      </c>
      <c r="J31" s="68">
        <f t="shared" si="5"/>
        <v>2.5742574257425741E-2</v>
      </c>
      <c r="K31" s="91">
        <f>('Water Reading'!I31-'Water Reading'!I30)-('Water Reading'!P31-'Water Reading'!P30)</f>
        <v>16</v>
      </c>
      <c r="L31" s="68">
        <f t="shared" si="6"/>
        <v>3.1683168316831684E-2</v>
      </c>
      <c r="M31" s="90">
        <f>'Water Reading'!R31-'Water Reading'!R30</f>
        <v>6</v>
      </c>
      <c r="N31" s="92">
        <f t="shared" si="7"/>
        <v>1.1881188118811881E-2</v>
      </c>
      <c r="O31" s="90">
        <f>'Water Reading'!Q31-'Water Reading'!Q30</f>
        <v>5</v>
      </c>
      <c r="P31" s="99">
        <f t="shared" si="8"/>
        <v>9.9009900990099011E-3</v>
      </c>
      <c r="Q31" s="91">
        <f>'Water Reading'!F31-'Water Reading'!F30</f>
        <v>0</v>
      </c>
      <c r="R31" s="100">
        <f t="shared" si="9"/>
        <v>0</v>
      </c>
      <c r="S31" s="94">
        <f>'Water Reading'!E31-'Water Reading'!E30</f>
        <v>57</v>
      </c>
      <c r="T31" s="100">
        <f t="shared" si="10"/>
        <v>0.11287128712871287</v>
      </c>
      <c r="U31" s="90">
        <f>'Water Reading'!G31-'Water Reading'!G30</f>
        <v>23</v>
      </c>
      <c r="V31" s="100">
        <f t="shared" si="11"/>
        <v>4.5544554455445543E-2</v>
      </c>
      <c r="W31" s="90">
        <f>'Water Reading'!J31-'Water Reading'!J30</f>
        <v>21</v>
      </c>
      <c r="X31" s="100">
        <f t="shared" si="12"/>
        <v>4.1584158415841586E-2</v>
      </c>
      <c r="Y31" s="66">
        <f t="shared" si="0"/>
        <v>301</v>
      </c>
      <c r="Z31" s="67">
        <f t="shared" si="1"/>
        <v>1.6270270270270271</v>
      </c>
    </row>
    <row r="32" spans="1:26" x14ac:dyDescent="0.25">
      <c r="A32" s="8">
        <f>'Water Reading'!A31</f>
        <v>44376</v>
      </c>
      <c r="B32" s="65">
        <f>TOTAL!I30</f>
        <v>247</v>
      </c>
      <c r="C32" s="66">
        <f>('Water Reading'!B32-'Water Reading'!B31)+('Water Reading'!C32-'Water Reading'!C31)</f>
        <v>403</v>
      </c>
      <c r="D32" s="67">
        <f t="shared" si="2"/>
        <v>1.631578947368421</v>
      </c>
      <c r="E32" s="87">
        <f>'Water Reading'!H32-'Water Reading'!H31</f>
        <v>26</v>
      </c>
      <c r="F32" s="89">
        <f t="shared" si="3"/>
        <v>6.4516129032258063E-2</v>
      </c>
      <c r="G32" s="93">
        <f>('Water Reading'!D32-'Water Reading'!D31)-('Water Reading'!R32-'Water Reading'!R31)-('Water Reading'!Q32-'Water Reading'!Q31)</f>
        <v>115</v>
      </c>
      <c r="H32" s="89">
        <f t="shared" si="4"/>
        <v>0.28535980148883372</v>
      </c>
      <c r="I32" s="90">
        <f>'Water Reading'!P32-'Water Reading'!P31</f>
        <v>0</v>
      </c>
      <c r="J32" s="68">
        <f t="shared" si="5"/>
        <v>0</v>
      </c>
      <c r="K32" s="91">
        <f>('Water Reading'!I32-'Water Reading'!I31)-('Water Reading'!P32-'Water Reading'!P31)</f>
        <v>11</v>
      </c>
      <c r="L32" s="68">
        <f t="shared" si="6"/>
        <v>2.729528535980149E-2</v>
      </c>
      <c r="M32" s="90">
        <f>'Water Reading'!R32-'Water Reading'!R31</f>
        <v>4</v>
      </c>
      <c r="N32" s="92">
        <f t="shared" si="7"/>
        <v>9.9255583126550868E-3</v>
      </c>
      <c r="O32" s="90">
        <f>'Water Reading'!Q32-'Water Reading'!Q31</f>
        <v>4</v>
      </c>
      <c r="P32" s="99">
        <f t="shared" si="8"/>
        <v>9.9255583126550868E-3</v>
      </c>
      <c r="Q32" s="91">
        <f>'Water Reading'!F32-'Water Reading'!F31</f>
        <v>1</v>
      </c>
      <c r="R32" s="100">
        <f t="shared" si="9"/>
        <v>2.4813895781637717E-3</v>
      </c>
      <c r="S32" s="94">
        <f>'Water Reading'!E32-'Water Reading'!E31</f>
        <v>51</v>
      </c>
      <c r="T32" s="100">
        <f t="shared" si="10"/>
        <v>0.12655086848635236</v>
      </c>
      <c r="U32" s="90">
        <f>'Water Reading'!G32-'Water Reading'!G31</f>
        <v>15</v>
      </c>
      <c r="V32" s="100">
        <f t="shared" si="11"/>
        <v>3.7220843672456573E-2</v>
      </c>
      <c r="W32" s="90">
        <f>'Water Reading'!J32-'Water Reading'!J31</f>
        <v>18</v>
      </c>
      <c r="X32" s="100">
        <f t="shared" si="12"/>
        <v>4.4665012406947889E-2</v>
      </c>
      <c r="Y32" s="66">
        <f t="shared" si="0"/>
        <v>245</v>
      </c>
      <c r="Z32" s="67">
        <f t="shared" si="1"/>
        <v>0.9919028340080972</v>
      </c>
    </row>
    <row r="33" spans="1:26" x14ac:dyDescent="0.25">
      <c r="A33" s="8">
        <f>'Water Reading'!A32</f>
        <v>44377</v>
      </c>
      <c r="B33" s="65">
        <f>TOTAL!I31</f>
        <v>227</v>
      </c>
      <c r="C33" s="66">
        <f>('Water Reading'!B33-'Water Reading'!B32)+('Water Reading'!C33-'Water Reading'!C32)</f>
        <v>1232</v>
      </c>
      <c r="D33" s="67">
        <f t="shared" si="2"/>
        <v>5.4273127753303969</v>
      </c>
      <c r="E33" s="87">
        <f>'Water Reading'!H33-'Water Reading'!H32</f>
        <v>64</v>
      </c>
      <c r="F33" s="89">
        <f t="shared" si="3"/>
        <v>5.1948051948051951E-2</v>
      </c>
      <c r="G33" s="93">
        <f>('Water Reading'!D33-'Water Reading'!D32)-('Water Reading'!R33-'Water Reading'!R32)-('Water Reading'!Q33-'Water Reading'!Q32)</f>
        <v>108.5</v>
      </c>
      <c r="H33" s="89">
        <f t="shared" si="4"/>
        <v>8.8068181818181823E-2</v>
      </c>
      <c r="I33" s="90">
        <f>'Water Reading'!P33-'Water Reading'!P32</f>
        <v>6</v>
      </c>
      <c r="J33" s="68">
        <f t="shared" si="5"/>
        <v>4.87012987012987E-3</v>
      </c>
      <c r="K33" s="91">
        <f>('Water Reading'!I33-'Water Reading'!I32)-('Water Reading'!P33-'Water Reading'!P32)</f>
        <v>12</v>
      </c>
      <c r="L33" s="68">
        <f t="shared" si="6"/>
        <v>9.74025974025974E-3</v>
      </c>
      <c r="M33" s="90">
        <f>'Water Reading'!R33-'Water Reading'!R32</f>
        <v>4</v>
      </c>
      <c r="N33" s="92">
        <f t="shared" si="7"/>
        <v>3.246753246753247E-3</v>
      </c>
      <c r="O33" s="90">
        <f>'Water Reading'!Q33-'Water Reading'!Q32</f>
        <v>2.5</v>
      </c>
      <c r="P33" s="99">
        <f t="shared" si="8"/>
        <v>2.029220779220779E-3</v>
      </c>
      <c r="Q33" s="91">
        <f>'Water Reading'!F33-'Water Reading'!F32</f>
        <v>0</v>
      </c>
      <c r="R33" s="100">
        <f t="shared" si="9"/>
        <v>0</v>
      </c>
      <c r="S33" s="94">
        <f>'Water Reading'!E33-'Water Reading'!E32</f>
        <v>51</v>
      </c>
      <c r="T33" s="100">
        <f t="shared" si="10"/>
        <v>4.1396103896103896E-2</v>
      </c>
      <c r="U33" s="90">
        <f>'Water Reading'!G33-'Water Reading'!G32</f>
        <v>15</v>
      </c>
      <c r="V33" s="100">
        <f t="shared" si="11"/>
        <v>1.2175324675324676E-2</v>
      </c>
      <c r="W33" s="90">
        <f>'Water Reading'!J33-'Water Reading'!J32</f>
        <v>20</v>
      </c>
      <c r="X33" s="100">
        <f t="shared" si="12"/>
        <v>1.6233766233766232E-2</v>
      </c>
      <c r="Y33" s="66">
        <f t="shared" si="0"/>
        <v>283</v>
      </c>
      <c r="Z33" s="67">
        <f t="shared" si="1"/>
        <v>1.2466960352422907</v>
      </c>
    </row>
    <row r="34" spans="1:26" x14ac:dyDescent="0.25">
      <c r="A34" s="8">
        <f>'Water Reading'!A33</f>
        <v>44378</v>
      </c>
      <c r="B34" s="65">
        <f>TOTAL!I32</f>
        <v>0</v>
      </c>
      <c r="C34" s="66">
        <f>('Water Reading'!B34-'Water Reading'!B33)+('Water Reading'!C34-'Water Reading'!C33)</f>
        <v>-297465</v>
      </c>
      <c r="D34" s="67" t="e">
        <f t="shared" si="2"/>
        <v>#DIV/0!</v>
      </c>
      <c r="E34" s="87">
        <f>'Water Reading'!H34-'Water Reading'!H33</f>
        <v>-52942</v>
      </c>
      <c r="F34" s="89">
        <f t="shared" si="3"/>
        <v>0.17797724101995194</v>
      </c>
      <c r="G34" s="93">
        <f>('Water Reading'!D34-'Water Reading'!D33)-('Water Reading'!R34-'Water Reading'!R33)-('Water Reading'!Q34-'Water Reading'!Q33)</f>
        <v>-202425.5</v>
      </c>
      <c r="H34" s="89">
        <f t="shared" si="4"/>
        <v>0.68050190778747077</v>
      </c>
      <c r="I34" s="90">
        <f>'Water Reading'!P34-'Water Reading'!P33</f>
        <v>-27014</v>
      </c>
      <c r="J34" s="68">
        <f t="shared" si="5"/>
        <v>9.0814045349873099E-2</v>
      </c>
      <c r="K34" s="91">
        <f>('Water Reading'!I34-'Water Reading'!I33)-('Water Reading'!P34-'Water Reading'!P33)</f>
        <v>-36614</v>
      </c>
      <c r="L34" s="68">
        <f t="shared" si="6"/>
        <v>0.12308674970164557</v>
      </c>
      <c r="M34" s="90">
        <f>'Water Reading'!R34-'Water Reading'!R33</f>
        <v>-6229</v>
      </c>
      <c r="N34" s="92">
        <f t="shared" si="7"/>
        <v>2.0940278688249037E-2</v>
      </c>
      <c r="O34" s="90">
        <f>'Water Reading'!Q34-'Water Reading'!Q33</f>
        <v>-641.5</v>
      </c>
      <c r="P34" s="99">
        <f t="shared" si="8"/>
        <v>2.1565562335064629E-3</v>
      </c>
      <c r="Q34" s="91">
        <f>'Water Reading'!F34-'Water Reading'!F33</f>
        <v>-66928</v>
      </c>
      <c r="R34" s="100">
        <f t="shared" si="9"/>
        <v>0.22499453717244045</v>
      </c>
      <c r="S34" s="94">
        <f>'Water Reading'!E34-'Water Reading'!E33</f>
        <v>-247852</v>
      </c>
      <c r="T34" s="100">
        <f t="shared" si="10"/>
        <v>0.83321399156203246</v>
      </c>
      <c r="U34" s="90">
        <f>'Water Reading'!G34-'Water Reading'!G33</f>
        <v>-111641</v>
      </c>
      <c r="V34" s="100">
        <f t="shared" si="11"/>
        <v>0.3753080194308574</v>
      </c>
      <c r="W34" s="90">
        <f>'Water Reading'!J34-'Water Reading'!J33</f>
        <v>-20282</v>
      </c>
      <c r="X34" s="100">
        <f t="shared" si="12"/>
        <v>6.8182811423192644E-2</v>
      </c>
      <c r="Y34" s="66">
        <f t="shared" si="0"/>
        <v>-772569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9023</v>
      </c>
      <c r="C35" s="75">
        <f>SUM(C4:C34)</f>
        <v>-282428</v>
      </c>
      <c r="D35" s="96">
        <f>C35/B35</f>
        <v>-31.300897705862795</v>
      </c>
      <c r="E35" s="7">
        <f>SUM(E4:E34)</f>
        <v>-51028</v>
      </c>
      <c r="F35" s="95">
        <f>E35/C35</f>
        <v>0.1806761369269336</v>
      </c>
      <c r="G35" s="75">
        <f>SUM(G4:G34)</f>
        <v>-198035</v>
      </c>
      <c r="H35" s="95">
        <f>G35/C35</f>
        <v>0.70118755930715082</v>
      </c>
      <c r="I35" s="7">
        <f>SUM(I4:I34)</f>
        <v>-26689</v>
      </c>
      <c r="J35" s="95">
        <f>I35/C35</f>
        <v>9.449842083646097E-2</v>
      </c>
      <c r="K35" s="7">
        <f>SUM(K4:K34)</f>
        <v>-36195</v>
      </c>
      <c r="L35" s="95">
        <f>K35/C35</f>
        <v>0.12815655671533985</v>
      </c>
      <c r="M35" s="7">
        <f>SUM(M4:M34)</f>
        <v>-6107</v>
      </c>
      <c r="N35" s="95">
        <f>M35/C35</f>
        <v>2.1623210163298257E-2</v>
      </c>
      <c r="O35" s="7">
        <f>SUM(O4:O34)</f>
        <v>-503</v>
      </c>
      <c r="P35" s="95">
        <f>O35/C35</f>
        <v>1.780984888183891E-3</v>
      </c>
      <c r="Q35" s="7">
        <f>SUM(Q4:Q34)</f>
        <v>-66906</v>
      </c>
      <c r="R35" s="95">
        <f>Q35/C35</f>
        <v>0.2368957752064243</v>
      </c>
      <c r="S35" s="75">
        <f>SUM(S4:S34)</f>
        <v>-245992</v>
      </c>
      <c r="T35" s="95">
        <f>S35/C35</f>
        <v>0.87099012845751833</v>
      </c>
      <c r="U35" s="7">
        <f>SUM(U4:U34)</f>
        <v>-111170</v>
      </c>
      <c r="V35" s="95">
        <f>U35/C35</f>
        <v>0.39362244536660673</v>
      </c>
      <c r="W35" s="7">
        <f>SUM(W4:W34)</f>
        <v>-19755</v>
      </c>
      <c r="X35" s="95">
        <f>W35/C35</f>
        <v>6.994703074765958E-2</v>
      </c>
      <c r="Y35" s="75">
        <f>SUM(Y4:Y34)</f>
        <v>-762380</v>
      </c>
      <c r="Z35" s="95">
        <f t="shared" si="1"/>
        <v>-84.49296242934723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2021-07-02T05:39:21Z</dcterms:modified>
  <cp:category/>
  <cp:contentStatus/>
</cp:coreProperties>
</file>