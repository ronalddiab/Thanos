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F228" i="1" s="1"/>
  <c r="E229" i="1"/>
  <c r="E230" i="1"/>
  <c r="E232" i="1"/>
  <c r="E233" i="1"/>
  <c r="E234" i="1"/>
  <c r="F234" i="1" s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E219" i="1"/>
  <c r="E224" i="1"/>
  <c r="E241" i="1"/>
  <c r="F241" i="1" s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<sst xmlns="http://schemas.openxmlformats.org/spreadsheetml/2006/main" count="607" uniqueCount="77">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</sst>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93" workbookViewId="0">
      <selection activeCell="O218" sqref="O21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0.75</v>
      </c>
      <c r="G215" s="4">
        <f>'Gas Water'!M217</f>
        <v>1305</v>
      </c>
      <c r="H215" s="153">
        <v>1.85</v>
      </c>
      <c r="I215" s="2">
        <f>'Gas Water'!L217</f>
        <v>291</v>
      </c>
      <c r="J215" s="153">
        <v>12.93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0.75</v>
      </c>
      <c r="G216" s="4">
        <f>'Gas Water'!M218</f>
        <v>1316</v>
      </c>
      <c r="H216" s="153">
        <v>1.85</v>
      </c>
      <c r="I216" s="2">
        <f>'Gas Water'!L218</f>
        <v>282</v>
      </c>
      <c r="J216" s="153">
        <v>12.93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0.75</v>
      </c>
      <c r="G217" s="4">
        <f>'Gas Water'!M219</f>
        <v>1492</v>
      </c>
      <c r="H217" s="153">
        <v>1.85</v>
      </c>
      <c r="I217" s="2">
        <f>'Gas Water'!L219</f>
        <v>274</v>
      </c>
      <c r="J217" s="153">
        <v>12.93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0.75</v>
      </c>
      <c r="G218" s="4">
        <f>'Gas Water'!M220</f>
        <v>1403</v>
      </c>
      <c r="H218" s="153">
        <v>1.85</v>
      </c>
      <c r="I218" s="2">
        <f>'Gas Water'!L220</f>
        <v>302</v>
      </c>
      <c r="J218" s="153">
        <v>12.93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0.75</v>
      </c>
      <c r="G219" s="4">
        <f>'Gas Water'!M221</f>
        <v>1424</v>
      </c>
      <c r="H219" s="153">
        <v>1.85</v>
      </c>
      <c r="I219" s="2">
        <f>'Gas Water'!L221</f>
        <v>292</v>
      </c>
      <c r="J219" s="153">
        <v>12.93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0.75</v>
      </c>
      <c r="G220" s="4">
        <f>'Gas Water'!M222</f>
        <v>1481</v>
      </c>
      <c r="H220" s="153">
        <v>1.85</v>
      </c>
      <c r="I220" s="2">
        <f>'Gas Water'!L222</f>
        <v>265</v>
      </c>
      <c r="J220" s="153">
        <v>12.93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0.75</v>
      </c>
      <c r="G221" s="4">
        <f>'Gas Water'!M223</f>
        <v>1553</v>
      </c>
      <c r="H221" s="153">
        <v>1.85</v>
      </c>
      <c r="I221" s="2">
        <f>'Gas Water'!L223</f>
        <v>266</v>
      </c>
      <c r="J221" s="153">
        <v>12.93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0.75</v>
      </c>
      <c r="G222" s="4">
        <f>'Gas Water'!M224</f>
        <v>1376</v>
      </c>
      <c r="H222" s="153">
        <v>1.85</v>
      </c>
      <c r="I222" s="2">
        <f>'Gas Water'!L224</f>
        <v>231</v>
      </c>
      <c r="J222" s="153">
        <v>12.93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0.75</v>
      </c>
      <c r="G223" s="4">
        <f>'Gas Water'!M225</f>
        <v>1302</v>
      </c>
      <c r="H223" s="153">
        <v>1.85</v>
      </c>
      <c r="I223" s="2">
        <f>'Gas Water'!L225</f>
        <v>311</v>
      </c>
      <c r="J223" s="153">
        <v>12.93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0.75</v>
      </c>
      <c r="G224" s="4">
        <f>'Gas Water'!M226</f>
        <v>1285</v>
      </c>
      <c r="H224" s="153">
        <v>1.85</v>
      </c>
      <c r="I224" s="2">
        <f>'Gas Water'!L226</f>
        <v>277</v>
      </c>
      <c r="J224" s="153">
        <v>12.93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>
        <v>0.75</v>
      </c>
      <c r="G225" s="4" t="str">
        <f>'Gas Water'!M227</f>
        <v/>
      </c>
      <c r="H225" s="153">
        <v>1.85</v>
      </c>
      <c r="I225" s="2" t="str">
        <f>'Gas Water'!L227</f>
        <v/>
      </c>
      <c r="J225" s="153">
        <v>12.93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>
        <v>0.75</v>
      </c>
      <c r="G226" s="4" t="str">
        <f>'Gas Water'!M228</f>
        <v/>
      </c>
      <c r="H226" s="153">
        <v>1.85</v>
      </c>
      <c r="I226" s="2" t="str">
        <f>'Gas Water'!L228</f>
        <v/>
      </c>
      <c r="J226" s="153">
        <v>12.93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>
        <v>0.75</v>
      </c>
      <c r="G227" s="4" t="str">
        <f>'Gas Water'!M229</f>
        <v/>
      </c>
      <c r="H227" s="153">
        <v>1.85</v>
      </c>
      <c r="I227" s="2" t="str">
        <f>'Gas Water'!L229</f>
        <v/>
      </c>
      <c r="J227" s="153">
        <v>12.93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12.93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O220" sqref="O22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2791</v>
      </c>
      <c r="O240" s="32">
        <f>SUM(M217:M247)</f>
        <v>13937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279.10000000000002</v>
      </c>
      <c r="O243" s="32">
        <f>AVERAGE(M217:M247)</f>
        <v>1393.7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448042</v>
      </c>
      <c r="J371" s="40">
        <f t="shared" si="30"/>
        <v>37029</v>
      </c>
      <c r="K371" s="40">
        <f t="shared" si="30"/>
        <v>34140</v>
      </c>
      <c r="L371" s="40">
        <f t="shared" si="30"/>
        <v>38089</v>
      </c>
      <c r="M371" s="40">
        <f t="shared" si="30"/>
        <v>519211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J224" sqref="J224:J225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25" si="23">IF(D160="","",+(E160-E159)*4140)</f>
        <v>24955.920000000082</v>
      </c>
      <c r="J160" s="59">
        <f t="shared" ref="J160:J22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ref="I224:J259" si="33">IF(D226="","",+(D226-D225)*4140)</f>
        <v/>
      </c>
      <c r="J226" s="59" t="str">
        <f t="shared" si="33"/>
        <v/>
      </c>
      <c r="K226" s="60" t="str">
        <f t="shared" si="28"/>
        <v/>
      </c>
      <c r="L226" s="59" t="str">
        <f t="shared" si="31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3"/>
        <v/>
      </c>
      <c r="J227" s="59" t="str">
        <f t="shared" si="33"/>
        <v/>
      </c>
      <c r="K227" s="60" t="str">
        <f t="shared" si="28"/>
        <v/>
      </c>
      <c r="L227" s="59" t="str">
        <f t="shared" si="31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3"/>
        <v/>
      </c>
      <c r="K228" s="60" t="str">
        <f t="shared" si="28"/>
        <v/>
      </c>
      <c r="L228" s="59" t="str">
        <f t="shared" si="31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3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1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3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1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3"/>
        <v/>
      </c>
      <c r="J231" s="59" t="str">
        <f t="shared" si="33"/>
        <v/>
      </c>
      <c r="K231" s="60" t="str">
        <f t="shared" si="28"/>
        <v/>
      </c>
      <c r="L231" s="59" t="str">
        <f t="shared" si="31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3"/>
        <v/>
      </c>
      <c r="J232" s="59" t="str">
        <f t="shared" si="33"/>
        <v/>
      </c>
      <c r="K232" s="60" t="str">
        <f t="shared" si="28"/>
        <v/>
      </c>
      <c r="L232" s="59" t="str">
        <f t="shared" si="31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3"/>
        <v/>
      </c>
      <c r="J233" s="59" t="str">
        <f t="shared" si="33"/>
        <v/>
      </c>
      <c r="K233" s="60" t="str">
        <f t="shared" si="28"/>
        <v/>
      </c>
      <c r="L233" s="59" t="str">
        <f t="shared" si="31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3"/>
        <v/>
      </c>
      <c r="J234" s="59" t="str">
        <f t="shared" si="33"/>
        <v/>
      </c>
      <c r="K234" s="60" t="str">
        <f t="shared" si="28"/>
        <v/>
      </c>
      <c r="L234" s="59" t="str">
        <f t="shared" si="31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3"/>
        <v/>
      </c>
      <c r="J235" s="59" t="str">
        <f t="shared" si="33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3"/>
        <v/>
      </c>
      <c r="J236" s="59" t="str">
        <f t="shared" si="33"/>
        <v/>
      </c>
      <c r="K236" s="60" t="str">
        <f t="shared" si="28"/>
        <v/>
      </c>
      <c r="L236" s="59" t="str">
        <f t="shared" si="31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3"/>
        <v/>
      </c>
      <c r="J237" s="59" t="str">
        <f t="shared" si="33"/>
        <v/>
      </c>
      <c r="K237" s="60" t="str">
        <f t="shared" si="28"/>
        <v/>
      </c>
      <c r="L237" s="59" t="str">
        <f t="shared" si="31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3.5987490437834682E-2</v>
      </c>
      <c r="Q237" s="70">
        <f>IF(L216="",0,+SUM(L216:L246)/SUM(I216:I246))</f>
        <v>3.5987490437834682E-2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3"/>
        <v/>
      </c>
      <c r="J238" s="59" t="str">
        <f t="shared" si="33"/>
        <v/>
      </c>
      <c r="K238" s="60" t="str">
        <f t="shared" si="28"/>
        <v/>
      </c>
      <c r="L238" s="59" t="str">
        <f t="shared" si="31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3"/>
        <v/>
      </c>
      <c r="J239" s="59" t="str">
        <f t="shared" si="33"/>
        <v/>
      </c>
      <c r="K239" s="60" t="str">
        <f t="shared" si="28"/>
        <v/>
      </c>
      <c r="L239" s="59" t="str">
        <f t="shared" si="31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3"/>
        <v/>
      </c>
      <c r="J240" s="59" t="str">
        <f t="shared" si="33"/>
        <v/>
      </c>
      <c r="K240" s="60" t="str">
        <f t="shared" si="28"/>
        <v/>
      </c>
      <c r="L240" s="59" t="str">
        <f t="shared" si="31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3"/>
        <v/>
      </c>
      <c r="J241" s="59" t="str">
        <f t="shared" si="33"/>
        <v/>
      </c>
      <c r="K241" s="60" t="str">
        <f t="shared" si="28"/>
        <v/>
      </c>
      <c r="L241" s="59" t="str">
        <f t="shared" si="31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3"/>
        <v/>
      </c>
      <c r="J242" s="59" t="str">
        <f t="shared" si="33"/>
        <v/>
      </c>
      <c r="K242" s="60" t="str">
        <f t="shared" si="28"/>
        <v/>
      </c>
      <c r="L242" s="59" t="str">
        <f t="shared" si="31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3"/>
        <v/>
      </c>
      <c r="J243" s="59" t="str">
        <f t="shared" si="33"/>
        <v/>
      </c>
      <c r="K243" s="60" t="str">
        <f t="shared" si="28"/>
        <v/>
      </c>
      <c r="L243" s="59" t="str">
        <f t="shared" si="31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3"/>
        <v/>
      </c>
      <c r="J244" s="59" t="str">
        <f t="shared" si="33"/>
        <v/>
      </c>
      <c r="K244" s="60" t="str">
        <f t="shared" si="28"/>
        <v/>
      </c>
      <c r="L244" s="59" t="str">
        <f t="shared" si="31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3"/>
        <v/>
      </c>
      <c r="J245" s="59" t="str">
        <f t="shared" si="33"/>
        <v/>
      </c>
      <c r="K245" s="60" t="str">
        <f t="shared" si="28"/>
        <v/>
      </c>
      <c r="L245" s="59" t="str">
        <f t="shared" si="31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3"/>
        <v/>
      </c>
      <c r="J246" s="90" t="str">
        <f t="shared" si="33"/>
        <v/>
      </c>
      <c r="K246" s="60" t="str">
        <f t="shared" si="28"/>
        <v/>
      </c>
      <c r="L246" s="90" t="str">
        <f t="shared" si="31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1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3"/>
        <v/>
      </c>
      <c r="J248" s="59" t="str">
        <f t="shared" si="33"/>
        <v/>
      </c>
      <c r="K248" s="60" t="str">
        <f t="shared" si="28"/>
        <v/>
      </c>
      <c r="L248" s="59" t="str">
        <f t="shared" si="31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3"/>
        <v/>
      </c>
      <c r="J249" s="59" t="str">
        <f t="shared" si="33"/>
        <v/>
      </c>
      <c r="K249" s="60" t="str">
        <f t="shared" si="28"/>
        <v/>
      </c>
      <c r="L249" s="59" t="str">
        <f t="shared" si="31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3"/>
        <v/>
      </c>
      <c r="J250" s="59" t="str">
        <f t="shared" si="33"/>
        <v/>
      </c>
      <c r="K250" s="60" t="str">
        <f t="shared" si="28"/>
        <v/>
      </c>
      <c r="L250" s="59" t="str">
        <f t="shared" si="31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3"/>
        <v/>
      </c>
      <c r="J251" s="59" t="str">
        <f t="shared" si="33"/>
        <v/>
      </c>
      <c r="K251" s="60" t="str">
        <f t="shared" si="28"/>
        <v/>
      </c>
      <c r="L251" s="59" t="str">
        <f t="shared" si="31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3"/>
        <v/>
      </c>
      <c r="J252" s="59" t="str">
        <f t="shared" si="33"/>
        <v/>
      </c>
      <c r="K252" s="60" t="str">
        <f t="shared" si="28"/>
        <v/>
      </c>
      <c r="L252" s="59" t="str">
        <f t="shared" si="31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3"/>
        <v/>
      </c>
      <c r="J253" s="59" t="str">
        <f t="shared" si="33"/>
        <v/>
      </c>
      <c r="K253" s="60" t="str">
        <f t="shared" si="28"/>
        <v/>
      </c>
      <c r="L253" s="59" t="str">
        <f t="shared" si="31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3"/>
        <v/>
      </c>
      <c r="J254" s="59" t="str">
        <f t="shared" si="33"/>
        <v/>
      </c>
      <c r="K254" s="60" t="str">
        <f t="shared" si="28"/>
        <v/>
      </c>
      <c r="L254" s="59" t="str">
        <f t="shared" si="31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3"/>
        <v/>
      </c>
      <c r="J255" s="59" t="str">
        <f t="shared" si="33"/>
        <v/>
      </c>
      <c r="K255" s="60" t="str">
        <f t="shared" si="28"/>
        <v/>
      </c>
      <c r="L255" s="59" t="str">
        <f t="shared" si="31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3"/>
        <v/>
      </c>
      <c r="J256" s="59" t="str">
        <f t="shared" si="33"/>
        <v/>
      </c>
      <c r="K256" s="60" t="str">
        <f t="shared" si="28"/>
        <v/>
      </c>
      <c r="L256" s="59" t="str">
        <f t="shared" si="31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3"/>
        <v/>
      </c>
      <c r="J257" s="59" t="str">
        <f t="shared" si="33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3"/>
        <v/>
      </c>
      <c r="J258" s="59" t="str">
        <f t="shared" si="33"/>
        <v/>
      </c>
      <c r="K258" s="60" t="str">
        <f t="shared" si="28"/>
        <v/>
      </c>
      <c r="L258" s="59" t="str">
        <f t="shared" si="31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3"/>
        <v/>
      </c>
      <c r="J259" s="59" t="str">
        <f t="shared" si="33"/>
        <v/>
      </c>
      <c r="K259" s="60" t="str">
        <f t="shared" si="28"/>
        <v/>
      </c>
      <c r="L259" s="59" t="str">
        <f t="shared" si="31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1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5589057.4799999977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2021-08-12T05:44:30Z</dcterms:modified>
  <cp:category/>
  <cp:contentStatus/>
</cp:coreProperties>
</file>