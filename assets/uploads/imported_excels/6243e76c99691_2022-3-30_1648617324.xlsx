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91" documentId="13_ncr:1_{76C55D63-F869-4AF5-AAA3-3D809A91432B}" xr6:coauthVersionLast="47" xr6:coauthVersionMax="47" xr10:uidLastSave="{186D080B-9179-43AE-8858-75754D4052C5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4" i="27" l="1"/>
  <c r="J33" i="27"/>
  <c r="J32" i="27"/>
  <c r="J31" i="27"/>
  <c r="J30" i="27"/>
  <c r="J29" i="27"/>
  <c r="J28" i="27"/>
  <c r="J27" i="27"/>
  <c r="J26" i="27"/>
  <c r="J25" i="27"/>
  <c r="J24" i="27"/>
  <c r="J23" i="27"/>
  <c r="L37" i="27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35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7" i="28"/>
  <c r="G38" i="28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G26" i="26" l="1"/>
  <c r="L30" i="27"/>
  <c r="H37" i="27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<sst xmlns="http://schemas.openxmlformats.org/spreadsheetml/2006/main" count="72" uniqueCount="33">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</sst>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O7" sqref="O7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3271</v>
      </c>
      <c r="J2" s="92">
        <v>0.21186441</v>
      </c>
      <c r="K2" s="11">
        <f>IF('Water, Gas, Diesel'!F6&lt;0,0,'Water, Gas, Diesel'!F6)</f>
        <v>209</v>
      </c>
      <c r="L2" s="92">
        <v>1.6949000000000001</v>
      </c>
      <c r="M2" s="11">
        <f>Electricity!H8</f>
        <v>66</v>
      </c>
      <c r="O2" s="130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2966</v>
      </c>
      <c r="J3" s="92">
        <v>0.21186441</v>
      </c>
      <c r="K3" s="11">
        <f>IF('Water, Gas, Diesel'!F7&lt;0,0,'Water, Gas, Diesel'!F7)</f>
        <v>158</v>
      </c>
      <c r="L3" s="92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2">
        <v>0.7</v>
      </c>
      <c r="I4" s="11">
        <f>IF('Water, Gas, Diesel'!C8&lt;0,0,'Water, Gas, Diesel'!C8)</f>
        <v>3433</v>
      </c>
      <c r="J4" s="92">
        <v>0.21186441</v>
      </c>
      <c r="K4" s="11">
        <f>IF('Water, Gas, Diesel'!F8&lt;0,0,'Water, Gas, Diesel'!F8)</f>
        <v>153</v>
      </c>
      <c r="L4" s="92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3149</v>
      </c>
      <c r="J5" s="92">
        <v>0.21186441</v>
      </c>
      <c r="K5" s="11">
        <f>IF('Water, Gas, Diesel'!F9&lt;0,0,'Water, Gas, Diesel'!F9)</f>
        <v>181</v>
      </c>
      <c r="L5" s="92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3218</v>
      </c>
      <c r="J6" s="92">
        <v>0.21186441</v>
      </c>
      <c r="K6" s="11">
        <f>IF('Water, Gas, Diesel'!F10&lt;0,0,'Water, Gas, Diesel'!F10)</f>
        <v>188</v>
      </c>
      <c r="L6" s="92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3210</v>
      </c>
      <c r="J7" s="92">
        <v>0.21186441</v>
      </c>
      <c r="K7" s="11">
        <f>IF('Water, Gas, Diesel'!F11&lt;0,0,'Water, Gas, Diesel'!F11)</f>
        <v>154</v>
      </c>
      <c r="L7" s="92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2">
        <v>0.7</v>
      </c>
      <c r="I8" s="11">
        <f>IF('Water, Gas, Diesel'!C12&lt;0,0,'Water, Gas, Diesel'!C12)</f>
        <v>2915</v>
      </c>
      <c r="J8" s="92">
        <v>0.21186441</v>
      </c>
      <c r="K8" s="11">
        <f>IF('Water, Gas, Diesel'!F12&lt;0,0,'Water, Gas, Diesel'!F12)</f>
        <v>174</v>
      </c>
      <c r="L8" s="92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3778</v>
      </c>
      <c r="J9" s="92">
        <v>0.21186441</v>
      </c>
      <c r="K9" s="11">
        <f>IF('Water, Gas, Diesel'!F13&lt;0,0,'Water, Gas, Diesel'!F13)</f>
        <v>179</v>
      </c>
      <c r="L9" s="92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3134</v>
      </c>
      <c r="J10" s="92">
        <v>0.21186441</v>
      </c>
      <c r="K10" s="11">
        <f>IF('Water, Gas, Diesel'!F14&lt;0,0,'Water, Gas, Diesel'!F14)</f>
        <v>163</v>
      </c>
      <c r="L10" s="92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3255</v>
      </c>
      <c r="J11" s="92">
        <v>0.21186441</v>
      </c>
      <c r="K11" s="11">
        <f>IF('Water, Gas, Diesel'!F15&lt;0,0,'Water, Gas, Diesel'!F15)</f>
        <v>182</v>
      </c>
      <c r="L11" s="92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3347</v>
      </c>
      <c r="J12" s="92">
        <v>0.21186441</v>
      </c>
      <c r="K12" s="11">
        <f>IF('Water, Gas, Diesel'!F16&lt;0,0,'Water, Gas, Diesel'!F16)</f>
        <v>193</v>
      </c>
      <c r="L12" s="92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2836</v>
      </c>
      <c r="J13" s="92">
        <v>0.21186441</v>
      </c>
      <c r="K13" s="11">
        <f>IF('Water, Gas, Diesel'!F17&lt;0,0,'Water, Gas, Diesel'!F17)</f>
        <v>191</v>
      </c>
      <c r="L13" s="92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3102</v>
      </c>
      <c r="J14" s="92">
        <v>0.21186441</v>
      </c>
      <c r="K14" s="11">
        <f>IF('Water, Gas, Diesel'!F18&lt;0,0,'Water, Gas, Diesel'!F18)</f>
        <v>190</v>
      </c>
      <c r="L14" s="92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2">
        <v>0.7</v>
      </c>
      <c r="I15" s="11">
        <f>IF('Water, Gas, Diesel'!C19&lt;0,0,'Water, Gas, Diesel'!C19)</f>
        <v>4168</v>
      </c>
      <c r="J15" s="92">
        <v>0.21186441</v>
      </c>
      <c r="K15" s="11">
        <f>IF('Water, Gas, Diesel'!F19&lt;0,0,'Water, Gas, Diesel'!F19)</f>
        <v>175</v>
      </c>
      <c r="L15" s="92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2916</v>
      </c>
      <c r="J16" s="92">
        <v>0.21186441</v>
      </c>
      <c r="K16" s="11">
        <f>IF('Water, Gas, Diesel'!F20&lt;0,0,'Water, Gas, Diesel'!F20)</f>
        <v>167</v>
      </c>
      <c r="L16" s="92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2">
        <v>0.7</v>
      </c>
      <c r="I17" s="11">
        <f>IF('Water, Gas, Diesel'!C21&lt;0,0,'Water, Gas, Diesel'!C21)</f>
        <v>4235</v>
      </c>
      <c r="J17" s="92">
        <v>0.21186441</v>
      </c>
      <c r="K17" s="11">
        <f>IF('Water, Gas, Diesel'!F21&lt;0,0,'Water, Gas, Diesel'!F21)</f>
        <v>201</v>
      </c>
      <c r="L17" s="92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18367.499999999382</v>
      </c>
      <c r="F18" s="14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4319</v>
      </c>
      <c r="J18" s="92">
        <v>0.21186441</v>
      </c>
      <c r="K18" s="11">
        <f>IF('Water, Gas, Diesel'!F22&lt;0,0,'Water, Gas, Diesel'!F22)</f>
        <v>179</v>
      </c>
      <c r="L18" s="92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17950.000000000728</v>
      </c>
      <c r="F19" s="14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3746</v>
      </c>
      <c r="J19" s="92">
        <v>0.21186441</v>
      </c>
      <c r="K19" s="11">
        <f>IF('Water, Gas, Diesel'!F23&lt;0,0,'Water, Gas, Diesel'!F23)</f>
        <v>170</v>
      </c>
      <c r="L19" s="92">
        <v>1.6949000000000001</v>
      </c>
      <c r="M19" s="11">
        <f>Electricity!H25</f>
        <v>71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17245.000000002619</v>
      </c>
      <c r="F20" s="14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3792</v>
      </c>
      <c r="J20" s="92">
        <v>0.21186441</v>
      </c>
      <c r="K20" s="11">
        <f>IF('Water, Gas, Diesel'!F24&lt;0,0,'Water, Gas, Diesel'!F24)</f>
        <v>188</v>
      </c>
      <c r="L20" s="92">
        <v>1.6949000000000001</v>
      </c>
      <c r="M20" s="11">
        <f>Electricity!H26</f>
        <v>76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16877.499999995962</v>
      </c>
      <c r="F21" s="14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3454</v>
      </c>
      <c r="J21" s="92">
        <v>0.21186441</v>
      </c>
      <c r="K21" s="11">
        <f>IF('Water, Gas, Diesel'!F25&lt;0,0,'Water, Gas, Diesel'!F25)</f>
        <v>129</v>
      </c>
      <c r="L21" s="92">
        <v>1.6949000000000001</v>
      </c>
      <c r="M21" s="11">
        <f>Electricity!H27</f>
        <v>66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18735.000000001492</v>
      </c>
      <c r="F22" s="14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3661</v>
      </c>
      <c r="J22" s="92">
        <v>0.21186441</v>
      </c>
      <c r="K22" s="11">
        <f>IF('Water, Gas, Diesel'!F26&lt;0,0,'Water, Gas, Diesel'!F26)</f>
        <v>168</v>
      </c>
      <c r="L22" s="92">
        <v>1.6949000000000001</v>
      </c>
      <c r="M22" s="11">
        <f>Electricity!H28</f>
        <v>54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19275.000000002365</v>
      </c>
      <c r="F23" s="14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4011</v>
      </c>
      <c r="J23" s="92">
        <v>0.21186441</v>
      </c>
      <c r="K23" s="11">
        <f>IF('Water, Gas, Diesel'!F27&lt;0,0,'Water, Gas, Diesel'!F27)</f>
        <v>155</v>
      </c>
      <c r="L23" s="92">
        <v>1.6949000000000001</v>
      </c>
      <c r="M23" s="11">
        <f>Electricity!H29</f>
        <v>63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18574.99999999618</v>
      </c>
      <c r="F24" s="14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3719</v>
      </c>
      <c r="J24" s="92">
        <v>0.21186441</v>
      </c>
      <c r="K24" s="11">
        <f>IF('Water, Gas, Diesel'!F28&lt;0,0,'Water, Gas, Diesel'!F28)</f>
        <v>162</v>
      </c>
      <c r="L24" s="92">
        <v>1.6949000000000001</v>
      </c>
      <c r="M24" s="11">
        <f>Electricity!H30</f>
        <v>69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18432.500000003529</v>
      </c>
      <c r="F25" s="14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3601</v>
      </c>
      <c r="J25" s="92">
        <v>0.21186441</v>
      </c>
      <c r="K25" s="11">
        <f>IF('Water, Gas, Diesel'!F29&lt;0,0,'Water, Gas, Diesel'!F29)</f>
        <v>168</v>
      </c>
      <c r="L25" s="92">
        <v>1.6949000000000001</v>
      </c>
      <c r="M25" s="11">
        <f>Electricity!H31</f>
        <v>63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16317.499999995562</v>
      </c>
      <c r="F26" s="14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3225</v>
      </c>
      <c r="J26" s="92">
        <v>0.21186441</v>
      </c>
      <c r="K26" s="11">
        <f>IF('Water, Gas, Diesel'!F30&lt;0,0,'Water, Gas, Diesel'!F30)</f>
        <v>173</v>
      </c>
      <c r="L26" s="92">
        <v>1.6949000000000001</v>
      </c>
      <c r="M26" s="11">
        <f>Electricity!H32</f>
        <v>76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18307.500000005348</v>
      </c>
      <c r="F27" s="14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3189</v>
      </c>
      <c r="J27" s="92">
        <v>0.21186441</v>
      </c>
      <c r="K27" s="11">
        <f>IF('Water, Gas, Diesel'!F31&lt;0,0,'Water, Gas, Diesel'!F31)</f>
        <v>139</v>
      </c>
      <c r="L27" s="92">
        <v>1.6949000000000001</v>
      </c>
      <c r="M27" s="11">
        <f>Electricity!H33</f>
        <v>66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12814.999999995962</v>
      </c>
      <c r="F28" s="14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2541</v>
      </c>
      <c r="J28" s="92">
        <v>0.21186441</v>
      </c>
      <c r="K28" s="11">
        <f>IF('Water, Gas, Diesel'!F32&lt;0,0,'Water, Gas, Diesel'!F32)</f>
        <v>110</v>
      </c>
      <c r="L28" s="92">
        <v>1.6949000000000001</v>
      </c>
      <c r="M28" s="11">
        <f>Electricity!H34</f>
        <v>68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18522.500000003674</v>
      </c>
      <c r="F29" s="14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3662</v>
      </c>
      <c r="J29" s="92">
        <v>0.21186441</v>
      </c>
      <c r="K29" s="11">
        <f>IF('Water, Gas, Diesel'!F33&lt;0,0,'Water, Gas, Diesel'!F33)</f>
        <v>160</v>
      </c>
      <c r="L29" s="92">
        <v>1.6949000000000001</v>
      </c>
      <c r="M29" s="11">
        <f>Electricity!H35</f>
        <v>72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9.3200000000000005E-2</v>
      </c>
      <c r="G30" s="11">
        <f>IF('Water, Gas, Diesel'!K34&lt;0,0,'Water, Gas, Diesel'!K34)</f>
        <v>12280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81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2">
        <v>0.7</v>
      </c>
      <c r="I32" s="11">
        <f>IF('Water, Gas, Diesel'!C36&lt;0,0,'Water, Gas, Diesel'!C36)</f>
        <v>0</v>
      </c>
      <c r="J32" s="92">
        <v>0.21186441</v>
      </c>
      <c r="K32" s="11">
        <f>IF('Water, Gas, Diesel'!F36&lt;0,0,'Water, Gas, Diesel'!F36)</f>
        <v>0</v>
      </c>
      <c r="L32" s="9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2" activePane="bottomLeft" state="frozen"/>
      <selection pane="bottomLeft" activeCell="M36" sqref="M36"/>
      <selection activeCell="E1" sqref="E1"/>
    </sheetView>
  </sheetViews>
  <sheetFormatPr defaultColWidth="9.140625" defaultRowHeight="15"/>
  <cols>
    <col min="1" max="1" width="11.85546875" style="66" customWidth="1"/>
    <col min="2" max="5" width="21.28515625" style="16" customWidth="1"/>
    <col min="6" max="6" width="21.28515625" style="67" customWidth="1"/>
    <col min="7" max="7" width="21.28515625" style="66" customWidth="1"/>
    <col min="8" max="8" width="11.28515625" style="16" bestFit="1" customWidth="1"/>
    <col min="9" max="16384" width="9.140625" style="16"/>
  </cols>
  <sheetData>
    <row r="1" spans="1:8" ht="28.5" customHeight="1">
      <c r="A1" s="117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71" t="s">
        <v>23</v>
      </c>
      <c r="D5" s="72" t="s">
        <v>22</v>
      </c>
      <c r="E5" s="71" t="s">
        <v>23</v>
      </c>
      <c r="F5" s="153"/>
      <c r="G5" s="155"/>
      <c r="H5" s="145"/>
    </row>
    <row r="6" spans="1:8" ht="15.75" hidden="1">
      <c r="A6" s="118"/>
      <c r="B6" s="24"/>
      <c r="C6" s="73"/>
      <c r="D6" s="74"/>
      <c r="E6" s="73"/>
      <c r="F6" s="27"/>
      <c r="G6" s="75"/>
      <c r="H6" s="119"/>
    </row>
    <row r="7" spans="1:8" ht="27.75" customHeight="1">
      <c r="A7" s="120">
        <v>28</v>
      </c>
      <c r="B7" s="77">
        <v>14929.638000000001</v>
      </c>
      <c r="C7" s="78">
        <f t="shared" ref="C7:C24" si="0">(B8-B7)*2500</f>
        <v>9357.4999999964348</v>
      </c>
      <c r="D7" s="77">
        <v>15267.948</v>
      </c>
      <c r="E7" s="78">
        <f t="shared" ref="E7:E24" si="1">(D8-D7)*2500</f>
        <v>11417.499999997744</v>
      </c>
      <c r="F7" s="116">
        <f t="shared" ref="F7:F38" si="2">C7+E7</f>
        <v>20774.999999994179</v>
      </c>
      <c r="G7" s="76">
        <f>F7*0.0932</f>
        <v>1936.2299999994575</v>
      </c>
      <c r="H7" s="140">
        <v>57</v>
      </c>
    </row>
    <row r="8" spans="1:8" ht="30.95" customHeight="1">
      <c r="A8" s="121">
        <v>1</v>
      </c>
      <c r="B8" s="115">
        <v>14933.380999999999</v>
      </c>
      <c r="C8" s="79">
        <f t="shared" si="0"/>
        <v>8132.500000001528</v>
      </c>
      <c r="D8" s="80">
        <v>15272.514999999999</v>
      </c>
      <c r="E8" s="79">
        <f t="shared" si="1"/>
        <v>9895.0000000013461</v>
      </c>
      <c r="F8" s="51">
        <f t="shared" si="2"/>
        <v>18027.500000002874</v>
      </c>
      <c r="G8" s="76">
        <f t="shared" ref="G8:G39" si="3">F8*0.0932</f>
        <v>1680.1630000002679</v>
      </c>
      <c r="H8" s="122">
        <v>66</v>
      </c>
    </row>
    <row r="9" spans="1:8" ht="30.95" customHeight="1">
      <c r="A9" s="123">
        <v>2</v>
      </c>
      <c r="B9" s="81">
        <v>14936.634</v>
      </c>
      <c r="C9" s="39">
        <f t="shared" si="0"/>
        <v>8204.9999999981083</v>
      </c>
      <c r="D9" s="80">
        <v>15276.473</v>
      </c>
      <c r="E9" s="39">
        <f t="shared" si="1"/>
        <v>10037.499999998545</v>
      </c>
      <c r="F9" s="47">
        <f t="shared" si="2"/>
        <v>18242.499999996653</v>
      </c>
      <c r="G9" s="76">
        <f t="shared" si="3"/>
        <v>1700.2009999996881</v>
      </c>
      <c r="H9" s="124">
        <v>72</v>
      </c>
    </row>
    <row r="10" spans="1:8" ht="30.95" customHeight="1">
      <c r="A10" s="121">
        <v>3</v>
      </c>
      <c r="B10" s="82">
        <v>14939.915999999999</v>
      </c>
      <c r="C10" s="79">
        <f t="shared" si="0"/>
        <v>8487.5000000010914</v>
      </c>
      <c r="D10" s="83">
        <v>15280.487999999999</v>
      </c>
      <c r="E10" s="79">
        <f t="shared" si="1"/>
        <v>10085.000000003674</v>
      </c>
      <c r="F10" s="51">
        <f t="shared" si="2"/>
        <v>18572.500000004766</v>
      </c>
      <c r="G10" s="76">
        <f t="shared" si="3"/>
        <v>1730.9570000004442</v>
      </c>
      <c r="H10" s="124">
        <v>87</v>
      </c>
    </row>
    <row r="11" spans="1:8" ht="30.95" customHeight="1">
      <c r="A11" s="123">
        <v>4</v>
      </c>
      <c r="B11" s="84">
        <v>14943.311</v>
      </c>
      <c r="C11" s="39">
        <f t="shared" si="0"/>
        <v>8052.4999999988722</v>
      </c>
      <c r="D11" s="85">
        <v>15284.522000000001</v>
      </c>
      <c r="E11" s="39">
        <f t="shared" si="1"/>
        <v>10199.999999999818</v>
      </c>
      <c r="F11" s="47">
        <f t="shared" si="2"/>
        <v>18252.49999999869</v>
      </c>
      <c r="G11" s="76">
        <f t="shared" si="3"/>
        <v>1701.1329999998779</v>
      </c>
      <c r="H11" s="124">
        <v>109</v>
      </c>
    </row>
    <row r="12" spans="1:8" ht="30.95" customHeight="1">
      <c r="A12" s="121">
        <v>5</v>
      </c>
      <c r="B12" s="86">
        <v>14946.531999999999</v>
      </c>
      <c r="C12" s="79">
        <f t="shared" si="0"/>
        <v>8155.0000000015643</v>
      </c>
      <c r="D12" s="83">
        <v>15288.602000000001</v>
      </c>
      <c r="E12" s="79">
        <f t="shared" si="1"/>
        <v>10064.9999999996</v>
      </c>
      <c r="F12" s="51">
        <f t="shared" si="2"/>
        <v>18220.000000001164</v>
      </c>
      <c r="G12" s="76">
        <f t="shared" si="3"/>
        <v>1698.1040000001085</v>
      </c>
      <c r="H12" s="124">
        <v>83</v>
      </c>
    </row>
    <row r="13" spans="1:8" ht="30.95" customHeight="1">
      <c r="A13" s="123">
        <v>6</v>
      </c>
      <c r="B13" s="84">
        <v>14949.794</v>
      </c>
      <c r="C13" s="39">
        <f t="shared" si="0"/>
        <v>7282.5000000011642</v>
      </c>
      <c r="D13" s="85">
        <v>15292.628000000001</v>
      </c>
      <c r="E13" s="39">
        <f t="shared" si="1"/>
        <v>9344.9999999984357</v>
      </c>
      <c r="F13" s="47">
        <f t="shared" si="2"/>
        <v>16627.4999999996</v>
      </c>
      <c r="G13" s="76">
        <f t="shared" si="3"/>
        <v>1549.6829999999627</v>
      </c>
      <c r="H13" s="124">
        <v>63</v>
      </c>
    </row>
    <row r="14" spans="1:8" ht="30.95" customHeight="1">
      <c r="A14" s="121">
        <v>7</v>
      </c>
      <c r="B14" s="86">
        <v>14952.707</v>
      </c>
      <c r="C14" s="79">
        <f t="shared" si="0"/>
        <v>8379.9999999973807</v>
      </c>
      <c r="D14" s="125">
        <v>15296.366</v>
      </c>
      <c r="E14" s="79">
        <f t="shared" si="1"/>
        <v>10005.000000001019</v>
      </c>
      <c r="F14" s="51">
        <f t="shared" si="2"/>
        <v>18384.999999998399</v>
      </c>
      <c r="G14" s="76">
        <f t="shared" si="3"/>
        <v>1713.4819999998508</v>
      </c>
      <c r="H14" s="124">
        <v>50</v>
      </c>
    </row>
    <row r="15" spans="1:8" ht="30.95" customHeight="1">
      <c r="A15" s="123">
        <v>8</v>
      </c>
      <c r="B15" s="84">
        <v>14956.058999999999</v>
      </c>
      <c r="C15" s="39">
        <f t="shared" si="0"/>
        <v>8704.9999999999272</v>
      </c>
      <c r="D15" s="87">
        <v>15300.368</v>
      </c>
      <c r="E15" s="39">
        <f t="shared" si="1"/>
        <v>11237.499999997453</v>
      </c>
      <c r="F15" s="47">
        <f t="shared" si="2"/>
        <v>19942.499999997381</v>
      </c>
      <c r="G15" s="76">
        <f t="shared" si="3"/>
        <v>1858.6409999997559</v>
      </c>
      <c r="H15" s="124">
        <v>77</v>
      </c>
    </row>
    <row r="16" spans="1:8" ht="30.95" customHeight="1">
      <c r="A16" s="121">
        <v>9</v>
      </c>
      <c r="B16" s="88">
        <v>14959.540999999999</v>
      </c>
      <c r="C16" s="79">
        <f t="shared" si="0"/>
        <v>7695.0000000033469</v>
      </c>
      <c r="D16" s="89">
        <v>15304.862999999999</v>
      </c>
      <c r="E16" s="79">
        <f t="shared" si="1"/>
        <v>9152.5000000001455</v>
      </c>
      <c r="F16" s="51">
        <f t="shared" si="2"/>
        <v>16847.500000003492</v>
      </c>
      <c r="G16" s="76">
        <f t="shared" si="3"/>
        <v>1570.1870000003255</v>
      </c>
      <c r="H16" s="124">
        <v>62</v>
      </c>
    </row>
    <row r="17" spans="1:8" ht="30.95" customHeight="1">
      <c r="A17" s="123">
        <v>10</v>
      </c>
      <c r="B17" s="45">
        <v>14962.619000000001</v>
      </c>
      <c r="C17" s="39">
        <f t="shared" si="0"/>
        <v>7729.999999996835</v>
      </c>
      <c r="D17" s="125">
        <v>15308.523999999999</v>
      </c>
      <c r="E17" s="39">
        <f t="shared" si="1"/>
        <v>9597.4999999998545</v>
      </c>
      <c r="F17" s="47">
        <f t="shared" si="2"/>
        <v>17327.499999996689</v>
      </c>
      <c r="G17" s="76">
        <f t="shared" si="3"/>
        <v>1614.9229999996915</v>
      </c>
      <c r="H17" s="124">
        <v>49</v>
      </c>
    </row>
    <row r="18" spans="1:8" ht="30.95" customHeight="1">
      <c r="A18" s="121">
        <v>11</v>
      </c>
      <c r="B18" s="84">
        <v>14965.710999999999</v>
      </c>
      <c r="C18" s="79">
        <f t="shared" si="0"/>
        <v>8040.0000000008731</v>
      </c>
      <c r="D18" s="87">
        <v>15312.362999999999</v>
      </c>
      <c r="E18" s="79">
        <f t="shared" si="1"/>
        <v>9462.4999999996362</v>
      </c>
      <c r="F18" s="51">
        <f t="shared" si="2"/>
        <v>17502.500000000509</v>
      </c>
      <c r="G18" s="76">
        <f t="shared" si="3"/>
        <v>1631.2330000000475</v>
      </c>
      <c r="H18" s="124">
        <v>44</v>
      </c>
    </row>
    <row r="19" spans="1:8" ht="30.95" customHeight="1">
      <c r="A19" s="123">
        <v>12</v>
      </c>
      <c r="B19" s="86">
        <v>14968.927</v>
      </c>
      <c r="C19" s="39">
        <f t="shared" si="0"/>
        <v>7029.9999999997453</v>
      </c>
      <c r="D19" s="125">
        <v>15316.147999999999</v>
      </c>
      <c r="E19" s="39">
        <f t="shared" si="1"/>
        <v>8582.5000000022555</v>
      </c>
      <c r="F19" s="47">
        <f t="shared" si="2"/>
        <v>15612.500000002001</v>
      </c>
      <c r="G19" s="76">
        <f t="shared" si="3"/>
        <v>1455.0850000001865</v>
      </c>
      <c r="H19" s="124">
        <v>53</v>
      </c>
    </row>
    <row r="20" spans="1:8" ht="30.95" customHeight="1">
      <c r="A20" s="121">
        <v>13</v>
      </c>
      <c r="B20" s="84">
        <v>14971.739</v>
      </c>
      <c r="C20" s="79">
        <f t="shared" si="0"/>
        <v>7710.0000000018554</v>
      </c>
      <c r="D20" s="90">
        <v>15319.581</v>
      </c>
      <c r="E20" s="79">
        <f t="shared" si="1"/>
        <v>9200.0000000007276</v>
      </c>
      <c r="F20" s="51">
        <f t="shared" si="2"/>
        <v>16910.000000002583</v>
      </c>
      <c r="G20" s="76">
        <f t="shared" si="3"/>
        <v>1576.0120000002407</v>
      </c>
      <c r="H20" s="124">
        <v>52</v>
      </c>
    </row>
    <row r="21" spans="1:8" ht="30.95" customHeight="1">
      <c r="A21" s="123">
        <v>14</v>
      </c>
      <c r="B21" s="84">
        <v>14974.823</v>
      </c>
      <c r="C21" s="39">
        <f t="shared" si="0"/>
        <v>7725.0000000003638</v>
      </c>
      <c r="D21" s="87">
        <v>15323.261</v>
      </c>
      <c r="E21" s="39">
        <f t="shared" si="1"/>
        <v>8934.9999999967622</v>
      </c>
      <c r="F21" s="47">
        <f t="shared" si="2"/>
        <v>16659.999999997126</v>
      </c>
      <c r="G21" s="76">
        <f t="shared" si="3"/>
        <v>1552.7119999997321</v>
      </c>
      <c r="H21" s="124">
        <v>54</v>
      </c>
    </row>
    <row r="22" spans="1:8" ht="30.95" customHeight="1">
      <c r="A22" s="121">
        <v>15</v>
      </c>
      <c r="B22" s="84">
        <v>14977.913</v>
      </c>
      <c r="C22" s="79">
        <f t="shared" si="0"/>
        <v>8714.999999997417</v>
      </c>
      <c r="D22" s="66">
        <v>15326.834999999999</v>
      </c>
      <c r="E22" s="79">
        <f t="shared" si="1"/>
        <v>10072.500000001128</v>
      </c>
      <c r="F22" s="51">
        <f t="shared" si="2"/>
        <v>18787.499999998545</v>
      </c>
      <c r="G22" s="76">
        <f t="shared" si="3"/>
        <v>1750.9949999998644</v>
      </c>
      <c r="H22" s="124">
        <v>86</v>
      </c>
    </row>
    <row r="23" spans="1:8" ht="30.95" customHeight="1">
      <c r="A23" s="123">
        <v>16</v>
      </c>
      <c r="B23" s="93">
        <v>14981.398999999999</v>
      </c>
      <c r="C23" s="39">
        <f t="shared" si="0"/>
        <v>9115.0000000016007</v>
      </c>
      <c r="D23" s="94">
        <v>15330.864</v>
      </c>
      <c r="E23" s="39">
        <f t="shared" si="1"/>
        <v>11385.000000000218</v>
      </c>
      <c r="F23" s="47">
        <f t="shared" si="2"/>
        <v>20500.000000001819</v>
      </c>
      <c r="G23" s="76">
        <f t="shared" si="3"/>
        <v>1910.6000000001695</v>
      </c>
      <c r="H23" s="124">
        <v>101</v>
      </c>
    </row>
    <row r="24" spans="1:8" ht="30.95" customHeight="1">
      <c r="A24" s="121">
        <v>17</v>
      </c>
      <c r="B24" s="95">
        <v>14985.045</v>
      </c>
      <c r="C24" s="79">
        <f t="shared" si="0"/>
        <v>7984.9999999987631</v>
      </c>
      <c r="D24" s="125">
        <v>15335.418</v>
      </c>
      <c r="E24" s="79">
        <f t="shared" si="1"/>
        <v>10382.500000000618</v>
      </c>
      <c r="F24" s="51">
        <f t="shared" si="2"/>
        <v>18367.499999999382</v>
      </c>
      <c r="G24" s="76">
        <f t="shared" si="3"/>
        <v>1711.8509999999424</v>
      </c>
      <c r="H24" s="124">
        <v>89</v>
      </c>
    </row>
    <row r="25" spans="1:8" ht="30.95" customHeight="1">
      <c r="A25" s="123">
        <v>18</v>
      </c>
      <c r="B25" s="84">
        <v>14988.239</v>
      </c>
      <c r="C25" s="39">
        <f>(B26-B25)*2500</f>
        <v>8167.4999999995634</v>
      </c>
      <c r="D25" s="87">
        <v>15339.571</v>
      </c>
      <c r="E25" s="39">
        <f>(D26-D25)*2500</f>
        <v>9782.5000000011642</v>
      </c>
      <c r="F25" s="47">
        <f t="shared" si="2"/>
        <v>17950.000000000728</v>
      </c>
      <c r="G25" s="76">
        <f t="shared" si="3"/>
        <v>1672.9400000000678</v>
      </c>
      <c r="H25" s="124">
        <v>71</v>
      </c>
    </row>
    <row r="26" spans="1:8" ht="30.95" customHeight="1">
      <c r="A26" s="121">
        <v>19</v>
      </c>
      <c r="B26" s="86">
        <v>14991.505999999999</v>
      </c>
      <c r="C26" s="79">
        <f t="shared" ref="C26:C38" si="4">(B27-B26)*2500</f>
        <v>7962.5000000032742</v>
      </c>
      <c r="D26" s="125">
        <v>15343.484</v>
      </c>
      <c r="E26" s="79">
        <f t="shared" ref="E26:E38" si="5">(D27-D26)*2500</f>
        <v>9282.4999999993452</v>
      </c>
      <c r="F26" s="47">
        <f t="shared" si="2"/>
        <v>17245.000000002619</v>
      </c>
      <c r="G26" s="76">
        <f t="shared" si="3"/>
        <v>1607.2340000002441</v>
      </c>
      <c r="H26" s="124">
        <v>76</v>
      </c>
    </row>
    <row r="27" spans="1:8" ht="30.95" customHeight="1">
      <c r="A27" s="123">
        <v>20</v>
      </c>
      <c r="B27" s="84">
        <v>14994.691000000001</v>
      </c>
      <c r="C27" s="39">
        <f t="shared" si="4"/>
        <v>7642.4999999971988</v>
      </c>
      <c r="D27" s="90">
        <v>15347.197</v>
      </c>
      <c r="E27" s="39">
        <f t="shared" si="5"/>
        <v>9234.9999999987631</v>
      </c>
      <c r="F27" s="51">
        <f t="shared" si="2"/>
        <v>16877.499999995962</v>
      </c>
      <c r="G27" s="76">
        <f t="shared" si="3"/>
        <v>1572.9829999996236</v>
      </c>
      <c r="H27" s="124">
        <v>66</v>
      </c>
    </row>
    <row r="28" spans="1:8" ht="30.95" customHeight="1">
      <c r="A28" s="121">
        <v>21</v>
      </c>
      <c r="B28" s="86">
        <v>14997.748</v>
      </c>
      <c r="C28" s="79">
        <f t="shared" si="4"/>
        <v>8310.0000000013097</v>
      </c>
      <c r="D28" s="125">
        <v>15350.891</v>
      </c>
      <c r="E28" s="79">
        <f t="shared" si="5"/>
        <v>10425.000000000182</v>
      </c>
      <c r="F28" s="47">
        <f t="shared" si="2"/>
        <v>18735.000000001492</v>
      </c>
      <c r="G28" s="76">
        <f t="shared" si="3"/>
        <v>1746.102000000139</v>
      </c>
      <c r="H28" s="124">
        <v>54</v>
      </c>
    </row>
    <row r="29" spans="1:8" ht="30.95" customHeight="1">
      <c r="A29" s="123">
        <v>22</v>
      </c>
      <c r="B29" s="84">
        <v>15001.072</v>
      </c>
      <c r="C29" s="39">
        <f t="shared" si="4"/>
        <v>8257.499999999709</v>
      </c>
      <c r="D29" s="87">
        <v>15355.061</v>
      </c>
      <c r="E29" s="39">
        <f t="shared" si="5"/>
        <v>11017.500000002656</v>
      </c>
      <c r="F29" s="51">
        <f t="shared" si="2"/>
        <v>19275.000000002365</v>
      </c>
      <c r="G29" s="76">
        <f t="shared" si="3"/>
        <v>1796.4300000002204</v>
      </c>
      <c r="H29" s="124">
        <v>63</v>
      </c>
    </row>
    <row r="30" spans="1:8" ht="30.95" customHeight="1">
      <c r="A30" s="121">
        <v>23</v>
      </c>
      <c r="B30" s="86">
        <v>15004.375</v>
      </c>
      <c r="C30" s="79">
        <f t="shared" si="4"/>
        <v>7847.4999999980355</v>
      </c>
      <c r="D30" s="125">
        <v>15359.468000000001</v>
      </c>
      <c r="E30" s="79">
        <f t="shared" si="5"/>
        <v>10727.499999998145</v>
      </c>
      <c r="F30" s="47">
        <f t="shared" si="2"/>
        <v>18574.99999999618</v>
      </c>
      <c r="G30" s="76">
        <f t="shared" si="3"/>
        <v>1731.189999999644</v>
      </c>
      <c r="H30" s="124">
        <v>69</v>
      </c>
    </row>
    <row r="31" spans="1:8" ht="30.95" customHeight="1">
      <c r="A31" s="123">
        <v>24</v>
      </c>
      <c r="B31" s="84">
        <v>15007.513999999999</v>
      </c>
      <c r="C31" s="39">
        <f t="shared" si="4"/>
        <v>8227.5000000026921</v>
      </c>
      <c r="D31" s="87">
        <v>15363.759</v>
      </c>
      <c r="E31" s="39">
        <f t="shared" si="5"/>
        <v>10205.000000000837</v>
      </c>
      <c r="F31" s="51">
        <f t="shared" si="2"/>
        <v>18432.500000003529</v>
      </c>
      <c r="G31" s="76">
        <f t="shared" si="3"/>
        <v>1717.9090000003289</v>
      </c>
      <c r="H31" s="124">
        <v>63</v>
      </c>
    </row>
    <row r="32" spans="1:8" ht="30.95" customHeight="1">
      <c r="A32" s="121">
        <v>25</v>
      </c>
      <c r="B32" s="86">
        <v>15010.805</v>
      </c>
      <c r="C32" s="79">
        <f t="shared" si="4"/>
        <v>7247.4999999985812</v>
      </c>
      <c r="D32" s="125">
        <v>15367.841</v>
      </c>
      <c r="E32" s="79">
        <f t="shared" si="5"/>
        <v>9069.9999999969805</v>
      </c>
      <c r="F32" s="47">
        <f t="shared" si="2"/>
        <v>16317.499999995562</v>
      </c>
      <c r="G32" s="76">
        <f t="shared" si="3"/>
        <v>1520.7909999995863</v>
      </c>
      <c r="H32" s="124">
        <v>76</v>
      </c>
    </row>
    <row r="33" spans="1:8" ht="30.95" customHeight="1">
      <c r="A33" s="123">
        <v>26</v>
      </c>
      <c r="B33" s="84">
        <v>15013.704</v>
      </c>
      <c r="C33" s="39">
        <f t="shared" si="4"/>
        <v>8005.0000000028376</v>
      </c>
      <c r="D33" s="87">
        <v>15371.468999999999</v>
      </c>
      <c r="E33" s="39">
        <f t="shared" si="5"/>
        <v>10302.50000000251</v>
      </c>
      <c r="F33" s="51">
        <f t="shared" si="2"/>
        <v>18307.500000005348</v>
      </c>
      <c r="G33" s="76">
        <f t="shared" si="3"/>
        <v>1706.2590000004984</v>
      </c>
      <c r="H33" s="124">
        <v>66</v>
      </c>
    </row>
    <row r="34" spans="1:8" ht="30.95" customHeight="1">
      <c r="A34" s="121">
        <v>27</v>
      </c>
      <c r="B34" s="86">
        <v>15016.906000000001</v>
      </c>
      <c r="C34" s="79">
        <f t="shared" si="4"/>
        <v>5699.9999999970896</v>
      </c>
      <c r="D34" s="125">
        <v>15375.59</v>
      </c>
      <c r="E34" s="39">
        <f t="shared" si="5"/>
        <v>7114.9999999988722</v>
      </c>
      <c r="F34" s="47">
        <f t="shared" si="2"/>
        <v>12814.999999995962</v>
      </c>
      <c r="G34" s="76">
        <f t="shared" si="3"/>
        <v>1194.3579999996236</v>
      </c>
      <c r="H34" s="124">
        <v>68</v>
      </c>
    </row>
    <row r="35" spans="1:8" ht="30.95" customHeight="1">
      <c r="A35" s="123">
        <v>28</v>
      </c>
      <c r="B35" s="91">
        <v>15019.186</v>
      </c>
      <c r="C35" s="39">
        <f t="shared" si="4"/>
        <v>7915.0000000026921</v>
      </c>
      <c r="D35" s="87">
        <v>15378.436</v>
      </c>
      <c r="E35" s="39">
        <f t="shared" si="5"/>
        <v>10607.500000000982</v>
      </c>
      <c r="F35" s="47">
        <f t="shared" si="2"/>
        <v>18522.500000003674</v>
      </c>
      <c r="G35" s="76">
        <f t="shared" si="3"/>
        <v>1726.2970000003425</v>
      </c>
      <c r="H35" s="124">
        <v>72</v>
      </c>
    </row>
    <row r="36" spans="1:8" ht="30.95" customHeight="1">
      <c r="A36" s="121">
        <v>29</v>
      </c>
      <c r="B36" s="86">
        <v>15022.352000000001</v>
      </c>
      <c r="C36" s="78">
        <f t="shared" si="4"/>
        <v>-37555880</v>
      </c>
      <c r="D36" s="66">
        <v>15382.679</v>
      </c>
      <c r="E36" s="78">
        <f t="shared" si="5"/>
        <v>-38456697.5</v>
      </c>
      <c r="F36" s="42">
        <f t="shared" si="2"/>
        <v>-76012577.5</v>
      </c>
      <c r="G36" s="76">
        <f t="shared" si="3"/>
        <v>-7084372.2230000002</v>
      </c>
      <c r="H36" s="122">
        <v>81</v>
      </c>
    </row>
    <row r="37" spans="1:8" ht="30.95" customHeight="1">
      <c r="A37" s="126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76">
        <f t="shared" si="3"/>
        <v>0</v>
      </c>
      <c r="H37" s="127"/>
    </row>
    <row r="38" spans="1:8" ht="30.95" customHeight="1">
      <c r="A38" s="121">
        <v>31</v>
      </c>
      <c r="B38" s="40"/>
      <c r="C38" s="79">
        <f t="shared" si="4"/>
        <v>0</v>
      </c>
      <c r="D38" s="125"/>
      <c r="E38" s="79">
        <f t="shared" si="5"/>
        <v>0</v>
      </c>
      <c r="F38" s="51">
        <f t="shared" si="2"/>
        <v>0</v>
      </c>
      <c r="G38" s="138">
        <f t="shared" si="3"/>
        <v>0</v>
      </c>
      <c r="H38" s="139"/>
    </row>
    <row r="39" spans="1:8" ht="30.95" customHeight="1">
      <c r="A39" s="131">
        <v>1</v>
      </c>
      <c r="B39" s="132"/>
      <c r="C39" s="133">
        <f t="shared" ref="C39" si="6">(B40-B39)*2500</f>
        <v>0</v>
      </c>
      <c r="D39" s="134"/>
      <c r="E39" s="133">
        <f t="shared" ref="E39" si="7">(D40-D39)*2500</f>
        <v>0</v>
      </c>
      <c r="F39" s="135">
        <f t="shared" ref="F39" si="8">C39+E39</f>
        <v>0</v>
      </c>
      <c r="G39" s="136">
        <f t="shared" si="3"/>
        <v>0</v>
      </c>
      <c r="H39" s="137"/>
    </row>
    <row r="40" spans="1:8">
      <c r="B40" s="66"/>
      <c r="C40" s="66"/>
      <c r="D40" s="66"/>
      <c r="E40" s="66"/>
    </row>
    <row r="41" spans="1:8">
      <c r="B41" s="66"/>
      <c r="C41" s="66"/>
      <c r="D41" s="66"/>
      <c r="E41" s="66"/>
    </row>
    <row r="42" spans="1:8">
      <c r="B42" s="66"/>
      <c r="C42" s="66"/>
      <c r="D42" s="66"/>
      <c r="E42" s="66"/>
    </row>
    <row r="43" spans="1:8">
      <c r="B43" s="66"/>
      <c r="C43" s="66"/>
      <c r="D43" s="66"/>
      <c r="E43" s="66"/>
    </row>
    <row r="44" spans="1:8">
      <c r="B44" s="66"/>
      <c r="C44" s="66"/>
      <c r="D44" s="66"/>
      <c r="E44" s="66"/>
    </row>
    <row r="45" spans="1:8">
      <c r="B45" s="66"/>
      <c r="C45" s="66"/>
      <c r="D45" s="66"/>
      <c r="E45" s="66"/>
    </row>
    <row r="46" spans="1:8">
      <c r="B46" s="66"/>
      <c r="C46" s="66"/>
      <c r="D46" s="66"/>
      <c r="E46" s="66"/>
      <c r="F46" s="68"/>
      <c r="G46" s="16"/>
    </row>
    <row r="47" spans="1:8">
      <c r="B47" s="66"/>
      <c r="C47" s="66"/>
      <c r="D47" s="66"/>
      <c r="E47" s="66"/>
      <c r="F47" s="68"/>
      <c r="G47" s="16"/>
    </row>
    <row r="48" spans="1:8">
      <c r="B48" s="66"/>
      <c r="C48" s="66"/>
      <c r="D48" s="66"/>
      <c r="E48" s="66"/>
      <c r="F48" s="68"/>
      <c r="G48" s="16"/>
    </row>
    <row r="49" spans="1:7">
      <c r="B49" s="66"/>
      <c r="C49" s="66"/>
      <c r="D49" s="66"/>
      <c r="E49" s="66"/>
      <c r="F49" s="68"/>
      <c r="G49" s="16"/>
    </row>
    <row r="50" spans="1:7">
      <c r="B50" s="66"/>
      <c r="C50" s="66"/>
      <c r="D50" s="66"/>
      <c r="E50" s="66"/>
      <c r="F50" s="68"/>
      <c r="G50" s="16"/>
    </row>
    <row r="51" spans="1:7">
      <c r="A51" s="69"/>
      <c r="B51" s="66"/>
      <c r="C51" s="66"/>
      <c r="D51" s="66"/>
      <c r="E51" s="66"/>
      <c r="F51" s="68"/>
      <c r="G51" s="16"/>
    </row>
    <row r="52" spans="1:7">
      <c r="A52" s="69"/>
      <c r="B52" s="66"/>
      <c r="C52" s="66"/>
      <c r="D52" s="66"/>
      <c r="E52" s="66"/>
      <c r="F52" s="68"/>
      <c r="G52" s="16"/>
    </row>
    <row r="53" spans="1:7">
      <c r="A53" s="69"/>
      <c r="B53" s="66"/>
      <c r="C53" s="66"/>
      <c r="D53" s="66"/>
      <c r="E53" s="66"/>
      <c r="F53" s="68"/>
      <c r="G53" s="16"/>
    </row>
    <row r="54" spans="1:7">
      <c r="A54" s="69"/>
      <c r="B54" s="66"/>
      <c r="C54" s="66"/>
      <c r="D54" s="66"/>
      <c r="E54" s="66"/>
      <c r="F54" s="68"/>
      <c r="G54" s="16"/>
    </row>
    <row r="55" spans="1:7">
      <c r="A55" s="69"/>
      <c r="B55" s="66"/>
      <c r="C55" s="66"/>
      <c r="D55" s="66"/>
      <c r="E55" s="66"/>
      <c r="F55" s="68"/>
      <c r="G55" s="16"/>
    </row>
    <row r="56" spans="1:7">
      <c r="A56" s="69"/>
      <c r="B56" s="66"/>
      <c r="C56" s="66"/>
      <c r="D56" s="66"/>
      <c r="E56" s="66"/>
      <c r="F56" s="68"/>
      <c r="G56" s="16"/>
    </row>
    <row r="57" spans="1:7">
      <c r="A57" s="69"/>
      <c r="B57" s="66"/>
      <c r="C57" s="66"/>
      <c r="D57" s="66"/>
      <c r="E57" s="66"/>
      <c r="F57" s="68"/>
      <c r="G57" s="16"/>
    </row>
    <row r="58" spans="1:7">
      <c r="A58" s="69"/>
      <c r="B58" s="66"/>
      <c r="C58" s="66"/>
      <c r="D58" s="66"/>
      <c r="E58" s="66"/>
      <c r="F58" s="68"/>
      <c r="G58" s="16"/>
    </row>
    <row r="59" spans="1:7">
      <c r="A59" s="69"/>
      <c r="B59" s="66"/>
      <c r="C59" s="66"/>
      <c r="D59" s="66"/>
      <c r="E59" s="66"/>
      <c r="F59" s="68"/>
      <c r="G59" s="16"/>
    </row>
    <row r="60" spans="1:7">
      <c r="A60" s="69"/>
      <c r="B60" s="66"/>
      <c r="C60" s="66"/>
      <c r="D60" s="66"/>
      <c r="E60" s="66"/>
      <c r="F60" s="68"/>
      <c r="G60" s="16"/>
    </row>
    <row r="61" spans="1:7">
      <c r="A61" s="69"/>
      <c r="B61" s="66"/>
      <c r="C61" s="66"/>
      <c r="D61" s="66"/>
      <c r="E61" s="66"/>
      <c r="F61" s="68"/>
      <c r="G61" s="16"/>
    </row>
    <row r="62" spans="1:7">
      <c r="A62" s="69"/>
      <c r="B62" s="66"/>
      <c r="C62" s="66"/>
      <c r="D62" s="66"/>
      <c r="E62" s="66"/>
      <c r="F62" s="68"/>
      <c r="G62" s="16"/>
    </row>
    <row r="63" spans="1:7">
      <c r="A63" s="69"/>
      <c r="B63" s="66"/>
      <c r="C63" s="66"/>
      <c r="D63" s="66"/>
      <c r="E63" s="66"/>
      <c r="F63" s="68"/>
      <c r="G63" s="16"/>
    </row>
    <row r="64" spans="1:7">
      <c r="A64" s="69"/>
      <c r="B64" s="66"/>
      <c r="C64" s="66"/>
      <c r="D64" s="66"/>
      <c r="E64" s="66"/>
      <c r="F64" s="68"/>
      <c r="G64" s="16"/>
    </row>
    <row r="65" spans="1:7">
      <c r="A65" s="69"/>
      <c r="B65" s="66"/>
      <c r="C65" s="66"/>
      <c r="D65" s="66"/>
      <c r="E65" s="66"/>
      <c r="F65" s="68"/>
      <c r="G65" s="16"/>
    </row>
    <row r="66" spans="1:7">
      <c r="A66" s="69"/>
      <c r="B66" s="66"/>
      <c r="C66" s="66"/>
      <c r="D66" s="66"/>
      <c r="E66" s="66"/>
      <c r="F66" s="68"/>
      <c r="G66" s="16"/>
    </row>
    <row r="67" spans="1:7">
      <c r="A67" s="69"/>
      <c r="B67" s="66"/>
      <c r="C67" s="66"/>
      <c r="D67" s="66"/>
      <c r="E67" s="66"/>
      <c r="F67" s="68"/>
      <c r="G67" s="16"/>
    </row>
    <row r="68" spans="1:7">
      <c r="A68" s="69"/>
      <c r="B68" s="66"/>
      <c r="C68" s="66"/>
      <c r="D68" s="66"/>
      <c r="E68" s="66"/>
      <c r="F68" s="68"/>
      <c r="G68" s="16"/>
    </row>
    <row r="69" spans="1:7">
      <c r="A69" s="69"/>
      <c r="B69" s="66"/>
      <c r="C69" s="66"/>
      <c r="D69" s="66"/>
      <c r="E69" s="66"/>
      <c r="F69" s="68"/>
      <c r="G69" s="16"/>
    </row>
    <row r="70" spans="1:7">
      <c r="A70" s="69"/>
      <c r="B70" s="66"/>
      <c r="C70" s="66"/>
      <c r="D70" s="66"/>
      <c r="E70" s="66"/>
      <c r="F70" s="68"/>
      <c r="G70" s="16"/>
    </row>
    <row r="71" spans="1:7">
      <c r="A71" s="69"/>
      <c r="B71" s="66"/>
      <c r="C71" s="66"/>
      <c r="D71" s="66"/>
      <c r="E71" s="66"/>
      <c r="F71" s="68"/>
      <c r="G71" s="16"/>
    </row>
    <row r="72" spans="1:7">
      <c r="A72" s="69"/>
      <c r="B72" s="66"/>
      <c r="C72" s="66"/>
      <c r="D72" s="66"/>
      <c r="E72" s="66"/>
      <c r="F72" s="68"/>
      <c r="G72" s="16"/>
    </row>
    <row r="73" spans="1:7">
      <c r="A73" s="69"/>
      <c r="B73" s="66"/>
      <c r="C73" s="66"/>
      <c r="D73" s="66"/>
      <c r="E73" s="66"/>
      <c r="F73" s="68"/>
      <c r="G73" s="16"/>
    </row>
    <row r="74" spans="1:7">
      <c r="A74" s="69"/>
      <c r="B74" s="66"/>
      <c r="C74" s="66"/>
      <c r="D74" s="66"/>
      <c r="E74" s="66"/>
      <c r="F74" s="68"/>
      <c r="G74" s="16"/>
    </row>
    <row r="75" spans="1:7">
      <c r="A75" s="69"/>
      <c r="B75" s="66"/>
      <c r="C75" s="66"/>
      <c r="D75" s="66"/>
      <c r="E75" s="66"/>
      <c r="F75" s="68"/>
      <c r="G75" s="16"/>
    </row>
    <row r="76" spans="1:7">
      <c r="A76" s="69"/>
      <c r="B76" s="66"/>
      <c r="C76" s="66"/>
      <c r="D76" s="66"/>
      <c r="E76" s="66"/>
      <c r="F76" s="68"/>
      <c r="G76" s="16"/>
    </row>
    <row r="77" spans="1:7">
      <c r="A77" s="69"/>
      <c r="B77" s="66"/>
      <c r="C77" s="66"/>
      <c r="D77" s="66"/>
      <c r="E77" s="66"/>
      <c r="F77" s="68"/>
      <c r="G77" s="16"/>
    </row>
    <row r="78" spans="1:7">
      <c r="A78" s="69"/>
      <c r="B78" s="66"/>
      <c r="C78" s="66"/>
      <c r="D78" s="66"/>
      <c r="E78" s="66"/>
      <c r="F78" s="68"/>
      <c r="G78" s="16"/>
    </row>
    <row r="79" spans="1:7">
      <c r="A79" s="69"/>
      <c r="B79" s="66"/>
      <c r="C79" s="66"/>
      <c r="D79" s="66"/>
      <c r="E79" s="66"/>
      <c r="F79" s="68"/>
      <c r="G79" s="16"/>
    </row>
    <row r="80" spans="1:7">
      <c r="A80" s="69"/>
      <c r="B80" s="66"/>
      <c r="C80" s="66"/>
      <c r="D80" s="66"/>
      <c r="E80" s="66"/>
      <c r="F80" s="68"/>
      <c r="G80" s="16"/>
    </row>
    <row r="81" spans="1:7">
      <c r="A81" s="69"/>
      <c r="B81" s="66"/>
      <c r="C81" s="66"/>
      <c r="D81" s="66"/>
      <c r="E81" s="66"/>
      <c r="F81" s="68"/>
      <c r="G81" s="16"/>
    </row>
    <row r="82" spans="1:7">
      <c r="A82" s="69"/>
      <c r="B82" s="66"/>
      <c r="C82" s="66"/>
      <c r="D82" s="66"/>
      <c r="E82" s="66"/>
      <c r="F82" s="68"/>
      <c r="G82" s="16"/>
    </row>
    <row r="83" spans="1:7">
      <c r="A83" s="69"/>
      <c r="B83" s="66"/>
      <c r="C83" s="66"/>
      <c r="D83" s="66"/>
      <c r="E83" s="66"/>
      <c r="F83" s="68"/>
      <c r="G83" s="16"/>
    </row>
    <row r="84" spans="1:7">
      <c r="A84" s="69"/>
      <c r="B84" s="66"/>
      <c r="C84" s="66"/>
      <c r="D84" s="66"/>
      <c r="E84" s="66"/>
      <c r="F84" s="68"/>
      <c r="G84" s="16"/>
    </row>
    <row r="85" spans="1:7">
      <c r="A85" s="69"/>
      <c r="B85" s="66"/>
      <c r="C85" s="66"/>
      <c r="D85" s="66"/>
      <c r="E85" s="66"/>
      <c r="F85" s="6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5" activePane="bottomLeft" state="frozen"/>
      <selection pane="bottomLeft" activeCell="J34" sqref="J34"/>
    </sheetView>
  </sheetViews>
  <sheetFormatPr defaultRowHeight="15"/>
  <cols>
    <col min="1" max="1" width="10.7109375" style="66" customWidth="1"/>
    <col min="2" max="2" width="12.7109375" style="16" customWidth="1"/>
    <col min="3" max="6" width="12.7109375" style="68" customWidth="1"/>
    <col min="7" max="9" width="12.7109375" style="16" customWidth="1"/>
    <col min="10" max="12" width="12.7109375" style="70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101" t="s">
        <v>15</v>
      </c>
      <c r="B3" s="17" t="s">
        <v>22</v>
      </c>
      <c r="C3" s="18" t="s">
        <v>27</v>
      </c>
      <c r="D3" s="19" t="s">
        <v>28</v>
      </c>
      <c r="E3" s="98" t="s">
        <v>22</v>
      </c>
      <c r="F3" s="20" t="s">
        <v>23</v>
      </c>
      <c r="G3" s="21" t="s">
        <v>29</v>
      </c>
      <c r="H3" s="21" t="s">
        <v>30</v>
      </c>
      <c r="I3" s="9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9">
        <v>28</v>
      </c>
      <c r="B5" s="99">
        <v>6586723</v>
      </c>
      <c r="C5" s="128">
        <f>B6-B5</f>
        <v>3011</v>
      </c>
      <c r="D5" s="34">
        <f>C5*0.21186441</f>
        <v>637.92373851000002</v>
      </c>
      <c r="E5" s="35">
        <v>514362</v>
      </c>
      <c r="F5" s="129">
        <f>E6-E5</f>
        <v>143</v>
      </c>
      <c r="G5" s="36">
        <f>F5*0.84746</f>
        <v>121.18678</v>
      </c>
      <c r="H5" s="36">
        <f>F5*0.84746</f>
        <v>121.18678</v>
      </c>
      <c r="I5" s="100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9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5">
        <v>6638432</v>
      </c>
      <c r="C21" s="55">
        <f t="shared" si="8"/>
        <v>4235</v>
      </c>
      <c r="D21" s="46">
        <f t="shared" si="7"/>
        <v>897.24577635000003</v>
      </c>
      <c r="E21" s="96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4319</v>
      </c>
      <c r="D22" s="46">
        <f t="shared" si="7"/>
        <v>915.04238679000002</v>
      </c>
      <c r="E22" s="52">
        <v>517363</v>
      </c>
      <c r="F22" s="54">
        <f t="shared" si="9"/>
        <v>179</v>
      </c>
      <c r="G22" s="43">
        <f t="shared" si="4"/>
        <v>151.69533999999999</v>
      </c>
      <c r="H22" s="43">
        <f t="shared" si="5"/>
        <v>151.69533999999999</v>
      </c>
      <c r="I22" s="49">
        <f t="shared" si="2"/>
        <v>303.39067999999997</v>
      </c>
      <c r="J22" s="50">
        <f>5780+6440</f>
        <v>12220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6646986</v>
      </c>
      <c r="C23" s="55">
        <f t="shared" si="8"/>
        <v>3746</v>
      </c>
      <c r="D23" s="46">
        <f t="shared" si="7"/>
        <v>793.64407986000003</v>
      </c>
      <c r="E23" s="52">
        <v>517542</v>
      </c>
      <c r="F23" s="56">
        <f t="shared" si="9"/>
        <v>170</v>
      </c>
      <c r="G23" s="48">
        <f t="shared" si="4"/>
        <v>144.06819999999999</v>
      </c>
      <c r="H23" s="48">
        <f t="shared" si="5"/>
        <v>144.06819999999999</v>
      </c>
      <c r="I23" s="49">
        <f t="shared" si="2"/>
        <v>288.13639999999998</v>
      </c>
      <c r="J23" s="50">
        <f>5780+6440</f>
        <v>12220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6650732</v>
      </c>
      <c r="C24" s="53">
        <f t="shared" si="8"/>
        <v>3792</v>
      </c>
      <c r="D24" s="46">
        <f t="shared" si="7"/>
        <v>803.38984272000005</v>
      </c>
      <c r="E24" s="52">
        <v>517712</v>
      </c>
      <c r="F24" s="54">
        <f t="shared" si="9"/>
        <v>188</v>
      </c>
      <c r="G24" s="43">
        <f t="shared" si="4"/>
        <v>159.32247999999998</v>
      </c>
      <c r="H24" s="43">
        <f t="shared" si="5"/>
        <v>159.32247999999998</v>
      </c>
      <c r="I24" s="49">
        <f t="shared" si="2"/>
        <v>318.64495999999997</v>
      </c>
      <c r="J24" s="50">
        <f>5780+6440</f>
        <v>12220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6654524</v>
      </c>
      <c r="C25" s="55">
        <f t="shared" si="8"/>
        <v>3454</v>
      </c>
      <c r="D25" s="46">
        <f t="shared" si="7"/>
        <v>731.77967214</v>
      </c>
      <c r="E25" s="52">
        <v>517900</v>
      </c>
      <c r="F25" s="56">
        <f t="shared" si="9"/>
        <v>129</v>
      </c>
      <c r="G25" s="48">
        <f t="shared" si="4"/>
        <v>109.32234</v>
      </c>
      <c r="H25" s="48">
        <f t="shared" si="5"/>
        <v>109.32234</v>
      </c>
      <c r="I25" s="49">
        <f t="shared" si="2"/>
        <v>218.64467999999999</v>
      </c>
      <c r="J25" s="50">
        <f>5780+6440</f>
        <v>12220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6657978</v>
      </c>
      <c r="C26" s="53">
        <f t="shared" si="8"/>
        <v>3661</v>
      </c>
      <c r="D26" s="46">
        <f t="shared" si="7"/>
        <v>775.63560501000006</v>
      </c>
      <c r="E26" s="52">
        <v>518029</v>
      </c>
      <c r="F26" s="54">
        <f t="shared" si="9"/>
        <v>168</v>
      </c>
      <c r="G26" s="43">
        <f t="shared" si="4"/>
        <v>142.37327999999999</v>
      </c>
      <c r="H26" s="43">
        <f t="shared" si="5"/>
        <v>142.37327999999999</v>
      </c>
      <c r="I26" s="49">
        <f t="shared" si="2"/>
        <v>284.74655999999999</v>
      </c>
      <c r="J26" s="50">
        <f>5780+6440</f>
        <v>12220</v>
      </c>
      <c r="K26" s="38">
        <f t="shared" si="3"/>
        <v>-20</v>
      </c>
      <c r="L26" s="39">
        <f t="shared" si="6"/>
        <v>-14</v>
      </c>
    </row>
    <row r="27" spans="1:12" ht="32.450000000000003" customHeight="1">
      <c r="A27" s="45">
        <v>22</v>
      </c>
      <c r="B27" s="45">
        <v>6661639</v>
      </c>
      <c r="C27" s="55">
        <f t="shared" si="8"/>
        <v>4011</v>
      </c>
      <c r="D27" s="46">
        <f t="shared" si="7"/>
        <v>849.78814851000004</v>
      </c>
      <c r="E27" s="52">
        <v>518197</v>
      </c>
      <c r="F27" s="56">
        <f t="shared" si="9"/>
        <v>155</v>
      </c>
      <c r="G27" s="48">
        <f t="shared" si="4"/>
        <v>131.3563</v>
      </c>
      <c r="H27" s="48">
        <f t="shared" si="5"/>
        <v>131.3563</v>
      </c>
      <c r="I27" s="49">
        <f t="shared" si="2"/>
        <v>262.71260000000001</v>
      </c>
      <c r="J27" s="50">
        <f>5780+6460</f>
        <v>12240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6665650</v>
      </c>
      <c r="C28" s="53">
        <f t="shared" si="8"/>
        <v>3719</v>
      </c>
      <c r="D28" s="46">
        <f t="shared" si="7"/>
        <v>787.92374079000001</v>
      </c>
      <c r="E28" s="52">
        <v>518352</v>
      </c>
      <c r="F28" s="54">
        <f t="shared" si="9"/>
        <v>162</v>
      </c>
      <c r="G28" s="43">
        <f t="shared" si="4"/>
        <v>137.28852000000001</v>
      </c>
      <c r="H28" s="43">
        <f t="shared" si="5"/>
        <v>137.28852000000001</v>
      </c>
      <c r="I28" s="49">
        <f t="shared" si="2"/>
        <v>274.57704000000001</v>
      </c>
      <c r="J28" s="50">
        <f>5780+6460</f>
        <v>12240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6669369</v>
      </c>
      <c r="C29" s="55">
        <f t="shared" si="8"/>
        <v>3601</v>
      </c>
      <c r="D29" s="46">
        <f t="shared" si="7"/>
        <v>762.92374041000005</v>
      </c>
      <c r="E29" s="52">
        <v>518514</v>
      </c>
      <c r="F29" s="56">
        <f t="shared" si="9"/>
        <v>168</v>
      </c>
      <c r="G29" s="48">
        <f t="shared" si="4"/>
        <v>142.37327999999999</v>
      </c>
      <c r="H29" s="48">
        <f t="shared" si="5"/>
        <v>142.37327999999999</v>
      </c>
      <c r="I29" s="49">
        <f t="shared" si="2"/>
        <v>284.74655999999999</v>
      </c>
      <c r="J29" s="50">
        <f>5780+6460</f>
        <v>12240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6672970</v>
      </c>
      <c r="C30" s="53">
        <f t="shared" si="8"/>
        <v>3225</v>
      </c>
      <c r="D30" s="46">
        <f t="shared" si="7"/>
        <v>683.26272225000002</v>
      </c>
      <c r="E30" s="52">
        <v>518682</v>
      </c>
      <c r="F30" s="54">
        <f t="shared" si="9"/>
        <v>173</v>
      </c>
      <c r="G30" s="43">
        <f t="shared" si="4"/>
        <v>146.61058</v>
      </c>
      <c r="H30" s="43">
        <f t="shared" si="5"/>
        <v>146.61058</v>
      </c>
      <c r="I30" s="49">
        <f t="shared" si="2"/>
        <v>293.22116</v>
      </c>
      <c r="J30" s="50">
        <f>5780+6460</f>
        <v>12240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6676195</v>
      </c>
      <c r="C31" s="55">
        <f t="shared" si="8"/>
        <v>3189</v>
      </c>
      <c r="D31" s="46">
        <f t="shared" si="7"/>
        <v>675.63560348999999</v>
      </c>
      <c r="E31" s="52">
        <v>518855</v>
      </c>
      <c r="F31" s="56">
        <f t="shared" si="9"/>
        <v>139</v>
      </c>
      <c r="G31" s="48">
        <f t="shared" si="4"/>
        <v>117.79693999999999</v>
      </c>
      <c r="H31" s="48">
        <f t="shared" si="5"/>
        <v>117.79693999999999</v>
      </c>
      <c r="I31" s="49">
        <f t="shared" si="2"/>
        <v>235.59387999999998</v>
      </c>
      <c r="J31" s="50">
        <f>5780+6460</f>
        <v>12240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6679384</v>
      </c>
      <c r="C32" s="53">
        <f t="shared" si="8"/>
        <v>2541</v>
      </c>
      <c r="D32" s="46">
        <f t="shared" si="7"/>
        <v>538.34746581000002</v>
      </c>
      <c r="E32" s="52">
        <v>518994</v>
      </c>
      <c r="F32" s="55">
        <f t="shared" si="9"/>
        <v>110</v>
      </c>
      <c r="G32" s="43">
        <f t="shared" si="4"/>
        <v>93.220600000000005</v>
      </c>
      <c r="H32" s="43">
        <f t="shared" si="5"/>
        <v>93.220600000000005</v>
      </c>
      <c r="I32" s="49">
        <f t="shared" si="2"/>
        <v>186.44120000000001</v>
      </c>
      <c r="J32" s="50">
        <f>5780+6460</f>
        <v>12240</v>
      </c>
      <c r="K32" s="38">
        <f t="shared" si="3"/>
        <v>-40</v>
      </c>
      <c r="L32" s="39">
        <f t="shared" si="6"/>
        <v>-28</v>
      </c>
    </row>
    <row r="33" spans="1:12" ht="32.450000000000003" customHeight="1">
      <c r="A33" s="45">
        <v>28</v>
      </c>
      <c r="B33" s="45">
        <v>6681925</v>
      </c>
      <c r="C33" s="55">
        <f t="shared" si="8"/>
        <v>3662</v>
      </c>
      <c r="D33" s="46">
        <f t="shared" si="7"/>
        <v>775.84746942000004</v>
      </c>
      <c r="E33" s="52">
        <v>519104</v>
      </c>
      <c r="F33" s="54">
        <f t="shared" si="9"/>
        <v>160</v>
      </c>
      <c r="G33" s="48">
        <f t="shared" si="4"/>
        <v>135.59360000000001</v>
      </c>
      <c r="H33" s="48">
        <f t="shared" si="5"/>
        <v>135.59360000000001</v>
      </c>
      <c r="I33" s="49">
        <f t="shared" si="2"/>
        <v>271.18720000000002</v>
      </c>
      <c r="J33" s="50">
        <f>5820+6460</f>
        <v>12280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6685587</v>
      </c>
      <c r="C34" s="55">
        <f t="shared" si="8"/>
        <v>-6685587</v>
      </c>
      <c r="D34" s="46">
        <f t="shared" si="7"/>
        <v>-1416437.94525867</v>
      </c>
      <c r="E34" s="52">
        <v>519264</v>
      </c>
      <c r="F34" s="55">
        <f t="shared" si="9"/>
        <v>-519264</v>
      </c>
      <c r="G34" s="43">
        <f t="shared" si="4"/>
        <v>-440055.46944000002</v>
      </c>
      <c r="H34" s="43">
        <f t="shared" si="5"/>
        <v>-440055.46944000002</v>
      </c>
      <c r="I34" s="49">
        <f t="shared" si="2"/>
        <v>-880110.93888000003</v>
      </c>
      <c r="J34" s="50">
        <f>5820+6460</f>
        <v>12280</v>
      </c>
      <c r="K34" s="38">
        <f t="shared" si="3"/>
        <v>12280</v>
      </c>
      <c r="L34" s="39">
        <f t="shared" si="6"/>
        <v>8596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 t="shared" si="6"/>
        <v>0</v>
      </c>
    </row>
    <row r="36" spans="1:12" ht="32.450000000000003" customHeight="1">
      <c r="A36" s="106">
        <v>31</v>
      </c>
      <c r="B36" s="106"/>
      <c r="C36" s="107">
        <f t="shared" ref="C36" si="10">B37-B36</f>
        <v>0</v>
      </c>
      <c r="D36" s="108">
        <f t="shared" si="7"/>
        <v>0</v>
      </c>
      <c r="E36" s="109"/>
      <c r="F36" s="107">
        <f t="shared" ref="F36" si="11">E37-E36</f>
        <v>0</v>
      </c>
      <c r="G36" s="110">
        <f t="shared" ref="G36" si="12">F36*0.84746</f>
        <v>0</v>
      </c>
      <c r="H36" s="110">
        <f t="shared" ref="H36" si="13">F36*0.84746</f>
        <v>0</v>
      </c>
      <c r="I36" s="111">
        <f t="shared" ref="I36" si="14">G36+H36</f>
        <v>0</v>
      </c>
      <c r="J36" s="112"/>
      <c r="K36" s="113">
        <f t="shared" ref="K36" si="15">J36-J37</f>
        <v>0</v>
      </c>
      <c r="L36" s="114">
        <f>K36*0.7</f>
        <v>0</v>
      </c>
    </row>
    <row r="37" spans="1:12" ht="32.450000000000003" customHeight="1">
      <c r="A37" s="106">
        <v>1</v>
      </c>
      <c r="B37" s="106"/>
      <c r="C37" s="107">
        <f t="shared" ref="C37" si="16">B38-B37</f>
        <v>0</v>
      </c>
      <c r="D37" s="108">
        <f t="shared" ref="D37" si="17">C37*0.21186441</f>
        <v>0</v>
      </c>
      <c r="E37" s="109"/>
      <c r="F37" s="107">
        <f t="shared" ref="F37" si="18">E38-E37</f>
        <v>0</v>
      </c>
      <c r="G37" s="110">
        <f t="shared" ref="G37" si="19">F37*0.84746</f>
        <v>0</v>
      </c>
      <c r="H37" s="110">
        <f t="shared" ref="H37" si="20">F37*0.84746</f>
        <v>0</v>
      </c>
      <c r="I37" s="111">
        <f t="shared" ref="I37" si="21">G37+H37</f>
        <v>0</v>
      </c>
      <c r="J37" s="112"/>
      <c r="K37" s="113">
        <f t="shared" ref="K37" si="22">J37-J38</f>
        <v>0</v>
      </c>
      <c r="L37" s="114">
        <f>K37*0.7</f>
        <v>0</v>
      </c>
    </row>
    <row r="38" spans="1:12">
      <c r="B38" s="66"/>
      <c r="C38" s="67"/>
      <c r="D38" s="67"/>
      <c r="J38" s="66"/>
      <c r="K38" s="66"/>
      <c r="L38" s="66"/>
    </row>
    <row r="39" spans="1:12">
      <c r="B39" s="66"/>
      <c r="C39" s="67"/>
      <c r="D39" s="67"/>
      <c r="J39" s="66"/>
      <c r="K39" s="66"/>
      <c r="L39" s="66"/>
    </row>
    <row r="40" spans="1:12">
      <c r="B40" s="66"/>
      <c r="C40" s="67"/>
      <c r="D40" s="67"/>
      <c r="J40" s="66"/>
      <c r="K40" s="66"/>
      <c r="L40" s="66"/>
    </row>
    <row r="41" spans="1:12">
      <c r="B41" s="66"/>
      <c r="C41" s="67"/>
      <c r="D41" s="67"/>
      <c r="J41" s="66"/>
      <c r="K41" s="66"/>
      <c r="L41" s="66"/>
    </row>
    <row r="42" spans="1:12">
      <c r="B42" s="66"/>
      <c r="C42" s="67"/>
      <c r="D42" s="67"/>
      <c r="J42" s="66"/>
      <c r="K42" s="66"/>
      <c r="L42" s="66"/>
    </row>
    <row r="43" spans="1:12">
      <c r="B43" s="66"/>
      <c r="C43" s="67"/>
      <c r="D43" s="67"/>
      <c r="J43" s="66"/>
      <c r="K43" s="66"/>
      <c r="L43" s="66"/>
    </row>
    <row r="44" spans="1:12">
      <c r="B44" s="66"/>
      <c r="C44" s="67"/>
      <c r="D44" s="67"/>
      <c r="J44" s="66"/>
      <c r="K44" s="66"/>
      <c r="L44" s="66"/>
    </row>
    <row r="45" spans="1:12">
      <c r="B45" s="66"/>
      <c r="C45" s="67"/>
      <c r="D45" s="67"/>
      <c r="J45" s="66"/>
      <c r="K45" s="66"/>
      <c r="L45" s="66"/>
    </row>
    <row r="46" spans="1:12">
      <c r="B46" s="66"/>
      <c r="C46" s="67"/>
      <c r="D46" s="67"/>
      <c r="J46" s="66"/>
      <c r="K46" s="66"/>
      <c r="L46" s="66"/>
    </row>
    <row r="47" spans="1:12">
      <c r="B47" s="66"/>
      <c r="C47" s="67"/>
      <c r="D47" s="67"/>
      <c r="J47" s="66"/>
      <c r="K47" s="66"/>
      <c r="L47" s="66"/>
    </row>
    <row r="48" spans="1:12">
      <c r="B48" s="66"/>
      <c r="C48" s="67"/>
      <c r="D48" s="67"/>
      <c r="J48" s="66"/>
      <c r="K48" s="66"/>
      <c r="L48" s="66"/>
    </row>
    <row r="49" spans="1:12">
      <c r="A49" s="69"/>
      <c r="B49" s="66"/>
      <c r="C49" s="67"/>
      <c r="D49" s="67"/>
      <c r="J49" s="66"/>
      <c r="K49" s="66"/>
      <c r="L49" s="66"/>
    </row>
    <row r="50" spans="1:12">
      <c r="A50" s="69"/>
      <c r="B50" s="66"/>
      <c r="C50" s="67"/>
      <c r="D50" s="67"/>
      <c r="J50" s="66"/>
      <c r="K50" s="66"/>
      <c r="L50" s="66"/>
    </row>
    <row r="51" spans="1:12">
      <c r="A51" s="69"/>
      <c r="B51" s="66"/>
      <c r="C51" s="67"/>
      <c r="D51" s="67"/>
      <c r="J51" s="66"/>
      <c r="K51" s="66"/>
      <c r="L51" s="66"/>
    </row>
    <row r="52" spans="1:12">
      <c r="A52" s="69"/>
      <c r="B52" s="66"/>
      <c r="C52" s="67"/>
      <c r="D52" s="67"/>
      <c r="J52" s="66"/>
      <c r="K52" s="66"/>
      <c r="L52" s="66"/>
    </row>
    <row r="53" spans="1:12">
      <c r="A53" s="69"/>
      <c r="B53" s="66"/>
      <c r="C53" s="67"/>
      <c r="D53" s="67"/>
      <c r="J53" s="66"/>
      <c r="K53" s="66"/>
      <c r="L53" s="66"/>
    </row>
    <row r="54" spans="1:12">
      <c r="A54" s="69"/>
      <c r="B54" s="66"/>
      <c r="C54" s="67"/>
      <c r="D54" s="67"/>
      <c r="J54" s="66"/>
      <c r="K54" s="66"/>
      <c r="L54" s="66"/>
    </row>
    <row r="55" spans="1:12">
      <c r="A55" s="69"/>
      <c r="B55" s="66"/>
      <c r="C55" s="67"/>
      <c r="D55" s="67"/>
      <c r="J55" s="66"/>
      <c r="K55" s="66"/>
      <c r="L55" s="66"/>
    </row>
    <row r="56" spans="1:12">
      <c r="A56" s="69"/>
      <c r="B56" s="66"/>
      <c r="C56" s="67"/>
      <c r="D56" s="67"/>
      <c r="J56" s="66"/>
      <c r="K56" s="66"/>
      <c r="L56" s="66"/>
    </row>
    <row r="57" spans="1:12">
      <c r="A57" s="69"/>
      <c r="B57" s="66"/>
      <c r="C57" s="67"/>
      <c r="D57" s="67"/>
      <c r="J57" s="66"/>
      <c r="K57" s="66"/>
      <c r="L57" s="66"/>
    </row>
    <row r="58" spans="1:12">
      <c r="A58" s="69"/>
      <c r="B58" s="66"/>
      <c r="C58" s="67"/>
      <c r="D58" s="67"/>
      <c r="J58" s="66"/>
      <c r="K58" s="66"/>
      <c r="L58" s="66"/>
    </row>
    <row r="59" spans="1:12">
      <c r="A59" s="69"/>
      <c r="B59" s="66"/>
      <c r="C59" s="67"/>
      <c r="D59" s="67"/>
      <c r="J59" s="66"/>
      <c r="K59" s="66"/>
      <c r="L59" s="66"/>
    </row>
    <row r="60" spans="1:12">
      <c r="A60" s="69"/>
      <c r="B60" s="66"/>
      <c r="C60" s="67"/>
      <c r="D60" s="67"/>
      <c r="J60" s="66"/>
      <c r="K60" s="66"/>
      <c r="L60" s="66"/>
    </row>
    <row r="61" spans="1:12">
      <c r="A61" s="69"/>
      <c r="B61" s="66"/>
      <c r="C61" s="67"/>
      <c r="D61" s="67"/>
      <c r="J61" s="66"/>
      <c r="K61" s="66"/>
      <c r="L61" s="66"/>
    </row>
    <row r="62" spans="1:12">
      <c r="A62" s="69"/>
      <c r="B62" s="66"/>
      <c r="C62" s="67"/>
      <c r="D62" s="67"/>
      <c r="J62" s="66"/>
      <c r="K62" s="66"/>
      <c r="L62" s="66"/>
    </row>
    <row r="63" spans="1:12">
      <c r="A63" s="69"/>
      <c r="B63" s="66"/>
      <c r="C63" s="67"/>
      <c r="D63" s="67"/>
      <c r="J63" s="66"/>
      <c r="K63" s="66"/>
      <c r="L63" s="66"/>
    </row>
    <row r="64" spans="1:12">
      <c r="A64" s="69"/>
      <c r="B64" s="66"/>
      <c r="C64" s="67"/>
      <c r="D64" s="67"/>
      <c r="J64" s="66"/>
      <c r="K64" s="66"/>
      <c r="L64" s="66"/>
    </row>
    <row r="65" spans="1:12">
      <c r="A65" s="69"/>
      <c r="B65" s="66"/>
      <c r="C65" s="67"/>
      <c r="D65" s="67"/>
      <c r="J65" s="66"/>
      <c r="K65" s="66"/>
      <c r="L65" s="66"/>
    </row>
    <row r="66" spans="1:12">
      <c r="A66" s="69"/>
      <c r="B66" s="66"/>
      <c r="C66" s="67"/>
      <c r="D66" s="67"/>
      <c r="J66" s="66"/>
      <c r="K66" s="66"/>
      <c r="L66" s="66"/>
    </row>
    <row r="67" spans="1:12">
      <c r="A67" s="69"/>
      <c r="B67" s="66"/>
      <c r="C67" s="67"/>
      <c r="D67" s="67"/>
      <c r="J67" s="66"/>
      <c r="K67" s="66"/>
      <c r="L67" s="66"/>
    </row>
    <row r="68" spans="1:12">
      <c r="A68" s="69"/>
      <c r="B68" s="66"/>
      <c r="C68" s="67"/>
      <c r="D68" s="67"/>
      <c r="J68" s="66"/>
      <c r="K68" s="66"/>
      <c r="L68" s="66"/>
    </row>
    <row r="69" spans="1:12">
      <c r="A69" s="69"/>
      <c r="B69" s="66"/>
      <c r="C69" s="67"/>
      <c r="D69" s="67"/>
      <c r="J69" s="66"/>
      <c r="K69" s="66"/>
      <c r="L69" s="66"/>
    </row>
    <row r="70" spans="1:12">
      <c r="A70" s="69"/>
      <c r="B70" s="66"/>
      <c r="C70" s="67"/>
      <c r="D70" s="67"/>
      <c r="J70" s="66"/>
      <c r="K70" s="66"/>
      <c r="L70" s="66"/>
    </row>
    <row r="71" spans="1:12">
      <c r="A71" s="69"/>
      <c r="B71" s="66"/>
      <c r="C71" s="67"/>
      <c r="D71" s="67"/>
      <c r="J71" s="66"/>
      <c r="K71" s="66"/>
      <c r="L71" s="66"/>
    </row>
    <row r="72" spans="1:12">
      <c r="A72" s="69"/>
      <c r="B72" s="66"/>
      <c r="C72" s="67"/>
      <c r="D72" s="67"/>
      <c r="J72" s="66"/>
      <c r="K72" s="66"/>
      <c r="L72" s="66"/>
    </row>
    <row r="73" spans="1:12">
      <c r="A73" s="69"/>
      <c r="B73" s="66"/>
      <c r="C73" s="67"/>
      <c r="D73" s="67"/>
      <c r="J73" s="66"/>
      <c r="K73" s="66"/>
      <c r="L73" s="66"/>
    </row>
    <row r="74" spans="1:12">
      <c r="A74" s="69"/>
      <c r="B74" s="66"/>
      <c r="C74" s="67"/>
      <c r="D74" s="67"/>
      <c r="J74" s="66"/>
      <c r="K74" s="66"/>
      <c r="L74" s="66"/>
    </row>
    <row r="75" spans="1:12">
      <c r="A75" s="69"/>
      <c r="B75" s="66"/>
      <c r="C75" s="67"/>
      <c r="D75" s="67"/>
      <c r="J75" s="66"/>
      <c r="K75" s="66"/>
      <c r="L75" s="66"/>
    </row>
    <row r="76" spans="1:12">
      <c r="A76" s="69"/>
      <c r="B76" s="66"/>
      <c r="C76" s="67"/>
      <c r="D76" s="67"/>
      <c r="J76" s="66"/>
      <c r="K76" s="66"/>
      <c r="L76" s="66"/>
    </row>
    <row r="77" spans="1:12">
      <c r="A77" s="69"/>
      <c r="B77" s="66"/>
      <c r="C77" s="67"/>
      <c r="D77" s="67"/>
      <c r="J77" s="66"/>
      <c r="K77" s="66"/>
      <c r="L77" s="66"/>
    </row>
    <row r="78" spans="1:12">
      <c r="A78" s="69"/>
      <c r="B78" s="66"/>
      <c r="C78" s="67"/>
      <c r="D78" s="67"/>
      <c r="J78" s="66"/>
      <c r="K78" s="66"/>
      <c r="L78" s="66"/>
    </row>
    <row r="79" spans="1:12">
      <c r="A79" s="69"/>
      <c r="B79" s="66"/>
      <c r="C79" s="67"/>
      <c r="D79" s="67"/>
      <c r="J79" s="66"/>
      <c r="K79" s="66"/>
      <c r="L79" s="66"/>
    </row>
    <row r="80" spans="1:12">
      <c r="A80" s="69"/>
      <c r="B80" s="66"/>
      <c r="C80" s="67"/>
      <c r="D80" s="67"/>
      <c r="J80" s="66"/>
      <c r="K80" s="66"/>
      <c r="L80" s="66"/>
    </row>
    <row r="81" spans="1:12">
      <c r="A81" s="69"/>
      <c r="B81" s="66"/>
      <c r="C81" s="67"/>
      <c r="D81" s="67"/>
      <c r="J81" s="66"/>
      <c r="K81" s="66"/>
      <c r="L81" s="66"/>
    </row>
    <row r="82" spans="1:12">
      <c r="A82" s="69"/>
      <c r="B82" s="66"/>
      <c r="C82" s="67"/>
      <c r="D82" s="67"/>
      <c r="J82" s="66"/>
      <c r="K82" s="66"/>
      <c r="L82" s="66"/>
    </row>
    <row r="83" spans="1:12">
      <c r="A83" s="69"/>
      <c r="B83" s="66"/>
      <c r="C83" s="67"/>
      <c r="D83" s="67"/>
      <c r="J83" s="66"/>
      <c r="K83" s="66"/>
      <c r="L83" s="6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2022-03-30T05:13:44Z</dcterms:modified>
  <cp:category/>
  <cp:contentStatus/>
</cp:coreProperties>
</file>