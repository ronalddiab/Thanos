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8430" tabRatio="762"/>
  </bookViews>
  <sheets>
    <sheet name="TOTAL" sheetId="11" r:id="rId1"/>
    <sheet name="FS Jimbaran June 2019" sheetId="14" r:id="rId2"/>
    <sheet name="RNs &amp; Covers June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B38" i="10" l="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<sst xmlns="http://schemas.openxmlformats.org/spreadsheetml/2006/main" count="100" uniqueCount="55">
  <si>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</si>
  <si>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</si>
  <si>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</si>
  <si>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</si>
  <si>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</si>
  <si>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</si>
  <si>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</si>
  <si>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</si>
  <si>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</si>
  <si>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</si>
  <si>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</si>
  <si>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</si>
  <si>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</si>
  <si>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</si>
  <si>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</si>
  <si>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</si>
  <si>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2019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</si>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</sst>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6" fontId="0" fillId="0" borderId="55" xfId="2" applyNumberFormat="1" applyFont="1" applyBorder="1"/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9" fontId="0" fillId="0" borderId="0" xfId="5" applyFont="1" applyBorder="1"/>
    <xf numFmtId="166" fontId="20" fillId="0" borderId="8" xfId="0" applyNumberFormat="1" applyFont="1" applyBorder="1"/>
    <xf numFmtId="37" fontId="20" fillId="0" borderId="8" xfId="0" applyNumberFormat="1" applyFont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221120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I1" sqref="I1"/>
    </sheetView>
  </sheetViews>
  <sheetFormatPr defaultColWidth="11.54296875" defaultRowHeight="14.5" x14ac:dyDescent="0.35"/>
  <cols>
    <col min="1" max="1" width="18.453125" style="164" customWidth="1"/>
    <col min="2" max="2" width="11.54296875" style="165"/>
    <col min="3" max="3" width="11.54296875" style="166"/>
    <col min="4" max="4" width="13.453125" style="165" customWidth="1"/>
    <col min="5" max="5" width="12.54296875" style="163" customWidth="1"/>
    <col min="6" max="6" width="12.54296875" style="167" customWidth="1"/>
    <col min="7" max="7" width="11.54296875" style="163"/>
    <col min="8" max="8" width="11.54296875" style="167"/>
    <col min="9" max="9" width="11.54296875" style="168"/>
    <col min="10" max="10" width="11.54296875" style="169"/>
    <col min="11" max="11" width="11.54296875" style="163"/>
    <col min="12" max="12" width="11.54296875" style="169"/>
    <col min="13" max="26" width="11.54296875" style="163"/>
  </cols>
  <sheetData>
    <row r="1" spans="1:15" s="157" customFormat="1" ht="43.5" x14ac:dyDescent="0.35">
      <c r="A1" s="153" t="s">
        <v>0</v>
      </c>
      <c r="B1" s="153" t="s">
        <v>1</v>
      </c>
      <c r="C1" s="154" t="s">
        <v>2</v>
      </c>
      <c r="D1" s="153" t="s">
        <v>3</v>
      </c>
      <c r="E1" s="152" t="s">
        <v>4</v>
      </c>
      <c r="F1" s="155" t="s">
        <v>5</v>
      </c>
      <c r="G1" s="152" t="s">
        <v>6</v>
      </c>
      <c r="H1" s="155" t="s">
        <v>7</v>
      </c>
      <c r="I1" s="152" t="s">
        <v>54</v>
      </c>
      <c r="J1" s="155" t="s">
        <v>8</v>
      </c>
      <c r="K1" s="152" t="s">
        <v>9</v>
      </c>
      <c r="L1" s="156" t="s">
        <v>10</v>
      </c>
      <c r="M1" s="152" t="s">
        <v>11</v>
      </c>
      <c r="N1" s="152" t="s">
        <v>12</v>
      </c>
    </row>
    <row r="2" spans="1:15" x14ac:dyDescent="0.35">
      <c r="A2" s="158" t="s">
        <v>13</v>
      </c>
      <c r="B2" s="159">
        <v>1</v>
      </c>
      <c r="C2" s="160">
        <v>6</v>
      </c>
      <c r="D2" s="159">
        <v>2019</v>
      </c>
      <c r="E2" s="161">
        <f>'FS Jimbaran June 2019'!P12</f>
        <v>23559.999999999945</v>
      </c>
      <c r="F2" s="170">
        <f>'FS Jimbaran June 2019'!O12/'FS Jimbaran June 2019'!P12</f>
        <v>1124.1466298811542</v>
      </c>
      <c r="G2" s="161">
        <f>'FS Jimbaran June 2019'!AG12</f>
        <v>149.55963999996013</v>
      </c>
      <c r="H2" s="170">
        <f>'FS Jimbaran June 2019'!AH12/'FS Jimbaran June 2019'!AG12</f>
        <v>10721.7</v>
      </c>
      <c r="I2" s="161">
        <f>'FS Jimbaran June 2019'!AJ12</f>
        <v>663.43000000000029</v>
      </c>
      <c r="J2" s="162">
        <f>'FS Jimbaran June 2019'!AK12/'FS Jimbaran June 2019'!AJ12</f>
        <v>10400</v>
      </c>
      <c r="K2" s="161">
        <f>'FS Jimbaran June 2019'!V12</f>
        <v>813.46</v>
      </c>
      <c r="L2" s="170">
        <f>'FS Jimbaran June 2019'!AA12/'FS Jimbaran June 2019'!V12</f>
        <v>4992.6943107221005</v>
      </c>
      <c r="M2" s="161">
        <v>58</v>
      </c>
      <c r="N2" s="161">
        <v>477</v>
      </c>
    </row>
    <row r="3" spans="1:15" x14ac:dyDescent="0.35">
      <c r="A3" s="158" t="s">
        <v>13</v>
      </c>
      <c r="B3" s="159">
        <f>B2+1</f>
        <v>2</v>
      </c>
      <c r="C3" s="160">
        <v>6</v>
      </c>
      <c r="D3" s="159">
        <v>2019</v>
      </c>
      <c r="E3" s="161">
        <f>'FS Jimbaran June 2019'!P13</f>
        <v>22979.999999999338</v>
      </c>
      <c r="F3" s="170">
        <f>'FS Jimbaran June 2019'!O13/'FS Jimbaran June 2019'!P13</f>
        <v>1123.2218276762401</v>
      </c>
      <c r="G3" s="161">
        <f>'FS Jimbaran June 2019'!AG13</f>
        <v>125.9152800000375</v>
      </c>
      <c r="H3" s="170">
        <f>'FS Jimbaran June 2019'!AH13/'FS Jimbaran June 2019'!AG13</f>
        <v>10721.7</v>
      </c>
      <c r="I3" s="161">
        <f>'FS Jimbaran June 2019'!AJ13</f>
        <v>500.29999999999927</v>
      </c>
      <c r="J3" s="162">
        <f>'FS Jimbaran June 2019'!AK13/'FS Jimbaran June 2019'!AJ13</f>
        <v>10400</v>
      </c>
      <c r="K3" s="161">
        <f>'FS Jimbaran June 2019'!V13</f>
        <v>761.0390000000051</v>
      </c>
      <c r="L3" s="170">
        <f>'FS Jimbaran June 2019'!AA13/'FS Jimbaran June 2019'!V13</f>
        <v>5608.7766553619376</v>
      </c>
      <c r="M3" s="161">
        <v>49</v>
      </c>
      <c r="N3" s="161">
        <v>390</v>
      </c>
    </row>
    <row r="4" spans="1:15" x14ac:dyDescent="0.35">
      <c r="A4" s="158" t="s">
        <v>13</v>
      </c>
      <c r="B4" s="159">
        <f t="shared" ref="B4:B31" si="0">B3+1</f>
        <v>3</v>
      </c>
      <c r="C4" s="160">
        <v>6</v>
      </c>
      <c r="D4" s="159">
        <v>2019</v>
      </c>
      <c r="E4" s="161">
        <f>'FS Jimbaran June 2019'!P14</f>
        <v>22539.999999999738</v>
      </c>
      <c r="F4" s="170">
        <f>'FS Jimbaran June 2019'!O14/'FS Jimbaran June 2019'!P14</f>
        <v>1129.9835936113618</v>
      </c>
      <c r="G4" s="161">
        <f>'FS Jimbaran June 2019'!AG14</f>
        <v>225.23051999998592</v>
      </c>
      <c r="H4" s="170">
        <f>'FS Jimbaran June 2019'!AH14/'FS Jimbaran June 2019'!AG14</f>
        <v>11355.850291887658</v>
      </c>
      <c r="I4" s="161">
        <f>'FS Jimbaran June 2019'!AJ14</f>
        <v>346.29000000000087</v>
      </c>
      <c r="J4" s="162">
        <f>'FS Jimbaran June 2019'!AK14/'FS Jimbaran June 2019'!AJ14</f>
        <v>10400</v>
      </c>
      <c r="K4" s="161">
        <f>'FS Jimbaran June 2019'!V14</f>
        <v>703.10000000000014</v>
      </c>
      <c r="L4" s="170">
        <f>'FS Jimbaran June 2019'!AA14/'FS Jimbaran June 2019'!V14</f>
        <v>4646.4726835443034</v>
      </c>
      <c r="M4" s="161">
        <v>48</v>
      </c>
      <c r="N4" s="161">
        <v>376</v>
      </c>
    </row>
    <row r="5" spans="1:15" x14ac:dyDescent="0.35">
      <c r="A5" s="158" t="s">
        <v>13</v>
      </c>
      <c r="B5" s="159">
        <f t="shared" si="0"/>
        <v>4</v>
      </c>
      <c r="C5" s="160">
        <v>6</v>
      </c>
      <c r="D5" s="159">
        <v>2019</v>
      </c>
      <c r="E5" s="161">
        <f>'FS Jimbaran June 2019'!P15</f>
        <v>23280.000000000429</v>
      </c>
      <c r="F5" s="170">
        <f>'FS Jimbaran June 2019'!O15/'FS Jimbaran June 2019'!P15</f>
        <v>1122.9848453608197</v>
      </c>
      <c r="G5" s="161">
        <f>'FS Jimbaran June 2019'!AG15</f>
        <v>166.91</v>
      </c>
      <c r="H5" s="170">
        <f>'FS Jimbaran June 2019'!AH15/'FS Jimbaran June 2019'!AG15</f>
        <v>10916.528350608112</v>
      </c>
      <c r="I5" s="161">
        <f>'FS Jimbaran June 2019'!AJ15</f>
        <v>509.80000000000291</v>
      </c>
      <c r="J5" s="162">
        <f>'FS Jimbaran June 2019'!AK15/'FS Jimbaran June 2019'!AJ15</f>
        <v>10399.999999999998</v>
      </c>
      <c r="K5" s="161">
        <f>'FS Jimbaran June 2019'!V15</f>
        <v>745.82</v>
      </c>
      <c r="L5" s="170">
        <f>'FS Jimbaran June 2019'!AA15/'FS Jimbaran June 2019'!V15</f>
        <v>5008.9897374701668</v>
      </c>
      <c r="M5" s="161">
        <v>72</v>
      </c>
      <c r="N5" s="161">
        <v>475</v>
      </c>
    </row>
    <row r="6" spans="1:15" x14ac:dyDescent="0.35">
      <c r="A6" s="158" t="s">
        <v>13</v>
      </c>
      <c r="B6" s="159">
        <f t="shared" si="0"/>
        <v>5</v>
      </c>
      <c r="C6" s="160">
        <v>6</v>
      </c>
      <c r="D6" s="159">
        <v>2019</v>
      </c>
      <c r="E6" s="161">
        <f>'FS Jimbaran June 2019'!P16</f>
        <v>24519.999999999753</v>
      </c>
      <c r="F6" s="170">
        <f>'FS Jimbaran June 2019'!O16/'FS Jimbaran June 2019'!P16</f>
        <v>1125.333572593802</v>
      </c>
      <c r="G6" s="161">
        <f>'FS Jimbaran June 2019'!AG16</f>
        <v>136.75059999998825</v>
      </c>
      <c r="H6" s="170">
        <f>'FS Jimbaran June 2019'!AH16/'FS Jimbaran June 2019'!AG16</f>
        <v>10721.7</v>
      </c>
      <c r="I6" s="161">
        <f>'FS Jimbaran June 2019'!AJ16</f>
        <v>588.5099999999984</v>
      </c>
      <c r="J6" s="162">
        <f>'FS Jimbaran June 2019'!AK16/'FS Jimbaran June 2019'!AJ16</f>
        <v>10400</v>
      </c>
      <c r="K6" s="161">
        <f>'FS Jimbaran June 2019'!V16</f>
        <v>805.36099999999487</v>
      </c>
      <c r="L6" s="170">
        <f>'FS Jimbaran June 2019'!AA16/'FS Jimbaran June 2019'!V16</f>
        <v>3737.3473113051136</v>
      </c>
      <c r="M6" s="161">
        <v>71</v>
      </c>
      <c r="N6" s="161">
        <v>547</v>
      </c>
    </row>
    <row r="7" spans="1:15" x14ac:dyDescent="0.35">
      <c r="A7" s="158" t="s">
        <v>13</v>
      </c>
      <c r="B7" s="159">
        <f t="shared" si="0"/>
        <v>6</v>
      </c>
      <c r="C7" s="160">
        <v>6</v>
      </c>
      <c r="D7" s="159">
        <v>2019</v>
      </c>
      <c r="E7" s="161">
        <f>'FS Jimbaran June 2019'!P17</f>
        <v>24039.999999999738</v>
      </c>
      <c r="F7" s="170">
        <f>'FS Jimbaran June 2019'!O17/'FS Jimbaran June 2019'!P17</f>
        <v>1127.5525207986695</v>
      </c>
      <c r="G7" s="161">
        <f>'FS Jimbaran June 2019'!AG17</f>
        <v>307.08512000003282</v>
      </c>
      <c r="H7" s="170">
        <f>'FS Jimbaran June 2019'!AH17/'FS Jimbaran June 2019'!AG17</f>
        <v>11489.969722739985</v>
      </c>
      <c r="I7" s="161">
        <f>'FS Jimbaran June 2019'!AJ17</f>
        <v>583.54999999999927</v>
      </c>
      <c r="J7" s="162">
        <f>'FS Jimbaran June 2019'!AK17/'FS Jimbaran June 2019'!AJ17</f>
        <v>10400</v>
      </c>
      <c r="K7" s="161">
        <f>'FS Jimbaran June 2019'!V17</f>
        <v>779.6400000000001</v>
      </c>
      <c r="L7" s="170">
        <f>'FS Jimbaran June 2019'!AA17/'FS Jimbaran June 2019'!V17</f>
        <v>4063.033515981735</v>
      </c>
      <c r="M7" s="161">
        <v>72</v>
      </c>
      <c r="N7" s="161">
        <v>582</v>
      </c>
    </row>
    <row r="8" spans="1:15" x14ac:dyDescent="0.35">
      <c r="A8" s="158" t="s">
        <v>13</v>
      </c>
      <c r="B8" s="159">
        <f t="shared" si="0"/>
        <v>7</v>
      </c>
      <c r="C8" s="160">
        <v>6</v>
      </c>
      <c r="D8" s="159">
        <v>2019</v>
      </c>
      <c r="E8" s="161">
        <f>'FS Jimbaran June 2019'!P18</f>
        <v>23259.999999999993</v>
      </c>
      <c r="F8" s="170">
        <f>'FS Jimbaran June 2019'!O18/'FS Jimbaran June 2019'!P18</f>
        <v>1129.7394067067933</v>
      </c>
      <c r="G8" s="161">
        <f>'FS Jimbaran June 2019'!AG18</f>
        <v>304.95371999996246</v>
      </c>
      <c r="H8" s="170">
        <f>'FS Jimbaran June 2019'!AH18/'FS Jimbaran June 2019'!AG18</f>
        <v>11459.794291815911</v>
      </c>
      <c r="I8" s="161">
        <f>'FS Jimbaran June 2019'!AJ18</f>
        <v>594.15000000000146</v>
      </c>
      <c r="J8" s="162">
        <f>'FS Jimbaran June 2019'!AK18/'FS Jimbaran June 2019'!AJ18</f>
        <v>10400</v>
      </c>
      <c r="K8" s="161">
        <f>'FS Jimbaran June 2019'!V18</f>
        <v>784.08999999999992</v>
      </c>
      <c r="L8" s="170">
        <f>'FS Jimbaran June 2019'!AA18/'FS Jimbaran June 2019'!V18</f>
        <v>3913.418047673099</v>
      </c>
      <c r="M8" s="161">
        <v>64</v>
      </c>
      <c r="N8" s="161">
        <v>579</v>
      </c>
    </row>
    <row r="9" spans="1:15" x14ac:dyDescent="0.35">
      <c r="A9" s="158" t="s">
        <v>13</v>
      </c>
      <c r="B9" s="159">
        <f t="shared" si="0"/>
        <v>8</v>
      </c>
      <c r="C9" s="160">
        <v>6</v>
      </c>
      <c r="D9" s="159">
        <v>2019</v>
      </c>
      <c r="E9" s="161">
        <f>'FS Jimbaran June 2019'!P19</f>
        <v>22920.000000000298</v>
      </c>
      <c r="F9" s="170">
        <f>'FS Jimbaran June 2019'!O19/'FS Jimbaran June 2019'!P19</f>
        <v>1125.2583769633559</v>
      </c>
      <c r="G9" s="161">
        <f>'FS Jimbaran June 2019'!AG19</f>
        <v>141.58420000003517</v>
      </c>
      <c r="H9" s="170">
        <f>'FS Jimbaran June 2019'!AH19/'FS Jimbaran June 2019'!AG19</f>
        <v>10721.7</v>
      </c>
      <c r="I9" s="161">
        <f>'FS Jimbaran June 2019'!AJ19</f>
        <v>574.09999999999854</v>
      </c>
      <c r="J9" s="162">
        <f>'FS Jimbaran June 2019'!AK19/'FS Jimbaran June 2019'!AJ19</f>
        <v>10400</v>
      </c>
      <c r="K9" s="161">
        <f>'FS Jimbaran June 2019'!V19</f>
        <v>754.72</v>
      </c>
      <c r="L9" s="170">
        <f>'FS Jimbaran June 2019'!AA19/'FS Jimbaran June 2019'!V19</f>
        <v>3662.7308254716982</v>
      </c>
      <c r="M9" s="161">
        <v>55</v>
      </c>
      <c r="N9" s="161">
        <v>462</v>
      </c>
      <c r="O9" s="163" t="s">
        <v>14</v>
      </c>
    </row>
    <row r="10" spans="1:15" x14ac:dyDescent="0.35">
      <c r="A10" s="158" t="s">
        <v>13</v>
      </c>
      <c r="B10" s="159">
        <f t="shared" si="0"/>
        <v>9</v>
      </c>
      <c r="C10" s="160">
        <v>6</v>
      </c>
      <c r="D10" s="159">
        <v>2019</v>
      </c>
      <c r="E10" s="161">
        <f>'FS Jimbaran June 2019'!P20</f>
        <v>22500.000000001135</v>
      </c>
      <c r="F10" s="170">
        <f>'FS Jimbaran June 2019'!O20/'FS Jimbaran June 2019'!P20</f>
        <v>1124.6269066666598</v>
      </c>
      <c r="G10" s="161">
        <f>'FS Jimbaran June 2019'!AG20</f>
        <v>155.03083999999529</v>
      </c>
      <c r="H10" s="170">
        <f>'FS Jimbaran June 2019'!AH20/'FS Jimbaran June 2019'!AG20</f>
        <v>10861.537983203863</v>
      </c>
      <c r="I10" s="161">
        <f>'FS Jimbaran June 2019'!AJ20</f>
        <v>474.5</v>
      </c>
      <c r="J10" s="162">
        <f>'FS Jimbaran June 2019'!AK20/'FS Jimbaran June 2019'!AJ20</f>
        <v>10400</v>
      </c>
      <c r="K10" s="161">
        <f>'FS Jimbaran June 2019'!V20</f>
        <v>724.46</v>
      </c>
      <c r="L10" s="170">
        <f>'FS Jimbaran June 2019'!AA20/'FS Jimbaran June 2019'!V20</f>
        <v>5445.9152334152332</v>
      </c>
      <c r="M10" s="161">
        <v>52</v>
      </c>
      <c r="N10" s="161">
        <v>644</v>
      </c>
    </row>
    <row r="11" spans="1:15" x14ac:dyDescent="0.35">
      <c r="A11" s="158" t="s">
        <v>13</v>
      </c>
      <c r="B11" s="159">
        <f t="shared" si="0"/>
        <v>10</v>
      </c>
      <c r="C11" s="160">
        <v>6</v>
      </c>
      <c r="D11" s="159">
        <v>2019</v>
      </c>
      <c r="E11" s="161">
        <f>'FS Jimbaran June 2019'!P21</f>
        <v>22559.999999999036</v>
      </c>
      <c r="F11" s="170">
        <f>'FS Jimbaran June 2019'!O21/'FS Jimbaran June 2019'!P21</f>
        <v>1129.9000797872359</v>
      </c>
      <c r="G11" s="161">
        <f>'FS Jimbaran June 2019'!AG21</f>
        <v>531.14824000000704</v>
      </c>
      <c r="H11" s="170">
        <f>'FS Jimbaran June 2019'!AH21/'FS Jimbaran June 2019'!AG21</f>
        <v>11817.739779779731</v>
      </c>
      <c r="I11" s="161">
        <f>'FS Jimbaran June 2019'!AJ21</f>
        <v>457.67000000000189</v>
      </c>
      <c r="J11" s="162">
        <f>'FS Jimbaran June 2019'!AK21/'FS Jimbaran June 2019'!AJ21</f>
        <v>10400</v>
      </c>
      <c r="K11" s="161">
        <f>'FS Jimbaran June 2019'!V21</f>
        <v>720.9</v>
      </c>
      <c r="L11" s="170">
        <f>'FS Jimbaran June 2019'!AA21/'FS Jimbaran June 2019'!V21</f>
        <v>3310.95375308642</v>
      </c>
      <c r="M11" s="161">
        <v>70</v>
      </c>
      <c r="N11" s="161">
        <v>452</v>
      </c>
    </row>
    <row r="12" spans="1:15" x14ac:dyDescent="0.35">
      <c r="A12" s="158" t="s">
        <v>13</v>
      </c>
      <c r="B12" s="159">
        <f t="shared" si="0"/>
        <v>11</v>
      </c>
      <c r="C12" s="160">
        <v>6</v>
      </c>
      <c r="D12" s="159">
        <v>2019</v>
      </c>
      <c r="E12" s="161">
        <f>'FS Jimbaran June 2019'!P22</f>
        <v>22779.99999999952</v>
      </c>
      <c r="F12" s="170">
        <f>'FS Jimbaran June 2019'!O22/'FS Jimbaran June 2019'!P22</f>
        <v>1124.8989113257226</v>
      </c>
      <c r="G12" s="161">
        <f>'FS Jimbaran June 2019'!AG22</f>
        <v>196.95887999996717</v>
      </c>
      <c r="H12" s="170">
        <f>'FS Jimbaran June 2019'!AH22/'FS Jimbaran June 2019'!AG22</f>
        <v>10886.804513185723</v>
      </c>
      <c r="I12" s="161">
        <f>'FS Jimbaran June 2019'!AJ22</f>
        <v>436.93000000000029</v>
      </c>
      <c r="J12" s="162">
        <f>'FS Jimbaran June 2019'!AK22/'FS Jimbaran June 2019'!AJ22</f>
        <v>10400</v>
      </c>
      <c r="K12" s="161">
        <f>'FS Jimbaran June 2019'!V22</f>
        <v>774.30000000000007</v>
      </c>
      <c r="L12" s="170">
        <f>'FS Jimbaran June 2019'!AA22/'FS Jimbaran June 2019'!V22</f>
        <v>3904.9751724137923</v>
      </c>
      <c r="M12" s="161">
        <v>54</v>
      </c>
      <c r="N12" s="161">
        <v>426</v>
      </c>
    </row>
    <row r="13" spans="1:15" x14ac:dyDescent="0.35">
      <c r="A13" s="158" t="s">
        <v>13</v>
      </c>
      <c r="B13" s="159">
        <f t="shared" si="0"/>
        <v>12</v>
      </c>
      <c r="C13" s="160">
        <v>6</v>
      </c>
      <c r="D13" s="159">
        <v>2019</v>
      </c>
      <c r="E13" s="161">
        <f>'FS Jimbaran June 2019'!P23</f>
        <v>23459.999999999811</v>
      </c>
      <c r="F13" s="170">
        <f>'FS Jimbaran June 2019'!O23/'FS Jimbaran June 2019'!P23</f>
        <v>1128.0553708439918</v>
      </c>
      <c r="G13" s="161">
        <f>'FS Jimbaran June 2019'!AG23</f>
        <v>137.9187200000211</v>
      </c>
      <c r="H13" s="170">
        <f>'FS Jimbaran June 2019'!AH23/'FS Jimbaran June 2019'!AG23</f>
        <v>10721.7</v>
      </c>
      <c r="I13" s="161">
        <f>'FS Jimbaran June 2019'!AJ23</f>
        <v>446.44999999999993</v>
      </c>
      <c r="J13" s="162">
        <f>'FS Jimbaran June 2019'!AK23/'FS Jimbaran June 2019'!AJ23</f>
        <v>10400</v>
      </c>
      <c r="K13" s="161">
        <f>'FS Jimbaran June 2019'!V23</f>
        <v>798.33</v>
      </c>
      <c r="L13" s="170">
        <f>'FS Jimbaran June 2019'!AA23/'FS Jimbaran June 2019'!V23</f>
        <v>4126.9087179487178</v>
      </c>
      <c r="M13" s="161">
        <v>69</v>
      </c>
      <c r="N13" s="161">
        <v>421</v>
      </c>
    </row>
    <row r="14" spans="1:15" x14ac:dyDescent="0.35">
      <c r="A14" s="158" t="s">
        <v>13</v>
      </c>
      <c r="B14" s="159">
        <f t="shared" si="0"/>
        <v>13</v>
      </c>
      <c r="C14" s="160">
        <v>6</v>
      </c>
      <c r="D14" s="159">
        <v>2019</v>
      </c>
      <c r="E14" s="161">
        <f>'FS Jimbaran June 2019'!P24</f>
        <v>24060.000000001084</v>
      </c>
      <c r="F14" s="170">
        <f>'FS Jimbaran June 2019'!O24/'FS Jimbaran June 2019'!P24</f>
        <v>1131.3507231920216</v>
      </c>
      <c r="G14" s="161">
        <f>'FS Jimbaran June 2019'!AG24</f>
        <v>477.74532000000937</v>
      </c>
      <c r="H14" s="170">
        <f>'FS Jimbaran June 2019'!AH24/'FS Jimbaran June 2019'!AG24</f>
        <v>11686.667694502985</v>
      </c>
      <c r="I14" s="161">
        <f>'FS Jimbaran June 2019'!AJ24</f>
        <v>556.39999999999782</v>
      </c>
      <c r="J14" s="162">
        <f>'FS Jimbaran June 2019'!AK24/'FS Jimbaran June 2019'!AJ24</f>
        <v>10400</v>
      </c>
      <c r="K14" s="161">
        <f>'FS Jimbaran June 2019'!V24</f>
        <v>1042.19</v>
      </c>
      <c r="L14" s="170">
        <f>'FS Jimbaran June 2019'!AA24/'FS Jimbaran June 2019'!V24</f>
        <v>2770.5980529461999</v>
      </c>
      <c r="M14" s="161">
        <v>69</v>
      </c>
      <c r="N14" s="161">
        <v>512</v>
      </c>
    </row>
    <row r="15" spans="1:15" x14ac:dyDescent="0.35">
      <c r="A15" s="158" t="s">
        <v>13</v>
      </c>
      <c r="B15" s="159">
        <f t="shared" si="0"/>
        <v>14</v>
      </c>
      <c r="C15" s="160">
        <v>6</v>
      </c>
      <c r="D15" s="159">
        <v>2019</v>
      </c>
      <c r="E15" s="161">
        <f>'FS Jimbaran June 2019'!P25</f>
        <v>22260.000000000218</v>
      </c>
      <c r="F15" s="170">
        <f>'FS Jimbaran June 2019'!O25/'FS Jimbaran June 2019'!P25</f>
        <v>1118.1398652291089</v>
      </c>
      <c r="G15" s="161">
        <f>'FS Jimbaran June 2019'!AG25</f>
        <v>155.07455999995778</v>
      </c>
      <c r="H15" s="170">
        <f>'FS Jimbaran June 2019'!AH25/'FS Jimbaran June 2019'!AG25</f>
        <v>10791.599279417611</v>
      </c>
      <c r="I15" s="161">
        <f>'FS Jimbaran June 2019'!AJ25</f>
        <v>581.5</v>
      </c>
      <c r="J15" s="162">
        <f>'FS Jimbaran June 2019'!AK25/'FS Jimbaran June 2019'!AJ25</f>
        <v>10400</v>
      </c>
      <c r="K15" s="161">
        <f>'FS Jimbaran June 2019'!V25</f>
        <v>517.98</v>
      </c>
      <c r="L15" s="170">
        <f>'FS Jimbaran June 2019'!AA25/'FS Jimbaran June 2019'!V25</f>
        <v>8430.7883161512018</v>
      </c>
      <c r="M15" s="161">
        <v>66</v>
      </c>
      <c r="N15" s="161">
        <v>423</v>
      </c>
    </row>
    <row r="16" spans="1:15" x14ac:dyDescent="0.35">
      <c r="A16" s="158" t="s">
        <v>13</v>
      </c>
      <c r="B16" s="159">
        <f t="shared" si="0"/>
        <v>15</v>
      </c>
      <c r="C16" s="160">
        <v>6</v>
      </c>
      <c r="D16" s="159">
        <v>2019</v>
      </c>
      <c r="E16" s="161">
        <f>'FS Jimbaran June 2019'!P26</f>
        <v>21720.000000000029</v>
      </c>
      <c r="F16" s="170">
        <f>'FS Jimbaran June 2019'!O26/'FS Jimbaran June 2019'!P26</f>
        <v>1126.3869060773468</v>
      </c>
      <c r="G16" s="161">
        <f>'FS Jimbaran June 2019'!AG26</f>
        <v>154.83288000002577</v>
      </c>
      <c r="H16" s="170">
        <f>'FS Jimbaran June 2019'!AH26/'FS Jimbaran June 2019'!AG26</f>
        <v>10791.708385815715</v>
      </c>
      <c r="I16" s="161">
        <f>'FS Jimbaran June 2019'!AJ26</f>
        <v>581.65000000000146</v>
      </c>
      <c r="J16" s="162">
        <f>'FS Jimbaran June 2019'!AK26/'FS Jimbaran June 2019'!AJ26</f>
        <v>10400</v>
      </c>
      <c r="K16" s="161">
        <f>'FS Jimbaran June 2019'!V26</f>
        <v>776.08</v>
      </c>
      <c r="L16" s="170">
        <f>'FS Jimbaran June 2019'!AA26/'FS Jimbaran June 2019'!V26</f>
        <v>2202.2481651376147</v>
      </c>
      <c r="M16" s="161">
        <v>48</v>
      </c>
      <c r="N16" s="161">
        <v>504</v>
      </c>
    </row>
    <row r="17" spans="1:14" x14ac:dyDescent="0.35">
      <c r="A17" s="158" t="s">
        <v>13</v>
      </c>
      <c r="B17" s="159">
        <f t="shared" si="0"/>
        <v>16</v>
      </c>
      <c r="C17" s="160">
        <v>6</v>
      </c>
      <c r="D17" s="159">
        <v>2019</v>
      </c>
      <c r="E17" s="161">
        <f>'FS Jimbaran June 2019'!P27</f>
        <v>22679.999999999156</v>
      </c>
      <c r="F17" s="170">
        <f>'FS Jimbaran June 2019'!O27/'FS Jimbaran June 2019'!P27</f>
        <v>1122.5516931216951</v>
      </c>
      <c r="G17" s="161">
        <f>'FS Jimbaran June 2019'!AG27</f>
        <v>147.34079999996482</v>
      </c>
      <c r="H17" s="170">
        <f>'FS Jimbaran June 2019'!AH27/'FS Jimbaran June 2019'!AG27</f>
        <v>10795.268217357328</v>
      </c>
      <c r="I17" s="161">
        <f>'FS Jimbaran June 2019'!AJ27</f>
        <v>472.25</v>
      </c>
      <c r="J17" s="162">
        <f>'FS Jimbaran June 2019'!AK27/'FS Jimbaran June 2019'!AJ27</f>
        <v>10400</v>
      </c>
      <c r="K17" s="161">
        <f>'FS Jimbaran June 2019'!V27</f>
        <v>751.16000000000008</v>
      </c>
      <c r="L17" s="170">
        <f>'FS Jimbaran June 2019'!AA27/'FS Jimbaran June 2019'!V27</f>
        <v>2682.881018957346</v>
      </c>
      <c r="M17" s="161">
        <v>56</v>
      </c>
      <c r="N17" s="161">
        <v>542</v>
      </c>
    </row>
    <row r="18" spans="1:14" x14ac:dyDescent="0.35">
      <c r="A18" s="158" t="s">
        <v>13</v>
      </c>
      <c r="B18" s="159">
        <f t="shared" si="0"/>
        <v>17</v>
      </c>
      <c r="C18" s="160">
        <v>6</v>
      </c>
      <c r="D18" s="159">
        <v>2019</v>
      </c>
      <c r="E18" s="161">
        <f>'FS Jimbaran June 2019'!P28</f>
        <v>21540.000000000418</v>
      </c>
      <c r="F18" s="170">
        <f>'FS Jimbaran June 2019'!O28/'FS Jimbaran June 2019'!P28</f>
        <v>1130.5101114206122</v>
      </c>
      <c r="G18" s="161">
        <f>'FS Jimbaran June 2019'!AG28</f>
        <v>156.40036000003985</v>
      </c>
      <c r="H18" s="170">
        <f>'FS Jimbaran June 2019'!AH28/'FS Jimbaran June 2019'!AG28</f>
        <v>10860.313491682466</v>
      </c>
      <c r="I18" s="161">
        <f>'FS Jimbaran June 2019'!AJ28</f>
        <v>453.61999999999898</v>
      </c>
      <c r="J18" s="162">
        <f>'FS Jimbaran June 2019'!AK28/'FS Jimbaran June 2019'!AJ28</f>
        <v>10400</v>
      </c>
      <c r="K18" s="161">
        <f>'FS Jimbaran June 2019'!V28</f>
        <v>694.2</v>
      </c>
      <c r="L18" s="170">
        <f>'FS Jimbaran June 2019'!AA28/'FS Jimbaran June 2019'!V28</f>
        <v>1344.307</v>
      </c>
      <c r="M18" s="161">
        <v>63</v>
      </c>
      <c r="N18" s="161">
        <v>469</v>
      </c>
    </row>
    <row r="19" spans="1:14" x14ac:dyDescent="0.35">
      <c r="A19" s="158" t="s">
        <v>13</v>
      </c>
      <c r="B19" s="159">
        <f t="shared" si="0"/>
        <v>18</v>
      </c>
      <c r="C19" s="160">
        <v>6</v>
      </c>
      <c r="D19" s="159">
        <v>2019</v>
      </c>
      <c r="E19" s="161">
        <f>'FS Jimbaran June 2019'!P29</f>
        <v>22220.000000000029</v>
      </c>
      <c r="F19" s="170">
        <f>'FS Jimbaran June 2019'!O29/'FS Jimbaran June 2019'!P29</f>
        <v>1125.2803420342013</v>
      </c>
      <c r="G19" s="161">
        <f>'FS Jimbaran June 2019'!AG29</f>
        <v>354.55091999999763</v>
      </c>
      <c r="H19" s="170">
        <f>'FS Jimbaran June 2019'!AH29/'FS Jimbaran June 2019'!AG29</f>
        <v>11557.968031683578</v>
      </c>
      <c r="I19" s="161">
        <f>'FS Jimbaran June 2019'!AJ29</f>
        <v>355.33000000000175</v>
      </c>
      <c r="J19" s="162">
        <f>'FS Jimbaran June 2019'!AK29/'FS Jimbaran June 2019'!AJ29</f>
        <v>10400</v>
      </c>
      <c r="K19" s="161">
        <f>'FS Jimbaran June 2019'!V29</f>
        <v>750.2700000000001</v>
      </c>
      <c r="L19" s="170">
        <f>'FS Jimbaran June 2019'!AA29/'FS Jimbaran June 2019'!V29</f>
        <v>3312.6407354685648</v>
      </c>
      <c r="M19" s="161">
        <v>66</v>
      </c>
      <c r="N19" s="161">
        <v>617</v>
      </c>
    </row>
    <row r="20" spans="1:14" x14ac:dyDescent="0.35">
      <c r="A20" s="158" t="s">
        <v>13</v>
      </c>
      <c r="B20" s="159">
        <f t="shared" si="0"/>
        <v>19</v>
      </c>
      <c r="C20" s="160">
        <v>6</v>
      </c>
      <c r="D20" s="159">
        <v>2019</v>
      </c>
      <c r="E20" s="161">
        <f>'FS Jimbaran June 2019'!P30</f>
        <v>22960.000000000036</v>
      </c>
      <c r="F20" s="170">
        <f>'FS Jimbaran June 2019'!O30/'FS Jimbaran June 2019'!P30</f>
        <v>1125.1024912891994</v>
      </c>
      <c r="G20" s="161">
        <f>'FS Jimbaran June 2019'!AG30</f>
        <v>131.39335999998124</v>
      </c>
      <c r="H20" s="170">
        <f>'FS Jimbaran June 2019'!AH30/'FS Jimbaran June 2019'!AG30</f>
        <v>10721.7</v>
      </c>
      <c r="I20" s="161">
        <f>'FS Jimbaran June 2019'!AJ30</f>
        <v>709.02999999999884</v>
      </c>
      <c r="J20" s="162">
        <f>'FS Jimbaran June 2019'!AK30/'FS Jimbaran June 2019'!AJ30</f>
        <v>10400</v>
      </c>
      <c r="K20" s="161">
        <f>'FS Jimbaran June 2019'!V30</f>
        <v>747.59999999999991</v>
      </c>
      <c r="L20" s="170">
        <f>'FS Jimbaran June 2019'!AA30/'FS Jimbaran June 2019'!V30</f>
        <v>3493.7870238095247</v>
      </c>
      <c r="M20" s="161">
        <v>67</v>
      </c>
      <c r="N20" s="161">
        <v>527</v>
      </c>
    </row>
    <row r="21" spans="1:14" x14ac:dyDescent="0.35">
      <c r="A21" s="158" t="s">
        <v>13</v>
      </c>
      <c r="B21" s="159">
        <f t="shared" si="0"/>
        <v>20</v>
      </c>
      <c r="C21" s="160">
        <v>6</v>
      </c>
      <c r="D21" s="159">
        <v>2019</v>
      </c>
      <c r="E21" s="161">
        <f>'FS Jimbaran June 2019'!P31</f>
        <v>21679.999999999156</v>
      </c>
      <c r="F21" s="170">
        <f>'FS Jimbaran June 2019'!O31/'FS Jimbaran June 2019'!P31</f>
        <v>1128.4651107011077</v>
      </c>
      <c r="G21" s="161">
        <f>'FS Jimbaran June 2019'!AG31</f>
        <v>171.50535999998124</v>
      </c>
      <c r="H21" s="170">
        <f>'FS Jimbaran June 2019'!AH31/'FS Jimbaran June 2019'!AG31</f>
        <v>10848.10537881733</v>
      </c>
      <c r="I21" s="161">
        <f>'FS Jimbaran June 2019'!AJ31</f>
        <v>471.59000000000015</v>
      </c>
      <c r="J21" s="162">
        <f>'FS Jimbaran June 2019'!AK31/'FS Jimbaran June 2019'!AJ31</f>
        <v>10400</v>
      </c>
      <c r="K21" s="161">
        <f>'FS Jimbaran June 2019'!V31</f>
        <v>777.86</v>
      </c>
      <c r="L21" s="170">
        <f>'FS Jimbaran June 2019'!AA31/'FS Jimbaran June 2019'!V31</f>
        <v>2402.4673684210529</v>
      </c>
      <c r="M21" s="161">
        <v>56</v>
      </c>
      <c r="N21" s="161">
        <v>535</v>
      </c>
    </row>
    <row r="22" spans="1:14" x14ac:dyDescent="0.35">
      <c r="A22" s="158" t="s">
        <v>13</v>
      </c>
      <c r="B22" s="159">
        <f t="shared" si="0"/>
        <v>21</v>
      </c>
      <c r="C22" s="160">
        <v>6</v>
      </c>
      <c r="D22" s="159">
        <v>2019</v>
      </c>
      <c r="E22" s="161">
        <f>'FS Jimbaran June 2019'!P32</f>
        <v>22100.000000000364</v>
      </c>
      <c r="F22" s="170">
        <f>'FS Jimbaran June 2019'!O32/'FS Jimbaran June 2019'!P32</f>
        <v>1128.5783891402707</v>
      </c>
      <c r="G22" s="161">
        <f>'FS Jimbaran June 2019'!AG32</f>
        <v>306.04128000003749</v>
      </c>
      <c r="H22" s="170">
        <f>'FS Jimbaran June 2019'!AH32/'FS Jimbaran June 2019'!AG32</f>
        <v>11457.171371705061</v>
      </c>
      <c r="I22" s="161">
        <f>'FS Jimbaran June 2019'!AJ32</f>
        <v>482.87999999999738</v>
      </c>
      <c r="J22" s="162">
        <f>'FS Jimbaran June 2019'!AK32/'FS Jimbaran June 2019'!AJ32</f>
        <v>10400</v>
      </c>
      <c r="K22" s="161">
        <f>'FS Jimbaran June 2019'!V32</f>
        <v>849.94999999999993</v>
      </c>
      <c r="L22" s="170">
        <f>'FS Jimbaran June 2019'!AA32/'FS Jimbaran June 2019'!V32</f>
        <v>2690.7807539267023</v>
      </c>
      <c r="M22" s="161">
        <v>54</v>
      </c>
      <c r="N22" s="161">
        <v>592</v>
      </c>
    </row>
    <row r="23" spans="1:14" x14ac:dyDescent="0.35">
      <c r="A23" s="158" t="s">
        <v>13</v>
      </c>
      <c r="B23" s="159">
        <f t="shared" si="0"/>
        <v>22</v>
      </c>
      <c r="C23" s="160">
        <v>6</v>
      </c>
      <c r="D23" s="159">
        <v>2019</v>
      </c>
      <c r="E23" s="161">
        <f>'FS Jimbaran June 2019'!P33</f>
        <v>22320.000000000618</v>
      </c>
      <c r="F23" s="170">
        <f>'FS Jimbaran June 2019'!O33/'FS Jimbaran June 2019'!P33</f>
        <v>1126.7355913978488</v>
      </c>
      <c r="G23" s="161">
        <f>'FS Jimbaran June 2019'!AG33</f>
        <v>478.3723599999812</v>
      </c>
      <c r="H23" s="170">
        <f>'FS Jimbaran June 2019'!AH33/'FS Jimbaran June 2019'!AG33</f>
        <v>11766.712299623707</v>
      </c>
      <c r="I23" s="161">
        <f>'FS Jimbaran June 2019'!AJ33</f>
        <v>467.95000000000437</v>
      </c>
      <c r="J23" s="162">
        <f>'FS Jimbaran June 2019'!AK33/'FS Jimbaran June 2019'!AJ33</f>
        <v>10400</v>
      </c>
      <c r="K23" s="161">
        <f>'FS Jimbaran June 2019'!V33</f>
        <v>795.66000000000008</v>
      </c>
      <c r="L23" s="170">
        <f>'FS Jimbaran June 2019'!AA33/'FS Jimbaran June 2019'!V33</f>
        <v>2869.9257718120807</v>
      </c>
      <c r="M23" s="161">
        <v>57</v>
      </c>
      <c r="N23" s="161">
        <v>524</v>
      </c>
    </row>
    <row r="24" spans="1:14" x14ac:dyDescent="0.35">
      <c r="A24" s="158" t="s">
        <v>13</v>
      </c>
      <c r="B24" s="159">
        <f t="shared" si="0"/>
        <v>23</v>
      </c>
      <c r="C24" s="160">
        <v>6</v>
      </c>
      <c r="D24" s="159">
        <v>2019</v>
      </c>
      <c r="E24" s="161">
        <f>'FS Jimbaran June 2019'!P34</f>
        <v>22519.999999999527</v>
      </c>
      <c r="F24" s="170">
        <f>'FS Jimbaran June 2019'!O34/'FS Jimbaran June 2019'!P34</f>
        <v>1127.767566607462</v>
      </c>
      <c r="G24" s="161">
        <f>'FS Jimbaran June 2019'!AG34</f>
        <v>131.43364000001876</v>
      </c>
      <c r="H24" s="170">
        <f>'FS Jimbaran June 2019'!AH34/'FS Jimbaran June 2019'!AG34</f>
        <v>10721.7</v>
      </c>
      <c r="I24" s="161">
        <f>'FS Jimbaran June 2019'!AJ34</f>
        <v>395.09999999999854</v>
      </c>
      <c r="J24" s="162">
        <f>'FS Jimbaran June 2019'!AK34/'FS Jimbaran June 2019'!AJ34</f>
        <v>10400</v>
      </c>
      <c r="K24" s="161">
        <f>'FS Jimbaran June 2019'!V34</f>
        <v>781.42000000000007</v>
      </c>
      <c r="L24" s="170">
        <f>'FS Jimbaran June 2019'!AA34/'FS Jimbaran June 2019'!V34</f>
        <v>3299.535466970387</v>
      </c>
      <c r="M24" s="161">
        <v>70</v>
      </c>
      <c r="N24" s="161">
        <v>658</v>
      </c>
    </row>
    <row r="25" spans="1:14" x14ac:dyDescent="0.35">
      <c r="A25" s="158" t="s">
        <v>13</v>
      </c>
      <c r="B25" s="159">
        <f t="shared" si="0"/>
        <v>24</v>
      </c>
      <c r="C25" s="160">
        <v>6</v>
      </c>
      <c r="D25" s="159">
        <v>2019</v>
      </c>
      <c r="E25" s="161">
        <f>'FS Jimbaran June 2019'!P35</f>
        <v>22039.999999999964</v>
      </c>
      <c r="F25" s="170">
        <f>'FS Jimbaran June 2019'!O35/'FS Jimbaran June 2019'!P35</f>
        <v>1129.7709255898369</v>
      </c>
      <c r="G25" s="161">
        <f>'FS Jimbaran June 2019'!AG35</f>
        <v>175.40564000001876</v>
      </c>
      <c r="H25" s="170">
        <f>'FS Jimbaran June 2019'!AH35/'FS Jimbaran June 2019'!AG35</f>
        <v>10968.889315007176</v>
      </c>
      <c r="I25" s="161">
        <f>'FS Jimbaran June 2019'!AJ35</f>
        <v>503.55000000000291</v>
      </c>
      <c r="J25" s="162">
        <f>'FS Jimbaran June 2019'!AK35/'FS Jimbaran June 2019'!AJ35</f>
        <v>10399.999999999998</v>
      </c>
      <c r="K25" s="161">
        <f>'FS Jimbaran June 2019'!V35</f>
        <v>728.02</v>
      </c>
      <c r="L25" s="170">
        <f>'FS Jimbaran June 2019'!AA35/'FS Jimbaran June 2019'!V35</f>
        <v>3323.7483863080683</v>
      </c>
      <c r="M25" s="161">
        <v>79</v>
      </c>
      <c r="N25" s="161">
        <v>594</v>
      </c>
    </row>
    <row r="26" spans="1:14" x14ac:dyDescent="0.35">
      <c r="A26" s="158" t="s">
        <v>13</v>
      </c>
      <c r="B26" s="159">
        <f>B25+1</f>
        <v>25</v>
      </c>
      <c r="C26" s="160">
        <v>6</v>
      </c>
      <c r="D26" s="159">
        <v>2019</v>
      </c>
      <c r="E26" s="161">
        <f>'FS Jimbaran June 2019'!P36</f>
        <v>23079.999999999472</v>
      </c>
      <c r="F26" s="170">
        <f>'FS Jimbaran June 2019'!O36/'FS Jimbaran June 2019'!P36</f>
        <v>1128.677079722703</v>
      </c>
      <c r="G26" s="161">
        <f>'FS Jimbaran June 2019'!AG36</f>
        <v>168.20583999999531</v>
      </c>
      <c r="H26" s="170">
        <f>'FS Jimbaran June 2019'!AH36/'FS Jimbaran June 2019'!AG36</f>
        <v>10786.142471200765</v>
      </c>
      <c r="I26" s="161">
        <f>'FS Jimbaran June 2019'!AJ36</f>
        <v>413.69999999999709</v>
      </c>
      <c r="J26" s="162">
        <f>'FS Jimbaran June 2019'!AK36/'FS Jimbaran June 2019'!AJ36</f>
        <v>10400.000000000002</v>
      </c>
      <c r="K26" s="161">
        <f>'FS Jimbaran June 2019'!V36</f>
        <v>849.95</v>
      </c>
      <c r="L26" s="170">
        <f>'FS Jimbaran June 2019'!AA36/'FS Jimbaran June 2019'!V36</f>
        <v>2767.0862827225128</v>
      </c>
      <c r="M26" s="161">
        <v>76</v>
      </c>
      <c r="N26" s="161">
        <v>596</v>
      </c>
    </row>
    <row r="27" spans="1:14" x14ac:dyDescent="0.35">
      <c r="A27" s="158" t="s">
        <v>13</v>
      </c>
      <c r="B27" s="159">
        <f t="shared" si="0"/>
        <v>26</v>
      </c>
      <c r="C27" s="160">
        <v>6</v>
      </c>
      <c r="D27" s="159">
        <v>2019</v>
      </c>
      <c r="E27" s="161">
        <f>'FS Jimbaran June 2019'!P37</f>
        <v>22400.000000000546</v>
      </c>
      <c r="F27" s="170">
        <f>'FS Jimbaran June 2019'!O37/'FS Jimbaran June 2019'!P37</f>
        <v>1128.2603571428549</v>
      </c>
      <c r="G27" s="161">
        <f>'FS Jimbaran June 2019'!AG37</f>
        <v>178.5577999999648</v>
      </c>
      <c r="H27" s="170">
        <f>'FS Jimbaran June 2019'!AH37/'FS Jimbaran June 2019'!AG37</f>
        <v>10782.406393111934</v>
      </c>
      <c r="I27" s="161">
        <f>'FS Jimbaran June 2019'!AJ37</f>
        <v>608.17000000000553</v>
      </c>
      <c r="J27" s="162">
        <f>'FS Jimbaran June 2019'!AK37/'FS Jimbaran June 2019'!AJ37</f>
        <v>10400</v>
      </c>
      <c r="K27" s="161">
        <f>'FS Jimbaran June 2019'!V37</f>
        <v>813.46</v>
      </c>
      <c r="L27" s="170">
        <f>'FS Jimbaran June 2019'!AA37/'FS Jimbaran June 2019'!V37</f>
        <v>3126.8351641137856</v>
      </c>
      <c r="M27" s="161">
        <v>91</v>
      </c>
      <c r="N27" s="161">
        <v>592</v>
      </c>
    </row>
    <row r="28" spans="1:14" x14ac:dyDescent="0.35">
      <c r="A28" s="158" t="s">
        <v>13</v>
      </c>
      <c r="B28" s="159">
        <f t="shared" si="0"/>
        <v>27</v>
      </c>
      <c r="C28" s="160">
        <v>6</v>
      </c>
      <c r="D28" s="159">
        <v>2019</v>
      </c>
      <c r="E28" s="161">
        <f>'FS Jimbaran June 2019'!P38</f>
        <v>22400.000000000546</v>
      </c>
      <c r="F28" s="170">
        <f>'FS Jimbaran June 2019'!O38/'FS Jimbaran June 2019'!P38</f>
        <v>1124.561142857144</v>
      </c>
      <c r="G28" s="161">
        <f>'FS Jimbaran June 2019'!AG38</f>
        <v>561.80132000000935</v>
      </c>
      <c r="H28" s="170">
        <f>'FS Jimbaran June 2019'!AH38/'FS Jimbaran June 2019'!AG38</f>
        <v>11757.937508306301</v>
      </c>
      <c r="I28" s="161">
        <f>'FS Jimbaran June 2019'!AJ38</f>
        <v>700.87999999999738</v>
      </c>
      <c r="J28" s="162">
        <f>'FS Jimbaran June 2019'!AK38/'FS Jimbaran June 2019'!AJ38</f>
        <v>10400</v>
      </c>
      <c r="K28" s="161">
        <f>'FS Jimbaran June 2019'!V38</f>
        <v>752.05</v>
      </c>
      <c r="L28" s="170">
        <f>'FS Jimbaran June 2019'!AA38/'FS Jimbaran June 2019'!V38</f>
        <v>2986.1357396449712</v>
      </c>
      <c r="M28" s="161">
        <v>90</v>
      </c>
      <c r="N28" s="161">
        <v>687</v>
      </c>
    </row>
    <row r="29" spans="1:14" x14ac:dyDescent="0.35">
      <c r="A29" s="158" t="s">
        <v>13</v>
      </c>
      <c r="B29" s="159">
        <f t="shared" si="0"/>
        <v>28</v>
      </c>
      <c r="C29" s="160">
        <v>6</v>
      </c>
      <c r="D29" s="159">
        <v>2019</v>
      </c>
      <c r="E29" s="161">
        <f>'FS Jimbaran June 2019'!P39</f>
        <v>21399.999999998952</v>
      </c>
      <c r="F29" s="170">
        <f>'FS Jimbaran June 2019'!O39/'FS Jimbaran June 2019'!P39</f>
        <v>1129.19380373832</v>
      </c>
      <c r="G29" s="161">
        <f>'FS Jimbaran June 2019'!AG39</f>
        <v>166.27240000001171</v>
      </c>
      <c r="H29" s="170">
        <f>'FS Jimbaran June 2019'!AH39/'FS Jimbaran June 2019'!AG39</f>
        <v>10786.891817764099</v>
      </c>
      <c r="I29" s="161">
        <f>'FS Jimbaran June 2019'!AJ39</f>
        <v>542.30000000000291</v>
      </c>
      <c r="J29" s="162">
        <f>'FS Jimbaran June 2019'!AK39/'FS Jimbaran June 2019'!AJ39</f>
        <v>10400</v>
      </c>
      <c r="K29" s="161">
        <f>'FS Jimbaran June 2019'!V39</f>
        <v>800.11000000000013</v>
      </c>
      <c r="L29" s="170">
        <f>'FS Jimbaran June 2019'!AA39/'FS Jimbaran June 2019'!V39</f>
        <v>2599.1416907675193</v>
      </c>
      <c r="M29" s="161">
        <v>66</v>
      </c>
      <c r="N29" s="161">
        <v>624</v>
      </c>
    </row>
    <row r="30" spans="1:14" x14ac:dyDescent="0.35">
      <c r="A30" s="158" t="s">
        <v>13</v>
      </c>
      <c r="B30" s="159">
        <f t="shared" si="0"/>
        <v>29</v>
      </c>
      <c r="C30" s="160">
        <v>6</v>
      </c>
      <c r="D30" s="159">
        <v>2019</v>
      </c>
      <c r="E30" s="161">
        <f>'FS Jimbaran June 2019'!P40</f>
        <v>20680.000000000975</v>
      </c>
      <c r="F30" s="170">
        <f>'FS Jimbaran June 2019'!O40/'FS Jimbaran June 2019'!P40</f>
        <v>1127.9383752417766</v>
      </c>
      <c r="G30" s="161">
        <f>'FS Jimbaran June 2019'!AG40</f>
        <v>203.2828399999953</v>
      </c>
      <c r="H30" s="170">
        <f>'FS Jimbaran June 2019'!AH40/'FS Jimbaran June 2019'!AG40</f>
        <v>10881.668249164566</v>
      </c>
      <c r="I30" s="161">
        <f>'FS Jimbaran June 2019'!AJ40</f>
        <v>558.69999999999709</v>
      </c>
      <c r="J30" s="162">
        <f>'FS Jimbaran June 2019'!AK40/'FS Jimbaran June 2019'!AJ40</f>
        <v>10400</v>
      </c>
      <c r="K30" s="161">
        <f>'FS Jimbaran June 2019'!V40</f>
        <v>478.82000000000005</v>
      </c>
      <c r="L30" s="170">
        <f>'FS Jimbaran June 2019'!AA40/'FS Jimbaran June 2019'!V40</f>
        <v>5454.2071375464675</v>
      </c>
      <c r="M30" s="161">
        <v>68</v>
      </c>
      <c r="N30" s="161">
        <v>722</v>
      </c>
    </row>
    <row r="31" spans="1:14" x14ac:dyDescent="0.35">
      <c r="A31" s="158" t="s">
        <v>13</v>
      </c>
      <c r="B31" s="159">
        <f t="shared" si="0"/>
        <v>30</v>
      </c>
      <c r="C31" s="160">
        <v>6</v>
      </c>
      <c r="D31" s="159">
        <v>2019</v>
      </c>
      <c r="E31" s="161">
        <f>'FS Jimbaran June 2019'!P41</f>
        <v>21219.99999999889</v>
      </c>
      <c r="F31" s="170">
        <f>'FS Jimbaran June 2019'!O41/'FS Jimbaran June 2019'!P41</f>
        <v>1126.5693873704051</v>
      </c>
      <c r="G31" s="161">
        <f>'FS Jimbaran June 2019'!AG41</f>
        <v>138.28124000000702</v>
      </c>
      <c r="H31" s="170">
        <f>'FS Jimbaran June 2019'!AH41/'FS Jimbaran June 2019'!AG41</f>
        <v>10721.7</v>
      </c>
      <c r="I31" s="161">
        <f>'FS Jimbaran June 2019'!AJ41</f>
        <v>551.52000000000407</v>
      </c>
      <c r="J31" s="162">
        <f>'FS Jimbaran June 2019'!AK41/'FS Jimbaran June 2019'!AJ41</f>
        <v>10400</v>
      </c>
      <c r="K31" s="161">
        <f>'FS Jimbaran June 2019'!V41</f>
        <v>1100.04</v>
      </c>
      <c r="L31" s="170">
        <f>'FS Jimbaran June 2019'!AA41/'FS Jimbaran June 2019'!V41</f>
        <v>1829.810226537217</v>
      </c>
      <c r="M31" s="161">
        <v>71</v>
      </c>
      <c r="N31" s="161">
        <v>707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T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10.54296875" style="3" customWidth="1"/>
    <col min="4" max="4" width="10.542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3" bestFit="1" customWidth="1"/>
    <col min="14" max="14" width="20.453125" style="67" customWidth="1"/>
    <col min="15" max="15" width="18.81640625" customWidth="1"/>
    <col min="16" max="16" width="15.1796875" style="67" customWidth="1"/>
    <col min="17" max="17" width="19.7265625" customWidth="1"/>
    <col min="18" max="18" width="18.1796875" style="88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3" customWidth="1"/>
    <col min="35" max="35" width="10.54296875" customWidth="1"/>
    <col min="36" max="36" width="13.26953125" style="88" bestFit="1" customWidth="1"/>
    <col min="37" max="37" width="20.7265625" bestFit="1" customWidth="1"/>
    <col min="38" max="38" width="9.453125" style="40" bestFit="1" customWidth="1"/>
    <col min="39" max="39" width="2.26953125" style="7" customWidth="1"/>
  </cols>
  <sheetData>
    <row r="5" spans="1:39" x14ac:dyDescent="0.35">
      <c r="N5" s="171"/>
      <c r="X5" s="172"/>
    </row>
    <row r="6" spans="1:39" s="25" customFormat="1" ht="19" thickBot="1" x14ac:dyDescent="0.5">
      <c r="B6" s="25" t="s">
        <v>15</v>
      </c>
      <c r="C6" s="33"/>
      <c r="E6" s="33"/>
      <c r="F6" s="33"/>
      <c r="H6" s="33"/>
      <c r="L6" s="33"/>
      <c r="M6" s="58"/>
      <c r="N6" s="64"/>
      <c r="P6" s="64"/>
      <c r="R6" s="84"/>
      <c r="AD6" s="33"/>
      <c r="AH6" s="33"/>
      <c r="AJ6" s="84"/>
      <c r="AL6" s="36"/>
    </row>
    <row r="7" spans="1:39" s="11" customFormat="1" ht="16" thickBot="1" x14ac:dyDescent="0.4">
      <c r="A7" s="29"/>
      <c r="B7" s="228" t="s">
        <v>16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29"/>
    </row>
    <row r="8" spans="1:39" s="7" customFormat="1" ht="15.75" customHeight="1" thickBot="1" x14ac:dyDescent="0.4">
      <c r="A8" s="26"/>
      <c r="B8" s="231" t="s">
        <v>17</v>
      </c>
      <c r="C8" s="234" t="s">
        <v>18</v>
      </c>
      <c r="D8" s="237" t="s">
        <v>12</v>
      </c>
      <c r="E8" s="240" t="s">
        <v>19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1"/>
      <c r="V8" s="242" t="s">
        <v>20</v>
      </c>
      <c r="W8" s="243"/>
      <c r="X8" s="243"/>
      <c r="Y8" s="243"/>
      <c r="Z8" s="243"/>
      <c r="AA8" s="243"/>
      <c r="AB8" s="244"/>
      <c r="AC8" s="245" t="s">
        <v>21</v>
      </c>
      <c r="AD8" s="245"/>
      <c r="AE8" s="245"/>
      <c r="AF8" s="245"/>
      <c r="AG8" s="245"/>
      <c r="AH8" s="245"/>
      <c r="AI8" s="245"/>
      <c r="AJ8" s="245"/>
      <c r="AK8" s="245"/>
      <c r="AL8" s="246"/>
      <c r="AM8" s="28"/>
    </row>
    <row r="9" spans="1:39" ht="15" customHeight="1" thickBot="1" x14ac:dyDescent="0.4">
      <c r="B9" s="232"/>
      <c r="C9" s="235"/>
      <c r="D9" s="238"/>
      <c r="E9" s="247" t="s">
        <v>22</v>
      </c>
      <c r="F9" s="248"/>
      <c r="G9" s="248"/>
      <c r="H9" s="248"/>
      <c r="I9" s="249"/>
      <c r="J9" s="250" t="s">
        <v>23</v>
      </c>
      <c r="K9" s="250"/>
      <c r="L9" s="250"/>
      <c r="M9" s="250"/>
      <c r="N9" s="251"/>
      <c r="O9" s="237" t="s">
        <v>24</v>
      </c>
      <c r="P9" s="252" t="s">
        <v>25</v>
      </c>
      <c r="Q9" s="254" t="s">
        <v>26</v>
      </c>
      <c r="R9" s="220" t="s">
        <v>27</v>
      </c>
      <c r="S9" s="222" t="s">
        <v>28</v>
      </c>
      <c r="T9" s="224" t="s">
        <v>29</v>
      </c>
      <c r="U9" s="225"/>
      <c r="V9" s="52"/>
      <c r="W9" s="52" t="s">
        <v>30</v>
      </c>
      <c r="X9" s="52"/>
      <c r="Y9" s="53"/>
      <c r="Z9" s="177"/>
      <c r="AA9" s="226" t="s">
        <v>31</v>
      </c>
      <c r="AB9" s="227"/>
      <c r="AC9" s="245" t="s">
        <v>32</v>
      </c>
      <c r="AD9" s="245"/>
      <c r="AE9" s="245"/>
      <c r="AF9" s="245"/>
      <c r="AG9" s="245"/>
      <c r="AH9" s="245"/>
      <c r="AI9" s="246"/>
      <c r="AJ9" s="139" t="s">
        <v>33</v>
      </c>
      <c r="AK9" s="35"/>
      <c r="AL9" s="37"/>
    </row>
    <row r="10" spans="1:39" ht="61.5" customHeight="1" thickBot="1" x14ac:dyDescent="0.4">
      <c r="A10" s="27"/>
      <c r="B10" s="233"/>
      <c r="C10" s="236"/>
      <c r="D10" s="239"/>
      <c r="E10" s="98" t="s">
        <v>34</v>
      </c>
      <c r="F10" s="82" t="s">
        <v>35</v>
      </c>
      <c r="G10" s="132" t="s">
        <v>36</v>
      </c>
      <c r="H10" s="17" t="s">
        <v>35</v>
      </c>
      <c r="I10" s="99" t="s">
        <v>37</v>
      </c>
      <c r="J10" s="98" t="s">
        <v>34</v>
      </c>
      <c r="K10" s="83" t="s">
        <v>35</v>
      </c>
      <c r="L10" s="132" t="s">
        <v>36</v>
      </c>
      <c r="M10" s="59" t="s">
        <v>35</v>
      </c>
      <c r="N10" s="91" t="s">
        <v>38</v>
      </c>
      <c r="O10" s="239"/>
      <c r="P10" s="253"/>
      <c r="Q10" s="255"/>
      <c r="R10" s="221"/>
      <c r="S10" s="223"/>
      <c r="T10" s="178" t="s">
        <v>39</v>
      </c>
      <c r="U10" s="22" t="s">
        <v>40</v>
      </c>
      <c r="V10" s="179" t="s">
        <v>41</v>
      </c>
      <c r="W10" s="54" t="s">
        <v>42</v>
      </c>
      <c r="X10" s="54" t="s">
        <v>43</v>
      </c>
      <c r="Y10" s="21" t="s">
        <v>44</v>
      </c>
      <c r="Z10" s="21" t="s">
        <v>45</v>
      </c>
      <c r="AA10" s="21" t="s">
        <v>39</v>
      </c>
      <c r="AB10" s="12" t="s">
        <v>40</v>
      </c>
      <c r="AC10" s="124" t="s">
        <v>46</v>
      </c>
      <c r="AD10" s="47" t="s">
        <v>47</v>
      </c>
      <c r="AE10" s="46" t="s">
        <v>48</v>
      </c>
      <c r="AF10" s="46" t="s">
        <v>49</v>
      </c>
      <c r="AG10" s="46" t="s">
        <v>50</v>
      </c>
      <c r="AH10" s="47" t="s">
        <v>39</v>
      </c>
      <c r="AI10" s="48" t="s">
        <v>40</v>
      </c>
      <c r="AJ10" s="140" t="s">
        <v>51</v>
      </c>
      <c r="AK10" s="46" t="s">
        <v>39</v>
      </c>
      <c r="AL10" s="50" t="s">
        <v>40</v>
      </c>
      <c r="AM10" s="27"/>
    </row>
    <row r="11" spans="1:39" x14ac:dyDescent="0.35">
      <c r="A11" s="27"/>
      <c r="B11" s="56"/>
      <c r="C11" s="100"/>
      <c r="D11" s="180"/>
      <c r="E11" s="181"/>
      <c r="F11" s="89"/>
      <c r="G11" s="18"/>
      <c r="H11" s="19"/>
      <c r="I11" s="101"/>
      <c r="J11" s="90"/>
      <c r="K11" s="18"/>
      <c r="L11" s="19"/>
      <c r="M11" s="60"/>
      <c r="N11" s="92"/>
      <c r="O11" s="55"/>
      <c r="P11" s="109"/>
      <c r="Q11" s="182"/>
      <c r="R11" s="112"/>
      <c r="S11" s="183"/>
      <c r="T11" s="183"/>
      <c r="U11" s="23"/>
      <c r="V11" s="90"/>
      <c r="W11" s="18"/>
      <c r="X11" s="18"/>
      <c r="Y11" s="20"/>
      <c r="Z11" s="20"/>
      <c r="AA11" s="20"/>
      <c r="AB11" s="101"/>
      <c r="AC11" s="125"/>
      <c r="AD11" s="44"/>
      <c r="AE11" s="41"/>
      <c r="AF11" s="41"/>
      <c r="AG11" s="41"/>
      <c r="AH11" s="44"/>
      <c r="AI11" s="45"/>
      <c r="AJ11" s="141"/>
      <c r="AK11" s="41"/>
      <c r="AL11" s="49"/>
      <c r="AM11" s="27"/>
    </row>
    <row r="12" spans="1:39" x14ac:dyDescent="0.35">
      <c r="A12" s="32"/>
      <c r="B12" s="57">
        <v>1</v>
      </c>
      <c r="C12" s="218">
        <v>58</v>
      </c>
      <c r="D12" s="219">
        <v>477</v>
      </c>
      <c r="E12" s="105">
        <v>16319.999999999709</v>
      </c>
      <c r="F12" s="2">
        <v>16903929.5999997</v>
      </c>
      <c r="G12" s="34">
        <v>3519.9999999999818</v>
      </c>
      <c r="H12" s="2">
        <v>5468918.3999999724</v>
      </c>
      <c r="I12" s="102">
        <f>F12+H12</f>
        <v>22372847.999999672</v>
      </c>
      <c r="J12" s="105">
        <v>3220.0000000002547</v>
      </c>
      <c r="K12" s="2">
        <v>3335211.6000002637</v>
      </c>
      <c r="L12" s="184">
        <v>500</v>
      </c>
      <c r="M12" s="185">
        <v>776835</v>
      </c>
      <c r="N12" s="93">
        <f>+K12+M12</f>
        <v>4112046.6000002637</v>
      </c>
      <c r="O12" s="107">
        <f>N12+I12</f>
        <v>26484894.599999934</v>
      </c>
      <c r="P12" s="110">
        <f>L12+J12+G12+E12</f>
        <v>23559.999999999945</v>
      </c>
      <c r="Q12" s="134"/>
      <c r="R12" s="199"/>
      <c r="S12" s="213"/>
      <c r="T12" s="210"/>
      <c r="U12" s="208">
        <v>0</v>
      </c>
      <c r="V12" s="186">
        <f>Y12+W12</f>
        <v>813.46</v>
      </c>
      <c r="W12" s="2">
        <v>121.93</v>
      </c>
      <c r="X12" s="2">
        <v>2191143.0649999999</v>
      </c>
      <c r="Y12" s="30">
        <v>691.53</v>
      </c>
      <c r="Z12" s="30">
        <v>1870214.0490000001</v>
      </c>
      <c r="AA12" s="30">
        <f t="shared" ref="AA12:AA39" si="0">Z12+X12</f>
        <v>4061357.1140000001</v>
      </c>
      <c r="AB12" s="127">
        <f t="shared" ref="AB12:AB39" si="1">AA12/$AL$48</f>
        <v>312.98774237848227</v>
      </c>
      <c r="AC12" s="133">
        <v>149.55963999996013</v>
      </c>
      <c r="AD12" s="2">
        <v>0</v>
      </c>
      <c r="AE12" s="2">
        <v>0</v>
      </c>
      <c r="AF12" s="2">
        <v>0</v>
      </c>
      <c r="AG12" s="2">
        <f>AC12+AD12+AE12+AF12</f>
        <v>149.55963999996013</v>
      </c>
      <c r="AH12" s="2">
        <v>1603533.5921875725</v>
      </c>
      <c r="AI12" s="42">
        <f t="shared" ref="AI12:AI39" si="2">AH12/$AL$48</f>
        <v>123.57602268384179</v>
      </c>
      <c r="AJ12" s="142">
        <v>663.43000000000029</v>
      </c>
      <c r="AK12" s="2">
        <v>6899672.0000000028</v>
      </c>
      <c r="AL12" s="38">
        <f t="shared" ref="AL12:AL41" si="3">AK12/$AL$48</f>
        <v>531.72195938838297</v>
      </c>
      <c r="AM12" s="6"/>
    </row>
    <row r="13" spans="1:39" x14ac:dyDescent="0.35">
      <c r="A13" s="32"/>
      <c r="B13" s="57">
        <v>2</v>
      </c>
      <c r="C13" s="218">
        <v>49</v>
      </c>
      <c r="D13" s="219">
        <v>390</v>
      </c>
      <c r="E13" s="105">
        <v>17000</v>
      </c>
      <c r="F13" s="2">
        <v>17608260</v>
      </c>
      <c r="G13" s="34">
        <v>3359.9999999999</v>
      </c>
      <c r="H13" s="2">
        <v>5220331.1999998447</v>
      </c>
      <c r="I13" s="102">
        <f t="shared" ref="I13:I41" si="4">F13+H13</f>
        <v>22828591.199999847</v>
      </c>
      <c r="J13" s="105">
        <v>2099.9999999994543</v>
      </c>
      <c r="K13" s="2">
        <v>2175137.9999994347</v>
      </c>
      <c r="L13" s="184">
        <v>519.99999999998181</v>
      </c>
      <c r="M13" s="185">
        <v>807908.39999997173</v>
      </c>
      <c r="N13" s="93">
        <f t="shared" ref="N13:N41" si="5">+K13+M13</f>
        <v>2983046.3999994062</v>
      </c>
      <c r="O13" s="107">
        <f t="shared" ref="O13:O39" si="6">N13+I13</f>
        <v>25811637.599999253</v>
      </c>
      <c r="P13" s="110">
        <f t="shared" ref="P13:P39" si="7">L13+J13+G13+E13</f>
        <v>22979.999999999338</v>
      </c>
      <c r="Q13" s="189"/>
      <c r="R13" s="200"/>
      <c r="S13" s="213"/>
      <c r="T13" s="210"/>
      <c r="U13" s="208">
        <v>0</v>
      </c>
      <c r="V13" s="186">
        <f t="shared" ref="V13:V41" si="8">Y13+W13</f>
        <v>761.0390000000051</v>
      </c>
      <c r="W13" s="2">
        <v>162.87</v>
      </c>
      <c r="X13" s="2">
        <v>2926855.335</v>
      </c>
      <c r="Y13" s="30">
        <v>598.1690000000051</v>
      </c>
      <c r="Z13" s="30">
        <v>1341642.4420200221</v>
      </c>
      <c r="AA13" s="30">
        <f t="shared" si="0"/>
        <v>4268497.7770200223</v>
      </c>
      <c r="AB13" s="127">
        <f t="shared" si="1"/>
        <v>328.95099964781548</v>
      </c>
      <c r="AC13" s="133">
        <v>125.9152800000375</v>
      </c>
      <c r="AD13" s="2">
        <v>0</v>
      </c>
      <c r="AE13" s="2">
        <v>0</v>
      </c>
      <c r="AF13" s="2">
        <v>0</v>
      </c>
      <c r="AG13" s="2">
        <f t="shared" ref="AG13:AG41" si="9">AC13+AD13+AE13+AF13</f>
        <v>125.9152800000375</v>
      </c>
      <c r="AH13" s="2">
        <v>1350025.8575764021</v>
      </c>
      <c r="AI13" s="42">
        <f t="shared" si="2"/>
        <v>104.03949553188997</v>
      </c>
      <c r="AJ13" s="142">
        <v>500.29999999999927</v>
      </c>
      <c r="AK13" s="2">
        <v>5203119.9999999925</v>
      </c>
      <c r="AL13" s="38">
        <f t="shared" si="3"/>
        <v>400.9774901376295</v>
      </c>
      <c r="AM13" s="6"/>
    </row>
    <row r="14" spans="1:39" x14ac:dyDescent="0.35">
      <c r="A14" s="32"/>
      <c r="B14" s="57">
        <v>3</v>
      </c>
      <c r="C14" s="218">
        <v>48</v>
      </c>
      <c r="D14" s="219">
        <v>376</v>
      </c>
      <c r="E14" s="105">
        <v>16519.999999999527</v>
      </c>
      <c r="F14" s="2">
        <v>17111085.59999951</v>
      </c>
      <c r="G14" s="34">
        <v>3400.0000000000909</v>
      </c>
      <c r="H14" s="2">
        <v>5282478.0000001416</v>
      </c>
      <c r="I14" s="102">
        <f t="shared" si="4"/>
        <v>22393563.599999651</v>
      </c>
      <c r="J14" s="105">
        <v>1920.0000000000728</v>
      </c>
      <c r="K14" s="2">
        <v>1988697.6000000753</v>
      </c>
      <c r="L14" s="184">
        <v>700.00000000004547</v>
      </c>
      <c r="M14" s="185">
        <v>1087569.0000000708</v>
      </c>
      <c r="N14" s="93">
        <f t="shared" si="5"/>
        <v>3076266.6000001458</v>
      </c>
      <c r="O14" s="107">
        <f t="shared" si="6"/>
        <v>25469830.199999798</v>
      </c>
      <c r="P14" s="110">
        <f t="shared" si="7"/>
        <v>22539.999999999738</v>
      </c>
      <c r="Q14" s="189"/>
      <c r="R14" s="200"/>
      <c r="S14" s="213"/>
      <c r="T14" s="210"/>
      <c r="U14" s="208">
        <v>0</v>
      </c>
      <c r="V14" s="186">
        <f t="shared" si="8"/>
        <v>703.10000000000014</v>
      </c>
      <c r="W14" s="2">
        <v>109.47</v>
      </c>
      <c r="X14" s="2">
        <v>1967230.635</v>
      </c>
      <c r="Y14" s="30">
        <v>593.63000000000011</v>
      </c>
      <c r="Z14" s="30">
        <v>1299704.3088000002</v>
      </c>
      <c r="AA14" s="30">
        <f t="shared" si="0"/>
        <v>3266934.9438000005</v>
      </c>
      <c r="AB14" s="127">
        <f t="shared" si="1"/>
        <v>251.76574328630585</v>
      </c>
      <c r="AC14" s="133">
        <v>125.23051999998592</v>
      </c>
      <c r="AD14" s="2">
        <v>0</v>
      </c>
      <c r="AE14" s="2">
        <v>100</v>
      </c>
      <c r="AF14" s="2">
        <v>0</v>
      </c>
      <c r="AG14" s="2">
        <f t="shared" si="9"/>
        <v>225.23051999998592</v>
      </c>
      <c r="AH14" s="2">
        <v>2557684.0662838491</v>
      </c>
      <c r="AI14" s="42">
        <f t="shared" si="2"/>
        <v>197.10745427041959</v>
      </c>
      <c r="AJ14" s="142">
        <v>346.29000000000087</v>
      </c>
      <c r="AK14" s="2">
        <v>3601416.0000000093</v>
      </c>
      <c r="AL14" s="38">
        <f t="shared" si="3"/>
        <v>277.54246464073611</v>
      </c>
      <c r="AM14" s="6"/>
    </row>
    <row r="15" spans="1:39" x14ac:dyDescent="0.35">
      <c r="A15" s="32"/>
      <c r="B15" s="57">
        <v>4</v>
      </c>
      <c r="C15" s="218">
        <v>72</v>
      </c>
      <c r="D15" s="219">
        <v>475</v>
      </c>
      <c r="E15" s="105">
        <v>17360.000000000582</v>
      </c>
      <c r="F15" s="2">
        <v>17981140.800000604</v>
      </c>
      <c r="G15" s="34">
        <v>3599.9999999999091</v>
      </c>
      <c r="H15" s="2">
        <v>5593211.9999998594</v>
      </c>
      <c r="I15" s="102">
        <f t="shared" si="4"/>
        <v>23574352.800000463</v>
      </c>
      <c r="J15" s="105">
        <v>2000</v>
      </c>
      <c r="K15" s="2">
        <v>2071560</v>
      </c>
      <c r="L15" s="184">
        <v>319.99999999993634</v>
      </c>
      <c r="M15" s="185">
        <v>497174.39999990113</v>
      </c>
      <c r="N15" s="93">
        <f t="shared" si="5"/>
        <v>2568734.3999999012</v>
      </c>
      <c r="O15" s="107">
        <f t="shared" si="6"/>
        <v>26143087.200000364</v>
      </c>
      <c r="P15" s="110">
        <f t="shared" si="7"/>
        <v>23280.000000000429</v>
      </c>
      <c r="Q15" s="189"/>
      <c r="R15" s="200"/>
      <c r="S15" s="213"/>
      <c r="T15" s="210"/>
      <c r="U15" s="208">
        <v>0</v>
      </c>
      <c r="V15" s="186">
        <f t="shared" si="8"/>
        <v>745.82</v>
      </c>
      <c r="W15" s="2">
        <v>117.48</v>
      </c>
      <c r="X15" s="2">
        <v>2111174.34</v>
      </c>
      <c r="Y15" s="30">
        <v>628.34</v>
      </c>
      <c r="Z15" s="30">
        <v>1624630.3860000002</v>
      </c>
      <c r="AA15" s="30">
        <f t="shared" si="0"/>
        <v>3735804.7259999998</v>
      </c>
      <c r="AB15" s="127">
        <f t="shared" si="1"/>
        <v>287.89910720409614</v>
      </c>
      <c r="AC15" s="133">
        <v>130.91</v>
      </c>
      <c r="AD15" s="2">
        <v>0</v>
      </c>
      <c r="AE15" s="2">
        <v>0</v>
      </c>
      <c r="AF15" s="2">
        <v>36</v>
      </c>
      <c r="AG15" s="2">
        <f t="shared" si="9"/>
        <v>166.91</v>
      </c>
      <c r="AH15" s="2">
        <v>1822077.747</v>
      </c>
      <c r="AI15" s="42">
        <f t="shared" si="2"/>
        <v>140.41808796024071</v>
      </c>
      <c r="AJ15" s="142">
        <v>509.80000000000291</v>
      </c>
      <c r="AK15" s="2">
        <v>5301920.0000000298</v>
      </c>
      <c r="AL15" s="38">
        <f t="shared" si="3"/>
        <v>408.59149404790116</v>
      </c>
      <c r="AM15" s="6"/>
    </row>
    <row r="16" spans="1:39" x14ac:dyDescent="0.35">
      <c r="A16" s="32"/>
      <c r="B16" s="57">
        <v>5</v>
      </c>
      <c r="C16" s="218">
        <v>71</v>
      </c>
      <c r="D16" s="219">
        <v>547</v>
      </c>
      <c r="E16" s="105">
        <v>17920.000000000073</v>
      </c>
      <c r="F16" s="2">
        <v>18561177.600000076</v>
      </c>
      <c r="G16" s="34">
        <v>3680.0000000000637</v>
      </c>
      <c r="H16" s="2">
        <v>5717505.6000000993</v>
      </c>
      <c r="I16" s="102">
        <f t="shared" si="4"/>
        <v>24278683.200000174</v>
      </c>
      <c r="J16" s="105">
        <v>2359.9999999996726</v>
      </c>
      <c r="K16" s="2">
        <v>2444440.7999996608</v>
      </c>
      <c r="L16" s="184">
        <v>559.99999999994543</v>
      </c>
      <c r="M16" s="185">
        <v>870055.1999999152</v>
      </c>
      <c r="N16" s="93">
        <f t="shared" si="5"/>
        <v>3314495.9999995762</v>
      </c>
      <c r="O16" s="107">
        <f t="shared" si="6"/>
        <v>27593179.19999975</v>
      </c>
      <c r="P16" s="110">
        <f t="shared" si="7"/>
        <v>24519.999999999753</v>
      </c>
      <c r="Q16" s="189"/>
      <c r="R16" s="200"/>
      <c r="S16" s="213"/>
      <c r="T16" s="210"/>
      <c r="U16" s="208">
        <v>0</v>
      </c>
      <c r="V16" s="186">
        <f t="shared" si="8"/>
        <v>805.36099999999487</v>
      </c>
      <c r="W16" s="2">
        <v>79.210000000000008</v>
      </c>
      <c r="X16" s="2">
        <v>1423443.3050000002</v>
      </c>
      <c r="Y16" s="30">
        <v>726.15099999999484</v>
      </c>
      <c r="Z16" s="30">
        <v>1586470.4629799782</v>
      </c>
      <c r="AA16" s="30">
        <f t="shared" si="0"/>
        <v>3009913.7679799786</v>
      </c>
      <c r="AB16" s="127">
        <f t="shared" si="1"/>
        <v>231.95845343088547</v>
      </c>
      <c r="AC16" s="133">
        <v>136.75059999998825</v>
      </c>
      <c r="AD16" s="2">
        <v>0</v>
      </c>
      <c r="AE16" s="2">
        <v>0</v>
      </c>
      <c r="AF16" s="2">
        <v>0</v>
      </c>
      <c r="AG16" s="2">
        <f t="shared" si="9"/>
        <v>136.75059999998825</v>
      </c>
      <c r="AH16" s="2">
        <v>1466198.9080198742</v>
      </c>
      <c r="AI16" s="42">
        <f t="shared" si="2"/>
        <v>112.99235039367592</v>
      </c>
      <c r="AJ16" s="142">
        <v>588.5099999999984</v>
      </c>
      <c r="AK16" s="2">
        <v>6120503.9999999832</v>
      </c>
      <c r="AL16" s="38">
        <f t="shared" si="3"/>
        <v>471.67552012971419</v>
      </c>
      <c r="AM16" s="6"/>
    </row>
    <row r="17" spans="1:39" x14ac:dyDescent="0.35">
      <c r="A17" s="32"/>
      <c r="B17" s="57">
        <v>6</v>
      </c>
      <c r="C17" s="218">
        <v>72</v>
      </c>
      <c r="D17" s="219">
        <v>582</v>
      </c>
      <c r="E17" s="105">
        <v>17599.999999999454</v>
      </c>
      <c r="F17" s="2">
        <v>18229727.999999434</v>
      </c>
      <c r="G17" s="34">
        <v>3720.0000000000273</v>
      </c>
      <c r="H17" s="2">
        <v>5779652.4000000423</v>
      </c>
      <c r="I17" s="102">
        <f t="shared" si="4"/>
        <v>24009380.399999477</v>
      </c>
      <c r="J17" s="105">
        <v>2180.000000000291</v>
      </c>
      <c r="K17" s="2">
        <v>2258000.4000003012</v>
      </c>
      <c r="L17" s="184">
        <v>539.99999999996362</v>
      </c>
      <c r="M17" s="185">
        <v>838981.79999994347</v>
      </c>
      <c r="N17" s="93">
        <f t="shared" si="5"/>
        <v>3096982.2000002447</v>
      </c>
      <c r="O17" s="107">
        <f t="shared" si="6"/>
        <v>27106362.599999722</v>
      </c>
      <c r="P17" s="110">
        <f t="shared" si="7"/>
        <v>24039.999999999738</v>
      </c>
      <c r="Q17" s="189"/>
      <c r="R17" s="200"/>
      <c r="S17" s="213"/>
      <c r="T17" s="210"/>
      <c r="U17" s="208">
        <v>0</v>
      </c>
      <c r="V17" s="186">
        <f t="shared" si="8"/>
        <v>779.6400000000001</v>
      </c>
      <c r="W17" s="2">
        <v>97.01</v>
      </c>
      <c r="X17" s="2">
        <v>1743318.2050000001</v>
      </c>
      <c r="Y17" s="30">
        <v>682.63000000000011</v>
      </c>
      <c r="Z17" s="30">
        <v>1424385.2454000001</v>
      </c>
      <c r="AA17" s="30">
        <f t="shared" si="0"/>
        <v>3167703.4504000004</v>
      </c>
      <c r="AB17" s="127">
        <f t="shared" si="1"/>
        <v>244.11848641617007</v>
      </c>
      <c r="AC17" s="133">
        <v>133.08512000003282</v>
      </c>
      <c r="AD17" s="2">
        <v>0</v>
      </c>
      <c r="AE17" s="2">
        <v>150</v>
      </c>
      <c r="AF17" s="2">
        <v>24</v>
      </c>
      <c r="AG17" s="2">
        <f t="shared" si="9"/>
        <v>307.08512000003282</v>
      </c>
      <c r="AH17" s="2">
        <v>3528398.731104352</v>
      </c>
      <c r="AI17" s="42">
        <f t="shared" si="2"/>
        <v>271.9154021823486</v>
      </c>
      <c r="AJ17" s="142">
        <v>583.54999999999927</v>
      </c>
      <c r="AK17" s="2">
        <v>6068919.9999999925</v>
      </c>
      <c r="AL17" s="38">
        <f t="shared" si="3"/>
        <v>467.7002086144588</v>
      </c>
      <c r="AM17" s="6"/>
    </row>
    <row r="18" spans="1:39" x14ac:dyDescent="0.35">
      <c r="A18" s="32"/>
      <c r="B18" s="57">
        <v>7</v>
      </c>
      <c r="C18" s="218">
        <v>64</v>
      </c>
      <c r="D18" s="219">
        <v>579</v>
      </c>
      <c r="E18" s="105">
        <v>16840.000000000146</v>
      </c>
      <c r="F18" s="2">
        <v>17442535.200000152</v>
      </c>
      <c r="G18" s="34">
        <v>3720.0000000000273</v>
      </c>
      <c r="H18" s="2">
        <v>5779652.4000000423</v>
      </c>
      <c r="I18" s="102">
        <f t="shared" si="4"/>
        <v>23222187.600000195</v>
      </c>
      <c r="J18" s="105">
        <v>2199.9999999998181</v>
      </c>
      <c r="K18" s="2">
        <v>2278715.9999998114</v>
      </c>
      <c r="L18" s="184">
        <v>500</v>
      </c>
      <c r="M18" s="185">
        <v>776835</v>
      </c>
      <c r="N18" s="93">
        <f t="shared" si="5"/>
        <v>3055550.9999998114</v>
      </c>
      <c r="O18" s="107">
        <f t="shared" si="6"/>
        <v>26277738.600000005</v>
      </c>
      <c r="P18" s="110">
        <f t="shared" si="7"/>
        <v>23259.999999999993</v>
      </c>
      <c r="Q18" s="189"/>
      <c r="R18" s="200"/>
      <c r="S18" s="213"/>
      <c r="T18" s="210"/>
      <c r="U18" s="208">
        <v>0</v>
      </c>
      <c r="V18" s="186">
        <f t="shared" si="8"/>
        <v>784.08999999999992</v>
      </c>
      <c r="W18" s="2">
        <v>84.55</v>
      </c>
      <c r="X18" s="2">
        <v>1519405.7749999999</v>
      </c>
      <c r="Y18" s="30">
        <v>699.54</v>
      </c>
      <c r="Z18" s="30">
        <v>1549066.182</v>
      </c>
      <c r="AA18" s="30">
        <f t="shared" si="0"/>
        <v>3068471.9569999999</v>
      </c>
      <c r="AB18" s="127">
        <f t="shared" si="1"/>
        <v>236.47122954603427</v>
      </c>
      <c r="AC18" s="133">
        <v>142.95371999996246</v>
      </c>
      <c r="AD18" s="2">
        <v>0</v>
      </c>
      <c r="AE18" s="2">
        <v>150</v>
      </c>
      <c r="AF18" s="2">
        <v>12</v>
      </c>
      <c r="AG18" s="2">
        <f t="shared" si="9"/>
        <v>304.95371999996246</v>
      </c>
      <c r="AH18" s="2">
        <v>3494706.8997235978</v>
      </c>
      <c r="AI18" s="42">
        <f t="shared" si="2"/>
        <v>269.31894736577794</v>
      </c>
      <c r="AJ18" s="142">
        <v>594.15000000000146</v>
      </c>
      <c r="AK18" s="2">
        <v>6179160.0000000149</v>
      </c>
      <c r="AL18" s="38">
        <f t="shared" si="3"/>
        <v>476.19583403012888</v>
      </c>
      <c r="AM18" s="6"/>
    </row>
    <row r="19" spans="1:39" x14ac:dyDescent="0.35">
      <c r="A19" s="32"/>
      <c r="B19" s="57">
        <v>8</v>
      </c>
      <c r="C19" s="218">
        <v>55</v>
      </c>
      <c r="D19" s="219">
        <v>462</v>
      </c>
      <c r="E19" s="105">
        <v>16880.000000000109</v>
      </c>
      <c r="F19" s="2">
        <v>17483966.400000114</v>
      </c>
      <c r="G19" s="34">
        <v>3440.0000000000546</v>
      </c>
      <c r="H19" s="2">
        <v>5344624.8000000855</v>
      </c>
      <c r="I19" s="102">
        <f t="shared" si="4"/>
        <v>22828591.2000002</v>
      </c>
      <c r="J19" s="105">
        <v>2079.9999999999272</v>
      </c>
      <c r="K19" s="2">
        <v>2154422.3999999245</v>
      </c>
      <c r="L19" s="184">
        <v>520.00000000020918</v>
      </c>
      <c r="M19" s="185">
        <v>807908.40000032505</v>
      </c>
      <c r="N19" s="93">
        <f t="shared" si="5"/>
        <v>2962330.8000002494</v>
      </c>
      <c r="O19" s="107">
        <f t="shared" si="6"/>
        <v>25790922.000000451</v>
      </c>
      <c r="P19" s="110">
        <f t="shared" si="7"/>
        <v>22920.000000000298</v>
      </c>
      <c r="Q19" s="189"/>
      <c r="R19" s="200"/>
      <c r="S19" s="213"/>
      <c r="T19" s="210"/>
      <c r="U19" s="208">
        <v>0</v>
      </c>
      <c r="V19" s="186">
        <f t="shared" si="8"/>
        <v>754.72</v>
      </c>
      <c r="W19" s="2">
        <v>71.2</v>
      </c>
      <c r="X19" s="2">
        <v>1279499.6000000001</v>
      </c>
      <c r="Y19" s="30">
        <v>683.52</v>
      </c>
      <c r="Z19" s="30">
        <v>1484836.6085999999</v>
      </c>
      <c r="AA19" s="30">
        <f t="shared" si="0"/>
        <v>2764336.2086</v>
      </c>
      <c r="AB19" s="127">
        <f t="shared" si="1"/>
        <v>213.03306378115442</v>
      </c>
      <c r="AC19" s="133">
        <v>141.58420000003517</v>
      </c>
      <c r="AD19" s="2">
        <v>0</v>
      </c>
      <c r="AE19" s="2">
        <v>0</v>
      </c>
      <c r="AF19" s="2">
        <v>0</v>
      </c>
      <c r="AG19" s="2">
        <f t="shared" si="9"/>
        <v>141.58420000003517</v>
      </c>
      <c r="AH19" s="2">
        <v>1518023.3171403771</v>
      </c>
      <c r="AI19" s="42">
        <f t="shared" si="2"/>
        <v>116.98618899378604</v>
      </c>
      <c r="AJ19" s="142">
        <v>574.09999999999854</v>
      </c>
      <c r="AK19" s="2">
        <v>5970639.9999999851</v>
      </c>
      <c r="AL19" s="38">
        <f t="shared" si="3"/>
        <v>460.12627840898028</v>
      </c>
      <c r="AM19" s="6"/>
    </row>
    <row r="20" spans="1:39" x14ac:dyDescent="0.35">
      <c r="A20" s="32"/>
      <c r="B20" s="57">
        <v>9</v>
      </c>
      <c r="C20" s="218">
        <v>52</v>
      </c>
      <c r="D20" s="219">
        <v>644</v>
      </c>
      <c r="E20" s="105">
        <v>16520.000000000437</v>
      </c>
      <c r="F20" s="2">
        <v>17111085.600000452</v>
      </c>
      <c r="G20" s="34">
        <v>3359.9999999999</v>
      </c>
      <c r="H20" s="2">
        <v>5220331.1999998447</v>
      </c>
      <c r="I20" s="102">
        <f t="shared" si="4"/>
        <v>22331416.800000295</v>
      </c>
      <c r="J20" s="105">
        <v>2120.0000000008004</v>
      </c>
      <c r="K20" s="2">
        <v>2195853.600000829</v>
      </c>
      <c r="L20" s="184">
        <v>500</v>
      </c>
      <c r="M20" s="185">
        <v>776835</v>
      </c>
      <c r="N20" s="93">
        <f t="shared" si="5"/>
        <v>2972688.600000829</v>
      </c>
      <c r="O20" s="107">
        <f t="shared" si="6"/>
        <v>25304105.400001124</v>
      </c>
      <c r="P20" s="110">
        <f t="shared" si="7"/>
        <v>22500.000000001135</v>
      </c>
      <c r="Q20" s="189"/>
      <c r="R20" s="200"/>
      <c r="S20" s="213"/>
      <c r="T20" s="210"/>
      <c r="U20" s="208">
        <v>0</v>
      </c>
      <c r="V20" s="186">
        <f t="shared" si="8"/>
        <v>724.46</v>
      </c>
      <c r="W20" s="2">
        <v>145.96</v>
      </c>
      <c r="X20" s="2">
        <v>2622974.1800000002</v>
      </c>
      <c r="Y20" s="30">
        <v>578.5</v>
      </c>
      <c r="Z20" s="30">
        <v>1322373.57</v>
      </c>
      <c r="AA20" s="30">
        <f t="shared" si="0"/>
        <v>3945347.75</v>
      </c>
      <c r="AB20" s="127">
        <f t="shared" si="1"/>
        <v>304.04750198249241</v>
      </c>
      <c r="AC20" s="133">
        <v>131.03083999999529</v>
      </c>
      <c r="AD20" s="2">
        <v>0</v>
      </c>
      <c r="AE20" s="2">
        <v>0</v>
      </c>
      <c r="AF20" s="2">
        <v>24</v>
      </c>
      <c r="AG20" s="2">
        <f t="shared" si="9"/>
        <v>155.03083999999529</v>
      </c>
      <c r="AH20" s="2">
        <v>1683873.3572279497</v>
      </c>
      <c r="AI20" s="42">
        <f t="shared" si="2"/>
        <v>129.76739196691372</v>
      </c>
      <c r="AJ20" s="142">
        <v>474.5</v>
      </c>
      <c r="AK20" s="2">
        <v>4934800</v>
      </c>
      <c r="AL20" s="38">
        <f t="shared" si="3"/>
        <v>380.29945846553159</v>
      </c>
      <c r="AM20" s="6"/>
    </row>
    <row r="21" spans="1:39" x14ac:dyDescent="0.35">
      <c r="A21" s="32"/>
      <c r="B21" s="57">
        <v>10</v>
      </c>
      <c r="C21" s="218">
        <v>70</v>
      </c>
      <c r="D21" s="219">
        <v>452</v>
      </c>
      <c r="E21" s="105">
        <v>16439.9999999996</v>
      </c>
      <c r="F21" s="2">
        <v>17028223.199999586</v>
      </c>
      <c r="G21" s="34">
        <v>3599.9999999999091</v>
      </c>
      <c r="H21" s="2">
        <v>5593211.9999998594</v>
      </c>
      <c r="I21" s="102">
        <f t="shared" si="4"/>
        <v>22621435.199999444</v>
      </c>
      <c r="J21" s="105">
        <v>2019.9999999995271</v>
      </c>
      <c r="K21" s="2">
        <v>2092275.59999951</v>
      </c>
      <c r="L21" s="184">
        <v>500</v>
      </c>
      <c r="M21" s="185">
        <v>776835</v>
      </c>
      <c r="N21" s="93">
        <f t="shared" si="5"/>
        <v>2869110.5999995098</v>
      </c>
      <c r="O21" s="107">
        <f t="shared" si="6"/>
        <v>25490545.799998954</v>
      </c>
      <c r="P21" s="110">
        <f t="shared" si="7"/>
        <v>22559.999999999036</v>
      </c>
      <c r="Q21" s="189"/>
      <c r="R21" s="200"/>
      <c r="S21" s="213"/>
      <c r="T21" s="210"/>
      <c r="U21" s="208">
        <v>0</v>
      </c>
      <c r="V21" s="186">
        <f t="shared" si="8"/>
        <v>720.9</v>
      </c>
      <c r="W21" s="2">
        <v>105.91</v>
      </c>
      <c r="X21" s="2">
        <v>1903255.655</v>
      </c>
      <c r="Y21" s="30">
        <v>614.99</v>
      </c>
      <c r="Z21" s="30">
        <v>483610.90560000006</v>
      </c>
      <c r="AA21" s="30">
        <f t="shared" si="0"/>
        <v>2386866.5606</v>
      </c>
      <c r="AB21" s="127">
        <f t="shared" si="1"/>
        <v>183.94343447063019</v>
      </c>
      <c r="AC21" s="133">
        <v>119.14824000000702</v>
      </c>
      <c r="AD21" s="2">
        <v>0</v>
      </c>
      <c r="AE21" s="2">
        <v>400</v>
      </c>
      <c r="AF21" s="2">
        <v>12</v>
      </c>
      <c r="AG21" s="2">
        <f t="shared" si="9"/>
        <v>531.14824000000704</v>
      </c>
      <c r="AH21" s="2">
        <v>6276971.6848080754</v>
      </c>
      <c r="AI21" s="42">
        <f t="shared" si="2"/>
        <v>483.73367361108586</v>
      </c>
      <c r="AJ21" s="142">
        <v>457.67000000000189</v>
      </c>
      <c r="AK21" s="2">
        <v>4759768.0000000196</v>
      </c>
      <c r="AL21" s="38">
        <f t="shared" si="3"/>
        <v>366.81064943292006</v>
      </c>
      <c r="AM21" s="6"/>
    </row>
    <row r="22" spans="1:39" x14ac:dyDescent="0.35">
      <c r="A22" s="32"/>
      <c r="B22" s="57">
        <v>11</v>
      </c>
      <c r="C22" s="218">
        <v>54</v>
      </c>
      <c r="D22" s="219">
        <v>426</v>
      </c>
      <c r="E22" s="105">
        <v>17119.999999999891</v>
      </c>
      <c r="F22" s="2">
        <v>17732553.599999886</v>
      </c>
      <c r="G22" s="34">
        <v>3440.0000000000546</v>
      </c>
      <c r="H22" s="2">
        <v>5344624.8000000855</v>
      </c>
      <c r="I22" s="102">
        <f t="shared" si="4"/>
        <v>23077178.399999972</v>
      </c>
      <c r="J22" s="105">
        <v>1739.9999999997817</v>
      </c>
      <c r="K22" s="2">
        <v>1802257.1999997739</v>
      </c>
      <c r="L22" s="184">
        <v>479.99999999979082</v>
      </c>
      <c r="M22" s="185">
        <v>745761.59999967506</v>
      </c>
      <c r="N22" s="93">
        <f t="shared" si="5"/>
        <v>2548018.7999994489</v>
      </c>
      <c r="O22" s="107">
        <f t="shared" si="6"/>
        <v>25625197.199999422</v>
      </c>
      <c r="P22" s="110">
        <f t="shared" si="7"/>
        <v>22779.99999999952</v>
      </c>
      <c r="Q22" s="189"/>
      <c r="R22" s="200"/>
      <c r="S22" s="213"/>
      <c r="T22" s="210"/>
      <c r="U22" s="208">
        <v>0</v>
      </c>
      <c r="V22" s="186">
        <f t="shared" si="8"/>
        <v>774.30000000000007</v>
      </c>
      <c r="W22" s="2">
        <v>104.13</v>
      </c>
      <c r="X22" s="2">
        <v>1871268.1649999998</v>
      </c>
      <c r="Y22" s="30">
        <v>670.17000000000007</v>
      </c>
      <c r="Z22" s="30">
        <v>1152354.111</v>
      </c>
      <c r="AA22" s="30">
        <f t="shared" si="0"/>
        <v>3023622.2759999996</v>
      </c>
      <c r="AB22" s="127">
        <f t="shared" si="1"/>
        <v>233.01489709149672</v>
      </c>
      <c r="AC22" s="133">
        <v>160.95887999996717</v>
      </c>
      <c r="AD22" s="2">
        <v>0</v>
      </c>
      <c r="AE22" s="2">
        <v>0</v>
      </c>
      <c r="AF22" s="2">
        <v>36</v>
      </c>
      <c r="AG22" s="2">
        <f t="shared" si="9"/>
        <v>196.95887999996717</v>
      </c>
      <c r="AH22" s="2">
        <v>2144252.823695648</v>
      </c>
      <c r="AI22" s="42">
        <f t="shared" si="2"/>
        <v>165.24645125732388</v>
      </c>
      <c r="AJ22" s="142">
        <v>436.93000000000029</v>
      </c>
      <c r="AK22" s="2">
        <v>4544072.0000000028</v>
      </c>
      <c r="AL22" s="38">
        <f t="shared" si="3"/>
        <v>350.18807668565825</v>
      </c>
      <c r="AM22" s="6"/>
    </row>
    <row r="23" spans="1:39" x14ac:dyDescent="0.35">
      <c r="A23" s="32"/>
      <c r="B23" s="57">
        <v>12</v>
      </c>
      <c r="C23" s="218">
        <v>69</v>
      </c>
      <c r="D23" s="219">
        <v>421</v>
      </c>
      <c r="E23" s="105">
        <v>17279.999999999745</v>
      </c>
      <c r="F23" s="2">
        <v>17898278.399999734</v>
      </c>
      <c r="G23" s="34">
        <v>3680.0000000000637</v>
      </c>
      <c r="H23" s="2">
        <v>5717505.6000000993</v>
      </c>
      <c r="I23" s="102">
        <f t="shared" si="4"/>
        <v>23615783.999999832</v>
      </c>
      <c r="J23" s="105">
        <v>2000</v>
      </c>
      <c r="K23" s="2">
        <v>2071560</v>
      </c>
      <c r="L23" s="184">
        <v>500</v>
      </c>
      <c r="M23" s="185">
        <v>776835</v>
      </c>
      <c r="N23" s="93">
        <f t="shared" si="5"/>
        <v>2848395</v>
      </c>
      <c r="O23" s="107">
        <f t="shared" si="6"/>
        <v>26464178.999999832</v>
      </c>
      <c r="P23" s="110">
        <f t="shared" si="7"/>
        <v>23459.999999999811</v>
      </c>
      <c r="Q23" s="189"/>
      <c r="R23" s="200"/>
      <c r="S23" s="213"/>
      <c r="T23" s="210"/>
      <c r="U23" s="208">
        <v>0</v>
      </c>
      <c r="V23" s="186">
        <f t="shared" si="8"/>
        <v>798.33</v>
      </c>
      <c r="W23" s="2">
        <v>118.37</v>
      </c>
      <c r="X23" s="2">
        <v>2127168.085</v>
      </c>
      <c r="Y23" s="30">
        <v>679.96</v>
      </c>
      <c r="Z23" s="30">
        <v>1167466.9518000002</v>
      </c>
      <c r="AA23" s="30">
        <f t="shared" si="0"/>
        <v>3294635.0367999999</v>
      </c>
      <c r="AB23" s="127">
        <f t="shared" si="1"/>
        <v>253.90044588161763</v>
      </c>
      <c r="AC23" s="133">
        <v>137.9187200000211</v>
      </c>
      <c r="AD23" s="2">
        <v>0</v>
      </c>
      <c r="AE23" s="2">
        <v>0</v>
      </c>
      <c r="AF23" s="2">
        <v>0</v>
      </c>
      <c r="AG23" s="2">
        <f t="shared" si="9"/>
        <v>137.9187200000211</v>
      </c>
      <c r="AH23" s="2">
        <v>1478723.1402242263</v>
      </c>
      <c r="AI23" s="42">
        <f t="shared" si="2"/>
        <v>113.95752805538697</v>
      </c>
      <c r="AJ23" s="142">
        <v>446.44999999999993</v>
      </c>
      <c r="AK23" s="2">
        <v>4643079.9999999991</v>
      </c>
      <c r="AL23" s="38">
        <f t="shared" si="3"/>
        <v>357.81811007784307</v>
      </c>
      <c r="AM23" s="6"/>
    </row>
    <row r="24" spans="1:39" x14ac:dyDescent="0.35">
      <c r="A24" s="32"/>
      <c r="B24" s="57">
        <v>13</v>
      </c>
      <c r="C24" s="218">
        <v>69</v>
      </c>
      <c r="D24" s="219">
        <v>512</v>
      </c>
      <c r="E24" s="105">
        <v>17680.000000000291</v>
      </c>
      <c r="F24" s="2">
        <v>18312590.4000003</v>
      </c>
      <c r="G24" s="34">
        <v>3920.0000000000728</v>
      </c>
      <c r="H24" s="2">
        <v>6090386.4000001131</v>
      </c>
      <c r="I24" s="102">
        <f t="shared" si="4"/>
        <v>24402976.800000414</v>
      </c>
      <c r="J24" s="105">
        <v>1940.0000000005093</v>
      </c>
      <c r="K24" s="2">
        <v>2009413.2000005275</v>
      </c>
      <c r="L24" s="184">
        <v>520.00000000020918</v>
      </c>
      <c r="M24" s="185">
        <v>807908.40000032505</v>
      </c>
      <c r="N24" s="93">
        <f t="shared" si="5"/>
        <v>2817321.6000008527</v>
      </c>
      <c r="O24" s="107">
        <f t="shared" si="6"/>
        <v>27220298.400001265</v>
      </c>
      <c r="P24" s="110">
        <f t="shared" si="7"/>
        <v>24060.000000001084</v>
      </c>
      <c r="Q24" s="189"/>
      <c r="R24" s="200"/>
      <c r="S24" s="213"/>
      <c r="T24" s="210"/>
      <c r="U24" s="208">
        <v>0</v>
      </c>
      <c r="V24" s="186">
        <f>Y24+W24</f>
        <v>1042.19</v>
      </c>
      <c r="W24" s="2">
        <v>92.56</v>
      </c>
      <c r="X24" s="2">
        <v>1663349.48</v>
      </c>
      <c r="Y24" s="30">
        <v>949.63</v>
      </c>
      <c r="Z24" s="30">
        <v>1224140.1048000001</v>
      </c>
      <c r="AA24" s="30">
        <f t="shared" si="0"/>
        <v>2887489.5848000003</v>
      </c>
      <c r="AB24" s="127">
        <f t="shared" si="1"/>
        <v>222.52385616930835</v>
      </c>
      <c r="AC24" s="133">
        <v>141.74532000000937</v>
      </c>
      <c r="AD24" s="2">
        <v>0</v>
      </c>
      <c r="AE24" s="2">
        <v>300</v>
      </c>
      <c r="AF24" s="2">
        <v>36</v>
      </c>
      <c r="AG24" s="2">
        <f t="shared" si="9"/>
        <v>477.74532000000937</v>
      </c>
      <c r="AH24" s="2">
        <v>5583250.7974441005</v>
      </c>
      <c r="AI24" s="42">
        <f t="shared" si="2"/>
        <v>430.27220044282217</v>
      </c>
      <c r="AJ24" s="142">
        <v>556.39999999999782</v>
      </c>
      <c r="AK24" s="2">
        <v>5786559.9999999776</v>
      </c>
      <c r="AL24" s="38">
        <f t="shared" si="3"/>
        <v>445.94018691300522</v>
      </c>
      <c r="AM24" s="6"/>
    </row>
    <row r="25" spans="1:39" x14ac:dyDescent="0.35">
      <c r="A25" s="32"/>
      <c r="B25" s="57">
        <v>14</v>
      </c>
      <c r="C25" s="218">
        <v>66</v>
      </c>
      <c r="D25" s="219">
        <v>423</v>
      </c>
      <c r="E25" s="105">
        <v>16680.000000000291</v>
      </c>
      <c r="F25" s="2">
        <v>17276810.4000003</v>
      </c>
      <c r="G25" s="34">
        <v>3039.9999999999636</v>
      </c>
      <c r="H25" s="2">
        <v>4723156.7999999439</v>
      </c>
      <c r="I25" s="102">
        <f t="shared" si="4"/>
        <v>21999967.200000245</v>
      </c>
      <c r="J25" s="105">
        <v>2039.9999999999636</v>
      </c>
      <c r="K25" s="2">
        <v>2112991.1999999625</v>
      </c>
      <c r="L25" s="184">
        <v>500</v>
      </c>
      <c r="M25" s="185">
        <v>776835</v>
      </c>
      <c r="N25" s="93">
        <f t="shared" si="5"/>
        <v>2889826.1999999625</v>
      </c>
      <c r="O25" s="107">
        <f t="shared" si="6"/>
        <v>24889793.400000207</v>
      </c>
      <c r="P25" s="110">
        <f t="shared" si="7"/>
        <v>22260.000000000218</v>
      </c>
      <c r="Q25" s="189"/>
      <c r="R25" s="200"/>
      <c r="S25" s="213"/>
      <c r="T25" s="210"/>
      <c r="U25" s="208">
        <v>0</v>
      </c>
      <c r="V25" s="186">
        <f t="shared" si="8"/>
        <v>517.98</v>
      </c>
      <c r="W25" s="2">
        <v>167.32</v>
      </c>
      <c r="X25" s="2">
        <v>3006824.06</v>
      </c>
      <c r="Y25" s="30">
        <v>350.65999999999997</v>
      </c>
      <c r="Z25" s="30">
        <v>1360155.672</v>
      </c>
      <c r="AA25" s="30">
        <f t="shared" si="0"/>
        <v>4366979.7319999998</v>
      </c>
      <c r="AB25" s="127">
        <f t="shared" si="1"/>
        <v>336.54049347684855</v>
      </c>
      <c r="AC25" s="133">
        <v>143.07455999995778</v>
      </c>
      <c r="AD25" s="2">
        <v>0</v>
      </c>
      <c r="AE25" s="2">
        <v>0</v>
      </c>
      <c r="AF25" s="2">
        <v>12</v>
      </c>
      <c r="AG25" s="2">
        <f t="shared" si="9"/>
        <v>155.07455999995778</v>
      </c>
      <c r="AH25" s="2">
        <v>1673502.5099515475</v>
      </c>
      <c r="AI25" s="42">
        <f t="shared" si="2"/>
        <v>128.96816452040233</v>
      </c>
      <c r="AJ25" s="142">
        <v>581.5</v>
      </c>
      <c r="AK25" s="2">
        <v>6047600</v>
      </c>
      <c r="AL25" s="38">
        <f t="shared" si="3"/>
        <v>466.05718671803294</v>
      </c>
      <c r="AM25" s="6"/>
    </row>
    <row r="26" spans="1:39" x14ac:dyDescent="0.35">
      <c r="A26" s="32"/>
      <c r="B26" s="57">
        <v>15</v>
      </c>
      <c r="C26" s="218">
        <v>48</v>
      </c>
      <c r="D26" s="219">
        <v>504</v>
      </c>
      <c r="E26" s="105">
        <v>15880.000000000109</v>
      </c>
      <c r="F26" s="2">
        <v>16448186.400000112</v>
      </c>
      <c r="G26" s="34">
        <v>3279.9999999999727</v>
      </c>
      <c r="H26" s="2">
        <v>5096037.5999999577</v>
      </c>
      <c r="I26" s="102">
        <f t="shared" si="4"/>
        <v>21544224.000000071</v>
      </c>
      <c r="J26" s="105">
        <v>2039.9999999999636</v>
      </c>
      <c r="K26" s="2">
        <v>2112991.1999999625</v>
      </c>
      <c r="L26" s="184">
        <v>519.99999999998181</v>
      </c>
      <c r="M26" s="185">
        <v>807908.39999997173</v>
      </c>
      <c r="N26" s="93">
        <f t="shared" si="5"/>
        <v>2920899.5999999344</v>
      </c>
      <c r="O26" s="107">
        <f t="shared" si="6"/>
        <v>24465123.600000005</v>
      </c>
      <c r="P26" s="110">
        <f t="shared" si="7"/>
        <v>21720.000000000029</v>
      </c>
      <c r="Q26" s="189"/>
      <c r="R26" s="200"/>
      <c r="S26" s="213"/>
      <c r="T26" s="210"/>
      <c r="U26" s="208">
        <v>0</v>
      </c>
      <c r="V26" s="186">
        <f t="shared" si="8"/>
        <v>776.08</v>
      </c>
      <c r="W26" s="2">
        <v>20.47</v>
      </c>
      <c r="X26" s="2">
        <v>367856.13499999995</v>
      </c>
      <c r="Y26" s="30">
        <v>755.61</v>
      </c>
      <c r="Z26" s="30">
        <v>1341264.621</v>
      </c>
      <c r="AA26" s="30">
        <f t="shared" si="0"/>
        <v>1709120.7560000001</v>
      </c>
      <c r="AB26" s="127">
        <f t="shared" si="1"/>
        <v>131.71307813062333</v>
      </c>
      <c r="AC26" s="133">
        <v>142.83288000002577</v>
      </c>
      <c r="AD26" s="2">
        <v>0</v>
      </c>
      <c r="AE26" s="2">
        <v>0</v>
      </c>
      <c r="AF26" s="2">
        <v>12</v>
      </c>
      <c r="AG26" s="2">
        <f t="shared" si="9"/>
        <v>154.83288000002577</v>
      </c>
      <c r="AH26" s="2">
        <v>1670911.2894962763</v>
      </c>
      <c r="AI26" s="42">
        <f t="shared" si="2"/>
        <v>128.76847259045493</v>
      </c>
      <c r="AJ26" s="142">
        <v>581.65000000000146</v>
      </c>
      <c r="AK26" s="2">
        <v>6049160.0000000149</v>
      </c>
      <c r="AL26" s="38">
        <f t="shared" si="3"/>
        <v>466.17740783240674</v>
      </c>
      <c r="AM26" s="6"/>
    </row>
    <row r="27" spans="1:39" x14ac:dyDescent="0.35">
      <c r="A27" s="32"/>
      <c r="B27" s="57">
        <v>16</v>
      </c>
      <c r="C27" s="218">
        <v>56</v>
      </c>
      <c r="D27" s="219">
        <v>542</v>
      </c>
      <c r="E27" s="105">
        <v>16679.999999999382</v>
      </c>
      <c r="F27" s="2">
        <v>17276810.399999358</v>
      </c>
      <c r="G27" s="34">
        <v>3279.9999999999727</v>
      </c>
      <c r="H27" s="2">
        <v>5096037.5999999577</v>
      </c>
      <c r="I27" s="102">
        <f t="shared" si="4"/>
        <v>22372847.999999315</v>
      </c>
      <c r="J27" s="105">
        <v>2199.9999999998181</v>
      </c>
      <c r="K27" s="2">
        <v>2278715.9999998114</v>
      </c>
      <c r="L27" s="184">
        <v>519.99999999998181</v>
      </c>
      <c r="M27" s="185">
        <v>807908.39999997173</v>
      </c>
      <c r="N27" s="93">
        <f t="shared" si="5"/>
        <v>3086624.3999997834</v>
      </c>
      <c r="O27" s="107">
        <f t="shared" si="6"/>
        <v>25459472.399999097</v>
      </c>
      <c r="P27" s="110">
        <f t="shared" si="7"/>
        <v>22679.999999999156</v>
      </c>
      <c r="Q27" s="189"/>
      <c r="R27" s="200"/>
      <c r="S27" s="213"/>
      <c r="T27" s="210"/>
      <c r="U27" s="208">
        <v>0</v>
      </c>
      <c r="V27" s="186">
        <f t="shared" si="8"/>
        <v>751.16000000000008</v>
      </c>
      <c r="W27" s="2">
        <v>32.04</v>
      </c>
      <c r="X27" s="2">
        <v>575774.81999999995</v>
      </c>
      <c r="Y27" s="30">
        <v>719.12000000000012</v>
      </c>
      <c r="Z27" s="30">
        <v>1439498.0862000003</v>
      </c>
      <c r="AA27" s="30">
        <f t="shared" si="0"/>
        <v>2015272.9062000001</v>
      </c>
      <c r="AB27" s="127">
        <f t="shared" si="1"/>
        <v>155.30663753102823</v>
      </c>
      <c r="AC27" s="133">
        <v>135.34079999996482</v>
      </c>
      <c r="AD27" s="2">
        <v>0</v>
      </c>
      <c r="AE27" s="2">
        <v>0</v>
      </c>
      <c r="AF27" s="2">
        <v>12</v>
      </c>
      <c r="AG27" s="2">
        <f t="shared" si="9"/>
        <v>147.34079999996482</v>
      </c>
      <c r="AH27" s="2">
        <v>1590583.4553596228</v>
      </c>
      <c r="AI27" s="42">
        <f t="shared" si="2"/>
        <v>122.57802276029396</v>
      </c>
      <c r="AJ27" s="142">
        <v>472.25</v>
      </c>
      <c r="AK27" s="2">
        <v>4911400</v>
      </c>
      <c r="AL27" s="38">
        <f t="shared" si="3"/>
        <v>378.49614174994161</v>
      </c>
      <c r="AM27" s="6"/>
    </row>
    <row r="28" spans="1:39" x14ac:dyDescent="0.35">
      <c r="A28" s="32"/>
      <c r="B28" s="57">
        <v>17</v>
      </c>
      <c r="C28" s="218">
        <v>63</v>
      </c>
      <c r="D28" s="219">
        <v>469</v>
      </c>
      <c r="E28" s="105">
        <v>15680.000000000291</v>
      </c>
      <c r="F28" s="2">
        <v>16241030.4000003</v>
      </c>
      <c r="G28" s="34">
        <v>3440.0000000000546</v>
      </c>
      <c r="H28" s="2">
        <v>5344624.8000000855</v>
      </c>
      <c r="I28" s="102">
        <f t="shared" si="4"/>
        <v>21585655.200000387</v>
      </c>
      <c r="J28" s="105">
        <v>1920.0000000000728</v>
      </c>
      <c r="K28" s="2">
        <v>1988697.6000000753</v>
      </c>
      <c r="L28" s="184">
        <v>500</v>
      </c>
      <c r="M28" s="185">
        <v>776835</v>
      </c>
      <c r="N28" s="93">
        <f t="shared" si="5"/>
        <v>2765532.6000000751</v>
      </c>
      <c r="O28" s="107">
        <f t="shared" si="6"/>
        <v>24351187.800000463</v>
      </c>
      <c r="P28" s="110">
        <f t="shared" si="7"/>
        <v>21540.000000000418</v>
      </c>
      <c r="Q28" s="189"/>
      <c r="R28" s="202"/>
      <c r="S28" s="213"/>
      <c r="T28" s="210"/>
      <c r="U28" s="208">
        <v>0</v>
      </c>
      <c r="V28" s="186">
        <f t="shared" si="8"/>
        <v>694.2</v>
      </c>
      <c r="W28" s="2">
        <v>0</v>
      </c>
      <c r="X28" s="2">
        <v>0</v>
      </c>
      <c r="Y28" s="30">
        <v>694.2</v>
      </c>
      <c r="Z28" s="30">
        <v>933217.91940000013</v>
      </c>
      <c r="AA28" s="30">
        <f t="shared" si="0"/>
        <v>933217.91940000013</v>
      </c>
      <c r="AB28" s="127">
        <f t="shared" si="1"/>
        <v>71.918268091543766</v>
      </c>
      <c r="AC28" s="133">
        <v>132.40036000003985</v>
      </c>
      <c r="AD28" s="2">
        <v>0</v>
      </c>
      <c r="AE28" s="2">
        <v>0</v>
      </c>
      <c r="AF28" s="2">
        <v>24</v>
      </c>
      <c r="AG28" s="2">
        <f t="shared" si="9"/>
        <v>156.40036000003985</v>
      </c>
      <c r="AH28" s="2">
        <v>1698556.9398124274</v>
      </c>
      <c r="AI28" s="42">
        <f t="shared" si="2"/>
        <v>130.89897957030411</v>
      </c>
      <c r="AJ28" s="142">
        <v>453.61999999999898</v>
      </c>
      <c r="AK28" s="2">
        <v>4717647.9999999898</v>
      </c>
      <c r="AL28" s="38">
        <f t="shared" si="3"/>
        <v>363.56467934485579</v>
      </c>
      <c r="AM28" s="6"/>
    </row>
    <row r="29" spans="1:39" x14ac:dyDescent="0.35">
      <c r="A29" s="32"/>
      <c r="B29" s="57">
        <v>18</v>
      </c>
      <c r="C29" s="218">
        <v>66</v>
      </c>
      <c r="D29" s="219">
        <v>617</v>
      </c>
      <c r="E29" s="105">
        <v>16159.999999999854</v>
      </c>
      <c r="F29" s="2">
        <v>16738204.799999848</v>
      </c>
      <c r="G29" s="34">
        <v>3359.9999999999</v>
      </c>
      <c r="H29" s="2">
        <v>5220331.1999998447</v>
      </c>
      <c r="I29" s="102">
        <f t="shared" si="4"/>
        <v>21958535.999999695</v>
      </c>
      <c r="J29" s="105">
        <v>2220.0000000002547</v>
      </c>
      <c r="K29" s="2">
        <v>2299431.6000002637</v>
      </c>
      <c r="L29" s="184">
        <v>480.00000000001819</v>
      </c>
      <c r="M29" s="185">
        <v>745761.60000002827</v>
      </c>
      <c r="N29" s="93">
        <f t="shared" si="5"/>
        <v>3045193.2000002917</v>
      </c>
      <c r="O29" s="107">
        <f t="shared" si="6"/>
        <v>25003729.199999988</v>
      </c>
      <c r="P29" s="110">
        <f t="shared" si="7"/>
        <v>22220.000000000029</v>
      </c>
      <c r="Q29" s="190"/>
      <c r="R29" s="203"/>
      <c r="S29" s="213"/>
      <c r="T29" s="210"/>
      <c r="U29" s="208">
        <v>0</v>
      </c>
      <c r="V29" s="186">
        <f t="shared" si="8"/>
        <v>750.2700000000001</v>
      </c>
      <c r="W29" s="2">
        <v>75.650000000000006</v>
      </c>
      <c r="X29" s="2">
        <v>1359468.3250000002</v>
      </c>
      <c r="Y29" s="30">
        <v>674.62000000000012</v>
      </c>
      <c r="Z29" s="30">
        <v>1125906.6396000001</v>
      </c>
      <c r="AA29" s="30">
        <f t="shared" si="0"/>
        <v>2485374.9646000005</v>
      </c>
      <c r="AB29" s="127">
        <f t="shared" si="1"/>
        <v>191.53496658854866</v>
      </c>
      <c r="AC29" s="133">
        <v>142.55091999999763</v>
      </c>
      <c r="AD29" s="2">
        <v>0</v>
      </c>
      <c r="AE29" s="2">
        <v>200</v>
      </c>
      <c r="AF29" s="2">
        <v>12</v>
      </c>
      <c r="AG29" s="2">
        <f t="shared" si="9"/>
        <v>354.55091999999763</v>
      </c>
      <c r="AH29" s="2">
        <v>4097888.1989639746</v>
      </c>
      <c r="AI29" s="42">
        <f t="shared" si="2"/>
        <v>315.80300375259225</v>
      </c>
      <c r="AJ29" s="142">
        <v>355.33000000000175</v>
      </c>
      <c r="AK29" s="2">
        <v>3695432.0000000182</v>
      </c>
      <c r="AL29" s="38">
        <f t="shared" si="3"/>
        <v>284.78779046692944</v>
      </c>
      <c r="AM29" s="6"/>
    </row>
    <row r="30" spans="1:39" x14ac:dyDescent="0.35">
      <c r="A30" s="32"/>
      <c r="B30" s="57">
        <v>19</v>
      </c>
      <c r="C30" s="218">
        <v>67</v>
      </c>
      <c r="D30" s="219">
        <v>527</v>
      </c>
      <c r="E30" s="105">
        <v>17079.999999999927</v>
      </c>
      <c r="F30" s="2">
        <v>17691122.399999924</v>
      </c>
      <c r="G30" s="34">
        <v>3440.0000000000546</v>
      </c>
      <c r="H30" s="2">
        <v>5344624.8000000855</v>
      </c>
      <c r="I30" s="102">
        <f t="shared" si="4"/>
        <v>23035747.20000001</v>
      </c>
      <c r="J30" s="105">
        <v>1920.0000000000728</v>
      </c>
      <c r="K30" s="2">
        <v>1988697.6000000753</v>
      </c>
      <c r="L30" s="184">
        <v>519.99999999998181</v>
      </c>
      <c r="M30" s="185">
        <v>807908.39999997173</v>
      </c>
      <c r="N30" s="93">
        <f t="shared" si="5"/>
        <v>2796606.000000047</v>
      </c>
      <c r="O30" s="107">
        <f t="shared" si="6"/>
        <v>25832353.200000059</v>
      </c>
      <c r="P30" s="110">
        <f t="shared" si="7"/>
        <v>22960.000000000036</v>
      </c>
      <c r="Q30" s="189"/>
      <c r="R30" s="202"/>
      <c r="S30" s="213"/>
      <c r="T30" s="210"/>
      <c r="U30" s="208">
        <v>0</v>
      </c>
      <c r="V30" s="186">
        <f t="shared" si="8"/>
        <v>747.59999999999991</v>
      </c>
      <c r="W30" s="2">
        <v>62.300000000000004</v>
      </c>
      <c r="X30" s="2">
        <v>1119562.1500000001</v>
      </c>
      <c r="Y30" s="30">
        <v>685.3</v>
      </c>
      <c r="Z30" s="30">
        <v>1492393.0290000001</v>
      </c>
      <c r="AA30" s="30">
        <f t="shared" si="0"/>
        <v>2611955.1790000005</v>
      </c>
      <c r="AB30" s="127">
        <f t="shared" si="1"/>
        <v>201.28984763515052</v>
      </c>
      <c r="AC30" s="133">
        <v>131.39335999998124</v>
      </c>
      <c r="AD30" s="2">
        <v>0</v>
      </c>
      <c r="AE30" s="2">
        <v>0</v>
      </c>
      <c r="AF30" s="2">
        <v>0</v>
      </c>
      <c r="AG30" s="2">
        <f t="shared" si="9"/>
        <v>131.39335999998124</v>
      </c>
      <c r="AH30" s="2">
        <v>1408760.1879117989</v>
      </c>
      <c r="AI30" s="42">
        <f t="shared" si="2"/>
        <v>108.56584594525769</v>
      </c>
      <c r="AJ30" s="142">
        <v>709.02999999999884</v>
      </c>
      <c r="AK30" s="2">
        <v>7373911.9999999879</v>
      </c>
      <c r="AL30" s="38">
        <f t="shared" si="3"/>
        <v>568.26917815767217</v>
      </c>
      <c r="AM30" s="6"/>
    </row>
    <row r="31" spans="1:39" x14ac:dyDescent="0.35">
      <c r="A31" s="32"/>
      <c r="B31" s="57">
        <v>20</v>
      </c>
      <c r="C31" s="218">
        <v>56</v>
      </c>
      <c r="D31" s="219">
        <v>535</v>
      </c>
      <c r="E31" s="105">
        <v>15920.000000000073</v>
      </c>
      <c r="F31" s="2">
        <v>16489617.600000074</v>
      </c>
      <c r="G31" s="34">
        <v>3359.9999999999</v>
      </c>
      <c r="H31" s="2">
        <v>5220331.1999998447</v>
      </c>
      <c r="I31" s="102">
        <f t="shared" si="4"/>
        <v>21709948.799999919</v>
      </c>
      <c r="J31" s="105">
        <v>1879.9999999991996</v>
      </c>
      <c r="K31" s="2">
        <v>1947266.399999171</v>
      </c>
      <c r="L31" s="184">
        <v>519.99999999998181</v>
      </c>
      <c r="M31" s="185">
        <v>807908.39999997173</v>
      </c>
      <c r="N31" s="93">
        <f t="shared" si="5"/>
        <v>2755174.799999143</v>
      </c>
      <c r="O31" s="107">
        <f t="shared" si="6"/>
        <v>24465123.599999063</v>
      </c>
      <c r="P31" s="110">
        <f t="shared" si="7"/>
        <v>21679.999999999156</v>
      </c>
      <c r="Q31" s="190"/>
      <c r="R31" s="203"/>
      <c r="S31" s="213"/>
      <c r="T31" s="210"/>
      <c r="U31" s="208">
        <v>0</v>
      </c>
      <c r="V31" s="186">
        <f t="shared" si="8"/>
        <v>777.86</v>
      </c>
      <c r="W31" s="2">
        <v>59.63</v>
      </c>
      <c r="X31" s="2">
        <v>1071580.915</v>
      </c>
      <c r="Y31" s="30">
        <v>718.23</v>
      </c>
      <c r="Z31" s="30">
        <v>797202.35219999996</v>
      </c>
      <c r="AA31" s="30">
        <f t="shared" si="0"/>
        <v>1868783.2672000001</v>
      </c>
      <c r="AB31" s="127">
        <f t="shared" si="1"/>
        <v>144.01744032293243</v>
      </c>
      <c r="AC31" s="133">
        <v>147.50535999998124</v>
      </c>
      <c r="AD31" s="2">
        <v>0</v>
      </c>
      <c r="AE31" s="2">
        <v>0</v>
      </c>
      <c r="AF31" s="2">
        <v>24</v>
      </c>
      <c r="AG31" s="2">
        <f t="shared" si="9"/>
        <v>171.50535999998124</v>
      </c>
      <c r="AH31" s="2">
        <v>1860508.218311799</v>
      </c>
      <c r="AI31" s="42">
        <f t="shared" si="2"/>
        <v>143.37972519547867</v>
      </c>
      <c r="AJ31" s="142">
        <v>471.59000000000015</v>
      </c>
      <c r="AK31" s="2">
        <v>4904536.0000000019</v>
      </c>
      <c r="AL31" s="38">
        <f t="shared" si="3"/>
        <v>377.96716884670201</v>
      </c>
      <c r="AM31" s="6"/>
    </row>
    <row r="32" spans="1:39" x14ac:dyDescent="0.35">
      <c r="A32" s="32"/>
      <c r="B32" s="57">
        <v>21</v>
      </c>
      <c r="C32" s="218">
        <v>54</v>
      </c>
      <c r="D32" s="219">
        <v>592</v>
      </c>
      <c r="E32" s="105">
        <v>16079.999999999927</v>
      </c>
      <c r="F32" s="2">
        <v>16655342.399999924</v>
      </c>
      <c r="G32" s="34">
        <v>3480.0000000000182</v>
      </c>
      <c r="H32" s="2">
        <v>5406771.6000000285</v>
      </c>
      <c r="I32" s="102">
        <f t="shared" si="4"/>
        <v>22062113.999999952</v>
      </c>
      <c r="J32" s="105">
        <v>2060.0000000004002</v>
      </c>
      <c r="K32" s="2">
        <v>2133706.8000004143</v>
      </c>
      <c r="L32" s="184">
        <v>480.00000000001819</v>
      </c>
      <c r="M32" s="185">
        <v>745761.60000002827</v>
      </c>
      <c r="N32" s="93">
        <f>+K32+M32</f>
        <v>2879468.4000004428</v>
      </c>
      <c r="O32" s="107">
        <f t="shared" si="6"/>
        <v>24941582.400000393</v>
      </c>
      <c r="P32" s="110">
        <f t="shared" si="7"/>
        <v>22100.000000000364</v>
      </c>
      <c r="Q32" s="189"/>
      <c r="R32" s="201"/>
      <c r="S32" s="213"/>
      <c r="T32" s="210"/>
      <c r="U32" s="208">
        <v>0</v>
      </c>
      <c r="V32" s="186">
        <f t="shared" si="8"/>
        <v>849.94999999999993</v>
      </c>
      <c r="W32" s="2">
        <v>62.300000000000004</v>
      </c>
      <c r="X32" s="2">
        <v>1119562.1500000001</v>
      </c>
      <c r="Y32" s="30">
        <v>787.65</v>
      </c>
      <c r="Z32" s="30">
        <v>1167466.9518000002</v>
      </c>
      <c r="AA32" s="30">
        <f t="shared" si="0"/>
        <v>2287029.1018000003</v>
      </c>
      <c r="AB32" s="127">
        <f t="shared" si="1"/>
        <v>176.24947898789236</v>
      </c>
      <c r="AC32" s="133">
        <v>144.04128000003749</v>
      </c>
      <c r="AD32" s="2">
        <v>0</v>
      </c>
      <c r="AE32" s="2">
        <v>150</v>
      </c>
      <c r="AF32" s="2">
        <v>12</v>
      </c>
      <c r="AG32" s="2">
        <f t="shared" si="9"/>
        <v>306.04128000003749</v>
      </c>
      <c r="AH32" s="2">
        <v>3506367.391776402</v>
      </c>
      <c r="AI32" s="42">
        <f t="shared" si="2"/>
        <v>270.21756105085598</v>
      </c>
      <c r="AJ32" s="142">
        <v>482.87999999999738</v>
      </c>
      <c r="AK32" s="2">
        <v>5021951.999999973</v>
      </c>
      <c r="AL32" s="38">
        <f t="shared" si="3"/>
        <v>387.0158113884824</v>
      </c>
      <c r="AM32" s="6"/>
    </row>
    <row r="33" spans="1:39" x14ac:dyDescent="0.35">
      <c r="A33" s="32"/>
      <c r="B33" s="57">
        <v>22</v>
      </c>
      <c r="C33" s="218">
        <v>57</v>
      </c>
      <c r="D33" s="219">
        <v>524</v>
      </c>
      <c r="E33" s="105">
        <v>16440.000000000509</v>
      </c>
      <c r="F33" s="2">
        <v>17028223.200000528</v>
      </c>
      <c r="G33" s="34">
        <v>3440.0000000000546</v>
      </c>
      <c r="H33" s="2">
        <v>5344624.8000000855</v>
      </c>
      <c r="I33" s="102">
        <f t="shared" si="4"/>
        <v>22372848.000000615</v>
      </c>
      <c r="J33" s="105">
        <v>1960.0000000000364</v>
      </c>
      <c r="K33" s="2">
        <v>2030128.8000000375</v>
      </c>
      <c r="L33" s="184">
        <v>480.00000000001819</v>
      </c>
      <c r="M33" s="185">
        <v>745761.60000002827</v>
      </c>
      <c r="N33" s="93">
        <f t="shared" si="5"/>
        <v>2775890.4000000656</v>
      </c>
      <c r="O33" s="107">
        <f t="shared" si="6"/>
        <v>25148738.40000068</v>
      </c>
      <c r="P33" s="110">
        <f t="shared" si="7"/>
        <v>22320.000000000618</v>
      </c>
      <c r="Q33" s="189"/>
      <c r="R33" s="202"/>
      <c r="S33" s="213"/>
      <c r="T33" s="210"/>
      <c r="U33" s="208">
        <v>0</v>
      </c>
      <c r="V33" s="186">
        <f t="shared" si="8"/>
        <v>795.66000000000008</v>
      </c>
      <c r="W33" s="2">
        <v>85.44</v>
      </c>
      <c r="X33" s="2">
        <v>1535399.52</v>
      </c>
      <c r="Y33" s="30">
        <v>710.22</v>
      </c>
      <c r="Z33" s="30">
        <v>748085.61960000009</v>
      </c>
      <c r="AA33" s="30">
        <f t="shared" si="0"/>
        <v>2283485.1396000003</v>
      </c>
      <c r="AB33" s="127">
        <f t="shared" si="1"/>
        <v>175.97636418982916</v>
      </c>
      <c r="AC33" s="133">
        <v>128.37235999998123</v>
      </c>
      <c r="AD33" s="2">
        <v>0</v>
      </c>
      <c r="AE33" s="2">
        <v>350</v>
      </c>
      <c r="AF33" s="2">
        <v>0</v>
      </c>
      <c r="AG33" s="2">
        <f t="shared" si="9"/>
        <v>478.3723599999812</v>
      </c>
      <c r="AH33" s="2">
        <v>5628869.9322117986</v>
      </c>
      <c r="AI33" s="42">
        <f t="shared" si="2"/>
        <v>433.78783071108467</v>
      </c>
      <c r="AJ33" s="142">
        <v>467.95000000000437</v>
      </c>
      <c r="AK33" s="2">
        <v>4866680.0000000456</v>
      </c>
      <c r="AL33" s="38">
        <f t="shared" si="3"/>
        <v>375.04980313792873</v>
      </c>
      <c r="AM33" s="6"/>
    </row>
    <row r="34" spans="1:39" x14ac:dyDescent="0.35">
      <c r="A34" s="32"/>
      <c r="B34" s="57">
        <v>23</v>
      </c>
      <c r="C34" s="218">
        <v>70</v>
      </c>
      <c r="D34" s="219">
        <v>658</v>
      </c>
      <c r="E34" s="105">
        <v>16479.999999999563</v>
      </c>
      <c r="F34" s="2">
        <v>17069654.399999548</v>
      </c>
      <c r="G34" s="34">
        <v>3480.0000000000182</v>
      </c>
      <c r="H34" s="2">
        <v>5406771.6000000285</v>
      </c>
      <c r="I34" s="102">
        <f t="shared" si="4"/>
        <v>22476425.999999575</v>
      </c>
      <c r="J34" s="105">
        <v>2039.9999999999636</v>
      </c>
      <c r="K34" s="2">
        <v>2112991.1999999625</v>
      </c>
      <c r="L34" s="184">
        <v>519.99999999998181</v>
      </c>
      <c r="M34" s="185">
        <v>807908.39999997173</v>
      </c>
      <c r="N34" s="93">
        <f t="shared" si="5"/>
        <v>2920899.5999999344</v>
      </c>
      <c r="O34" s="107">
        <f t="shared" si="6"/>
        <v>25397325.59999951</v>
      </c>
      <c r="P34" s="110">
        <f t="shared" si="7"/>
        <v>22519.999999999527</v>
      </c>
      <c r="Q34" s="190"/>
      <c r="R34" s="203"/>
      <c r="S34" s="213"/>
      <c r="T34" s="210"/>
      <c r="U34" s="208">
        <v>0</v>
      </c>
      <c r="V34" s="186">
        <f t="shared" si="8"/>
        <v>781.42000000000007</v>
      </c>
      <c r="W34" s="2">
        <v>70.31</v>
      </c>
      <c r="X34" s="2">
        <v>1263505.855</v>
      </c>
      <c r="Y34" s="30">
        <v>711.11</v>
      </c>
      <c r="Z34" s="30">
        <v>1314817.1496000001</v>
      </c>
      <c r="AA34" s="30">
        <f t="shared" si="0"/>
        <v>2578323.0046000001</v>
      </c>
      <c r="AB34" s="127">
        <f t="shared" si="1"/>
        <v>198.69799027287883</v>
      </c>
      <c r="AC34" s="133">
        <v>131.43364000001876</v>
      </c>
      <c r="AD34" s="2">
        <v>0</v>
      </c>
      <c r="AE34" s="2">
        <v>0</v>
      </c>
      <c r="AF34" s="2">
        <v>0</v>
      </c>
      <c r="AG34" s="2">
        <f t="shared" si="9"/>
        <v>131.43364000001876</v>
      </c>
      <c r="AH34" s="2">
        <v>1409192.0579882013</v>
      </c>
      <c r="AI34" s="42">
        <f t="shared" si="2"/>
        <v>108.59912793362263</v>
      </c>
      <c r="AJ34" s="142">
        <v>395.09999999999854</v>
      </c>
      <c r="AK34" s="2">
        <v>4109039.9999999851</v>
      </c>
      <c r="AL34" s="38">
        <f t="shared" si="3"/>
        <v>316.66241525759955</v>
      </c>
      <c r="AM34" s="6"/>
    </row>
    <row r="35" spans="1:39" x14ac:dyDescent="0.35">
      <c r="A35" s="32"/>
      <c r="B35" s="57">
        <v>24</v>
      </c>
      <c r="C35" s="218">
        <v>79</v>
      </c>
      <c r="D35" s="219">
        <v>594</v>
      </c>
      <c r="E35" s="105">
        <v>16239.999999999782</v>
      </c>
      <c r="F35" s="2">
        <v>16821067.199999772</v>
      </c>
      <c r="G35" s="34">
        <v>3519.9999999999818</v>
      </c>
      <c r="H35" s="2">
        <v>5468918.3999999724</v>
      </c>
      <c r="I35" s="102">
        <f t="shared" si="4"/>
        <v>22289985.599999744</v>
      </c>
      <c r="J35" s="105">
        <v>1800.0000000001819</v>
      </c>
      <c r="K35" s="2">
        <v>1864404.0000001884</v>
      </c>
      <c r="L35" s="184">
        <v>480.00000000001819</v>
      </c>
      <c r="M35" s="185">
        <v>745761.60000002827</v>
      </c>
      <c r="N35" s="93">
        <f t="shared" si="5"/>
        <v>2610165.6000002166</v>
      </c>
      <c r="O35" s="107">
        <f t="shared" si="6"/>
        <v>24900151.199999962</v>
      </c>
      <c r="P35" s="110">
        <f t="shared" si="7"/>
        <v>22039.999999999964</v>
      </c>
      <c r="Q35" s="189"/>
      <c r="R35" s="201"/>
      <c r="S35" s="213"/>
      <c r="T35" s="210"/>
      <c r="U35" s="208">
        <v>0</v>
      </c>
      <c r="V35" s="186">
        <f t="shared" si="8"/>
        <v>728.02</v>
      </c>
      <c r="W35" s="2">
        <v>81.88</v>
      </c>
      <c r="X35" s="2">
        <v>1471424.5399999998</v>
      </c>
      <c r="Y35" s="30">
        <v>646.14</v>
      </c>
      <c r="Z35" s="30">
        <v>948330.76020000014</v>
      </c>
      <c r="AA35" s="30">
        <f t="shared" si="0"/>
        <v>2419755.3001999999</v>
      </c>
      <c r="AB35" s="127">
        <f t="shared" si="1"/>
        <v>186.47799916615867</v>
      </c>
      <c r="AC35" s="133">
        <v>127.40564000001875</v>
      </c>
      <c r="AD35" s="2">
        <v>0</v>
      </c>
      <c r="AE35" s="2">
        <v>0</v>
      </c>
      <c r="AF35" s="2">
        <v>48</v>
      </c>
      <c r="AG35" s="2">
        <f t="shared" si="9"/>
        <v>175.40564000001876</v>
      </c>
      <c r="AH35" s="2">
        <v>1924005.0503882011</v>
      </c>
      <c r="AI35" s="42">
        <f t="shared" si="2"/>
        <v>148.27309693352936</v>
      </c>
      <c r="AJ35" s="142">
        <v>503.55000000000291</v>
      </c>
      <c r="AK35" s="2">
        <v>5236920.0000000298</v>
      </c>
      <c r="AL35" s="38">
        <f t="shared" si="3"/>
        <v>403.58228094904013</v>
      </c>
      <c r="AM35" s="6"/>
    </row>
    <row r="36" spans="1:39" x14ac:dyDescent="0.35">
      <c r="A36" s="32"/>
      <c r="B36" s="57">
        <v>25</v>
      </c>
      <c r="C36" s="218">
        <v>76</v>
      </c>
      <c r="D36" s="219">
        <v>596</v>
      </c>
      <c r="E36" s="105">
        <v>17079.999999999927</v>
      </c>
      <c r="F36" s="2">
        <v>17691122.399999924</v>
      </c>
      <c r="G36" s="34">
        <v>3720.0000000000273</v>
      </c>
      <c r="H36" s="2">
        <v>5779652.4000000423</v>
      </c>
      <c r="I36" s="102">
        <f t="shared" si="4"/>
        <v>23470774.799999967</v>
      </c>
      <c r="J36" s="105">
        <v>1859.9999999996726</v>
      </c>
      <c r="K36" s="2">
        <v>1926550.7999996608</v>
      </c>
      <c r="L36" s="184">
        <v>419.99999999984539</v>
      </c>
      <c r="M36" s="185">
        <v>652541.39999975986</v>
      </c>
      <c r="N36" s="93">
        <f t="shared" si="5"/>
        <v>2579092.1999994209</v>
      </c>
      <c r="O36" s="107">
        <f t="shared" si="6"/>
        <v>26049866.999999389</v>
      </c>
      <c r="P36" s="110">
        <f t="shared" si="7"/>
        <v>23079.999999999472</v>
      </c>
      <c r="Q36" s="189"/>
      <c r="R36" s="201"/>
      <c r="S36" s="213"/>
      <c r="T36" s="210"/>
      <c r="U36" s="208">
        <v>0</v>
      </c>
      <c r="V36" s="186">
        <f t="shared" si="8"/>
        <v>849.95</v>
      </c>
      <c r="W36" s="2">
        <v>66.75</v>
      </c>
      <c r="X36" s="2">
        <v>1199530.875</v>
      </c>
      <c r="Y36" s="30">
        <v>783.2</v>
      </c>
      <c r="Z36" s="30">
        <v>1152354.111</v>
      </c>
      <c r="AA36" s="30">
        <f t="shared" si="0"/>
        <v>2351884.986</v>
      </c>
      <c r="AB36" s="127">
        <f t="shared" si="1"/>
        <v>181.24758582901322</v>
      </c>
      <c r="AC36" s="133">
        <v>156.20583999999531</v>
      </c>
      <c r="AD36" s="2">
        <v>0</v>
      </c>
      <c r="AE36" s="2">
        <v>0</v>
      </c>
      <c r="AF36" s="2">
        <v>12</v>
      </c>
      <c r="AG36" s="2">
        <f t="shared" si="9"/>
        <v>168.20583999999531</v>
      </c>
      <c r="AH36" s="2">
        <v>1814292.1547279498</v>
      </c>
      <c r="AI36" s="42">
        <f t="shared" si="2"/>
        <v>139.81809271729387</v>
      </c>
      <c r="AJ36" s="142">
        <v>413.69999999999709</v>
      </c>
      <c r="AK36" s="2">
        <v>4302479.9999999702</v>
      </c>
      <c r="AL36" s="38">
        <f t="shared" si="3"/>
        <v>331.56983343980892</v>
      </c>
      <c r="AM36" s="6"/>
    </row>
    <row r="37" spans="1:39" x14ac:dyDescent="0.35">
      <c r="A37" s="32"/>
      <c r="B37" s="57">
        <v>26</v>
      </c>
      <c r="C37" s="218">
        <v>91</v>
      </c>
      <c r="D37" s="219">
        <v>592</v>
      </c>
      <c r="E37" s="105">
        <v>16480.000000000473</v>
      </c>
      <c r="F37" s="2">
        <v>17069654.40000049</v>
      </c>
      <c r="G37" s="34">
        <v>3519.9999999999818</v>
      </c>
      <c r="H37" s="2">
        <v>5468918.3999999724</v>
      </c>
      <c r="I37" s="102">
        <f t="shared" si="4"/>
        <v>22538572.800000463</v>
      </c>
      <c r="J37" s="105">
        <v>1920.0000000000728</v>
      </c>
      <c r="K37" s="2">
        <v>1988697.6000000753</v>
      </c>
      <c r="L37" s="184">
        <v>480.00000000001819</v>
      </c>
      <c r="M37" s="185">
        <v>745761.60000002827</v>
      </c>
      <c r="N37" s="93">
        <f t="shared" si="5"/>
        <v>2734459.2000001036</v>
      </c>
      <c r="O37" s="107">
        <f t="shared" si="6"/>
        <v>25273032.000000566</v>
      </c>
      <c r="P37" s="110">
        <f t="shared" si="7"/>
        <v>22400.000000000546</v>
      </c>
      <c r="Q37" s="189"/>
      <c r="R37" s="201"/>
      <c r="S37" s="213"/>
      <c r="T37" s="210"/>
      <c r="U37" s="208">
        <v>0</v>
      </c>
      <c r="V37" s="186">
        <f t="shared" si="8"/>
        <v>813.46</v>
      </c>
      <c r="W37" s="2">
        <v>80.989999999999995</v>
      </c>
      <c r="X37" s="2">
        <v>1455430.7949999999</v>
      </c>
      <c r="Y37" s="30">
        <v>732.47</v>
      </c>
      <c r="Z37" s="30">
        <v>1088124.5376000002</v>
      </c>
      <c r="AA37" s="30">
        <f t="shared" si="0"/>
        <v>2543555.3326000003</v>
      </c>
      <c r="AB37" s="127">
        <f t="shared" si="1"/>
        <v>196.01862599596646</v>
      </c>
      <c r="AC37" s="133">
        <v>166.5577999999648</v>
      </c>
      <c r="AD37" s="2">
        <v>0</v>
      </c>
      <c r="AE37" s="2">
        <v>0</v>
      </c>
      <c r="AF37" s="2">
        <v>12</v>
      </c>
      <c r="AG37" s="2">
        <f t="shared" si="9"/>
        <v>178.5577999999648</v>
      </c>
      <c r="AH37" s="2">
        <v>1925282.7642596227</v>
      </c>
      <c r="AI37" s="42">
        <f t="shared" si="2"/>
        <v>148.37156371908816</v>
      </c>
      <c r="AJ37" s="142">
        <v>608.17000000000553</v>
      </c>
      <c r="AK37" s="2">
        <v>6324968.0000000577</v>
      </c>
      <c r="AL37" s="38">
        <f t="shared" si="3"/>
        <v>487.43250085349729</v>
      </c>
      <c r="AM37" s="6"/>
    </row>
    <row r="38" spans="1:39" x14ac:dyDescent="0.35">
      <c r="A38" s="32"/>
      <c r="B38" s="57">
        <v>27</v>
      </c>
      <c r="C38" s="218">
        <v>90</v>
      </c>
      <c r="D38" s="219">
        <v>687</v>
      </c>
      <c r="E38" s="105">
        <v>16760.000000000218</v>
      </c>
      <c r="F38" s="2">
        <v>17359672.800000224</v>
      </c>
      <c r="G38" s="34">
        <v>3400.0000000000909</v>
      </c>
      <c r="H38" s="2">
        <v>5282478.0000001416</v>
      </c>
      <c r="I38" s="102">
        <f t="shared" si="4"/>
        <v>22642150.800000366</v>
      </c>
      <c r="J38" s="105">
        <v>1800.0000000001819</v>
      </c>
      <c r="K38" s="2">
        <v>1864404.0000001884</v>
      </c>
      <c r="L38" s="184">
        <v>440.00000000005457</v>
      </c>
      <c r="M38" s="185">
        <v>683614.8000000848</v>
      </c>
      <c r="N38" s="93">
        <f t="shared" si="5"/>
        <v>2548018.8000002732</v>
      </c>
      <c r="O38" s="107">
        <f t="shared" si="6"/>
        <v>25190169.600000639</v>
      </c>
      <c r="P38" s="110">
        <f t="shared" si="7"/>
        <v>22400.000000000546</v>
      </c>
      <c r="Q38" s="189"/>
      <c r="R38" s="201"/>
      <c r="S38" s="213"/>
      <c r="T38" s="210"/>
      <c r="U38" s="208">
        <v>0</v>
      </c>
      <c r="V38" s="186">
        <f t="shared" si="8"/>
        <v>752.05</v>
      </c>
      <c r="W38" s="2">
        <v>58.74</v>
      </c>
      <c r="X38" s="2">
        <v>1055587.17</v>
      </c>
      <c r="Y38" s="30">
        <v>693.31</v>
      </c>
      <c r="Z38" s="30">
        <v>1190136.2130000002</v>
      </c>
      <c r="AA38" s="30">
        <f t="shared" si="0"/>
        <v>2245723.3830000004</v>
      </c>
      <c r="AB38" s="127">
        <f t="shared" si="1"/>
        <v>173.06626133141805</v>
      </c>
      <c r="AC38" s="133">
        <v>149.80132000000935</v>
      </c>
      <c r="AD38" s="2">
        <v>0</v>
      </c>
      <c r="AE38" s="2">
        <v>400</v>
      </c>
      <c r="AF38" s="2">
        <v>12</v>
      </c>
      <c r="AG38" s="2">
        <f t="shared" si="9"/>
        <v>561.80132000000935</v>
      </c>
      <c r="AH38" s="2">
        <v>6605624.8126441007</v>
      </c>
      <c r="AI38" s="42">
        <f t="shared" si="2"/>
        <v>509.06126673320705</v>
      </c>
      <c r="AJ38" s="142">
        <v>700.87999999999738</v>
      </c>
      <c r="AK38" s="2">
        <v>7289151.999999973</v>
      </c>
      <c r="AL38" s="38">
        <f t="shared" si="3"/>
        <v>561.73716427675618</v>
      </c>
      <c r="AM38" s="6"/>
    </row>
    <row r="39" spans="1:39" x14ac:dyDescent="0.35">
      <c r="A39" s="32"/>
      <c r="B39" s="57">
        <v>28</v>
      </c>
      <c r="C39" s="218">
        <v>66</v>
      </c>
      <c r="D39" s="219">
        <v>624</v>
      </c>
      <c r="E39" s="105">
        <v>15799.999999999272</v>
      </c>
      <c r="F39" s="2">
        <v>16365323.999999246</v>
      </c>
      <c r="G39" s="34">
        <v>3399.9999999998636</v>
      </c>
      <c r="H39" s="2">
        <v>5282477.9999997886</v>
      </c>
      <c r="I39" s="102">
        <f t="shared" si="4"/>
        <v>21647801.999999035</v>
      </c>
      <c r="J39" s="105">
        <v>1739.9999999997817</v>
      </c>
      <c r="K39" s="2">
        <v>1802257.1999997739</v>
      </c>
      <c r="L39" s="184">
        <v>460.00000000003638</v>
      </c>
      <c r="M39" s="185">
        <v>714688.20000005653</v>
      </c>
      <c r="N39" s="93">
        <f t="shared" si="5"/>
        <v>2516945.3999998304</v>
      </c>
      <c r="O39" s="107">
        <f t="shared" si="6"/>
        <v>24164747.399998866</v>
      </c>
      <c r="P39" s="110">
        <f t="shared" si="7"/>
        <v>21399.999999998952</v>
      </c>
      <c r="Q39" s="189"/>
      <c r="R39" s="204"/>
      <c r="S39" s="213"/>
      <c r="T39" s="210"/>
      <c r="U39" s="208">
        <v>0</v>
      </c>
      <c r="V39" s="186">
        <f t="shared" si="8"/>
        <v>800.11000000000013</v>
      </c>
      <c r="W39" s="2">
        <v>70.31</v>
      </c>
      <c r="X39" s="2">
        <v>1263505.855</v>
      </c>
      <c r="Y39" s="30">
        <v>729.80000000000007</v>
      </c>
      <c r="Z39" s="30">
        <v>816093.40320000006</v>
      </c>
      <c r="AA39" s="30">
        <f t="shared" si="0"/>
        <v>2079599.2582</v>
      </c>
      <c r="AB39" s="127">
        <f t="shared" si="1"/>
        <v>160.26393607011047</v>
      </c>
      <c r="AC39" s="133">
        <v>154.27240000001171</v>
      </c>
      <c r="AD39" s="2">
        <v>0</v>
      </c>
      <c r="AE39" s="2">
        <v>0</v>
      </c>
      <c r="AF39" s="2">
        <v>12</v>
      </c>
      <c r="AG39" s="2">
        <f t="shared" si="9"/>
        <v>166.27240000001171</v>
      </c>
      <c r="AH39" s="2">
        <v>1793562.3910801257</v>
      </c>
      <c r="AI39" s="42">
        <f t="shared" si="2"/>
        <v>138.22055727727889</v>
      </c>
      <c r="AJ39" s="142">
        <v>542.30000000000291</v>
      </c>
      <c r="AK39" s="2">
        <v>5639920.0000000298</v>
      </c>
      <c r="AL39" s="38">
        <f t="shared" si="3"/>
        <v>434.63940216197864</v>
      </c>
      <c r="AM39" s="6"/>
    </row>
    <row r="40" spans="1:39" x14ac:dyDescent="0.35">
      <c r="A40" s="32"/>
      <c r="B40" s="57">
        <v>29</v>
      </c>
      <c r="C40" s="218">
        <v>68</v>
      </c>
      <c r="D40" s="219">
        <v>722</v>
      </c>
      <c r="E40" s="105">
        <v>15200.000000000728</v>
      </c>
      <c r="F40" s="2">
        <v>15743856.000000753</v>
      </c>
      <c r="G40" s="34">
        <v>3240.0000000000091</v>
      </c>
      <c r="H40" s="2">
        <v>5033890.8000000147</v>
      </c>
      <c r="I40" s="102">
        <f t="shared" si="4"/>
        <v>20777746.800000768</v>
      </c>
      <c r="J40" s="105">
        <v>1800.0000000001819</v>
      </c>
      <c r="K40" s="2">
        <v>1864404.0000001884</v>
      </c>
      <c r="L40" s="184">
        <v>440.00000000005457</v>
      </c>
      <c r="M40" s="185">
        <v>683614.8000000848</v>
      </c>
      <c r="N40" s="93">
        <f t="shared" si="5"/>
        <v>2548018.8000002732</v>
      </c>
      <c r="O40" s="107">
        <f t="shared" ref="O40:O41" si="10">N40+I40</f>
        <v>23325765.600001041</v>
      </c>
      <c r="P40" s="110">
        <f t="shared" ref="P40:P41" si="11">L40+J40+G40+E40</f>
        <v>20680.000000000975</v>
      </c>
      <c r="Q40" s="190"/>
      <c r="R40" s="205"/>
      <c r="S40" s="213"/>
      <c r="T40" s="210"/>
      <c r="U40" s="208">
        <v>0</v>
      </c>
      <c r="V40" s="186">
        <f t="shared" si="8"/>
        <v>478.82000000000005</v>
      </c>
      <c r="W40" s="2">
        <v>54.29</v>
      </c>
      <c r="X40" s="2">
        <v>975618.44499999995</v>
      </c>
      <c r="Y40" s="30">
        <v>424.53000000000003</v>
      </c>
      <c r="Z40" s="30">
        <v>1635965.0166000002</v>
      </c>
      <c r="AA40" s="30">
        <f t="shared" ref="AA40:AA41" si="12">Z40+X40</f>
        <v>2611583.4616</v>
      </c>
      <c r="AB40" s="127">
        <f t="shared" ref="AB40:AB41" si="13">AA40/$AL$48</f>
        <v>201.2612013017789</v>
      </c>
      <c r="AC40" s="133">
        <v>167.2828399999953</v>
      </c>
      <c r="AD40" s="2">
        <v>0</v>
      </c>
      <c r="AE40" s="2">
        <v>0</v>
      </c>
      <c r="AF40" s="2">
        <v>36</v>
      </c>
      <c r="AG40" s="2">
        <f t="shared" si="9"/>
        <v>203.2828399999953</v>
      </c>
      <c r="AH40" s="2">
        <v>2212056.4256279496</v>
      </c>
      <c r="AI40" s="42">
        <f t="shared" ref="AI40:AI41" si="14">AH40/$AL$48</f>
        <v>170.47172342577383</v>
      </c>
      <c r="AJ40" s="142">
        <v>558.69999999999709</v>
      </c>
      <c r="AK40" s="2">
        <v>5810479.9999999702</v>
      </c>
      <c r="AL40" s="38">
        <f t="shared" si="3"/>
        <v>447.78357733338549</v>
      </c>
      <c r="AM40" s="6"/>
    </row>
    <row r="41" spans="1:39" ht="17.25" customHeight="1" x14ac:dyDescent="0.35">
      <c r="A41" s="32"/>
      <c r="B41" s="57">
        <v>30</v>
      </c>
      <c r="C41" s="218">
        <v>71</v>
      </c>
      <c r="D41" s="219">
        <v>707</v>
      </c>
      <c r="E41" s="105">
        <v>15639.999999999418</v>
      </c>
      <c r="F41" s="2">
        <v>16199599.199999396</v>
      </c>
      <c r="G41" s="34">
        <v>3279.9999999999727</v>
      </c>
      <c r="H41" s="2">
        <v>5096037.5999999577</v>
      </c>
      <c r="I41" s="102">
        <f t="shared" si="4"/>
        <v>21295636.799999353</v>
      </c>
      <c r="J41" s="105">
        <v>1859.9999999996726</v>
      </c>
      <c r="K41" s="2">
        <v>1926550.7999996608</v>
      </c>
      <c r="L41" s="184">
        <v>439.9999999998272</v>
      </c>
      <c r="M41" s="185">
        <v>683614.79999973159</v>
      </c>
      <c r="N41" s="93">
        <f t="shared" si="5"/>
        <v>2610165.5999993924</v>
      </c>
      <c r="O41" s="107">
        <f t="shared" si="10"/>
        <v>23905802.399998747</v>
      </c>
      <c r="P41" s="110">
        <f t="shared" si="11"/>
        <v>21219.99999999889</v>
      </c>
      <c r="Q41" s="189"/>
      <c r="R41" s="206"/>
      <c r="S41" s="213"/>
      <c r="T41" s="210"/>
      <c r="U41" s="208">
        <v>0</v>
      </c>
      <c r="V41" s="186">
        <f t="shared" si="8"/>
        <v>1100.04</v>
      </c>
      <c r="W41" s="2">
        <v>52.51</v>
      </c>
      <c r="X41" s="2">
        <v>943630.95499999996</v>
      </c>
      <c r="Y41" s="30">
        <v>1047.53</v>
      </c>
      <c r="Z41" s="30">
        <v>1069233.4866000002</v>
      </c>
      <c r="AA41" s="30">
        <f t="shared" si="12"/>
        <v>2012864.4416</v>
      </c>
      <c r="AB41" s="127">
        <f t="shared" si="13"/>
        <v>155.12102964760572</v>
      </c>
      <c r="AC41" s="133">
        <v>138.28124000000702</v>
      </c>
      <c r="AD41" s="2">
        <v>0</v>
      </c>
      <c r="AE41" s="2">
        <v>0</v>
      </c>
      <c r="AF41" s="2">
        <v>0</v>
      </c>
      <c r="AG41" s="2">
        <f t="shared" si="9"/>
        <v>138.28124000000702</v>
      </c>
      <c r="AH41" s="2">
        <v>1482609.9709080753</v>
      </c>
      <c r="AI41" s="42">
        <f t="shared" si="14"/>
        <v>114.25706595038069</v>
      </c>
      <c r="AJ41" s="142">
        <v>551.52000000000407</v>
      </c>
      <c r="AK41" s="2">
        <v>5735808.0000000428</v>
      </c>
      <c r="AL41" s="38">
        <f t="shared" si="3"/>
        <v>442.02899332541949</v>
      </c>
      <c r="AM41" s="6"/>
    </row>
    <row r="42" spans="1:39" x14ac:dyDescent="0.35">
      <c r="A42" s="32"/>
      <c r="B42" s="57"/>
      <c r="C42" s="173"/>
      <c r="D42" s="174"/>
      <c r="E42" s="105"/>
      <c r="F42" s="2"/>
      <c r="G42" s="34"/>
      <c r="H42" s="2"/>
      <c r="I42" s="102"/>
      <c r="J42" s="105"/>
      <c r="K42" s="2"/>
      <c r="L42" s="184"/>
      <c r="M42" s="185"/>
      <c r="N42" s="93"/>
      <c r="O42" s="107"/>
      <c r="P42" s="110"/>
      <c r="Q42" s="189"/>
      <c r="R42" s="206"/>
      <c r="S42" s="213"/>
      <c r="T42" s="210"/>
      <c r="U42" s="208"/>
      <c r="V42" s="186"/>
      <c r="W42" s="2"/>
      <c r="X42" s="2"/>
      <c r="Y42" s="30"/>
      <c r="Z42" s="30"/>
      <c r="AA42" s="30"/>
      <c r="AB42" s="127"/>
      <c r="AC42" s="133"/>
      <c r="AD42" s="2"/>
      <c r="AE42" s="2"/>
      <c r="AF42" s="2"/>
      <c r="AG42" s="2"/>
      <c r="AH42" s="2"/>
      <c r="AI42" s="42"/>
      <c r="AJ42" s="142"/>
      <c r="AK42" s="2"/>
      <c r="AL42" s="38"/>
      <c r="AM42" s="6"/>
    </row>
    <row r="43" spans="1:39" ht="16" thickBot="1" x14ac:dyDescent="0.4">
      <c r="A43" s="32"/>
      <c r="B43" s="121"/>
      <c r="C43" s="149"/>
      <c r="D43" s="150"/>
      <c r="E43" s="103"/>
      <c r="F43" s="103"/>
      <c r="G43" s="94"/>
      <c r="H43" s="95"/>
      <c r="I43" s="104"/>
      <c r="J43" s="106"/>
      <c r="K43" s="94"/>
      <c r="L43" s="95"/>
      <c r="M43" s="96"/>
      <c r="N43" s="97"/>
      <c r="O43" s="108"/>
      <c r="P43" s="111"/>
      <c r="Q43" s="175"/>
      <c r="R43" s="207"/>
      <c r="S43" s="214"/>
      <c r="T43" s="214"/>
      <c r="U43" s="209"/>
      <c r="V43" s="186"/>
      <c r="W43" s="2"/>
      <c r="X43" s="2"/>
      <c r="Y43" s="30"/>
      <c r="Z43" s="30"/>
      <c r="AA43" s="16"/>
      <c r="AB43" s="128"/>
      <c r="AC43" s="126"/>
      <c r="AD43" s="2"/>
      <c r="AE43" s="1"/>
      <c r="AF43" s="1"/>
      <c r="AG43" s="1"/>
      <c r="AH43" s="2"/>
      <c r="AI43" s="42"/>
      <c r="AJ43" s="142"/>
      <c r="AK43" s="2"/>
      <c r="AL43" s="38"/>
      <c r="AM43" s="6"/>
    </row>
    <row r="44" spans="1:39" s="7" customFormat="1" ht="4.5" customHeight="1" x14ac:dyDescent="0.35">
      <c r="B44" s="116"/>
      <c r="C44" s="117"/>
      <c r="D44" s="117"/>
      <c r="E44" s="115"/>
      <c r="F44" s="6"/>
      <c r="H44" s="6"/>
      <c r="L44" s="6"/>
      <c r="M44" s="61"/>
      <c r="N44" s="65"/>
      <c r="P44" s="65"/>
      <c r="R44" s="85"/>
      <c r="S44" s="6"/>
      <c r="U44" s="31"/>
      <c r="V44" s="129"/>
      <c r="AB44" s="31"/>
      <c r="AD44" s="6"/>
      <c r="AJ44" s="85"/>
      <c r="AL44" s="31"/>
    </row>
    <row r="45" spans="1:39" s="7" customFormat="1" ht="6" customHeight="1" x14ac:dyDescent="0.35">
      <c r="B45" s="116"/>
      <c r="C45" s="117"/>
      <c r="D45" s="117"/>
      <c r="E45" s="115"/>
      <c r="F45" s="6"/>
      <c r="H45" s="6"/>
      <c r="L45" s="6"/>
      <c r="M45" s="61"/>
      <c r="N45" s="65"/>
      <c r="P45" s="65"/>
      <c r="R45" s="85"/>
      <c r="S45" s="14"/>
      <c r="T45" s="14"/>
      <c r="U45" s="31"/>
      <c r="V45" s="129"/>
      <c r="AB45" s="130"/>
      <c r="AD45" s="6"/>
      <c r="AH45" s="6"/>
      <c r="AJ45" s="87"/>
      <c r="AK45" s="4"/>
      <c r="AL45" s="39"/>
    </row>
    <row r="46" spans="1:39" s="7" customFormat="1" ht="16" thickBot="1" x14ac:dyDescent="0.4">
      <c r="B46" s="118"/>
      <c r="C46" s="119"/>
      <c r="D46" s="119"/>
      <c r="E46" s="120"/>
      <c r="F46" s="71"/>
      <c r="G46" s="70"/>
      <c r="H46" s="71"/>
      <c r="I46" s="70"/>
      <c r="J46" s="70"/>
      <c r="K46" s="70"/>
      <c r="L46" s="71"/>
      <c r="M46" s="72"/>
      <c r="N46" s="73"/>
      <c r="O46" s="70"/>
      <c r="P46" s="73"/>
      <c r="Q46" s="70"/>
      <c r="R46" s="86"/>
      <c r="S46" s="74"/>
      <c r="T46" s="70"/>
      <c r="U46" s="187"/>
      <c r="V46" s="131"/>
      <c r="W46" s="76"/>
      <c r="X46" s="70"/>
      <c r="Y46" s="70"/>
      <c r="Z46" s="70"/>
      <c r="AA46" s="70"/>
      <c r="AB46" s="75"/>
      <c r="AC46" s="77"/>
      <c r="AD46" s="71"/>
      <c r="AE46" s="77"/>
      <c r="AF46" s="77"/>
      <c r="AG46" s="77"/>
      <c r="AH46" s="71"/>
      <c r="AI46" s="70"/>
      <c r="AJ46" s="143"/>
      <c r="AK46" s="78"/>
      <c r="AL46" s="79"/>
    </row>
    <row r="47" spans="1:39" ht="16.5" thickTop="1" thickBot="1" x14ac:dyDescent="0.4">
      <c r="A47" s="24"/>
      <c r="B47" s="68"/>
      <c r="C47" s="69">
        <f>SUM(C12:C43)</f>
        <v>1947</v>
      </c>
      <c r="D47" s="69">
        <f>SUM(D12:D43)</f>
        <v>16256</v>
      </c>
      <c r="E47" s="69">
        <f>SUM(E12:E43)</f>
        <v>497759.9999999993</v>
      </c>
      <c r="F47" s="69">
        <f>SUM(F12:F43)</f>
        <v>515569852.79999924</v>
      </c>
      <c r="G47" s="69">
        <f>SUM(G12:G43)</f>
        <v>104119.99999999991</v>
      </c>
      <c r="H47" s="69">
        <f t="shared" ref="H47:O47" si="15">SUM(H12:H43)</f>
        <v>161768120.39999986</v>
      </c>
      <c r="I47" s="69">
        <f t="shared" si="15"/>
        <v>677337973.19999897</v>
      </c>
      <c r="J47" s="69">
        <f t="shared" si="15"/>
        <v>60939.9999999996</v>
      </c>
      <c r="K47" s="69">
        <f t="shared" si="15"/>
        <v>63120433.199999578</v>
      </c>
      <c r="L47" s="69">
        <f t="shared" si="15"/>
        <v>14859.9999999999</v>
      </c>
      <c r="M47" s="69">
        <f t="shared" si="15"/>
        <v>23087536.199999847</v>
      </c>
      <c r="N47" s="69">
        <f t="shared" si="15"/>
        <v>86207969.399999455</v>
      </c>
      <c r="O47" s="69">
        <f t="shared" si="15"/>
        <v>763545942.59999871</v>
      </c>
      <c r="P47" s="81">
        <f>SUM(P12:P43)</f>
        <v>677679.99999999872</v>
      </c>
      <c r="Q47" s="188" t="e">
        <f>+#REF!</f>
        <v>#REF!</v>
      </c>
      <c r="R47" s="122" t="e">
        <f>+#REF!</f>
        <v>#REF!</v>
      </c>
      <c r="S47" s="114" t="e">
        <f>Q47+P47</f>
        <v>#REF!</v>
      </c>
      <c r="T47" s="114" t="e">
        <f>R47+O47</f>
        <v>#REF!</v>
      </c>
      <c r="U47" s="136" t="e">
        <f>T47/AL48</f>
        <v>#REF!</v>
      </c>
      <c r="V47" s="176">
        <f>SUM(V12:V42)</f>
        <v>23172.040000000005</v>
      </c>
      <c r="W47" s="51">
        <f>SUM(W12:W42)</f>
        <v>2511.58</v>
      </c>
      <c r="X47" s="51">
        <f t="shared" ref="X47:Z47" si="16">SUM(X12:X42)</f>
        <v>45134348.390000001</v>
      </c>
      <c r="Y47" s="51">
        <f t="shared" si="16"/>
        <v>20660.46</v>
      </c>
      <c r="Z47" s="51">
        <f t="shared" si="16"/>
        <v>37151140.896600001</v>
      </c>
      <c r="AA47" s="135">
        <f>SUM(AA12:AA42)</f>
        <v>82285489.286600009</v>
      </c>
      <c r="AB47" s="123">
        <f>AA47/$AL$48</f>
        <v>6341.3161658558165</v>
      </c>
      <c r="AC47" s="43">
        <f>SUM(AC12:AC41)</f>
        <v>4215.5436799999907</v>
      </c>
      <c r="AD47" s="137">
        <f>SUM(AD12:AD41)</f>
        <v>0</v>
      </c>
      <c r="AE47" s="43">
        <f>SUM(AE12:AE42)</f>
        <v>2200</v>
      </c>
      <c r="AF47" s="43">
        <f>SUM(AF12:AF42)</f>
        <v>420</v>
      </c>
      <c r="AG47" s="212">
        <f>SUM(AG12:AG42)</f>
        <v>6835.5436799999898</v>
      </c>
      <c r="AH47" s="146">
        <f>SUM(AH12:AH43)</f>
        <v>76810294.673855916</v>
      </c>
      <c r="AI47" s="147">
        <f>AH47/$AL$48</f>
        <v>5919.3712955024139</v>
      </c>
      <c r="AJ47" s="211">
        <f>SUM(AJ12:AJ43)</f>
        <v>15581.80000000001</v>
      </c>
      <c r="AK47" s="144">
        <f>SUM(AK12:AK43)</f>
        <v>162050720.00000006</v>
      </c>
      <c r="AL47" s="145">
        <f>AK47/AL48</f>
        <v>12488.409066213324</v>
      </c>
      <c r="AM47" s="24"/>
    </row>
    <row r="48" spans="1:39" x14ac:dyDescent="0.3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2"/>
      <c r="N48" s="66"/>
      <c r="O48" s="9"/>
      <c r="P48" s="66"/>
      <c r="Q48" s="9"/>
      <c r="R48" s="113"/>
      <c r="S48" s="13"/>
      <c r="T48" s="80" t="s">
        <v>52</v>
      </c>
      <c r="U48" s="151" t="e">
        <f>U47/S47</f>
        <v>#REF!</v>
      </c>
      <c r="V48" s="191" t="s">
        <v>53</v>
      </c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7"/>
      <c r="AK48" s="10"/>
      <c r="AL48" s="148">
        <v>12976.09</v>
      </c>
      <c r="AM48" s="24"/>
    </row>
    <row r="49" spans="1:39" x14ac:dyDescent="0.3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2"/>
      <c r="N49" s="66"/>
      <c r="O49" s="9"/>
      <c r="P49" s="66"/>
      <c r="Q49" s="9"/>
      <c r="R49" s="113"/>
      <c r="S49" s="13"/>
      <c r="T49" s="80"/>
      <c r="U49" s="151"/>
      <c r="V49" s="191"/>
      <c r="W49" s="10"/>
      <c r="X49" s="216"/>
      <c r="Y49" s="138"/>
      <c r="Z49" s="10"/>
      <c r="AA49" s="10"/>
      <c r="AB49" s="10"/>
      <c r="AC49" s="14"/>
      <c r="AD49" s="6"/>
      <c r="AE49" s="14"/>
      <c r="AF49" s="14"/>
      <c r="AG49" s="6"/>
      <c r="AH49" s="4"/>
      <c r="AI49" s="10"/>
      <c r="AJ49" s="87"/>
      <c r="AK49" s="10"/>
      <c r="AL49" s="148"/>
      <c r="AM49" s="24"/>
    </row>
    <row r="50" spans="1:39" x14ac:dyDescent="0.35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2"/>
      <c r="N50" s="66"/>
      <c r="O50" s="9"/>
      <c r="P50" s="66"/>
      <c r="Q50" s="9"/>
      <c r="R50" s="113"/>
      <c r="S50" s="13"/>
      <c r="T50" s="80"/>
      <c r="U50" s="151"/>
      <c r="V50" s="191"/>
      <c r="W50" s="217">
        <f>W47/V47</f>
        <v>0.10838838531264401</v>
      </c>
      <c r="X50" s="10"/>
      <c r="Y50" s="138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7"/>
      <c r="AK50" s="10"/>
      <c r="AL50" s="148"/>
      <c r="AM50" s="24"/>
    </row>
    <row r="51" spans="1:39" s="194" customFormat="1" x14ac:dyDescent="0.35">
      <c r="A51" s="192"/>
      <c r="B51" s="192"/>
      <c r="C51" s="193"/>
      <c r="E51" s="193"/>
      <c r="F51" s="193"/>
      <c r="H51" s="193"/>
      <c r="L51" s="193"/>
      <c r="M51" s="195"/>
      <c r="N51" s="196"/>
      <c r="P51" s="196"/>
      <c r="R51" s="197"/>
      <c r="T51" s="215"/>
      <c r="AD51" s="193"/>
      <c r="AH51" s="193"/>
      <c r="AJ51" s="197"/>
      <c r="AL51" s="198"/>
      <c r="AM51" s="192"/>
    </row>
    <row r="52" spans="1:39" s="194" customFormat="1" x14ac:dyDescent="0.35">
      <c r="A52" s="192"/>
      <c r="B52" s="192"/>
      <c r="C52" s="193"/>
      <c r="E52" s="193"/>
      <c r="F52" s="193"/>
      <c r="H52" s="193"/>
      <c r="L52" s="193"/>
      <c r="M52" s="195"/>
      <c r="N52" s="196"/>
      <c r="P52" s="196"/>
      <c r="R52" s="197"/>
      <c r="AD52" s="193"/>
      <c r="AH52" s="193"/>
      <c r="AJ52" s="197"/>
      <c r="AL52" s="198"/>
      <c r="AM52" s="192"/>
    </row>
    <row r="53" spans="1:39" s="194" customFormat="1" x14ac:dyDescent="0.35">
      <c r="A53" s="192"/>
      <c r="B53" s="192"/>
      <c r="C53" s="193"/>
      <c r="E53" s="193"/>
      <c r="F53" s="193"/>
      <c r="H53" s="193"/>
      <c r="L53" s="193"/>
      <c r="M53" s="195"/>
      <c r="N53" s="196"/>
      <c r="P53" s="196"/>
      <c r="R53" s="197"/>
      <c r="AD53" s="193"/>
      <c r="AH53" s="193"/>
      <c r="AJ53" s="197"/>
      <c r="AL53" s="198"/>
      <c r="AM53" s="192"/>
    </row>
    <row r="54" spans="1:39" s="194" customFormat="1" x14ac:dyDescent="0.35">
      <c r="A54" s="192"/>
      <c r="B54" s="192"/>
      <c r="C54" s="193"/>
      <c r="E54" s="193"/>
      <c r="F54" s="193"/>
      <c r="H54" s="193"/>
      <c r="L54" s="193"/>
      <c r="M54" s="195"/>
      <c r="N54" s="196"/>
      <c r="P54" s="196"/>
      <c r="R54" s="197"/>
      <c r="AD54" s="193"/>
      <c r="AH54" s="193"/>
      <c r="AJ54" s="197"/>
      <c r="AL54" s="198"/>
      <c r="AM54" s="192"/>
    </row>
    <row r="55" spans="1:39" s="194" customFormat="1" x14ac:dyDescent="0.35">
      <c r="A55" s="192"/>
      <c r="B55" s="192"/>
      <c r="C55" s="193"/>
      <c r="E55" s="193"/>
      <c r="F55" s="193"/>
      <c r="H55" s="193"/>
      <c r="L55" s="193"/>
      <c r="M55" s="195"/>
      <c r="N55" s="196"/>
      <c r="P55" s="196"/>
      <c r="R55" s="197"/>
      <c r="AD55" s="193"/>
      <c r="AH55" s="193"/>
      <c r="AJ55" s="197"/>
      <c r="AL55" s="198"/>
      <c r="AM55" s="192"/>
    </row>
    <row r="56" spans="1:39" s="194" customFormat="1" x14ac:dyDescent="0.35">
      <c r="A56" s="192"/>
      <c r="B56" s="192"/>
      <c r="C56" s="193"/>
      <c r="E56" s="193"/>
      <c r="F56" s="193"/>
      <c r="H56" s="193"/>
      <c r="L56" s="193"/>
      <c r="M56" s="195"/>
      <c r="N56" s="196"/>
      <c r="P56" s="196"/>
      <c r="R56" s="197"/>
      <c r="AD56" s="193"/>
      <c r="AH56" s="193"/>
      <c r="AJ56" s="197"/>
      <c r="AL56" s="198"/>
      <c r="AM56" s="192"/>
    </row>
    <row r="57" spans="1:39" s="194" customFormat="1" x14ac:dyDescent="0.35">
      <c r="A57" s="192"/>
      <c r="B57" s="192"/>
      <c r="C57" s="193"/>
      <c r="E57" s="193"/>
      <c r="F57" s="193"/>
      <c r="H57" s="193"/>
      <c r="L57" s="193"/>
      <c r="M57" s="195"/>
      <c r="N57" s="196"/>
      <c r="P57" s="196"/>
      <c r="R57" s="197"/>
      <c r="AD57" s="193"/>
      <c r="AH57" s="193"/>
      <c r="AJ57" s="197"/>
      <c r="AL57" s="198"/>
      <c r="AM57" s="192"/>
    </row>
    <row r="58" spans="1:39" s="194" customFormat="1" x14ac:dyDescent="0.35">
      <c r="A58" s="192"/>
      <c r="B58" s="192"/>
      <c r="C58" s="193"/>
      <c r="E58" s="193"/>
      <c r="F58" s="193"/>
      <c r="H58" s="193"/>
      <c r="L58" s="193"/>
      <c r="M58" s="195"/>
      <c r="N58" s="196"/>
      <c r="P58" s="196"/>
      <c r="R58" s="197"/>
      <c r="AD58" s="193"/>
      <c r="AH58" s="193"/>
      <c r="AJ58" s="197"/>
      <c r="AL58" s="198"/>
      <c r="AM58" s="192"/>
    </row>
    <row r="59" spans="1:39" s="194" customFormat="1" x14ac:dyDescent="0.35">
      <c r="A59" s="192"/>
      <c r="B59" s="192"/>
      <c r="C59" s="193"/>
      <c r="E59" s="193"/>
      <c r="F59" s="193"/>
      <c r="H59" s="193"/>
      <c r="L59" s="193"/>
      <c r="M59" s="195"/>
      <c r="N59" s="196"/>
      <c r="P59" s="196"/>
      <c r="R59" s="197"/>
      <c r="AD59" s="193"/>
      <c r="AH59" s="193"/>
      <c r="AJ59" s="197"/>
      <c r="AL59" s="198"/>
      <c r="AM59" s="192"/>
    </row>
    <row r="60" spans="1:39" s="194" customFormat="1" x14ac:dyDescent="0.35">
      <c r="A60" s="192"/>
      <c r="B60" s="192"/>
      <c r="C60" s="193"/>
      <c r="E60" s="193"/>
      <c r="F60" s="193"/>
      <c r="H60" s="193"/>
      <c r="L60" s="193"/>
      <c r="M60" s="195"/>
      <c r="N60" s="196"/>
      <c r="P60" s="196"/>
      <c r="R60" s="197"/>
      <c r="AD60" s="193"/>
      <c r="AH60" s="193"/>
      <c r="AJ60" s="197"/>
      <c r="AL60" s="198"/>
      <c r="AM60" s="192"/>
    </row>
    <row r="61" spans="1:39" s="194" customFormat="1" x14ac:dyDescent="0.35">
      <c r="A61" s="192"/>
      <c r="B61" s="192"/>
      <c r="C61" s="193"/>
      <c r="E61" s="193"/>
      <c r="F61" s="193"/>
      <c r="H61" s="193"/>
      <c r="L61" s="193"/>
      <c r="M61" s="195"/>
      <c r="N61" s="196"/>
      <c r="P61" s="196"/>
      <c r="R61" s="197"/>
      <c r="AD61" s="193"/>
      <c r="AH61" s="193"/>
      <c r="AJ61" s="197"/>
      <c r="AL61" s="198"/>
      <c r="AM61" s="192"/>
    </row>
    <row r="62" spans="1:39" s="194" customFormat="1" x14ac:dyDescent="0.35">
      <c r="A62" s="192"/>
      <c r="B62" s="192"/>
      <c r="C62" s="193"/>
      <c r="E62" s="193"/>
      <c r="F62" s="193"/>
      <c r="H62" s="193"/>
      <c r="L62" s="193"/>
      <c r="M62" s="195"/>
      <c r="N62" s="196"/>
      <c r="P62" s="196"/>
      <c r="R62" s="197"/>
      <c r="AD62" s="193"/>
      <c r="AH62" s="193"/>
      <c r="AJ62" s="197"/>
      <c r="AL62" s="198"/>
      <c r="AM62" s="192"/>
    </row>
    <row r="63" spans="1:39" s="194" customFormat="1" x14ac:dyDescent="0.35">
      <c r="A63" s="192"/>
      <c r="B63" s="192"/>
      <c r="C63" s="193"/>
      <c r="E63" s="193"/>
      <c r="F63" s="193"/>
      <c r="H63" s="193"/>
      <c r="L63" s="193"/>
      <c r="M63" s="195"/>
      <c r="N63" s="196"/>
      <c r="P63" s="196"/>
      <c r="R63" s="197"/>
      <c r="AD63" s="193"/>
      <c r="AH63" s="193"/>
      <c r="AJ63" s="197"/>
      <c r="AL63" s="198"/>
      <c r="AM63" s="192"/>
    </row>
    <row r="64" spans="1:39" s="194" customFormat="1" x14ac:dyDescent="0.35">
      <c r="A64" s="192"/>
      <c r="B64" s="192"/>
      <c r="C64" s="193"/>
      <c r="E64" s="193"/>
      <c r="F64" s="193"/>
      <c r="H64" s="193"/>
      <c r="L64" s="193"/>
      <c r="M64" s="195"/>
      <c r="N64" s="196"/>
      <c r="P64" s="196"/>
      <c r="R64" s="197"/>
      <c r="AD64" s="193"/>
      <c r="AH64" s="193"/>
      <c r="AJ64" s="197"/>
      <c r="AL64" s="198"/>
      <c r="AM64" s="192"/>
    </row>
    <row r="65" spans="1:39" s="194" customFormat="1" x14ac:dyDescent="0.35">
      <c r="A65" s="192"/>
      <c r="B65" s="192"/>
      <c r="C65" s="193"/>
      <c r="E65" s="193"/>
      <c r="F65" s="193"/>
      <c r="H65" s="193"/>
      <c r="L65" s="193"/>
      <c r="M65" s="195"/>
      <c r="N65" s="196"/>
      <c r="P65" s="196"/>
      <c r="R65" s="197"/>
      <c r="AD65" s="193"/>
      <c r="AH65" s="193"/>
      <c r="AJ65" s="197"/>
      <c r="AL65" s="198"/>
      <c r="AM65" s="192"/>
    </row>
    <row r="66" spans="1:39" s="194" customFormat="1" x14ac:dyDescent="0.35">
      <c r="A66" s="192"/>
      <c r="B66" s="192"/>
      <c r="C66" s="193"/>
      <c r="E66" s="193"/>
      <c r="F66" s="193"/>
      <c r="H66" s="193"/>
      <c r="L66" s="193"/>
      <c r="M66" s="195"/>
      <c r="N66" s="196"/>
      <c r="P66" s="196"/>
      <c r="R66" s="197"/>
      <c r="AD66" s="193"/>
      <c r="AH66" s="193"/>
      <c r="AJ66" s="197"/>
      <c r="AL66" s="198"/>
      <c r="AM66" s="192"/>
    </row>
    <row r="67" spans="1:39" s="194" customFormat="1" x14ac:dyDescent="0.35">
      <c r="A67" s="192"/>
      <c r="B67" s="192"/>
      <c r="C67" s="193"/>
      <c r="E67" s="193"/>
      <c r="F67" s="193"/>
      <c r="H67" s="193"/>
      <c r="L67" s="193"/>
      <c r="M67" s="195"/>
      <c r="N67" s="196"/>
      <c r="P67" s="196"/>
      <c r="R67" s="197"/>
      <c r="AD67" s="193"/>
      <c r="AH67" s="193"/>
      <c r="AJ67" s="197"/>
      <c r="AL67" s="198"/>
      <c r="AM67" s="192"/>
    </row>
    <row r="68" spans="1:39" s="194" customFormat="1" x14ac:dyDescent="0.35">
      <c r="A68" s="192"/>
      <c r="B68" s="192"/>
      <c r="C68" s="193"/>
      <c r="E68" s="193"/>
      <c r="F68" s="193"/>
      <c r="H68" s="193"/>
      <c r="L68" s="193"/>
      <c r="M68" s="195"/>
      <c r="N68" s="196"/>
      <c r="P68" s="196"/>
      <c r="R68" s="197"/>
      <c r="AD68" s="193"/>
      <c r="AH68" s="193"/>
      <c r="AJ68" s="197"/>
      <c r="AL68" s="198"/>
      <c r="AM68" s="192"/>
    </row>
    <row r="69" spans="1:39" s="194" customFormat="1" x14ac:dyDescent="0.35">
      <c r="A69" s="192"/>
      <c r="B69" s="192"/>
      <c r="C69" s="193"/>
      <c r="E69" s="193"/>
      <c r="F69" s="193"/>
      <c r="H69" s="193"/>
      <c r="L69" s="193"/>
      <c r="M69" s="195"/>
      <c r="N69" s="196"/>
      <c r="P69" s="196"/>
      <c r="R69" s="197"/>
      <c r="AD69" s="193"/>
      <c r="AH69" s="193"/>
      <c r="AJ69" s="197"/>
      <c r="AL69" s="198"/>
      <c r="AM69" s="192"/>
    </row>
    <row r="70" spans="1:39" s="194" customFormat="1" x14ac:dyDescent="0.35">
      <c r="A70" s="192"/>
      <c r="B70" s="192"/>
      <c r="C70" s="193"/>
      <c r="E70" s="193"/>
      <c r="F70" s="193"/>
      <c r="H70" s="193"/>
      <c r="L70" s="193"/>
      <c r="M70" s="195"/>
      <c r="N70" s="196"/>
      <c r="P70" s="196"/>
      <c r="R70" s="197"/>
      <c r="AD70" s="193"/>
      <c r="AH70" s="193"/>
      <c r="AJ70" s="197"/>
      <c r="AL70" s="198"/>
      <c r="AM70" s="192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5" t="s">
        <v>15</v>
      </c>
    </row>
    <row r="2" spans="1:3" ht="18.5" x14ac:dyDescent="0.45">
      <c r="A2" s="256">
        <v>43617</v>
      </c>
      <c r="B2" s="257"/>
      <c r="C2" s="257"/>
    </row>
    <row r="3" spans="1:3" x14ac:dyDescent="0.35">
      <c r="A3" s="259" t="s">
        <v>17</v>
      </c>
      <c r="B3" s="258" t="s">
        <v>18</v>
      </c>
      <c r="C3" s="258" t="s">
        <v>12</v>
      </c>
    </row>
    <row r="4" spans="1:3" x14ac:dyDescent="0.35">
      <c r="A4" s="259"/>
      <c r="B4" s="258"/>
      <c r="C4" s="258"/>
    </row>
    <row r="5" spans="1:3" x14ac:dyDescent="0.35">
      <c r="A5" s="259"/>
      <c r="B5" s="258"/>
      <c r="C5" s="258"/>
    </row>
    <row r="6" spans="1:3" x14ac:dyDescent="0.35">
      <c r="A6" s="1">
        <v>1</v>
      </c>
      <c r="B6" s="1">
        <v>58</v>
      </c>
      <c r="C6" s="1">
        <v>477</v>
      </c>
    </row>
    <row r="7" spans="1:3" x14ac:dyDescent="0.35">
      <c r="A7" s="1">
        <v>2</v>
      </c>
      <c r="B7" s="1">
        <v>49</v>
      </c>
      <c r="C7" s="1">
        <v>390</v>
      </c>
    </row>
    <row r="8" spans="1:3" x14ac:dyDescent="0.35">
      <c r="A8" s="1">
        <f>A7+1</f>
        <v>3</v>
      </c>
      <c r="B8" s="1">
        <v>48</v>
      </c>
      <c r="C8" s="1">
        <v>376</v>
      </c>
    </row>
    <row r="9" spans="1:3" x14ac:dyDescent="0.35">
      <c r="A9" s="1">
        <f>A8+1</f>
        <v>4</v>
      </c>
      <c r="B9" s="1">
        <v>72</v>
      </c>
      <c r="C9" s="1">
        <v>475</v>
      </c>
    </row>
    <row r="10" spans="1:3" x14ac:dyDescent="0.35">
      <c r="A10" s="1">
        <f t="shared" ref="A10:A35" si="0">A9+1</f>
        <v>5</v>
      </c>
      <c r="B10" s="1">
        <v>71</v>
      </c>
      <c r="C10" s="1">
        <v>547</v>
      </c>
    </row>
    <row r="11" spans="1:3" x14ac:dyDescent="0.35">
      <c r="A11" s="1">
        <f t="shared" si="0"/>
        <v>6</v>
      </c>
      <c r="B11" s="1">
        <v>72</v>
      </c>
      <c r="C11" s="1">
        <v>582</v>
      </c>
    </row>
    <row r="12" spans="1:3" x14ac:dyDescent="0.35">
      <c r="A12" s="1">
        <f t="shared" si="0"/>
        <v>7</v>
      </c>
      <c r="B12" s="1">
        <v>64</v>
      </c>
      <c r="C12" s="1">
        <v>579</v>
      </c>
    </row>
    <row r="13" spans="1:3" x14ac:dyDescent="0.35">
      <c r="A13" s="1">
        <f t="shared" si="0"/>
        <v>8</v>
      </c>
      <c r="B13" s="1">
        <v>55</v>
      </c>
      <c r="C13" s="1">
        <v>462</v>
      </c>
    </row>
    <row r="14" spans="1:3" x14ac:dyDescent="0.35">
      <c r="A14" s="1">
        <f t="shared" si="0"/>
        <v>9</v>
      </c>
      <c r="B14" s="1">
        <v>52</v>
      </c>
      <c r="C14" s="1">
        <v>644</v>
      </c>
    </row>
    <row r="15" spans="1:3" x14ac:dyDescent="0.35">
      <c r="A15" s="1">
        <f t="shared" si="0"/>
        <v>10</v>
      </c>
      <c r="B15" s="1">
        <v>70</v>
      </c>
      <c r="C15" s="1">
        <v>452</v>
      </c>
    </row>
    <row r="16" spans="1:3" x14ac:dyDescent="0.35">
      <c r="A16" s="1">
        <f t="shared" si="0"/>
        <v>11</v>
      </c>
      <c r="B16" s="1">
        <v>54</v>
      </c>
      <c r="C16" s="1">
        <v>426</v>
      </c>
    </row>
    <row r="17" spans="1:3" x14ac:dyDescent="0.35">
      <c r="A17" s="1">
        <f t="shared" si="0"/>
        <v>12</v>
      </c>
      <c r="B17" s="1">
        <v>69</v>
      </c>
      <c r="C17" s="1">
        <v>421</v>
      </c>
    </row>
    <row r="18" spans="1:3" x14ac:dyDescent="0.35">
      <c r="A18" s="1">
        <f t="shared" si="0"/>
        <v>13</v>
      </c>
      <c r="B18" s="1">
        <v>69</v>
      </c>
      <c r="C18" s="1">
        <v>512</v>
      </c>
    </row>
    <row r="19" spans="1:3" x14ac:dyDescent="0.35">
      <c r="A19" s="1">
        <f t="shared" si="0"/>
        <v>14</v>
      </c>
      <c r="B19" s="1">
        <v>66</v>
      </c>
      <c r="C19" s="1">
        <v>423</v>
      </c>
    </row>
    <row r="20" spans="1:3" x14ac:dyDescent="0.35">
      <c r="A20" s="1">
        <f t="shared" si="0"/>
        <v>15</v>
      </c>
      <c r="B20" s="1">
        <v>48</v>
      </c>
      <c r="C20" s="1">
        <v>504</v>
      </c>
    </row>
    <row r="21" spans="1:3" x14ac:dyDescent="0.35">
      <c r="A21" s="1">
        <f t="shared" si="0"/>
        <v>16</v>
      </c>
      <c r="B21" s="1">
        <v>56</v>
      </c>
      <c r="C21" s="1">
        <v>542</v>
      </c>
    </row>
    <row r="22" spans="1:3" x14ac:dyDescent="0.35">
      <c r="A22" s="1">
        <f t="shared" si="0"/>
        <v>17</v>
      </c>
      <c r="B22" s="1">
        <v>63</v>
      </c>
      <c r="C22" s="1">
        <v>469</v>
      </c>
    </row>
    <row r="23" spans="1:3" x14ac:dyDescent="0.35">
      <c r="A23" s="1">
        <f t="shared" si="0"/>
        <v>18</v>
      </c>
      <c r="B23" s="1">
        <v>66</v>
      </c>
      <c r="C23" s="1">
        <v>617</v>
      </c>
    </row>
    <row r="24" spans="1:3" x14ac:dyDescent="0.35">
      <c r="A24" s="1">
        <f t="shared" si="0"/>
        <v>19</v>
      </c>
      <c r="B24" s="1">
        <v>67</v>
      </c>
      <c r="C24" s="1">
        <v>527</v>
      </c>
    </row>
    <row r="25" spans="1:3" x14ac:dyDescent="0.35">
      <c r="A25" s="1">
        <f t="shared" si="0"/>
        <v>20</v>
      </c>
      <c r="B25" s="1">
        <v>56</v>
      </c>
      <c r="C25" s="1">
        <v>535</v>
      </c>
    </row>
    <row r="26" spans="1:3" x14ac:dyDescent="0.35">
      <c r="A26" s="1">
        <f t="shared" si="0"/>
        <v>21</v>
      </c>
      <c r="B26" s="1">
        <v>54</v>
      </c>
      <c r="C26" s="1">
        <v>592</v>
      </c>
    </row>
    <row r="27" spans="1:3" x14ac:dyDescent="0.35">
      <c r="A27" s="1">
        <f t="shared" si="0"/>
        <v>22</v>
      </c>
      <c r="B27" s="1">
        <v>57</v>
      </c>
      <c r="C27" s="1">
        <v>524</v>
      </c>
    </row>
    <row r="28" spans="1:3" x14ac:dyDescent="0.35">
      <c r="A28" s="1">
        <f t="shared" si="0"/>
        <v>23</v>
      </c>
      <c r="B28" s="1">
        <v>70</v>
      </c>
      <c r="C28" s="1">
        <v>658</v>
      </c>
    </row>
    <row r="29" spans="1:3" x14ac:dyDescent="0.35">
      <c r="A29" s="1">
        <f t="shared" si="0"/>
        <v>24</v>
      </c>
      <c r="B29" s="1">
        <v>79</v>
      </c>
      <c r="C29" s="1">
        <v>594</v>
      </c>
    </row>
    <row r="30" spans="1:3" x14ac:dyDescent="0.35">
      <c r="A30" s="1">
        <f t="shared" si="0"/>
        <v>25</v>
      </c>
      <c r="B30" s="1">
        <v>76</v>
      </c>
      <c r="C30" s="1">
        <v>596</v>
      </c>
    </row>
    <row r="31" spans="1:3" x14ac:dyDescent="0.35">
      <c r="A31" s="1">
        <f t="shared" si="0"/>
        <v>26</v>
      </c>
      <c r="B31" s="1">
        <v>91</v>
      </c>
      <c r="C31" s="1">
        <v>592</v>
      </c>
    </row>
    <row r="32" spans="1:3" x14ac:dyDescent="0.35">
      <c r="A32" s="1">
        <f t="shared" si="0"/>
        <v>27</v>
      </c>
      <c r="B32" s="1">
        <v>90</v>
      </c>
      <c r="C32" s="1">
        <v>687</v>
      </c>
    </row>
    <row r="33" spans="1:3" x14ac:dyDescent="0.35">
      <c r="A33" s="1">
        <f t="shared" si="0"/>
        <v>28</v>
      </c>
      <c r="B33" s="1">
        <v>66</v>
      </c>
      <c r="C33" s="1">
        <v>624</v>
      </c>
    </row>
    <row r="34" spans="1:3" x14ac:dyDescent="0.35">
      <c r="A34" s="1">
        <f t="shared" si="0"/>
        <v>29</v>
      </c>
      <c r="B34" s="1">
        <v>68</v>
      </c>
      <c r="C34" s="1">
        <v>722</v>
      </c>
    </row>
    <row r="35" spans="1:3" x14ac:dyDescent="0.35">
      <c r="A35" s="1">
        <f t="shared" si="0"/>
        <v>30</v>
      </c>
      <c r="B35" s="1">
        <v>71</v>
      </c>
      <c r="C35" s="1">
        <v>707</v>
      </c>
    </row>
    <row r="36" spans="1:3" x14ac:dyDescent="0.35">
      <c r="A36" s="1"/>
      <c r="B36" s="1"/>
      <c r="C36" s="1"/>
    </row>
    <row r="38" spans="1:3" x14ac:dyDescent="0.35">
      <c r="B38" s="5">
        <f>SUM(B6:B36)</f>
        <v>1947</v>
      </c>
      <c r="C38" s="5">
        <f>SUM(C6:C36)</f>
        <v>16256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E874D54A-150E-466F-9450-6E759BF4B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2019</vt:lpstr>
      <vt:lpstr>RNs &amp; Covers June 2019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2023-02-18T05:24:03Z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