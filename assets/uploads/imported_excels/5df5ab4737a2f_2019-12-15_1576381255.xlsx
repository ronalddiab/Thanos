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19245" windowHeight="1161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E16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AW22" i="6"/>
  <c r="G23" i="6"/>
  <c r="H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<sst xmlns="http://schemas.openxmlformats.org/spreadsheetml/2006/main" count="296" uniqueCount="138">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</sst>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 t="e">
        <f>Submetering!E16+Submetering!F16+Submetering!G16+Submetering!H16-Submetering!AV16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 t="str">
        <f>'FS Desroches Daily'!T17</f>
        <v/>
      </c>
      <c r="N15" s="35" t="str">
        <f>'FS Desroches Daily'!V17</f>
        <v/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 t="str">
        <f>'FS Desroches Daily'!D18</f>
        <v>0</v>
      </c>
      <c r="F16" s="36" t="str">
        <f>'FS Desroches Daily'!F18</f>
        <v>0</v>
      </c>
      <c r="G16" s="35" t="str">
        <f>'FS Desroches Daily'!H18</f>
        <v>0</v>
      </c>
      <c r="H16" s="36" t="str">
        <f>'FS Desroches Daily'!J18</f>
        <v>0</v>
      </c>
      <c r="I16" s="35" t="str">
        <f>'FS Desroches Daily'!L18</f>
        <v>0</v>
      </c>
      <c r="J16" s="36" t="str">
        <f>'FS Desroches Daily'!N18</f>
        <v/>
      </c>
      <c r="K16" s="13" t="str">
        <f>'FS Desroches Daily'!P18</f>
        <v/>
      </c>
      <c r="L16" s="35" t="str">
        <f>'FS Desroches Daily'!R18</f>
        <v/>
      </c>
      <c r="M16" s="35">
        <f>'FS Desroches Daily'!T18</f>
        <v>0</v>
      </c>
      <c r="N16" s="35">
        <f>'FS Desroches Daily'!V18</f>
        <v>0</v>
      </c>
      <c r="O16" s="35" t="str">
        <f>'FS Desroches Daily'!X18</f>
        <v/>
      </c>
      <c r="P16" s="35" t="str">
        <f>'FS Desroches Daily'!Z18</f>
        <v/>
      </c>
      <c r="Q16" s="35" t="str">
        <f>'FS Desroches Daily'!AB18</f>
        <v/>
      </c>
      <c r="R16" s="35" t="str">
        <f>'FS Desroches Daily'!AD18</f>
        <v/>
      </c>
      <c r="S16" s="35" t="str">
        <f>'FS Desroches Daily'!AF18</f>
        <v/>
      </c>
      <c r="T16" s="35" t="str">
        <f>'FS Desroches Daily'!AH18</f>
        <v/>
      </c>
      <c r="U16" s="39" t="str">
        <f>'FS Desroches Daily'!AJ18</f>
        <v/>
      </c>
      <c r="V16" s="39" t="str">
        <f>'FS Desroches Daily'!AL18</f>
        <v/>
      </c>
      <c r="W16" s="39" t="str">
        <f>'FS Desroches Daily'!AN18</f>
        <v/>
      </c>
      <c r="X16" s="39" t="str">
        <f>'FS Desroches Daily'!AP18</f>
        <v/>
      </c>
      <c r="Y16" s="39" t="str">
        <f>'FS Desroches Daily'!AR18</f>
        <v/>
      </c>
      <c r="Z16" s="39" t="str">
        <f>'FS Desroches Daily'!AT18</f>
        <v/>
      </c>
      <c r="AA16" s="39" t="str">
        <f>'FS Desroches Daily'!AT18</f>
        <v/>
      </c>
      <c r="AB16" s="39" t="str">
        <f>'FS Desroches Daily'!AV18</f>
        <v/>
      </c>
      <c r="AC16" s="39" t="str">
        <f>'FS Desroches Daily'!AZ18</f>
        <v/>
      </c>
      <c r="AD16" s="39" t="str">
        <f>'FS Desroches Daily'!BB18</f>
        <v/>
      </c>
      <c r="AE16" s="39" t="str">
        <f>'FS Desroches Daily'!BD18</f>
        <v/>
      </c>
      <c r="AF16" s="35" t="str">
        <f>'FS Desroches Daily'!BF18</f>
        <v/>
      </c>
      <c r="AG16" s="36" t="str">
        <f>'FS Desroches Daily'!BH18</f>
        <v/>
      </c>
      <c r="AH16" s="36" t="str">
        <f>'FS Desroches Daily'!BJ18</f>
        <v/>
      </c>
      <c r="AI16" s="36" t="str">
        <f>'FS Desroches Daily'!BL18</f>
        <v/>
      </c>
      <c r="AJ16" s="36" t="str">
        <f>'FS Desroches Daily'!BN18</f>
        <v/>
      </c>
      <c r="AK16" s="36" t="str">
        <f>'FS Desroches Daily'!BP18</f>
        <v/>
      </c>
      <c r="AL16" s="36" t="str">
        <f>'FS Desroches Daily'!BR18</f>
        <v/>
      </c>
      <c r="AM16" s="36" t="str">
        <f>'FS Desroches Daily'!BT18</f>
        <v/>
      </c>
      <c r="AN16" s="36" t="str">
        <f>'FS Desroches Daily'!BV18</f>
        <v/>
      </c>
      <c r="AO16" s="36" t="str">
        <f>'FS Desroches Daily'!BX18</f>
        <v/>
      </c>
      <c r="AP16" s="36" t="str">
        <f>'FS Desroches Daily'!BZ18</f>
        <v/>
      </c>
      <c r="AQ16" s="35" t="str">
        <f>'FS Desroches Daily'!CB18</f>
        <v/>
      </c>
      <c r="AR16" s="35" t="str">
        <f>'FS Desroches Daily'!CD18</f>
        <v/>
      </c>
      <c r="AS16" s="35" t="str">
        <f>'FS Desroches Daily'!CF18</f>
        <v/>
      </c>
      <c r="AT16" s="35" t="str">
        <f>'FS Desroches Daily'!CH18</f>
        <v/>
      </c>
      <c r="AU16" s="35" t="str">
        <f>'FS Desroches Daily'!CJ18</f>
        <v/>
      </c>
      <c r="AV16" s="35" t="str">
        <f>'FS Desroches Daily'!CL18</f>
        <v/>
      </c>
      <c r="AW16" s="35">
        <f>'FS Desroches Daily'!CM18</f>
        <v>0</v>
      </c>
      <c r="AX16" s="35" t="str">
        <f>IF(LPG!F23-LPG!F22&lt;0,"0",(LPG!F23-LPG!F22)*1.8315)</f>
        <v>0</v>
      </c>
      <c r="AY16" s="35" t="str">
        <f>IF(LPG!H23-LPG!H22&lt;0,"0",(LPG!H23-LPG!H22)*1.8315)</f>
        <v>0</v>
      </c>
      <c r="AZ16" s="35" t="str">
        <f>IF(LPG!J23-LPG!J22&lt;0,"0",(LPG!J23-LPG!J22)*1.8315)</f>
        <v>0</v>
      </c>
      <c r="BA16" s="35" t="str">
        <f>IF(LPG!M23-LPG!M22&lt;0,"0",(LPG!M23-LPG!M22)*1.8315)</f>
        <v>0</v>
      </c>
      <c r="BB16" s="35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22799.999999999927</v>
      </c>
      <c r="F33" s="17">
        <f t="shared" ref="F33:BC33" si="1">SUM(F2:F32)</f>
        <v>40399.999999999985</v>
      </c>
      <c r="G33" s="17">
        <f t="shared" si="1"/>
        <v>41300.000000000116</v>
      </c>
      <c r="H33" s="17">
        <f t="shared" si="1"/>
        <v>19269.999999999985</v>
      </c>
      <c r="I33" s="17">
        <f t="shared" si="1"/>
        <v>32199.999999999996</v>
      </c>
      <c r="J33" s="17">
        <f t="shared" si="1"/>
        <v>20370</v>
      </c>
      <c r="K33" s="17">
        <f t="shared" si="1"/>
        <v>251</v>
      </c>
      <c r="L33" s="17">
        <f t="shared" si="1"/>
        <v>101</v>
      </c>
      <c r="M33" s="17">
        <f t="shared" si="1"/>
        <v>12325</v>
      </c>
      <c r="N33" s="17">
        <f t="shared" si="1"/>
        <v>5124</v>
      </c>
      <c r="O33" s="17">
        <f t="shared" si="1"/>
        <v>4240.0000000000091</v>
      </c>
      <c r="P33" s="17">
        <f t="shared" si="1"/>
        <v>35400.000000000095</v>
      </c>
      <c r="Q33" s="17">
        <f t="shared" si="1"/>
        <v>5279.9999999999727</v>
      </c>
      <c r="R33" s="17">
        <f t="shared" si="1"/>
        <v>4719.9999999999982</v>
      </c>
      <c r="S33" s="17">
        <f t="shared" si="1"/>
        <v>8740.0000000000091</v>
      </c>
      <c r="T33" s="17">
        <f t="shared" si="1"/>
        <v>23.800000000000068</v>
      </c>
      <c r="U33" s="39">
        <f t="shared" si="1"/>
        <v>4849.9999999999663</v>
      </c>
      <c r="V33" s="39">
        <f t="shared" si="1"/>
        <v>2.25</v>
      </c>
      <c r="W33" s="39">
        <f t="shared" si="1"/>
        <v>2.5100000000000051</v>
      </c>
      <c r="X33" s="39">
        <f t="shared" si="1"/>
        <v>2.0300000000000011</v>
      </c>
      <c r="Y33" s="39">
        <f t="shared" si="1"/>
        <v>719.99999999999886</v>
      </c>
      <c r="Z33" s="39">
        <f t="shared" si="1"/>
        <v>1019.9999999999818</v>
      </c>
      <c r="AA33" s="39">
        <f t="shared" si="1"/>
        <v>1019.9999999999818</v>
      </c>
      <c r="AB33" s="39">
        <f t="shared" si="1"/>
        <v>1790.0000000000205</v>
      </c>
      <c r="AC33" s="39">
        <f t="shared" si="1"/>
        <v>1189.9999999999977</v>
      </c>
      <c r="AD33" s="39">
        <f t="shared" si="1"/>
        <v>920.00000000001592</v>
      </c>
      <c r="AE33" s="39">
        <f t="shared" si="1"/>
        <v>280.00000000000114</v>
      </c>
      <c r="AF33" s="17">
        <f t="shared" si="1"/>
        <v>627</v>
      </c>
      <c r="AG33" s="36">
        <f t="shared" si="1"/>
        <v>349.99999999999432</v>
      </c>
      <c r="AH33" s="36">
        <f t="shared" si="1"/>
        <v>530.00000000002956</v>
      </c>
      <c r="AI33" s="36">
        <f t="shared" si="1"/>
        <v>500</v>
      </c>
      <c r="AJ33" s="36">
        <f t="shared" si="1"/>
        <v>479.99999999998977</v>
      </c>
      <c r="AK33" s="36">
        <f t="shared" si="1"/>
        <v>550.00000000001137</v>
      </c>
      <c r="AL33" s="36">
        <f t="shared" si="1"/>
        <v>531</v>
      </c>
      <c r="AM33" s="36">
        <f t="shared" si="1"/>
        <v>479.99999999998977</v>
      </c>
      <c r="AN33" s="36">
        <f t="shared" si="1"/>
        <v>423</v>
      </c>
      <c r="AO33" s="36">
        <f t="shared" si="1"/>
        <v>500</v>
      </c>
      <c r="AP33" s="36">
        <f t="shared" si="1"/>
        <v>834</v>
      </c>
      <c r="AQ33" s="17">
        <f t="shared" si="1"/>
        <v>435.40000000000146</v>
      </c>
      <c r="AR33" s="17">
        <f t="shared" si="1"/>
        <v>154.30000000000109</v>
      </c>
      <c r="AS33" s="17">
        <f t="shared" si="1"/>
        <v>114.40000000000055</v>
      </c>
      <c r="AT33" s="17">
        <f t="shared" si="1"/>
        <v>833.19999999999709</v>
      </c>
      <c r="AU33" s="17">
        <f t="shared" si="1"/>
        <v>4035</v>
      </c>
      <c r="AV33" s="17">
        <f t="shared" si="1"/>
        <v>9429.9999999999491</v>
      </c>
      <c r="AW33" s="17">
        <f t="shared" si="1"/>
        <v>1200.1999999999998</v>
      </c>
      <c r="AX33" s="17">
        <f t="shared" si="1"/>
        <v>173.99250000000001</v>
      </c>
      <c r="AY33" s="17">
        <f t="shared" si="1"/>
        <v>45.787499999999994</v>
      </c>
      <c r="AZ33" s="17">
        <f t="shared" si="1"/>
        <v>12.820499999999999</v>
      </c>
      <c r="BA33" s="17">
        <f t="shared" si="1"/>
        <v>40.292999999999999</v>
      </c>
      <c r="BB33" s="17">
        <f t="shared" si="1"/>
        <v>80.585999999999984</v>
      </c>
      <c r="BC33" s="17">
        <f t="shared" si="1"/>
        <v>238</v>
      </c>
    </row>
    <row r="35" spans="5:55" x14ac:dyDescent="0.25">
      <c r="E35" s="42">
        <f>E33/E37</f>
        <v>0.16854181759044284</v>
      </c>
      <c r="G35" s="33">
        <f>G33-M36</f>
        <v>23851.000000000116</v>
      </c>
      <c r="AE35" s="39">
        <f>SUM(U33:AE33)</f>
        <v>11796.789999999966</v>
      </c>
      <c r="AG35" s="36">
        <f>SUM(AG33:AP33)</f>
        <v>5178.0000000000146</v>
      </c>
    </row>
    <row r="36" spans="5:55" x14ac:dyDescent="0.25">
      <c r="G36" s="33">
        <f>G35-633*14</f>
        <v>14989.000000000116</v>
      </c>
      <c r="M36" s="33">
        <f>M33+N33</f>
        <v>17449</v>
      </c>
    </row>
    <row r="37" spans="5:55" x14ac:dyDescent="0.25">
      <c r="E37" s="17">
        <f>E33+F33+G33+H33+J33-633*14</f>
        <v>135278</v>
      </c>
      <c r="G37" s="41">
        <f>M36/E37</f>
        <v>0.12898623575156345</v>
      </c>
      <c r="M37" s="39">
        <f>AE35</f>
        <v>11796.789999999966</v>
      </c>
    </row>
    <row r="38" spans="5:55" x14ac:dyDescent="0.25">
      <c r="L38" s="31">
        <f>M38/E37</f>
        <v>3.8276733836987646E-2</v>
      </c>
      <c r="M38" s="33">
        <f>AG35</f>
        <v>5178.0000000000146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zoomScale="70" zoomScaleNormal="70" workbookViewId="0">
      <pane ySplit="1" topLeftCell="A2" activePane="bottomLeft" state="frozen"/>
      <selection pane="bottomLeft" activeCell="CO18" sqref="CO18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/>
      <c r="T17" s="78" t="str">
        <f t="shared" si="8"/>
        <v/>
      </c>
      <c r="U17" s="65"/>
      <c r="V17" s="78" t="str">
        <f t="shared" si="9"/>
        <v/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/>
      <c r="D18" s="77" t="str">
        <f t="shared" si="2"/>
        <v>0</v>
      </c>
      <c r="E18" s="65"/>
      <c r="F18" s="77" t="str">
        <f t="shared" si="3"/>
        <v>0</v>
      </c>
      <c r="G18" s="65"/>
      <c r="H18" s="77" t="str">
        <f t="shared" si="4"/>
        <v>0</v>
      </c>
      <c r="I18" s="65"/>
      <c r="J18" s="77" t="str">
        <f t="shared" si="5"/>
        <v>0</v>
      </c>
      <c r="K18" s="65"/>
      <c r="L18" s="77" t="str">
        <f t="shared" si="0"/>
        <v>0</v>
      </c>
      <c r="M18" s="65"/>
      <c r="N18" s="78" t="str">
        <f t="shared" si="23"/>
        <v/>
      </c>
      <c r="O18" s="65"/>
      <c r="P18" s="78" t="str">
        <f t="shared" si="6"/>
        <v/>
      </c>
      <c r="Q18" s="65"/>
      <c r="R18" s="78" t="str">
        <f t="shared" si="7"/>
        <v/>
      </c>
      <c r="S18" s="80"/>
      <c r="T18" s="78">
        <f t="shared" si="8"/>
        <v>0</v>
      </c>
      <c r="U18" s="80"/>
      <c r="V18" s="78">
        <f t="shared" si="9"/>
        <v>0</v>
      </c>
      <c r="W18" s="80"/>
      <c r="X18" s="78" t="str">
        <f t="shared" si="43"/>
        <v/>
      </c>
      <c r="Y18" s="80"/>
      <c r="Z18" s="78" t="str">
        <f t="shared" si="24"/>
        <v/>
      </c>
      <c r="AA18" s="80"/>
      <c r="AB18" s="78" t="str">
        <f t="shared" si="25"/>
        <v/>
      </c>
      <c r="AC18" s="80"/>
      <c r="AD18" s="78" t="str">
        <f t="shared" si="26"/>
        <v/>
      </c>
      <c r="AE18" s="74"/>
      <c r="AF18" s="78" t="str">
        <f t="shared" si="27"/>
        <v/>
      </c>
      <c r="AG18" s="74"/>
      <c r="AH18" s="78" t="str">
        <f t="shared" si="10"/>
        <v/>
      </c>
      <c r="AI18" s="80"/>
      <c r="AJ18" s="78" t="str">
        <f t="shared" si="28"/>
        <v/>
      </c>
      <c r="AK18" s="80"/>
      <c r="AL18" s="78" t="str">
        <f t="shared" si="11"/>
        <v/>
      </c>
      <c r="AM18" s="80"/>
      <c r="AN18" s="78" t="str">
        <f t="shared" si="12"/>
        <v/>
      </c>
      <c r="AO18" s="80"/>
      <c r="AP18" s="78" t="str">
        <f t="shared" si="13"/>
        <v/>
      </c>
      <c r="AQ18" s="80"/>
      <c r="AR18" s="78" t="str">
        <f t="shared" si="29"/>
        <v/>
      </c>
      <c r="AS18" s="80"/>
      <c r="AT18" s="78" t="str">
        <f t="shared" si="30"/>
        <v/>
      </c>
      <c r="AU18" s="80"/>
      <c r="AV18" s="78" t="str">
        <f t="shared" si="31"/>
        <v/>
      </c>
      <c r="AW18" s="80"/>
      <c r="AX18" s="78" t="str">
        <f t="shared" si="32"/>
        <v/>
      </c>
      <c r="AY18" s="80"/>
      <c r="AZ18" s="78" t="str">
        <f t="shared" si="33"/>
        <v/>
      </c>
      <c r="BA18" s="80"/>
      <c r="BB18" s="78" t="str">
        <f t="shared" si="34"/>
        <v/>
      </c>
      <c r="BC18" s="80"/>
      <c r="BD18" s="78" t="str">
        <f t="shared" si="35"/>
        <v/>
      </c>
      <c r="BE18" s="70"/>
      <c r="BF18" s="78" t="str">
        <f t="shared" si="14"/>
        <v/>
      </c>
      <c r="BG18" s="70"/>
      <c r="BH18" s="78" t="str">
        <f t="shared" si="36"/>
        <v/>
      </c>
      <c r="BI18" s="70"/>
      <c r="BJ18" s="78" t="str">
        <f t="shared" si="37"/>
        <v/>
      </c>
      <c r="BK18" s="70"/>
      <c r="BL18" s="78" t="str">
        <f t="shared" si="38"/>
        <v/>
      </c>
      <c r="BM18" s="70"/>
      <c r="BN18" s="78" t="str">
        <f t="shared" si="39"/>
        <v/>
      </c>
      <c r="BO18" s="70"/>
      <c r="BP18" s="78" t="str">
        <f t="shared" si="40"/>
        <v/>
      </c>
      <c r="BQ18" s="70"/>
      <c r="BR18" s="78" t="str">
        <f t="shared" si="15"/>
        <v/>
      </c>
      <c r="BS18" s="70"/>
      <c r="BT18" s="78" t="str">
        <f t="shared" si="41"/>
        <v/>
      </c>
      <c r="BU18" s="70"/>
      <c r="BV18" s="78" t="str">
        <f t="shared" si="16"/>
        <v/>
      </c>
      <c r="BW18" s="70"/>
      <c r="BX18" s="78" t="str">
        <f t="shared" si="42"/>
        <v/>
      </c>
      <c r="BY18" s="72"/>
      <c r="BZ18" s="78" t="str">
        <f t="shared" si="17"/>
        <v/>
      </c>
      <c r="CA18" s="65"/>
      <c r="CB18" s="78" t="str">
        <f t="shared" si="18"/>
        <v/>
      </c>
      <c r="CC18" s="65"/>
      <c r="CD18" s="78" t="str">
        <f t="shared" si="19"/>
        <v/>
      </c>
      <c r="CE18" s="65"/>
      <c r="CF18" s="78" t="str">
        <f t="shared" si="20"/>
        <v/>
      </c>
      <c r="CG18" s="65"/>
      <c r="CH18" s="78" t="str">
        <f t="shared" si="21"/>
        <v/>
      </c>
      <c r="CI18" s="65"/>
      <c r="CJ18" s="78" t="str">
        <f t="shared" si="1"/>
        <v/>
      </c>
      <c r="CK18" s="65"/>
      <c r="CL18" s="77" t="str">
        <f t="shared" si="22"/>
        <v/>
      </c>
      <c r="CM18" s="78"/>
      <c r="CN18" s="79"/>
      <c r="CO18" s="79"/>
    </row>
    <row r="19" spans="1:93" ht="25.5" customHeight="1" thickBot="1" x14ac:dyDescent="0.45">
      <c r="A19" s="76">
        <v>43815</v>
      </c>
      <c r="B19" s="49"/>
      <c r="C19" s="65"/>
      <c r="D19" s="77">
        <f t="shared" si="2"/>
        <v>0</v>
      </c>
      <c r="E19" s="65"/>
      <c r="F19" s="77">
        <f t="shared" si="3"/>
        <v>0</v>
      </c>
      <c r="G19" s="65"/>
      <c r="H19" s="77">
        <f t="shared" si="4"/>
        <v>0</v>
      </c>
      <c r="I19" s="65"/>
      <c r="J19" s="77">
        <f t="shared" si="5"/>
        <v>0</v>
      </c>
      <c r="K19" s="65"/>
      <c r="L19" s="77">
        <f t="shared" si="0"/>
        <v>0</v>
      </c>
      <c r="M19" s="65"/>
      <c r="N19" s="78">
        <f t="shared" si="23"/>
        <v>0</v>
      </c>
      <c r="O19" s="65"/>
      <c r="P19" s="78">
        <f t="shared" si="6"/>
        <v>0</v>
      </c>
      <c r="Q19" s="65"/>
      <c r="R19" s="78">
        <f t="shared" si="7"/>
        <v>0</v>
      </c>
      <c r="S19" s="80"/>
      <c r="T19" s="78">
        <f t="shared" si="8"/>
        <v>0</v>
      </c>
      <c r="U19" s="80"/>
      <c r="V19" s="78">
        <f t="shared" si="9"/>
        <v>0</v>
      </c>
      <c r="W19" s="80"/>
      <c r="X19" s="78">
        <f t="shared" si="43"/>
        <v>0</v>
      </c>
      <c r="Y19" s="80"/>
      <c r="Z19" s="78">
        <f t="shared" si="24"/>
        <v>0</v>
      </c>
      <c r="AA19" s="80"/>
      <c r="AB19" s="78">
        <f t="shared" si="25"/>
        <v>0</v>
      </c>
      <c r="AC19" s="80"/>
      <c r="AD19" s="78">
        <f t="shared" si="26"/>
        <v>0</v>
      </c>
      <c r="AE19" s="74"/>
      <c r="AF19" s="78">
        <f t="shared" si="27"/>
        <v>0</v>
      </c>
      <c r="AG19" s="74"/>
      <c r="AH19" s="78">
        <f t="shared" si="10"/>
        <v>0</v>
      </c>
      <c r="AI19" s="80"/>
      <c r="AJ19" s="78">
        <f t="shared" si="28"/>
        <v>0</v>
      </c>
      <c r="AK19" s="80"/>
      <c r="AL19" s="78">
        <f t="shared" si="11"/>
        <v>0</v>
      </c>
      <c r="AM19" s="80"/>
      <c r="AN19" s="78">
        <f t="shared" si="12"/>
        <v>0</v>
      </c>
      <c r="AO19" s="80"/>
      <c r="AP19" s="78">
        <f t="shared" si="13"/>
        <v>0</v>
      </c>
      <c r="AQ19" s="80"/>
      <c r="AR19" s="78">
        <f t="shared" si="29"/>
        <v>0</v>
      </c>
      <c r="AS19" s="80"/>
      <c r="AT19" s="78">
        <f t="shared" si="30"/>
        <v>0</v>
      </c>
      <c r="AU19" s="80"/>
      <c r="AV19" s="78">
        <f t="shared" si="31"/>
        <v>0</v>
      </c>
      <c r="AW19" s="80"/>
      <c r="AX19" s="78">
        <f t="shared" si="32"/>
        <v>0</v>
      </c>
      <c r="AY19" s="80"/>
      <c r="AZ19" s="78">
        <f t="shared" si="33"/>
        <v>0</v>
      </c>
      <c r="BA19" s="80"/>
      <c r="BB19" s="78">
        <f t="shared" si="34"/>
        <v>0</v>
      </c>
      <c r="BC19" s="80"/>
      <c r="BD19" s="78">
        <f t="shared" si="35"/>
        <v>0</v>
      </c>
      <c r="BE19" s="70"/>
      <c r="BF19" s="78">
        <f t="shared" si="14"/>
        <v>0</v>
      </c>
      <c r="BG19" s="70"/>
      <c r="BH19" s="78">
        <f t="shared" si="36"/>
        <v>0</v>
      </c>
      <c r="BI19" s="70"/>
      <c r="BJ19" s="78">
        <f t="shared" si="37"/>
        <v>0</v>
      </c>
      <c r="BK19" s="70"/>
      <c r="BL19" s="78">
        <f t="shared" si="38"/>
        <v>0</v>
      </c>
      <c r="BM19" s="70"/>
      <c r="BN19" s="78">
        <f t="shared" si="39"/>
        <v>0</v>
      </c>
      <c r="BO19" s="70"/>
      <c r="BP19" s="78">
        <f t="shared" si="40"/>
        <v>0</v>
      </c>
      <c r="BQ19" s="70"/>
      <c r="BR19" s="78">
        <f t="shared" si="15"/>
        <v>0</v>
      </c>
      <c r="BS19" s="70"/>
      <c r="BT19" s="78">
        <f t="shared" si="41"/>
        <v>0</v>
      </c>
      <c r="BU19" s="70"/>
      <c r="BV19" s="78">
        <f t="shared" si="16"/>
        <v>0</v>
      </c>
      <c r="BW19" s="70"/>
      <c r="BX19" s="78">
        <f t="shared" si="42"/>
        <v>0</v>
      </c>
      <c r="BY19" s="72"/>
      <c r="BZ19" s="78">
        <f t="shared" si="17"/>
        <v>0</v>
      </c>
      <c r="CA19" s="65"/>
      <c r="CB19" s="78">
        <f t="shared" si="18"/>
        <v>0</v>
      </c>
      <c r="CC19" s="65"/>
      <c r="CD19" s="78">
        <f t="shared" si="19"/>
        <v>0</v>
      </c>
      <c r="CE19" s="65"/>
      <c r="CF19" s="78">
        <f t="shared" si="20"/>
        <v>0</v>
      </c>
      <c r="CG19" s="65"/>
      <c r="CH19" s="78">
        <f t="shared" si="21"/>
        <v>0</v>
      </c>
      <c r="CI19" s="65"/>
      <c r="CJ19" s="78">
        <f t="shared" si="1"/>
        <v>0</v>
      </c>
      <c r="CK19" s="65"/>
      <c r="CL19" s="77">
        <f t="shared" si="22"/>
        <v>0</v>
      </c>
      <c r="CM19" s="78"/>
      <c r="CN19" s="79"/>
      <c r="CO19" s="79"/>
    </row>
    <row r="20" spans="1:93" ht="25.5" customHeight="1" thickBot="1" x14ac:dyDescent="0.45">
      <c r="A20" s="76">
        <v>43816</v>
      </c>
      <c r="B20" s="49"/>
      <c r="C20" s="65"/>
      <c r="D20" s="77">
        <f t="shared" si="2"/>
        <v>0</v>
      </c>
      <c r="E20" s="65"/>
      <c r="F20" s="77">
        <f t="shared" si="3"/>
        <v>0</v>
      </c>
      <c r="G20" s="65"/>
      <c r="H20" s="77">
        <f t="shared" si="4"/>
        <v>0</v>
      </c>
      <c r="I20" s="65"/>
      <c r="J20" s="77">
        <f t="shared" si="5"/>
        <v>0</v>
      </c>
      <c r="K20" s="65"/>
      <c r="L20" s="77">
        <f t="shared" si="0"/>
        <v>0</v>
      </c>
      <c r="M20" s="65"/>
      <c r="N20" s="78">
        <f t="shared" si="23"/>
        <v>0</v>
      </c>
      <c r="O20" s="65"/>
      <c r="P20" s="78">
        <f t="shared" si="6"/>
        <v>0</v>
      </c>
      <c r="Q20" s="65"/>
      <c r="R20" s="78">
        <f t="shared" si="7"/>
        <v>0</v>
      </c>
      <c r="S20" s="80"/>
      <c r="T20" s="78">
        <f t="shared" si="8"/>
        <v>0</v>
      </c>
      <c r="U20" s="80"/>
      <c r="V20" s="78">
        <f t="shared" si="9"/>
        <v>0</v>
      </c>
      <c r="W20" s="80"/>
      <c r="X20" s="78">
        <f t="shared" si="43"/>
        <v>0</v>
      </c>
      <c r="Y20" s="80"/>
      <c r="Z20" s="78">
        <f t="shared" si="24"/>
        <v>0</v>
      </c>
      <c r="AA20" s="80"/>
      <c r="AB20" s="78">
        <f t="shared" si="25"/>
        <v>0</v>
      </c>
      <c r="AC20" s="80"/>
      <c r="AD20" s="78">
        <f t="shared" si="26"/>
        <v>0</v>
      </c>
      <c r="AE20" s="74"/>
      <c r="AF20" s="78">
        <f t="shared" si="27"/>
        <v>0</v>
      </c>
      <c r="AG20" s="74"/>
      <c r="AH20" s="78">
        <f t="shared" si="10"/>
        <v>0</v>
      </c>
      <c r="AI20" s="80"/>
      <c r="AJ20" s="78">
        <f t="shared" si="28"/>
        <v>0</v>
      </c>
      <c r="AK20" s="80"/>
      <c r="AL20" s="78">
        <f t="shared" si="11"/>
        <v>0</v>
      </c>
      <c r="AM20" s="80"/>
      <c r="AN20" s="78">
        <f t="shared" si="12"/>
        <v>0</v>
      </c>
      <c r="AO20" s="80"/>
      <c r="AP20" s="78">
        <f t="shared" si="13"/>
        <v>0</v>
      </c>
      <c r="AQ20" s="80"/>
      <c r="AR20" s="78">
        <f t="shared" si="29"/>
        <v>0</v>
      </c>
      <c r="AS20" s="80"/>
      <c r="AT20" s="78">
        <f t="shared" si="30"/>
        <v>0</v>
      </c>
      <c r="AU20" s="80"/>
      <c r="AV20" s="78">
        <f t="shared" si="31"/>
        <v>0</v>
      </c>
      <c r="AW20" s="80"/>
      <c r="AX20" s="78">
        <f t="shared" si="32"/>
        <v>0</v>
      </c>
      <c r="AY20" s="80"/>
      <c r="AZ20" s="78">
        <f t="shared" si="33"/>
        <v>0</v>
      </c>
      <c r="BA20" s="80"/>
      <c r="BB20" s="78">
        <f t="shared" si="34"/>
        <v>0</v>
      </c>
      <c r="BC20" s="80"/>
      <c r="BD20" s="78">
        <f t="shared" si="35"/>
        <v>0</v>
      </c>
      <c r="BE20" s="70"/>
      <c r="BF20" s="78">
        <f t="shared" si="14"/>
        <v>0</v>
      </c>
      <c r="BG20" s="70"/>
      <c r="BH20" s="78">
        <f t="shared" si="36"/>
        <v>0</v>
      </c>
      <c r="BI20" s="70"/>
      <c r="BJ20" s="78">
        <f t="shared" si="37"/>
        <v>0</v>
      </c>
      <c r="BK20" s="70"/>
      <c r="BL20" s="78">
        <f t="shared" si="38"/>
        <v>0</v>
      </c>
      <c r="BM20" s="70"/>
      <c r="BN20" s="78">
        <f t="shared" si="39"/>
        <v>0</v>
      </c>
      <c r="BO20" s="70"/>
      <c r="BP20" s="78">
        <f t="shared" si="40"/>
        <v>0</v>
      </c>
      <c r="BQ20" s="70"/>
      <c r="BR20" s="78">
        <f t="shared" si="15"/>
        <v>0</v>
      </c>
      <c r="BS20" s="70"/>
      <c r="BT20" s="78">
        <f t="shared" si="41"/>
        <v>0</v>
      </c>
      <c r="BU20" s="70"/>
      <c r="BV20" s="78">
        <f t="shared" si="16"/>
        <v>0</v>
      </c>
      <c r="BW20" s="70"/>
      <c r="BX20" s="78">
        <f t="shared" si="42"/>
        <v>0</v>
      </c>
      <c r="BY20" s="72"/>
      <c r="BZ20" s="78">
        <f t="shared" si="17"/>
        <v>0</v>
      </c>
      <c r="CA20" s="65"/>
      <c r="CB20" s="78">
        <f t="shared" si="18"/>
        <v>0</v>
      </c>
      <c r="CC20" s="65"/>
      <c r="CD20" s="78">
        <f t="shared" si="19"/>
        <v>0</v>
      </c>
      <c r="CE20" s="65"/>
      <c r="CF20" s="78">
        <f t="shared" si="20"/>
        <v>0</v>
      </c>
      <c r="CG20" s="65"/>
      <c r="CH20" s="78">
        <f t="shared" si="21"/>
        <v>0</v>
      </c>
      <c r="CI20" s="65"/>
      <c r="CJ20" s="78">
        <f t="shared" si="1"/>
        <v>0</v>
      </c>
      <c r="CK20" s="65"/>
      <c r="CL20" s="77">
        <f t="shared" si="22"/>
        <v>0</v>
      </c>
      <c r="CM20" s="78"/>
      <c r="CN20" s="79"/>
      <c r="CO20" s="79"/>
    </row>
    <row r="21" spans="1:93" ht="25.5" customHeight="1" thickBot="1" x14ac:dyDescent="0.45">
      <c r="A21" s="76">
        <v>43817</v>
      </c>
      <c r="B21" s="49"/>
      <c r="C21" s="65"/>
      <c r="D21" s="77">
        <f t="shared" si="2"/>
        <v>0</v>
      </c>
      <c r="E21" s="65"/>
      <c r="F21" s="77">
        <f t="shared" si="3"/>
        <v>0</v>
      </c>
      <c r="G21" s="65"/>
      <c r="H21" s="77">
        <f t="shared" si="4"/>
        <v>0</v>
      </c>
      <c r="I21" s="65"/>
      <c r="J21" s="77">
        <f t="shared" si="5"/>
        <v>0</v>
      </c>
      <c r="K21" s="65"/>
      <c r="L21" s="77">
        <f t="shared" si="0"/>
        <v>0</v>
      </c>
      <c r="M21" s="65"/>
      <c r="N21" s="78">
        <f t="shared" si="23"/>
        <v>0</v>
      </c>
      <c r="O21" s="65"/>
      <c r="P21" s="78">
        <f t="shared" si="6"/>
        <v>0</v>
      </c>
      <c r="Q21" s="65"/>
      <c r="R21" s="78">
        <f t="shared" si="7"/>
        <v>0</v>
      </c>
      <c r="S21" s="80"/>
      <c r="T21" s="78">
        <f t="shared" si="8"/>
        <v>0</v>
      </c>
      <c r="U21" s="80"/>
      <c r="V21" s="78">
        <f t="shared" si="9"/>
        <v>0</v>
      </c>
      <c r="W21" s="65"/>
      <c r="X21" s="78">
        <f t="shared" si="43"/>
        <v>0</v>
      </c>
      <c r="Y21" s="65"/>
      <c r="Z21" s="78">
        <f t="shared" si="24"/>
        <v>0</v>
      </c>
      <c r="AA21" s="65"/>
      <c r="AB21" s="78">
        <f t="shared" si="25"/>
        <v>0</v>
      </c>
      <c r="AC21" s="65"/>
      <c r="AD21" s="78">
        <f t="shared" si="26"/>
        <v>0</v>
      </c>
      <c r="AE21" s="65"/>
      <c r="AF21" s="78">
        <f t="shared" si="27"/>
        <v>0</v>
      </c>
      <c r="AG21" s="65"/>
      <c r="AH21" s="78">
        <f t="shared" si="10"/>
        <v>0</v>
      </c>
      <c r="AI21" s="65"/>
      <c r="AJ21" s="78">
        <f t="shared" si="28"/>
        <v>0</v>
      </c>
      <c r="AK21" s="65"/>
      <c r="AL21" s="78">
        <f t="shared" si="11"/>
        <v>0</v>
      </c>
      <c r="AM21" s="65"/>
      <c r="AN21" s="78">
        <f t="shared" si="12"/>
        <v>0</v>
      </c>
      <c r="AO21" s="65"/>
      <c r="AP21" s="78">
        <f t="shared" si="13"/>
        <v>0</v>
      </c>
      <c r="AQ21" s="65"/>
      <c r="AR21" s="78">
        <f t="shared" si="29"/>
        <v>0</v>
      </c>
      <c r="AS21" s="65"/>
      <c r="AT21" s="78">
        <f t="shared" si="30"/>
        <v>0</v>
      </c>
      <c r="AU21" s="65"/>
      <c r="AV21" s="78">
        <f t="shared" si="31"/>
        <v>0</v>
      </c>
      <c r="AW21" s="65"/>
      <c r="AX21" s="78">
        <f t="shared" si="32"/>
        <v>0</v>
      </c>
      <c r="AY21" s="65"/>
      <c r="AZ21" s="78">
        <f t="shared" si="33"/>
        <v>0</v>
      </c>
      <c r="BA21" s="65"/>
      <c r="BB21" s="78">
        <f t="shared" si="34"/>
        <v>0</v>
      </c>
      <c r="BC21" s="65"/>
      <c r="BD21" s="78">
        <f t="shared" si="35"/>
        <v>0</v>
      </c>
      <c r="BE21" s="70"/>
      <c r="BF21" s="78">
        <f t="shared" si="14"/>
        <v>0</v>
      </c>
      <c r="BG21" s="70"/>
      <c r="BH21" s="78">
        <f t="shared" si="36"/>
        <v>0</v>
      </c>
      <c r="BI21" s="70"/>
      <c r="BJ21" s="78">
        <f t="shared" si="37"/>
        <v>0</v>
      </c>
      <c r="BK21" s="70"/>
      <c r="BL21" s="78">
        <f t="shared" si="38"/>
        <v>0</v>
      </c>
      <c r="BM21" s="70"/>
      <c r="BN21" s="78">
        <f t="shared" si="39"/>
        <v>0</v>
      </c>
      <c r="BO21" s="70"/>
      <c r="BP21" s="78">
        <f t="shared" si="40"/>
        <v>0</v>
      </c>
      <c r="BQ21" s="70"/>
      <c r="BR21" s="78">
        <f t="shared" si="15"/>
        <v>0</v>
      </c>
      <c r="BS21" s="70"/>
      <c r="BT21" s="78">
        <f t="shared" si="41"/>
        <v>0</v>
      </c>
      <c r="BU21" s="70"/>
      <c r="BV21" s="78">
        <f t="shared" si="16"/>
        <v>0</v>
      </c>
      <c r="BW21" s="70"/>
      <c r="BX21" s="78">
        <f t="shared" si="42"/>
        <v>0</v>
      </c>
      <c r="BY21" s="72"/>
      <c r="BZ21" s="78">
        <f t="shared" si="17"/>
        <v>0</v>
      </c>
      <c r="CA21" s="65"/>
      <c r="CB21" s="78">
        <f t="shared" si="18"/>
        <v>0</v>
      </c>
      <c r="CC21" s="65"/>
      <c r="CD21" s="78">
        <f t="shared" si="19"/>
        <v>0</v>
      </c>
      <c r="CE21" s="65"/>
      <c r="CF21" s="78">
        <f t="shared" si="20"/>
        <v>0</v>
      </c>
      <c r="CG21" s="65"/>
      <c r="CH21" s="78">
        <f t="shared" si="21"/>
        <v>0</v>
      </c>
      <c r="CI21" s="65"/>
      <c r="CJ21" s="78">
        <f t="shared" si="1"/>
        <v>0</v>
      </c>
      <c r="CK21" s="65"/>
      <c r="CL21" s="77">
        <f t="shared" si="22"/>
        <v>0</v>
      </c>
      <c r="CM21" s="78"/>
      <c r="CN21" s="79"/>
      <c r="CO21" s="79"/>
    </row>
    <row r="22" spans="1:93" ht="25.5" customHeight="1" thickBot="1" x14ac:dyDescent="0.45">
      <c r="A22" s="76">
        <v>43818</v>
      </c>
      <c r="B22" s="49"/>
      <c r="C22" s="65"/>
      <c r="D22" s="77">
        <f t="shared" si="2"/>
        <v>0</v>
      </c>
      <c r="E22" s="65"/>
      <c r="F22" s="77">
        <f t="shared" si="3"/>
        <v>0</v>
      </c>
      <c r="G22" s="65"/>
      <c r="H22" s="77">
        <f t="shared" si="4"/>
        <v>0</v>
      </c>
      <c r="I22" s="65"/>
      <c r="J22" s="77">
        <f t="shared" si="5"/>
        <v>0</v>
      </c>
      <c r="K22" s="65"/>
      <c r="L22" s="77">
        <f t="shared" si="0"/>
        <v>0</v>
      </c>
      <c r="M22" s="65"/>
      <c r="N22" s="78">
        <f t="shared" si="23"/>
        <v>0</v>
      </c>
      <c r="O22" s="65"/>
      <c r="P22" s="78">
        <f t="shared" si="6"/>
        <v>0</v>
      </c>
      <c r="Q22" s="65"/>
      <c r="R22" s="78">
        <f t="shared" si="7"/>
        <v>0</v>
      </c>
      <c r="S22" s="80"/>
      <c r="T22" s="78">
        <f t="shared" si="8"/>
        <v>0</v>
      </c>
      <c r="U22" s="80"/>
      <c r="V22" s="78">
        <f t="shared" si="9"/>
        <v>0</v>
      </c>
      <c r="W22" s="80"/>
      <c r="X22" s="78">
        <f t="shared" si="43"/>
        <v>0</v>
      </c>
      <c r="Y22" s="80"/>
      <c r="Z22" s="78">
        <f t="shared" si="24"/>
        <v>0</v>
      </c>
      <c r="AA22" s="80"/>
      <c r="AB22" s="78">
        <f t="shared" si="25"/>
        <v>0</v>
      </c>
      <c r="AC22" s="80"/>
      <c r="AD22" s="78">
        <f t="shared" si="26"/>
        <v>0</v>
      </c>
      <c r="AE22" s="74"/>
      <c r="AF22" s="78">
        <f t="shared" si="27"/>
        <v>0</v>
      </c>
      <c r="AG22" s="74"/>
      <c r="AH22" s="78">
        <f t="shared" si="10"/>
        <v>0</v>
      </c>
      <c r="AI22" s="80"/>
      <c r="AJ22" s="78">
        <f t="shared" si="28"/>
        <v>0</v>
      </c>
      <c r="AK22" s="80"/>
      <c r="AL22" s="78">
        <f t="shared" si="11"/>
        <v>0</v>
      </c>
      <c r="AM22" s="80"/>
      <c r="AN22" s="78">
        <f t="shared" si="12"/>
        <v>0</v>
      </c>
      <c r="AO22" s="65"/>
      <c r="AP22" s="78">
        <f t="shared" si="13"/>
        <v>0</v>
      </c>
      <c r="AQ22" s="65"/>
      <c r="AR22" s="78">
        <f t="shared" si="29"/>
        <v>0</v>
      </c>
      <c r="AS22" s="65"/>
      <c r="AT22" s="78">
        <f t="shared" si="30"/>
        <v>0</v>
      </c>
      <c r="AU22" s="65"/>
      <c r="AV22" s="78">
        <f t="shared" si="31"/>
        <v>0</v>
      </c>
      <c r="AW22" s="65"/>
      <c r="AX22" s="78">
        <f t="shared" si="32"/>
        <v>0</v>
      </c>
      <c r="AY22" s="65"/>
      <c r="AZ22" s="78">
        <f t="shared" si="33"/>
        <v>0</v>
      </c>
      <c r="BA22" s="65"/>
      <c r="BB22" s="78">
        <f t="shared" si="34"/>
        <v>0</v>
      </c>
      <c r="BC22" s="65"/>
      <c r="BD22" s="78">
        <f t="shared" si="35"/>
        <v>0</v>
      </c>
      <c r="BE22" s="70"/>
      <c r="BF22" s="78">
        <f t="shared" si="14"/>
        <v>0</v>
      </c>
      <c r="BG22" s="70"/>
      <c r="BH22" s="78">
        <f t="shared" si="36"/>
        <v>0</v>
      </c>
      <c r="BI22" s="70"/>
      <c r="BJ22" s="78">
        <f t="shared" si="37"/>
        <v>0</v>
      </c>
      <c r="BK22" s="70"/>
      <c r="BL22" s="78">
        <f t="shared" si="38"/>
        <v>0</v>
      </c>
      <c r="BM22" s="70"/>
      <c r="BN22" s="78">
        <f t="shared" si="39"/>
        <v>0</v>
      </c>
      <c r="BO22" s="70"/>
      <c r="BP22" s="78">
        <f t="shared" si="40"/>
        <v>0</v>
      </c>
      <c r="BQ22" s="70"/>
      <c r="BR22" s="78">
        <f t="shared" si="15"/>
        <v>0</v>
      </c>
      <c r="BS22" s="70"/>
      <c r="BT22" s="78">
        <f t="shared" si="41"/>
        <v>0</v>
      </c>
      <c r="BU22" s="70"/>
      <c r="BV22" s="78">
        <f t="shared" si="16"/>
        <v>0</v>
      </c>
      <c r="BW22" s="70"/>
      <c r="BX22" s="78">
        <f t="shared" si="42"/>
        <v>0</v>
      </c>
      <c r="BY22" s="72"/>
      <c r="BZ22" s="78">
        <f t="shared" si="17"/>
        <v>0</v>
      </c>
      <c r="CA22" s="65"/>
      <c r="CB22" s="78">
        <f t="shared" si="18"/>
        <v>0</v>
      </c>
      <c r="CC22" s="65"/>
      <c r="CD22" s="78">
        <f t="shared" si="19"/>
        <v>0</v>
      </c>
      <c r="CE22" s="65"/>
      <c r="CF22" s="78">
        <f t="shared" si="20"/>
        <v>0</v>
      </c>
      <c r="CG22" s="65"/>
      <c r="CH22" s="78">
        <f t="shared" si="21"/>
        <v>0</v>
      </c>
      <c r="CI22" s="65"/>
      <c r="CJ22" s="78">
        <f t="shared" si="1"/>
        <v>0</v>
      </c>
      <c r="CK22" s="65"/>
      <c r="CL22" s="77">
        <f t="shared" si="22"/>
        <v>0</v>
      </c>
      <c r="CM22" s="78"/>
      <c r="CN22" s="79"/>
      <c r="CO22" s="79"/>
    </row>
    <row r="23" spans="1:93" ht="25.5" customHeight="1" thickBot="1" x14ac:dyDescent="0.45">
      <c r="A23" s="76">
        <v>43819</v>
      </c>
      <c r="B23" s="49"/>
      <c r="C23" s="65"/>
      <c r="D23" s="77">
        <f t="shared" si="2"/>
        <v>0</v>
      </c>
      <c r="E23" s="65"/>
      <c r="F23" s="77">
        <f t="shared" si="3"/>
        <v>0</v>
      </c>
      <c r="G23" s="65"/>
      <c r="H23" s="77">
        <f t="shared" si="4"/>
        <v>0</v>
      </c>
      <c r="I23" s="65"/>
      <c r="J23" s="77">
        <f t="shared" si="5"/>
        <v>0</v>
      </c>
      <c r="K23" s="65"/>
      <c r="L23" s="77">
        <f t="shared" si="0"/>
        <v>0</v>
      </c>
      <c r="M23" s="65"/>
      <c r="N23" s="78">
        <f t="shared" si="23"/>
        <v>0</v>
      </c>
      <c r="O23" s="65"/>
      <c r="P23" s="78">
        <f t="shared" si="6"/>
        <v>0</v>
      </c>
      <c r="Q23" s="65"/>
      <c r="R23" s="78">
        <f t="shared" si="7"/>
        <v>0</v>
      </c>
      <c r="S23" s="80"/>
      <c r="T23" s="78">
        <f t="shared" si="8"/>
        <v>0</v>
      </c>
      <c r="U23" s="80"/>
      <c r="V23" s="78">
        <f t="shared" si="9"/>
        <v>0</v>
      </c>
      <c r="W23" s="80"/>
      <c r="X23" s="78">
        <f t="shared" si="43"/>
        <v>0</v>
      </c>
      <c r="Y23" s="80"/>
      <c r="Z23" s="78">
        <f t="shared" si="24"/>
        <v>0</v>
      </c>
      <c r="AA23" s="80"/>
      <c r="AB23" s="78">
        <f t="shared" si="25"/>
        <v>0</v>
      </c>
      <c r="AC23" s="80"/>
      <c r="AD23" s="78">
        <f t="shared" si="26"/>
        <v>0</v>
      </c>
      <c r="AE23" s="74"/>
      <c r="AF23" s="78">
        <f t="shared" si="27"/>
        <v>0</v>
      </c>
      <c r="AG23" s="74"/>
      <c r="AH23" s="78">
        <f t="shared" si="10"/>
        <v>0</v>
      </c>
      <c r="AI23" s="80"/>
      <c r="AJ23" s="78">
        <f t="shared" si="28"/>
        <v>0</v>
      </c>
      <c r="AK23" s="80"/>
      <c r="AL23" s="78">
        <f t="shared" si="11"/>
        <v>0</v>
      </c>
      <c r="AM23" s="80"/>
      <c r="AN23" s="78">
        <f t="shared" si="12"/>
        <v>0</v>
      </c>
      <c r="AO23" s="80"/>
      <c r="AP23" s="78">
        <f t="shared" si="13"/>
        <v>0</v>
      </c>
      <c r="AQ23" s="80"/>
      <c r="AR23" s="78">
        <f t="shared" si="29"/>
        <v>0</v>
      </c>
      <c r="AS23" s="80"/>
      <c r="AT23" s="78">
        <f t="shared" si="30"/>
        <v>0</v>
      </c>
      <c r="AU23" s="80"/>
      <c r="AV23" s="78">
        <f t="shared" si="31"/>
        <v>0</v>
      </c>
      <c r="AW23" s="80"/>
      <c r="AX23" s="78">
        <f t="shared" si="32"/>
        <v>0</v>
      </c>
      <c r="AY23" s="80"/>
      <c r="AZ23" s="78">
        <f t="shared" si="33"/>
        <v>0</v>
      </c>
      <c r="BA23" s="80"/>
      <c r="BB23" s="78">
        <f t="shared" si="34"/>
        <v>0</v>
      </c>
      <c r="BC23" s="80"/>
      <c r="BD23" s="78">
        <f t="shared" si="35"/>
        <v>0</v>
      </c>
      <c r="BE23" s="80"/>
      <c r="BF23" s="78">
        <f t="shared" si="14"/>
        <v>0</v>
      </c>
      <c r="BG23" s="80"/>
      <c r="BH23" s="78">
        <f t="shared" si="36"/>
        <v>0</v>
      </c>
      <c r="BI23" s="80"/>
      <c r="BJ23" s="78">
        <f t="shared" si="37"/>
        <v>0</v>
      </c>
      <c r="BK23" s="80"/>
      <c r="BL23" s="78">
        <f t="shared" si="38"/>
        <v>0</v>
      </c>
      <c r="BM23" s="80"/>
      <c r="BN23" s="78">
        <f t="shared" si="39"/>
        <v>0</v>
      </c>
      <c r="BO23" s="80"/>
      <c r="BP23" s="78">
        <f t="shared" si="40"/>
        <v>0</v>
      </c>
      <c r="BQ23" s="80"/>
      <c r="BR23" s="78">
        <f t="shared" si="15"/>
        <v>0</v>
      </c>
      <c r="BS23" s="80"/>
      <c r="BT23" s="78">
        <f t="shared" si="41"/>
        <v>0</v>
      </c>
      <c r="BU23" s="80"/>
      <c r="BV23" s="78">
        <f t="shared" si="16"/>
        <v>0</v>
      </c>
      <c r="BW23" s="80"/>
      <c r="BX23" s="78">
        <f t="shared" si="42"/>
        <v>0</v>
      </c>
      <c r="BY23" s="80"/>
      <c r="BZ23" s="78">
        <f t="shared" si="17"/>
        <v>0</v>
      </c>
      <c r="CA23" s="80"/>
      <c r="CB23" s="78">
        <f t="shared" si="18"/>
        <v>0</v>
      </c>
      <c r="CC23" s="80"/>
      <c r="CD23" s="78">
        <f t="shared" si="19"/>
        <v>0</v>
      </c>
      <c r="CE23" s="80"/>
      <c r="CF23" s="78">
        <f t="shared" si="20"/>
        <v>0</v>
      </c>
      <c r="CG23" s="80"/>
      <c r="CH23" s="78">
        <f t="shared" si="21"/>
        <v>0</v>
      </c>
      <c r="CI23" s="80"/>
      <c r="CJ23" s="78">
        <f t="shared" si="1"/>
        <v>0</v>
      </c>
      <c r="CK23" s="80"/>
      <c r="CL23" s="77">
        <f t="shared" si="22"/>
        <v>0</v>
      </c>
      <c r="CM23" s="78"/>
      <c r="CN23" s="79"/>
      <c r="CO23" s="79"/>
    </row>
    <row r="24" spans="1:93" ht="25.5" customHeight="1" thickBot="1" x14ac:dyDescent="0.45">
      <c r="A24" s="76">
        <v>43820</v>
      </c>
      <c r="B24" s="49"/>
      <c r="C24" s="65"/>
      <c r="D24" s="77">
        <f t="shared" si="2"/>
        <v>0</v>
      </c>
      <c r="E24" s="65"/>
      <c r="F24" s="77">
        <f t="shared" si="3"/>
        <v>0</v>
      </c>
      <c r="G24" s="65"/>
      <c r="H24" s="77">
        <f t="shared" si="4"/>
        <v>0</v>
      </c>
      <c r="I24" s="65"/>
      <c r="J24" s="77">
        <f t="shared" si="5"/>
        <v>0</v>
      </c>
      <c r="K24" s="65"/>
      <c r="L24" s="77">
        <f t="shared" si="0"/>
        <v>0</v>
      </c>
      <c r="M24" s="65"/>
      <c r="N24" s="78">
        <f t="shared" si="23"/>
        <v>0</v>
      </c>
      <c r="O24" s="65"/>
      <c r="P24" s="78">
        <f t="shared" si="6"/>
        <v>0</v>
      </c>
      <c r="Q24" s="65"/>
      <c r="R24" s="78">
        <f t="shared" si="7"/>
        <v>0</v>
      </c>
      <c r="S24" s="80"/>
      <c r="T24" s="78">
        <f t="shared" si="8"/>
        <v>0</v>
      </c>
      <c r="U24" s="80"/>
      <c r="V24" s="78">
        <f t="shared" si="9"/>
        <v>0</v>
      </c>
      <c r="W24" s="80"/>
      <c r="X24" s="78">
        <f t="shared" si="43"/>
        <v>0</v>
      </c>
      <c r="Y24" s="80"/>
      <c r="Z24" s="78">
        <f t="shared" si="24"/>
        <v>0</v>
      </c>
      <c r="AA24" s="80"/>
      <c r="AB24" s="78">
        <f t="shared" si="25"/>
        <v>0</v>
      </c>
      <c r="AC24" s="80"/>
      <c r="AD24" s="78">
        <f t="shared" si="26"/>
        <v>0</v>
      </c>
      <c r="AE24" s="74"/>
      <c r="AF24" s="78">
        <f t="shared" si="27"/>
        <v>0</v>
      </c>
      <c r="AG24" s="74"/>
      <c r="AH24" s="78">
        <f t="shared" si="10"/>
        <v>0</v>
      </c>
      <c r="AI24" s="80"/>
      <c r="AJ24" s="78">
        <f t="shared" si="28"/>
        <v>0</v>
      </c>
      <c r="AK24" s="80"/>
      <c r="AL24" s="78">
        <f t="shared" si="11"/>
        <v>0</v>
      </c>
      <c r="AM24" s="80"/>
      <c r="AN24" s="78">
        <f t="shared" si="12"/>
        <v>0</v>
      </c>
      <c r="AO24" s="80"/>
      <c r="AP24" s="78">
        <f t="shared" si="13"/>
        <v>0</v>
      </c>
      <c r="AQ24" s="80"/>
      <c r="AR24" s="78">
        <f t="shared" si="29"/>
        <v>0</v>
      </c>
      <c r="AS24" s="80"/>
      <c r="AT24" s="78">
        <f t="shared" si="30"/>
        <v>0</v>
      </c>
      <c r="AU24" s="80"/>
      <c r="AV24" s="78">
        <f t="shared" si="31"/>
        <v>0</v>
      </c>
      <c r="AW24" s="80"/>
      <c r="AX24" s="78">
        <f t="shared" si="32"/>
        <v>0</v>
      </c>
      <c r="AY24" s="80"/>
      <c r="AZ24" s="78">
        <f t="shared" si="33"/>
        <v>0</v>
      </c>
      <c r="BA24" s="80"/>
      <c r="BB24" s="78">
        <f t="shared" si="34"/>
        <v>0</v>
      </c>
      <c r="BC24" s="80"/>
      <c r="BD24" s="78">
        <f t="shared" si="35"/>
        <v>0</v>
      </c>
      <c r="BE24" s="80"/>
      <c r="BF24" s="78">
        <f t="shared" si="14"/>
        <v>0</v>
      </c>
      <c r="BG24" s="80"/>
      <c r="BH24" s="78">
        <f t="shared" si="36"/>
        <v>0</v>
      </c>
      <c r="BI24" s="80"/>
      <c r="BJ24" s="78">
        <f t="shared" si="37"/>
        <v>0</v>
      </c>
      <c r="BK24" s="80"/>
      <c r="BL24" s="78">
        <f t="shared" si="38"/>
        <v>0</v>
      </c>
      <c r="BM24" s="80"/>
      <c r="BN24" s="78">
        <f t="shared" si="39"/>
        <v>0</v>
      </c>
      <c r="BO24" s="80"/>
      <c r="BP24" s="78">
        <f t="shared" si="40"/>
        <v>0</v>
      </c>
      <c r="BQ24" s="80"/>
      <c r="BR24" s="78">
        <f t="shared" si="15"/>
        <v>0</v>
      </c>
      <c r="BS24" s="80"/>
      <c r="BT24" s="78">
        <f t="shared" si="41"/>
        <v>0</v>
      </c>
      <c r="BU24" s="80"/>
      <c r="BV24" s="78">
        <f t="shared" si="16"/>
        <v>0</v>
      </c>
      <c r="BW24" s="80"/>
      <c r="BX24" s="78">
        <f t="shared" si="42"/>
        <v>0</v>
      </c>
      <c r="BY24" s="80"/>
      <c r="BZ24" s="78">
        <f t="shared" si="17"/>
        <v>0</v>
      </c>
      <c r="CA24" s="80"/>
      <c r="CB24" s="78">
        <f t="shared" si="18"/>
        <v>0</v>
      </c>
      <c r="CC24" s="80"/>
      <c r="CD24" s="78">
        <f t="shared" si="19"/>
        <v>0</v>
      </c>
      <c r="CE24" s="80"/>
      <c r="CF24" s="78">
        <f t="shared" si="20"/>
        <v>0</v>
      </c>
      <c r="CG24" s="80"/>
      <c r="CH24" s="78">
        <f t="shared" si="21"/>
        <v>0</v>
      </c>
      <c r="CI24" s="80"/>
      <c r="CJ24" s="78">
        <f t="shared" si="1"/>
        <v>0</v>
      </c>
      <c r="CK24" s="80"/>
      <c r="CL24" s="77">
        <f t="shared" si="22"/>
        <v>0</v>
      </c>
      <c r="CM24" s="78"/>
      <c r="CN24" s="79"/>
      <c r="CO24" s="79"/>
    </row>
    <row r="25" spans="1:93" ht="25.5" customHeight="1" thickBot="1" x14ac:dyDescent="0.45">
      <c r="A25" s="76">
        <v>43821</v>
      </c>
      <c r="B25" s="49"/>
      <c r="C25" s="65"/>
      <c r="D25" s="77">
        <f t="shared" si="2"/>
        <v>0</v>
      </c>
      <c r="E25" s="65"/>
      <c r="F25" s="77">
        <f t="shared" si="3"/>
        <v>0</v>
      </c>
      <c r="G25" s="65"/>
      <c r="H25" s="77">
        <f t="shared" si="4"/>
        <v>0</v>
      </c>
      <c r="I25" s="65"/>
      <c r="J25" s="77">
        <f t="shared" si="5"/>
        <v>0</v>
      </c>
      <c r="K25" s="65"/>
      <c r="L25" s="77">
        <f t="shared" si="0"/>
        <v>0</v>
      </c>
      <c r="M25" s="65"/>
      <c r="N25" s="78">
        <f t="shared" si="23"/>
        <v>0</v>
      </c>
      <c r="O25" s="65"/>
      <c r="P25" s="78">
        <f t="shared" si="6"/>
        <v>0</v>
      </c>
      <c r="Q25" s="65"/>
      <c r="R25" s="78">
        <f t="shared" si="7"/>
        <v>0</v>
      </c>
      <c r="S25" s="80"/>
      <c r="T25" s="78">
        <f t="shared" si="8"/>
        <v>0</v>
      </c>
      <c r="U25" s="80"/>
      <c r="V25" s="78">
        <f t="shared" si="9"/>
        <v>0</v>
      </c>
      <c r="W25" s="80"/>
      <c r="X25" s="78">
        <f t="shared" si="43"/>
        <v>0</v>
      </c>
      <c r="Y25" s="80"/>
      <c r="Z25" s="78">
        <f t="shared" si="24"/>
        <v>0</v>
      </c>
      <c r="AA25" s="80"/>
      <c r="AB25" s="78">
        <f t="shared" si="25"/>
        <v>0</v>
      </c>
      <c r="AC25" s="80"/>
      <c r="AD25" s="78">
        <f t="shared" si="26"/>
        <v>0</v>
      </c>
      <c r="AE25" s="74"/>
      <c r="AF25" s="78">
        <f t="shared" si="27"/>
        <v>0</v>
      </c>
      <c r="AG25" s="74"/>
      <c r="AH25" s="78">
        <f t="shared" si="10"/>
        <v>0</v>
      </c>
      <c r="AI25" s="80"/>
      <c r="AJ25" s="78">
        <f t="shared" si="28"/>
        <v>0</v>
      </c>
      <c r="AK25" s="80"/>
      <c r="AL25" s="78">
        <f t="shared" si="11"/>
        <v>0</v>
      </c>
      <c r="AM25" s="80"/>
      <c r="AN25" s="78">
        <f t="shared" si="12"/>
        <v>0</v>
      </c>
      <c r="AO25" s="80"/>
      <c r="AP25" s="78">
        <f t="shared" si="13"/>
        <v>0</v>
      </c>
      <c r="AQ25" s="80"/>
      <c r="AR25" s="78">
        <f t="shared" si="29"/>
        <v>0</v>
      </c>
      <c r="AS25" s="80"/>
      <c r="AT25" s="78">
        <f t="shared" si="30"/>
        <v>0</v>
      </c>
      <c r="AU25" s="80"/>
      <c r="AV25" s="78">
        <f t="shared" si="31"/>
        <v>0</v>
      </c>
      <c r="AW25" s="80"/>
      <c r="AX25" s="78">
        <f t="shared" si="32"/>
        <v>0</v>
      </c>
      <c r="AY25" s="80"/>
      <c r="AZ25" s="78">
        <f t="shared" si="33"/>
        <v>0</v>
      </c>
      <c r="BA25" s="80"/>
      <c r="BB25" s="78">
        <f t="shared" si="34"/>
        <v>0</v>
      </c>
      <c r="BC25" s="80"/>
      <c r="BD25" s="78">
        <f t="shared" si="35"/>
        <v>0</v>
      </c>
      <c r="BE25" s="80"/>
      <c r="BF25" s="78">
        <f t="shared" si="14"/>
        <v>0</v>
      </c>
      <c r="BG25" s="80"/>
      <c r="BH25" s="78">
        <f t="shared" si="36"/>
        <v>0</v>
      </c>
      <c r="BI25" s="80"/>
      <c r="BJ25" s="78">
        <f t="shared" si="37"/>
        <v>0</v>
      </c>
      <c r="BK25" s="80"/>
      <c r="BL25" s="78">
        <f t="shared" si="38"/>
        <v>0</v>
      </c>
      <c r="BM25" s="80"/>
      <c r="BN25" s="78">
        <f t="shared" si="39"/>
        <v>0</v>
      </c>
      <c r="BO25" s="80"/>
      <c r="BP25" s="78">
        <f t="shared" si="40"/>
        <v>0</v>
      </c>
      <c r="BQ25" s="80"/>
      <c r="BR25" s="78">
        <f t="shared" si="15"/>
        <v>0</v>
      </c>
      <c r="BS25" s="80"/>
      <c r="BT25" s="78">
        <f t="shared" si="41"/>
        <v>0</v>
      </c>
      <c r="BU25" s="80"/>
      <c r="BV25" s="78">
        <f t="shared" si="16"/>
        <v>0</v>
      </c>
      <c r="BW25" s="80"/>
      <c r="BX25" s="78">
        <f t="shared" si="42"/>
        <v>0</v>
      </c>
      <c r="BY25" s="80"/>
      <c r="BZ25" s="78">
        <f t="shared" si="17"/>
        <v>0</v>
      </c>
      <c r="CA25" s="80"/>
      <c r="CB25" s="78">
        <f t="shared" si="18"/>
        <v>0</v>
      </c>
      <c r="CC25" s="80"/>
      <c r="CD25" s="78">
        <f t="shared" si="19"/>
        <v>0</v>
      </c>
      <c r="CE25" s="80"/>
      <c r="CF25" s="78">
        <f t="shared" si="20"/>
        <v>0</v>
      </c>
      <c r="CG25" s="80"/>
      <c r="CH25" s="78">
        <f t="shared" si="21"/>
        <v>0</v>
      </c>
      <c r="CI25" s="80"/>
      <c r="CJ25" s="78">
        <f t="shared" si="1"/>
        <v>0</v>
      </c>
      <c r="CK25" s="80"/>
      <c r="CL25" s="77">
        <f t="shared" si="22"/>
        <v>0</v>
      </c>
      <c r="CM25" s="78"/>
      <c r="CN25" s="79"/>
      <c r="CO25" s="79"/>
    </row>
    <row r="26" spans="1:93" ht="25.5" customHeight="1" thickBot="1" x14ac:dyDescent="0.45">
      <c r="A26" s="76">
        <v>43822</v>
      </c>
      <c r="B26" s="49"/>
      <c r="C26" s="65"/>
      <c r="D26" s="77">
        <f t="shared" si="2"/>
        <v>0</v>
      </c>
      <c r="E26" s="65"/>
      <c r="F26" s="77">
        <f t="shared" si="3"/>
        <v>0</v>
      </c>
      <c r="G26" s="65"/>
      <c r="H26" s="77">
        <f t="shared" si="4"/>
        <v>0</v>
      </c>
      <c r="I26" s="65"/>
      <c r="J26" s="77">
        <f t="shared" si="5"/>
        <v>0</v>
      </c>
      <c r="K26" s="65"/>
      <c r="L26" s="77">
        <f t="shared" si="0"/>
        <v>0</v>
      </c>
      <c r="M26" s="80"/>
      <c r="N26" s="78">
        <f t="shared" si="23"/>
        <v>0</v>
      </c>
      <c r="O26" s="65"/>
      <c r="P26" s="78">
        <f t="shared" si="6"/>
        <v>0</v>
      </c>
      <c r="Q26" s="65"/>
      <c r="R26" s="78">
        <f t="shared" si="7"/>
        <v>0</v>
      </c>
      <c r="S26" s="80"/>
      <c r="T26" s="78">
        <f t="shared" si="8"/>
        <v>0</v>
      </c>
      <c r="U26" s="80"/>
      <c r="V26" s="78">
        <f t="shared" si="9"/>
        <v>0</v>
      </c>
      <c r="W26" s="80"/>
      <c r="X26" s="78">
        <f t="shared" si="43"/>
        <v>0</v>
      </c>
      <c r="Y26" s="80"/>
      <c r="Z26" s="78">
        <f t="shared" si="24"/>
        <v>0</v>
      </c>
      <c r="AA26" s="80"/>
      <c r="AB26" s="78">
        <f t="shared" si="25"/>
        <v>0</v>
      </c>
      <c r="AC26" s="80"/>
      <c r="AD26" s="78">
        <f t="shared" si="26"/>
        <v>0</v>
      </c>
      <c r="AE26" s="74"/>
      <c r="AF26" s="78">
        <f t="shared" si="27"/>
        <v>0</v>
      </c>
      <c r="AG26" s="74"/>
      <c r="AH26" s="78">
        <f t="shared" si="10"/>
        <v>0</v>
      </c>
      <c r="AI26" s="80"/>
      <c r="AJ26" s="78">
        <f t="shared" si="28"/>
        <v>0</v>
      </c>
      <c r="AK26" s="80"/>
      <c r="AL26" s="78">
        <f t="shared" si="11"/>
        <v>0</v>
      </c>
      <c r="AM26" s="80"/>
      <c r="AN26" s="78">
        <f t="shared" si="12"/>
        <v>0</v>
      </c>
      <c r="AO26" s="80"/>
      <c r="AP26" s="78">
        <f t="shared" si="13"/>
        <v>0</v>
      </c>
      <c r="AQ26" s="80"/>
      <c r="AR26" s="78">
        <f t="shared" si="29"/>
        <v>0</v>
      </c>
      <c r="AS26" s="80"/>
      <c r="AT26" s="78">
        <f t="shared" si="30"/>
        <v>0</v>
      </c>
      <c r="AU26" s="80"/>
      <c r="AV26" s="78">
        <f t="shared" si="31"/>
        <v>0</v>
      </c>
      <c r="AW26" s="80"/>
      <c r="AX26" s="78">
        <f t="shared" si="32"/>
        <v>0</v>
      </c>
      <c r="AY26" s="80"/>
      <c r="AZ26" s="78">
        <f t="shared" si="33"/>
        <v>0</v>
      </c>
      <c r="BA26" s="80"/>
      <c r="BB26" s="78">
        <f t="shared" si="34"/>
        <v>0</v>
      </c>
      <c r="BC26" s="80"/>
      <c r="BD26" s="78">
        <f t="shared" si="35"/>
        <v>0</v>
      </c>
      <c r="BE26" s="80"/>
      <c r="BF26" s="78">
        <f t="shared" si="14"/>
        <v>0</v>
      </c>
      <c r="BG26" s="80"/>
      <c r="BH26" s="78">
        <f t="shared" si="36"/>
        <v>0</v>
      </c>
      <c r="BI26" s="80"/>
      <c r="BJ26" s="78">
        <f t="shared" si="37"/>
        <v>0</v>
      </c>
      <c r="BK26" s="80"/>
      <c r="BL26" s="78">
        <f t="shared" si="38"/>
        <v>0</v>
      </c>
      <c r="BM26" s="80"/>
      <c r="BN26" s="78">
        <f t="shared" si="39"/>
        <v>0</v>
      </c>
      <c r="BO26" s="80"/>
      <c r="BP26" s="78">
        <f t="shared" si="40"/>
        <v>0</v>
      </c>
      <c r="BQ26" s="80"/>
      <c r="BR26" s="78">
        <f t="shared" si="15"/>
        <v>0</v>
      </c>
      <c r="BS26" s="80"/>
      <c r="BT26" s="78">
        <f t="shared" si="41"/>
        <v>0</v>
      </c>
      <c r="BU26" s="80"/>
      <c r="BV26" s="78">
        <f t="shared" si="16"/>
        <v>0</v>
      </c>
      <c r="BW26" s="80"/>
      <c r="BX26" s="78">
        <f t="shared" si="42"/>
        <v>0</v>
      </c>
      <c r="BY26" s="80"/>
      <c r="BZ26" s="78">
        <f t="shared" si="17"/>
        <v>0</v>
      </c>
      <c r="CA26" s="80"/>
      <c r="CB26" s="78">
        <f t="shared" si="18"/>
        <v>0</v>
      </c>
      <c r="CC26" s="80"/>
      <c r="CD26" s="78">
        <f t="shared" si="19"/>
        <v>0</v>
      </c>
      <c r="CE26" s="80"/>
      <c r="CF26" s="78">
        <f t="shared" si="20"/>
        <v>0</v>
      </c>
      <c r="CG26" s="80"/>
      <c r="CH26" s="78">
        <f t="shared" si="21"/>
        <v>0</v>
      </c>
      <c r="CI26" s="80"/>
      <c r="CJ26" s="78">
        <f t="shared" si="1"/>
        <v>0</v>
      </c>
      <c r="CK26" s="80"/>
      <c r="CL26" s="77">
        <f t="shared" si="22"/>
        <v>0</v>
      </c>
      <c r="CM26" s="78"/>
      <c r="CN26" s="79"/>
      <c r="CO26" s="79"/>
    </row>
    <row r="27" spans="1:93" ht="25.5" customHeight="1" thickBot="1" x14ac:dyDescent="0.45">
      <c r="A27" s="76">
        <v>43823</v>
      </c>
      <c r="B27" s="49"/>
      <c r="C27" s="80"/>
      <c r="D27" s="77">
        <f t="shared" si="2"/>
        <v>0</v>
      </c>
      <c r="E27" s="65"/>
      <c r="F27" s="77">
        <f t="shared" si="3"/>
        <v>0</v>
      </c>
      <c r="G27" s="65"/>
      <c r="H27" s="77">
        <f t="shared" si="4"/>
        <v>0</v>
      </c>
      <c r="I27" s="80"/>
      <c r="J27" s="77">
        <f t="shared" si="5"/>
        <v>0</v>
      </c>
      <c r="K27" s="80"/>
      <c r="L27" s="77">
        <f t="shared" si="0"/>
        <v>0</v>
      </c>
      <c r="M27" s="80"/>
      <c r="N27" s="78">
        <f t="shared" si="23"/>
        <v>0</v>
      </c>
      <c r="O27" s="65"/>
      <c r="P27" s="78">
        <f t="shared" si="6"/>
        <v>0</v>
      </c>
      <c r="Q27" s="80"/>
      <c r="R27" s="78">
        <f t="shared" si="7"/>
        <v>0</v>
      </c>
      <c r="S27" s="80"/>
      <c r="T27" s="78">
        <f t="shared" si="8"/>
        <v>0</v>
      </c>
      <c r="U27" s="80"/>
      <c r="V27" s="78">
        <f t="shared" si="9"/>
        <v>0</v>
      </c>
      <c r="W27" s="80"/>
      <c r="X27" s="78">
        <f t="shared" si="43"/>
        <v>0</v>
      </c>
      <c r="Y27" s="80"/>
      <c r="Z27" s="78">
        <f t="shared" si="24"/>
        <v>0</v>
      </c>
      <c r="AA27" s="80"/>
      <c r="AB27" s="78">
        <f t="shared" si="25"/>
        <v>0</v>
      </c>
      <c r="AC27" s="80"/>
      <c r="AD27" s="78">
        <f t="shared" si="26"/>
        <v>0</v>
      </c>
      <c r="AE27" s="74"/>
      <c r="AF27" s="78">
        <f t="shared" si="27"/>
        <v>0</v>
      </c>
      <c r="AG27" s="74"/>
      <c r="AH27" s="78">
        <f t="shared" si="10"/>
        <v>0</v>
      </c>
      <c r="AI27" s="80"/>
      <c r="AJ27" s="78">
        <f t="shared" si="28"/>
        <v>0</v>
      </c>
      <c r="AK27" s="80"/>
      <c r="AL27" s="78">
        <f t="shared" si="11"/>
        <v>0</v>
      </c>
      <c r="AM27" s="80"/>
      <c r="AN27" s="78">
        <f t="shared" si="12"/>
        <v>0</v>
      </c>
      <c r="AO27" s="80"/>
      <c r="AP27" s="78">
        <f t="shared" si="13"/>
        <v>0</v>
      </c>
      <c r="AQ27" s="80"/>
      <c r="AR27" s="78">
        <f t="shared" si="29"/>
        <v>0</v>
      </c>
      <c r="AS27" s="80"/>
      <c r="AT27" s="78">
        <f t="shared" si="30"/>
        <v>0</v>
      </c>
      <c r="AU27" s="80"/>
      <c r="AV27" s="78">
        <f t="shared" si="31"/>
        <v>0</v>
      </c>
      <c r="AW27" s="80"/>
      <c r="AX27" s="78">
        <f t="shared" si="32"/>
        <v>0</v>
      </c>
      <c r="AY27" s="80"/>
      <c r="AZ27" s="78">
        <f t="shared" si="33"/>
        <v>0</v>
      </c>
      <c r="BA27" s="80"/>
      <c r="BB27" s="78">
        <f t="shared" si="34"/>
        <v>0</v>
      </c>
      <c r="BC27" s="80"/>
      <c r="BD27" s="78">
        <f t="shared" si="35"/>
        <v>0</v>
      </c>
      <c r="BE27" s="80"/>
      <c r="BF27" s="78">
        <f t="shared" si="14"/>
        <v>0</v>
      </c>
      <c r="BG27" s="80"/>
      <c r="BH27" s="78">
        <f t="shared" si="36"/>
        <v>0</v>
      </c>
      <c r="BI27" s="80"/>
      <c r="BJ27" s="78">
        <f t="shared" si="37"/>
        <v>0</v>
      </c>
      <c r="BK27" s="80"/>
      <c r="BL27" s="78">
        <f t="shared" si="38"/>
        <v>0</v>
      </c>
      <c r="BM27" s="80"/>
      <c r="BN27" s="78">
        <f t="shared" si="39"/>
        <v>0</v>
      </c>
      <c r="BO27" s="80"/>
      <c r="BP27" s="78">
        <f t="shared" si="40"/>
        <v>0</v>
      </c>
      <c r="BQ27" s="80"/>
      <c r="BR27" s="78">
        <f t="shared" si="15"/>
        <v>0</v>
      </c>
      <c r="BS27" s="80"/>
      <c r="BT27" s="78">
        <f t="shared" si="41"/>
        <v>0</v>
      </c>
      <c r="BU27" s="80"/>
      <c r="BV27" s="78">
        <f t="shared" si="16"/>
        <v>0</v>
      </c>
      <c r="BW27" s="80"/>
      <c r="BX27" s="78">
        <f t="shared" si="42"/>
        <v>0</v>
      </c>
      <c r="BY27" s="80"/>
      <c r="BZ27" s="78">
        <f t="shared" si="17"/>
        <v>0</v>
      </c>
      <c r="CA27" s="80"/>
      <c r="CB27" s="78">
        <f t="shared" si="18"/>
        <v>0</v>
      </c>
      <c r="CC27" s="80"/>
      <c r="CD27" s="78">
        <f t="shared" si="19"/>
        <v>0</v>
      </c>
      <c r="CE27" s="80"/>
      <c r="CF27" s="78">
        <f t="shared" si="20"/>
        <v>0</v>
      </c>
      <c r="CG27" s="80"/>
      <c r="CH27" s="78">
        <f t="shared" si="21"/>
        <v>0</v>
      </c>
      <c r="CI27" s="80"/>
      <c r="CJ27" s="78">
        <f t="shared" si="1"/>
        <v>0</v>
      </c>
      <c r="CK27" s="80"/>
      <c r="CL27" s="77">
        <f t="shared" si="22"/>
        <v>0</v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80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80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80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80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80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80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251</v>
      </c>
      <c r="R35" s="87">
        <f>SUM(R4:R33)</f>
        <v>101</v>
      </c>
      <c r="AX35" s="78">
        <f t="shared" si="32"/>
        <v>0</v>
      </c>
      <c r="BF35" s="87">
        <f>SUM(BF4:BF33)</f>
        <v>627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abSelected="1" workbookViewId="0">
      <selection activeCell="Q23" sqref="Q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107" t="s">
        <v>0</v>
      </c>
      <c r="B4" s="110" t="s">
        <v>54</v>
      </c>
      <c r="C4" s="110" t="s">
        <v>55</v>
      </c>
      <c r="D4" s="113" t="s">
        <v>56</v>
      </c>
      <c r="E4" s="96" t="s">
        <v>57</v>
      </c>
      <c r="F4" s="116"/>
      <c r="G4" s="116"/>
      <c r="H4" s="116"/>
      <c r="I4" s="116"/>
      <c r="J4" s="97"/>
      <c r="K4" s="104" t="s">
        <v>58</v>
      </c>
      <c r="L4" s="105"/>
      <c r="M4" s="106"/>
      <c r="N4" s="95" t="s">
        <v>37</v>
      </c>
      <c r="O4" s="95"/>
      <c r="P4" s="95"/>
      <c r="Q4" s="95"/>
    </row>
    <row r="5" spans="1:17" ht="33.75" customHeight="1" x14ac:dyDescent="0.25">
      <c r="A5" s="108"/>
      <c r="B5" s="111"/>
      <c r="C5" s="111"/>
      <c r="D5" s="114"/>
      <c r="E5" s="96" t="s">
        <v>59</v>
      </c>
      <c r="F5" s="97"/>
      <c r="G5" s="96" t="s">
        <v>60</v>
      </c>
      <c r="H5" s="97"/>
      <c r="I5" s="96" t="s">
        <v>61</v>
      </c>
      <c r="J5" s="97"/>
      <c r="K5" s="98" t="s">
        <v>62</v>
      </c>
      <c r="L5" s="99"/>
      <c r="M5" s="100"/>
      <c r="N5" s="101" t="s">
        <v>63</v>
      </c>
      <c r="O5" s="102"/>
      <c r="P5" s="102"/>
      <c r="Q5" s="103"/>
    </row>
    <row r="6" spans="1:17" x14ac:dyDescent="0.25">
      <c r="A6" s="109"/>
      <c r="B6" s="112"/>
      <c r="C6" s="112"/>
      <c r="D6" s="115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20"/>
      <c r="C23" s="20"/>
      <c r="D23" s="20"/>
      <c r="E23" s="28"/>
      <c r="F23" s="28"/>
      <c r="G23" s="28"/>
      <c r="H23" s="28"/>
      <c r="I23" s="28"/>
      <c r="J23" s="28"/>
      <c r="K23" s="29"/>
      <c r="L23" s="29"/>
      <c r="M23" s="29"/>
      <c r="N23" s="30"/>
      <c r="O23" s="30"/>
      <c r="P23" s="30"/>
      <c r="Q23" s="30"/>
    </row>
    <row r="24" spans="1:17" x14ac:dyDescent="0.25">
      <c r="A24" s="47">
        <v>43815</v>
      </c>
      <c r="B24" s="20"/>
      <c r="C24" s="20"/>
      <c r="D24" s="20"/>
      <c r="E24" s="28"/>
      <c r="F24" s="28"/>
      <c r="G24" s="28"/>
      <c r="H24" s="28"/>
      <c r="I24" s="28"/>
      <c r="J24" s="28"/>
      <c r="K24" s="29"/>
      <c r="L24" s="29"/>
      <c r="M24" s="29"/>
      <c r="N24" s="30"/>
      <c r="O24" s="30"/>
      <c r="P24" s="30"/>
      <c r="Q24" s="30"/>
    </row>
    <row r="25" spans="1:17" x14ac:dyDescent="0.25">
      <c r="A25" s="47">
        <v>43816</v>
      </c>
      <c r="B25" s="20"/>
      <c r="C25" s="20"/>
      <c r="D25" s="20"/>
      <c r="E25" s="28"/>
      <c r="F25" s="28"/>
      <c r="G25" s="28"/>
      <c r="H25" s="28"/>
      <c r="I25" s="28"/>
      <c r="J25" s="28"/>
      <c r="K25" s="29"/>
      <c r="L25" s="29"/>
      <c r="M25" s="29"/>
      <c r="N25" s="30"/>
      <c r="O25" s="30"/>
      <c r="P25" s="30"/>
      <c r="Q25" s="30"/>
    </row>
    <row r="26" spans="1:17" x14ac:dyDescent="0.25">
      <c r="A26" s="47">
        <v>43817</v>
      </c>
      <c r="B26" s="20"/>
      <c r="C26" s="20"/>
      <c r="D26" s="20"/>
      <c r="E26" s="28"/>
      <c r="F26" s="28"/>
      <c r="G26" s="28"/>
      <c r="H26" s="28"/>
      <c r="I26" s="28"/>
      <c r="J26" s="28"/>
      <c r="K26" s="29"/>
      <c r="L26" s="29"/>
      <c r="M26" s="29"/>
      <c r="N26" s="30"/>
      <c r="O26" s="30"/>
      <c r="P26" s="30"/>
      <c r="Q26" s="30"/>
    </row>
    <row r="27" spans="1:17" x14ac:dyDescent="0.25">
      <c r="A27" s="47">
        <v>43818</v>
      </c>
      <c r="B27" s="20"/>
      <c r="C27" s="20"/>
      <c r="D27" s="20"/>
      <c r="E27" s="28"/>
      <c r="F27" s="28"/>
      <c r="G27" s="28"/>
      <c r="H27" s="28"/>
      <c r="I27" s="28"/>
      <c r="J27" s="28"/>
      <c r="K27" s="29"/>
      <c r="L27" s="29"/>
      <c r="M27" s="29"/>
      <c r="N27" s="30"/>
      <c r="O27" s="30"/>
      <c r="P27" s="30"/>
      <c r="Q27" s="30"/>
    </row>
    <row r="28" spans="1:17" x14ac:dyDescent="0.25">
      <c r="A28" s="47">
        <v>43819</v>
      </c>
      <c r="B28" s="20"/>
      <c r="C28" s="20"/>
      <c r="D28" s="20"/>
      <c r="E28" s="28"/>
      <c r="F28" s="28"/>
      <c r="G28" s="28"/>
      <c r="H28" s="28"/>
      <c r="I28" s="28"/>
      <c r="J28" s="28"/>
      <c r="K28" s="29"/>
      <c r="L28" s="29"/>
      <c r="M28" s="29"/>
      <c r="N28" s="30"/>
      <c r="O28" s="30"/>
      <c r="P28" s="30"/>
      <c r="Q28" s="30"/>
    </row>
    <row r="29" spans="1:17" x14ac:dyDescent="0.25">
      <c r="A29" s="47">
        <v>43820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43821</v>
      </c>
      <c r="B30" s="20"/>
      <c r="C30" s="20"/>
      <c r="D30" s="20"/>
      <c r="E30" s="28"/>
      <c r="F30" s="28"/>
      <c r="G30" s="28"/>
      <c r="H30" s="28"/>
      <c r="I30" s="28"/>
      <c r="J30" s="28"/>
      <c r="K30" s="29"/>
      <c r="L30" s="29"/>
      <c r="M30" s="29"/>
      <c r="N30" s="30"/>
      <c r="O30" s="30"/>
      <c r="P30" s="30"/>
      <c r="Q30" s="30"/>
    </row>
    <row r="31" spans="1:17" x14ac:dyDescent="0.25">
      <c r="A31" s="47">
        <v>43822</v>
      </c>
      <c r="B31" s="20"/>
      <c r="C31" s="20"/>
      <c r="D31" s="20"/>
      <c r="E31" s="28"/>
      <c r="F31" s="28"/>
      <c r="G31" s="28"/>
      <c r="H31" s="28"/>
      <c r="I31" s="28"/>
      <c r="J31" s="28"/>
      <c r="K31" s="29"/>
      <c r="L31" s="29"/>
      <c r="M31" s="29"/>
      <c r="N31" s="30"/>
      <c r="O31" s="30"/>
      <c r="P31" s="30"/>
      <c r="Q31" s="30"/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2019-12-15T03:25:33Z</dcterms:modified>
</cp:coreProperties>
</file>