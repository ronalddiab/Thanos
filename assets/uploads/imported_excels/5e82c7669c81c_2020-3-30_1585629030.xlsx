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M38" i="1" l="1"/>
  <c r="M37" i="1"/>
  <c r="M36" i="1"/>
  <c r="M35" i="1"/>
  <c r="M34" i="1"/>
  <c r="M33" i="1"/>
  <c r="M32" i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A36" i="1"/>
  <c r="L28" i="3" l="1"/>
  <c r="K28" i="3"/>
  <c r="I28" i="3"/>
  <c r="G28" i="3"/>
  <c r="E28" i="3"/>
  <c r="J29" i="2"/>
  <c r="I29" i="2"/>
  <c r="H29" i="2"/>
  <c r="F29" i="2"/>
  <c r="E29" i="2"/>
  <c r="J28" i="2"/>
  <c r="I28" i="2"/>
  <c r="H28" i="2"/>
  <c r="F28" i="2"/>
  <c r="E28" i="2"/>
  <c r="A34" i="1"/>
  <c r="A35" i="1" s="1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M31" i="1" l="1"/>
  <c r="M30" i="1"/>
  <c r="M29" i="1"/>
  <c r="M28" i="1"/>
  <c r="M27" i="1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A26" i="1"/>
  <c r="M26" i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B31" i="3" l="1"/>
  <c r="B32" i="3" s="1"/>
  <c r="I40" i="1"/>
  <c r="H40" i="1"/>
  <c r="K39" i="1"/>
  <c r="J39" i="1"/>
  <c r="I39" i="1"/>
  <c r="H39" i="1"/>
  <c r="G39" i="1"/>
  <c r="F39" i="1"/>
  <c r="E39" i="1"/>
  <c r="C39" i="1"/>
  <c r="B39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7" i="1" s="1"/>
  <c r="A38" i="1" s="1"/>
  <c r="M9" i="1"/>
  <c r="A9" i="1"/>
  <c r="M8" i="1"/>
  <c r="L29" i="3" l="1"/>
  <c r="K29" i="3"/>
  <c r="I29" i="3"/>
  <c r="G29" i="3"/>
  <c r="E29" i="3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<sst xmlns="http://schemas.openxmlformats.org/spreadsheetml/2006/main" count="106" uniqueCount="37">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</sst>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0" fontId="0" fillId="0" borderId="0" xfId="1" applyNumberFormat="1" applyFont="1"/>
    <xf numFmtId="164" fontId="5" fillId="0" borderId="15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7" workbookViewId="0">
      <selection activeCell="N33" sqref="N3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'03 - 2020'!B24-'03 - 2020'!B23+'03 - 2020'!C24-'03 - 2020'!C23</f>
        <v>5782</v>
      </c>
      <c r="F18" s="24">
        <v>0.11799999999999999</v>
      </c>
      <c r="G18" s="26">
        <f>(('03 - 2020'!E24-'03 - 2020'!E23)+('03 - 2020'!F24-'03 - 2020'!F23)+('03 - 2020'!G24-'03 - 2020'!G23))*1.81</f>
        <v>91.622200000001456</v>
      </c>
      <c r="H18" s="24">
        <v>0.99</v>
      </c>
      <c r="I18" s="26">
        <f>'03 - 2020'!J24-'03 - 2020'!J23</f>
        <v>10046</v>
      </c>
      <c r="J18" s="24">
        <v>8.1000000000000003E-2</v>
      </c>
      <c r="K18" s="63">
        <f>'03 - 2020'!H24-'03 - 2020'!H23</f>
        <v>0</v>
      </c>
      <c r="L18" s="26">
        <f>'03 - 2020'!I24-'03 - 2020'!I23</f>
        <v>64</v>
      </c>
      <c r="M18" s="25">
        <v>4.393629424766913</v>
      </c>
      <c r="N18" s="52">
        <v>8</v>
      </c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'03 - 2020'!B25-'03 - 2020'!B24+'03 - 2020'!C25-'03 - 2020'!C24</f>
        <v>5103</v>
      </c>
      <c r="F19" s="24">
        <v>0.11799999999999999</v>
      </c>
      <c r="G19" s="26">
        <f>(('03 - 2020'!E25-'03 - 2020'!E24)+('03 - 2020'!F25-'03 - 2020'!F24)+('03 - 2020'!G25-'03 - 2020'!G24))*1.81</f>
        <v>79.477100000000561</v>
      </c>
      <c r="H19" s="24">
        <v>0.99</v>
      </c>
      <c r="I19" s="26">
        <f>'03 - 2020'!J25-'03 - 2020'!J24</f>
        <v>10113</v>
      </c>
      <c r="J19" s="24">
        <v>8.1000000000000003E-2</v>
      </c>
      <c r="K19" s="63">
        <f>'03 - 2020'!H25-'03 - 2020'!H24</f>
        <v>0</v>
      </c>
      <c r="L19" s="26">
        <f>'03 - 2020'!I25-'03 - 2020'!I24</f>
        <v>59</v>
      </c>
      <c r="M19" s="25">
        <v>4.393629424766913</v>
      </c>
      <c r="N19" s="52">
        <v>5</v>
      </c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4869</v>
      </c>
      <c r="F20" s="24">
        <v>0.11799999999999999</v>
      </c>
      <c r="G20" s="26">
        <f>(('03 - 2020'!E26-'03 - 2020'!E25)+('03 - 2020'!F26-'03 - 2020'!F25)+('03 - 2020'!G26-'03 - 2020'!G25))*1.81</f>
        <v>68.834299999997896</v>
      </c>
      <c r="H20" s="24">
        <v>0.99</v>
      </c>
      <c r="I20" s="26">
        <f>'03 - 2020'!J26-'03 - 2020'!J25</f>
        <v>8945</v>
      </c>
      <c r="J20" s="24">
        <v>8.1000000000000003E-2</v>
      </c>
      <c r="K20" s="63">
        <f>'03 - 2020'!H26-'03 - 2020'!H25</f>
        <v>0</v>
      </c>
      <c r="L20" s="26">
        <f>'03 - 2020'!I26-'03 - 2020'!I25</f>
        <v>51</v>
      </c>
      <c r="M20" s="25">
        <v>4.393629424766913</v>
      </c>
      <c r="N20" s="52">
        <v>4</v>
      </c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5021</v>
      </c>
      <c r="F21" s="24">
        <v>0.11799999999999999</v>
      </c>
      <c r="G21" s="26">
        <f>(('03 - 2020'!E27-'03 - 2020'!E26)+('03 - 2020'!F27-'03 - 2020'!F26)+('03 - 2020'!G27-'03 - 2020'!G26))*1.81</f>
        <v>68.78000000000165</v>
      </c>
      <c r="H21" s="24">
        <v>0.99</v>
      </c>
      <c r="I21" s="26">
        <f>'03 - 2020'!J27-'03 - 2020'!J26</f>
        <v>9269</v>
      </c>
      <c r="J21" s="24">
        <v>8.1000000000000003E-2</v>
      </c>
      <c r="K21" s="63">
        <f>'03 - 2020'!H27-'03 - 2020'!H26</f>
        <v>0</v>
      </c>
      <c r="L21" s="26">
        <f>'03 - 2020'!I27-'03 - 2020'!I26</f>
        <v>39</v>
      </c>
      <c r="M21" s="25">
        <v>4.393629424766913</v>
      </c>
      <c r="N21" s="52">
        <v>6</v>
      </c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4681</v>
      </c>
      <c r="F22" s="24">
        <v>0.11799999999999999</v>
      </c>
      <c r="G22" s="26">
        <f>(('03 - 2020'!E28-'03 - 2020'!E27)+('03 - 2020'!F28-'03 - 2020'!F27)+('03 - 2020'!G28-'03 - 2020'!G27))*1.81</f>
        <v>68.200799999999703</v>
      </c>
      <c r="H22" s="24">
        <v>0.99</v>
      </c>
      <c r="I22" s="26">
        <f>'03 - 2020'!J28-'03 - 2020'!J27</f>
        <v>8761</v>
      </c>
      <c r="J22" s="24">
        <v>8.1000000000000003E-2</v>
      </c>
      <c r="K22" s="63">
        <f>'03 - 2020'!H28-'03 - 2020'!H27</f>
        <v>0</v>
      </c>
      <c r="L22" s="26">
        <f>'03 - 2020'!I28-'03 - 2020'!I27</f>
        <v>30</v>
      </c>
      <c r="M22" s="25">
        <v>4.393629424766913</v>
      </c>
      <c r="N22" s="52">
        <v>5</v>
      </c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3986</v>
      </c>
      <c r="F23" s="24">
        <v>0.11799999999999999</v>
      </c>
      <c r="G23" s="26">
        <f>(('03 - 2020'!E29-'03 - 2020'!E28)+('03 - 2020'!F29-'03 - 2020'!F28)+('03 - 2020'!G29-'03 - 2020'!G28))*1.81</f>
        <v>59.494700000001451</v>
      </c>
      <c r="H23" s="24">
        <v>0.99</v>
      </c>
      <c r="I23" s="26">
        <f>'03 - 2020'!J29-'03 - 2020'!J28</f>
        <v>6745</v>
      </c>
      <c r="J23" s="24">
        <v>8.1000000000000003E-2</v>
      </c>
      <c r="K23" s="63">
        <f>'03 - 2020'!H29-'03 - 2020'!H28</f>
        <v>0</v>
      </c>
      <c r="L23" s="26">
        <f>'03 - 2020'!I29-'03 - 2020'!I28</f>
        <v>26</v>
      </c>
      <c r="M23" s="25">
        <v>4.393629424766913</v>
      </c>
      <c r="N23" s="52">
        <v>6</v>
      </c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'03 - 2020'!B30-'03 - 2020'!B29+'03 - 2020'!C30-'03 - 2020'!C29</f>
        <v>4109</v>
      </c>
      <c r="F24" s="24">
        <v>0.11799999999999999</v>
      </c>
      <c r="G24" s="26">
        <f>(('03 - 2020'!E30-'03 - 2020'!E29)+('03 - 2020'!F30-'03 - 2020'!F29)+('03 - 2020'!G30-'03 - 2020'!G29))*1.81</f>
        <v>46.173099999998747</v>
      </c>
      <c r="H24" s="24">
        <v>0.99</v>
      </c>
      <c r="I24" s="26">
        <f>'03 - 2020'!J30-'03 - 2020'!J29</f>
        <v>7402</v>
      </c>
      <c r="J24" s="24">
        <v>8.1000000000000003E-2</v>
      </c>
      <c r="K24" s="63">
        <f>'03 - 2020'!H30-'03 - 2020'!H29</f>
        <v>0</v>
      </c>
      <c r="L24" s="26">
        <f>'03 - 2020'!I30-'03 - 2020'!I29</f>
        <v>25</v>
      </c>
      <c r="M24" s="25">
        <v>4.393629424766913</v>
      </c>
      <c r="N24" s="52">
        <v>8</v>
      </c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4024</v>
      </c>
      <c r="F25" s="24">
        <v>0.11799999999999999</v>
      </c>
      <c r="G25" s="26">
        <f>(('03 - 2020'!E31-'03 - 2020'!E30)+('03 - 2020'!F31-'03 - 2020'!F30)+('03 - 2020'!G31-'03 - 2020'!G30))*1.81</f>
        <v>61.413300000000525</v>
      </c>
      <c r="H25" s="24">
        <v>0.99</v>
      </c>
      <c r="I25" s="26">
        <f>'03 - 2020'!J31-'03 - 2020'!J30</f>
        <v>5234</v>
      </c>
      <c r="J25" s="24">
        <v>8.1000000000000003E-2</v>
      </c>
      <c r="K25" s="63">
        <f>'03 - 2020'!H31-'03 - 2020'!H30</f>
        <v>0</v>
      </c>
      <c r="L25" s="26">
        <f>'03 - 2020'!I31-'03 - 2020'!I30</f>
        <v>23</v>
      </c>
      <c r="M25" s="25">
        <v>4.393629424766913</v>
      </c>
      <c r="N25" s="52">
        <v>6</v>
      </c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'03 - 2020'!B32-'03 - 2020'!B31+'03 - 2020'!C32-'03 - 2020'!C31</f>
        <v>3804</v>
      </c>
      <c r="F26" s="24">
        <v>0.11799999999999999</v>
      </c>
      <c r="G26" s="26">
        <f>(('03 - 2020'!E32-'03 - 2020'!E31)+('03 - 2020'!F32-'03 - 2020'!F31)+('03 - 2020'!G32-'03 - 2020'!G31))*1.81</f>
        <v>59.856699999999478</v>
      </c>
      <c r="H26" s="24">
        <v>0.99</v>
      </c>
      <c r="I26" s="26">
        <f>'03 - 2020'!J32-'03 - 2020'!J31</f>
        <v>5716</v>
      </c>
      <c r="J26" s="24">
        <v>8.1000000000000003E-2</v>
      </c>
      <c r="K26" s="63">
        <f>'03 - 2020'!H32-'03 - 2020'!H31</f>
        <v>0</v>
      </c>
      <c r="L26" s="26">
        <f>'03 - 2020'!I32-'03 - 2020'!I31</f>
        <v>23</v>
      </c>
      <c r="M26" s="25">
        <v>4.393629424766913</v>
      </c>
      <c r="N26" s="52">
        <v>6</v>
      </c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'03 - 2020'!B33-'03 - 2020'!B32+'03 - 2020'!C33-'03 - 2020'!C32</f>
        <v>3609</v>
      </c>
      <c r="F27" s="24">
        <v>0.11799999999999999</v>
      </c>
      <c r="G27" s="26">
        <f>(('03 - 2020'!E33-'03 - 2020'!E32)+('03 - 2020'!F33-'03 - 2020'!F32)+('03 - 2020'!G33-'03 - 2020'!G32))*1.81</f>
        <v>60.924599999995621</v>
      </c>
      <c r="H27" s="24">
        <v>0.99</v>
      </c>
      <c r="I27" s="26">
        <f>'03 - 2020'!J33-'03 - 2020'!J32</f>
        <v>5133</v>
      </c>
      <c r="J27" s="24">
        <v>8.1000000000000003E-2</v>
      </c>
      <c r="K27" s="63">
        <f>'03 - 2020'!H33-'03 - 2020'!H32</f>
        <v>0</v>
      </c>
      <c r="L27" s="26">
        <f>'03 - 2020'!I33-'03 - 2020'!I32</f>
        <v>23</v>
      </c>
      <c r="M27" s="25">
        <v>4.393629424766913</v>
      </c>
      <c r="N27" s="52">
        <v>5</v>
      </c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'03 - 2020'!B34-'03 - 2020'!B33+'03 - 2020'!C34-'03 - 2020'!C33</f>
        <v>3510</v>
      </c>
      <c r="F28" s="24">
        <v>0.11799999999999999</v>
      </c>
      <c r="G28" s="26">
        <f>(('03 - 2020'!E34-'03 - 2020'!E33)+('03 - 2020'!F34-'03 - 2020'!F33)+('03 - 2020'!G34-'03 - 2020'!G33))*1.81</f>
        <v>60.345400000006848</v>
      </c>
      <c r="H28" s="24">
        <v>0.99</v>
      </c>
      <c r="I28" s="26">
        <f>'03 - 2020'!J34-'03 - 2020'!J33</f>
        <v>5021</v>
      </c>
      <c r="J28" s="24">
        <v>8.1000000000000003E-2</v>
      </c>
      <c r="K28" s="63">
        <f>'03 - 2020'!H34-'03 - 2020'!H33</f>
        <v>0</v>
      </c>
      <c r="L28" s="26">
        <f>'03 - 2020'!I34-'03 - 2020'!I33</f>
        <v>21</v>
      </c>
      <c r="M28" s="25">
        <v>4.393629424766913</v>
      </c>
      <c r="N28" s="52">
        <v>3</v>
      </c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3444</v>
      </c>
      <c r="F29" s="24">
        <v>0.11799999999999999</v>
      </c>
      <c r="G29" s="26">
        <f>(('03 - 2020'!E35-'03 - 2020'!E34)+('03 - 2020'!F35-'03 - 2020'!F34)+('03 - 2020'!G35-'03 - 2020'!G34))*1.81</f>
        <v>56.417699999996842</v>
      </c>
      <c r="H29" s="24">
        <v>0.99</v>
      </c>
      <c r="I29" s="26">
        <f>'03 - 2020'!J35-'03 - 2020'!J34</f>
        <v>5636</v>
      </c>
      <c r="J29" s="24">
        <v>8.1000000000000003E-2</v>
      </c>
      <c r="K29" s="63">
        <f>'03 - 2020'!H35-'03 - 2020'!H34</f>
        <v>0</v>
      </c>
      <c r="L29" s="26">
        <f>'03 - 2020'!I35-'03 - 2020'!I34</f>
        <v>23</v>
      </c>
      <c r="M29" s="25">
        <v>4.393629424766913</v>
      </c>
      <c r="N29" s="52">
        <v>8</v>
      </c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3415</v>
      </c>
      <c r="F30" s="24">
        <v>0.11799999999999999</v>
      </c>
      <c r="G30" s="26">
        <f>(('03 - 2020'!E36-'03 - 2020'!E35)+('03 - 2020'!F36-'03 - 2020'!F35)+('03 - 2020'!G36-'03 - 2020'!G35))*1.81</f>
        <v>53.087299999999871</v>
      </c>
      <c r="H30" s="24">
        <v>0.99</v>
      </c>
      <c r="I30" s="26">
        <f>'03 - 2020'!J36-'03 - 2020'!J35</f>
        <v>5131</v>
      </c>
      <c r="J30" s="24">
        <v>8.1000000000000003E-2</v>
      </c>
      <c r="K30" s="63">
        <f>'03 - 2020'!H36-'03 - 2020'!H35</f>
        <v>0</v>
      </c>
      <c r="L30" s="26">
        <f>'03 - 2020'!I36-'03 - 2020'!I35</f>
        <v>21</v>
      </c>
      <c r="M30" s="25">
        <v>4.393629424766913</v>
      </c>
      <c r="N30" s="52">
        <v>8</v>
      </c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'03 - 2020'!B37-'03 - 2020'!B36+'03 - 2020'!C37-'03 - 2020'!C36</f>
        <v>3454</v>
      </c>
      <c r="F31" s="24">
        <v>0.11799999999999999</v>
      </c>
      <c r="G31" s="26">
        <f>(('03 - 2020'!E37-'03 - 2020'!E36)+('03 - 2020'!F37-'03 - 2020'!F36)+('03 - 2020'!G37-'03 - 2020'!G36))*1.81</f>
        <v>60.182500000000005</v>
      </c>
      <c r="H31" s="24">
        <v>0.99</v>
      </c>
      <c r="I31" s="26">
        <f>'03 - 2020'!J37-'03 - 2020'!J36</f>
        <v>5379</v>
      </c>
      <c r="J31" s="24">
        <v>8.1000000000000003E-2</v>
      </c>
      <c r="K31" s="63">
        <f>'03 - 2020'!H37-'03 - 2020'!H36</f>
        <v>0</v>
      </c>
      <c r="L31" s="26">
        <f>'03 - 2020'!I37-'03 - 2020'!I36</f>
        <v>29</v>
      </c>
      <c r="M31" s="25">
        <v>4.393629424766913</v>
      </c>
      <c r="N31" s="53">
        <v>9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'03 - 2020'!B38-'03 - 2020'!B37+'03 - 2020'!C38-'03 - 2020'!C37</f>
        <v>3566</v>
      </c>
      <c r="F32" s="24">
        <v>0.11799999999999999</v>
      </c>
      <c r="G32" s="26">
        <f>(('03 - 2020'!E38-'03 - 2020'!E37)+('03 - 2020'!F38-'03 - 2020'!F37)+('03 - 2020'!G38-'03 - 2020'!G37))*1.81</f>
        <v>52.888200000002108</v>
      </c>
      <c r="H32" s="24">
        <v>0.99</v>
      </c>
      <c r="I32" s="26">
        <f>'03 - 2020'!J38-'03 - 2020'!J37</f>
        <v>5854</v>
      </c>
      <c r="J32" s="24">
        <v>8.1000000000000003E-2</v>
      </c>
      <c r="K32" s="63">
        <f>'03 - 2020'!H38-'03 - 2020'!H37</f>
        <v>0</v>
      </c>
      <c r="L32" s="26">
        <f>'03 - 2020'!I38-'03 - 2020'!I37</f>
        <v>34</v>
      </c>
      <c r="M32" s="25">
        <v>4.393629424766913</v>
      </c>
      <c r="N32" s="53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33" sqref="L3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</f>
        <v>1681</v>
      </c>
      <c r="F18" s="26">
        <f>'03 - 2020'!C24-'03 - 2020'!C23</f>
        <v>4101</v>
      </c>
      <c r="G18" s="24">
        <v>0.11799999999999999</v>
      </c>
      <c r="H18" s="26">
        <f>'03 - 2020'!E24-'03 - 2020'!E23</f>
        <v>15.6200000000008</v>
      </c>
      <c r="I18" s="26">
        <f>'03 - 2020'!F24-'03 - 2020'!F23</f>
        <v>3</v>
      </c>
      <c r="J18" s="26">
        <f>'03 - 2020'!G24-'03 - 2020'!G23</f>
        <v>32</v>
      </c>
      <c r="K18" s="24">
        <v>0.74</v>
      </c>
      <c r="L18" s="26">
        <v>8</v>
      </c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</f>
        <v>1271</v>
      </c>
      <c r="F19" s="26">
        <f>'03 - 2020'!C25-'03 - 2020'!C24</f>
        <v>3832</v>
      </c>
      <c r="G19" s="24">
        <v>0.11799999999999999</v>
      </c>
      <c r="H19" s="26">
        <f>'03 - 2020'!E25-'03 - 2020'!E24</f>
        <v>16.799999999999272</v>
      </c>
      <c r="I19" s="26">
        <f>'03 - 2020'!F25-'03 - 2020'!F24</f>
        <v>2.9800000000000182</v>
      </c>
      <c r="J19" s="26">
        <f>'03 - 2020'!G25-'03 - 2020'!G24</f>
        <v>24.130000000001019</v>
      </c>
      <c r="K19" s="24">
        <v>0.74</v>
      </c>
      <c r="L19" s="6">
        <v>5</v>
      </c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1177</v>
      </c>
      <c r="F20" s="26">
        <f>'03 - 2020'!C26-'03 - 2020'!C25</f>
        <v>3692</v>
      </c>
      <c r="G20" s="24">
        <v>0.11799999999999999</v>
      </c>
      <c r="H20" s="26">
        <f>'03 - 2020'!E26-'03 - 2020'!E25</f>
        <v>15.010000000000218</v>
      </c>
      <c r="I20" s="26">
        <f>'03 - 2020'!F26-'03 - 2020'!F25</f>
        <v>1.4200000000000728</v>
      </c>
      <c r="J20" s="26">
        <f>'03 - 2020'!G26-'03 - 2020'!G25</f>
        <v>21.599999999998545</v>
      </c>
      <c r="K20" s="24">
        <v>0.74</v>
      </c>
      <c r="L20" s="6">
        <v>4</v>
      </c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1232</v>
      </c>
      <c r="F21" s="26">
        <f>'03 - 2020'!C27-'03 - 2020'!C26</f>
        <v>3789</v>
      </c>
      <c r="G21" s="24">
        <v>0.11799999999999999</v>
      </c>
      <c r="H21" s="26">
        <f>'03 - 2020'!E27-'03 - 2020'!E26</f>
        <v>15.190000000000509</v>
      </c>
      <c r="I21" s="26">
        <f>'03 - 2020'!F27-'03 - 2020'!F26</f>
        <v>2.5399999999999636</v>
      </c>
      <c r="J21" s="26">
        <f>'03 - 2020'!G27-'03 - 2020'!G26</f>
        <v>20.270000000000437</v>
      </c>
      <c r="K21" s="24">
        <v>0.74</v>
      </c>
      <c r="L21" s="6">
        <v>6</v>
      </c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1259</v>
      </c>
      <c r="F22" s="26">
        <f>'03 - 2020'!C28-'03 - 2020'!C27</f>
        <v>3422</v>
      </c>
      <c r="G22" s="24">
        <v>0.11799999999999999</v>
      </c>
      <c r="H22" s="26">
        <f>'03 - 2020'!E28-'03 - 2020'!E27</f>
        <v>15.180000000000291</v>
      </c>
      <c r="I22" s="26">
        <f>'03 - 2020'!F28-'03 - 2020'!F27</f>
        <v>2.0199999999999818</v>
      </c>
      <c r="J22" s="26">
        <f>'03 - 2020'!G28-'03 - 2020'!G27</f>
        <v>20.479999999999563</v>
      </c>
      <c r="K22" s="24">
        <v>0.74</v>
      </c>
      <c r="L22" s="26">
        <v>5</v>
      </c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1151</v>
      </c>
      <c r="F23" s="26">
        <f>'03 - 2020'!C29-'03 - 2020'!C28</f>
        <v>2835</v>
      </c>
      <c r="G23" s="24">
        <v>0.11799999999999999</v>
      </c>
      <c r="H23" s="26">
        <f>'03 - 2020'!E29-'03 - 2020'!E28</f>
        <v>14</v>
      </c>
      <c r="I23" s="26">
        <f>'03 - 2020'!F29-'03 - 2020'!F28</f>
        <v>1.3299999999999272</v>
      </c>
      <c r="J23" s="26">
        <f>'03 - 2020'!G29-'03 - 2020'!G28</f>
        <v>17.540000000000873</v>
      </c>
      <c r="K23" s="24">
        <v>0.74</v>
      </c>
      <c r="L23" s="26">
        <v>6</v>
      </c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</f>
        <v>1215</v>
      </c>
      <c r="F24" s="26">
        <f>'03 - 2020'!C30-'03 - 2020'!C29</f>
        <v>2894</v>
      </c>
      <c r="G24" s="24">
        <v>0.11799999999999999</v>
      </c>
      <c r="H24" s="26">
        <f>'03 - 2020'!E30-'03 - 2020'!E29</f>
        <v>10.819999999999709</v>
      </c>
      <c r="I24" s="26">
        <f>'03 - 2020'!F30-'03 - 2020'!F29</f>
        <v>1.7100000000000364</v>
      </c>
      <c r="J24" s="26">
        <f>'03 - 2020'!G30-'03 - 2020'!G29</f>
        <v>12.979999999999563</v>
      </c>
      <c r="K24" s="24">
        <v>0.74</v>
      </c>
      <c r="L24" s="26">
        <v>8</v>
      </c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992</v>
      </c>
      <c r="F25" s="26">
        <f>'03 - 2020'!C31-'03 - 2020'!C30</f>
        <v>3032</v>
      </c>
      <c r="G25" s="24">
        <v>0.11799999999999999</v>
      </c>
      <c r="H25" s="26">
        <f>'03 - 2020'!E31-'03 - 2020'!E30</f>
        <v>14.930000000000291</v>
      </c>
      <c r="I25" s="26">
        <f>'03 - 2020'!F31-'03 - 2020'!F30</f>
        <v>0</v>
      </c>
      <c r="J25" s="26">
        <f>'03 - 2020'!G31-'03 - 2020'!G30</f>
        <v>19</v>
      </c>
      <c r="K25" s="24">
        <v>0.74</v>
      </c>
      <c r="L25" s="6">
        <v>6</v>
      </c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</f>
        <v>925</v>
      </c>
      <c r="F26" s="26">
        <f>'03 - 2020'!C32-'03 - 2020'!C31</f>
        <v>2879</v>
      </c>
      <c r="G26" s="24">
        <v>0.11799999999999999</v>
      </c>
      <c r="H26" s="26">
        <f>'03 - 2020'!E32-'03 - 2020'!E31</f>
        <v>15.069999999999709</v>
      </c>
      <c r="I26" s="26">
        <f>'03 - 2020'!F32-'03 - 2020'!F31</f>
        <v>0</v>
      </c>
      <c r="J26" s="26">
        <f>'03 - 2020'!G32-'03 - 2020'!G31</f>
        <v>18</v>
      </c>
      <c r="K26" s="24">
        <v>0.74</v>
      </c>
      <c r="L26" s="6">
        <v>6</v>
      </c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</f>
        <v>720</v>
      </c>
      <c r="F27" s="26">
        <f>'03 - 2020'!C33-'03 - 2020'!C32</f>
        <v>2889</v>
      </c>
      <c r="G27" s="24">
        <v>0.11799999999999999</v>
      </c>
      <c r="H27" s="26">
        <f>'03 - 2020'!E33-'03 - 2020'!E32</f>
        <v>15.3799999999992</v>
      </c>
      <c r="I27" s="26">
        <f>'03 - 2020'!F33-'03 - 2020'!F32</f>
        <v>0.67999999999983629</v>
      </c>
      <c r="J27" s="26">
        <f>'03 - 2020'!G33-'03 - 2020'!G32</f>
        <v>17.599999999998545</v>
      </c>
      <c r="K27" s="24">
        <v>0.74</v>
      </c>
      <c r="L27" s="6">
        <v>5</v>
      </c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</f>
        <v>677</v>
      </c>
      <c r="F28" s="26">
        <f>'03 - 2020'!C34-'03 - 2020'!C33</f>
        <v>2833</v>
      </c>
      <c r="G28" s="24">
        <v>0.11799999999999999</v>
      </c>
      <c r="H28" s="26">
        <f>'03 - 2020'!E34-'03 - 2020'!E33</f>
        <v>16.130000000001019</v>
      </c>
      <c r="I28" s="26">
        <f>'03 - 2020'!F34-'03 - 2020'!F33</f>
        <v>0</v>
      </c>
      <c r="J28" s="26">
        <f>'03 - 2020'!G34-'03 - 2020'!G33</f>
        <v>17.210000000002765</v>
      </c>
      <c r="K28" s="24">
        <v>0.74</v>
      </c>
      <c r="L28" s="6">
        <v>3</v>
      </c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628</v>
      </c>
      <c r="F29" s="26">
        <f>'03 - 2020'!C35-'03 - 2020'!C34</f>
        <v>2816</v>
      </c>
      <c r="G29" s="24">
        <v>0.11799999999999999</v>
      </c>
      <c r="H29" s="26">
        <f>'03 - 2020'!E35-'03 - 2020'!E34</f>
        <v>13.799999999999272</v>
      </c>
      <c r="I29" s="26">
        <f>'03 - 2020'!F35-'03 - 2020'!F34</f>
        <v>0</v>
      </c>
      <c r="J29" s="26">
        <f>'03 - 2020'!G35-'03 - 2020'!G34</f>
        <v>17.369999999998981</v>
      </c>
      <c r="K29" s="24">
        <v>0.74</v>
      </c>
      <c r="L29" s="6">
        <v>8</v>
      </c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618</v>
      </c>
      <c r="F30" s="26">
        <f>'03 - 2020'!C36-'03 - 2020'!C35</f>
        <v>2797</v>
      </c>
      <c r="G30" s="24">
        <v>0.11799999999999999</v>
      </c>
      <c r="H30" s="26">
        <f>'03 - 2020'!E36-'03 - 2020'!E35</f>
        <v>12.329999999999927</v>
      </c>
      <c r="I30" s="26">
        <f>'03 - 2020'!F36-'03 - 2020'!F35</f>
        <v>0</v>
      </c>
      <c r="J30" s="26">
        <f>'03 - 2020'!G36-'03 - 2020'!G35</f>
        <v>17</v>
      </c>
      <c r="K30" s="24">
        <v>0.74</v>
      </c>
      <c r="L30" s="6">
        <v>8</v>
      </c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f>'03 - 2020'!B37-'03 - 2020'!B36</f>
        <v>662</v>
      </c>
      <c r="F31" s="26">
        <f>'03 - 2020'!C37-'03 - 2020'!C36</f>
        <v>2792</v>
      </c>
      <c r="G31" s="24">
        <v>0.11799999999999999</v>
      </c>
      <c r="H31" s="26">
        <f>'03 - 2020'!E37-'03 - 2020'!E36</f>
        <v>12.470000000001164</v>
      </c>
      <c r="I31" s="26">
        <f>'03 - 2020'!F37-'03 - 2020'!F36</f>
        <v>0</v>
      </c>
      <c r="J31" s="26">
        <f>'03 - 2020'!G37-'03 - 2020'!G36</f>
        <v>20.779999999998836</v>
      </c>
      <c r="K31" s="24">
        <v>0.74</v>
      </c>
      <c r="L31" s="26">
        <v>9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f>'03 - 2020'!B38-'03 - 2020'!B37</f>
        <v>687</v>
      </c>
      <c r="F32" s="26">
        <f>'03 - 2020'!C38-'03 - 2020'!C37</f>
        <v>2879</v>
      </c>
      <c r="G32" s="24">
        <v>0.11799999999999999</v>
      </c>
      <c r="H32" s="26">
        <f>'03 - 2020'!E38-'03 - 2020'!E37</f>
        <v>11.389999999999418</v>
      </c>
      <c r="I32" s="26">
        <f>'03 - 2020'!F38-'03 - 2020'!F37</f>
        <v>0</v>
      </c>
      <c r="J32" s="26">
        <f>'03 - 2020'!G38-'03 - 2020'!G37</f>
        <v>17.830000000001746</v>
      </c>
      <c r="K32" s="24">
        <v>0.74</v>
      </c>
      <c r="L32" s="2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topLeftCell="A10" zoomScaleNormal="100" workbookViewId="0">
      <selection activeCell="K8" sqref="K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8" t="s">
        <v>30</v>
      </c>
      <c r="B3" s="78"/>
      <c r="C3" s="78"/>
      <c r="D3" s="78"/>
      <c r="E3" s="78"/>
      <c r="F3" s="78"/>
      <c r="G3" s="78"/>
      <c r="H3" s="78"/>
      <c r="I3" s="78"/>
      <c r="J3" s="78"/>
      <c r="K3" s="24"/>
      <c r="L3" s="24"/>
      <c r="M3" s="24"/>
    </row>
    <row r="4" spans="1:15" ht="16.5" thickBot="1" x14ac:dyDescent="0.3">
      <c r="A4" s="71" t="s">
        <v>36</v>
      </c>
      <c r="B4" s="71"/>
      <c r="C4" s="71"/>
      <c r="D4" s="71"/>
      <c r="E4" s="71"/>
      <c r="F4" s="71"/>
      <c r="G4" s="71"/>
      <c r="H4" s="71"/>
      <c r="I4" s="71"/>
      <c r="J4" s="71"/>
      <c r="K4" s="24"/>
      <c r="L4" s="24"/>
      <c r="M4" s="24"/>
    </row>
    <row r="5" spans="1:15" ht="16.5" thickBot="1" x14ac:dyDescent="0.3">
      <c r="A5" s="2"/>
      <c r="B5" s="72">
        <v>19</v>
      </c>
      <c r="C5" s="73"/>
      <c r="D5" s="72" t="s">
        <v>0</v>
      </c>
      <c r="E5" s="74"/>
      <c r="F5" s="74"/>
      <c r="G5" s="75"/>
      <c r="H5" s="76" t="s">
        <v>1</v>
      </c>
      <c r="I5" s="77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/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38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>
        <v>3200</v>
      </c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>
        <v>657840</v>
      </c>
      <c r="C24" s="21">
        <v>709386</v>
      </c>
      <c r="D24" s="16">
        <v>0.68</v>
      </c>
      <c r="E24" s="29">
        <v>10624</v>
      </c>
      <c r="F24" s="29">
        <v>2056</v>
      </c>
      <c r="G24" s="17">
        <v>18363</v>
      </c>
      <c r="H24" s="15">
        <v>14528</v>
      </c>
      <c r="I24" s="15">
        <v>92149</v>
      </c>
      <c r="J24" s="15">
        <v>38197361</v>
      </c>
      <c r="K24" s="18"/>
      <c r="L24" s="34"/>
      <c r="M24" s="49">
        <f t="shared" si="0"/>
        <v>10046</v>
      </c>
    </row>
    <row r="25" spans="1:16" ht="12.75" customHeight="1" x14ac:dyDescent="0.25">
      <c r="A25" s="48">
        <f t="shared" si="1"/>
        <v>43908</v>
      </c>
      <c r="B25" s="17">
        <v>659111</v>
      </c>
      <c r="C25" s="17">
        <v>713218</v>
      </c>
      <c r="D25" s="28">
        <v>0.65</v>
      </c>
      <c r="E25" s="29">
        <v>10640.8</v>
      </c>
      <c r="F25" s="29">
        <v>2058.98</v>
      </c>
      <c r="G25" s="17">
        <v>18387.13</v>
      </c>
      <c r="H25" s="15">
        <v>14528</v>
      </c>
      <c r="I25" s="15">
        <v>92208</v>
      </c>
      <c r="J25" s="15">
        <v>38207474</v>
      </c>
      <c r="K25" s="27"/>
      <c r="L25" s="34"/>
      <c r="M25" s="49">
        <f t="shared" si="0"/>
        <v>10113</v>
      </c>
    </row>
    <row r="26" spans="1:16" ht="12.75" customHeight="1" x14ac:dyDescent="0.25">
      <c r="A26" s="48">
        <f t="shared" si="1"/>
        <v>43909</v>
      </c>
      <c r="B26" s="17">
        <v>660288</v>
      </c>
      <c r="C26" s="17">
        <v>716910</v>
      </c>
      <c r="D26" s="28">
        <v>0.59</v>
      </c>
      <c r="E26" s="29">
        <v>10655.81</v>
      </c>
      <c r="F26" s="29">
        <v>2060.4</v>
      </c>
      <c r="G26" s="17">
        <v>18408.73</v>
      </c>
      <c r="H26" s="15">
        <v>14528</v>
      </c>
      <c r="I26" s="15">
        <v>92259</v>
      </c>
      <c r="J26" s="15">
        <v>38216419</v>
      </c>
      <c r="K26" s="27"/>
      <c r="L26" s="34"/>
      <c r="M26" s="49">
        <f t="shared" si="0"/>
        <v>8945</v>
      </c>
    </row>
    <row r="27" spans="1:16" ht="12.75" customHeight="1" x14ac:dyDescent="0.25">
      <c r="A27" s="48">
        <f t="shared" si="1"/>
        <v>43910</v>
      </c>
      <c r="B27" s="15">
        <v>661520</v>
      </c>
      <c r="C27" s="15">
        <v>720699</v>
      </c>
      <c r="D27" s="16">
        <v>0.54</v>
      </c>
      <c r="E27" s="29">
        <v>10671</v>
      </c>
      <c r="F27" s="29">
        <v>2062.94</v>
      </c>
      <c r="G27" s="17">
        <v>18429</v>
      </c>
      <c r="H27" s="15">
        <v>14528</v>
      </c>
      <c r="I27" s="15">
        <v>92298</v>
      </c>
      <c r="J27" s="15">
        <v>38225688</v>
      </c>
      <c r="K27" s="18"/>
      <c r="L27" s="33"/>
      <c r="M27" s="49">
        <f t="shared" si="0"/>
        <v>9269</v>
      </c>
    </row>
    <row r="28" spans="1:16" ht="12.75" customHeight="1" x14ac:dyDescent="0.25">
      <c r="A28" s="48">
        <f t="shared" si="1"/>
        <v>43911</v>
      </c>
      <c r="B28" s="14">
        <v>662779</v>
      </c>
      <c r="C28" s="15">
        <v>724121</v>
      </c>
      <c r="D28" s="16">
        <v>0.52</v>
      </c>
      <c r="E28" s="29">
        <v>10686.18</v>
      </c>
      <c r="F28" s="29">
        <v>2064.96</v>
      </c>
      <c r="G28" s="17">
        <v>18449.48</v>
      </c>
      <c r="H28" s="15">
        <v>14528</v>
      </c>
      <c r="I28" s="15">
        <v>92328</v>
      </c>
      <c r="J28" s="15">
        <v>38234449</v>
      </c>
      <c r="K28" s="18"/>
      <c r="L28" s="33"/>
      <c r="M28" s="49">
        <f t="shared" si="0"/>
        <v>8761</v>
      </c>
    </row>
    <row r="29" spans="1:16" ht="12.75" customHeight="1" x14ac:dyDescent="0.25">
      <c r="A29" s="48">
        <f t="shared" si="1"/>
        <v>43912</v>
      </c>
      <c r="B29" s="15">
        <v>663930</v>
      </c>
      <c r="C29" s="15">
        <v>726956</v>
      </c>
      <c r="D29" s="16">
        <v>0.5</v>
      </c>
      <c r="E29" s="29">
        <v>10700.18</v>
      </c>
      <c r="F29" s="29">
        <v>2066.29</v>
      </c>
      <c r="G29" s="17">
        <v>18467.02</v>
      </c>
      <c r="H29" s="15">
        <v>14528</v>
      </c>
      <c r="I29" s="15">
        <v>92354</v>
      </c>
      <c r="J29" s="15">
        <v>38241194</v>
      </c>
      <c r="K29" s="18"/>
      <c r="L29" s="33"/>
      <c r="M29" s="49">
        <f t="shared" si="0"/>
        <v>6745</v>
      </c>
      <c r="P29" s="6"/>
    </row>
    <row r="30" spans="1:16" ht="12.75" customHeight="1" x14ac:dyDescent="0.25">
      <c r="A30" s="48">
        <f t="shared" si="1"/>
        <v>43913</v>
      </c>
      <c r="B30" s="15">
        <v>665145</v>
      </c>
      <c r="C30" s="15">
        <v>729850</v>
      </c>
      <c r="D30" s="16">
        <v>0.48</v>
      </c>
      <c r="E30" s="29">
        <v>10711</v>
      </c>
      <c r="F30" s="29">
        <v>2068</v>
      </c>
      <c r="G30" s="17">
        <v>18480</v>
      </c>
      <c r="H30" s="15">
        <v>14528</v>
      </c>
      <c r="I30" s="15">
        <v>92379</v>
      </c>
      <c r="J30" s="15">
        <v>38248596</v>
      </c>
      <c r="K30" s="18"/>
      <c r="L30" s="33"/>
      <c r="M30" s="49">
        <f t="shared" si="0"/>
        <v>7402</v>
      </c>
      <c r="P30" s="6"/>
    </row>
    <row r="31" spans="1:16" ht="12.75" customHeight="1" x14ac:dyDescent="0.25">
      <c r="A31" s="48">
        <f t="shared" si="1"/>
        <v>43914</v>
      </c>
      <c r="B31" s="15">
        <v>666137</v>
      </c>
      <c r="C31" s="15">
        <v>732882</v>
      </c>
      <c r="D31" s="16">
        <v>0.47</v>
      </c>
      <c r="E31" s="29">
        <v>10725.93</v>
      </c>
      <c r="F31" s="29">
        <v>2068</v>
      </c>
      <c r="G31" s="17">
        <v>18499</v>
      </c>
      <c r="H31" s="15">
        <v>14528</v>
      </c>
      <c r="I31" s="15">
        <v>92402</v>
      </c>
      <c r="J31" s="15">
        <v>38253830</v>
      </c>
      <c r="K31" s="18"/>
      <c r="L31" s="35"/>
      <c r="M31" s="49">
        <f t="shared" si="0"/>
        <v>5234</v>
      </c>
      <c r="P31" s="6"/>
    </row>
    <row r="32" spans="1:16" ht="12.75" customHeight="1" x14ac:dyDescent="0.25">
      <c r="A32" s="48">
        <f t="shared" si="1"/>
        <v>43915</v>
      </c>
      <c r="B32" s="15">
        <v>667062</v>
      </c>
      <c r="C32" s="15">
        <v>735761</v>
      </c>
      <c r="D32" s="16">
        <v>0.45</v>
      </c>
      <c r="E32" s="29">
        <v>10741</v>
      </c>
      <c r="F32" s="29">
        <v>2068</v>
      </c>
      <c r="G32" s="17">
        <v>18517</v>
      </c>
      <c r="H32" s="15">
        <v>14528</v>
      </c>
      <c r="I32" s="15">
        <v>92425</v>
      </c>
      <c r="J32" s="15">
        <v>38259546</v>
      </c>
      <c r="K32" s="18"/>
      <c r="L32" s="35"/>
      <c r="M32" s="49">
        <f t="shared" si="0"/>
        <v>5716</v>
      </c>
      <c r="P32" s="6"/>
    </row>
    <row r="33" spans="1:16" ht="12.75" customHeight="1" x14ac:dyDescent="0.25">
      <c r="A33" s="48">
        <f t="shared" si="1"/>
        <v>43916</v>
      </c>
      <c r="B33" s="15">
        <v>667782</v>
      </c>
      <c r="C33" s="15">
        <v>738650</v>
      </c>
      <c r="D33" s="16">
        <v>0.42</v>
      </c>
      <c r="E33" s="29">
        <v>10756.38</v>
      </c>
      <c r="F33" s="29">
        <v>2068.6799999999998</v>
      </c>
      <c r="G33" s="17">
        <v>18534.599999999999</v>
      </c>
      <c r="H33" s="15">
        <v>14528</v>
      </c>
      <c r="I33" s="15">
        <v>92448</v>
      </c>
      <c r="J33" s="15">
        <v>38264679</v>
      </c>
      <c r="K33" s="18"/>
      <c r="L33" s="33"/>
      <c r="M33" s="49">
        <f t="shared" si="0"/>
        <v>5133</v>
      </c>
      <c r="P33" s="6"/>
    </row>
    <row r="34" spans="1:16" ht="12.75" customHeight="1" x14ac:dyDescent="0.25">
      <c r="A34" s="48">
        <f t="shared" si="1"/>
        <v>43917</v>
      </c>
      <c r="B34" s="17">
        <v>668459</v>
      </c>
      <c r="C34" s="20">
        <v>741483</v>
      </c>
      <c r="D34" s="28">
        <v>0.4</v>
      </c>
      <c r="E34" s="29">
        <v>10772.51</v>
      </c>
      <c r="F34" s="29">
        <v>2068.6799999999998</v>
      </c>
      <c r="G34" s="17">
        <v>18551.810000000001</v>
      </c>
      <c r="H34" s="15">
        <v>14528</v>
      </c>
      <c r="I34" s="17">
        <v>92469</v>
      </c>
      <c r="J34" s="17">
        <v>38269700</v>
      </c>
      <c r="K34" s="18"/>
      <c r="L34" s="33"/>
      <c r="M34" s="49">
        <f t="shared" si="0"/>
        <v>5021</v>
      </c>
    </row>
    <row r="35" spans="1:16" ht="12.75" customHeight="1" x14ac:dyDescent="0.25">
      <c r="A35" s="48">
        <f t="shared" si="1"/>
        <v>43918</v>
      </c>
      <c r="B35" s="15">
        <v>669087</v>
      </c>
      <c r="C35" s="20">
        <v>744299</v>
      </c>
      <c r="D35" s="16">
        <v>0.37</v>
      </c>
      <c r="E35" s="29">
        <v>10786.31</v>
      </c>
      <c r="F35" s="29">
        <v>2068.6799999999998</v>
      </c>
      <c r="G35" s="17">
        <v>18569.18</v>
      </c>
      <c r="H35" s="17">
        <v>14528</v>
      </c>
      <c r="I35" s="15">
        <v>92492</v>
      </c>
      <c r="J35" s="15">
        <v>38275336</v>
      </c>
      <c r="K35" s="18"/>
      <c r="L35" s="33"/>
      <c r="M35" s="49">
        <f t="shared" si="0"/>
        <v>5636</v>
      </c>
    </row>
    <row r="36" spans="1:16" ht="12.75" customHeight="1" x14ac:dyDescent="0.25">
      <c r="A36" s="48">
        <f t="shared" si="1"/>
        <v>43919</v>
      </c>
      <c r="B36" s="15">
        <v>669705</v>
      </c>
      <c r="C36" s="20">
        <v>747096</v>
      </c>
      <c r="D36" s="16">
        <v>0.34</v>
      </c>
      <c r="E36" s="29">
        <v>10798.64</v>
      </c>
      <c r="F36" s="29">
        <v>2068.6799999999998</v>
      </c>
      <c r="G36" s="17">
        <v>18586.18</v>
      </c>
      <c r="H36" s="17">
        <v>14528</v>
      </c>
      <c r="I36" s="15">
        <v>92513</v>
      </c>
      <c r="J36" s="15">
        <v>38280467</v>
      </c>
      <c r="K36" s="18"/>
      <c r="L36" s="33"/>
      <c r="M36" s="49">
        <f t="shared" si="0"/>
        <v>5131</v>
      </c>
    </row>
    <row r="37" spans="1:16" s="24" customFormat="1" x14ac:dyDescent="0.25">
      <c r="A37" s="65">
        <f t="shared" si="1"/>
        <v>43920</v>
      </c>
      <c r="B37" s="66">
        <v>670367</v>
      </c>
      <c r="C37" s="66">
        <v>749888</v>
      </c>
      <c r="D37" s="16">
        <v>0.32</v>
      </c>
      <c r="E37" s="68">
        <v>10811.11</v>
      </c>
      <c r="F37" s="68">
        <v>2068.6799999999998</v>
      </c>
      <c r="G37" s="67">
        <v>18606.96</v>
      </c>
      <c r="H37" s="66">
        <v>14528</v>
      </c>
      <c r="I37" s="66">
        <v>92542</v>
      </c>
      <c r="J37" s="66">
        <v>38285846</v>
      </c>
      <c r="K37" s="18"/>
      <c r="L37" s="33"/>
      <c r="M37" s="49">
        <f t="shared" si="0"/>
        <v>5379</v>
      </c>
    </row>
    <row r="38" spans="1:16" x14ac:dyDescent="0.25">
      <c r="A38" s="48">
        <f t="shared" si="1"/>
        <v>43921</v>
      </c>
      <c r="B38" s="69">
        <v>671054</v>
      </c>
      <c r="C38" s="69">
        <v>752767</v>
      </c>
      <c r="D38" s="16">
        <v>0.3</v>
      </c>
      <c r="E38" s="70">
        <v>10822.5</v>
      </c>
      <c r="F38" s="70">
        <v>2068.6799999999998</v>
      </c>
      <c r="G38" s="70">
        <v>18624.79</v>
      </c>
      <c r="H38" s="69">
        <v>14528</v>
      </c>
      <c r="I38" s="69">
        <v>92576</v>
      </c>
      <c r="J38" s="69">
        <v>38291700</v>
      </c>
      <c r="K38" s="18"/>
      <c r="L38" s="33"/>
      <c r="M38" s="49">
        <f t="shared" si="0"/>
        <v>5854</v>
      </c>
    </row>
    <row r="39" spans="1:16" x14ac:dyDescent="0.25">
      <c r="A39" s="50" t="s">
        <v>35</v>
      </c>
      <c r="B39" s="36">
        <f>B36-B7</f>
        <v>65030</v>
      </c>
      <c r="C39" s="36">
        <f>C36-C7</f>
        <v>125450</v>
      </c>
      <c r="D39" s="36">
        <v>0</v>
      </c>
      <c r="E39" s="36">
        <f t="shared" ref="E39:J39" si="2">E36-E7</f>
        <v>549.56999999999971</v>
      </c>
      <c r="F39" s="36">
        <f t="shared" si="2"/>
        <v>91.439999999999827</v>
      </c>
      <c r="G39" s="36">
        <f t="shared" si="2"/>
        <v>831.18000000000029</v>
      </c>
      <c r="H39" s="36">
        <f t="shared" si="2"/>
        <v>0</v>
      </c>
      <c r="I39" s="36">
        <f t="shared" si="2"/>
        <v>1818</v>
      </c>
      <c r="J39" s="36">
        <f t="shared" si="2"/>
        <v>288959</v>
      </c>
      <c r="K39" s="36">
        <f>SUM(K7:K38)</f>
        <v>6900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0</v>
      </c>
      <c r="I40" s="36">
        <f>I39*219.969</f>
        <v>399903.64199999999</v>
      </c>
      <c r="J40" s="26"/>
      <c r="K40" s="24"/>
      <c r="L40" s="24"/>
      <c r="M40" s="24"/>
    </row>
    <row r="41" spans="1:16" x14ac:dyDescent="0.25">
      <c r="F41" s="6"/>
    </row>
    <row r="42" spans="1:16" x14ac:dyDescent="0.25">
      <c r="B42" s="6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2020-03-31T04:27:57Z</dcterms:modified>
</cp:coreProperties>
</file>