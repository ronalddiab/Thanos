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" l="1"/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8" i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22" i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22" i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22" i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8" i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22" i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22" i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22" i="5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22" i="3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22" i="3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20" i="2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0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0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20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0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0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0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0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22" i="4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23" i="4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22" i="4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22" i="4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<sst xmlns="http://schemas.openxmlformats.org/spreadsheetml/2006/main" count="443" uniqueCount="149">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</sst>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264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264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264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264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264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264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264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264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264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264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 t="str">
        <f>ELECT.!F22</f>
        <v>0</v>
      </c>
      <c r="J21" s="41" t="str">
        <f>ELECT.!H22</f>
        <v>0</v>
      </c>
      <c r="K21" s="41">
        <f>ELECT.!K22</f>
        <v>0</v>
      </c>
      <c r="L21" s="41" t="str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264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264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264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264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264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264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264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264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264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264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264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4" activePane="bottomLeft" state="frozen"/>
      <selection pane="bottomLeft" activeCell="U21" sqref="U21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f t="shared" si="19"/>
        <v>46509</v>
      </c>
      <c r="C22" s="16">
        <f t="shared" si="1"/>
        <v>0</v>
      </c>
      <c r="D22" s="36">
        <f t="shared" si="20"/>
        <v>40219</v>
      </c>
      <c r="E22" s="16">
        <f t="shared" si="2"/>
        <v>0</v>
      </c>
      <c r="F22" s="36">
        <f t="shared" si="21"/>
        <v>21231</v>
      </c>
      <c r="G22" s="16">
        <f t="shared" si="3"/>
        <v>0</v>
      </c>
      <c r="H22" s="36">
        <f t="shared" si="22"/>
        <v>253394</v>
      </c>
      <c r="I22" s="16">
        <f t="shared" si="4"/>
        <v>0</v>
      </c>
      <c r="J22" s="36">
        <f>J21</f>
        <v>303517</v>
      </c>
      <c r="K22" s="16">
        <v>0</v>
      </c>
      <c r="L22" s="36">
        <f t="shared" si="23"/>
        <v>25782</v>
      </c>
      <c r="M22" s="16">
        <f t="shared" si="5"/>
        <v>0</v>
      </c>
      <c r="N22" s="36">
        <f t="shared" si="24"/>
        <v>220925</v>
      </c>
      <c r="O22" s="16">
        <f t="shared" si="6"/>
        <v>0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5"/>
        <v>3908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9"/>
        <v>46509</v>
      </c>
      <c r="C23" s="16">
        <f t="shared" si="1"/>
        <v>0</v>
      </c>
      <c r="D23" s="36">
        <f t="shared" si="20"/>
        <v>40219</v>
      </c>
      <c r="E23" s="16">
        <f t="shared" si="2"/>
        <v>0</v>
      </c>
      <c r="F23" s="36">
        <f t="shared" si="21"/>
        <v>21231</v>
      </c>
      <c r="G23" s="16">
        <f t="shared" si="3"/>
        <v>0</v>
      </c>
      <c r="H23" s="36">
        <f t="shared" si="22"/>
        <v>253394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23"/>
        <v>25782</v>
      </c>
      <c r="M23" s="16">
        <f t="shared" si="5"/>
        <v>0</v>
      </c>
      <c r="N23" s="36">
        <f t="shared" si="24"/>
        <v>220925</v>
      </c>
      <c r="O23" s="16">
        <f t="shared" si="6"/>
        <v>0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5"/>
        <v>3908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46509</v>
      </c>
      <c r="C24" s="16">
        <f t="shared" si="1"/>
        <v>0</v>
      </c>
      <c r="D24" s="36">
        <f t="shared" si="20"/>
        <v>40219</v>
      </c>
      <c r="E24" s="16">
        <f t="shared" si="2"/>
        <v>0</v>
      </c>
      <c r="F24" s="36">
        <f t="shared" si="21"/>
        <v>21231</v>
      </c>
      <c r="G24" s="16">
        <f t="shared" si="3"/>
        <v>0</v>
      </c>
      <c r="H24" s="36">
        <f t="shared" si="22"/>
        <v>253394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23"/>
        <v>25782</v>
      </c>
      <c r="M24" s="16">
        <f t="shared" si="5"/>
        <v>0</v>
      </c>
      <c r="N24" s="36">
        <f t="shared" si="24"/>
        <v>220925</v>
      </c>
      <c r="O24" s="16">
        <f t="shared" si="6"/>
        <v>0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3908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46509</v>
      </c>
      <c r="C25" s="16">
        <f t="shared" si="1"/>
        <v>0</v>
      </c>
      <c r="D25" s="36">
        <f t="shared" si="20"/>
        <v>40219</v>
      </c>
      <c r="E25" s="16">
        <f t="shared" si="2"/>
        <v>0</v>
      </c>
      <c r="F25" s="36">
        <f t="shared" si="21"/>
        <v>21231</v>
      </c>
      <c r="G25" s="16">
        <f t="shared" si="3"/>
        <v>0</v>
      </c>
      <c r="H25" s="36">
        <f t="shared" si="22"/>
        <v>253394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23"/>
        <v>25782</v>
      </c>
      <c r="M25" s="16">
        <f t="shared" si="5"/>
        <v>0</v>
      </c>
      <c r="N25" s="36">
        <f t="shared" si="24"/>
        <v>220925</v>
      </c>
      <c r="O25" s="16">
        <f t="shared" si="6"/>
        <v>0</v>
      </c>
      <c r="P25" s="36">
        <f t="shared" si="11"/>
        <v>137479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3908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46509</v>
      </c>
      <c r="C26" s="16">
        <f t="shared" si="1"/>
        <v>0</v>
      </c>
      <c r="D26" s="36">
        <f t="shared" si="20"/>
        <v>40219</v>
      </c>
      <c r="E26" s="16">
        <f t="shared" si="2"/>
        <v>0</v>
      </c>
      <c r="F26" s="36">
        <f t="shared" si="21"/>
        <v>21231</v>
      </c>
      <c r="G26" s="16">
        <f t="shared" si="3"/>
        <v>0</v>
      </c>
      <c r="H26" s="36">
        <f t="shared" si="22"/>
        <v>253394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25782</v>
      </c>
      <c r="M26" s="16">
        <f t="shared" si="5"/>
        <v>0</v>
      </c>
      <c r="N26" s="36">
        <f t="shared" si="24"/>
        <v>220925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3908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46509</v>
      </c>
      <c r="C27" s="16">
        <f t="shared" si="1"/>
        <v>0</v>
      </c>
      <c r="D27" s="36">
        <f t="shared" si="20"/>
        <v>40219</v>
      </c>
      <c r="E27" s="16">
        <f t="shared" si="2"/>
        <v>0</v>
      </c>
      <c r="F27" s="36">
        <f t="shared" si="21"/>
        <v>21231</v>
      </c>
      <c r="G27" s="16">
        <f t="shared" si="3"/>
        <v>0</v>
      </c>
      <c r="H27" s="36">
        <f t="shared" si="22"/>
        <v>253394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25782</v>
      </c>
      <c r="M27" s="16">
        <f t="shared" si="5"/>
        <v>0</v>
      </c>
      <c r="N27" s="36">
        <f t="shared" si="24"/>
        <v>220925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3908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46509</v>
      </c>
      <c r="C28" s="16">
        <f t="shared" si="1"/>
        <v>0</v>
      </c>
      <c r="D28" s="36">
        <f t="shared" si="20"/>
        <v>40219</v>
      </c>
      <c r="E28" s="16">
        <f t="shared" si="2"/>
        <v>0</v>
      </c>
      <c r="F28" s="36">
        <f t="shared" si="21"/>
        <v>21231</v>
      </c>
      <c r="G28" s="16">
        <f t="shared" si="3"/>
        <v>0</v>
      </c>
      <c r="H28" s="36">
        <f t="shared" si="22"/>
        <v>253394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25782</v>
      </c>
      <c r="M28" s="16">
        <f t="shared" si="5"/>
        <v>0</v>
      </c>
      <c r="N28" s="36">
        <f t="shared" si="24"/>
        <v>220925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3908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46509</v>
      </c>
      <c r="C29" s="16">
        <f t="shared" si="1"/>
        <v>0</v>
      </c>
      <c r="D29" s="36">
        <f t="shared" si="20"/>
        <v>40219</v>
      </c>
      <c r="E29" s="16">
        <f t="shared" si="2"/>
        <v>0</v>
      </c>
      <c r="F29" s="36">
        <f t="shared" si="21"/>
        <v>21231</v>
      </c>
      <c r="G29" s="16">
        <f t="shared" si="3"/>
        <v>0</v>
      </c>
      <c r="H29" s="36">
        <f t="shared" si="22"/>
        <v>253394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25782</v>
      </c>
      <c r="M29" s="16">
        <f t="shared" si="5"/>
        <v>0</v>
      </c>
      <c r="N29" s="36">
        <f t="shared" si="24"/>
        <v>220925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3908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46509</v>
      </c>
      <c r="C30" s="16">
        <f t="shared" si="1"/>
        <v>0</v>
      </c>
      <c r="D30" s="36">
        <f t="shared" si="20"/>
        <v>40219</v>
      </c>
      <c r="E30" s="16">
        <f t="shared" si="2"/>
        <v>0</v>
      </c>
      <c r="F30" s="36">
        <f t="shared" si="21"/>
        <v>21231</v>
      </c>
      <c r="G30" s="16">
        <f t="shared" si="3"/>
        <v>0</v>
      </c>
      <c r="H30" s="36">
        <f t="shared" si="22"/>
        <v>253394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25782</v>
      </c>
      <c r="M30" s="16">
        <f t="shared" si="5"/>
        <v>0</v>
      </c>
      <c r="N30" s="36">
        <f t="shared" si="24"/>
        <v>220925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3908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46509</v>
      </c>
      <c r="C31" s="16">
        <f t="shared" si="1"/>
        <v>0</v>
      </c>
      <c r="D31" s="36">
        <f t="shared" si="20"/>
        <v>40219</v>
      </c>
      <c r="E31" s="16">
        <f t="shared" si="2"/>
        <v>0</v>
      </c>
      <c r="F31" s="36">
        <f t="shared" si="21"/>
        <v>21231</v>
      </c>
      <c r="G31" s="16">
        <f t="shared" si="3"/>
        <v>0</v>
      </c>
      <c r="H31" s="36">
        <f t="shared" si="22"/>
        <v>253394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25782</v>
      </c>
      <c r="M31" s="16">
        <f t="shared" si="5"/>
        <v>0</v>
      </c>
      <c r="N31" s="36">
        <f t="shared" si="24"/>
        <v>220925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3908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46509</v>
      </c>
      <c r="C32" s="16">
        <f t="shared" si="1"/>
        <v>0</v>
      </c>
      <c r="D32" s="36">
        <f t="shared" si="20"/>
        <v>40219</v>
      </c>
      <c r="E32" s="16">
        <f t="shared" si="2"/>
        <v>0</v>
      </c>
      <c r="F32" s="36">
        <f t="shared" si="21"/>
        <v>21231</v>
      </c>
      <c r="G32" s="16">
        <f t="shared" si="3"/>
        <v>0</v>
      </c>
      <c r="H32" s="36">
        <f t="shared" si="22"/>
        <v>253394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25782</v>
      </c>
      <c r="M32" s="16">
        <f t="shared" si="5"/>
        <v>0</v>
      </c>
      <c r="N32" s="36">
        <f t="shared" si="24"/>
        <v>220925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3908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46509</v>
      </c>
      <c r="C33" s="16">
        <f t="shared" si="1"/>
        <v>0</v>
      </c>
      <c r="D33" s="36">
        <f t="shared" si="20"/>
        <v>40219</v>
      </c>
      <c r="E33" s="16">
        <f t="shared" si="2"/>
        <v>0</v>
      </c>
      <c r="F33" s="36">
        <f t="shared" si="21"/>
        <v>21231</v>
      </c>
      <c r="G33" s="16">
        <f t="shared" si="3"/>
        <v>0</v>
      </c>
      <c r="H33" s="36">
        <f t="shared" si="22"/>
        <v>253394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25782</v>
      </c>
      <c r="M33" s="16">
        <f t="shared" si="5"/>
        <v>0</v>
      </c>
      <c r="N33" s="36">
        <f t="shared" si="24"/>
        <v>220925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3908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13600</v>
      </c>
      <c r="D34" s="13"/>
      <c r="E34" s="11">
        <f>SUM(E4:E33)</f>
        <v>7680</v>
      </c>
      <c r="F34" s="13"/>
      <c r="G34" s="11">
        <f>SUM(G4:G33)</f>
        <v>1260</v>
      </c>
      <c r="H34" s="13"/>
      <c r="I34" s="11">
        <f>SUM(I4:I33)</f>
        <v>278</v>
      </c>
      <c r="J34" s="13"/>
      <c r="K34" s="11">
        <f>SUM(K4:K33)</f>
        <v>0</v>
      </c>
      <c r="L34" s="13"/>
      <c r="M34" s="11">
        <f>SUM(M4:M33)</f>
        <v>8320</v>
      </c>
      <c r="N34" s="37"/>
      <c r="O34" s="11">
        <f>SUM(O4:O33)</f>
        <v>2035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2880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D25" sqref="D25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/>
      <c r="D22" s="43">
        <f t="shared" si="2"/>
        <v>0</v>
      </c>
      <c r="E22" s="151"/>
      <c r="F22" s="43" t="str">
        <f t="shared" si="3"/>
        <v>0</v>
      </c>
      <c r="G22" s="152"/>
      <c r="H22" s="43" t="str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 t="str">
        <f t="shared" si="6"/>
        <v>0</v>
      </c>
      <c r="N22" s="151">
        <f t="shared" ref="N22:N33" si="30">N21</f>
        <v>6266411</v>
      </c>
      <c r="O22" s="43">
        <f t="shared" si="14"/>
        <v>0</v>
      </c>
      <c r="P22" s="154">
        <f t="shared" ref="P22:P33" si="31">P21</f>
        <v>5821888</v>
      </c>
      <c r="Q22" s="43">
        <f t="shared" si="7"/>
        <v>0</v>
      </c>
      <c r="R22" s="151">
        <v>19929284</v>
      </c>
      <c r="S22" s="43">
        <f t="shared" si="8"/>
        <v>0</v>
      </c>
      <c r="T22" s="151">
        <v>0</v>
      </c>
      <c r="U22" s="155"/>
      <c r="V22" s="151">
        <f t="shared" ref="V22:V33" si="32">V21</f>
        <v>7820888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18209.683544</v>
      </c>
    </row>
    <row r="23" spans="1:27" ht="16.5" thickBot="1" x14ac:dyDescent="0.3">
      <c r="A23" s="10">
        <v>44582</v>
      </c>
      <c r="B23" s="43">
        <f t="shared" si="16"/>
        <v>264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6266411</v>
      </c>
      <c r="O23" s="43">
        <f t="shared" si="14"/>
        <v>0</v>
      </c>
      <c r="P23" s="154">
        <f t="shared" si="31"/>
        <v>5821888</v>
      </c>
      <c r="Q23" s="43">
        <f t="shared" si="7"/>
        <v>0</v>
      </c>
      <c r="R23" s="151">
        <f t="shared" ref="R23:R33" si="33">R22</f>
        <v>19929284</v>
      </c>
      <c r="S23" s="43">
        <f t="shared" si="8"/>
        <v>0</v>
      </c>
      <c r="T23" s="151">
        <v>0</v>
      </c>
      <c r="U23" s="155"/>
      <c r="V23" s="151">
        <f t="shared" si="32"/>
        <v>7820888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13239.2946816</v>
      </c>
    </row>
    <row r="24" spans="1:27" ht="16.5" thickBot="1" x14ac:dyDescent="0.3">
      <c r="A24" s="10">
        <v>44583</v>
      </c>
      <c r="B24" s="43">
        <f t="shared" si="16"/>
        <v>264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6266411</v>
      </c>
      <c r="O24" s="43">
        <f t="shared" si="14"/>
        <v>0</v>
      </c>
      <c r="P24" s="154">
        <f t="shared" si="31"/>
        <v>5821888</v>
      </c>
      <c r="Q24" s="43">
        <f t="shared" si="7"/>
        <v>0</v>
      </c>
      <c r="R24" s="151">
        <f t="shared" si="33"/>
        <v>19929284</v>
      </c>
      <c r="S24" s="43">
        <f t="shared" si="8"/>
        <v>0</v>
      </c>
      <c r="T24" s="151">
        <v>0</v>
      </c>
      <c r="U24" s="155"/>
      <c r="V24" s="151">
        <f t="shared" si="32"/>
        <v>7820888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5760.7102800000002</v>
      </c>
    </row>
    <row r="25" spans="1:27" ht="16.5" thickBot="1" x14ac:dyDescent="0.3">
      <c r="A25" s="10">
        <v>44584</v>
      </c>
      <c r="B25" s="43">
        <f t="shared" si="16"/>
        <v>264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6266411</v>
      </c>
      <c r="O25" s="43">
        <f t="shared" si="14"/>
        <v>0</v>
      </c>
      <c r="P25" s="154">
        <f t="shared" si="31"/>
        <v>5821888</v>
      </c>
      <c r="Q25" s="43">
        <f t="shared" si="7"/>
        <v>0</v>
      </c>
      <c r="R25" s="151">
        <f t="shared" si="33"/>
        <v>19929284</v>
      </c>
      <c r="S25" s="43">
        <f t="shared" si="8"/>
        <v>0</v>
      </c>
      <c r="T25" s="151">
        <v>0</v>
      </c>
      <c r="U25" s="155"/>
      <c r="V25" s="151">
        <f t="shared" si="32"/>
        <v>7820888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264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6266411</v>
      </c>
      <c r="O26" s="43">
        <f t="shared" si="14"/>
        <v>0</v>
      </c>
      <c r="P26" s="154">
        <f t="shared" si="31"/>
        <v>5821888</v>
      </c>
      <c r="Q26" s="43">
        <f t="shared" si="7"/>
        <v>0</v>
      </c>
      <c r="R26" s="151">
        <f t="shared" si="33"/>
        <v>19929284</v>
      </c>
      <c r="S26" s="43">
        <f t="shared" si="8"/>
        <v>0</v>
      </c>
      <c r="T26" s="151">
        <v>0</v>
      </c>
      <c r="U26" s="155"/>
      <c r="V26" s="151">
        <f t="shared" si="32"/>
        <v>7820888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264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6266411</v>
      </c>
      <c r="O27" s="43">
        <f t="shared" si="14"/>
        <v>0</v>
      </c>
      <c r="P27" s="154">
        <f t="shared" si="31"/>
        <v>5821888</v>
      </c>
      <c r="Q27" s="43">
        <f t="shared" si="7"/>
        <v>0</v>
      </c>
      <c r="R27" s="151">
        <f t="shared" si="33"/>
        <v>19929284</v>
      </c>
      <c r="S27" s="43">
        <f t="shared" si="8"/>
        <v>0</v>
      </c>
      <c r="T27" s="151">
        <v>0</v>
      </c>
      <c r="U27" s="155"/>
      <c r="V27" s="151">
        <f t="shared" si="32"/>
        <v>7820888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264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6266411</v>
      </c>
      <c r="O28" s="43">
        <f t="shared" si="14"/>
        <v>0</v>
      </c>
      <c r="P28" s="154">
        <f t="shared" si="31"/>
        <v>5821888</v>
      </c>
      <c r="Q28" s="43">
        <f t="shared" si="7"/>
        <v>0</v>
      </c>
      <c r="R28" s="151">
        <f t="shared" si="33"/>
        <v>19929284</v>
      </c>
      <c r="S28" s="43">
        <f t="shared" si="8"/>
        <v>0</v>
      </c>
      <c r="T28" s="151">
        <v>0</v>
      </c>
      <c r="U28" s="155"/>
      <c r="V28" s="151">
        <f t="shared" si="32"/>
        <v>7820888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264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6266411</v>
      </c>
      <c r="O29" s="43">
        <f t="shared" si="14"/>
        <v>0</v>
      </c>
      <c r="P29" s="154">
        <f t="shared" si="31"/>
        <v>5821888</v>
      </c>
      <c r="Q29" s="43">
        <f t="shared" si="7"/>
        <v>0</v>
      </c>
      <c r="R29" s="151">
        <f t="shared" si="33"/>
        <v>19929284</v>
      </c>
      <c r="S29" s="43">
        <f t="shared" si="8"/>
        <v>0</v>
      </c>
      <c r="T29" s="151">
        <v>0</v>
      </c>
      <c r="U29" s="155"/>
      <c r="V29" s="151">
        <f t="shared" si="32"/>
        <v>7820888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264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6266411</v>
      </c>
      <c r="O30" s="43">
        <f t="shared" si="14"/>
        <v>0</v>
      </c>
      <c r="P30" s="154">
        <f t="shared" si="31"/>
        <v>5821888</v>
      </c>
      <c r="Q30" s="43">
        <f t="shared" si="7"/>
        <v>0</v>
      </c>
      <c r="R30" s="151">
        <f t="shared" si="33"/>
        <v>19929284</v>
      </c>
      <c r="S30" s="43">
        <f t="shared" si="8"/>
        <v>0</v>
      </c>
      <c r="T30" s="151">
        <v>0</v>
      </c>
      <c r="U30" s="155"/>
      <c r="V30" s="151">
        <f t="shared" si="32"/>
        <v>7820888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264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6266411</v>
      </c>
      <c r="O31" s="43">
        <f t="shared" si="14"/>
        <v>0</v>
      </c>
      <c r="P31" s="154">
        <f t="shared" si="31"/>
        <v>5821888</v>
      </c>
      <c r="Q31" s="43">
        <f t="shared" si="7"/>
        <v>0</v>
      </c>
      <c r="R31" s="151">
        <f t="shared" si="33"/>
        <v>19929284</v>
      </c>
      <c r="S31" s="43">
        <f t="shared" si="8"/>
        <v>0</v>
      </c>
      <c r="T31" s="151">
        <v>0</v>
      </c>
      <c r="U31" s="11"/>
      <c r="V31" s="151">
        <f t="shared" si="32"/>
        <v>7820888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264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6266411</v>
      </c>
      <c r="O32" s="43">
        <f t="shared" si="14"/>
        <v>0</v>
      </c>
      <c r="P32" s="154">
        <f t="shared" si="31"/>
        <v>5821888</v>
      </c>
      <c r="Q32" s="43">
        <f t="shared" si="7"/>
        <v>0</v>
      </c>
      <c r="R32" s="151">
        <f t="shared" si="33"/>
        <v>19929284</v>
      </c>
      <c r="S32" s="43">
        <f t="shared" si="8"/>
        <v>0</v>
      </c>
      <c r="T32" s="151">
        <v>0</v>
      </c>
      <c r="U32" s="11"/>
      <c r="V32" s="151">
        <f t="shared" si="32"/>
        <v>7820888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264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6266411</v>
      </c>
      <c r="O33" s="43">
        <f t="shared" si="14"/>
        <v>0</v>
      </c>
      <c r="P33" s="154">
        <f t="shared" si="31"/>
        <v>5821888</v>
      </c>
      <c r="Q33" s="43">
        <f t="shared" si="7"/>
        <v>0</v>
      </c>
      <c r="R33" s="151">
        <f t="shared" si="33"/>
        <v>19929284</v>
      </c>
      <c r="S33" s="43">
        <f t="shared" si="8"/>
        <v>0</v>
      </c>
      <c r="T33" s="151">
        <v>0</v>
      </c>
      <c r="U33" s="11"/>
      <c r="V33" s="151">
        <f t="shared" si="32"/>
        <v>7820888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6882</v>
      </c>
      <c r="C34" s="142"/>
      <c r="D34" s="142">
        <f>SUM(D3:D33)</f>
        <v>7040</v>
      </c>
      <c r="E34" s="60">
        <v>0</v>
      </c>
      <c r="F34" s="60">
        <f>SUM(F3:F33)</f>
        <v>168344</v>
      </c>
      <c r="G34" s="60">
        <v>0</v>
      </c>
      <c r="H34" s="60">
        <f>SUM(H3:H33)</f>
        <v>747520</v>
      </c>
      <c r="I34" s="60">
        <f>SUM(I6:I33)</f>
        <v>765760</v>
      </c>
      <c r="J34" s="60">
        <v>0</v>
      </c>
      <c r="K34" s="60">
        <f>SUM(K3:K33)</f>
        <v>168462</v>
      </c>
      <c r="L34" s="60">
        <v>0</v>
      </c>
      <c r="M34" s="60">
        <f>SUM(M3:M33)</f>
        <v>99126</v>
      </c>
      <c r="N34" s="60">
        <v>0</v>
      </c>
      <c r="O34" s="60">
        <f>SUM(O3:O33)</f>
        <v>66674</v>
      </c>
      <c r="P34" s="60">
        <v>0</v>
      </c>
      <c r="Q34" s="60">
        <f>SUM(Q3:Q33)</f>
        <v>88737</v>
      </c>
      <c r="R34" s="60">
        <v>0</v>
      </c>
      <c r="S34" s="60">
        <f>SUM(S3:S33)</f>
        <v>182892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186811</v>
      </c>
      <c r="X34" s="60">
        <f>SUM(X6:X33)</f>
        <v>663645</v>
      </c>
      <c r="Y34" s="60">
        <f>SUM(Y3:Y33)</f>
        <v>123162</v>
      </c>
      <c r="Z34" s="60">
        <f>SUM(Z3:Z33)</f>
        <v>112231.07723360001</v>
      </c>
      <c r="AA34" s="60">
        <f>SUM(AA3:AA33)</f>
        <v>442993.31155040005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21" sqref="K21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f t="shared" ref="B22:B33" si="9">B21</f>
        <v>437483</v>
      </c>
      <c r="C22" s="43">
        <f t="shared" si="8"/>
        <v>0</v>
      </c>
      <c r="D22" s="3">
        <f t="shared" ref="D22:D33" si="10">D21</f>
        <v>2327</v>
      </c>
      <c r="E22" s="43">
        <f t="shared" si="3"/>
        <v>0</v>
      </c>
      <c r="F22" s="3">
        <f t="shared" ref="F22:F33" si="11">F21</f>
        <v>7572600</v>
      </c>
      <c r="G22" s="43">
        <f t="shared" si="6"/>
        <v>0</v>
      </c>
      <c r="H22" s="3">
        <f t="shared" ref="H22:H33" si="12">H21</f>
        <v>769602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437483</v>
      </c>
      <c r="C23" s="43">
        <f t="shared" si="8"/>
        <v>0</v>
      </c>
      <c r="D23" s="3">
        <f t="shared" si="10"/>
        <v>2327</v>
      </c>
      <c r="E23" s="43">
        <f t="shared" si="3"/>
        <v>0</v>
      </c>
      <c r="F23" s="3">
        <f t="shared" si="11"/>
        <v>7572600</v>
      </c>
      <c r="G23" s="43">
        <f t="shared" si="6"/>
        <v>0</v>
      </c>
      <c r="H23" s="3">
        <f t="shared" si="12"/>
        <v>769602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437483</v>
      </c>
      <c r="C24" s="43">
        <f t="shared" si="8"/>
        <v>0</v>
      </c>
      <c r="D24" s="3">
        <f t="shared" si="10"/>
        <v>2327</v>
      </c>
      <c r="E24" s="43">
        <f t="shared" si="3"/>
        <v>0</v>
      </c>
      <c r="F24" s="3">
        <f t="shared" si="11"/>
        <v>7572600</v>
      </c>
      <c r="G24" s="43">
        <f t="shared" si="6"/>
        <v>0</v>
      </c>
      <c r="H24" s="3">
        <f t="shared" si="12"/>
        <v>769602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437483</v>
      </c>
      <c r="C25" s="43">
        <f t="shared" si="8"/>
        <v>0</v>
      </c>
      <c r="D25" s="3">
        <f t="shared" si="10"/>
        <v>2327</v>
      </c>
      <c r="E25" s="43">
        <f t="shared" si="3"/>
        <v>0</v>
      </c>
      <c r="F25" s="3">
        <f t="shared" si="11"/>
        <v>7572600</v>
      </c>
      <c r="G25" s="43">
        <f t="shared" si="6"/>
        <v>0</v>
      </c>
      <c r="H25" s="3">
        <f t="shared" si="12"/>
        <v>769602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437483</v>
      </c>
      <c r="C26" s="43">
        <f t="shared" si="8"/>
        <v>0</v>
      </c>
      <c r="D26" s="3">
        <f t="shared" si="10"/>
        <v>2327</v>
      </c>
      <c r="E26" s="43">
        <f t="shared" si="3"/>
        <v>0</v>
      </c>
      <c r="F26" s="3">
        <f t="shared" si="11"/>
        <v>7572600</v>
      </c>
      <c r="G26" s="43">
        <f t="shared" si="6"/>
        <v>0</v>
      </c>
      <c r="H26" s="3">
        <f t="shared" si="12"/>
        <v>769602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437483</v>
      </c>
      <c r="C27" s="43">
        <f t="shared" si="8"/>
        <v>0</v>
      </c>
      <c r="D27" s="3">
        <f t="shared" si="10"/>
        <v>2327</v>
      </c>
      <c r="E27" s="43">
        <f t="shared" si="3"/>
        <v>0</v>
      </c>
      <c r="F27" s="3">
        <f t="shared" si="11"/>
        <v>7572600</v>
      </c>
      <c r="G27" s="43">
        <f t="shared" si="6"/>
        <v>0</v>
      </c>
      <c r="H27" s="3">
        <f t="shared" si="12"/>
        <v>769602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437483</v>
      </c>
      <c r="C28" s="43">
        <f t="shared" si="8"/>
        <v>0</v>
      </c>
      <c r="D28" s="3">
        <f t="shared" si="10"/>
        <v>2327</v>
      </c>
      <c r="E28" s="43">
        <f t="shared" si="3"/>
        <v>0</v>
      </c>
      <c r="F28" s="3">
        <f t="shared" si="11"/>
        <v>7572600</v>
      </c>
      <c r="G28" s="43">
        <f t="shared" si="6"/>
        <v>0</v>
      </c>
      <c r="H28" s="3">
        <f t="shared" si="12"/>
        <v>769602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437483</v>
      </c>
      <c r="C29" s="43">
        <f t="shared" si="8"/>
        <v>0</v>
      </c>
      <c r="D29" s="3">
        <f t="shared" si="10"/>
        <v>2327</v>
      </c>
      <c r="E29" s="43">
        <f t="shared" si="3"/>
        <v>0</v>
      </c>
      <c r="F29" s="3">
        <f t="shared" si="11"/>
        <v>7572600</v>
      </c>
      <c r="G29" s="43">
        <f t="shared" si="6"/>
        <v>0</v>
      </c>
      <c r="H29" s="3">
        <f t="shared" si="12"/>
        <v>769602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437483</v>
      </c>
      <c r="C30" s="43">
        <f t="shared" si="8"/>
        <v>0</v>
      </c>
      <c r="D30" s="3">
        <f t="shared" si="10"/>
        <v>2327</v>
      </c>
      <c r="E30" s="43">
        <f t="shared" si="3"/>
        <v>0</v>
      </c>
      <c r="F30" s="3">
        <f t="shared" si="11"/>
        <v>7572600</v>
      </c>
      <c r="G30" s="43">
        <f t="shared" si="6"/>
        <v>0</v>
      </c>
      <c r="H30" s="3">
        <f t="shared" si="12"/>
        <v>769602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437483</v>
      </c>
      <c r="C31" s="43">
        <f t="shared" si="8"/>
        <v>0</v>
      </c>
      <c r="D31" s="3">
        <f t="shared" si="10"/>
        <v>2327</v>
      </c>
      <c r="E31" s="43">
        <f t="shared" si="3"/>
        <v>0</v>
      </c>
      <c r="F31" s="3">
        <f t="shared" si="11"/>
        <v>7572600</v>
      </c>
      <c r="G31" s="43">
        <f t="shared" si="6"/>
        <v>0</v>
      </c>
      <c r="H31" s="3">
        <f t="shared" si="12"/>
        <v>769602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437483</v>
      </c>
      <c r="C32" s="43">
        <f t="shared" si="8"/>
        <v>0</v>
      </c>
      <c r="D32" s="3">
        <f t="shared" si="10"/>
        <v>2327</v>
      </c>
      <c r="E32" s="43">
        <f t="shared" si="3"/>
        <v>0</v>
      </c>
      <c r="F32" s="3">
        <f t="shared" si="11"/>
        <v>7572600</v>
      </c>
      <c r="G32" s="43">
        <f t="shared" si="6"/>
        <v>0</v>
      </c>
      <c r="H32" s="3">
        <f t="shared" si="12"/>
        <v>769602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437483</v>
      </c>
      <c r="C33" s="43">
        <f t="shared" si="8"/>
        <v>0</v>
      </c>
      <c r="D33" s="3">
        <f t="shared" si="10"/>
        <v>2327</v>
      </c>
      <c r="E33" s="43">
        <f t="shared" si="3"/>
        <v>0</v>
      </c>
      <c r="F33" s="3">
        <f t="shared" si="11"/>
        <v>7572600</v>
      </c>
      <c r="G33" s="43">
        <f t="shared" si="6"/>
        <v>0</v>
      </c>
      <c r="H33" s="3">
        <f t="shared" si="12"/>
        <v>769602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16110</v>
      </c>
      <c r="D34" s="3"/>
      <c r="E34" s="60">
        <f>SUM(E4:E33)</f>
        <v>9830</v>
      </c>
      <c r="F34" s="3"/>
      <c r="G34" s="60">
        <f>SUM(G4:G33)</f>
        <v>4860</v>
      </c>
      <c r="H34" s="3"/>
      <c r="I34" s="60">
        <f>SUM(I4:I33)</f>
        <v>88.533000000000015</v>
      </c>
      <c r="J34" s="60">
        <f>SUM(J4:J33)</f>
        <v>30888.533000000003</v>
      </c>
      <c r="K34" s="60">
        <f>SUM(K4:K33)</f>
        <v>181006.80338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2" sqref="B2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f t="shared" ref="B22:B33" si="1">B21</f>
        <v>17931056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17931056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17931056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17931056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17931056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17931056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17931056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17931056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17931056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17931056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17931056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17931056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57534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K1" zoomScale="90" zoomScaleNormal="90" workbookViewId="0">
      <pane ySplit="1" topLeftCell="A2" activePane="bottomLeft" state="frozen"/>
      <selection pane="bottomLeft" activeCell="AH21" sqref="AH21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163950</v>
      </c>
      <c r="Y21" s="169">
        <f t="shared" si="39"/>
        <v>52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f t="shared" ref="B22:B33" si="65">B21</f>
        <v>22826.005000000001</v>
      </c>
      <c r="C22" s="48">
        <f t="shared" si="23"/>
        <v>0</v>
      </c>
      <c r="D22" s="32">
        <f t="shared" si="24"/>
        <v>0</v>
      </c>
      <c r="E22" s="1">
        <f t="shared" ref="E22:E33" si="66">E21</f>
        <v>4094.6190000000001</v>
      </c>
      <c r="F22" s="48">
        <f t="shared" si="25"/>
        <v>0</v>
      </c>
      <c r="G22" s="32">
        <f t="shared" si="26"/>
        <v>0</v>
      </c>
      <c r="H22" s="1">
        <f t="shared" ref="H22:H33" si="67">H21</f>
        <v>4636</v>
      </c>
      <c r="I22" s="48">
        <f t="shared" si="27"/>
        <v>0</v>
      </c>
      <c r="J22" s="32">
        <f t="shared" si="28"/>
        <v>0</v>
      </c>
      <c r="K22" s="7">
        <f t="shared" si="63"/>
        <v>13889.7</v>
      </c>
      <c r="L22" s="48">
        <f t="shared" si="29"/>
        <v>0</v>
      </c>
      <c r="M22" s="32">
        <f t="shared" si="30"/>
        <v>0</v>
      </c>
      <c r="N22" s="7">
        <f t="shared" ref="N22:N33" si="68">N21</f>
        <v>3390.5189999999998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ref="X22:X33" si="69">X21</f>
        <v>163950</v>
      </c>
      <c r="Y22" s="169">
        <f t="shared" si="39"/>
        <v>0</v>
      </c>
      <c r="Z22" s="163">
        <f t="shared" ref="Z22:Z33" si="70">Z21</f>
        <v>8332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140</v>
      </c>
      <c r="AE22" s="169">
        <f t="shared" si="37"/>
        <v>0</v>
      </c>
      <c r="AF22" s="163">
        <f t="shared" si="64"/>
        <v>5469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65"/>
        <v>22826.005000000001</v>
      </c>
      <c r="C23" s="48">
        <f t="shared" si="23"/>
        <v>0</v>
      </c>
      <c r="D23" s="32">
        <f t="shared" si="24"/>
        <v>0</v>
      </c>
      <c r="E23" s="1">
        <f t="shared" si="66"/>
        <v>4094.6190000000001</v>
      </c>
      <c r="F23" s="48">
        <f t="shared" si="25"/>
        <v>0</v>
      </c>
      <c r="G23" s="32">
        <f t="shared" si="26"/>
        <v>0</v>
      </c>
      <c r="H23" s="1">
        <f t="shared" si="67"/>
        <v>4636</v>
      </c>
      <c r="I23" s="48">
        <f t="shared" si="27"/>
        <v>0</v>
      </c>
      <c r="J23" s="32">
        <f t="shared" si="28"/>
        <v>0</v>
      </c>
      <c r="K23" s="7">
        <f t="shared" si="63"/>
        <v>13889.7</v>
      </c>
      <c r="L23" s="48">
        <f t="shared" si="29"/>
        <v>0</v>
      </c>
      <c r="M23" s="32">
        <f t="shared" si="30"/>
        <v>0</v>
      </c>
      <c r="N23" s="7">
        <f t="shared" si="68"/>
        <v>3390.5189999999998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9"/>
        <v>163950</v>
      </c>
      <c r="Y23" s="169">
        <f t="shared" si="39"/>
        <v>0</v>
      </c>
      <c r="Z23" s="163">
        <f t="shared" si="70"/>
        <v>8332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140</v>
      </c>
      <c r="AE23" s="169">
        <f t="shared" si="37"/>
        <v>0</v>
      </c>
      <c r="AF23" s="163">
        <f t="shared" si="64"/>
        <v>5469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65"/>
        <v>22826.005000000001</v>
      </c>
      <c r="C24" s="48">
        <f t="shared" si="23"/>
        <v>0</v>
      </c>
      <c r="D24" s="32">
        <f t="shared" si="24"/>
        <v>0</v>
      </c>
      <c r="E24" s="1">
        <f t="shared" si="66"/>
        <v>4094.6190000000001</v>
      </c>
      <c r="F24" s="48">
        <f t="shared" si="25"/>
        <v>0</v>
      </c>
      <c r="G24" s="32">
        <f t="shared" si="26"/>
        <v>0</v>
      </c>
      <c r="H24" s="1">
        <f t="shared" si="67"/>
        <v>4636</v>
      </c>
      <c r="I24" s="48">
        <f t="shared" si="27"/>
        <v>0</v>
      </c>
      <c r="J24" s="32">
        <f t="shared" si="28"/>
        <v>0</v>
      </c>
      <c r="K24" s="7">
        <f t="shared" si="63"/>
        <v>13889.7</v>
      </c>
      <c r="L24" s="48">
        <f t="shared" si="29"/>
        <v>0</v>
      </c>
      <c r="M24" s="32">
        <f t="shared" si="30"/>
        <v>0</v>
      </c>
      <c r="N24" s="7">
        <f t="shared" si="68"/>
        <v>3390.5189999999998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9"/>
        <v>163950</v>
      </c>
      <c r="Y24" s="169">
        <f t="shared" si="39"/>
        <v>0</v>
      </c>
      <c r="Z24" s="163">
        <f t="shared" si="70"/>
        <v>8332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140</v>
      </c>
      <c r="AE24" s="169">
        <f t="shared" si="37"/>
        <v>0</v>
      </c>
      <c r="AF24" s="163">
        <f t="shared" si="64"/>
        <v>5469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5"/>
        <v>22826.005000000001</v>
      </c>
      <c r="C25" s="48">
        <f t="shared" si="23"/>
        <v>0</v>
      </c>
      <c r="D25" s="32">
        <f t="shared" si="24"/>
        <v>0</v>
      </c>
      <c r="E25" s="1">
        <f t="shared" si="66"/>
        <v>4094.6190000000001</v>
      </c>
      <c r="F25" s="48">
        <f t="shared" si="25"/>
        <v>0</v>
      </c>
      <c r="G25" s="32">
        <f t="shared" si="26"/>
        <v>0</v>
      </c>
      <c r="H25" s="1">
        <f t="shared" si="67"/>
        <v>4636</v>
      </c>
      <c r="I25" s="48">
        <f t="shared" si="27"/>
        <v>0</v>
      </c>
      <c r="J25" s="32">
        <f t="shared" si="28"/>
        <v>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f t="shared" si="68"/>
        <v>3390.5189999999998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9"/>
        <v>163950</v>
      </c>
      <c r="Y25" s="169">
        <f t="shared" si="39"/>
        <v>0</v>
      </c>
      <c r="Z25" s="163">
        <f t="shared" si="70"/>
        <v>8332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140</v>
      </c>
      <c r="AE25" s="169">
        <f t="shared" si="37"/>
        <v>0</v>
      </c>
      <c r="AF25" s="163">
        <f t="shared" si="64"/>
        <v>5469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5"/>
        <v>22826.005000000001</v>
      </c>
      <c r="C26" s="48">
        <f t="shared" si="23"/>
        <v>0</v>
      </c>
      <c r="D26" s="32">
        <f t="shared" si="24"/>
        <v>0</v>
      </c>
      <c r="E26" s="1">
        <f t="shared" si="66"/>
        <v>4094.6190000000001</v>
      </c>
      <c r="F26" s="48">
        <f t="shared" si="25"/>
        <v>0</v>
      </c>
      <c r="G26" s="32">
        <f t="shared" si="26"/>
        <v>0</v>
      </c>
      <c r="H26" s="1">
        <f t="shared" si="67"/>
        <v>4636</v>
      </c>
      <c r="I26" s="48">
        <f t="shared" si="27"/>
        <v>0</v>
      </c>
      <c r="J26" s="32">
        <f t="shared" si="28"/>
        <v>0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f t="shared" si="68"/>
        <v>3390.5189999999998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9"/>
        <v>163950</v>
      </c>
      <c r="Y26" s="169">
        <f t="shared" si="39"/>
        <v>0</v>
      </c>
      <c r="Z26" s="163">
        <f t="shared" si="70"/>
        <v>8332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140</v>
      </c>
      <c r="AE26" s="169">
        <f t="shared" si="37"/>
        <v>0</v>
      </c>
      <c r="AF26" s="163">
        <f t="shared" si="64"/>
        <v>5469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5"/>
        <v>22826.005000000001</v>
      </c>
      <c r="C27" s="48">
        <f t="shared" si="23"/>
        <v>0</v>
      </c>
      <c r="D27" s="32">
        <f t="shared" si="24"/>
        <v>0</v>
      </c>
      <c r="E27" s="1">
        <f t="shared" si="66"/>
        <v>4094.6190000000001</v>
      </c>
      <c r="F27" s="48">
        <f t="shared" si="25"/>
        <v>0</v>
      </c>
      <c r="G27" s="32">
        <f t="shared" si="26"/>
        <v>0</v>
      </c>
      <c r="H27" s="1">
        <f t="shared" si="67"/>
        <v>4636</v>
      </c>
      <c r="I27" s="48">
        <f t="shared" si="27"/>
        <v>0</v>
      </c>
      <c r="J27" s="32">
        <f t="shared" si="28"/>
        <v>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f t="shared" si="68"/>
        <v>3390.5189999999998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9"/>
        <v>163950</v>
      </c>
      <c r="Y27" s="169">
        <f t="shared" si="39"/>
        <v>0</v>
      </c>
      <c r="Z27" s="163">
        <f t="shared" si="70"/>
        <v>8332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140</v>
      </c>
      <c r="AE27" s="169">
        <f t="shared" si="37"/>
        <v>0</v>
      </c>
      <c r="AF27" s="163">
        <f t="shared" si="64"/>
        <v>5469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5"/>
        <v>22826.005000000001</v>
      </c>
      <c r="C28" s="48">
        <f t="shared" si="23"/>
        <v>0</v>
      </c>
      <c r="D28" s="32">
        <f t="shared" si="24"/>
        <v>0</v>
      </c>
      <c r="E28" s="1">
        <f t="shared" si="66"/>
        <v>4094.6190000000001</v>
      </c>
      <c r="F28" s="48">
        <f t="shared" si="25"/>
        <v>0</v>
      </c>
      <c r="G28" s="32">
        <f t="shared" si="26"/>
        <v>0</v>
      </c>
      <c r="H28" s="1">
        <f t="shared" si="67"/>
        <v>4636</v>
      </c>
      <c r="I28" s="48">
        <f t="shared" si="27"/>
        <v>0</v>
      </c>
      <c r="J28" s="32">
        <f t="shared" si="28"/>
        <v>0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f t="shared" si="68"/>
        <v>3390.5189999999998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9"/>
        <v>163950</v>
      </c>
      <c r="Y28" s="169">
        <f t="shared" si="39"/>
        <v>0</v>
      </c>
      <c r="Z28" s="163">
        <f t="shared" si="70"/>
        <v>8332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140</v>
      </c>
      <c r="AE28" s="169">
        <f t="shared" si="37"/>
        <v>0</v>
      </c>
      <c r="AF28" s="163">
        <f t="shared" si="64"/>
        <v>5469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5"/>
        <v>22826.005000000001</v>
      </c>
      <c r="C29" s="48">
        <f t="shared" si="23"/>
        <v>0</v>
      </c>
      <c r="D29" s="32">
        <f t="shared" si="24"/>
        <v>0</v>
      </c>
      <c r="E29" s="1">
        <f t="shared" si="66"/>
        <v>4094.6190000000001</v>
      </c>
      <c r="F29" s="48">
        <f t="shared" si="25"/>
        <v>0</v>
      </c>
      <c r="G29" s="32">
        <f t="shared" si="26"/>
        <v>0</v>
      </c>
      <c r="H29" s="1">
        <f t="shared" si="67"/>
        <v>4636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si="68"/>
        <v>3390.5189999999998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9"/>
        <v>163950</v>
      </c>
      <c r="Y29" s="169">
        <f t="shared" si="39"/>
        <v>0</v>
      </c>
      <c r="Z29" s="163">
        <f t="shared" si="70"/>
        <v>8332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140</v>
      </c>
      <c r="AE29" s="169">
        <f t="shared" si="37"/>
        <v>0</v>
      </c>
      <c r="AF29" s="163">
        <f t="shared" si="64"/>
        <v>5469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22826.005000000001</v>
      </c>
      <c r="C30" s="48">
        <f t="shared" si="23"/>
        <v>0</v>
      </c>
      <c r="D30" s="32">
        <f t="shared" si="24"/>
        <v>0</v>
      </c>
      <c r="E30" s="1">
        <f t="shared" si="66"/>
        <v>4094.6190000000001</v>
      </c>
      <c r="F30" s="48">
        <f t="shared" si="25"/>
        <v>0</v>
      </c>
      <c r="G30" s="32">
        <f t="shared" si="26"/>
        <v>0</v>
      </c>
      <c r="H30" s="1">
        <f t="shared" si="67"/>
        <v>4636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3390.5189999999998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163950</v>
      </c>
      <c r="Y30" s="169">
        <f t="shared" si="39"/>
        <v>0</v>
      </c>
      <c r="Z30" s="163">
        <f t="shared" si="70"/>
        <v>8332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140</v>
      </c>
      <c r="AE30" s="169">
        <f t="shared" si="37"/>
        <v>0</v>
      </c>
      <c r="AF30" s="163">
        <f t="shared" si="64"/>
        <v>5469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22826.005000000001</v>
      </c>
      <c r="C31" s="48">
        <f t="shared" si="23"/>
        <v>0</v>
      </c>
      <c r="D31" s="32">
        <f t="shared" si="24"/>
        <v>0</v>
      </c>
      <c r="E31" s="1">
        <f t="shared" si="66"/>
        <v>4094.6190000000001</v>
      </c>
      <c r="F31" s="48">
        <f t="shared" si="25"/>
        <v>0</v>
      </c>
      <c r="G31" s="32">
        <f t="shared" si="26"/>
        <v>0</v>
      </c>
      <c r="H31" s="1">
        <f t="shared" si="67"/>
        <v>4636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3390.5189999999998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163950</v>
      </c>
      <c r="Y31" s="169">
        <f t="shared" si="39"/>
        <v>0</v>
      </c>
      <c r="Z31" s="163">
        <f t="shared" si="70"/>
        <v>8332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140</v>
      </c>
      <c r="AE31" s="169">
        <f t="shared" si="37"/>
        <v>0</v>
      </c>
      <c r="AF31" s="163">
        <f t="shared" si="64"/>
        <v>5469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22826.005000000001</v>
      </c>
      <c r="C32" s="48">
        <f t="shared" si="23"/>
        <v>0</v>
      </c>
      <c r="D32" s="32">
        <f t="shared" si="24"/>
        <v>0</v>
      </c>
      <c r="E32" s="1">
        <f t="shared" si="66"/>
        <v>4094.6190000000001</v>
      </c>
      <c r="F32" s="48">
        <f t="shared" si="25"/>
        <v>0</v>
      </c>
      <c r="G32" s="32">
        <f t="shared" si="26"/>
        <v>0</v>
      </c>
      <c r="H32" s="1">
        <f t="shared" si="67"/>
        <v>4636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3390.5189999999998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163950</v>
      </c>
      <c r="Y32" s="169">
        <f t="shared" si="39"/>
        <v>0</v>
      </c>
      <c r="Z32" s="163">
        <f t="shared" si="70"/>
        <v>8332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140</v>
      </c>
      <c r="AE32" s="169">
        <f t="shared" si="37"/>
        <v>0</v>
      </c>
      <c r="AF32" s="163">
        <f t="shared" si="64"/>
        <v>5469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22826.005000000001</v>
      </c>
      <c r="C33" s="48">
        <f t="shared" si="23"/>
        <v>0</v>
      </c>
      <c r="D33" s="32">
        <f t="shared" si="24"/>
        <v>0</v>
      </c>
      <c r="E33" s="1">
        <f t="shared" si="66"/>
        <v>4094.6190000000001</v>
      </c>
      <c r="F33" s="48">
        <f t="shared" si="25"/>
        <v>0</v>
      </c>
      <c r="G33" s="32">
        <f t="shared" si="26"/>
        <v>0</v>
      </c>
      <c r="H33" s="1">
        <f t="shared" si="67"/>
        <v>4636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3390.5189999999998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163950</v>
      </c>
      <c r="Y33" s="169">
        <f t="shared" si="39"/>
        <v>0</v>
      </c>
      <c r="Z33" s="163">
        <f t="shared" si="70"/>
        <v>8332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140</v>
      </c>
      <c r="AE33" s="169">
        <f t="shared" si="37"/>
        <v>0</v>
      </c>
      <c r="AF33" s="163">
        <f t="shared" si="64"/>
        <v>5469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37.915000000000873</v>
      </c>
      <c r="D34" s="142">
        <f>SUM(D3:D33)</f>
        <v>76148.200000002544</v>
      </c>
      <c r="E34" s="142">
        <v>0</v>
      </c>
      <c r="F34" s="142">
        <f>SUM(F3:F33)</f>
        <v>10.719000000000051</v>
      </c>
      <c r="G34" s="142">
        <f>SUM(G3:G33)</f>
        <v>20366.100000000089</v>
      </c>
      <c r="H34" s="142"/>
      <c r="I34" s="142">
        <f>SUM(I3:I33)</f>
        <v>83</v>
      </c>
      <c r="J34" s="142">
        <f>SUM(J3:J33)</f>
        <v>157700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40886.099999999584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163.48600000000215</v>
      </c>
      <c r="U34" s="142">
        <f>SUM(U3:U33)</f>
        <v>310623.40000000404</v>
      </c>
      <c r="V34"/>
      <c r="W34" s="142" t="s">
        <v>143</v>
      </c>
      <c r="X34" s="142"/>
      <c r="Y34" s="142">
        <f>SUM(Y5:Y33)</f>
        <v>529</v>
      </c>
      <c r="Z34" s="142"/>
      <c r="AA34" s="142">
        <f>SUM(AA5:AA33)</f>
        <v>81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2022-01-20T00:34:02Z</dcterms:modified>
</cp:coreProperties>
</file>