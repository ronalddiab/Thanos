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E2C9F758-76DA-4F8C-82AE-C19C9E729264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I11" i="6"/>
  <c r="I12" i="6"/>
  <c r="I13" i="6"/>
  <c r="I14" i="6"/>
  <c r="I15" i="6"/>
  <c r="I16" i="6"/>
  <c r="I17" i="6"/>
  <c r="M18" i="2" s="1"/>
  <c r="I18" i="6"/>
  <c r="M19" i="2" s="1"/>
  <c r="I19" i="6"/>
  <c r="I20" i="6"/>
  <c r="I21" i="6"/>
  <c r="I22" i="6"/>
  <c r="I23" i="6"/>
  <c r="I24" i="6"/>
  <c r="I25" i="6"/>
  <c r="M26" i="2" s="1"/>
  <c r="I26" i="6"/>
  <c r="M27" i="2" s="1"/>
  <c r="I27" i="6"/>
  <c r="I28" i="6"/>
  <c r="I29" i="6"/>
  <c r="I30" i="6"/>
  <c r="I31" i="6"/>
  <c r="I32" i="6"/>
  <c r="I33" i="6"/>
  <c r="M34" i="2" s="1"/>
  <c r="I34" i="6"/>
  <c r="M35" i="2" s="1"/>
  <c r="I35" i="6"/>
  <c r="I36" i="6"/>
  <c r="I37" i="6"/>
  <c r="I38" i="6"/>
  <c r="G11" i="6"/>
  <c r="G12" i="6"/>
  <c r="G13" i="6"/>
  <c r="G14" i="6"/>
  <c r="G15" i="6"/>
  <c r="G16" i="6"/>
  <c r="L17" i="2" s="1"/>
  <c r="G17" i="6"/>
  <c r="G18" i="6"/>
  <c r="L19" i="2" s="1"/>
  <c r="G19" i="6"/>
  <c r="G20" i="6"/>
  <c r="G21" i="6"/>
  <c r="G22" i="6"/>
  <c r="G23" i="6"/>
  <c r="G24" i="6"/>
  <c r="G25" i="6"/>
  <c r="L26" i="2" s="1"/>
  <c r="G26" i="6"/>
  <c r="L27" i="2" s="1"/>
  <c r="G27" i="6"/>
  <c r="G28" i="6"/>
  <c r="G29" i="6"/>
  <c r="G30" i="6"/>
  <c r="G31" i="6"/>
  <c r="G32" i="6"/>
  <c r="G33" i="6"/>
  <c r="G34" i="6"/>
  <c r="L35" i="2" s="1"/>
  <c r="G35" i="6"/>
  <c r="G36" i="6"/>
  <c r="G37" i="6"/>
  <c r="G38" i="6"/>
  <c r="E11" i="6"/>
  <c r="E12" i="6"/>
  <c r="E13" i="6"/>
  <c r="E14" i="6"/>
  <c r="E15" i="6"/>
  <c r="E16" i="6"/>
  <c r="F17" i="2" s="1"/>
  <c r="E17" i="6"/>
  <c r="F18" i="2" s="1"/>
  <c r="E18" i="6"/>
  <c r="F19" i="2" s="1"/>
  <c r="E19" i="6"/>
  <c r="E20" i="6"/>
  <c r="E21" i="6"/>
  <c r="E22" i="6"/>
  <c r="E23" i="6"/>
  <c r="E24" i="6"/>
  <c r="F25" i="2" s="1"/>
  <c r="E25" i="6"/>
  <c r="F26" i="2" s="1"/>
  <c r="E26" i="6"/>
  <c r="F27" i="2" s="1"/>
  <c r="E27" i="6"/>
  <c r="E28" i="6"/>
  <c r="E29" i="6"/>
  <c r="E30" i="6"/>
  <c r="E31" i="6"/>
  <c r="E32" i="6"/>
  <c r="F33" i="2" s="1"/>
  <c r="E33" i="6"/>
  <c r="F34" i="2" s="1"/>
  <c r="E34" i="6"/>
  <c r="F35" i="2" s="1"/>
  <c r="E35" i="6"/>
  <c r="E36" i="6"/>
  <c r="E37" i="6"/>
  <c r="E38" i="6"/>
  <c r="O5" i="4"/>
  <c r="O6" i="4"/>
  <c r="P6" i="4" s="1"/>
  <c r="O7" i="4"/>
  <c r="P7" i="4" s="1"/>
  <c r="O8" i="4"/>
  <c r="P8" i="4" s="1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P31" i="4" s="1"/>
  <c r="O32" i="4"/>
  <c r="P32" i="4" s="1"/>
  <c r="O33" i="4"/>
  <c r="M11" i="2"/>
  <c r="M12" i="2"/>
  <c r="M13" i="2"/>
  <c r="M14" i="2"/>
  <c r="M15" i="2"/>
  <c r="M16" i="2"/>
  <c r="M17" i="2"/>
  <c r="M20" i="2"/>
  <c r="M21" i="2"/>
  <c r="M22" i="2"/>
  <c r="M23" i="2"/>
  <c r="M24" i="2"/>
  <c r="M25" i="2"/>
  <c r="M28" i="2"/>
  <c r="M29" i="2"/>
  <c r="M30" i="2"/>
  <c r="M31" i="2"/>
  <c r="M32" i="2"/>
  <c r="M33" i="2"/>
  <c r="M36" i="2"/>
  <c r="M37" i="2"/>
  <c r="M38" i="2"/>
  <c r="M39" i="2"/>
  <c r="L11" i="2"/>
  <c r="L12" i="2"/>
  <c r="L13" i="2"/>
  <c r="L14" i="2"/>
  <c r="L15" i="2"/>
  <c r="L16" i="2"/>
  <c r="L18" i="2"/>
  <c r="L20" i="2"/>
  <c r="L21" i="2"/>
  <c r="L22" i="2"/>
  <c r="L23" i="2"/>
  <c r="L24" i="2"/>
  <c r="L25" i="2"/>
  <c r="L28" i="2"/>
  <c r="L29" i="2"/>
  <c r="L30" i="2"/>
  <c r="L31" i="2"/>
  <c r="L32" i="2"/>
  <c r="L33" i="2"/>
  <c r="L34" i="2"/>
  <c r="L36" i="2"/>
  <c r="L37" i="2"/>
  <c r="L38" i="2"/>
  <c r="L39" i="2"/>
  <c r="F11" i="2"/>
  <c r="F12" i="2"/>
  <c r="F13" i="2"/>
  <c r="F14" i="2"/>
  <c r="F15" i="2"/>
  <c r="F16" i="2"/>
  <c r="F20" i="2"/>
  <c r="F21" i="2"/>
  <c r="F22" i="2"/>
  <c r="F23" i="2"/>
  <c r="F24" i="2"/>
  <c r="F28" i="2"/>
  <c r="F29" i="2"/>
  <c r="F30" i="2"/>
  <c r="F31" i="2"/>
  <c r="F32" i="2"/>
  <c r="F36" i="2"/>
  <c r="F37" i="2"/>
  <c r="F38" i="2"/>
  <c r="F39" i="2"/>
  <c r="L5" i="4"/>
  <c r="L6" i="4"/>
  <c r="L7" i="4"/>
  <c r="L8" i="4"/>
  <c r="L9" i="4"/>
  <c r="N9" i="4" s="1"/>
  <c r="L10" i="4"/>
  <c r="N10" i="4" s="1"/>
  <c r="P10" i="4" s="1"/>
  <c r="L11" i="4"/>
  <c r="L12" i="4"/>
  <c r="L13" i="4"/>
  <c r="L14" i="4"/>
  <c r="L15" i="4"/>
  <c r="L16" i="4"/>
  <c r="L17" i="4"/>
  <c r="N17" i="4" s="1"/>
  <c r="L18" i="4"/>
  <c r="N18" i="4" s="1"/>
  <c r="P18" i="4" s="1"/>
  <c r="L19" i="4"/>
  <c r="L20" i="4"/>
  <c r="L21" i="4"/>
  <c r="L22" i="4"/>
  <c r="L23" i="4"/>
  <c r="L24" i="4"/>
  <c r="L25" i="4"/>
  <c r="N25" i="4" s="1"/>
  <c r="L26" i="4"/>
  <c r="N26" i="4" s="1"/>
  <c r="P26" i="4" s="1"/>
  <c r="L27" i="4"/>
  <c r="L28" i="4"/>
  <c r="L29" i="4"/>
  <c r="L30" i="4"/>
  <c r="L31" i="4"/>
  <c r="L32" i="4"/>
  <c r="L33" i="4"/>
  <c r="N33" i="4" s="1"/>
  <c r="N5" i="4"/>
  <c r="P5" i="4" s="1"/>
  <c r="N6" i="4"/>
  <c r="N7" i="4"/>
  <c r="N8" i="4"/>
  <c r="N11" i="4"/>
  <c r="P11" i="4" s="1"/>
  <c r="N12" i="4"/>
  <c r="N13" i="4"/>
  <c r="N14" i="4"/>
  <c r="N15" i="4"/>
  <c r="N16" i="4"/>
  <c r="N19" i="4"/>
  <c r="P19" i="4" s="1"/>
  <c r="N20" i="4"/>
  <c r="P20" i="4" s="1"/>
  <c r="N21" i="4"/>
  <c r="N22" i="4"/>
  <c r="N23" i="4"/>
  <c r="N24" i="4"/>
  <c r="N27" i="4"/>
  <c r="P27" i="4" s="1"/>
  <c r="N28" i="4"/>
  <c r="P28" i="4" s="1"/>
  <c r="N29" i="4"/>
  <c r="P29" i="4" s="1"/>
  <c r="N30" i="4"/>
  <c r="N31" i="4"/>
  <c r="N32" i="4"/>
  <c r="P14" i="4"/>
  <c r="P22" i="4"/>
  <c r="P30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4" i="4"/>
  <c r="M48" i="4"/>
  <c r="P16" i="4" l="1"/>
  <c r="P15" i="4"/>
  <c r="P33" i="4"/>
  <c r="P17" i="4"/>
  <c r="P23" i="4"/>
  <c r="P13" i="4"/>
  <c r="P12" i="4"/>
  <c r="P24" i="4"/>
  <c r="P25" i="4"/>
  <c r="P9" i="4"/>
  <c r="P21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3" i="22"/>
  <c r="I26" i="22"/>
  <c r="E3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N39" i="2"/>
  <c r="H39" i="2"/>
  <c r="C38" i="6"/>
  <c r="N38" i="2"/>
  <c r="H38" i="2"/>
  <c r="C37" i="6"/>
  <c r="N37" i="2"/>
  <c r="I29" i="22"/>
  <c r="C36" i="6"/>
  <c r="N36" i="2"/>
  <c r="I28" i="22"/>
  <c r="C35" i="6"/>
  <c r="N34" i="2"/>
  <c r="O34" i="2" s="1"/>
  <c r="N35" i="2"/>
  <c r="I27" i="22"/>
  <c r="C34" i="6"/>
  <c r="C33" i="6"/>
  <c r="N33" i="2"/>
  <c r="I25" i="22"/>
  <c r="C32" i="6"/>
  <c r="N32" i="2"/>
  <c r="O32" i="2"/>
  <c r="H32" i="2"/>
  <c r="C31" i="6"/>
  <c r="N31" i="2"/>
  <c r="O31" i="2" s="1"/>
  <c r="H31" i="2"/>
  <c r="C30" i="6"/>
  <c r="N30" i="2"/>
  <c r="H30" i="2"/>
  <c r="C29" i="6"/>
  <c r="N29" i="2"/>
  <c r="N28" i="2"/>
  <c r="I21" i="22"/>
  <c r="C28" i="6"/>
  <c r="N26" i="2"/>
  <c r="O26" i="2" s="1"/>
  <c r="N27" i="2"/>
  <c r="O28" i="2"/>
  <c r="H26" i="2"/>
  <c r="I19" i="22"/>
  <c r="I20" i="22"/>
  <c r="C27" i="6"/>
  <c r="C26" i="6"/>
  <c r="C25" i="6"/>
  <c r="N25" i="2"/>
  <c r="I17" i="22"/>
  <c r="C24" i="6"/>
  <c r="N24" i="2"/>
  <c r="H24" i="2"/>
  <c r="C23" i="6"/>
  <c r="N23" i="2"/>
  <c r="I15" i="22"/>
  <c r="C22" i="6"/>
  <c r="N22" i="2"/>
  <c r="I14" i="22"/>
  <c r="C21" i="6"/>
  <c r="N19" i="2"/>
  <c r="N20" i="2"/>
  <c r="N21" i="2"/>
  <c r="I11" i="22"/>
  <c r="I12" i="22"/>
  <c r="H21" i="2"/>
  <c r="C19" i="6"/>
  <c r="C18" i="6"/>
  <c r="N18" i="2"/>
  <c r="Q18" i="2" s="1"/>
  <c r="I10" i="22"/>
  <c r="C17" i="6"/>
  <c r="N17" i="2"/>
  <c r="I9" i="22"/>
  <c r="C16" i="6"/>
  <c r="N16" i="2"/>
  <c r="I8" i="22"/>
  <c r="C15" i="6"/>
  <c r="N15" i="2"/>
  <c r="I7" i="22"/>
  <c r="C14" i="6"/>
  <c r="N11" i="2"/>
  <c r="N12" i="2"/>
  <c r="N13" i="2"/>
  <c r="N14" i="2"/>
  <c r="M40" i="2"/>
  <c r="I44" i="2" s="1"/>
  <c r="L44" i="2" s="1"/>
  <c r="I4" i="22"/>
  <c r="I5" i="22"/>
  <c r="I6" i="22"/>
  <c r="C11" i="6"/>
  <c r="O11" i="2"/>
  <c r="K10" i="6"/>
  <c r="I10" i="6"/>
  <c r="G10" i="6"/>
  <c r="E10" i="6"/>
  <c r="C10" i="6"/>
  <c r="N10" i="2"/>
  <c r="M10" i="2"/>
  <c r="L10" i="2"/>
  <c r="F10" i="2"/>
  <c r="G4" i="4"/>
  <c r="E4" i="4"/>
  <c r="C4" i="4"/>
  <c r="F20" i="11"/>
  <c r="C20" i="6"/>
  <c r="M35" i="4"/>
  <c r="M36" i="4"/>
  <c r="M37" i="4"/>
  <c r="M38" i="4"/>
  <c r="M39" i="4"/>
  <c r="M40" i="4"/>
  <c r="M41" i="4"/>
  <c r="M42" i="4"/>
  <c r="C13" i="6"/>
  <c r="C12" i="6"/>
  <c r="H37" i="2"/>
  <c r="G2" i="21"/>
  <c r="O10" i="2"/>
  <c r="I2" i="22"/>
  <c r="O25" i="2"/>
  <c r="Q31" i="2"/>
  <c r="Q33" i="2"/>
  <c r="H35" i="2"/>
  <c r="H34" i="2"/>
  <c r="H25" i="2"/>
  <c r="Q23" i="2"/>
  <c r="H18" i="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 s="1"/>
  <c r="J35" i="4"/>
  <c r="K35" i="4"/>
  <c r="D29" i="19"/>
  <c r="F29" i="19"/>
  <c r="H29" i="19"/>
  <c r="I29" i="19"/>
  <c r="J7" i="4"/>
  <c r="K7" i="4"/>
  <c r="J6" i="4"/>
  <c r="K6" i="4"/>
  <c r="L2" i="22"/>
  <c r="K2" i="22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G7" i="4" s="1"/>
  <c r="AD7" i="4"/>
  <c r="AE7" i="4"/>
  <c r="J8" i="4"/>
  <c r="K8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H27" i="2"/>
  <c r="H28" i="2"/>
  <c r="H22" i="2"/>
  <c r="Q25" i="2"/>
  <c r="I19" i="10"/>
  <c r="E20" i="10"/>
  <c r="D25" i="10"/>
  <c r="F25" i="10"/>
  <c r="F32" i="10"/>
  <c r="H25" i="10"/>
  <c r="I25" i="10"/>
  <c r="I32" i="10"/>
  <c r="F18" i="10"/>
  <c r="H15" i="2"/>
  <c r="O18" i="2"/>
  <c r="Q24" i="2"/>
  <c r="F25" i="18"/>
  <c r="F29" i="18"/>
  <c r="F21" i="11"/>
  <c r="F23" i="11"/>
  <c r="F24" i="11"/>
  <c r="F2" i="21"/>
  <c r="I21" i="4"/>
  <c r="C21" i="4"/>
  <c r="E21" i="4"/>
  <c r="G12" i="4"/>
  <c r="I12" i="4"/>
  <c r="L34" i="4"/>
  <c r="N34" i="4" s="1"/>
  <c r="O34" i="4" s="1"/>
  <c r="P34" i="4" s="1"/>
  <c r="O27" i="2"/>
  <c r="O33" i="2"/>
  <c r="Q10" i="2"/>
  <c r="E2" i="21"/>
  <c r="J2" i="21"/>
  <c r="J3" i="21"/>
  <c r="H10" i="2"/>
  <c r="E2" i="22"/>
  <c r="Q44" i="4"/>
  <c r="AC44" i="4"/>
  <c r="K48" i="4"/>
  <c r="L48" i="4"/>
  <c r="AC43" i="4"/>
  <c r="G9" i="4"/>
  <c r="E9" i="4"/>
  <c r="C9" i="4"/>
  <c r="I9" i="4"/>
  <c r="Q26" i="2" l="1"/>
  <c r="O21" i="2"/>
  <c r="O39" i="2"/>
  <c r="Q20" i="2"/>
  <c r="Q17" i="2"/>
  <c r="E10" i="22"/>
  <c r="E26" i="22"/>
  <c r="Q27" i="2"/>
  <c r="Q11" i="2"/>
  <c r="O20" i="2"/>
  <c r="Q34" i="2"/>
  <c r="Q39" i="2"/>
  <c r="Q21" i="2"/>
  <c r="H29" i="2"/>
  <c r="H17" i="2"/>
  <c r="I18" i="22"/>
  <c r="N40" i="2"/>
  <c r="I45" i="2" s="1"/>
  <c r="L45" i="2" s="1"/>
  <c r="Q19" i="2"/>
  <c r="O23" i="2"/>
  <c r="O19" i="2"/>
  <c r="Q28" i="2"/>
  <c r="Q37" i="2"/>
  <c r="J23" i="21"/>
  <c r="E13" i="22"/>
  <c r="O16" i="2"/>
  <c r="E5" i="22"/>
  <c r="E4" i="22"/>
  <c r="O24" i="2"/>
  <c r="O17" i="2"/>
  <c r="O37" i="2"/>
  <c r="E31" i="22"/>
  <c r="E24" i="22"/>
  <c r="O36" i="2"/>
  <c r="E7" i="22"/>
  <c r="Q36" i="2"/>
  <c r="Q22" i="2"/>
  <c r="E18" i="22"/>
  <c r="O30" i="2"/>
  <c r="Q38" i="2"/>
  <c r="E29" i="22"/>
  <c r="Q29" i="2"/>
  <c r="E20" i="22"/>
  <c r="E6" i="22"/>
  <c r="E25" i="22"/>
  <c r="E12" i="22"/>
  <c r="E9" i="22"/>
  <c r="E27" i="22"/>
  <c r="E16" i="22"/>
  <c r="Q32" i="2"/>
  <c r="E28" i="22"/>
  <c r="J17" i="21"/>
  <c r="E17" i="22"/>
  <c r="E19" i="22"/>
  <c r="J19" i="21"/>
  <c r="J15" i="21"/>
  <c r="E15" i="22"/>
  <c r="E11" i="22"/>
  <c r="J11" i="21"/>
  <c r="O29" i="2"/>
  <c r="Q16" i="2"/>
  <c r="E30" i="22"/>
  <c r="E22" i="22"/>
  <c r="E14" i="22"/>
  <c r="Q30" i="2"/>
  <c r="O35" i="2"/>
  <c r="J22" i="21"/>
  <c r="E21" i="22"/>
  <c r="J10" i="21"/>
  <c r="Q35" i="2"/>
  <c r="O38" i="2"/>
  <c r="J21" i="21"/>
  <c r="J25" i="21"/>
  <c r="J9" i="21"/>
  <c r="O22" i="2"/>
  <c r="I16" i="22"/>
  <c r="H23" i="2"/>
  <c r="F40" i="2"/>
  <c r="I31" i="22"/>
  <c r="I23" i="22"/>
  <c r="H20" i="2"/>
  <c r="I30" i="22"/>
  <c r="I22" i="22"/>
  <c r="H33" i="2"/>
  <c r="I13" i="22"/>
  <c r="I24" i="22"/>
  <c r="H36" i="2"/>
  <c r="V38" i="2"/>
  <c r="V36" i="2"/>
  <c r="V16" i="2"/>
  <c r="V31" i="2"/>
  <c r="V34" i="2"/>
  <c r="V15" i="2"/>
  <c r="V27" i="2"/>
  <c r="V35" i="2"/>
  <c r="V32" i="2"/>
  <c r="V37" i="2"/>
  <c r="V26" i="2"/>
  <c r="V24" i="2"/>
  <c r="V20" i="2"/>
  <c r="V33" i="2"/>
  <c r="V17" i="2"/>
  <c r="V19" i="2"/>
  <c r="V12" i="2"/>
  <c r="V28" i="2"/>
  <c r="V21" i="2"/>
  <c r="V25" i="2"/>
  <c r="V22" i="2"/>
  <c r="V11" i="2"/>
  <c r="V30" i="2"/>
  <c r="V13" i="2"/>
  <c r="V18" i="2"/>
  <c r="V23" i="2"/>
  <c r="V39" i="2"/>
  <c r="V29" i="2"/>
  <c r="J26" i="21"/>
  <c r="J16" i="21"/>
  <c r="J18" i="21"/>
  <c r="J12" i="21"/>
  <c r="J13" i="21"/>
  <c r="Q14" i="2"/>
  <c r="O14" i="2"/>
  <c r="X26" i="2"/>
  <c r="X22" i="2"/>
  <c r="X34" i="2"/>
  <c r="X16" i="2"/>
  <c r="J14" i="21"/>
  <c r="G26" i="4"/>
  <c r="E26" i="4"/>
  <c r="C26" i="4"/>
  <c r="I4" i="4"/>
  <c r="L4" i="4"/>
  <c r="N4" i="4" s="1"/>
  <c r="G25" i="4"/>
  <c r="E25" i="4"/>
  <c r="C25" i="4"/>
  <c r="G24" i="4"/>
  <c r="E24" i="4"/>
  <c r="C24" i="4"/>
  <c r="J20" i="21" l="1"/>
  <c r="E23" i="22"/>
  <c r="M23" i="22" s="1"/>
  <c r="J24" i="21"/>
  <c r="E8" i="22"/>
  <c r="M8" i="22" s="1"/>
  <c r="J8" i="21"/>
  <c r="J30" i="21"/>
  <c r="X31" i="2"/>
  <c r="X21" i="2"/>
  <c r="X29" i="2"/>
  <c r="X27" i="2"/>
  <c r="X30" i="2"/>
  <c r="X20" i="2"/>
  <c r="X17" i="2"/>
  <c r="X33" i="2"/>
  <c r="X13" i="2"/>
  <c r="X28" i="2"/>
  <c r="X11" i="2"/>
  <c r="X23" i="2"/>
  <c r="X18" i="2"/>
  <c r="X12" i="2"/>
  <c r="X37" i="2"/>
  <c r="X24" i="2"/>
  <c r="X25" i="2"/>
  <c r="X39" i="2"/>
  <c r="X19" i="2"/>
  <c r="X35" i="2"/>
  <c r="V14" i="2"/>
  <c r="X32" i="2"/>
  <c r="X38" i="2"/>
  <c r="X15" i="2"/>
  <c r="X36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2" i="22"/>
  <c r="M16" i="22"/>
  <c r="M17" i="22"/>
  <c r="M12" i="22"/>
  <c r="O15" i="2"/>
  <c r="Q15" i="2"/>
  <c r="O13" i="2"/>
  <c r="Q13" i="2"/>
  <c r="Q12" i="2"/>
  <c r="L40" i="2"/>
  <c r="O12" i="2"/>
  <c r="H16" i="2"/>
  <c r="H14" i="2"/>
  <c r="H13" i="2"/>
  <c r="H12" i="2"/>
  <c r="H11" i="2"/>
  <c r="O4" i="4"/>
  <c r="N43" i="4"/>
  <c r="M3" i="22"/>
  <c r="O40" i="2" l="1"/>
  <c r="Q40" i="2"/>
  <c r="H40" i="2"/>
  <c r="X14" i="2"/>
  <c r="P4" i="4"/>
  <c r="V10" i="2"/>
  <c r="I47" i="2"/>
  <c r="L47" i="2" s="1"/>
  <c r="N47" i="2" s="1"/>
  <c r="M31" i="22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<sst xmlns="http://schemas.openxmlformats.org/spreadsheetml/2006/main" count="478" uniqueCount="186">
  <si>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</si>
  <si>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</si>
  <si>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</si>
  <si>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</si>
  <si>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</si>
  <si>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</si>
  <si>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</si>
  <si>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</si>
  <si>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</si>
  <si>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</si>
  <si>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</si>
  <si>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</si>
  <si>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</si>
  <si>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</si>
  <si>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</si>
  <si>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</si>
  <si>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</si>
  <si>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</si>
  <si>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</si>
  <si>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</si>
  <si>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</si>
  <si>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</si>
  <si>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</si>
  <si>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</si>
  <si>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</si>
  <si>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</si>
  <si>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</si>
  <si>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</si>
  <si>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</si>
  <si>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</si>
  <si>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</si>
  <si>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</si>
  <si>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</si>
  <si>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</si>
  <si>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</si>
  <si>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</si>
  <si>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</si>
  <si>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</si>
  <si>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</si>
  <si>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</si>
  <si>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</si>
  <si>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</si>
  <si>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</si>
  <si>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</si>
  <si>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</si>
  <si>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</si>
  <si>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</si>
  <si>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</si>
  <si>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</si>
  <si>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</si>
  <si>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</si>
  <si>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</si>
  <si>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</si>
  <si>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</si>
  <si>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</si>
  <si>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</si>
  <si>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</si>
  <si>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</si>
  <si>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</si>
  <si>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</si>
  <si>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</si>
  <si>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</si>
  <si>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</si>
  <si>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</si>
  <si>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</si>
  <si>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</si>
  <si>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</si>
  <si>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</si>
  <si>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</si>
  <si>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</si>
  <si>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</si>
  <si>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</si>
  <si>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</si>
  <si>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</si>
  <si>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</si>
  <si>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</si>
  <si>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</si>
  <si>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</si>
  <si>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</si>
  <si>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</si>
  <si>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</si>
  <si>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</si>
  <si>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</si>
  <si>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</si>
  <si>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</si>
  <si>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</si>
  <si>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</si>
  <si>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</si>
  <si>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</si>
  <si>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</si>
  <si>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</si>
  <si>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</si>
  <si>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</si>
  <si>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</si>
  <si>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</si>
  <si>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</si>
  <si>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</si>
  <si>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</si>
  <si>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</si>
  <si>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</si>
  <si>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</si>
  <si>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</si>
  <si>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</si>
  <si>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</si>
  <si>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</si>
  <si>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</si>
  <si>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</si>
  <si>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</si>
  <si>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</si>
  <si>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</si>
  <si>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</si>
  <si>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</si>
  <si>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</si>
  <si>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</si>
  <si>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</si>
  <si>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</si>
  <si>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</si>
  <si>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</si>
  <si>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</si>
  <si>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</si>
  <si>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</si>
  <si>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</si>
  <si>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</si>
  <si>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</si>
  <si>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</si>
  <si>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</si>
  <si>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</si>
  <si>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</si>
  <si>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</si>
  <si>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</si>
  <si>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</si>
  <si>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29/4/2021</t>
  </si>
  <si>
    <t>30/4/2021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</si>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</sst>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4">
                  <c:v>50</c:v>
                </c:pt>
                <c:pt idx="15">
                  <c:v>30.80000000000291</c:v>
                </c:pt>
                <c:pt idx="16">
                  <c:v>88.099999999991269</c:v>
                </c:pt>
                <c:pt idx="17">
                  <c:v>65.400000000008731</c:v>
                </c:pt>
                <c:pt idx="18">
                  <c:v>47.30000000000291</c:v>
                </c:pt>
                <c:pt idx="19">
                  <c:v>54.69999999999709</c:v>
                </c:pt>
                <c:pt idx="20">
                  <c:v>82.80000000000291</c:v>
                </c:pt>
                <c:pt idx="21">
                  <c:v>65.5</c:v>
                </c:pt>
                <c:pt idx="22">
                  <c:v>56.399999999994179</c:v>
                </c:pt>
                <c:pt idx="23">
                  <c:v>63.399999999994179</c:v>
                </c:pt>
                <c:pt idx="24">
                  <c:v>76.600000000005821</c:v>
                </c:pt>
                <c:pt idx="25">
                  <c:v>65.30000000000291</c:v>
                </c:pt>
                <c:pt idx="26">
                  <c:v>52.399999999994179</c:v>
                </c:pt>
                <c:pt idx="27">
                  <c:v>63.69999999999709</c:v>
                </c:pt>
                <c:pt idx="28">
                  <c:v>65</c:v>
                </c:pt>
                <c:pt idx="2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4">
                  <c:v>2117</c:v>
                </c:pt>
                <c:pt idx="15">
                  <c:v>2072</c:v>
                </c:pt>
                <c:pt idx="16">
                  <c:v>2246</c:v>
                </c:pt>
                <c:pt idx="17">
                  <c:v>1947</c:v>
                </c:pt>
                <c:pt idx="18">
                  <c:v>1965</c:v>
                </c:pt>
                <c:pt idx="19">
                  <c:v>2076</c:v>
                </c:pt>
                <c:pt idx="20">
                  <c:v>2276</c:v>
                </c:pt>
                <c:pt idx="21">
                  <c:v>1750</c:v>
                </c:pt>
                <c:pt idx="22">
                  <c:v>2047</c:v>
                </c:pt>
                <c:pt idx="23">
                  <c:v>2033</c:v>
                </c:pt>
                <c:pt idx="24">
                  <c:v>2098</c:v>
                </c:pt>
                <c:pt idx="25">
                  <c:v>1957</c:v>
                </c:pt>
                <c:pt idx="26">
                  <c:v>1944</c:v>
                </c:pt>
                <c:pt idx="27">
                  <c:v>1685</c:v>
                </c:pt>
                <c:pt idx="28">
                  <c:v>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4">
                  <c:v>4583</c:v>
                </c:pt>
                <c:pt idx="15">
                  <c:v>4801</c:v>
                </c:pt>
                <c:pt idx="16">
                  <c:v>4328</c:v>
                </c:pt>
                <c:pt idx="17">
                  <c:v>4289</c:v>
                </c:pt>
                <c:pt idx="18">
                  <c:v>4231</c:v>
                </c:pt>
                <c:pt idx="19">
                  <c:v>4195</c:v>
                </c:pt>
                <c:pt idx="20">
                  <c:v>4275</c:v>
                </c:pt>
                <c:pt idx="21">
                  <c:v>4150</c:v>
                </c:pt>
                <c:pt idx="22">
                  <c:v>4089</c:v>
                </c:pt>
                <c:pt idx="23">
                  <c:v>4166</c:v>
                </c:pt>
                <c:pt idx="24">
                  <c:v>4149</c:v>
                </c:pt>
                <c:pt idx="25">
                  <c:v>4038</c:v>
                </c:pt>
                <c:pt idx="26">
                  <c:v>3556</c:v>
                </c:pt>
                <c:pt idx="27">
                  <c:v>3688</c:v>
                </c:pt>
                <c:pt idx="28">
                  <c:v>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4">
                  <c:v>1663</c:v>
                </c:pt>
                <c:pt idx="15">
                  <c:v>1551</c:v>
                </c:pt>
                <c:pt idx="16">
                  <c:v>1945</c:v>
                </c:pt>
                <c:pt idx="17">
                  <c:v>1590</c:v>
                </c:pt>
                <c:pt idx="18">
                  <c:v>1641</c:v>
                </c:pt>
                <c:pt idx="19">
                  <c:v>1672</c:v>
                </c:pt>
                <c:pt idx="20">
                  <c:v>1697</c:v>
                </c:pt>
                <c:pt idx="21">
                  <c:v>1492</c:v>
                </c:pt>
                <c:pt idx="22">
                  <c:v>1819</c:v>
                </c:pt>
                <c:pt idx="23">
                  <c:v>1724</c:v>
                </c:pt>
                <c:pt idx="24">
                  <c:v>1740</c:v>
                </c:pt>
                <c:pt idx="25">
                  <c:v>1513</c:v>
                </c:pt>
                <c:pt idx="26">
                  <c:v>1457</c:v>
                </c:pt>
                <c:pt idx="27">
                  <c:v>1713</c:v>
                </c:pt>
                <c:pt idx="28">
                  <c:v>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511.98736000000002</c:v>
                </c:pt>
                <c:pt idx="2">
                  <c:v>607.98499000000004</c:v>
                </c:pt>
                <c:pt idx="3">
                  <c:v>447.98894000000001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287.99288999999999</c:v>
                </c:pt>
                <c:pt idx="14">
                  <c:v>383.99052</c:v>
                </c:pt>
                <c:pt idx="15">
                  <c:v>639.98419999999999</c:v>
                </c:pt>
                <c:pt idx="16">
                  <c:v>63.998420000000003</c:v>
                </c:pt>
                <c:pt idx="17">
                  <c:v>127.99684000000001</c:v>
                </c:pt>
                <c:pt idx="18">
                  <c:v>63.998420000000003</c:v>
                </c:pt>
                <c:pt idx="19">
                  <c:v>63.998420000000003</c:v>
                </c:pt>
                <c:pt idx="20">
                  <c:v>319.99209999999999</c:v>
                </c:pt>
                <c:pt idx="21">
                  <c:v>351.99131</c:v>
                </c:pt>
                <c:pt idx="22">
                  <c:v>287.99288999999999</c:v>
                </c:pt>
                <c:pt idx="23">
                  <c:v>383.99052</c:v>
                </c:pt>
                <c:pt idx="24">
                  <c:v>287.99288999999999</c:v>
                </c:pt>
                <c:pt idx="25">
                  <c:v>0</c:v>
                </c:pt>
                <c:pt idx="26">
                  <c:v>159.99605</c:v>
                </c:pt>
                <c:pt idx="27">
                  <c:v>191.99526</c:v>
                </c:pt>
                <c:pt idx="28">
                  <c:v>351.99131</c:v>
                </c:pt>
                <c:pt idx="29">
                  <c:v>383.99052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abSelected="1" workbookViewId="0">
      <selection activeCell="V20" sqref="V20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479.98815000000002</v>
      </c>
      <c r="H2" s="134">
        <v>8.5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11284</v>
      </c>
      <c r="F3" s="134">
        <v>1.05</v>
      </c>
      <c r="G3" s="134">
        <f>'Consommation mensuel énergie'!V11</f>
        <v>511.98736000000002</v>
      </c>
      <c r="H3" s="134">
        <v>8.5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607.98499000000004</v>
      </c>
      <c r="H4" s="134">
        <v>8.5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447.98894000000001</v>
      </c>
      <c r="H5" s="134">
        <v>8.5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submetering!E6+submetering!F6+submetering!G6</f>
        <v>10978</v>
      </c>
      <c r="F6" s="134">
        <v>1.05</v>
      </c>
      <c r="G6" s="134">
        <f>'Consommation mensuel énergie'!V14</f>
        <v>319.99209999999999</v>
      </c>
      <c r="H6" s="134">
        <v>8.5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8.5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8.5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8.5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énergie'!V18</f>
        <v>255.99368000000001</v>
      </c>
      <c r="H10" s="134">
        <v>8.5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énergie'!V19</f>
        <v>607.98499000000004</v>
      </c>
      <c r="H11" s="134">
        <v>8.5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énergie'!V20</f>
        <v>415.98973000000001</v>
      </c>
      <c r="H12" s="134">
        <v>8.5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énergie'!V21</f>
        <v>511.98736000000002</v>
      </c>
      <c r="H13" s="134">
        <v>8.5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1.05</v>
      </c>
      <c r="G14" s="134">
        <f>'Consommation mensuel énergie'!V22</f>
        <v>255.99368000000001</v>
      </c>
      <c r="H14" s="134">
        <v>8.5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1.05</v>
      </c>
      <c r="G15" s="134">
        <f>'Consommation mensuel énergie'!V23</f>
        <v>287.99288999999999</v>
      </c>
      <c r="H15" s="134">
        <v>8.5</v>
      </c>
      <c r="I15" s="134">
        <f>'Consommation mensuel énergie'!F23</f>
        <v>80.5</v>
      </c>
      <c r="J15" s="134">
        <v>11.4</v>
      </c>
      <c r="K15" s="137">
        <f>'Consommation mensuel énergie'!D23</f>
        <v>12</v>
      </c>
      <c r="L15" s="137">
        <f>'Consommation mensuel énergie'!E23</f>
        <v>16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8363</v>
      </c>
      <c r="F16" s="134">
        <v>1.05</v>
      </c>
      <c r="G16" s="134">
        <f>'Consommation mensuel énergie'!V24</f>
        <v>383.99052</v>
      </c>
      <c r="H16" s="134">
        <v>8.5</v>
      </c>
      <c r="I16" s="134">
        <f>'Consommation mensuel énergie'!F24</f>
        <v>50</v>
      </c>
      <c r="J16" s="134">
        <v>11.4</v>
      </c>
      <c r="K16" s="137">
        <f>'Consommation mensuel énergie'!D24</f>
        <v>8</v>
      </c>
      <c r="L16" s="137">
        <f>'Consommation mensuel énergie'!E24</f>
        <v>12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8424</v>
      </c>
      <c r="F17" s="134">
        <v>1.05</v>
      </c>
      <c r="G17" s="134">
        <f>'Consommation mensuel énergie'!V25</f>
        <v>639.98419999999999</v>
      </c>
      <c r="H17" s="134">
        <v>8.5</v>
      </c>
      <c r="I17" s="134">
        <f>'Consommation mensuel énergie'!F25</f>
        <v>30.80000000000291</v>
      </c>
      <c r="J17" s="134">
        <v>11.4</v>
      </c>
      <c r="K17" s="137">
        <f>'Consommation mensuel énergie'!D25</f>
        <v>14</v>
      </c>
      <c r="L17" s="137">
        <f>'Consommation mensuel énergie'!E25</f>
        <v>21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8519</v>
      </c>
      <c r="F18" s="134">
        <v>1.05</v>
      </c>
      <c r="G18" s="134">
        <f>'Consommation mensuel énergie'!V26</f>
        <v>63.998420000000003</v>
      </c>
      <c r="H18" s="134">
        <v>8.5</v>
      </c>
      <c r="I18" s="134">
        <f>'Consommation mensuel énergie'!F26</f>
        <v>88.099999999991269</v>
      </c>
      <c r="J18" s="134">
        <v>11.4</v>
      </c>
      <c r="K18" s="137">
        <f>'Consommation mensuel énergie'!D26</f>
        <v>11</v>
      </c>
      <c r="L18" s="137">
        <f>'Consommation mensuel énergie'!E26</f>
        <v>20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7826</v>
      </c>
      <c r="F19" s="134">
        <v>1.05</v>
      </c>
      <c r="G19" s="134">
        <f>'Consommation mensuel énergie'!V27</f>
        <v>127.99684000000001</v>
      </c>
      <c r="H19" s="134">
        <v>8.5</v>
      </c>
      <c r="I19" s="134">
        <f>'Consommation mensuel énergie'!F27</f>
        <v>65.400000000008731</v>
      </c>
      <c r="J19" s="134">
        <v>11.4</v>
      </c>
      <c r="K19" s="137">
        <f>'Consommation mensuel énergie'!D27</f>
        <v>11</v>
      </c>
      <c r="L19" s="137">
        <f>'Consommation mensuel énergie'!E27</f>
        <v>19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7837</v>
      </c>
      <c r="F20" s="134">
        <v>1.05</v>
      </c>
      <c r="G20" s="134">
        <f>'Consommation mensuel énergie'!V28</f>
        <v>63.998420000000003</v>
      </c>
      <c r="H20" s="134">
        <v>8.5</v>
      </c>
      <c r="I20" s="134">
        <f>'Consommation mensuel énergie'!F28</f>
        <v>47.30000000000291</v>
      </c>
      <c r="J20" s="134">
        <v>11.4</v>
      </c>
      <c r="K20" s="137">
        <f>'Consommation mensuel énergie'!D28</f>
        <v>16</v>
      </c>
      <c r="L20" s="137">
        <f>'Consommation mensuel énergie'!E28</f>
        <v>27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7943</v>
      </c>
      <c r="F21" s="134">
        <v>1.05</v>
      </c>
      <c r="G21" s="134">
        <f>'Consommation mensuel énergie'!V29</f>
        <v>63.998420000000003</v>
      </c>
      <c r="H21" s="134">
        <v>8.5</v>
      </c>
      <c r="I21" s="134">
        <f>'Consommation mensuel énergie'!F29</f>
        <v>54.69999999999709</v>
      </c>
      <c r="J21" s="134">
        <v>11.4</v>
      </c>
      <c r="K21" s="137">
        <f>'Consommation mensuel énergie'!D29</f>
        <v>12</v>
      </c>
      <c r="L21" s="137">
        <f>'Consommation mensuel énergie'!E29</f>
        <v>17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8248</v>
      </c>
      <c r="F22" s="134">
        <v>1.05</v>
      </c>
      <c r="G22" s="134">
        <f>'Consommation mensuel énergie'!V30</f>
        <v>319.99209999999999</v>
      </c>
      <c r="H22" s="134">
        <v>8.5</v>
      </c>
      <c r="I22" s="134">
        <f>'Consommation mensuel énergie'!F30</f>
        <v>82.80000000000291</v>
      </c>
      <c r="J22" s="134">
        <v>11.4</v>
      </c>
      <c r="K22" s="137">
        <f>'Consommation mensuel énergie'!D30</f>
        <v>14</v>
      </c>
      <c r="L22" s="137">
        <f>'Consommation mensuel énergie'!E30</f>
        <v>19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7392</v>
      </c>
      <c r="F23" s="134">
        <v>1.05</v>
      </c>
      <c r="G23" s="134">
        <f>'Consommation mensuel énergie'!V31</f>
        <v>351.99131</v>
      </c>
      <c r="H23" s="134">
        <v>8.5</v>
      </c>
      <c r="I23" s="134">
        <f>'Consommation mensuel énergie'!F31</f>
        <v>65.5</v>
      </c>
      <c r="J23" s="134">
        <v>11.4</v>
      </c>
      <c r="K23" s="137">
        <f>'Consommation mensuel énergie'!D31</f>
        <v>17</v>
      </c>
      <c r="L23" s="137">
        <f>'Consommation mensuel énergie'!E31</f>
        <v>27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7955</v>
      </c>
      <c r="F24" s="134">
        <v>1.05</v>
      </c>
      <c r="G24" s="134">
        <f>'Consommation mensuel énergie'!V32</f>
        <v>287.99288999999999</v>
      </c>
      <c r="H24" s="134">
        <v>8.5</v>
      </c>
      <c r="I24" s="134">
        <f>'Consommation mensuel énergie'!F32</f>
        <v>56.399999999994179</v>
      </c>
      <c r="J24" s="134">
        <v>11.4</v>
      </c>
      <c r="K24" s="137">
        <f>'Consommation mensuel énergie'!D32</f>
        <v>23</v>
      </c>
      <c r="L24" s="137">
        <f>'Consommation mensuel énergie'!E32</f>
        <v>38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7923</v>
      </c>
      <c r="F25" s="134">
        <v>1.05</v>
      </c>
      <c r="G25" s="134">
        <f>'Consommation mensuel énergie'!V33</f>
        <v>383.99052</v>
      </c>
      <c r="H25" s="134">
        <v>8.5</v>
      </c>
      <c r="I25" s="134">
        <f>'Consommation mensuel énergie'!F33</f>
        <v>63.399999999994179</v>
      </c>
      <c r="J25" s="134">
        <v>11.4</v>
      </c>
      <c r="K25" s="137">
        <f>'Consommation mensuel énergie'!D33</f>
        <v>17</v>
      </c>
      <c r="L25" s="137">
        <f>'Consommation mensuel énergie'!E33</f>
        <v>35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7987</v>
      </c>
      <c r="F26" s="134">
        <v>1.05</v>
      </c>
      <c r="G26" s="134">
        <f>'Consommation mensuel énergie'!V34</f>
        <v>287.99288999999999</v>
      </c>
      <c r="H26" s="134">
        <v>8.5</v>
      </c>
      <c r="I26" s="134">
        <f>'Consommation mensuel énergie'!F34</f>
        <v>76.600000000005821</v>
      </c>
      <c r="J26" s="134">
        <v>11.4</v>
      </c>
      <c r="K26" s="137">
        <f>'Consommation mensuel énergie'!D34</f>
        <v>7</v>
      </c>
      <c r="L26" s="137">
        <f>'Consommation mensuel énergie'!E34</f>
        <v>15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7508</v>
      </c>
      <c r="F27" s="134">
        <v>1.05</v>
      </c>
      <c r="G27" s="134">
        <f>'Consommation mensuel énergie'!V35</f>
        <v>0</v>
      </c>
      <c r="H27" s="134">
        <v>8.5</v>
      </c>
      <c r="I27" s="134">
        <f>'Consommation mensuel énergie'!F35</f>
        <v>65.30000000000291</v>
      </c>
      <c r="J27" s="134">
        <v>11.4</v>
      </c>
      <c r="K27" s="137">
        <f>'Consommation mensuel énergie'!D35</f>
        <v>12</v>
      </c>
      <c r="L27" s="137">
        <f>'Consommation mensuel énergie'!E35</f>
        <v>21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6957</v>
      </c>
      <c r="F28" s="134">
        <v>1.05</v>
      </c>
      <c r="G28" s="134">
        <f>'Consommation mensuel énergie'!V36</f>
        <v>159.99605</v>
      </c>
      <c r="H28" s="134">
        <v>8.5</v>
      </c>
      <c r="I28" s="134">
        <f>'Consommation mensuel énergie'!F36</f>
        <v>52.399999999994179</v>
      </c>
      <c r="J28" s="134">
        <v>11.4</v>
      </c>
      <c r="K28" s="137">
        <f>'Consommation mensuel énergie'!D36</f>
        <v>10</v>
      </c>
      <c r="L28" s="137">
        <f>'Consommation mensuel énergie'!E36</f>
        <v>18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7086</v>
      </c>
      <c r="F29" s="134">
        <v>1.05</v>
      </c>
      <c r="G29" s="134">
        <f>'Consommation mensuel énergie'!V37</f>
        <v>191.99526</v>
      </c>
      <c r="H29" s="134">
        <v>8.5</v>
      </c>
      <c r="I29" s="134">
        <f>'Consommation mensuel énergie'!F37</f>
        <v>63.69999999999709</v>
      </c>
      <c r="J29" s="134">
        <v>11.4</v>
      </c>
      <c r="K29" s="137">
        <f>'Consommation mensuel énergie'!D37</f>
        <v>16</v>
      </c>
      <c r="L29" s="137">
        <f>'Consommation mensuel énergie'!E37</f>
        <v>23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7907</v>
      </c>
      <c r="F30" s="134">
        <v>1.05</v>
      </c>
      <c r="G30" s="134">
        <f>'Consommation mensuel énergie'!V38</f>
        <v>351.99131</v>
      </c>
      <c r="H30" s="134">
        <v>8.5</v>
      </c>
      <c r="I30" s="134">
        <f>'Consommation mensuel énergie'!F38</f>
        <v>65</v>
      </c>
      <c r="J30" s="134">
        <v>11.4</v>
      </c>
      <c r="K30" s="137">
        <f>'Consommation mensuel énergie'!D38</f>
        <v>14</v>
      </c>
      <c r="L30" s="137">
        <f>'Consommation mensuel énergie'!E38</f>
        <v>25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8698</v>
      </c>
      <c r="F31" s="134">
        <v>1.05</v>
      </c>
      <c r="G31" s="134">
        <f>'Consommation mensuel énergie'!V39</f>
        <v>383.99052</v>
      </c>
      <c r="H31" s="134">
        <v>8.5</v>
      </c>
      <c r="I31" s="134">
        <f>'Consommation mensuel énergie'!F39</f>
        <v>63</v>
      </c>
      <c r="J31" s="134">
        <v>11.4</v>
      </c>
      <c r="K31" s="137">
        <f>'Consommation mensuel énergie'!D39</f>
        <v>32</v>
      </c>
      <c r="L31" s="137">
        <f>'Consommation mensuel énergie'!E39</f>
        <v>65</v>
      </c>
      <c r="M31" s="133" t="e">
        <f>E31*F31+G31*H31+#REF!*#REF!+I31*J31</f>
        <v>#REF!</v>
      </c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67"/>
      <c r="F34" s="134"/>
      <c r="G34" s="134"/>
      <c r="H34" s="134"/>
      <c r="I34" s="134"/>
      <c r="J34" s="134"/>
    </row>
    <row r="35" spans="1:13" x14ac:dyDescent="0.2">
      <c r="A35" s="167"/>
      <c r="F35" s="134"/>
      <c r="G35" s="134"/>
      <c r="H35" s="134"/>
      <c r="I35" s="134"/>
      <c r="J35" s="134"/>
    </row>
    <row r="36" spans="1:13" x14ac:dyDescent="0.2">
      <c r="A36" s="167"/>
      <c r="F36" s="134"/>
      <c r="G36" s="134"/>
      <c r="H36" s="134"/>
      <c r="I36" s="134"/>
      <c r="J36" s="134"/>
    </row>
    <row r="37" spans="1:13" x14ac:dyDescent="0.2">
      <c r="A37" s="167"/>
      <c r="F37" s="134"/>
      <c r="G37" s="134"/>
      <c r="H37" s="134"/>
      <c r="I37" s="134"/>
      <c r="J37" s="134"/>
    </row>
    <row r="38" spans="1:13" x14ac:dyDescent="0.2">
      <c r="A38" s="167"/>
      <c r="F38" s="134"/>
      <c r="G38" s="134"/>
      <c r="H38" s="134"/>
      <c r="I38" s="134"/>
      <c r="J38" s="134"/>
    </row>
    <row r="39" spans="1:13" x14ac:dyDescent="0.2">
      <c r="A39" s="167"/>
      <c r="F39" s="134"/>
      <c r="G39" s="134"/>
      <c r="H39" s="134"/>
      <c r="I39" s="134"/>
      <c r="J39" s="134"/>
    </row>
    <row r="40" spans="1:13" x14ac:dyDescent="0.2">
      <c r="A40" s="167"/>
      <c r="F40" s="134"/>
      <c r="G40" s="134"/>
      <c r="H40" s="134"/>
      <c r="I40" s="134"/>
      <c r="J40" s="134"/>
    </row>
    <row r="41" spans="1:13" x14ac:dyDescent="0.2">
      <c r="A41" s="167"/>
      <c r="F41" s="167"/>
      <c r="G41" s="167"/>
      <c r="H41" s="167"/>
      <c r="I41" s="167"/>
      <c r="J41" s="167"/>
    </row>
    <row r="42" spans="1:13" x14ac:dyDescent="0.2">
      <c r="A42" s="167"/>
      <c r="F42" s="167"/>
      <c r="G42" s="167"/>
      <c r="H42" s="167"/>
      <c r="I42" s="167"/>
      <c r="J42" s="16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N27" sqref="N2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énergie'!N11</f>
        <v>2563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>
        <f>'Consommation mensuel énergie'!N14</f>
        <v>2019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12</v>
      </c>
      <c r="I15" s="137">
        <f>'Consommation mensuel énergie'!E23</f>
        <v>16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2117</v>
      </c>
      <c r="F16" s="137">
        <f>'Consommation mensuel énergie'!M24</f>
        <v>4583</v>
      </c>
      <c r="G16" s="137">
        <f>'Consommation mensuel énergie'!N24</f>
        <v>1663</v>
      </c>
      <c r="H16" s="137">
        <f>'Consommation mensuel énergie'!D24</f>
        <v>8</v>
      </c>
      <c r="I16" s="137">
        <f>'Consommation mensuel énergie'!E24</f>
        <v>12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2072</v>
      </c>
      <c r="F17" s="137">
        <f>'Consommation mensuel énergie'!M25</f>
        <v>4801</v>
      </c>
      <c r="G17" s="137">
        <f>'Consommation mensuel énergie'!N25</f>
        <v>1551</v>
      </c>
      <c r="H17" s="137">
        <f>'Consommation mensuel énergie'!D25</f>
        <v>14</v>
      </c>
      <c r="I17" s="137">
        <f>'Consommation mensuel énergie'!E25</f>
        <v>21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2246</v>
      </c>
      <c r="F18" s="137">
        <f>'Consommation mensuel énergie'!M26</f>
        <v>4328</v>
      </c>
      <c r="G18" s="137">
        <f>'Consommation mensuel énergie'!N26</f>
        <v>1945</v>
      </c>
      <c r="H18" s="137">
        <f>'Consommation mensuel énergie'!D26</f>
        <v>11</v>
      </c>
      <c r="I18" s="137">
        <f>'Consommation mensuel énergie'!E26</f>
        <v>20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1947</v>
      </c>
      <c r="F19" s="137">
        <f>'Consommation mensuel énergie'!M27</f>
        <v>4289</v>
      </c>
      <c r="G19" s="137">
        <f>'Consommation mensuel énergie'!N27</f>
        <v>1590</v>
      </c>
      <c r="H19" s="137">
        <f>'Consommation mensuel énergie'!D27</f>
        <v>11</v>
      </c>
      <c r="I19" s="137">
        <f>'Consommation mensuel énergie'!E27</f>
        <v>19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1965</v>
      </c>
      <c r="F20" s="137">
        <f>'Consommation mensuel énergie'!M28</f>
        <v>4231</v>
      </c>
      <c r="G20" s="137">
        <f>'Consommation mensuel énergie'!N28</f>
        <v>1641</v>
      </c>
      <c r="H20" s="137">
        <f>'Consommation mensuel énergie'!D28</f>
        <v>16</v>
      </c>
      <c r="I20" s="137">
        <f>'Consommation mensuel énergie'!E28</f>
        <v>27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2076</v>
      </c>
      <c r="F21" s="137">
        <f>'Consommation mensuel énergie'!M29</f>
        <v>4195</v>
      </c>
      <c r="G21" s="137">
        <f>'Consommation mensuel énergie'!N29</f>
        <v>1672</v>
      </c>
      <c r="H21" s="137">
        <f>'Consommation mensuel énergie'!D29</f>
        <v>12</v>
      </c>
      <c r="I21" s="137">
        <f>'Consommation mensuel énergie'!E29</f>
        <v>17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2276</v>
      </c>
      <c r="F22" s="137">
        <f>'Consommation mensuel énergie'!M30</f>
        <v>4275</v>
      </c>
      <c r="G22" s="137">
        <f>'Consommation mensuel énergie'!N30</f>
        <v>1697</v>
      </c>
      <c r="H22" s="137">
        <f>'Consommation mensuel énergie'!D30</f>
        <v>14</v>
      </c>
      <c r="I22" s="137">
        <f>'Consommation mensuel énergie'!E30</f>
        <v>19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1750</v>
      </c>
      <c r="F23" s="137">
        <f>'Consommation mensuel énergie'!M31</f>
        <v>4150</v>
      </c>
      <c r="G23" s="137">
        <f>'Consommation mensuel énergie'!N31</f>
        <v>1492</v>
      </c>
      <c r="H23" s="137">
        <f>'Consommation mensuel énergie'!D31</f>
        <v>17</v>
      </c>
      <c r="I23" s="137">
        <f>'Consommation mensuel énergie'!E31</f>
        <v>27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2047</v>
      </c>
      <c r="F24" s="137">
        <f>'Consommation mensuel énergie'!M32</f>
        <v>4089</v>
      </c>
      <c r="G24" s="137">
        <f>'Consommation mensuel énergie'!N32</f>
        <v>1819</v>
      </c>
      <c r="H24" s="137">
        <f>'Consommation mensuel énergie'!D32</f>
        <v>23</v>
      </c>
      <c r="I24" s="137">
        <f>'Consommation mensuel énergie'!E32</f>
        <v>38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2033</v>
      </c>
      <c r="F25" s="137">
        <f>'Consommation mensuel énergie'!M33</f>
        <v>4166</v>
      </c>
      <c r="G25" s="137">
        <f>'Consommation mensuel énergie'!N33</f>
        <v>1724</v>
      </c>
      <c r="H25" s="137">
        <f>'Consommation mensuel énergie'!D33</f>
        <v>17</v>
      </c>
      <c r="I25" s="137">
        <f>'Consommation mensuel énergie'!E33</f>
        <v>35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2098</v>
      </c>
      <c r="F26" s="137">
        <f>'Consommation mensuel énergie'!M34</f>
        <v>4149</v>
      </c>
      <c r="G26" s="137">
        <f>'Consommation mensuel énergie'!N34</f>
        <v>1740</v>
      </c>
      <c r="H26" s="137">
        <f>'Consommation mensuel énergie'!D34</f>
        <v>7</v>
      </c>
      <c r="I26" s="137">
        <f>'Consommation mensuel énergie'!E34</f>
        <v>15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1957</v>
      </c>
      <c r="F27" s="137">
        <f>'Consommation mensuel énergie'!M35</f>
        <v>4038</v>
      </c>
      <c r="G27" s="137">
        <f>'Consommation mensuel énergie'!N35</f>
        <v>1513</v>
      </c>
      <c r="H27" s="137">
        <f>'Consommation mensuel énergie'!D35</f>
        <v>12</v>
      </c>
      <c r="I27" s="137">
        <f>'Consommation mensuel énergie'!E35</f>
        <v>21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1944</v>
      </c>
      <c r="F28" s="137">
        <f>'Consommation mensuel énergie'!M36</f>
        <v>3556</v>
      </c>
      <c r="G28" s="137">
        <f>'Consommation mensuel énergie'!N36</f>
        <v>1457</v>
      </c>
      <c r="H28" s="137">
        <f>'Consommation mensuel énergie'!D36</f>
        <v>10</v>
      </c>
      <c r="I28" s="137">
        <f>'Consommation mensuel énergie'!E36</f>
        <v>18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1685</v>
      </c>
      <c r="F29" s="137">
        <f>'Consommation mensuel énergie'!M37</f>
        <v>3688</v>
      </c>
      <c r="G29" s="137">
        <f>'Consommation mensuel énergie'!N37</f>
        <v>1713</v>
      </c>
      <c r="H29" s="137">
        <f>'Consommation mensuel énergie'!D37</f>
        <v>16</v>
      </c>
      <c r="I29" s="137">
        <f>'Consommation mensuel énergie'!E37</f>
        <v>23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2137</v>
      </c>
      <c r="F30" s="137">
        <f>'Consommation mensuel énergie'!M38</f>
        <v>4081</v>
      </c>
      <c r="G30" s="137">
        <f>'Consommation mensuel énergie'!N38</f>
        <v>1689</v>
      </c>
      <c r="H30" s="137">
        <f>'Consommation mensuel énergie'!D38</f>
        <v>14</v>
      </c>
      <c r="I30" s="137">
        <f>'Consommation mensuel énergie'!E38</f>
        <v>25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2584</v>
      </c>
      <c r="F31" s="137">
        <f>'Consommation mensuel énergie'!M39</f>
        <v>4275</v>
      </c>
      <c r="G31" s="137">
        <f>'Consommation mensuel énergie'!N39</f>
        <v>1839</v>
      </c>
      <c r="H31" s="137">
        <f>'Consommation mensuel énergie'!D39</f>
        <v>32</v>
      </c>
      <c r="I31" s="137">
        <f>'Consommation mensuel énergie'!E39</f>
        <v>65</v>
      </c>
      <c r="J31" s="133" t="e">
        <f>E31*F31+G31*#REF!+#REF!*#REF!+#REF!*#REF!</f>
        <v>#REF!</v>
      </c>
    </row>
    <row r="32" spans="1:10" x14ac:dyDescent="0.2">
      <c r="A32" s="167"/>
      <c r="E32" s="134"/>
      <c r="F32" s="134"/>
      <c r="G32" s="134"/>
      <c r="H32" s="133"/>
      <c r="I32" s="133"/>
    </row>
    <row r="33" spans="1:9" x14ac:dyDescent="0.2">
      <c r="A33" s="167"/>
      <c r="E33" s="134"/>
      <c r="F33" s="134"/>
      <c r="G33" s="134"/>
      <c r="H33" s="133"/>
      <c r="I33" s="133"/>
    </row>
    <row r="34" spans="1:9" x14ac:dyDescent="0.2">
      <c r="A34" s="167"/>
      <c r="E34" s="134"/>
      <c r="F34" s="134"/>
      <c r="G34" s="134"/>
      <c r="H34" s="133"/>
      <c r="I34" s="133"/>
    </row>
    <row r="35" spans="1:9" x14ac:dyDescent="0.2">
      <c r="A35" s="167"/>
      <c r="E35" s="134"/>
      <c r="F35" s="134"/>
      <c r="G35" s="134"/>
      <c r="H35" s="133"/>
      <c r="I35" s="133"/>
    </row>
    <row r="36" spans="1:9" x14ac:dyDescent="0.2">
      <c r="A36" s="167"/>
      <c r="E36" s="134"/>
      <c r="F36" s="134"/>
      <c r="G36" s="134"/>
      <c r="H36" s="133"/>
      <c r="I36" s="133"/>
    </row>
    <row r="37" spans="1:9" x14ac:dyDescent="0.2">
      <c r="A37" s="167"/>
      <c r="E37" s="134"/>
      <c r="F37" s="134"/>
      <c r="G37" s="134"/>
      <c r="H37" s="133"/>
      <c r="I37" s="133"/>
    </row>
    <row r="38" spans="1:9" x14ac:dyDescent="0.2">
      <c r="A38" s="167"/>
      <c r="E38" s="134"/>
      <c r="F38" s="134"/>
      <c r="G38" s="134"/>
      <c r="H38" s="133"/>
      <c r="I38" s="133"/>
    </row>
    <row r="39" spans="1:9" x14ac:dyDescent="0.2">
      <c r="A39" s="167"/>
      <c r="E39" s="167"/>
      <c r="F39" s="167"/>
      <c r="G39" s="167"/>
    </row>
    <row r="40" spans="1:9" x14ac:dyDescent="0.2">
      <c r="A40" s="167"/>
      <c r="E40" s="167"/>
      <c r="F40" s="167"/>
      <c r="G40" s="167"/>
    </row>
    <row r="41" spans="1:9" x14ac:dyDescent="0.2">
      <c r="A41" s="167"/>
      <c r="E41" s="167"/>
      <c r="F41" s="167"/>
      <c r="G41" s="167"/>
    </row>
    <row r="42" spans="1:9" x14ac:dyDescent="0.2">
      <c r="A42" s="167"/>
      <c r="E42" s="167"/>
      <c r="F42" s="167"/>
      <c r="G42" s="16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19" activePane="bottomRight" state="frozen"/>
      <selection pane="topRight" activeCell="B21" sqref="A21:IV21"/>
      <selection pane="bottomLeft" activeCell="B21" sqref="A21:IV21"/>
      <selection pane="bottomRight" activeCell="L40" sqref="L40:N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24" ht="100.5" customHeight="1" thickBot="1" x14ac:dyDescent="0.25">
      <c r="A2" s="185"/>
      <c r="B2" s="186"/>
      <c r="C2" s="186"/>
      <c r="D2" s="186"/>
      <c r="E2" s="186"/>
      <c r="F2" s="186"/>
      <c r="G2" s="186"/>
      <c r="H2" s="187"/>
      <c r="I2" s="196" t="s">
        <v>17</v>
      </c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</row>
    <row r="3" spans="1:24" ht="15" hidden="1" customHeight="1" thickBot="1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</row>
    <row r="4" spans="1:24" ht="39" hidden="1" customHeight="1" thickBot="1" x14ac:dyDescent="0.25">
      <c r="A4" s="188"/>
      <c r="B4" s="188"/>
      <c r="C4" s="188"/>
      <c r="D4" s="165"/>
      <c r="E4" s="165"/>
      <c r="F4" s="165"/>
      <c r="G4" s="165"/>
      <c r="H4" s="165"/>
      <c r="I4" s="165"/>
      <c r="J4" s="165"/>
      <c r="K4" s="165"/>
      <c r="L4" s="16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8"/>
      <c r="B5" s="188"/>
      <c r="C5" s="188"/>
      <c r="D5" s="165"/>
      <c r="E5" s="165"/>
      <c r="F5" s="165"/>
      <c r="G5" s="165"/>
      <c r="H5" s="165"/>
      <c r="I5" s="165"/>
      <c r="J5" s="165"/>
      <c r="K5" s="165"/>
      <c r="L5" s="165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</row>
    <row r="6" spans="1:24" s="5" customFormat="1" ht="44.25" hidden="1" customHeight="1" thickBot="1" x14ac:dyDescent="0.25">
      <c r="A6" s="3"/>
      <c r="B6" s="3"/>
      <c r="C6" s="3"/>
      <c r="D6" s="165"/>
      <c r="E6" s="165"/>
      <c r="F6" s="165"/>
      <c r="G6" s="165"/>
      <c r="H6" s="165"/>
      <c r="I6" s="165"/>
      <c r="J6" s="165"/>
      <c r="K6" s="165"/>
      <c r="L6" s="165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</row>
    <row r="7" spans="1:24" s="5" customFormat="1" ht="18.75" hidden="1" customHeight="1" thickBot="1" x14ac:dyDescent="0.25">
      <c r="A7" s="165"/>
      <c r="B7" s="165"/>
      <c r="C7" s="165"/>
      <c r="D7" s="165"/>
      <c r="E7" s="165"/>
      <c r="F7" s="189"/>
      <c r="G7" s="189"/>
      <c r="H7" s="189"/>
      <c r="I7" s="189"/>
      <c r="J7" s="189"/>
      <c r="K7" s="189"/>
      <c r="L7" s="189"/>
      <c r="M7" s="189"/>
      <c r="N7" s="198"/>
      <c r="O7" s="198"/>
      <c r="P7" s="189"/>
      <c r="Q7" s="189"/>
      <c r="R7" s="189"/>
      <c r="S7" s="189"/>
      <c r="T7" s="189"/>
      <c r="U7" s="189"/>
      <c r="V7" s="189"/>
      <c r="W7" s="189"/>
      <c r="X7" s="189"/>
    </row>
    <row r="8" spans="1:24" ht="18.75" customHeight="1" thickBot="1" x14ac:dyDescent="0.25">
      <c r="A8" s="189"/>
      <c r="B8" s="200" t="s">
        <v>19</v>
      </c>
      <c r="C8" s="4"/>
      <c r="D8" s="201" t="s">
        <v>20</v>
      </c>
      <c r="E8" s="201" t="s">
        <v>21</v>
      </c>
      <c r="F8" s="181" t="s">
        <v>22</v>
      </c>
      <c r="G8" s="2"/>
      <c r="H8" s="190" t="s">
        <v>23</v>
      </c>
      <c r="I8" s="191"/>
      <c r="J8" s="192"/>
      <c r="K8" s="183" t="s">
        <v>24</v>
      </c>
      <c r="L8" s="180" t="s">
        <v>25</v>
      </c>
      <c r="M8" s="180"/>
      <c r="N8" s="180"/>
      <c r="O8" s="180" t="s">
        <v>26</v>
      </c>
      <c r="P8" s="2"/>
      <c r="Q8" s="178" t="s">
        <v>23</v>
      </c>
      <c r="R8" s="2"/>
      <c r="S8" s="178" t="s">
        <v>27</v>
      </c>
      <c r="T8" s="2"/>
      <c r="U8" s="178" t="s">
        <v>28</v>
      </c>
      <c r="V8" s="203" t="s">
        <v>29</v>
      </c>
      <c r="W8" s="2"/>
      <c r="X8" s="178" t="s">
        <v>23</v>
      </c>
    </row>
    <row r="9" spans="1:24" ht="59.25" customHeight="1" thickBot="1" x14ac:dyDescent="0.25">
      <c r="A9" s="189"/>
      <c r="B9" s="200"/>
      <c r="C9" s="4"/>
      <c r="D9" s="202"/>
      <c r="E9" s="202"/>
      <c r="F9" s="182"/>
      <c r="G9" s="2"/>
      <c r="H9" s="193"/>
      <c r="I9" s="194"/>
      <c r="J9" s="195"/>
      <c r="K9" s="184"/>
      <c r="L9" s="166" t="s">
        <v>30</v>
      </c>
      <c r="M9" s="166" t="s">
        <v>31</v>
      </c>
      <c r="N9" s="166" t="s">
        <v>32</v>
      </c>
      <c r="O9" s="199"/>
      <c r="P9" s="2"/>
      <c r="Q9" s="179"/>
      <c r="R9" s="2"/>
      <c r="S9" s="179"/>
      <c r="T9" s="2"/>
      <c r="U9" s="179"/>
      <c r="V9" s="204"/>
      <c r="W9" s="2"/>
      <c r="X9" s="179"/>
    </row>
    <row r="10" spans="1:24" ht="32.25" customHeight="1" x14ac:dyDescent="0.2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174">
        <f>F10*8.79</f>
        <v>1010.8499999999999</v>
      </c>
      <c r="I10" s="175"/>
      <c r="J10" s="175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479.98815000000002</v>
      </c>
      <c r="W10" s="11"/>
      <c r="X10" s="34">
        <f>V10*9.8209</f>
        <v>4713.9156223350001</v>
      </c>
    </row>
    <row r="11" spans="1:24" ht="32.25" customHeight="1" x14ac:dyDescent="0.2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174">
        <f t="shared" ref="H11:H21" si="0">F11*8.79</f>
        <v>958.98900000005108</v>
      </c>
      <c r="I11" s="175"/>
      <c r="J11" s="175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511.98736000000002</v>
      </c>
      <c r="W11" s="11"/>
      <c r="X11" s="34">
        <f t="shared" ref="X11:X39" si="1">V11*9.8209</f>
        <v>5028.1766638240006</v>
      </c>
    </row>
    <row r="12" spans="1:24" ht="32.25" customHeight="1" x14ac:dyDescent="0.2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174">
        <f t="shared" si="0"/>
        <v>1031.9459999999488</v>
      </c>
      <c r="I12" s="175"/>
      <c r="J12" s="175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607.98499000000004</v>
      </c>
      <c r="W12" s="11"/>
      <c r="X12" s="34">
        <f t="shared" si="1"/>
        <v>5970.9597882910002</v>
      </c>
    </row>
    <row r="13" spans="1:24" ht="32.25" customHeight="1" x14ac:dyDescent="0.2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174">
        <f t="shared" si="0"/>
        <v>1015.2449999999999</v>
      </c>
      <c r="I13" s="175"/>
      <c r="J13" s="175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447.98894000000001</v>
      </c>
      <c r="W13" s="11"/>
      <c r="X13" s="34">
        <f t="shared" si="1"/>
        <v>4399.6545808460005</v>
      </c>
    </row>
    <row r="14" spans="1:24" ht="32.25" customHeight="1" x14ac:dyDescent="0.2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174">
        <f t="shared" si="0"/>
        <v>802.52700000002551</v>
      </c>
      <c r="I14" s="175"/>
      <c r="J14" s="175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 x14ac:dyDescent="0.2">
      <c r="A15" s="165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174">
        <f t="shared" si="0"/>
        <v>829.77599999994879</v>
      </c>
      <c r="I15" s="175"/>
      <c r="J15" s="175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 x14ac:dyDescent="0.2">
      <c r="A16" s="165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174">
        <f t="shared" si="0"/>
        <v>626.72700000002555</v>
      </c>
      <c r="I16" s="175"/>
      <c r="J16" s="175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 x14ac:dyDescent="0.2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174">
        <f t="shared" si="0"/>
        <v>632.87999999999988</v>
      </c>
      <c r="I17" s="175"/>
      <c r="J17" s="175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 x14ac:dyDescent="0.2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174">
        <f t="shared" si="0"/>
        <v>736.60200000002555</v>
      </c>
      <c r="I18" s="175"/>
      <c r="J18" s="175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 x14ac:dyDescent="0.2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174">
        <f t="shared" si="0"/>
        <v>676.82999999999993</v>
      </c>
      <c r="I19" s="175"/>
      <c r="J19" s="175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 x14ac:dyDescent="0.2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174">
        <f t="shared" si="0"/>
        <v>657.49200000002554</v>
      </c>
      <c r="I20" s="175"/>
      <c r="J20" s="175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 x14ac:dyDescent="0.2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174">
        <f t="shared" si="0"/>
        <v>501.9089999999232</v>
      </c>
      <c r="I21" s="175"/>
      <c r="J21" s="175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>
        <f>'Suvi Gaz'!O15</f>
        <v>511.98736000000002</v>
      </c>
      <c r="W21" s="11"/>
      <c r="X21" s="34">
        <f t="shared" si="1"/>
        <v>5028.1766638240006</v>
      </c>
    </row>
    <row r="22" spans="1:24" ht="32.25" customHeight="1" x14ac:dyDescent="0.2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174">
        <f t="shared" ref="H22:H35" si="4">F22*8.79</f>
        <v>806.92200000002549</v>
      </c>
      <c r="I22" s="175"/>
      <c r="J22" s="175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8">
        <f>'Suvi Gaz'!O16</f>
        <v>255.99368000000001</v>
      </c>
      <c r="W22" s="11"/>
      <c r="X22" s="34">
        <f t="shared" si="1"/>
        <v>2514.0883319120003</v>
      </c>
    </row>
    <row r="23" spans="1:24" ht="32.25" customHeight="1" x14ac:dyDescent="0.2">
      <c r="A23" s="2"/>
      <c r="B23" s="6">
        <v>44300</v>
      </c>
      <c r="C23" s="7"/>
      <c r="D23" s="143">
        <v>12</v>
      </c>
      <c r="E23" s="143">
        <v>16</v>
      </c>
      <c r="F23" s="13">
        <f>'Suivi EAU-ELEC'!E22</f>
        <v>80.5</v>
      </c>
      <c r="G23" s="14"/>
      <c r="H23" s="174">
        <f t="shared" si="4"/>
        <v>707.59499999999991</v>
      </c>
      <c r="I23" s="175"/>
      <c r="J23" s="175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8">
        <f>'Suvi Gaz'!O17</f>
        <v>287.99288999999999</v>
      </c>
      <c r="W23" s="11"/>
      <c r="X23" s="34">
        <f t="shared" si="1"/>
        <v>2828.3493734009999</v>
      </c>
    </row>
    <row r="24" spans="1:24" ht="32.25" customHeight="1" x14ac:dyDescent="0.2">
      <c r="A24" s="2"/>
      <c r="B24" s="6">
        <v>44301</v>
      </c>
      <c r="C24" s="7"/>
      <c r="D24" s="143">
        <v>8</v>
      </c>
      <c r="E24" s="143">
        <v>12</v>
      </c>
      <c r="F24" s="13">
        <f>'Suivi EAU-ELEC'!E23</f>
        <v>50</v>
      </c>
      <c r="G24" s="14"/>
      <c r="H24" s="174">
        <f t="shared" si="4"/>
        <v>439.49999999999994</v>
      </c>
      <c r="I24" s="175"/>
      <c r="J24" s="175"/>
      <c r="K24" s="60">
        <v>42292</v>
      </c>
      <c r="L24" s="90">
        <f>'Suivi EAU-ELEC'!G23</f>
        <v>2117</v>
      </c>
      <c r="M24" s="91">
        <f>'Suivi EAU-ELEC'!I23</f>
        <v>4583</v>
      </c>
      <c r="N24" s="91">
        <f>'Suivi EAU-ELEC'!K23</f>
        <v>1663</v>
      </c>
      <c r="O24" s="91">
        <f t="shared" si="2"/>
        <v>8363</v>
      </c>
      <c r="P24" s="12"/>
      <c r="Q24" s="34">
        <f t="shared" si="3"/>
        <v>8051.4459000000006</v>
      </c>
      <c r="R24" s="12"/>
      <c r="S24" s="28"/>
      <c r="T24" s="14"/>
      <c r="U24" s="28"/>
      <c r="V24" s="148">
        <f>'Suvi Gaz'!O18</f>
        <v>383.99052</v>
      </c>
      <c r="W24" s="11"/>
      <c r="X24" s="34">
        <f t="shared" si="1"/>
        <v>3771.132497868</v>
      </c>
    </row>
    <row r="25" spans="1:24" ht="32.25" customHeight="1" x14ac:dyDescent="0.2">
      <c r="A25" s="2"/>
      <c r="B25" s="6">
        <v>44302</v>
      </c>
      <c r="C25" s="7"/>
      <c r="D25" s="143">
        <v>14</v>
      </c>
      <c r="E25" s="143">
        <v>21</v>
      </c>
      <c r="F25" s="13">
        <f>'Suivi EAU-ELEC'!E24</f>
        <v>30.80000000000291</v>
      </c>
      <c r="G25" s="14"/>
      <c r="H25" s="174">
        <f t="shared" si="4"/>
        <v>270.73200000002555</v>
      </c>
      <c r="I25" s="175"/>
      <c r="J25" s="175"/>
      <c r="K25" s="60">
        <v>42293</v>
      </c>
      <c r="L25" s="90">
        <f>'Suivi EAU-ELEC'!G24</f>
        <v>2072</v>
      </c>
      <c r="M25" s="91">
        <f>'Suivi EAU-ELEC'!I24</f>
        <v>4801</v>
      </c>
      <c r="N25" s="91">
        <f>'Suivi EAU-ELEC'!K24</f>
        <v>1551</v>
      </c>
      <c r="O25" s="91">
        <f t="shared" si="2"/>
        <v>8424</v>
      </c>
      <c r="P25" s="12"/>
      <c r="Q25" s="34">
        <f t="shared" si="3"/>
        <v>8078.4138000000003</v>
      </c>
      <c r="R25" s="12"/>
      <c r="S25" s="28"/>
      <c r="T25" s="14"/>
      <c r="U25" s="28"/>
      <c r="V25" s="148">
        <f>'Suvi Gaz'!O19</f>
        <v>639.98419999999999</v>
      </c>
      <c r="W25" s="11"/>
      <c r="X25" s="34">
        <f t="shared" si="1"/>
        <v>6285.2208297799998</v>
      </c>
    </row>
    <row r="26" spans="1:24" ht="32.25" customHeight="1" x14ac:dyDescent="0.2">
      <c r="A26" s="2"/>
      <c r="B26" s="6">
        <v>44303</v>
      </c>
      <c r="C26" s="7"/>
      <c r="D26" s="143">
        <v>11</v>
      </c>
      <c r="E26" s="143">
        <v>20</v>
      </c>
      <c r="F26" s="13">
        <f>'Suivi EAU-ELEC'!E25</f>
        <v>88.099999999991269</v>
      </c>
      <c r="G26" s="14"/>
      <c r="H26" s="174">
        <f t="shared" si="4"/>
        <v>774.39899999992315</v>
      </c>
      <c r="I26" s="175"/>
      <c r="J26" s="175"/>
      <c r="K26" s="60">
        <v>42294</v>
      </c>
      <c r="L26" s="90">
        <f>'Suivi EAU-ELEC'!G25</f>
        <v>2246</v>
      </c>
      <c r="M26" s="91">
        <f>'Suivi EAU-ELEC'!I25</f>
        <v>4328</v>
      </c>
      <c r="N26" s="91">
        <f>'Suivi EAU-ELEC'!K25</f>
        <v>1945</v>
      </c>
      <c r="O26" s="91">
        <f t="shared" si="2"/>
        <v>8519</v>
      </c>
      <c r="P26" s="14"/>
      <c r="Q26" s="34">
        <f t="shared" si="3"/>
        <v>8274.1182000000008</v>
      </c>
      <c r="R26" s="14"/>
      <c r="S26" s="28"/>
      <c r="T26" s="14"/>
      <c r="U26" s="28"/>
      <c r="V26" s="148">
        <f>'Suvi Gaz'!O20</f>
        <v>63.998420000000003</v>
      </c>
      <c r="W26" s="11"/>
      <c r="X26" s="34">
        <f t="shared" si="1"/>
        <v>628.52208297800007</v>
      </c>
    </row>
    <row r="27" spans="1:24" ht="32.25" customHeight="1" x14ac:dyDescent="0.2">
      <c r="A27" s="2"/>
      <c r="B27" s="6">
        <v>44304</v>
      </c>
      <c r="C27" s="7"/>
      <c r="D27" s="143">
        <v>11</v>
      </c>
      <c r="E27" s="143">
        <v>19</v>
      </c>
      <c r="F27" s="13">
        <f>'Suivi EAU-ELEC'!E26</f>
        <v>65.400000000008731</v>
      </c>
      <c r="G27" s="14"/>
      <c r="H27" s="174">
        <f t="shared" si="4"/>
        <v>574.86600000007672</v>
      </c>
      <c r="I27" s="175"/>
      <c r="J27" s="175"/>
      <c r="K27" s="60">
        <v>42295</v>
      </c>
      <c r="L27" s="90">
        <f>'Suivi EAU-ELEC'!G26</f>
        <v>1947</v>
      </c>
      <c r="M27" s="91">
        <f>'Suivi EAU-ELEC'!I26</f>
        <v>4289</v>
      </c>
      <c r="N27" s="91">
        <f>'Suivi EAU-ELEC'!K26</f>
        <v>1590</v>
      </c>
      <c r="O27" s="91">
        <f t="shared" si="2"/>
        <v>7826</v>
      </c>
      <c r="P27" s="14"/>
      <c r="Q27" s="34">
        <f t="shared" si="3"/>
        <v>7555.8701000000001</v>
      </c>
      <c r="R27" s="14"/>
      <c r="S27" s="28"/>
      <c r="T27" s="14"/>
      <c r="U27" s="28"/>
      <c r="V27" s="148">
        <f>'Suvi Gaz'!O21</f>
        <v>127.99684000000001</v>
      </c>
      <c r="W27" s="11"/>
      <c r="X27" s="34">
        <f t="shared" si="1"/>
        <v>1257.0441659560001</v>
      </c>
    </row>
    <row r="28" spans="1:24" ht="32.25" customHeight="1" x14ac:dyDescent="0.2">
      <c r="A28" s="2"/>
      <c r="B28" s="6">
        <v>44305</v>
      </c>
      <c r="C28" s="7"/>
      <c r="D28" s="143">
        <v>16</v>
      </c>
      <c r="E28" s="143">
        <v>27</v>
      </c>
      <c r="F28" s="13">
        <f>'Suivi EAU-ELEC'!E27</f>
        <v>47.30000000000291</v>
      </c>
      <c r="G28" s="11"/>
      <c r="H28" s="174">
        <f t="shared" si="4"/>
        <v>415.76700000002552</v>
      </c>
      <c r="I28" s="175"/>
      <c r="J28" s="175"/>
      <c r="K28" s="60">
        <v>42296</v>
      </c>
      <c r="L28" s="90">
        <f>'Suivi EAU-ELEC'!G27</f>
        <v>1965</v>
      </c>
      <c r="M28" s="91">
        <f>'Suivi EAU-ELEC'!I27</f>
        <v>4231</v>
      </c>
      <c r="N28" s="91">
        <f>'Suivi EAU-ELEC'!K27</f>
        <v>1641</v>
      </c>
      <c r="O28" s="91">
        <f t="shared" si="2"/>
        <v>7837</v>
      </c>
      <c r="P28" s="11"/>
      <c r="Q28" s="34">
        <f>L28*0.6985+M28*0.9514+N28*1.3304</f>
        <v>7581.1123000000007</v>
      </c>
      <c r="R28" s="11"/>
      <c r="S28" s="28"/>
      <c r="T28" s="11"/>
      <c r="U28" s="28"/>
      <c r="V28" s="148">
        <f>'Suvi Gaz'!O22</f>
        <v>63.998420000000003</v>
      </c>
      <c r="W28" s="11"/>
      <c r="X28" s="34">
        <f t="shared" si="1"/>
        <v>628.52208297800007</v>
      </c>
    </row>
    <row r="29" spans="1:24" ht="32.25" customHeight="1" x14ac:dyDescent="0.2">
      <c r="A29" s="2"/>
      <c r="B29" s="6">
        <v>44306</v>
      </c>
      <c r="C29" s="7"/>
      <c r="D29" s="143">
        <v>12</v>
      </c>
      <c r="E29" s="143">
        <v>17</v>
      </c>
      <c r="F29" s="13">
        <f>'Suivi EAU-ELEC'!E28</f>
        <v>54.69999999999709</v>
      </c>
      <c r="G29" s="11"/>
      <c r="H29" s="174">
        <f t="shared" si="4"/>
        <v>480.81299999997435</v>
      </c>
      <c r="I29" s="175"/>
      <c r="J29" s="175"/>
      <c r="K29" s="60">
        <v>42297</v>
      </c>
      <c r="L29" s="90">
        <f>'Suivi EAU-ELEC'!G28</f>
        <v>2076</v>
      </c>
      <c r="M29" s="91">
        <f>'Suivi EAU-ELEC'!I28</f>
        <v>4195</v>
      </c>
      <c r="N29" s="91">
        <f>'Suivi EAU-ELEC'!K28</f>
        <v>1672</v>
      </c>
      <c r="O29" s="91">
        <f>L29+M29+N29</f>
        <v>7943</v>
      </c>
      <c r="P29" s="11"/>
      <c r="Q29" s="34">
        <f t="shared" si="3"/>
        <v>7665.6378000000004</v>
      </c>
      <c r="R29" s="11"/>
      <c r="S29" s="28"/>
      <c r="T29" s="11"/>
      <c r="U29" s="28"/>
      <c r="V29" s="148">
        <f>'Suvi Gaz'!O23</f>
        <v>63.998420000000003</v>
      </c>
      <c r="W29" s="11"/>
      <c r="X29" s="34">
        <f t="shared" si="1"/>
        <v>628.52208297800007</v>
      </c>
    </row>
    <row r="30" spans="1:24" ht="32.25" customHeight="1" x14ac:dyDescent="0.2">
      <c r="A30" s="2"/>
      <c r="B30" s="6">
        <v>44307</v>
      </c>
      <c r="C30" s="7"/>
      <c r="D30" s="143">
        <v>14</v>
      </c>
      <c r="E30" s="143">
        <v>19</v>
      </c>
      <c r="F30" s="13">
        <f>'Suivi EAU-ELEC'!E29</f>
        <v>82.80000000000291</v>
      </c>
      <c r="G30" s="11"/>
      <c r="H30" s="174">
        <f t="shared" si="4"/>
        <v>727.81200000002548</v>
      </c>
      <c r="I30" s="175"/>
      <c r="J30" s="175"/>
      <c r="K30" s="60">
        <v>42298</v>
      </c>
      <c r="L30" s="90">
        <f>'Suivi EAU-ELEC'!G29</f>
        <v>2276</v>
      </c>
      <c r="M30" s="91">
        <f>'Suivi EAU-ELEC'!I29</f>
        <v>4275</v>
      </c>
      <c r="N30" s="91">
        <f>'Suivi EAU-ELEC'!K29</f>
        <v>1697</v>
      </c>
      <c r="O30" s="91">
        <f>L30+M30+N30</f>
        <v>8248</v>
      </c>
      <c r="P30" s="11"/>
      <c r="Q30" s="34">
        <f>L30*0.6985+M30*0.9514+N30*1.3304</f>
        <v>7914.7098000000005</v>
      </c>
      <c r="R30" s="11"/>
      <c r="S30" s="28"/>
      <c r="T30" s="11"/>
      <c r="U30" s="28"/>
      <c r="V30" s="148">
        <f>'Suvi Gaz'!O24</f>
        <v>319.99209999999999</v>
      </c>
      <c r="W30" s="11"/>
      <c r="X30" s="34">
        <f t="shared" si="1"/>
        <v>3142.6104148899999</v>
      </c>
    </row>
    <row r="31" spans="1:24" ht="27.75" customHeight="1" x14ac:dyDescent="0.2">
      <c r="A31" s="2"/>
      <c r="B31" s="6">
        <v>44308</v>
      </c>
      <c r="C31" s="7"/>
      <c r="D31" s="143">
        <v>17</v>
      </c>
      <c r="E31" s="143">
        <v>27</v>
      </c>
      <c r="F31" s="13">
        <f>'Suivi EAU-ELEC'!E30</f>
        <v>65.5</v>
      </c>
      <c r="G31" s="11"/>
      <c r="H31" s="174">
        <f t="shared" si="4"/>
        <v>575.74499999999989</v>
      </c>
      <c r="I31" s="175"/>
      <c r="J31" s="175"/>
      <c r="K31" s="60">
        <v>42299</v>
      </c>
      <c r="L31" s="90">
        <f>'Suivi EAU-ELEC'!G30</f>
        <v>1750</v>
      </c>
      <c r="M31" s="91">
        <f>'Suivi EAU-ELEC'!I30</f>
        <v>4150</v>
      </c>
      <c r="N31" s="91">
        <f>'Suivi EAU-ELEC'!K30</f>
        <v>1492</v>
      </c>
      <c r="O31" s="91">
        <f>L31+M31+N31</f>
        <v>7392</v>
      </c>
      <c r="P31" s="11"/>
      <c r="Q31" s="34">
        <f>L31*0.6985+M31*0.9514+N31*1.3304</f>
        <v>7155.6417999999994</v>
      </c>
      <c r="R31" s="11"/>
      <c r="S31" s="28"/>
      <c r="T31" s="11"/>
      <c r="U31" s="28"/>
      <c r="V31" s="148">
        <f>'Suvi Gaz'!O25</f>
        <v>351.99131</v>
      </c>
      <c r="W31" s="11"/>
      <c r="X31" s="34">
        <f t="shared" si="1"/>
        <v>3456.8714563789999</v>
      </c>
    </row>
    <row r="32" spans="1:24" ht="37.5" customHeight="1" x14ac:dyDescent="0.2">
      <c r="A32" s="2"/>
      <c r="B32" s="6">
        <v>44309</v>
      </c>
      <c r="C32" s="7"/>
      <c r="D32" s="143">
        <v>23</v>
      </c>
      <c r="E32" s="143">
        <v>38</v>
      </c>
      <c r="F32" s="13">
        <f>'Suivi EAU-ELEC'!E31</f>
        <v>56.399999999994179</v>
      </c>
      <c r="G32" s="11"/>
      <c r="H32" s="174">
        <f t="shared" si="4"/>
        <v>495.75599999994881</v>
      </c>
      <c r="I32" s="175"/>
      <c r="J32" s="175"/>
      <c r="K32" s="60">
        <v>42300</v>
      </c>
      <c r="L32" s="90">
        <f>'Suivi EAU-ELEC'!G31</f>
        <v>2047</v>
      </c>
      <c r="M32" s="91">
        <f>'Suivi EAU-ELEC'!I31</f>
        <v>4089</v>
      </c>
      <c r="N32" s="91">
        <f>'Suivi EAU-ELEC'!K31</f>
        <v>1819</v>
      </c>
      <c r="O32" s="91">
        <f t="shared" si="2"/>
        <v>7955</v>
      </c>
      <c r="P32" s="11"/>
      <c r="Q32" s="34">
        <f t="shared" si="3"/>
        <v>7740.1017000000011</v>
      </c>
      <c r="R32" s="11"/>
      <c r="S32" s="28"/>
      <c r="T32" s="11"/>
      <c r="U32" s="28"/>
      <c r="V32" s="148">
        <f>'Suvi Gaz'!O26</f>
        <v>287.99288999999999</v>
      </c>
      <c r="W32" s="11"/>
      <c r="X32" s="34">
        <f t="shared" si="1"/>
        <v>2828.3493734009999</v>
      </c>
    </row>
    <row r="33" spans="1:24" ht="37.5" customHeight="1" x14ac:dyDescent="0.2">
      <c r="A33" s="2"/>
      <c r="B33" s="6">
        <v>44310</v>
      </c>
      <c r="C33" s="7"/>
      <c r="D33" s="143">
        <v>17</v>
      </c>
      <c r="E33" s="143">
        <v>35</v>
      </c>
      <c r="F33" s="13">
        <f>'Suivi EAU-ELEC'!E32</f>
        <v>63.399999999994179</v>
      </c>
      <c r="G33" s="11"/>
      <c r="H33" s="174">
        <f t="shared" si="4"/>
        <v>557.28599999994879</v>
      </c>
      <c r="I33" s="175"/>
      <c r="J33" s="175"/>
      <c r="K33" s="60">
        <v>42301</v>
      </c>
      <c r="L33" s="90">
        <f>'Suivi EAU-ELEC'!G32</f>
        <v>2033</v>
      </c>
      <c r="M33" s="91">
        <f>'Suivi EAU-ELEC'!I32</f>
        <v>4166</v>
      </c>
      <c r="N33" s="91">
        <f>'Suivi EAU-ELEC'!K32</f>
        <v>1724</v>
      </c>
      <c r="O33" s="91">
        <f t="shared" si="2"/>
        <v>7923</v>
      </c>
      <c r="P33" s="11"/>
      <c r="Q33" s="34">
        <f t="shared" si="3"/>
        <v>7677.192500000001</v>
      </c>
      <c r="R33" s="11"/>
      <c r="S33" s="28"/>
      <c r="T33" s="11"/>
      <c r="U33" s="28"/>
      <c r="V33" s="148">
        <f>'Suvi Gaz'!O27</f>
        <v>383.99052</v>
      </c>
      <c r="W33" s="11"/>
      <c r="X33" s="34">
        <f t="shared" si="1"/>
        <v>3771.132497868</v>
      </c>
    </row>
    <row r="34" spans="1:24" ht="37.5" customHeight="1" x14ac:dyDescent="0.2">
      <c r="A34" s="2"/>
      <c r="B34" s="6">
        <v>44311</v>
      </c>
      <c r="C34" s="7"/>
      <c r="D34" s="143">
        <v>7</v>
      </c>
      <c r="E34" s="143">
        <v>15</v>
      </c>
      <c r="F34" s="13">
        <f>'Suivi EAU-ELEC'!E33</f>
        <v>76.600000000005821</v>
      </c>
      <c r="G34" s="11"/>
      <c r="H34" s="174">
        <f t="shared" si="4"/>
        <v>673.31400000005112</v>
      </c>
      <c r="I34" s="175"/>
      <c r="J34" s="175"/>
      <c r="K34" s="60">
        <v>42302</v>
      </c>
      <c r="L34" s="90">
        <f>'Suivi EAU-ELEC'!G33</f>
        <v>2098</v>
      </c>
      <c r="M34" s="91">
        <f>'Suivi EAU-ELEC'!I33</f>
        <v>4149</v>
      </c>
      <c r="N34" s="91">
        <f>'Suivi EAU-ELEC'!K33</f>
        <v>1740</v>
      </c>
      <c r="O34" s="91">
        <f t="shared" si="2"/>
        <v>7987</v>
      </c>
      <c r="P34" s="11"/>
      <c r="Q34" s="34">
        <f t="shared" si="3"/>
        <v>7727.7075999999997</v>
      </c>
      <c r="R34" s="11"/>
      <c r="S34" s="28"/>
      <c r="T34" s="11"/>
      <c r="U34" s="28"/>
      <c r="V34" s="148">
        <f>'Suvi Gaz'!O28</f>
        <v>287.99288999999999</v>
      </c>
      <c r="W34" s="11"/>
      <c r="X34" s="34">
        <f t="shared" si="1"/>
        <v>2828.3493734009999</v>
      </c>
    </row>
    <row r="35" spans="1:24" ht="33.75" customHeight="1" x14ac:dyDescent="0.2">
      <c r="A35" s="2"/>
      <c r="B35" s="6">
        <v>44312</v>
      </c>
      <c r="C35" s="7"/>
      <c r="D35" s="143">
        <v>12</v>
      </c>
      <c r="E35" s="143">
        <v>21</v>
      </c>
      <c r="F35" s="13">
        <f>'Suivi EAU-ELEC'!E34</f>
        <v>65.30000000000291</v>
      </c>
      <c r="G35" s="11"/>
      <c r="H35" s="174">
        <f t="shared" si="4"/>
        <v>573.98700000002555</v>
      </c>
      <c r="I35" s="175"/>
      <c r="J35" s="175"/>
      <c r="K35" s="60">
        <v>42303</v>
      </c>
      <c r="L35" s="90">
        <f>'Suivi EAU-ELEC'!G34</f>
        <v>1957</v>
      </c>
      <c r="M35" s="91">
        <f>'Suivi EAU-ELEC'!I34</f>
        <v>4038</v>
      </c>
      <c r="N35" s="91">
        <f>'Suivi EAU-ELEC'!K34</f>
        <v>1513</v>
      </c>
      <c r="O35" s="91">
        <f t="shared" si="2"/>
        <v>7508</v>
      </c>
      <c r="P35" s="11"/>
      <c r="Q35" s="34">
        <f t="shared" si="3"/>
        <v>7221.6129000000001</v>
      </c>
      <c r="R35" s="11"/>
      <c r="S35" s="28"/>
      <c r="T35" s="11"/>
      <c r="U35" s="28"/>
      <c r="V35" s="148">
        <f>'Suvi Gaz'!O29</f>
        <v>0</v>
      </c>
      <c r="W35" s="11"/>
      <c r="X35" s="34">
        <f t="shared" si="1"/>
        <v>0</v>
      </c>
    </row>
    <row r="36" spans="1:24" ht="33.75" customHeight="1" x14ac:dyDescent="0.2">
      <c r="A36" s="2"/>
      <c r="B36" s="6">
        <v>44313</v>
      </c>
      <c r="C36" s="7"/>
      <c r="D36" s="143">
        <v>10</v>
      </c>
      <c r="E36" s="143">
        <v>18</v>
      </c>
      <c r="F36" s="13">
        <f>'Suivi EAU-ELEC'!E35</f>
        <v>52.399999999994179</v>
      </c>
      <c r="G36" s="11"/>
      <c r="H36" s="174">
        <f>F36*8.79</f>
        <v>460.59599999994879</v>
      </c>
      <c r="I36" s="175"/>
      <c r="J36" s="175"/>
      <c r="K36" s="60">
        <v>42304</v>
      </c>
      <c r="L36" s="90">
        <f>'Suivi EAU-ELEC'!G35</f>
        <v>1944</v>
      </c>
      <c r="M36" s="91">
        <f>'Suivi EAU-ELEC'!I35</f>
        <v>3556</v>
      </c>
      <c r="N36" s="91">
        <f>'Suivi EAU-ELEC'!K35</f>
        <v>1457</v>
      </c>
      <c r="O36" s="91">
        <f t="shared" si="2"/>
        <v>6957</v>
      </c>
      <c r="P36" s="11"/>
      <c r="Q36" s="34">
        <f t="shared" si="3"/>
        <v>6679.4552000000003</v>
      </c>
      <c r="R36" s="11"/>
      <c r="S36" s="28"/>
      <c r="T36" s="11"/>
      <c r="U36" s="28"/>
      <c r="V36" s="148">
        <f>'Suvi Gaz'!O30</f>
        <v>159.99605</v>
      </c>
      <c r="W36" s="11"/>
      <c r="X36" s="34">
        <f t="shared" si="1"/>
        <v>1571.305207445</v>
      </c>
    </row>
    <row r="37" spans="1:24" s="153" customFormat="1" ht="33.75" customHeight="1" x14ac:dyDescent="0.2">
      <c r="A37" s="2"/>
      <c r="B37" s="6">
        <v>44314</v>
      </c>
      <c r="C37" s="7"/>
      <c r="D37" s="143">
        <v>16</v>
      </c>
      <c r="E37" s="143">
        <v>23</v>
      </c>
      <c r="F37" s="13">
        <f>'Suivi EAU-ELEC'!E36</f>
        <v>63.69999999999709</v>
      </c>
      <c r="G37" s="11"/>
      <c r="H37" s="174">
        <f t="shared" ref="H37:H38" si="5">F37*8.79</f>
        <v>559.92299999997431</v>
      </c>
      <c r="I37" s="175"/>
      <c r="J37" s="175"/>
      <c r="K37" s="60"/>
      <c r="L37" s="90">
        <f>'Suivi EAU-ELEC'!G36</f>
        <v>1685</v>
      </c>
      <c r="M37" s="91">
        <f>'Suivi EAU-ELEC'!I36</f>
        <v>3688</v>
      </c>
      <c r="N37" s="91">
        <f>'Suivi EAU-ELEC'!K36</f>
        <v>1713</v>
      </c>
      <c r="O37" s="91">
        <f t="shared" si="2"/>
        <v>7086</v>
      </c>
      <c r="P37" s="11"/>
      <c r="Q37" s="34">
        <f t="shared" si="3"/>
        <v>6964.7109</v>
      </c>
      <c r="R37" s="11"/>
      <c r="S37" s="28"/>
      <c r="T37" s="11"/>
      <c r="U37" s="28"/>
      <c r="V37" s="148">
        <f>'Suvi Gaz'!O31</f>
        <v>191.99526</v>
      </c>
      <c r="W37" s="11"/>
      <c r="X37" s="34">
        <f t="shared" si="1"/>
        <v>1885.566248934</v>
      </c>
    </row>
    <row r="38" spans="1:24" s="153" customFormat="1" ht="33.75" customHeight="1" x14ac:dyDescent="0.2">
      <c r="A38" s="2"/>
      <c r="B38" s="6">
        <v>44315</v>
      </c>
      <c r="C38" s="7"/>
      <c r="D38" s="143">
        <v>14</v>
      </c>
      <c r="E38" s="143">
        <v>25</v>
      </c>
      <c r="F38" s="13">
        <f>'Suivi EAU-ELEC'!E37</f>
        <v>65</v>
      </c>
      <c r="G38" s="11"/>
      <c r="H38" s="174">
        <f t="shared" si="5"/>
        <v>571.34999999999991</v>
      </c>
      <c r="I38" s="175"/>
      <c r="J38" s="175"/>
      <c r="K38" s="60"/>
      <c r="L38" s="90">
        <f>'Suivi EAU-ELEC'!G37</f>
        <v>2137</v>
      </c>
      <c r="M38" s="91">
        <f>'Suivi EAU-ELEC'!I37</f>
        <v>4081</v>
      </c>
      <c r="N38" s="91">
        <f>'Suivi EAU-ELEC'!K37</f>
        <v>1689</v>
      </c>
      <c r="O38" s="91">
        <f t="shared" si="2"/>
        <v>7907</v>
      </c>
      <c r="P38" s="11"/>
      <c r="Q38" s="34">
        <f t="shared" si="3"/>
        <v>7622.4035000000003</v>
      </c>
      <c r="R38" s="11"/>
      <c r="S38" s="28"/>
      <c r="T38" s="11"/>
      <c r="U38" s="28"/>
      <c r="V38" s="148">
        <f>'Suvi Gaz'!O32</f>
        <v>351.99131</v>
      </c>
      <c r="W38" s="11"/>
      <c r="X38" s="34">
        <f t="shared" si="1"/>
        <v>3456.8714563789999</v>
      </c>
    </row>
    <row r="39" spans="1:24" ht="33.75" customHeight="1" x14ac:dyDescent="0.2">
      <c r="A39" s="2"/>
      <c r="B39" s="6">
        <v>44316</v>
      </c>
      <c r="C39" s="7"/>
      <c r="D39" s="143">
        <v>32</v>
      </c>
      <c r="E39" s="143">
        <v>65</v>
      </c>
      <c r="F39" s="13">
        <f>'Suivi EAU-ELEC'!E38</f>
        <v>63</v>
      </c>
      <c r="G39" s="11"/>
      <c r="H39" s="174">
        <f>F39*8.79</f>
        <v>553.77</v>
      </c>
      <c r="I39" s="175"/>
      <c r="J39" s="175"/>
      <c r="K39" s="60">
        <v>42305</v>
      </c>
      <c r="L39" s="90">
        <f>'Suivi EAU-ELEC'!G38</f>
        <v>2584</v>
      </c>
      <c r="M39" s="91">
        <f>'Suivi EAU-ELEC'!I38</f>
        <v>4275</v>
      </c>
      <c r="N39" s="91">
        <f>'Suivi EAU-ELEC'!K38</f>
        <v>1839</v>
      </c>
      <c r="O39" s="91">
        <f t="shared" si="2"/>
        <v>8698</v>
      </c>
      <c r="P39" s="11"/>
      <c r="Q39" s="34">
        <f t="shared" si="3"/>
        <v>8318.7645999999986</v>
      </c>
      <c r="R39" s="11"/>
      <c r="S39" s="28"/>
      <c r="T39" s="11"/>
      <c r="U39" s="28"/>
      <c r="V39" s="148">
        <f>'Suvi Gaz'!O33</f>
        <v>383.99052</v>
      </c>
      <c r="W39" s="11"/>
      <c r="X39" s="34">
        <f t="shared" si="1"/>
        <v>3771.132497868</v>
      </c>
    </row>
    <row r="40" spans="1:24" ht="42.75" customHeight="1" x14ac:dyDescent="0.2">
      <c r="A40" s="2"/>
      <c r="B40" s="10"/>
      <c r="C40" s="10"/>
      <c r="D40" s="8">
        <f>SUM(D10:D39)</f>
        <v>867</v>
      </c>
      <c r="E40" s="8">
        <f>SUM(E10:E39)</f>
        <v>1327</v>
      </c>
      <c r="F40" s="154">
        <f>SUM(F10:F39)</f>
        <v>2241.3999999999942</v>
      </c>
      <c r="G40" s="1"/>
      <c r="H40" s="171">
        <f>SUM(H10:H39)</f>
        <v>19701.905999999948</v>
      </c>
      <c r="I40" s="172"/>
      <c r="J40" s="173"/>
      <c r="K40" s="1"/>
      <c r="L40" s="53">
        <f>SUM(L10:L39)</f>
        <v>70946</v>
      </c>
      <c r="M40" s="53">
        <f>SUM(M10:M39)</f>
        <v>142417</v>
      </c>
      <c r="N40" s="54">
        <f>SUM(N10:N39)</f>
        <v>56198</v>
      </c>
      <c r="O40" s="55">
        <f>SUM(O10:O39)</f>
        <v>269561</v>
      </c>
      <c r="P40" s="31"/>
      <c r="Q40" s="32">
        <f>SUM(Q10:Q39)</f>
        <v>259093.39640000003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9535.7645799999991</v>
      </c>
      <c r="W40" s="31"/>
      <c r="X40" s="32">
        <f>SUM(X10:X39)</f>
        <v>93649.790363722015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5"/>
      <c r="M41" s="165"/>
      <c r="N41" s="165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10" t="s">
        <v>33</v>
      </c>
      <c r="B42" s="211"/>
      <c r="C42" s="211"/>
      <c r="D42" s="211"/>
      <c r="E42" s="211"/>
      <c r="F42" s="212"/>
      <c r="G42" s="26"/>
      <c r="H42" s="27" t="s">
        <v>34</v>
      </c>
      <c r="I42" s="249" t="s">
        <v>35</v>
      </c>
      <c r="J42" s="250"/>
      <c r="K42" s="251"/>
      <c r="L42" s="224" t="s">
        <v>36</v>
      </c>
      <c r="M42" s="225"/>
      <c r="N42" s="210" t="s">
        <v>37</v>
      </c>
      <c r="O42" s="211"/>
      <c r="P42" s="211"/>
      <c r="Q42" s="211"/>
      <c r="R42" s="211"/>
      <c r="S42" s="211"/>
      <c r="T42" s="211"/>
      <c r="U42" s="211"/>
      <c r="V42" s="211"/>
      <c r="W42" s="211"/>
      <c r="X42" s="212"/>
    </row>
    <row r="43" spans="1:24" s="18" customFormat="1" ht="29.25" customHeight="1" thickBot="1" x14ac:dyDescent="0.25">
      <c r="A43" s="218" t="s">
        <v>38</v>
      </c>
      <c r="B43" s="219"/>
      <c r="C43" s="220"/>
      <c r="D43" s="162" t="s">
        <v>30</v>
      </c>
      <c r="E43" s="162" t="s">
        <v>30</v>
      </c>
      <c r="F43" s="162" t="s">
        <v>30</v>
      </c>
      <c r="G43" s="16"/>
      <c r="H43" s="17">
        <v>0.69850000000000001</v>
      </c>
      <c r="I43" s="215">
        <f>L40</f>
        <v>70946</v>
      </c>
      <c r="J43" s="216"/>
      <c r="K43" s="217"/>
      <c r="L43" s="176">
        <f>I43*H43</f>
        <v>49555.781000000003</v>
      </c>
      <c r="M43" s="177"/>
      <c r="N43" s="233">
        <f>L43+L44+L45</f>
        <v>259817.13399999999</v>
      </c>
      <c r="O43" s="234"/>
      <c r="P43" s="234"/>
      <c r="Q43" s="234"/>
      <c r="R43" s="234"/>
      <c r="S43" s="234"/>
      <c r="T43" s="234"/>
      <c r="U43" s="234"/>
      <c r="V43" s="234"/>
      <c r="W43" s="234"/>
      <c r="X43" s="235"/>
    </row>
    <row r="44" spans="1:24" s="18" customFormat="1" ht="29.25" customHeight="1" thickBot="1" x14ac:dyDescent="0.25">
      <c r="A44" s="221"/>
      <c r="B44" s="222"/>
      <c r="C44" s="223"/>
      <c r="D44" s="161" t="s">
        <v>31</v>
      </c>
      <c r="E44" s="161" t="s">
        <v>31</v>
      </c>
      <c r="F44" s="161" t="s">
        <v>31</v>
      </c>
      <c r="G44" s="16"/>
      <c r="H44" s="19">
        <v>0.95140000000000002</v>
      </c>
      <c r="I44" s="215">
        <f>M40</f>
        <v>142417</v>
      </c>
      <c r="J44" s="216"/>
      <c r="K44" s="217"/>
      <c r="L44" s="176">
        <f>I44*H44</f>
        <v>135495.5338</v>
      </c>
      <c r="M44" s="177"/>
      <c r="N44" s="236"/>
      <c r="O44" s="237"/>
      <c r="P44" s="237"/>
      <c r="Q44" s="237"/>
      <c r="R44" s="237"/>
      <c r="S44" s="237"/>
      <c r="T44" s="237"/>
      <c r="U44" s="237"/>
      <c r="V44" s="237"/>
      <c r="W44" s="237"/>
      <c r="X44" s="238"/>
    </row>
    <row r="45" spans="1:24" s="18" customFormat="1" ht="24.75" customHeight="1" thickBot="1" x14ac:dyDescent="0.25">
      <c r="A45" s="221"/>
      <c r="B45" s="222"/>
      <c r="C45" s="223"/>
      <c r="D45" s="158" t="s">
        <v>32</v>
      </c>
      <c r="E45" s="158" t="s">
        <v>32</v>
      </c>
      <c r="F45" s="158" t="s">
        <v>32</v>
      </c>
      <c r="G45" s="20"/>
      <c r="H45" s="20">
        <v>1.3304</v>
      </c>
      <c r="I45" s="246">
        <f>N40</f>
        <v>56198</v>
      </c>
      <c r="J45" s="247"/>
      <c r="K45" s="248"/>
      <c r="L45" s="176">
        <f>I45*H45</f>
        <v>74765.819199999998</v>
      </c>
      <c r="M45" s="177"/>
      <c r="N45" s="239"/>
      <c r="O45" s="240"/>
      <c r="P45" s="240"/>
      <c r="Q45" s="240"/>
      <c r="R45" s="240"/>
      <c r="S45" s="240"/>
      <c r="T45" s="240"/>
      <c r="U45" s="240"/>
      <c r="V45" s="240"/>
      <c r="W45" s="240"/>
      <c r="X45" s="241"/>
    </row>
    <row r="46" spans="1:24" s="18" customFormat="1" ht="43.5" customHeight="1" thickBot="1" x14ac:dyDescent="0.25">
      <c r="A46" s="163"/>
      <c r="B46" s="164"/>
      <c r="C46" s="164"/>
      <c r="D46" s="158"/>
      <c r="E46" s="158"/>
      <c r="F46" s="158"/>
      <c r="G46" s="16"/>
      <c r="H46" s="16"/>
      <c r="I46" s="156"/>
      <c r="J46" s="157"/>
      <c r="K46" s="158"/>
      <c r="L46" s="159"/>
      <c r="M46" s="160"/>
      <c r="N46" s="252">
        <f>N43*1.3</f>
        <v>337762.27419999999</v>
      </c>
      <c r="O46" s="253"/>
      <c r="P46" s="253"/>
      <c r="Q46" s="253"/>
      <c r="R46" s="253"/>
      <c r="S46" s="253"/>
      <c r="T46" s="253"/>
      <c r="U46" s="253"/>
      <c r="V46" s="253"/>
      <c r="W46" s="253"/>
      <c r="X46" s="254"/>
    </row>
    <row r="47" spans="1:24" s="23" customFormat="1" ht="32.25" customHeight="1" thickBot="1" x14ac:dyDescent="0.25">
      <c r="A47" s="207" t="s">
        <v>39</v>
      </c>
      <c r="B47" s="208"/>
      <c r="C47" s="208"/>
      <c r="D47" s="208"/>
      <c r="E47" s="208"/>
      <c r="F47" s="209"/>
      <c r="G47" s="21"/>
      <c r="H47" s="22">
        <v>8.7899999999999991</v>
      </c>
      <c r="I47" s="207">
        <f>F40</f>
        <v>2241.3999999999942</v>
      </c>
      <c r="J47" s="208"/>
      <c r="K47" s="209"/>
      <c r="L47" s="213">
        <f>I47*H47</f>
        <v>19701.905999999948</v>
      </c>
      <c r="M47" s="214"/>
      <c r="N47" s="230">
        <f>L47</f>
        <v>19701.905999999948</v>
      </c>
      <c r="O47" s="231"/>
      <c r="P47" s="231"/>
      <c r="Q47" s="231"/>
      <c r="R47" s="231"/>
      <c r="S47" s="231"/>
      <c r="T47" s="231"/>
      <c r="U47" s="231"/>
      <c r="V47" s="231"/>
      <c r="W47" s="231"/>
      <c r="X47" s="232"/>
    </row>
    <row r="48" spans="1:24" s="23" customFormat="1" ht="36.75" customHeight="1" x14ac:dyDescent="0.2">
      <c r="A48" s="242" t="s">
        <v>40</v>
      </c>
      <c r="B48" s="243"/>
      <c r="C48" s="243"/>
      <c r="D48" s="243"/>
      <c r="E48" s="243"/>
      <c r="F48" s="244"/>
      <c r="G48" s="24"/>
      <c r="H48" s="25">
        <v>9.8209</v>
      </c>
      <c r="I48" s="205">
        <f>V40</f>
        <v>9535.7645799999991</v>
      </c>
      <c r="J48" s="245"/>
      <c r="K48" s="206"/>
      <c r="L48" s="205">
        <f>I48*H48</f>
        <v>93649.790363721986</v>
      </c>
      <c r="M48" s="206"/>
      <c r="N48" s="227">
        <f>L48</f>
        <v>93649.790363721986</v>
      </c>
      <c r="O48" s="228"/>
      <c r="P48" s="228"/>
      <c r="Q48" s="228"/>
      <c r="R48" s="228"/>
      <c r="S48" s="228"/>
      <c r="T48" s="228"/>
      <c r="U48" s="228"/>
      <c r="V48" s="228"/>
      <c r="W48" s="228"/>
      <c r="X48" s="229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</row>
    <row r="54" spans="1:24" ht="39" customHeight="1" x14ac:dyDescent="0.2">
      <c r="A54" s="155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</row>
    <row r="55" spans="1:24" x14ac:dyDescent="0.2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</row>
    <row r="56" spans="1:24" x14ac:dyDescent="0.2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</row>
    <row r="57" spans="1:24" x14ac:dyDescent="0.2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</row>
  </sheetData>
  <mergeCells count="72"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9" sqref="K9:K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4"/>
      <c r="B1" s="275"/>
      <c r="C1" s="275"/>
      <c r="D1" s="276"/>
      <c r="E1" s="257" t="s">
        <v>41</v>
      </c>
      <c r="F1" s="258"/>
      <c r="G1" s="258"/>
      <c r="H1" s="258"/>
      <c r="I1" s="259"/>
      <c r="J1" s="266" t="s">
        <v>42</v>
      </c>
      <c r="K1" s="267"/>
      <c r="L1" s="49"/>
    </row>
    <row r="2" spans="1:12" ht="16.5" customHeight="1" x14ac:dyDescent="0.2">
      <c r="A2" s="277"/>
      <c r="B2" s="278"/>
      <c r="C2" s="278"/>
      <c r="D2" s="279"/>
      <c r="E2" s="260"/>
      <c r="F2" s="261"/>
      <c r="G2" s="261"/>
      <c r="H2" s="261"/>
      <c r="I2" s="262"/>
      <c r="J2" s="268"/>
      <c r="K2" s="269"/>
      <c r="L2" s="49"/>
    </row>
    <row r="3" spans="1:12" ht="48" customHeight="1" x14ac:dyDescent="0.2">
      <c r="A3" s="280"/>
      <c r="B3" s="281"/>
      <c r="C3" s="281"/>
      <c r="D3" s="282"/>
      <c r="E3" s="263"/>
      <c r="F3" s="264"/>
      <c r="G3" s="264"/>
      <c r="H3" s="264"/>
      <c r="I3" s="265"/>
      <c r="J3" s="270"/>
      <c r="K3" s="271"/>
      <c r="L3" s="49"/>
    </row>
    <row r="6" spans="1:12" ht="10.5" customHeight="1" x14ac:dyDescent="0.25">
      <c r="A6" s="167"/>
      <c r="B6" s="167"/>
      <c r="C6" s="167"/>
    </row>
    <row r="7" spans="1:12" ht="16.5" customHeight="1" x14ac:dyDescent="0.2">
      <c r="A7" s="255" t="s">
        <v>43</v>
      </c>
      <c r="B7" s="283" t="s">
        <v>44</v>
      </c>
      <c r="C7" s="284"/>
      <c r="D7" s="272" t="s">
        <v>45</v>
      </c>
      <c r="E7" s="272"/>
      <c r="F7" s="273" t="s">
        <v>46</v>
      </c>
      <c r="G7" s="273"/>
      <c r="H7" s="273"/>
      <c r="I7" s="273"/>
      <c r="J7" s="273"/>
      <c r="K7" s="273"/>
    </row>
    <row r="8" spans="1:12" s="29" customFormat="1" ht="28.5" customHeight="1" x14ac:dyDescent="0.2">
      <c r="A8" s="256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 x14ac:dyDescent="0.3">
      <c r="A10" s="59">
        <v>44288</v>
      </c>
      <c r="B10" s="116">
        <v>2559</v>
      </c>
      <c r="C10" s="115">
        <f t="shared" ref="C10:C38" si="0">B10-B9</f>
        <v>0</v>
      </c>
      <c r="D10" s="57">
        <v>106420.1</v>
      </c>
      <c r="E10" s="147">
        <f t="shared" ref="E10:E38" si="1">D10-D9</f>
        <v>109.10000000000582</v>
      </c>
      <c r="F10" s="51">
        <v>10463266</v>
      </c>
      <c r="G10" s="50">
        <f t="shared" ref="G10:G38" si="2">F10-F9</f>
        <v>3047</v>
      </c>
      <c r="H10" s="51">
        <v>17562728</v>
      </c>
      <c r="I10" s="50">
        <f t="shared" ref="I10:I38" si="3">H10-H9</f>
        <v>5674</v>
      </c>
      <c r="J10" s="51">
        <v>7784583</v>
      </c>
      <c r="K10" s="50">
        <f t="shared" ref="K10:K38" si="4">J10-J9</f>
        <v>2563</v>
      </c>
    </row>
    <row r="11" spans="1:12" ht="19.5" x14ac:dyDescent="0.3">
      <c r="A11" s="59">
        <v>44289</v>
      </c>
      <c r="B11" s="116">
        <v>2559</v>
      </c>
      <c r="C11" s="115">
        <f t="shared" si="0"/>
        <v>0</v>
      </c>
      <c r="D11" s="57">
        <v>106537.5</v>
      </c>
      <c r="E11" s="147">
        <f t="shared" si="1"/>
        <v>117.39999999999418</v>
      </c>
      <c r="F11" s="51">
        <v>10466128</v>
      </c>
      <c r="G11" s="50">
        <f t="shared" si="2"/>
        <v>2862</v>
      </c>
      <c r="H11" s="51">
        <v>17569104</v>
      </c>
      <c r="I11" s="50">
        <f t="shared" si="3"/>
        <v>6376</v>
      </c>
      <c r="J11" s="51">
        <v>7787274</v>
      </c>
      <c r="K11" s="50">
        <f t="shared" si="4"/>
        <v>2691</v>
      </c>
    </row>
    <row r="12" spans="1:12" ht="19.5" x14ac:dyDescent="0.3">
      <c r="A12" s="59">
        <v>44290</v>
      </c>
      <c r="B12" s="116">
        <v>2559</v>
      </c>
      <c r="C12" s="115">
        <f t="shared" si="0"/>
        <v>0</v>
      </c>
      <c r="D12" s="57">
        <v>106653</v>
      </c>
      <c r="E12" s="147">
        <f t="shared" si="1"/>
        <v>115.5</v>
      </c>
      <c r="F12" s="51">
        <v>10469206</v>
      </c>
      <c r="G12" s="50">
        <f t="shared" si="2"/>
        <v>3078</v>
      </c>
      <c r="H12" s="51">
        <v>17575055</v>
      </c>
      <c r="I12" s="50">
        <f t="shared" si="3"/>
        <v>5951</v>
      </c>
      <c r="J12" s="51">
        <v>7789701</v>
      </c>
      <c r="K12" s="50">
        <f t="shared" si="4"/>
        <v>2427</v>
      </c>
    </row>
    <row r="13" spans="1:12" ht="19.5" x14ac:dyDescent="0.3">
      <c r="A13" s="59">
        <v>44291</v>
      </c>
      <c r="B13" s="116">
        <v>2559</v>
      </c>
      <c r="C13" s="115">
        <f t="shared" si="0"/>
        <v>0</v>
      </c>
      <c r="D13" s="57">
        <v>106744.3</v>
      </c>
      <c r="E13" s="147">
        <f t="shared" si="1"/>
        <v>91.30000000000291</v>
      </c>
      <c r="F13" s="51">
        <v>10472326</v>
      </c>
      <c r="G13" s="50">
        <f t="shared" si="2"/>
        <v>3120</v>
      </c>
      <c r="H13" s="51">
        <v>17580894</v>
      </c>
      <c r="I13" s="50">
        <f t="shared" si="3"/>
        <v>5839</v>
      </c>
      <c r="J13" s="51">
        <v>7791720</v>
      </c>
      <c r="K13" s="50">
        <f t="shared" si="4"/>
        <v>2019</v>
      </c>
    </row>
    <row r="14" spans="1:12" ht="19.5" x14ac:dyDescent="0.3">
      <c r="A14" s="59">
        <v>44292</v>
      </c>
      <c r="B14" s="116">
        <v>2559</v>
      </c>
      <c r="C14" s="115">
        <f t="shared" si="0"/>
        <v>0</v>
      </c>
      <c r="D14" s="57">
        <v>106838.7</v>
      </c>
      <c r="E14" s="147">
        <f t="shared" si="1"/>
        <v>94.399999999994179</v>
      </c>
      <c r="F14" s="51">
        <v>10475231</v>
      </c>
      <c r="G14" s="50">
        <f t="shared" si="2"/>
        <v>2905</v>
      </c>
      <c r="H14" s="51">
        <v>17586212</v>
      </c>
      <c r="I14" s="50">
        <f t="shared" si="3"/>
        <v>5318</v>
      </c>
      <c r="J14" s="51">
        <v>7793599</v>
      </c>
      <c r="K14" s="50">
        <f t="shared" si="4"/>
        <v>1879</v>
      </c>
    </row>
    <row r="15" spans="1:12" ht="19.5" x14ac:dyDescent="0.3">
      <c r="A15" s="59">
        <v>44293</v>
      </c>
      <c r="B15" s="116">
        <v>2559</v>
      </c>
      <c r="C15" s="115">
        <f t="shared" si="0"/>
        <v>0</v>
      </c>
      <c r="D15" s="57">
        <v>106910</v>
      </c>
      <c r="E15" s="147">
        <f t="shared" si="1"/>
        <v>71.30000000000291</v>
      </c>
      <c r="F15" s="51">
        <v>10477670</v>
      </c>
      <c r="G15" s="50">
        <f t="shared" si="2"/>
        <v>2439</v>
      </c>
      <c r="H15" s="51">
        <v>17591526</v>
      </c>
      <c r="I15" s="50">
        <f t="shared" si="3"/>
        <v>5314</v>
      </c>
      <c r="J15" s="51">
        <v>7795652</v>
      </c>
      <c r="K15" s="50">
        <f t="shared" si="4"/>
        <v>2053</v>
      </c>
    </row>
    <row r="16" spans="1:12" ht="19.5" x14ac:dyDescent="0.3">
      <c r="A16" s="59">
        <v>44294</v>
      </c>
      <c r="B16" s="116">
        <v>2559</v>
      </c>
      <c r="C16" s="115">
        <f t="shared" si="0"/>
        <v>0</v>
      </c>
      <c r="D16" s="57">
        <v>106982</v>
      </c>
      <c r="E16" s="147">
        <f t="shared" si="1"/>
        <v>72</v>
      </c>
      <c r="F16" s="51">
        <v>10480108</v>
      </c>
      <c r="G16" s="50">
        <f t="shared" si="2"/>
        <v>2438</v>
      </c>
      <c r="H16" s="51">
        <v>17596858</v>
      </c>
      <c r="I16" s="50">
        <f t="shared" si="3"/>
        <v>5332</v>
      </c>
      <c r="J16" s="51">
        <v>7797594</v>
      </c>
      <c r="K16" s="50">
        <f t="shared" si="4"/>
        <v>1942</v>
      </c>
    </row>
    <row r="17" spans="1:29" ht="19.5" x14ac:dyDescent="0.3">
      <c r="A17" s="59">
        <v>44295</v>
      </c>
      <c r="B17" s="116">
        <v>2559</v>
      </c>
      <c r="C17" s="115">
        <f t="shared" si="0"/>
        <v>0</v>
      </c>
      <c r="D17" s="57">
        <v>107065.8</v>
      </c>
      <c r="E17" s="147">
        <f t="shared" si="1"/>
        <v>83.80000000000291</v>
      </c>
      <c r="F17" s="51">
        <v>10482894</v>
      </c>
      <c r="G17" s="50">
        <f t="shared" si="2"/>
        <v>2786</v>
      </c>
      <c r="H17" s="51">
        <v>17602002</v>
      </c>
      <c r="I17" s="50">
        <f t="shared" si="3"/>
        <v>5144</v>
      </c>
      <c r="J17" s="51">
        <v>7799674</v>
      </c>
      <c r="K17" s="50">
        <f t="shared" si="4"/>
        <v>2080</v>
      </c>
    </row>
    <row r="18" spans="1:29" ht="19.5" x14ac:dyDescent="0.3">
      <c r="A18" s="59">
        <v>44296</v>
      </c>
      <c r="B18" s="116">
        <v>2559</v>
      </c>
      <c r="C18" s="115">
        <f t="shared" si="0"/>
        <v>0</v>
      </c>
      <c r="D18" s="57">
        <v>107142.8</v>
      </c>
      <c r="E18" s="147">
        <f t="shared" si="1"/>
        <v>77</v>
      </c>
      <c r="F18" s="51">
        <v>10485353</v>
      </c>
      <c r="G18" s="50">
        <f t="shared" si="2"/>
        <v>2459</v>
      </c>
      <c r="H18" s="51">
        <v>17607279</v>
      </c>
      <c r="I18" s="50">
        <f t="shared" si="3"/>
        <v>5277</v>
      </c>
      <c r="J18" s="51">
        <v>7801828</v>
      </c>
      <c r="K18" s="50">
        <f t="shared" si="4"/>
        <v>2154</v>
      </c>
    </row>
    <row r="19" spans="1:29" ht="19.5" x14ac:dyDescent="0.3">
      <c r="A19" s="59">
        <v>44297</v>
      </c>
      <c r="B19" s="116">
        <v>2559</v>
      </c>
      <c r="C19" s="115">
        <f t="shared" si="0"/>
        <v>0</v>
      </c>
      <c r="D19" s="57">
        <v>107217.60000000001</v>
      </c>
      <c r="E19" s="147">
        <f t="shared" si="1"/>
        <v>74.80000000000291</v>
      </c>
      <c r="F19" s="51">
        <v>10487805</v>
      </c>
      <c r="G19" s="50">
        <f t="shared" si="2"/>
        <v>2452</v>
      </c>
      <c r="H19" s="51">
        <v>17612055</v>
      </c>
      <c r="I19" s="50">
        <f t="shared" si="3"/>
        <v>4776</v>
      </c>
      <c r="J19" s="51">
        <v>7803514</v>
      </c>
      <c r="K19" s="50">
        <f t="shared" si="4"/>
        <v>1686</v>
      </c>
    </row>
    <row r="20" spans="1:29" ht="25.5" x14ac:dyDescent="0.35">
      <c r="A20" s="59">
        <v>44298</v>
      </c>
      <c r="B20" s="116">
        <v>2559</v>
      </c>
      <c r="C20" s="115">
        <f t="shared" si="0"/>
        <v>0</v>
      </c>
      <c r="D20" s="57">
        <v>107274.7</v>
      </c>
      <c r="E20" s="147">
        <f t="shared" si="1"/>
        <v>57.099999999991269</v>
      </c>
      <c r="F20" s="51">
        <v>10490344</v>
      </c>
      <c r="G20" s="50">
        <f t="shared" si="2"/>
        <v>2539</v>
      </c>
      <c r="H20" s="51">
        <v>17616940</v>
      </c>
      <c r="I20" s="50">
        <f t="shared" si="3"/>
        <v>4885</v>
      </c>
      <c r="J20" s="51">
        <v>7805445</v>
      </c>
      <c r="K20" s="50">
        <f t="shared" si="4"/>
        <v>1931</v>
      </c>
      <c r="L20" s="117" t="s">
        <v>18</v>
      </c>
      <c r="AC20" t="s">
        <v>56</v>
      </c>
    </row>
    <row r="21" spans="1:29" ht="19.5" x14ac:dyDescent="0.3">
      <c r="A21" s="59">
        <v>44299</v>
      </c>
      <c r="B21" s="116">
        <v>2559</v>
      </c>
      <c r="C21" s="115">
        <f t="shared" si="0"/>
        <v>0</v>
      </c>
      <c r="D21" s="57">
        <v>107366.5</v>
      </c>
      <c r="E21" s="147">
        <f t="shared" si="1"/>
        <v>91.80000000000291</v>
      </c>
      <c r="F21" s="51">
        <v>10492581</v>
      </c>
      <c r="G21" s="50">
        <f t="shared" si="2"/>
        <v>2237</v>
      </c>
      <c r="H21" s="51">
        <v>17622364</v>
      </c>
      <c r="I21" s="50">
        <f t="shared" si="3"/>
        <v>5424</v>
      </c>
      <c r="J21" s="51">
        <v>7807418</v>
      </c>
      <c r="K21" s="50">
        <f t="shared" si="4"/>
        <v>1973</v>
      </c>
    </row>
    <row r="22" spans="1:29" ht="19.5" x14ac:dyDescent="0.3">
      <c r="A22" s="59">
        <v>44300</v>
      </c>
      <c r="B22" s="116">
        <v>2559</v>
      </c>
      <c r="C22" s="115">
        <f t="shared" si="0"/>
        <v>0</v>
      </c>
      <c r="D22" s="57">
        <v>107447</v>
      </c>
      <c r="E22" s="147">
        <f t="shared" si="1"/>
        <v>80.5</v>
      </c>
      <c r="F22" s="51">
        <v>10494938</v>
      </c>
      <c r="G22" s="50">
        <f t="shared" si="2"/>
        <v>2357</v>
      </c>
      <c r="H22" s="51">
        <v>17627561</v>
      </c>
      <c r="I22" s="50">
        <f t="shared" si="3"/>
        <v>5197</v>
      </c>
      <c r="J22" s="51">
        <v>7809136</v>
      </c>
      <c r="K22" s="50">
        <f t="shared" si="4"/>
        <v>1718</v>
      </c>
    </row>
    <row r="23" spans="1:29" ht="19.5" x14ac:dyDescent="0.3">
      <c r="A23" s="59">
        <v>44301</v>
      </c>
      <c r="B23" s="116">
        <v>2559</v>
      </c>
      <c r="C23" s="115">
        <f t="shared" si="0"/>
        <v>0</v>
      </c>
      <c r="D23" s="57">
        <v>107497</v>
      </c>
      <c r="E23" s="147">
        <f t="shared" si="1"/>
        <v>50</v>
      </c>
      <c r="F23" s="51">
        <v>10497055</v>
      </c>
      <c r="G23" s="50">
        <f t="shared" si="2"/>
        <v>2117</v>
      </c>
      <c r="H23" s="51">
        <v>17632144</v>
      </c>
      <c r="I23" s="50">
        <f t="shared" si="3"/>
        <v>4583</v>
      </c>
      <c r="J23" s="51">
        <v>7810799</v>
      </c>
      <c r="K23" s="50">
        <f t="shared" si="4"/>
        <v>1663</v>
      </c>
    </row>
    <row r="24" spans="1:29" ht="19.5" x14ac:dyDescent="0.3">
      <c r="A24" s="59">
        <v>44302</v>
      </c>
      <c r="B24" s="116">
        <v>2559</v>
      </c>
      <c r="C24" s="115">
        <f t="shared" si="0"/>
        <v>0</v>
      </c>
      <c r="D24" s="57">
        <v>107527.8</v>
      </c>
      <c r="E24" s="147">
        <f t="shared" si="1"/>
        <v>30.80000000000291</v>
      </c>
      <c r="F24" s="51">
        <v>10499127</v>
      </c>
      <c r="G24" s="50">
        <f t="shared" si="2"/>
        <v>2072</v>
      </c>
      <c r="H24" s="51">
        <v>17636945</v>
      </c>
      <c r="I24" s="50">
        <f t="shared" si="3"/>
        <v>4801</v>
      </c>
      <c r="J24" s="51">
        <v>7812350</v>
      </c>
      <c r="K24" s="50">
        <f t="shared" si="4"/>
        <v>1551</v>
      </c>
    </row>
    <row r="25" spans="1:29" ht="19.5" x14ac:dyDescent="0.3">
      <c r="A25" s="59">
        <v>44303</v>
      </c>
      <c r="B25" s="116">
        <v>2559</v>
      </c>
      <c r="C25" s="115">
        <f t="shared" si="0"/>
        <v>0</v>
      </c>
      <c r="D25" s="57">
        <v>107615.9</v>
      </c>
      <c r="E25" s="147">
        <f t="shared" si="1"/>
        <v>88.099999999991269</v>
      </c>
      <c r="F25" s="51">
        <v>10501373</v>
      </c>
      <c r="G25" s="50">
        <f t="shared" si="2"/>
        <v>2246</v>
      </c>
      <c r="H25" s="51">
        <v>17641273</v>
      </c>
      <c r="I25" s="50">
        <f t="shared" si="3"/>
        <v>4328</v>
      </c>
      <c r="J25" s="51">
        <v>7814295</v>
      </c>
      <c r="K25" s="50">
        <f t="shared" si="4"/>
        <v>1945</v>
      </c>
    </row>
    <row r="26" spans="1:29" ht="19.5" x14ac:dyDescent="0.3">
      <c r="A26" s="59">
        <v>44304</v>
      </c>
      <c r="B26" s="116">
        <v>2559</v>
      </c>
      <c r="C26" s="115">
        <f t="shared" si="0"/>
        <v>0</v>
      </c>
      <c r="D26" s="57">
        <v>107681.3</v>
      </c>
      <c r="E26" s="147">
        <f t="shared" si="1"/>
        <v>65.400000000008731</v>
      </c>
      <c r="F26" s="51">
        <v>10503320</v>
      </c>
      <c r="G26" s="50">
        <f t="shared" si="2"/>
        <v>1947</v>
      </c>
      <c r="H26" s="51">
        <v>17645562</v>
      </c>
      <c r="I26" s="50">
        <f t="shared" si="3"/>
        <v>4289</v>
      </c>
      <c r="J26" s="51">
        <v>7815885</v>
      </c>
      <c r="K26" s="50">
        <f t="shared" si="4"/>
        <v>1590</v>
      </c>
    </row>
    <row r="27" spans="1:29" ht="19.5" x14ac:dyDescent="0.3">
      <c r="A27" s="59">
        <v>44305</v>
      </c>
      <c r="B27" s="116">
        <v>2559</v>
      </c>
      <c r="C27" s="115">
        <f t="shared" si="0"/>
        <v>0</v>
      </c>
      <c r="D27" s="57">
        <v>107728.6</v>
      </c>
      <c r="E27" s="147">
        <f t="shared" si="1"/>
        <v>47.30000000000291</v>
      </c>
      <c r="F27" s="51">
        <v>10505285</v>
      </c>
      <c r="G27" s="50">
        <f t="shared" si="2"/>
        <v>1965</v>
      </c>
      <c r="H27" s="51">
        <v>17649793</v>
      </c>
      <c r="I27" s="50">
        <f t="shared" si="3"/>
        <v>4231</v>
      </c>
      <c r="J27" s="51">
        <v>7817526</v>
      </c>
      <c r="K27" s="50">
        <f t="shared" si="4"/>
        <v>1641</v>
      </c>
    </row>
    <row r="28" spans="1:29" ht="19.5" x14ac:dyDescent="0.3">
      <c r="A28" s="59">
        <v>44306</v>
      </c>
      <c r="B28" s="116">
        <v>2559</v>
      </c>
      <c r="C28" s="115">
        <f t="shared" si="0"/>
        <v>0</v>
      </c>
      <c r="D28" s="57">
        <v>107783.3</v>
      </c>
      <c r="E28" s="147">
        <f t="shared" si="1"/>
        <v>54.69999999999709</v>
      </c>
      <c r="F28" s="51">
        <v>10507361</v>
      </c>
      <c r="G28" s="50">
        <f t="shared" si="2"/>
        <v>2076</v>
      </c>
      <c r="H28" s="51">
        <v>17653988</v>
      </c>
      <c r="I28" s="50">
        <f t="shared" si="3"/>
        <v>4195</v>
      </c>
      <c r="J28" s="51">
        <v>7819198</v>
      </c>
      <c r="K28" s="50">
        <f t="shared" si="4"/>
        <v>1672</v>
      </c>
    </row>
    <row r="29" spans="1:29" ht="19.5" x14ac:dyDescent="0.3">
      <c r="A29" s="59">
        <v>44307</v>
      </c>
      <c r="B29" s="116">
        <v>2559</v>
      </c>
      <c r="C29" s="115">
        <f t="shared" si="0"/>
        <v>0</v>
      </c>
      <c r="D29" s="57">
        <v>107866.1</v>
      </c>
      <c r="E29" s="147">
        <f t="shared" si="1"/>
        <v>82.80000000000291</v>
      </c>
      <c r="F29" s="51">
        <v>10509637</v>
      </c>
      <c r="G29" s="50">
        <f t="shared" si="2"/>
        <v>2276</v>
      </c>
      <c r="H29" s="51">
        <v>17658263</v>
      </c>
      <c r="I29" s="50">
        <f t="shared" si="3"/>
        <v>4275</v>
      </c>
      <c r="J29" s="51">
        <v>7820895</v>
      </c>
      <c r="K29" s="50">
        <f t="shared" si="4"/>
        <v>1697</v>
      </c>
    </row>
    <row r="30" spans="1:29" ht="19.5" x14ac:dyDescent="0.3">
      <c r="A30" s="59">
        <v>44308</v>
      </c>
      <c r="B30" s="116">
        <v>2559</v>
      </c>
      <c r="C30" s="115">
        <f t="shared" si="0"/>
        <v>0</v>
      </c>
      <c r="D30" s="57">
        <v>107931.6</v>
      </c>
      <c r="E30" s="147">
        <f t="shared" si="1"/>
        <v>65.5</v>
      </c>
      <c r="F30" s="51">
        <v>10511387</v>
      </c>
      <c r="G30" s="50">
        <f t="shared" si="2"/>
        <v>1750</v>
      </c>
      <c r="H30" s="51">
        <v>17662413</v>
      </c>
      <c r="I30" s="50">
        <f t="shared" si="3"/>
        <v>4150</v>
      </c>
      <c r="J30" s="51">
        <v>7822387</v>
      </c>
      <c r="K30" s="50">
        <f t="shared" si="4"/>
        <v>1492</v>
      </c>
    </row>
    <row r="31" spans="1:29" ht="19.5" x14ac:dyDescent="0.3">
      <c r="A31" s="59">
        <v>44309</v>
      </c>
      <c r="B31" s="116">
        <v>2559</v>
      </c>
      <c r="C31" s="115">
        <f t="shared" si="0"/>
        <v>0</v>
      </c>
      <c r="D31" s="57">
        <v>107988</v>
      </c>
      <c r="E31" s="147">
        <f t="shared" si="1"/>
        <v>56.399999999994179</v>
      </c>
      <c r="F31" s="51">
        <v>10513434</v>
      </c>
      <c r="G31" s="50">
        <f t="shared" si="2"/>
        <v>2047</v>
      </c>
      <c r="H31" s="51">
        <v>17666502</v>
      </c>
      <c r="I31" s="50">
        <f t="shared" si="3"/>
        <v>4089</v>
      </c>
      <c r="J31" s="51">
        <v>7824206</v>
      </c>
      <c r="K31" s="50">
        <f t="shared" si="4"/>
        <v>1819</v>
      </c>
    </row>
    <row r="32" spans="1:29" ht="19.5" x14ac:dyDescent="0.3">
      <c r="A32" s="59">
        <v>44310</v>
      </c>
      <c r="B32" s="116">
        <v>2559</v>
      </c>
      <c r="C32" s="115">
        <f t="shared" si="0"/>
        <v>0</v>
      </c>
      <c r="D32" s="57">
        <v>108051.4</v>
      </c>
      <c r="E32" s="147">
        <f t="shared" si="1"/>
        <v>63.399999999994179</v>
      </c>
      <c r="F32" s="51">
        <v>10515467</v>
      </c>
      <c r="G32" s="50">
        <f t="shared" si="2"/>
        <v>2033</v>
      </c>
      <c r="H32" s="51">
        <v>17670668</v>
      </c>
      <c r="I32" s="50">
        <f t="shared" si="3"/>
        <v>4166</v>
      </c>
      <c r="J32" s="51">
        <v>7825930</v>
      </c>
      <c r="K32" s="50">
        <f t="shared" si="4"/>
        <v>1724</v>
      </c>
    </row>
    <row r="33" spans="1:11" ht="19.5" x14ac:dyDescent="0.3">
      <c r="A33" s="59">
        <v>44311</v>
      </c>
      <c r="B33" s="116">
        <v>2559</v>
      </c>
      <c r="C33" s="115">
        <f t="shared" si="0"/>
        <v>0</v>
      </c>
      <c r="D33" s="57">
        <v>108128</v>
      </c>
      <c r="E33" s="147">
        <f t="shared" si="1"/>
        <v>76.600000000005821</v>
      </c>
      <c r="F33" s="51">
        <v>10517565</v>
      </c>
      <c r="G33" s="50">
        <f t="shared" si="2"/>
        <v>2098</v>
      </c>
      <c r="H33" s="51">
        <v>17674817</v>
      </c>
      <c r="I33" s="50">
        <f t="shared" si="3"/>
        <v>4149</v>
      </c>
      <c r="J33" s="51">
        <v>7827670</v>
      </c>
      <c r="K33" s="50">
        <f t="shared" si="4"/>
        <v>1740</v>
      </c>
    </row>
    <row r="34" spans="1:11" ht="19.5" x14ac:dyDescent="0.3">
      <c r="A34" s="59">
        <v>44312</v>
      </c>
      <c r="B34" s="116">
        <v>2559</v>
      </c>
      <c r="C34" s="115">
        <f t="shared" si="0"/>
        <v>0</v>
      </c>
      <c r="D34" s="57">
        <v>108193.3</v>
      </c>
      <c r="E34" s="147">
        <f t="shared" si="1"/>
        <v>65.30000000000291</v>
      </c>
      <c r="F34" s="51">
        <v>10519522</v>
      </c>
      <c r="G34" s="50">
        <f t="shared" si="2"/>
        <v>1957</v>
      </c>
      <c r="H34" s="51">
        <v>17678855</v>
      </c>
      <c r="I34" s="50">
        <f t="shared" si="3"/>
        <v>4038</v>
      </c>
      <c r="J34" s="51">
        <v>7829183</v>
      </c>
      <c r="K34" s="50">
        <f t="shared" si="4"/>
        <v>1513</v>
      </c>
    </row>
    <row r="35" spans="1:11" ht="19.5" x14ac:dyDescent="0.3">
      <c r="A35" s="59">
        <v>44313</v>
      </c>
      <c r="B35" s="116">
        <v>2559</v>
      </c>
      <c r="C35" s="115">
        <f t="shared" si="0"/>
        <v>0</v>
      </c>
      <c r="D35" s="57">
        <v>108245.7</v>
      </c>
      <c r="E35" s="147">
        <f t="shared" si="1"/>
        <v>52.399999999994179</v>
      </c>
      <c r="F35" s="51">
        <v>10521466</v>
      </c>
      <c r="G35" s="50">
        <f t="shared" si="2"/>
        <v>1944</v>
      </c>
      <c r="H35" s="51">
        <v>17682411</v>
      </c>
      <c r="I35" s="50">
        <f t="shared" si="3"/>
        <v>3556</v>
      </c>
      <c r="J35" s="51">
        <v>7830640</v>
      </c>
      <c r="K35" s="50">
        <f t="shared" si="4"/>
        <v>1457</v>
      </c>
    </row>
    <row r="36" spans="1:11" ht="19.5" x14ac:dyDescent="0.3">
      <c r="A36" s="59">
        <v>44314</v>
      </c>
      <c r="B36" s="116">
        <v>2559</v>
      </c>
      <c r="C36" s="115">
        <f t="shared" si="0"/>
        <v>0</v>
      </c>
      <c r="D36" s="57">
        <v>108309.4</v>
      </c>
      <c r="E36" s="147">
        <f t="shared" si="1"/>
        <v>63.69999999999709</v>
      </c>
      <c r="F36" s="51">
        <v>10523151</v>
      </c>
      <c r="G36" s="50">
        <f t="shared" si="2"/>
        <v>1685</v>
      </c>
      <c r="H36" s="51">
        <v>17686099</v>
      </c>
      <c r="I36" s="50">
        <f t="shared" si="3"/>
        <v>3688</v>
      </c>
      <c r="J36" s="51">
        <v>7832353</v>
      </c>
      <c r="K36" s="50">
        <f t="shared" si="4"/>
        <v>1713</v>
      </c>
    </row>
    <row r="37" spans="1:11" ht="19.5" x14ac:dyDescent="0.3">
      <c r="A37" s="59">
        <v>44315</v>
      </c>
      <c r="B37" s="116">
        <v>2559</v>
      </c>
      <c r="C37" s="115">
        <f t="shared" si="0"/>
        <v>0</v>
      </c>
      <c r="D37" s="57">
        <v>108374.39999999999</v>
      </c>
      <c r="E37" s="147">
        <f t="shared" si="1"/>
        <v>65</v>
      </c>
      <c r="F37" s="51">
        <v>10525288</v>
      </c>
      <c r="G37" s="50">
        <f t="shared" si="2"/>
        <v>2137</v>
      </c>
      <c r="H37" s="51">
        <v>17690180</v>
      </c>
      <c r="I37" s="50">
        <f t="shared" si="3"/>
        <v>4081</v>
      </c>
      <c r="J37" s="51">
        <v>7834042</v>
      </c>
      <c r="K37" s="50">
        <f t="shared" si="4"/>
        <v>1689</v>
      </c>
    </row>
    <row r="38" spans="1:11" ht="19.5" x14ac:dyDescent="0.3">
      <c r="A38" s="59">
        <v>44316</v>
      </c>
      <c r="B38" s="116">
        <v>2559</v>
      </c>
      <c r="C38" s="115">
        <f t="shared" si="0"/>
        <v>0</v>
      </c>
      <c r="D38" s="57">
        <v>108437.4</v>
      </c>
      <c r="E38" s="147">
        <f t="shared" si="1"/>
        <v>63</v>
      </c>
      <c r="F38" s="51">
        <v>10527872</v>
      </c>
      <c r="G38" s="50">
        <f t="shared" si="2"/>
        <v>2584</v>
      </c>
      <c r="H38" s="51">
        <v>17694455</v>
      </c>
      <c r="I38" s="50">
        <f t="shared" si="3"/>
        <v>4275</v>
      </c>
      <c r="J38" s="51">
        <v>7835881</v>
      </c>
      <c r="K38" s="50">
        <f t="shared" si="4"/>
        <v>1839</v>
      </c>
    </row>
    <row r="39" spans="1:11" ht="19.5" x14ac:dyDescent="0.3">
      <c r="A39" s="59">
        <v>44317</v>
      </c>
      <c r="B39" s="116"/>
      <c r="C39" s="115"/>
      <c r="D39" s="57"/>
      <c r="E39" s="147"/>
      <c r="F39" s="51"/>
      <c r="G39" s="50"/>
      <c r="H39" s="51"/>
      <c r="I39" s="50"/>
      <c r="J39" s="51"/>
      <c r="K39" s="50"/>
    </row>
    <row r="40" spans="1:11" ht="21.75" customHeight="1" x14ac:dyDescent="0.3">
      <c r="A40" s="52"/>
      <c r="B40" s="52"/>
      <c r="C40" s="52"/>
      <c r="E40" s="145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  <row r="44" spans="1:11" x14ac:dyDescent="0.25">
      <c r="A44" s="167"/>
      <c r="B44" s="167"/>
      <c r="C44" s="167"/>
    </row>
    <row r="45" spans="1:11" x14ac:dyDescent="0.25">
      <c r="A45" s="167"/>
      <c r="B45" s="167"/>
      <c r="C45" s="167"/>
    </row>
    <row r="46" spans="1:11" x14ac:dyDescent="0.25">
      <c r="A46" s="167"/>
      <c r="B46" s="167"/>
      <c r="C46" s="167"/>
    </row>
    <row r="47" spans="1:11" x14ac:dyDescent="0.25">
      <c r="A47" s="167"/>
      <c r="B47" s="167"/>
      <c r="C47" s="167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O4" sqref="O4:O3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8" t="s">
        <v>57</v>
      </c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spans="1:31" ht="41.25" customHeight="1" thickBot="1" x14ac:dyDescent="0.4">
      <c r="Q2" s="293">
        <v>803</v>
      </c>
      <c r="R2" s="294"/>
      <c r="S2" s="295"/>
      <c r="T2" s="296">
        <v>519</v>
      </c>
      <c r="U2" s="294"/>
      <c r="V2" s="295"/>
      <c r="W2" s="296">
        <v>800</v>
      </c>
      <c r="X2" s="294"/>
      <c r="Y2" s="295"/>
      <c r="Z2" s="296">
        <v>802</v>
      </c>
      <c r="AA2" s="294"/>
      <c r="AB2" s="297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0">
        <f>6049*4</f>
        <v>24196</v>
      </c>
      <c r="N4" s="39">
        <f>L4*M4/100</f>
        <v>907.35</v>
      </c>
      <c r="O4" s="39">
        <f>N4*0.529</f>
        <v>479.98815000000002</v>
      </c>
      <c r="P4" s="42">
        <f>O4*8.5</f>
        <v>4079.8992750000002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 t="shared" ref="L5:L33" si="6">IF(AC5&gt;0,((K5-AD5)+(AE5-K6)),IF(K6=0, ,(K5-K6)))</f>
        <v>4</v>
      </c>
      <c r="M5" s="150">
        <f t="shared" ref="M5:M34" si="7">6049*4</f>
        <v>24196</v>
      </c>
      <c r="N5" s="39">
        <f t="shared" ref="N5:N33" si="8">L5*M5/100</f>
        <v>967.84</v>
      </c>
      <c r="O5" s="39">
        <f t="shared" ref="O5:O33" si="9">N5*0.529</f>
        <v>511.98736000000002</v>
      </c>
      <c r="P5" s="42">
        <f t="shared" ref="P5:P33" si="10">O5*8.5</f>
        <v>4351.8925600000002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44289</v>
      </c>
      <c r="B6" s="41">
        <v>61</v>
      </c>
      <c r="C6" s="39">
        <f t="shared" ref="C6:C19" si="11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12">IF(AC6&gt;0,((F6-X6)+(Y6-F7)),IF(F7=0, ,(F6-F7)))</f>
        <v>5</v>
      </c>
      <c r="H6" s="41">
        <v>60</v>
      </c>
      <c r="I6" s="39">
        <f t="shared" ref="I6:I36" si="13">IF(AC6&gt;0,((H6-AA6)+(AB6-H7)),IF(H7=0, ,(H6-H7)))</f>
        <v>5</v>
      </c>
      <c r="J6" s="39">
        <f t="shared" ref="J6:J42" si="14">B6+D6+F6+H6</f>
        <v>243</v>
      </c>
      <c r="K6" s="39">
        <f t="shared" ref="K6:K42" si="15">J6/4</f>
        <v>60.75</v>
      </c>
      <c r="L6" s="39">
        <f t="shared" si="6"/>
        <v>4.75</v>
      </c>
      <c r="M6" s="150">
        <f t="shared" si="7"/>
        <v>24196</v>
      </c>
      <c r="N6" s="39">
        <f t="shared" si="8"/>
        <v>1149.31</v>
      </c>
      <c r="O6" s="39">
        <f t="shared" si="9"/>
        <v>607.98499000000004</v>
      </c>
      <c r="P6" s="42">
        <f t="shared" si="10"/>
        <v>5167.8724150000007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44290</v>
      </c>
      <c r="B7" s="41">
        <v>56</v>
      </c>
      <c r="C7" s="39">
        <f t="shared" si="11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3"/>
        <v>3</v>
      </c>
      <c r="J7" s="39">
        <f t="shared" si="14"/>
        <v>224</v>
      </c>
      <c r="K7" s="39">
        <f t="shared" si="15"/>
        <v>56</v>
      </c>
      <c r="L7" s="39">
        <f t="shared" si="6"/>
        <v>3.5</v>
      </c>
      <c r="M7" s="150">
        <f t="shared" si="7"/>
        <v>24196</v>
      </c>
      <c r="N7" s="39">
        <f t="shared" si="8"/>
        <v>846.86</v>
      </c>
      <c r="O7" s="39">
        <f t="shared" si="9"/>
        <v>447.98894000000001</v>
      </c>
      <c r="P7" s="42">
        <f t="shared" si="10"/>
        <v>3807.9059900000002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3"/>
        <v>0</v>
      </c>
      <c r="J8" s="39">
        <f t="shared" si="14"/>
        <v>210</v>
      </c>
      <c r="K8" s="39">
        <f t="shared" si="15"/>
        <v>52.5</v>
      </c>
      <c r="L8" s="39">
        <f t="shared" si="6"/>
        <v>2.5</v>
      </c>
      <c r="M8" s="150">
        <f t="shared" si="7"/>
        <v>24196</v>
      </c>
      <c r="N8" s="39">
        <f t="shared" si="8"/>
        <v>604.9</v>
      </c>
      <c r="O8" s="39">
        <f t="shared" si="9"/>
        <v>319.99209999999999</v>
      </c>
      <c r="P8" s="42">
        <f t="shared" si="10"/>
        <v>2719.9328500000001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 x14ac:dyDescent="0.3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3"/>
        <v>1</v>
      </c>
      <c r="J9" s="39">
        <f t="shared" si="14"/>
        <v>338</v>
      </c>
      <c r="K9" s="39">
        <f t="shared" si="15"/>
        <v>84.5</v>
      </c>
      <c r="L9" s="39">
        <f t="shared" si="6"/>
        <v>0.5</v>
      </c>
      <c r="M9" s="150">
        <f t="shared" si="7"/>
        <v>24196</v>
      </c>
      <c r="N9" s="39">
        <f t="shared" si="8"/>
        <v>120.98</v>
      </c>
      <c r="O9" s="39">
        <f t="shared" si="9"/>
        <v>63.998420000000003</v>
      </c>
      <c r="P9" s="42">
        <f t="shared" si="10"/>
        <v>543.98657000000003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3"/>
        <v>4</v>
      </c>
      <c r="J10" s="39">
        <f t="shared" si="14"/>
        <v>336</v>
      </c>
      <c r="K10" s="39">
        <f t="shared" si="15"/>
        <v>84</v>
      </c>
      <c r="L10" s="39">
        <f t="shared" si="6"/>
        <v>3.25</v>
      </c>
      <c r="M10" s="150">
        <f t="shared" si="7"/>
        <v>24196</v>
      </c>
      <c r="N10" s="39">
        <f t="shared" si="8"/>
        <v>786.37</v>
      </c>
      <c r="O10" s="39">
        <f t="shared" si="9"/>
        <v>415.98973000000001</v>
      </c>
      <c r="P10" s="42">
        <f t="shared" si="10"/>
        <v>3535.9127050000002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44294</v>
      </c>
      <c r="B11" s="41">
        <v>80</v>
      </c>
      <c r="C11" s="39">
        <f t="shared" si="11"/>
        <v>1</v>
      </c>
      <c r="D11" s="41">
        <v>81</v>
      </c>
      <c r="E11" s="39">
        <f t="shared" ref="E11:E26" si="16">IF(AC11&gt;0,((D11-U11)+(V11-D12)),IF(D12=0, ,(D11-D12)))</f>
        <v>1</v>
      </c>
      <c r="F11" s="41">
        <v>82</v>
      </c>
      <c r="G11" s="39">
        <f t="shared" si="12"/>
        <v>3</v>
      </c>
      <c r="H11" s="41">
        <v>80</v>
      </c>
      <c r="I11" s="39">
        <f t="shared" si="13"/>
        <v>4</v>
      </c>
      <c r="J11" s="39">
        <f t="shared" si="14"/>
        <v>323</v>
      </c>
      <c r="K11" s="39">
        <f t="shared" si="15"/>
        <v>80.75</v>
      </c>
      <c r="L11" s="39">
        <f t="shared" si="6"/>
        <v>2.25</v>
      </c>
      <c r="M11" s="150">
        <f t="shared" si="7"/>
        <v>24196</v>
      </c>
      <c r="N11" s="39">
        <f t="shared" si="8"/>
        <v>544.41</v>
      </c>
      <c r="O11" s="39">
        <f t="shared" si="9"/>
        <v>287.99288999999999</v>
      </c>
      <c r="P11" s="42">
        <f t="shared" si="10"/>
        <v>2447.9395649999997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44295</v>
      </c>
      <c r="B12" s="41">
        <v>79</v>
      </c>
      <c r="C12" s="39">
        <f t="shared" si="11"/>
        <v>3</v>
      </c>
      <c r="D12" s="41">
        <v>80</v>
      </c>
      <c r="E12" s="39">
        <f t="shared" si="16"/>
        <v>2</v>
      </c>
      <c r="F12" s="41">
        <v>79</v>
      </c>
      <c r="G12" s="39">
        <f t="shared" si="12"/>
        <v>1</v>
      </c>
      <c r="H12" s="41">
        <v>76</v>
      </c>
      <c r="I12" s="39">
        <f t="shared" si="13"/>
        <v>2</v>
      </c>
      <c r="J12" s="39">
        <f t="shared" si="14"/>
        <v>314</v>
      </c>
      <c r="K12" s="39">
        <f t="shared" si="15"/>
        <v>78.5</v>
      </c>
      <c r="L12" s="39">
        <f t="shared" si="6"/>
        <v>2</v>
      </c>
      <c r="M12" s="150">
        <f t="shared" si="7"/>
        <v>24196</v>
      </c>
      <c r="N12" s="39">
        <f t="shared" si="8"/>
        <v>483.92</v>
      </c>
      <c r="O12" s="39">
        <f t="shared" si="9"/>
        <v>255.99368000000001</v>
      </c>
      <c r="P12" s="42">
        <f t="shared" si="10"/>
        <v>2175.9462800000001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44296</v>
      </c>
      <c r="B13" s="41">
        <v>76</v>
      </c>
      <c r="C13" s="39">
        <f t="shared" si="11"/>
        <v>4</v>
      </c>
      <c r="D13" s="41">
        <v>78</v>
      </c>
      <c r="E13" s="39">
        <f t="shared" si="16"/>
        <v>4</v>
      </c>
      <c r="F13" s="41">
        <v>78</v>
      </c>
      <c r="G13" s="39">
        <f t="shared" si="12"/>
        <v>7</v>
      </c>
      <c r="H13" s="41">
        <v>74</v>
      </c>
      <c r="I13" s="39">
        <f t="shared" si="13"/>
        <v>4</v>
      </c>
      <c r="J13" s="39">
        <f t="shared" si="14"/>
        <v>306</v>
      </c>
      <c r="K13" s="39">
        <f t="shared" si="15"/>
        <v>76.5</v>
      </c>
      <c r="L13" s="39">
        <f t="shared" si="6"/>
        <v>4.75</v>
      </c>
      <c r="M13" s="150">
        <f t="shared" si="7"/>
        <v>24196</v>
      </c>
      <c r="N13" s="39">
        <f t="shared" si="8"/>
        <v>1149.31</v>
      </c>
      <c r="O13" s="39">
        <f t="shared" si="9"/>
        <v>607.98499000000004</v>
      </c>
      <c r="P13" s="42">
        <f t="shared" si="10"/>
        <v>5167.8724150000007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4"/>
        <v>287</v>
      </c>
      <c r="K14" s="39">
        <f t="shared" si="15"/>
        <v>71.75</v>
      </c>
      <c r="L14" s="39">
        <f t="shared" si="6"/>
        <v>3.25</v>
      </c>
      <c r="M14" s="150">
        <f t="shared" si="7"/>
        <v>24196</v>
      </c>
      <c r="N14" s="39">
        <f t="shared" si="8"/>
        <v>786.37</v>
      </c>
      <c r="O14" s="39">
        <f t="shared" si="9"/>
        <v>415.98973000000001</v>
      </c>
      <c r="P14" s="42">
        <f t="shared" si="10"/>
        <v>3535.9127050000002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4"/>
        <v>274</v>
      </c>
      <c r="K15" s="39">
        <f t="shared" si="15"/>
        <v>68.5</v>
      </c>
      <c r="L15" s="39">
        <f t="shared" si="6"/>
        <v>4</v>
      </c>
      <c r="M15" s="150">
        <f t="shared" si="7"/>
        <v>24196</v>
      </c>
      <c r="N15" s="39">
        <f t="shared" si="8"/>
        <v>967.84</v>
      </c>
      <c r="O15" s="39">
        <f t="shared" si="9"/>
        <v>511.98736000000002</v>
      </c>
      <c r="P15" s="42">
        <f t="shared" si="10"/>
        <v>4351.8925600000002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44299</v>
      </c>
      <c r="B16" s="41">
        <v>65</v>
      </c>
      <c r="C16" s="39">
        <f t="shared" si="11"/>
        <v>5</v>
      </c>
      <c r="D16" s="41">
        <v>65</v>
      </c>
      <c r="E16" s="39">
        <f t="shared" si="16"/>
        <v>3</v>
      </c>
      <c r="F16" s="41">
        <v>64</v>
      </c>
      <c r="G16" s="39">
        <f t="shared" si="12"/>
        <v>0</v>
      </c>
      <c r="H16" s="41">
        <v>64</v>
      </c>
      <c r="I16" s="39">
        <f t="shared" si="13"/>
        <v>0</v>
      </c>
      <c r="J16" s="39">
        <f t="shared" si="14"/>
        <v>258</v>
      </c>
      <c r="K16" s="39">
        <f t="shared" si="15"/>
        <v>64.5</v>
      </c>
      <c r="L16" s="39">
        <f t="shared" si="6"/>
        <v>2</v>
      </c>
      <c r="M16" s="150">
        <f t="shared" si="7"/>
        <v>24196</v>
      </c>
      <c r="N16" s="39">
        <f t="shared" si="8"/>
        <v>483.92</v>
      </c>
      <c r="O16" s="39">
        <f t="shared" si="9"/>
        <v>255.99368000000001</v>
      </c>
      <c r="P16" s="42">
        <f t="shared" si="10"/>
        <v>2175.9462800000001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44300</v>
      </c>
      <c r="B17" s="41">
        <v>60</v>
      </c>
      <c r="C17" s="39">
        <f t="shared" si="11"/>
        <v>0</v>
      </c>
      <c r="D17" s="41">
        <v>62</v>
      </c>
      <c r="E17" s="39">
        <f t="shared" si="16"/>
        <v>2</v>
      </c>
      <c r="F17" s="41">
        <v>64</v>
      </c>
      <c r="G17" s="39">
        <f t="shared" si="12"/>
        <v>3</v>
      </c>
      <c r="H17" s="41">
        <v>64</v>
      </c>
      <c r="I17" s="39">
        <f t="shared" si="13"/>
        <v>4</v>
      </c>
      <c r="J17" s="39">
        <f t="shared" si="14"/>
        <v>250</v>
      </c>
      <c r="K17" s="39">
        <f t="shared" si="15"/>
        <v>62.5</v>
      </c>
      <c r="L17" s="39">
        <f t="shared" si="6"/>
        <v>2.25</v>
      </c>
      <c r="M17" s="150">
        <f t="shared" si="7"/>
        <v>24196</v>
      </c>
      <c r="N17" s="39">
        <f t="shared" si="8"/>
        <v>544.41</v>
      </c>
      <c r="O17" s="39">
        <f t="shared" si="9"/>
        <v>287.99288999999999</v>
      </c>
      <c r="P17" s="42">
        <f t="shared" si="10"/>
        <v>2447.9395649999997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44301</v>
      </c>
      <c r="B18" s="41">
        <v>60</v>
      </c>
      <c r="C18" s="39">
        <f t="shared" si="11"/>
        <v>4</v>
      </c>
      <c r="D18" s="41">
        <v>60</v>
      </c>
      <c r="E18" s="39">
        <f t="shared" si="16"/>
        <v>4</v>
      </c>
      <c r="F18" s="41">
        <v>61</v>
      </c>
      <c r="G18" s="39">
        <f t="shared" si="12"/>
        <v>2</v>
      </c>
      <c r="H18" s="41">
        <v>60</v>
      </c>
      <c r="I18" s="39">
        <f t="shared" si="13"/>
        <v>2</v>
      </c>
      <c r="J18" s="39">
        <f t="shared" si="14"/>
        <v>241</v>
      </c>
      <c r="K18" s="39">
        <f t="shared" si="15"/>
        <v>60.25</v>
      </c>
      <c r="L18" s="39">
        <f t="shared" si="6"/>
        <v>3</v>
      </c>
      <c r="M18" s="150">
        <f t="shared" si="7"/>
        <v>24196</v>
      </c>
      <c r="N18" s="39">
        <f t="shared" si="8"/>
        <v>725.88</v>
      </c>
      <c r="O18" s="39">
        <f t="shared" si="9"/>
        <v>383.99052</v>
      </c>
      <c r="P18" s="42">
        <f t="shared" si="10"/>
        <v>3263.9194200000002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44302</v>
      </c>
      <c r="B19" s="41">
        <v>56</v>
      </c>
      <c r="C19" s="39">
        <f t="shared" si="11"/>
        <v>5</v>
      </c>
      <c r="D19" s="41">
        <v>56</v>
      </c>
      <c r="E19" s="39">
        <f>IF(AC19&gt;0,((D19-U19)+(V19-D20)),IF(D20=0, ,(D19-D20)))</f>
        <v>4</v>
      </c>
      <c r="F19" s="41">
        <v>59</v>
      </c>
      <c r="G19" s="39">
        <f t="shared" si="12"/>
        <v>6</v>
      </c>
      <c r="H19" s="41">
        <v>58</v>
      </c>
      <c r="I19" s="39">
        <f t="shared" si="13"/>
        <v>5</v>
      </c>
      <c r="J19" s="39">
        <f t="shared" si="14"/>
        <v>229</v>
      </c>
      <c r="K19" s="39">
        <f t="shared" si="15"/>
        <v>57.25</v>
      </c>
      <c r="L19" s="39">
        <f t="shared" si="6"/>
        <v>5</v>
      </c>
      <c r="M19" s="150">
        <f t="shared" si="7"/>
        <v>24196</v>
      </c>
      <c r="N19" s="39">
        <f t="shared" si="8"/>
        <v>1209.8</v>
      </c>
      <c r="O19" s="39">
        <f t="shared" si="9"/>
        <v>639.98419999999999</v>
      </c>
      <c r="P19" s="42">
        <f t="shared" si="10"/>
        <v>5439.8657000000003</v>
      </c>
      <c r="Q19" s="39">
        <v>2773</v>
      </c>
      <c r="R19" s="39">
        <v>51</v>
      </c>
      <c r="S19" s="39">
        <v>85</v>
      </c>
      <c r="T19" s="39">
        <v>2681</v>
      </c>
      <c r="U19" s="39">
        <v>52</v>
      </c>
      <c r="V19" s="39">
        <v>85</v>
      </c>
      <c r="W19" s="39">
        <v>2593</v>
      </c>
      <c r="X19" s="39">
        <v>53</v>
      </c>
      <c r="Y19" s="39">
        <v>85</v>
      </c>
      <c r="Z19" s="39">
        <v>2553</v>
      </c>
      <c r="AA19" s="39">
        <v>53</v>
      </c>
      <c r="AB19" s="39">
        <v>85</v>
      </c>
      <c r="AC19" s="39">
        <f t="shared" si="3"/>
        <v>10600</v>
      </c>
      <c r="AD19" s="38">
        <f t="shared" si="4"/>
        <v>52.25</v>
      </c>
      <c r="AE19" s="38">
        <f t="shared" si="5"/>
        <v>85</v>
      </c>
    </row>
    <row r="20" spans="1:31" ht="32.25" customHeight="1" x14ac:dyDescent="0.3">
      <c r="A20" s="40">
        <v>44303</v>
      </c>
      <c r="B20" s="41">
        <v>85</v>
      </c>
      <c r="C20" s="39">
        <f>IF(AC20&gt;0,((B20-R20)+(S20-B21)),IF(B21=0, ,(B20-B21)))</f>
        <v>1</v>
      </c>
      <c r="D20" s="41">
        <v>85</v>
      </c>
      <c r="E20" s="39">
        <f t="shared" si="16"/>
        <v>1</v>
      </c>
      <c r="F20" s="41">
        <v>85</v>
      </c>
      <c r="G20" s="39">
        <f t="shared" si="12"/>
        <v>0</v>
      </c>
      <c r="H20" s="41">
        <v>85</v>
      </c>
      <c r="I20" s="39">
        <f t="shared" si="13"/>
        <v>0</v>
      </c>
      <c r="J20" s="39">
        <f t="shared" si="14"/>
        <v>340</v>
      </c>
      <c r="K20" s="39">
        <f t="shared" si="15"/>
        <v>85</v>
      </c>
      <c r="L20" s="39">
        <f t="shared" si="6"/>
        <v>0.5</v>
      </c>
      <c r="M20" s="150">
        <f t="shared" si="7"/>
        <v>24196</v>
      </c>
      <c r="N20" s="39">
        <f t="shared" si="8"/>
        <v>120.98</v>
      </c>
      <c r="O20" s="39">
        <f t="shared" si="9"/>
        <v>63.998420000000003</v>
      </c>
      <c r="P20" s="42">
        <f t="shared" si="10"/>
        <v>543.98657000000003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44304</v>
      </c>
      <c r="B21" s="41">
        <v>84</v>
      </c>
      <c r="C21" s="39">
        <f t="shared" ref="C21:C35" si="17">IF(AC21&gt;0,((B21-R21)+(S21-B22)),IF(B22=0, ,(B21-B22)))</f>
        <v>0</v>
      </c>
      <c r="D21" s="41">
        <v>84</v>
      </c>
      <c r="E21" s="39">
        <f t="shared" si="16"/>
        <v>1</v>
      </c>
      <c r="F21" s="41">
        <v>85</v>
      </c>
      <c r="G21" s="39">
        <f>IF(AC21&gt;0,((F21-X21)+(Y21-F22)),IF(F22=0, ,(F21-F22)))</f>
        <v>2</v>
      </c>
      <c r="H21" s="41">
        <v>85</v>
      </c>
      <c r="I21" s="39">
        <f t="shared" si="13"/>
        <v>1</v>
      </c>
      <c r="J21" s="39">
        <f t="shared" si="14"/>
        <v>338</v>
      </c>
      <c r="K21" s="39">
        <f t="shared" si="15"/>
        <v>84.5</v>
      </c>
      <c r="L21" s="39">
        <f t="shared" si="6"/>
        <v>1</v>
      </c>
      <c r="M21" s="150">
        <f t="shared" si="7"/>
        <v>24196</v>
      </c>
      <c r="N21" s="39">
        <f t="shared" si="8"/>
        <v>241.96</v>
      </c>
      <c r="O21" s="39">
        <f t="shared" si="9"/>
        <v>127.99684000000001</v>
      </c>
      <c r="P21" s="42">
        <f t="shared" si="10"/>
        <v>1087.9731400000001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44305</v>
      </c>
      <c r="B22" s="41">
        <v>84</v>
      </c>
      <c r="C22" s="39">
        <f t="shared" si="17"/>
        <v>1</v>
      </c>
      <c r="D22" s="41">
        <v>83</v>
      </c>
      <c r="E22" s="39">
        <f t="shared" si="16"/>
        <v>0</v>
      </c>
      <c r="F22" s="41">
        <v>83</v>
      </c>
      <c r="G22" s="39">
        <f t="shared" si="12"/>
        <v>0</v>
      </c>
      <c r="H22" s="41">
        <v>84</v>
      </c>
      <c r="I22" s="39">
        <f t="shared" si="13"/>
        <v>1</v>
      </c>
      <c r="J22" s="39">
        <f t="shared" si="14"/>
        <v>334</v>
      </c>
      <c r="K22" s="39">
        <f t="shared" si="15"/>
        <v>83.5</v>
      </c>
      <c r="L22" s="39">
        <f t="shared" si="6"/>
        <v>0.5</v>
      </c>
      <c r="M22" s="150">
        <f t="shared" si="7"/>
        <v>24196</v>
      </c>
      <c r="N22" s="39">
        <f t="shared" si="8"/>
        <v>120.98</v>
      </c>
      <c r="O22" s="39">
        <f t="shared" si="9"/>
        <v>63.998420000000003</v>
      </c>
      <c r="P22" s="42">
        <f t="shared" si="10"/>
        <v>543.98657000000003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44306</v>
      </c>
      <c r="B23" s="41">
        <v>83</v>
      </c>
      <c r="C23" s="39">
        <f t="shared" si="17"/>
        <v>0</v>
      </c>
      <c r="D23" s="41">
        <v>83</v>
      </c>
      <c r="E23" s="39">
        <f t="shared" si="16"/>
        <v>0</v>
      </c>
      <c r="F23" s="41">
        <v>83</v>
      </c>
      <c r="G23" s="39">
        <f t="shared" si="12"/>
        <v>1</v>
      </c>
      <c r="H23" s="41">
        <v>83</v>
      </c>
      <c r="I23" s="39">
        <f t="shared" si="13"/>
        <v>1</v>
      </c>
      <c r="J23" s="39">
        <f t="shared" si="14"/>
        <v>332</v>
      </c>
      <c r="K23" s="39">
        <f t="shared" si="15"/>
        <v>83</v>
      </c>
      <c r="L23" s="39">
        <f t="shared" si="6"/>
        <v>0.5</v>
      </c>
      <c r="M23" s="150">
        <f t="shared" si="7"/>
        <v>24196</v>
      </c>
      <c r="N23" s="39">
        <f t="shared" si="8"/>
        <v>120.98</v>
      </c>
      <c r="O23" s="39">
        <f t="shared" si="9"/>
        <v>63.998420000000003</v>
      </c>
      <c r="P23" s="42">
        <f t="shared" si="10"/>
        <v>543.98657000000003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44307</v>
      </c>
      <c r="B24" s="41">
        <v>83</v>
      </c>
      <c r="C24" s="39">
        <f>IF(AC24&gt;0,((B24-R24)+(S24-B25)),IF(B25=0, ,(B24-B25)))</f>
        <v>3</v>
      </c>
      <c r="D24" s="41">
        <v>83</v>
      </c>
      <c r="E24" s="39">
        <f t="shared" si="16"/>
        <v>3</v>
      </c>
      <c r="F24" s="41">
        <v>82</v>
      </c>
      <c r="G24" s="39">
        <f t="shared" si="12"/>
        <v>2</v>
      </c>
      <c r="H24" s="41">
        <v>82</v>
      </c>
      <c r="I24" s="39">
        <f t="shared" si="13"/>
        <v>2</v>
      </c>
      <c r="J24" s="39">
        <f t="shared" si="14"/>
        <v>330</v>
      </c>
      <c r="K24" s="39">
        <f t="shared" si="15"/>
        <v>82.5</v>
      </c>
      <c r="L24" s="39">
        <f t="shared" si="6"/>
        <v>2.5</v>
      </c>
      <c r="M24" s="150">
        <f t="shared" si="7"/>
        <v>24196</v>
      </c>
      <c r="N24" s="39">
        <f t="shared" si="8"/>
        <v>604.9</v>
      </c>
      <c r="O24" s="39">
        <f t="shared" si="9"/>
        <v>319.99209999999999</v>
      </c>
      <c r="P24" s="42">
        <f t="shared" si="10"/>
        <v>2719.9328500000001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44308</v>
      </c>
      <c r="B25" s="41">
        <v>80</v>
      </c>
      <c r="C25" s="39">
        <f>IF(AC25&gt;0,((B25-R25)+(S25-B26)),IF(B26=0, ,(B25-B26)))</f>
        <v>2</v>
      </c>
      <c r="D25" s="41">
        <v>80</v>
      </c>
      <c r="E25" s="39">
        <f t="shared" si="16"/>
        <v>3</v>
      </c>
      <c r="F25" s="41">
        <v>80</v>
      </c>
      <c r="G25" s="39">
        <f t="shared" si="12"/>
        <v>3</v>
      </c>
      <c r="H25" s="41">
        <v>80</v>
      </c>
      <c r="I25" s="39">
        <f t="shared" si="13"/>
        <v>3</v>
      </c>
      <c r="J25" s="39">
        <f t="shared" si="14"/>
        <v>320</v>
      </c>
      <c r="K25" s="39">
        <f t="shared" si="15"/>
        <v>80</v>
      </c>
      <c r="L25" s="39">
        <f t="shared" si="6"/>
        <v>2.75</v>
      </c>
      <c r="M25" s="150">
        <f t="shared" si="7"/>
        <v>24196</v>
      </c>
      <c r="N25" s="39">
        <f t="shared" si="8"/>
        <v>665.39</v>
      </c>
      <c r="O25" s="39">
        <f t="shared" si="9"/>
        <v>351.99131</v>
      </c>
      <c r="P25" s="42">
        <f t="shared" si="10"/>
        <v>2991.9261350000002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8">(R25+U25+X25+AA25)/4</f>
        <v>0</v>
      </c>
      <c r="AE25" s="38">
        <f>(S25+V25+Y25+AB25)/4</f>
        <v>0</v>
      </c>
    </row>
    <row r="26" spans="1:31" ht="32.25" customHeight="1" x14ac:dyDescent="0.3">
      <c r="A26" s="40">
        <v>44309</v>
      </c>
      <c r="B26" s="41">
        <v>78</v>
      </c>
      <c r="C26" s="39">
        <f>IF(AC26&gt;0,((B26-R26)+(S26-B27)),IF(B27=0, ,(B26-B27)))</f>
        <v>3</v>
      </c>
      <c r="D26" s="41">
        <v>77</v>
      </c>
      <c r="E26" s="39">
        <f t="shared" si="16"/>
        <v>2</v>
      </c>
      <c r="F26" s="41">
        <v>77</v>
      </c>
      <c r="G26" s="39">
        <f t="shared" si="12"/>
        <v>2</v>
      </c>
      <c r="H26" s="41">
        <v>77</v>
      </c>
      <c r="I26" s="39">
        <f t="shared" si="13"/>
        <v>2</v>
      </c>
      <c r="J26" s="39">
        <f t="shared" si="14"/>
        <v>309</v>
      </c>
      <c r="K26" s="39">
        <f t="shared" si="15"/>
        <v>77.25</v>
      </c>
      <c r="L26" s="39">
        <f t="shared" si="6"/>
        <v>2.25</v>
      </c>
      <c r="M26" s="150">
        <f t="shared" si="7"/>
        <v>24196</v>
      </c>
      <c r="N26" s="39">
        <f t="shared" si="8"/>
        <v>544.41</v>
      </c>
      <c r="O26" s="39">
        <f t="shared" si="9"/>
        <v>287.99288999999999</v>
      </c>
      <c r="P26" s="42">
        <f t="shared" si="10"/>
        <v>2447.9395649999997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9">Q26+T26+W26+Z26</f>
        <v>0</v>
      </c>
      <c r="AD26" s="38">
        <f t="shared" si="18"/>
        <v>0</v>
      </c>
      <c r="AE26" s="38">
        <f>(S26+V26+Y26+AB26)/4</f>
        <v>0</v>
      </c>
    </row>
    <row r="27" spans="1:31" ht="32.25" customHeight="1" x14ac:dyDescent="0.3">
      <c r="A27" s="40">
        <v>44310</v>
      </c>
      <c r="B27" s="41">
        <v>75</v>
      </c>
      <c r="C27" s="39">
        <f t="shared" si="17"/>
        <v>2</v>
      </c>
      <c r="D27" s="41">
        <v>75</v>
      </c>
      <c r="E27" s="39">
        <f t="shared" ref="E27:E36" si="20">IF(AC27&gt;0,((D27-U27)+(V27-D28)),IF(D28=0, ,(D27-D28)))</f>
        <v>3</v>
      </c>
      <c r="F27" s="41">
        <v>75</v>
      </c>
      <c r="G27" s="39">
        <f t="shared" ref="G27:G36" si="21">IF(AC27&gt;0,((F27-X27)+(Y27-F28)),IF(F28=0, ,(F27-F28)))</f>
        <v>3</v>
      </c>
      <c r="H27" s="41">
        <v>75</v>
      </c>
      <c r="I27" s="39">
        <f t="shared" si="13"/>
        <v>4</v>
      </c>
      <c r="J27" s="39">
        <f t="shared" si="14"/>
        <v>300</v>
      </c>
      <c r="K27" s="39">
        <f t="shared" si="15"/>
        <v>75</v>
      </c>
      <c r="L27" s="39">
        <f t="shared" si="6"/>
        <v>3</v>
      </c>
      <c r="M27" s="150">
        <f t="shared" si="7"/>
        <v>24196</v>
      </c>
      <c r="N27" s="39">
        <f t="shared" si="8"/>
        <v>725.88</v>
      </c>
      <c r="O27" s="39">
        <f t="shared" si="9"/>
        <v>383.99052</v>
      </c>
      <c r="P27" s="42">
        <f t="shared" si="10"/>
        <v>3263.9194200000002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9"/>
        <v>0</v>
      </c>
      <c r="AD27" s="38">
        <f t="shared" si="18"/>
        <v>0</v>
      </c>
      <c r="AE27" s="38">
        <f>(S27+V27+Y27+AB27)/4</f>
        <v>0</v>
      </c>
    </row>
    <row r="28" spans="1:31" ht="32.25" customHeight="1" x14ac:dyDescent="0.3">
      <c r="A28" s="40">
        <v>44311</v>
      </c>
      <c r="B28" s="41">
        <v>73</v>
      </c>
      <c r="C28" s="39">
        <f t="shared" si="17"/>
        <v>3</v>
      </c>
      <c r="D28" s="41">
        <v>72</v>
      </c>
      <c r="E28" s="39">
        <f t="shared" si="20"/>
        <v>2</v>
      </c>
      <c r="F28" s="41">
        <v>72</v>
      </c>
      <c r="G28" s="39">
        <f t="shared" si="21"/>
        <v>2</v>
      </c>
      <c r="H28" s="41">
        <v>71</v>
      </c>
      <c r="I28" s="39">
        <f>IF(AC28&gt;0,((H28-AA28)+(AB28-H29)),IF(H29=0, ,(H28-H29)))</f>
        <v>2</v>
      </c>
      <c r="J28" s="39">
        <f t="shared" si="14"/>
        <v>288</v>
      </c>
      <c r="K28" s="39">
        <f t="shared" si="15"/>
        <v>72</v>
      </c>
      <c r="L28" s="39">
        <f t="shared" si="6"/>
        <v>2.25</v>
      </c>
      <c r="M28" s="150">
        <f t="shared" si="7"/>
        <v>24196</v>
      </c>
      <c r="N28" s="39">
        <f t="shared" si="8"/>
        <v>544.41</v>
      </c>
      <c r="O28" s="39">
        <f t="shared" si="9"/>
        <v>287.99288999999999</v>
      </c>
      <c r="P28" s="42">
        <f t="shared" si="10"/>
        <v>2447.9395649999997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9"/>
        <v>0</v>
      </c>
      <c r="AD28" s="38">
        <f t="shared" si="18"/>
        <v>0</v>
      </c>
      <c r="AE28" s="38">
        <f>(S28+V28+Y28+AB28)/4</f>
        <v>0</v>
      </c>
    </row>
    <row r="29" spans="1:31" ht="32.25" customHeight="1" x14ac:dyDescent="0.3">
      <c r="A29" s="40">
        <v>44312</v>
      </c>
      <c r="B29" s="41">
        <v>70</v>
      </c>
      <c r="C29" s="39">
        <f t="shared" si="17"/>
        <v>0</v>
      </c>
      <c r="D29" s="41">
        <v>70</v>
      </c>
      <c r="E29" s="39">
        <f t="shared" si="20"/>
        <v>0</v>
      </c>
      <c r="F29" s="41">
        <v>70</v>
      </c>
      <c r="G29" s="39">
        <f t="shared" si="21"/>
        <v>0</v>
      </c>
      <c r="H29" s="41">
        <v>69</v>
      </c>
      <c r="I29" s="39">
        <f t="shared" si="13"/>
        <v>0</v>
      </c>
      <c r="J29" s="39">
        <f t="shared" si="14"/>
        <v>279</v>
      </c>
      <c r="K29" s="39">
        <f t="shared" si="15"/>
        <v>69.75</v>
      </c>
      <c r="L29" s="39">
        <f t="shared" si="6"/>
        <v>0</v>
      </c>
      <c r="M29" s="150">
        <f t="shared" si="7"/>
        <v>24196</v>
      </c>
      <c r="N29" s="39">
        <f t="shared" si="8"/>
        <v>0</v>
      </c>
      <c r="O29" s="39">
        <f t="shared" si="9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8"/>
        <v>0</v>
      </c>
      <c r="AE29" s="38">
        <f>(S29+V29+Y29+AB29)/4</f>
        <v>0</v>
      </c>
    </row>
    <row r="30" spans="1:31" ht="32.25" customHeight="1" x14ac:dyDescent="0.3">
      <c r="A30" s="40">
        <v>44313</v>
      </c>
      <c r="B30" s="41">
        <v>70</v>
      </c>
      <c r="C30" s="39">
        <f t="shared" si="17"/>
        <v>4</v>
      </c>
      <c r="D30" s="41">
        <v>70</v>
      </c>
      <c r="E30" s="39">
        <f t="shared" si="20"/>
        <v>2</v>
      </c>
      <c r="F30" s="41">
        <v>70</v>
      </c>
      <c r="G30" s="39">
        <f t="shared" si="21"/>
        <v>0</v>
      </c>
      <c r="H30" s="41">
        <v>69</v>
      </c>
      <c r="I30" s="39">
        <f t="shared" si="13"/>
        <v>-1</v>
      </c>
      <c r="J30" s="39">
        <f t="shared" si="14"/>
        <v>279</v>
      </c>
      <c r="K30" s="39">
        <f t="shared" si="15"/>
        <v>69.75</v>
      </c>
      <c r="L30" s="39">
        <f t="shared" si="6"/>
        <v>1.25</v>
      </c>
      <c r="M30" s="150">
        <f t="shared" si="7"/>
        <v>24196</v>
      </c>
      <c r="N30" s="39">
        <f t="shared" si="8"/>
        <v>302.45</v>
      </c>
      <c r="O30" s="39">
        <f t="shared" si="9"/>
        <v>159.99605</v>
      </c>
      <c r="P30" s="42">
        <f t="shared" si="10"/>
        <v>1359.9664250000001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9"/>
        <v>0</v>
      </c>
      <c r="AD30" s="38">
        <f t="shared" si="18"/>
        <v>0</v>
      </c>
      <c r="AE30" s="38">
        <f t="shared" ref="AE30:AE42" si="22">(S30+V30+Y30+AB30)/4</f>
        <v>0</v>
      </c>
    </row>
    <row r="31" spans="1:31" ht="32.25" customHeight="1" x14ac:dyDescent="0.3">
      <c r="A31" s="40">
        <v>44314</v>
      </c>
      <c r="B31" s="41">
        <v>66</v>
      </c>
      <c r="C31" s="39">
        <f t="shared" si="17"/>
        <v>1</v>
      </c>
      <c r="D31" s="41">
        <v>68</v>
      </c>
      <c r="E31" s="39">
        <f t="shared" si="20"/>
        <v>1</v>
      </c>
      <c r="F31" s="41">
        <v>70</v>
      </c>
      <c r="G31" s="39">
        <f>IF(AC31&gt;0,((F31-X31)+(Y31-F32)),IF(F32=0, ,(F31-F32)))</f>
        <v>2</v>
      </c>
      <c r="H31" s="41">
        <v>70</v>
      </c>
      <c r="I31" s="39">
        <f t="shared" si="13"/>
        <v>2</v>
      </c>
      <c r="J31" s="39">
        <f t="shared" si="14"/>
        <v>274</v>
      </c>
      <c r="K31" s="39">
        <f t="shared" si="15"/>
        <v>68.5</v>
      </c>
      <c r="L31" s="39">
        <f t="shared" si="6"/>
        <v>1.5</v>
      </c>
      <c r="M31" s="150">
        <f t="shared" si="7"/>
        <v>24196</v>
      </c>
      <c r="N31" s="39">
        <f t="shared" si="8"/>
        <v>362.94</v>
      </c>
      <c r="O31" s="39">
        <f t="shared" si="9"/>
        <v>191.99526</v>
      </c>
      <c r="P31" s="42">
        <f t="shared" si="10"/>
        <v>1631.9597100000001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9"/>
        <v>0</v>
      </c>
      <c r="AD31" s="38">
        <f t="shared" si="18"/>
        <v>0</v>
      </c>
      <c r="AE31" s="38">
        <f t="shared" si="22"/>
        <v>0</v>
      </c>
    </row>
    <row r="32" spans="1:31" ht="32.25" customHeight="1" x14ac:dyDescent="0.3">
      <c r="A32" s="40">
        <v>44315</v>
      </c>
      <c r="B32" s="41">
        <v>65</v>
      </c>
      <c r="C32" s="39">
        <f t="shared" si="17"/>
        <v>3</v>
      </c>
      <c r="D32" s="41">
        <v>67</v>
      </c>
      <c r="E32" s="39">
        <f t="shared" si="20"/>
        <v>2</v>
      </c>
      <c r="F32" s="41">
        <v>68</v>
      </c>
      <c r="G32" s="39">
        <f t="shared" si="21"/>
        <v>3</v>
      </c>
      <c r="H32" s="41">
        <v>68</v>
      </c>
      <c r="I32" s="39">
        <f t="shared" si="13"/>
        <v>3</v>
      </c>
      <c r="J32" s="39">
        <f t="shared" si="14"/>
        <v>268</v>
      </c>
      <c r="K32" s="39">
        <f t="shared" si="15"/>
        <v>67</v>
      </c>
      <c r="L32" s="39">
        <f t="shared" si="6"/>
        <v>2.75</v>
      </c>
      <c r="M32" s="150">
        <f t="shared" si="7"/>
        <v>24196</v>
      </c>
      <c r="N32" s="39">
        <f t="shared" si="8"/>
        <v>665.39</v>
      </c>
      <c r="O32" s="39">
        <f t="shared" si="9"/>
        <v>351.99131</v>
      </c>
      <c r="P32" s="42">
        <f t="shared" si="10"/>
        <v>2991.9261350000002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8"/>
        <v>0</v>
      </c>
      <c r="AE32" s="38">
        <f t="shared" si="22"/>
        <v>0</v>
      </c>
    </row>
    <row r="33" spans="1:31" ht="32.25" customHeight="1" x14ac:dyDescent="0.3">
      <c r="A33" s="40">
        <v>44316</v>
      </c>
      <c r="B33" s="41">
        <v>62</v>
      </c>
      <c r="C33" s="39">
        <f t="shared" si="17"/>
        <v>2</v>
      </c>
      <c r="D33" s="41">
        <v>65</v>
      </c>
      <c r="E33" s="39">
        <f t="shared" si="20"/>
        <v>4</v>
      </c>
      <c r="F33" s="41">
        <v>65</v>
      </c>
      <c r="G33" s="39">
        <f t="shared" si="21"/>
        <v>3</v>
      </c>
      <c r="H33" s="41">
        <v>65</v>
      </c>
      <c r="I33" s="39">
        <f t="shared" si="13"/>
        <v>3</v>
      </c>
      <c r="J33" s="39">
        <f t="shared" si="14"/>
        <v>257</v>
      </c>
      <c r="K33" s="39">
        <f t="shared" si="15"/>
        <v>64.25</v>
      </c>
      <c r="L33" s="39">
        <f t="shared" si="6"/>
        <v>3</v>
      </c>
      <c r="M33" s="150">
        <f t="shared" si="7"/>
        <v>24196</v>
      </c>
      <c r="N33" s="39">
        <f t="shared" si="8"/>
        <v>725.88</v>
      </c>
      <c r="O33" s="39">
        <f t="shared" si="9"/>
        <v>383.99052</v>
      </c>
      <c r="P33" s="42">
        <f t="shared" si="10"/>
        <v>3263.9194200000002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8"/>
        <v>0</v>
      </c>
      <c r="AE33" s="38">
        <f t="shared" si="22"/>
        <v>0</v>
      </c>
    </row>
    <row r="34" spans="1:31" ht="32.25" customHeight="1" x14ac:dyDescent="0.3">
      <c r="A34" s="40">
        <v>44317</v>
      </c>
      <c r="B34" s="41">
        <v>60</v>
      </c>
      <c r="C34" s="39">
        <f t="shared" si="17"/>
        <v>0</v>
      </c>
      <c r="D34" s="41">
        <v>61</v>
      </c>
      <c r="E34" s="39">
        <f t="shared" si="20"/>
        <v>0</v>
      </c>
      <c r="F34" s="41">
        <v>62</v>
      </c>
      <c r="G34" s="39">
        <f t="shared" si="21"/>
        <v>0</v>
      </c>
      <c r="H34" s="41">
        <v>62</v>
      </c>
      <c r="I34" s="39">
        <f t="shared" si="13"/>
        <v>0</v>
      </c>
      <c r="J34" s="39">
        <f>B34+D34+F34+H34</f>
        <v>245</v>
      </c>
      <c r="K34" s="39">
        <f>J34/4</f>
        <v>61.25</v>
      </c>
      <c r="L34" s="39">
        <f>IF(AC34&gt;0,((K34-AD34)+(AE34-K35)),IF(K35=0, ,(K34-K35)))</f>
        <v>0</v>
      </c>
      <c r="M34" s="150">
        <f t="shared" si="7"/>
        <v>24196</v>
      </c>
      <c r="N34" s="39">
        <f>L34*M34/100</f>
        <v>0</v>
      </c>
      <c r="O34" s="39">
        <f>N34*0.529</f>
        <v>0</v>
      </c>
      <c r="P34" s="42">
        <f t="shared" ref="P34:P38" si="23">O34*8.7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9"/>
        <v>0</v>
      </c>
      <c r="AD34" s="38">
        <f t="shared" si="18"/>
        <v>0</v>
      </c>
      <c r="AE34" s="38">
        <f t="shared" si="22"/>
        <v>0</v>
      </c>
    </row>
    <row r="35" spans="1:31" ht="32.25" customHeight="1" x14ac:dyDescent="0.3">
      <c r="A35" s="40">
        <v>44318</v>
      </c>
      <c r="B35" s="41"/>
      <c r="C35" s="39">
        <f t="shared" si="17"/>
        <v>0</v>
      </c>
      <c r="D35" s="41"/>
      <c r="E35" s="39">
        <f t="shared" si="20"/>
        <v>0</v>
      </c>
      <c r="F35" s="41"/>
      <c r="G35" s="39">
        <f t="shared" si="21"/>
        <v>0</v>
      </c>
      <c r="H35" s="41"/>
      <c r="I35" s="39">
        <f t="shared" si="13"/>
        <v>0</v>
      </c>
      <c r="J35" s="39">
        <f>B35+D35+F35+H35</f>
        <v>0</v>
      </c>
      <c r="K35" s="39">
        <f>J35/4</f>
        <v>0</v>
      </c>
      <c r="L35" s="39">
        <f t="shared" ref="L35:L42" si="24">IF(AC35&gt;0,((K35-AD35)+(AE35-K36)),IF(K36=0, ,(K35-K36)))</f>
        <v>0</v>
      </c>
      <c r="M35" s="150">
        <f t="shared" ref="M35:M42" si="25">6049*4</f>
        <v>24196</v>
      </c>
      <c r="N35" s="39">
        <f t="shared" ref="N35:N42" si="26">L35*M35/100</f>
        <v>0</v>
      </c>
      <c r="O35" s="39">
        <f t="shared" ref="O35:O37" si="27">N35*0.529</f>
        <v>0</v>
      </c>
      <c r="P35" s="42">
        <f t="shared" si="23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9"/>
        <v>0</v>
      </c>
      <c r="AD35" s="38">
        <f t="shared" si="18"/>
        <v>0</v>
      </c>
      <c r="AE35" s="38">
        <f t="shared" si="22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20"/>
        <v>0</v>
      </c>
      <c r="F36" s="41"/>
      <c r="G36" s="39">
        <f t="shared" si="21"/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24"/>
        <v>0</v>
      </c>
      <c r="M36" s="150">
        <f t="shared" si="25"/>
        <v>24196</v>
      </c>
      <c r="N36" s="39">
        <f t="shared" si="26"/>
        <v>0</v>
      </c>
      <c r="O36" s="39">
        <f t="shared" si="27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9"/>
        <v>0</v>
      </c>
      <c r="AD36" s="38">
        <f t="shared" si="18"/>
        <v>0</v>
      </c>
      <c r="AE36" s="38">
        <f t="shared" si="22"/>
        <v>0</v>
      </c>
    </row>
    <row r="37" spans="1:31" ht="32.25" customHeight="1" x14ac:dyDescent="0.3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24"/>
        <v>0</v>
      </c>
      <c r="M37" s="150">
        <f t="shared" si="25"/>
        <v>24196</v>
      </c>
      <c r="N37" s="39">
        <f t="shared" si="26"/>
        <v>0</v>
      </c>
      <c r="O37" s="39">
        <f t="shared" si="27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9"/>
        <v>0</v>
      </c>
      <c r="AD37" s="38">
        <f t="shared" si="18"/>
        <v>0</v>
      </c>
      <c r="AE37" s="38">
        <f t="shared" si="22"/>
        <v>0</v>
      </c>
    </row>
    <row r="38" spans="1:31" ht="32.25" customHeight="1" x14ac:dyDescent="0.3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4"/>
        <v>0</v>
      </c>
      <c r="K38" s="39">
        <f t="shared" si="15"/>
        <v>0</v>
      </c>
      <c r="L38" s="39">
        <f t="shared" si="24"/>
        <v>0</v>
      </c>
      <c r="M38" s="150">
        <f t="shared" si="25"/>
        <v>24196</v>
      </c>
      <c r="N38" s="39">
        <f t="shared" si="26"/>
        <v>0</v>
      </c>
      <c r="O38" s="39">
        <f>N38*0.53</f>
        <v>0</v>
      </c>
      <c r="P38" s="42">
        <f t="shared" si="2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9"/>
        <v>0</v>
      </c>
      <c r="AD38" s="38">
        <f t="shared" si="18"/>
        <v>0</v>
      </c>
      <c r="AE38" s="38">
        <f t="shared" si="22"/>
        <v>0</v>
      </c>
    </row>
    <row r="39" spans="1:31" ht="32.25" customHeight="1" x14ac:dyDescent="0.3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4"/>
        <v>0</v>
      </c>
      <c r="K39" s="39">
        <f t="shared" si="15"/>
        <v>0</v>
      </c>
      <c r="L39" s="39">
        <f t="shared" si="24"/>
        <v>0</v>
      </c>
      <c r="M39" s="150">
        <f t="shared" si="25"/>
        <v>24196</v>
      </c>
      <c r="N39" s="39">
        <f t="shared" si="26"/>
        <v>0</v>
      </c>
      <c r="O39" s="39">
        <f>N39*0.53</f>
        <v>0</v>
      </c>
      <c r="P39" s="42">
        <f t="shared" ref="P39" si="31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9"/>
        <v>0</v>
      </c>
      <c r="AD39" s="38">
        <f t="shared" si="18"/>
        <v>0</v>
      </c>
      <c r="AE39" s="38">
        <f t="shared" si="22"/>
        <v>0</v>
      </c>
    </row>
    <row r="40" spans="1:31" ht="32.25" customHeight="1" x14ac:dyDescent="0.3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4"/>
        <v>0</v>
      </c>
      <c r="K40" s="39">
        <f t="shared" si="15"/>
        <v>0</v>
      </c>
      <c r="L40" s="39">
        <f t="shared" si="24"/>
        <v>0</v>
      </c>
      <c r="M40" s="150">
        <f t="shared" si="25"/>
        <v>24196</v>
      </c>
      <c r="N40" s="39">
        <f t="shared" si="26"/>
        <v>0</v>
      </c>
      <c r="O40" s="39">
        <f>N40*0.53</f>
        <v>0</v>
      </c>
      <c r="P40" s="42">
        <f t="shared" ref="P40" si="32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9"/>
        <v>0</v>
      </c>
      <c r="AD40" s="38">
        <f t="shared" si="18"/>
        <v>0</v>
      </c>
      <c r="AE40" s="38">
        <f t="shared" si="22"/>
        <v>0</v>
      </c>
    </row>
    <row r="41" spans="1:31" ht="32.25" customHeight="1" x14ac:dyDescent="0.3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4"/>
        <v>0</v>
      </c>
      <c r="K41" s="39">
        <f t="shared" si="15"/>
        <v>0</v>
      </c>
      <c r="L41" s="39">
        <f t="shared" si="24"/>
        <v>0</v>
      </c>
      <c r="M41" s="150">
        <f t="shared" si="25"/>
        <v>24196</v>
      </c>
      <c r="N41" s="39">
        <f t="shared" si="26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9"/>
        <v>0</v>
      </c>
      <c r="AD41" s="38">
        <f t="shared" si="18"/>
        <v>0</v>
      </c>
      <c r="AE41" s="38">
        <f t="shared" si="22"/>
        <v>0</v>
      </c>
    </row>
    <row r="42" spans="1:31" ht="32.25" customHeight="1" x14ac:dyDescent="0.3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4"/>
        <v>0</v>
      </c>
      <c r="K42" s="39">
        <f t="shared" si="15"/>
        <v>0</v>
      </c>
      <c r="L42" s="39">
        <f t="shared" si="24"/>
        <v>0</v>
      </c>
      <c r="M42" s="150">
        <f t="shared" si="25"/>
        <v>24196</v>
      </c>
      <c r="N42" s="39">
        <f t="shared" si="26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9"/>
        <v>0</v>
      </c>
      <c r="AD42" s="38">
        <f t="shared" si="18"/>
        <v>0</v>
      </c>
      <c r="AE42" s="38">
        <f t="shared" si="22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18026.019999999997</v>
      </c>
      <c r="O43" s="39">
        <f>N43*0.529</f>
        <v>9535.7645799999991</v>
      </c>
      <c r="P43" s="42">
        <f>O43*8.5</f>
        <v>81053.998929999987</v>
      </c>
      <c r="Q43" s="289">
        <f>SUM(Q4:Q42)</f>
        <v>5643</v>
      </c>
      <c r="R43" s="290"/>
      <c r="S43" s="291"/>
      <c r="T43" s="292">
        <f>SUM(T4:T42)</f>
        <v>5513</v>
      </c>
      <c r="U43" s="290"/>
      <c r="V43" s="291"/>
      <c r="W43" s="292">
        <f>SUM(W4:W42)</f>
        <v>5458</v>
      </c>
      <c r="X43" s="290"/>
      <c r="Y43" s="291"/>
      <c r="Z43" s="292">
        <f>SUM(Z4:Z42)</f>
        <v>5230</v>
      </c>
      <c r="AA43" s="290"/>
      <c r="AB43" s="291"/>
      <c r="AC43" s="39">
        <f t="shared" si="19"/>
        <v>21844</v>
      </c>
    </row>
    <row r="44" spans="1:31" ht="35.25" customHeight="1" thickBot="1" x14ac:dyDescent="0.35">
      <c r="B44" s="298"/>
      <c r="C44" s="299"/>
      <c r="D44" s="299"/>
      <c r="E44" s="299"/>
      <c r="F44" s="299"/>
      <c r="G44" s="299"/>
      <c r="H44" s="299"/>
      <c r="I44" s="300"/>
      <c r="J44" s="37"/>
      <c r="K44" s="37"/>
      <c r="L44" s="37"/>
      <c r="M44" s="37"/>
      <c r="N44" s="37"/>
      <c r="O44" s="37"/>
      <c r="P44" s="37"/>
      <c r="Q44" s="301">
        <f>Q43+T43+W43+Z43</f>
        <v>21844</v>
      </c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3"/>
      <c r="AC44" s="39">
        <f>Q44+T44+W44+Z44</f>
        <v>21844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5" t="s">
        <v>85</v>
      </c>
      <c r="I47" s="286"/>
      <c r="J47" s="287"/>
      <c r="K47" s="45">
        <f>N43</f>
        <v>18026.019999999997</v>
      </c>
      <c r="L47" s="46">
        <f>O43</f>
        <v>9535.7645799999991</v>
      </c>
      <c r="M47" s="46">
        <f>P43</f>
        <v>81053.998929999987</v>
      </c>
    </row>
    <row r="48" spans="1:31" ht="54.75" customHeight="1" thickBot="1" x14ac:dyDescent="0.35">
      <c r="H48" s="285" t="s">
        <v>86</v>
      </c>
      <c r="I48" s="286"/>
      <c r="J48" s="287"/>
      <c r="K48" s="43">
        <f>AC44</f>
        <v>21844</v>
      </c>
      <c r="L48" s="44">
        <f>K48*0.529</f>
        <v>11555.476000000001</v>
      </c>
      <c r="M48" s="44">
        <f>L48*8.5</f>
        <v>98221.546000000002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4"/>
      <c r="B1" s="276"/>
      <c r="C1" s="304" t="s">
        <v>87</v>
      </c>
      <c r="D1" s="305"/>
      <c r="E1" s="305"/>
      <c r="F1" s="305"/>
      <c r="G1" s="305"/>
      <c r="H1" s="310" t="s">
        <v>88</v>
      </c>
      <c r="I1" s="311"/>
      <c r="J1" s="312"/>
    </row>
    <row r="2" spans="1:10" ht="16.5" customHeight="1" thickBot="1" x14ac:dyDescent="0.25">
      <c r="A2" s="277"/>
      <c r="B2" s="279"/>
      <c r="C2" s="306"/>
      <c r="D2" s="307"/>
      <c r="E2" s="307"/>
      <c r="F2" s="307"/>
      <c r="G2" s="307"/>
      <c r="H2" s="313"/>
      <c r="I2" s="314"/>
      <c r="J2" s="315"/>
    </row>
    <row r="3" spans="1:10" ht="15" customHeight="1" x14ac:dyDescent="0.2">
      <c r="A3" s="277"/>
      <c r="B3" s="279"/>
      <c r="C3" s="306"/>
      <c r="D3" s="307"/>
      <c r="E3" s="307"/>
      <c r="F3" s="307"/>
      <c r="G3" s="307"/>
      <c r="H3" s="316" t="s">
        <v>89</v>
      </c>
      <c r="I3" s="317"/>
      <c r="J3" s="318"/>
    </row>
    <row r="4" spans="1:10" ht="15.75" customHeight="1" thickBot="1" x14ac:dyDescent="0.25">
      <c r="A4" s="280"/>
      <c r="B4" s="282"/>
      <c r="C4" s="308"/>
      <c r="D4" s="309"/>
      <c r="E4" s="309"/>
      <c r="F4" s="309"/>
      <c r="G4" s="309"/>
      <c r="H4" s="319"/>
      <c r="I4" s="320"/>
      <c r="J4" s="321"/>
    </row>
    <row r="6" spans="1:10" ht="33" customHeight="1" thickBot="1" x14ac:dyDescent="0.25"/>
    <row r="7" spans="1:10" ht="36.75" thickTop="1" x14ac:dyDescent="0.2">
      <c r="A7" s="322" t="s">
        <v>90</v>
      </c>
      <c r="B7" s="322"/>
      <c r="C7" s="323" t="s">
        <v>91</v>
      </c>
      <c r="D7" s="324"/>
      <c r="E7" s="61" t="s">
        <v>92</v>
      </c>
      <c r="F7" s="61" t="s">
        <v>93</v>
      </c>
      <c r="G7" s="61" t="s">
        <v>94</v>
      </c>
      <c r="H7" s="61" t="s">
        <v>95</v>
      </c>
      <c r="I7" s="325" t="s">
        <v>96</v>
      </c>
      <c r="J7" s="326"/>
    </row>
    <row r="8" spans="1:10" x14ac:dyDescent="0.2">
      <c r="A8" s="327">
        <v>95670781</v>
      </c>
      <c r="B8" s="327"/>
      <c r="C8" s="328">
        <v>44283</v>
      </c>
      <c r="D8" s="329"/>
      <c r="E8" s="113">
        <v>44314</v>
      </c>
      <c r="F8" s="169" t="s">
        <v>97</v>
      </c>
      <c r="G8" s="62"/>
      <c r="H8" s="62"/>
      <c r="I8" s="330"/>
      <c r="J8" s="331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33" t="s">
        <v>99</v>
      </c>
      <c r="D11" s="334"/>
      <c r="E11" s="332" t="s">
        <v>100</v>
      </c>
      <c r="F11" s="332"/>
      <c r="G11" s="333" t="s">
        <v>101</v>
      </c>
      <c r="H11" s="334"/>
      <c r="I11" s="335" t="s">
        <v>102</v>
      </c>
      <c r="J11" s="335"/>
    </row>
    <row r="12" spans="1:10" x14ac:dyDescent="0.2">
      <c r="A12" s="327" t="s">
        <v>103</v>
      </c>
      <c r="B12" s="327"/>
      <c r="C12" s="327">
        <v>3750</v>
      </c>
      <c r="D12" s="327"/>
      <c r="E12" s="327">
        <v>1000</v>
      </c>
      <c r="F12" s="327"/>
      <c r="G12" s="339">
        <v>712</v>
      </c>
      <c r="H12" s="339"/>
      <c r="I12" s="340"/>
      <c r="J12" s="340"/>
    </row>
    <row r="13" spans="1:10" x14ac:dyDescent="0.2">
      <c r="A13" s="341"/>
      <c r="B13" s="342"/>
      <c r="C13" s="342"/>
      <c r="D13" s="342"/>
      <c r="E13" s="342"/>
      <c r="F13" s="342"/>
      <c r="G13" s="342"/>
      <c r="H13" s="342"/>
      <c r="I13" s="342"/>
      <c r="J13" s="34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43" t="s">
        <v>110</v>
      </c>
      <c r="B17" s="344"/>
      <c r="C17" s="66">
        <v>17686099</v>
      </c>
      <c r="D17" s="66">
        <v>17537869</v>
      </c>
      <c r="E17" s="67">
        <f>MIN(C17-D17)</f>
        <v>148230</v>
      </c>
      <c r="F17" s="67">
        <f>+E17</f>
        <v>148230</v>
      </c>
      <c r="G17" s="345"/>
      <c r="H17" s="346"/>
      <c r="I17" s="345">
        <f>+E17</f>
        <v>148230</v>
      </c>
      <c r="J17" s="346"/>
    </row>
    <row r="18" spans="1:10" x14ac:dyDescent="0.2">
      <c r="A18" s="343" t="s">
        <v>111</v>
      </c>
      <c r="B18" s="344"/>
      <c r="C18" s="66">
        <v>10521778</v>
      </c>
      <c r="D18" s="66">
        <v>10446238</v>
      </c>
      <c r="E18" s="67">
        <f>MIN(C18-D18)</f>
        <v>75540</v>
      </c>
      <c r="F18" s="67">
        <f>+E18</f>
        <v>75540</v>
      </c>
      <c r="G18" s="345"/>
      <c r="H18" s="346"/>
      <c r="I18" s="345">
        <f>+E18</f>
        <v>75540</v>
      </c>
      <c r="J18" s="346"/>
    </row>
    <row r="19" spans="1:10" x14ac:dyDescent="0.2">
      <c r="A19" s="343" t="s">
        <v>112</v>
      </c>
      <c r="B19" s="344"/>
      <c r="C19" s="66">
        <v>7832353</v>
      </c>
      <c r="D19" s="66">
        <v>7773559</v>
      </c>
      <c r="E19" s="67">
        <f>AVERAGE(C19-D19)</f>
        <v>58794</v>
      </c>
      <c r="F19" s="67">
        <f>+E19</f>
        <v>58794</v>
      </c>
      <c r="G19" s="345"/>
      <c r="H19" s="346"/>
      <c r="I19" s="345">
        <f>+E19</f>
        <v>58794</v>
      </c>
      <c r="J19" s="346"/>
    </row>
    <row r="20" spans="1:10" ht="15" x14ac:dyDescent="0.25">
      <c r="A20" s="347" t="s">
        <v>113</v>
      </c>
      <c r="B20" s="348"/>
      <c r="C20" s="68"/>
      <c r="D20" s="69"/>
      <c r="E20" s="68">
        <f>SUM(E17:E19)</f>
        <v>282564</v>
      </c>
      <c r="F20" s="70"/>
      <c r="G20" s="349"/>
      <c r="H20" s="350"/>
      <c r="I20" s="349"/>
      <c r="J20" s="350"/>
    </row>
    <row r="21" spans="1:10" x14ac:dyDescent="0.2">
      <c r="C21" s="110" t="s">
        <v>18</v>
      </c>
      <c r="D21" t="s">
        <v>114</v>
      </c>
      <c r="G21" s="351"/>
      <c r="H21" s="351"/>
    </row>
    <row r="22" spans="1:10" ht="13.5" thickBot="1" x14ac:dyDescent="0.25">
      <c r="G22" s="352"/>
      <c r="H22" s="352"/>
    </row>
    <row r="23" spans="1:10" ht="13.5" thickTop="1" x14ac:dyDescent="0.2">
      <c r="A23" s="353" t="s">
        <v>115</v>
      </c>
      <c r="B23" s="354"/>
      <c r="C23" s="355"/>
      <c r="D23" s="332" t="s">
        <v>116</v>
      </c>
      <c r="E23" s="332" t="s">
        <v>117</v>
      </c>
      <c r="F23" s="360" t="s">
        <v>118</v>
      </c>
      <c r="G23" s="362" t="s">
        <v>119</v>
      </c>
      <c r="H23" s="362"/>
      <c r="I23" s="363" t="s">
        <v>120</v>
      </c>
      <c r="J23" s="363"/>
    </row>
    <row r="24" spans="1:10" x14ac:dyDescent="0.2">
      <c r="A24" s="356"/>
      <c r="B24" s="357"/>
      <c r="C24" s="358"/>
      <c r="D24" s="359"/>
      <c r="E24" s="359"/>
      <c r="F24" s="361"/>
      <c r="G24" s="168" t="s">
        <v>121</v>
      </c>
      <c r="H24" s="71" t="s">
        <v>122</v>
      </c>
      <c r="I24" s="363"/>
      <c r="J24" s="363"/>
    </row>
    <row r="25" spans="1:10" ht="15" x14ac:dyDescent="0.25">
      <c r="A25" s="364" t="s">
        <v>123</v>
      </c>
      <c r="B25" s="365"/>
      <c r="C25" s="366"/>
      <c r="D25" s="67">
        <f>+E17</f>
        <v>148230</v>
      </c>
      <c r="E25" s="72">
        <v>0.95140000000000002</v>
      </c>
      <c r="F25" s="73">
        <f>PRODUCT(D25*E25)</f>
        <v>141026.022</v>
      </c>
      <c r="G25" s="152">
        <v>14</v>
      </c>
      <c r="H25" s="65">
        <f>PRODUCT(0.14,F25)</f>
        <v>19743.643080000002</v>
      </c>
      <c r="I25" s="367">
        <f>SUM(H25,F25)</f>
        <v>160769.66508000001</v>
      </c>
      <c r="J25" s="368"/>
    </row>
    <row r="26" spans="1:10" ht="15" x14ac:dyDescent="0.25">
      <c r="A26" s="369" t="s">
        <v>124</v>
      </c>
      <c r="B26" s="370"/>
      <c r="C26" s="371"/>
      <c r="D26" s="67">
        <f>+E18</f>
        <v>75540</v>
      </c>
      <c r="E26" s="74">
        <v>0.69850000000000001</v>
      </c>
      <c r="F26" s="73">
        <f>PRODUCT(D26*E26)</f>
        <v>52764.69</v>
      </c>
      <c r="G26">
        <v>14</v>
      </c>
      <c r="H26" s="67">
        <f>PRODUCT(0.14,F26)</f>
        <v>7387.0566000000008</v>
      </c>
      <c r="I26" s="367">
        <f t="shared" ref="I26:I31" si="0">SUM(H26,F26)</f>
        <v>60151.746600000006</v>
      </c>
      <c r="J26" s="368"/>
    </row>
    <row r="27" spans="1:10" ht="15" x14ac:dyDescent="0.25">
      <c r="A27" s="369" t="s">
        <v>125</v>
      </c>
      <c r="B27" s="370"/>
      <c r="C27" s="371"/>
      <c r="D27" s="67">
        <f>+E19</f>
        <v>58794</v>
      </c>
      <c r="E27" s="74">
        <v>1.3304</v>
      </c>
      <c r="F27" s="73">
        <f>PRODUCT(D27*E27)</f>
        <v>78219.537599999996</v>
      </c>
      <c r="G27">
        <v>14</v>
      </c>
      <c r="H27" s="67">
        <f>PRODUCT(0.14,F27)</f>
        <v>10950.735264000001</v>
      </c>
      <c r="I27" s="367">
        <f>SUM(H27,F27)</f>
        <v>89170.272863999999</v>
      </c>
      <c r="J27" s="368"/>
    </row>
    <row r="28" spans="1:10" ht="15" x14ac:dyDescent="0.25">
      <c r="A28" s="369" t="s">
        <v>126</v>
      </c>
      <c r="B28" s="370"/>
      <c r="C28" s="37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7">
        <f t="shared" si="0"/>
        <v>50025.103799999997</v>
      </c>
      <c r="J28" s="368"/>
    </row>
    <row r="29" spans="1:10" ht="15" x14ac:dyDescent="0.25">
      <c r="A29" s="380" t="s">
        <v>127</v>
      </c>
      <c r="B29" s="381"/>
      <c r="C29" s="382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3">
        <f t="shared" si="0"/>
        <v>0</v>
      </c>
      <c r="J29" s="384"/>
    </row>
    <row r="30" spans="1:10" ht="15" x14ac:dyDescent="0.25">
      <c r="A30" s="369" t="s">
        <v>128</v>
      </c>
      <c r="B30" s="370"/>
      <c r="C30" s="37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7">
        <f>SUM(H30,F30)</f>
        <v>1009.2</v>
      </c>
      <c r="J30" s="368"/>
    </row>
    <row r="31" spans="1:10" ht="15.75" thickBot="1" x14ac:dyDescent="0.3">
      <c r="A31" s="372" t="s">
        <v>129</v>
      </c>
      <c r="B31" s="373"/>
      <c r="C31" s="374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7">
        <f t="shared" si="0"/>
        <v>1596.44</v>
      </c>
      <c r="J31" s="368"/>
    </row>
    <row r="32" spans="1:10" ht="21" x14ac:dyDescent="0.2">
      <c r="A32" s="375" t="s">
        <v>130</v>
      </c>
      <c r="B32" s="376"/>
      <c r="C32" s="376"/>
      <c r="D32" s="376"/>
      <c r="E32" s="376"/>
      <c r="F32" s="84">
        <f>SUM(F25:F31)</f>
        <v>318224.91959999996</v>
      </c>
      <c r="G32" s="85"/>
      <c r="H32" s="86"/>
      <c r="I32" s="379">
        <f>SUM(I25:J31)</f>
        <v>362722.42834400001</v>
      </c>
      <c r="J32" s="379"/>
    </row>
    <row r="33" spans="1:10" ht="21.75" thickBot="1" x14ac:dyDescent="0.25">
      <c r="A33" s="377"/>
      <c r="B33" s="378"/>
      <c r="C33" s="378"/>
      <c r="D33" s="378"/>
      <c r="E33" s="378"/>
      <c r="F33" s="87"/>
      <c r="G33" s="88"/>
      <c r="H33" s="89"/>
      <c r="I33" s="379"/>
      <c r="J33" s="37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4"/>
      <c r="B1" s="276"/>
      <c r="C1" s="304" t="s">
        <v>87</v>
      </c>
      <c r="D1" s="305"/>
      <c r="E1" s="305"/>
      <c r="F1" s="305"/>
      <c r="G1" s="305"/>
      <c r="H1" s="310" t="s">
        <v>88</v>
      </c>
      <c r="I1" s="311"/>
      <c r="J1" s="312"/>
    </row>
    <row r="2" spans="1:10" ht="16.5" customHeight="1" thickBot="1" x14ac:dyDescent="0.25">
      <c r="A2" s="277"/>
      <c r="B2" s="279"/>
      <c r="C2" s="306"/>
      <c r="D2" s="307"/>
      <c r="E2" s="307"/>
      <c r="F2" s="307"/>
      <c r="G2" s="307"/>
      <c r="H2" s="313"/>
      <c r="I2" s="314"/>
      <c r="J2" s="315"/>
    </row>
    <row r="3" spans="1:10" ht="15" customHeight="1" x14ac:dyDescent="0.2">
      <c r="A3" s="277"/>
      <c r="B3" s="279"/>
      <c r="C3" s="306"/>
      <c r="D3" s="307"/>
      <c r="E3" s="307"/>
      <c r="F3" s="307"/>
      <c r="G3" s="307"/>
      <c r="H3" s="316" t="s">
        <v>89</v>
      </c>
      <c r="I3" s="317"/>
      <c r="J3" s="318"/>
    </row>
    <row r="4" spans="1:10" ht="15.75" customHeight="1" thickBot="1" x14ac:dyDescent="0.25">
      <c r="A4" s="280"/>
      <c r="B4" s="282"/>
      <c r="C4" s="308"/>
      <c r="D4" s="309"/>
      <c r="E4" s="309"/>
      <c r="F4" s="309"/>
      <c r="G4" s="309"/>
      <c r="H4" s="319"/>
      <c r="I4" s="320"/>
      <c r="J4" s="321"/>
    </row>
    <row r="6" spans="1:10" ht="33" customHeight="1" thickBot="1" x14ac:dyDescent="0.25"/>
    <row r="7" spans="1:10" ht="36.75" thickTop="1" x14ac:dyDescent="0.2">
      <c r="A7" s="322" t="s">
        <v>90</v>
      </c>
      <c r="B7" s="322"/>
      <c r="C7" s="323" t="s">
        <v>91</v>
      </c>
      <c r="D7" s="324"/>
      <c r="E7" s="61" t="s">
        <v>92</v>
      </c>
      <c r="F7" s="61" t="s">
        <v>93</v>
      </c>
      <c r="G7" s="61" t="s">
        <v>94</v>
      </c>
      <c r="H7" s="61" t="s">
        <v>95</v>
      </c>
      <c r="I7" s="325" t="s">
        <v>96</v>
      </c>
      <c r="J7" s="326"/>
    </row>
    <row r="8" spans="1:10" x14ac:dyDescent="0.2">
      <c r="A8" s="327">
        <v>95670781</v>
      </c>
      <c r="B8" s="327"/>
      <c r="C8" s="328" t="s">
        <v>131</v>
      </c>
      <c r="D8" s="329"/>
      <c r="E8" s="113" t="s">
        <v>132</v>
      </c>
      <c r="F8" s="169" t="s">
        <v>97</v>
      </c>
      <c r="G8" s="62"/>
      <c r="H8" s="62"/>
      <c r="I8" s="330"/>
      <c r="J8" s="331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33" t="s">
        <v>99</v>
      </c>
      <c r="D11" s="334"/>
      <c r="E11" s="332" t="s">
        <v>100</v>
      </c>
      <c r="F11" s="332"/>
      <c r="G11" s="333" t="s">
        <v>101</v>
      </c>
      <c r="H11" s="334"/>
      <c r="I11" s="335" t="s">
        <v>102</v>
      </c>
      <c r="J11" s="335"/>
    </row>
    <row r="12" spans="1:10" x14ac:dyDescent="0.2">
      <c r="A12" s="327" t="s">
        <v>103</v>
      </c>
      <c r="B12" s="327"/>
      <c r="C12" s="327">
        <v>3750</v>
      </c>
      <c r="D12" s="327"/>
      <c r="E12" s="327">
        <v>1000</v>
      </c>
      <c r="F12" s="327"/>
      <c r="G12" s="339">
        <v>1070</v>
      </c>
      <c r="H12" s="339"/>
      <c r="I12" s="340"/>
      <c r="J12" s="340"/>
    </row>
    <row r="13" spans="1:10" x14ac:dyDescent="0.2">
      <c r="A13" s="341"/>
      <c r="B13" s="342"/>
      <c r="C13" s="342"/>
      <c r="D13" s="342"/>
      <c r="E13" s="342"/>
      <c r="F13" s="342"/>
      <c r="G13" s="342"/>
      <c r="H13" s="342"/>
      <c r="I13" s="342"/>
      <c r="J13" s="34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43" t="s">
        <v>110</v>
      </c>
      <c r="B17" s="344"/>
      <c r="C17" s="66">
        <v>17694455</v>
      </c>
      <c r="D17" s="66">
        <v>17690180</v>
      </c>
      <c r="E17" s="67">
        <f>MIN(C17-D17)</f>
        <v>4275</v>
      </c>
      <c r="F17" s="67">
        <f>+E17</f>
        <v>4275</v>
      </c>
      <c r="G17" s="345"/>
      <c r="H17" s="346"/>
      <c r="I17" s="345">
        <f>+E17</f>
        <v>4275</v>
      </c>
      <c r="J17" s="346"/>
    </row>
    <row r="18" spans="1:10" x14ac:dyDescent="0.2">
      <c r="A18" s="343" t="s">
        <v>111</v>
      </c>
      <c r="B18" s="344"/>
      <c r="C18" s="66">
        <v>10527872</v>
      </c>
      <c r="D18" s="66">
        <v>10525288</v>
      </c>
      <c r="E18" s="67">
        <f>MIN(C18-D18)</f>
        <v>2584</v>
      </c>
      <c r="F18" s="67">
        <f>+E18</f>
        <v>2584</v>
      </c>
      <c r="G18" s="345"/>
      <c r="H18" s="346"/>
      <c r="I18" s="345">
        <f>+E18</f>
        <v>2584</v>
      </c>
      <c r="J18" s="346"/>
    </row>
    <row r="19" spans="1:10" x14ac:dyDescent="0.2">
      <c r="A19" s="343" t="s">
        <v>112</v>
      </c>
      <c r="B19" s="344"/>
      <c r="C19" s="66">
        <v>7835881</v>
      </c>
      <c r="D19" s="66">
        <v>7834042</v>
      </c>
      <c r="E19" s="67">
        <f>AVERAGE(C19-D19)</f>
        <v>1839</v>
      </c>
      <c r="F19" s="67">
        <f>+E19</f>
        <v>1839</v>
      </c>
      <c r="G19" s="345"/>
      <c r="H19" s="346"/>
      <c r="I19" s="345">
        <f>+E19</f>
        <v>1839</v>
      </c>
      <c r="J19" s="346"/>
    </row>
    <row r="20" spans="1:10" ht="15" x14ac:dyDescent="0.25">
      <c r="A20" s="347" t="s">
        <v>113</v>
      </c>
      <c r="B20" s="348"/>
      <c r="C20" s="68"/>
      <c r="D20" s="69"/>
      <c r="E20" s="68">
        <f>SUM(E17:E19)</f>
        <v>8698</v>
      </c>
      <c r="F20" s="70"/>
      <c r="G20" s="349"/>
      <c r="H20" s="350"/>
      <c r="I20" s="349"/>
      <c r="J20" s="350"/>
    </row>
    <row r="21" spans="1:10" x14ac:dyDescent="0.2">
      <c r="C21" s="110" t="s">
        <v>18</v>
      </c>
      <c r="D21" t="s">
        <v>114</v>
      </c>
      <c r="G21" s="351"/>
      <c r="H21" s="351"/>
    </row>
    <row r="22" spans="1:10" ht="13.5" thickBot="1" x14ac:dyDescent="0.25">
      <c r="G22" s="352"/>
      <c r="H22" s="352"/>
    </row>
    <row r="23" spans="1:10" ht="13.5" thickTop="1" x14ac:dyDescent="0.2">
      <c r="A23" s="353" t="s">
        <v>115</v>
      </c>
      <c r="B23" s="354"/>
      <c r="C23" s="355"/>
      <c r="D23" s="332" t="s">
        <v>116</v>
      </c>
      <c r="E23" s="332" t="s">
        <v>117</v>
      </c>
      <c r="F23" s="360" t="s">
        <v>118</v>
      </c>
      <c r="G23" s="362" t="s">
        <v>119</v>
      </c>
      <c r="H23" s="362"/>
      <c r="I23" s="363" t="s">
        <v>120</v>
      </c>
      <c r="J23" s="363"/>
    </row>
    <row r="24" spans="1:10" x14ac:dyDescent="0.2">
      <c r="A24" s="356"/>
      <c r="B24" s="357"/>
      <c r="C24" s="358"/>
      <c r="D24" s="359"/>
      <c r="E24" s="359"/>
      <c r="F24" s="361"/>
      <c r="G24" s="168" t="s">
        <v>121</v>
      </c>
      <c r="H24" s="71" t="s">
        <v>122</v>
      </c>
      <c r="I24" s="363"/>
      <c r="J24" s="363"/>
    </row>
    <row r="25" spans="1:10" ht="15" x14ac:dyDescent="0.25">
      <c r="A25" s="364" t="s">
        <v>123</v>
      </c>
      <c r="B25" s="365"/>
      <c r="C25" s="366"/>
      <c r="D25" s="67">
        <f>+E17</f>
        <v>4275</v>
      </c>
      <c r="E25" s="72">
        <v>0.95140000000000002</v>
      </c>
      <c r="F25" s="73">
        <f>PRODUCT(D25*E25)</f>
        <v>4067.2350000000001</v>
      </c>
      <c r="G25" s="152">
        <v>14</v>
      </c>
      <c r="H25" s="65">
        <f>PRODUCT(0.14,F25)</f>
        <v>569.41290000000004</v>
      </c>
      <c r="I25" s="367">
        <f>SUM(H25,F25)</f>
        <v>4636.6478999999999</v>
      </c>
      <c r="J25" s="368"/>
    </row>
    <row r="26" spans="1:10" ht="15" x14ac:dyDescent="0.25">
      <c r="A26" s="369" t="s">
        <v>124</v>
      </c>
      <c r="B26" s="370"/>
      <c r="C26" s="371"/>
      <c r="D26" s="67">
        <f>+E18</f>
        <v>2584</v>
      </c>
      <c r="E26" s="74">
        <v>0.69850000000000001</v>
      </c>
      <c r="F26" s="73">
        <f>PRODUCT(D26*E26)</f>
        <v>1804.924</v>
      </c>
      <c r="G26">
        <v>14</v>
      </c>
      <c r="H26" s="67">
        <f>PRODUCT(0.14,F26)</f>
        <v>252.68936000000002</v>
      </c>
      <c r="I26" s="367">
        <f t="shared" ref="I26:I31" si="0">SUM(H26,F26)</f>
        <v>2057.6133599999998</v>
      </c>
      <c r="J26" s="368"/>
    </row>
    <row r="27" spans="1:10" ht="15" x14ac:dyDescent="0.25">
      <c r="A27" s="369" t="s">
        <v>125</v>
      </c>
      <c r="B27" s="370"/>
      <c r="C27" s="371"/>
      <c r="D27" s="67">
        <f>+E19</f>
        <v>1839</v>
      </c>
      <c r="E27" s="74">
        <v>1.3304</v>
      </c>
      <c r="F27" s="73">
        <f>PRODUCT(D27*E27)</f>
        <v>2446.6055999999999</v>
      </c>
      <c r="G27">
        <v>14</v>
      </c>
      <c r="H27" s="67">
        <f>PRODUCT(0.14,F27)</f>
        <v>342.52478400000001</v>
      </c>
      <c r="I27" s="367">
        <f>SUM(H27,F27)</f>
        <v>2789.130384</v>
      </c>
      <c r="J27" s="368"/>
    </row>
    <row r="28" spans="1:10" ht="15" x14ac:dyDescent="0.25">
      <c r="A28" s="369" t="s">
        <v>126</v>
      </c>
      <c r="B28" s="370"/>
      <c r="C28" s="37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7">
        <f t="shared" si="0"/>
        <v>50025.103799999997</v>
      </c>
      <c r="J28" s="368"/>
    </row>
    <row r="29" spans="1:10" ht="15" x14ac:dyDescent="0.25">
      <c r="A29" s="380" t="s">
        <v>127</v>
      </c>
      <c r="B29" s="381"/>
      <c r="C29" s="382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83">
        <f t="shared" si="0"/>
        <v>3908.0047020000002</v>
      </c>
      <c r="J29" s="384"/>
    </row>
    <row r="30" spans="1:10" ht="15" x14ac:dyDescent="0.25">
      <c r="A30" s="369" t="s">
        <v>128</v>
      </c>
      <c r="B30" s="370"/>
      <c r="C30" s="37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7">
        <f>SUM(H30,F30)</f>
        <v>1009.2</v>
      </c>
      <c r="J30" s="368"/>
    </row>
    <row r="31" spans="1:10" ht="15.75" thickBot="1" x14ac:dyDescent="0.3">
      <c r="A31" s="372" t="s">
        <v>129</v>
      </c>
      <c r="B31" s="373"/>
      <c r="C31" s="374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7">
        <f t="shared" si="0"/>
        <v>1596.44</v>
      </c>
      <c r="J31" s="368"/>
    </row>
    <row r="32" spans="1:10" ht="21" x14ac:dyDescent="0.2">
      <c r="A32" s="375" t="s">
        <v>130</v>
      </c>
      <c r="B32" s="376"/>
      <c r="C32" s="376"/>
      <c r="D32" s="376"/>
      <c r="E32" s="376"/>
      <c r="F32" s="84">
        <f>SUM(F25:F31)</f>
        <v>57961.508899999993</v>
      </c>
      <c r="G32" s="85"/>
      <c r="H32" s="86"/>
      <c r="I32" s="379">
        <f>SUM(I25:J31)</f>
        <v>66022.140145999991</v>
      </c>
      <c r="J32" s="379"/>
    </row>
    <row r="33" spans="1:10" ht="21.75" thickBot="1" x14ac:dyDescent="0.25">
      <c r="A33" s="377"/>
      <c r="B33" s="378"/>
      <c r="C33" s="378"/>
      <c r="D33" s="378"/>
      <c r="E33" s="378"/>
      <c r="F33" s="87"/>
      <c r="G33" s="88"/>
      <c r="H33" s="89"/>
      <c r="I33" s="379"/>
      <c r="J33" s="379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133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0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139</v>
      </c>
      <c r="E10" s="399"/>
      <c r="F10" s="397" t="s">
        <v>140</v>
      </c>
      <c r="G10" s="400"/>
      <c r="H10" s="398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401">
        <f>G8</f>
        <v>2406.3000000000029</v>
      </c>
      <c r="C13" s="401"/>
      <c r="D13" s="401">
        <v>8.7899999999999991</v>
      </c>
      <c r="E13" s="401"/>
      <c r="F13" s="403">
        <f>PRODUCT(D13,B13)</f>
        <v>21151.377000000022</v>
      </c>
      <c r="G13" s="403"/>
      <c r="H13" s="403"/>
    </row>
    <row r="14" spans="1:8" ht="45" customHeight="1" x14ac:dyDescent="0.2">
      <c r="A14" s="404" t="s">
        <v>144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148</v>
      </c>
      <c r="B19" s="401">
        <f>G8</f>
        <v>2406.3000000000029</v>
      </c>
      <c r="C19" s="401"/>
      <c r="D19" s="401">
        <v>2.61</v>
      </c>
      <c r="E19" s="401"/>
      <c r="F19" s="401">
        <f>PRODUCT(D19,B19)</f>
        <v>6280.4430000000075</v>
      </c>
      <c r="G19" s="401"/>
      <c r="H19" s="401"/>
    </row>
    <row r="20" spans="1:8" ht="18.75" x14ac:dyDescent="0.3">
      <c r="A20" s="417" t="s">
        <v>149</v>
      </c>
      <c r="B20" s="418"/>
      <c r="C20" s="418"/>
      <c r="D20" s="418"/>
      <c r="E20" s="419"/>
      <c r="F20" s="420">
        <f>SUM(F11+F13+F16+F17+F18+F19)</f>
        <v>27454.820000000029</v>
      </c>
      <c r="G20" s="420"/>
      <c r="H20" s="420"/>
    </row>
    <row r="21" spans="1:8" ht="15" x14ac:dyDescent="0.25">
      <c r="A21" s="406" t="s">
        <v>150</v>
      </c>
      <c r="B21" s="407"/>
      <c r="C21" s="407"/>
      <c r="D21" s="407"/>
      <c r="E21" s="408"/>
      <c r="F21" s="401">
        <f>PRODUCT(F20,0.07)</f>
        <v>1921.8374000000022</v>
      </c>
      <c r="G21" s="401"/>
      <c r="H21" s="401"/>
    </row>
    <row r="22" spans="1:8" ht="15" x14ac:dyDescent="0.25">
      <c r="A22" s="421" t="s">
        <v>151</v>
      </c>
      <c r="B22" s="422"/>
      <c r="C22" s="422"/>
      <c r="D22" s="422"/>
      <c r="E22" s="423"/>
      <c r="F22" s="401">
        <v>208.26</v>
      </c>
      <c r="G22" s="401"/>
      <c r="H22" s="401"/>
    </row>
    <row r="23" spans="1:8" ht="15.75" x14ac:dyDescent="0.25">
      <c r="A23" s="406" t="s">
        <v>152</v>
      </c>
      <c r="B23" s="407"/>
      <c r="C23" s="407"/>
      <c r="D23" s="407"/>
      <c r="E23" s="408"/>
      <c r="F23" s="409">
        <f>SUM(F21:H22)</f>
        <v>2130.0974000000024</v>
      </c>
      <c r="G23" s="409"/>
      <c r="H23" s="409"/>
    </row>
    <row r="24" spans="1:8" x14ac:dyDescent="0.2">
      <c r="A24" s="410" t="s">
        <v>153</v>
      </c>
      <c r="B24" s="411"/>
      <c r="C24" s="411"/>
      <c r="D24" s="411"/>
      <c r="E24" s="412"/>
      <c r="F24" s="416">
        <f>SUM(F20,F23)</f>
        <v>29584.917400000031</v>
      </c>
      <c r="G24" s="416"/>
      <c r="H24" s="416"/>
    </row>
    <row r="25" spans="1:8" x14ac:dyDescent="0.2">
      <c r="A25" s="413"/>
      <c r="B25" s="414"/>
      <c r="C25" s="414"/>
      <c r="D25" s="414"/>
      <c r="E25" s="415"/>
      <c r="F25" s="416"/>
      <c r="G25" s="416"/>
      <c r="H25" s="416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8" sqref="F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133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0"/>
      <c r="B8" s="95" t="s">
        <v>138</v>
      </c>
      <c r="C8" s="96">
        <v>108374.39999999999</v>
      </c>
      <c r="D8" s="97">
        <v>44315</v>
      </c>
      <c r="E8" s="96">
        <v>108437.4</v>
      </c>
      <c r="F8" s="97">
        <v>44316</v>
      </c>
      <c r="G8" s="98">
        <f>E8-C8</f>
        <v>63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139</v>
      </c>
      <c r="E10" s="399"/>
      <c r="F10" s="397" t="s">
        <v>140</v>
      </c>
      <c r="G10" s="400"/>
      <c r="H10" s="398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401">
        <f>G8</f>
        <v>63</v>
      </c>
      <c r="C13" s="401"/>
      <c r="D13" s="401">
        <v>8.5</v>
      </c>
      <c r="E13" s="401"/>
      <c r="F13" s="403">
        <f>PRODUCT(D13,B13)</f>
        <v>535.5</v>
      </c>
      <c r="G13" s="403"/>
      <c r="H13" s="403"/>
    </row>
    <row r="14" spans="1:8" ht="45" customHeight="1" x14ac:dyDescent="0.2">
      <c r="A14" s="404" t="s">
        <v>144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148</v>
      </c>
      <c r="B19" s="401">
        <v>0</v>
      </c>
      <c r="C19" s="401"/>
      <c r="D19" s="424">
        <v>0</v>
      </c>
      <c r="E19" s="425"/>
      <c r="F19" s="424">
        <v>0</v>
      </c>
      <c r="G19" s="425"/>
      <c r="H19" s="170"/>
    </row>
    <row r="20" spans="1:8" ht="15" x14ac:dyDescent="0.25">
      <c r="A20" s="103" t="s">
        <v>154</v>
      </c>
      <c r="B20" s="401">
        <f>G8</f>
        <v>63</v>
      </c>
      <c r="C20" s="401"/>
      <c r="D20" s="401">
        <v>2.54</v>
      </c>
      <c r="E20" s="401"/>
      <c r="F20" s="401">
        <f>PRODUCT(D20,B20)</f>
        <v>160.02000000000001</v>
      </c>
      <c r="G20" s="401"/>
      <c r="H20" s="401"/>
    </row>
    <row r="21" spans="1:8" ht="18.75" x14ac:dyDescent="0.3">
      <c r="A21" s="417" t="s">
        <v>149</v>
      </c>
      <c r="B21" s="418"/>
      <c r="C21" s="418"/>
      <c r="D21" s="418"/>
      <c r="E21" s="419"/>
      <c r="F21" s="420">
        <f>SUM(F11+F13+F16+F17+F18+F20)</f>
        <v>718.52</v>
      </c>
      <c r="G21" s="420"/>
      <c r="H21" s="420"/>
    </row>
    <row r="22" spans="1:8" ht="15" x14ac:dyDescent="0.25">
      <c r="A22" s="406" t="s">
        <v>150</v>
      </c>
      <c r="B22" s="407"/>
      <c r="C22" s="407"/>
      <c r="D22" s="407"/>
      <c r="E22" s="408"/>
      <c r="F22" s="401">
        <f>PRODUCT(F21,0.07)</f>
        <v>50.296400000000006</v>
      </c>
      <c r="G22" s="401"/>
      <c r="H22" s="401"/>
    </row>
    <row r="23" spans="1:8" ht="15" x14ac:dyDescent="0.25">
      <c r="A23" s="421" t="s">
        <v>151</v>
      </c>
      <c r="B23" s="422"/>
      <c r="C23" s="422"/>
      <c r="D23" s="422"/>
      <c r="E23" s="423"/>
      <c r="F23" s="401">
        <v>208.26</v>
      </c>
      <c r="G23" s="401"/>
      <c r="H23" s="401"/>
    </row>
    <row r="24" spans="1:8" ht="15.75" x14ac:dyDescent="0.25">
      <c r="A24" s="406" t="s">
        <v>152</v>
      </c>
      <c r="B24" s="407"/>
      <c r="C24" s="407"/>
      <c r="D24" s="407"/>
      <c r="E24" s="408"/>
      <c r="F24" s="409">
        <f>SUM(F22:H23)</f>
        <v>258.5564</v>
      </c>
      <c r="G24" s="409"/>
      <c r="H24" s="409"/>
    </row>
    <row r="25" spans="1:8" x14ac:dyDescent="0.2">
      <c r="A25" s="410" t="s">
        <v>153</v>
      </c>
      <c r="B25" s="411"/>
      <c r="C25" s="411"/>
      <c r="D25" s="411"/>
      <c r="E25" s="412"/>
      <c r="F25" s="416">
        <f>SUM(F21,F24)</f>
        <v>977.07639999999992</v>
      </c>
      <c r="G25" s="416"/>
      <c r="H25" s="416"/>
    </row>
    <row r="26" spans="1:8" x14ac:dyDescent="0.2">
      <c r="A26" s="413"/>
      <c r="B26" s="414"/>
      <c r="C26" s="414"/>
      <c r="D26" s="414"/>
      <c r="E26" s="415"/>
      <c r="F26" s="416"/>
      <c r="G26" s="416"/>
      <c r="H26" s="416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155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0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139</v>
      </c>
      <c r="E10" s="399"/>
      <c r="F10" s="397" t="s">
        <v>140</v>
      </c>
      <c r="G10" s="400"/>
      <c r="H10" s="398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15</v>
      </c>
      <c r="G11" s="401"/>
      <c r="H11" s="401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401">
        <f>G8</f>
        <v>0</v>
      </c>
      <c r="C13" s="401"/>
      <c r="D13" s="401">
        <v>16.48</v>
      </c>
      <c r="E13" s="401"/>
      <c r="F13" s="403">
        <f>PRODUCT(D13,B13)</f>
        <v>0</v>
      </c>
      <c r="G13" s="403"/>
      <c r="H13" s="403"/>
    </row>
    <row r="14" spans="1:8" ht="15" x14ac:dyDescent="0.25">
      <c r="A14" s="102" t="s">
        <v>157</v>
      </c>
      <c r="B14" s="424"/>
      <c r="C14" s="425"/>
      <c r="D14" s="424"/>
      <c r="E14" s="425"/>
      <c r="F14" s="424"/>
      <c r="G14" s="425"/>
      <c r="H14" s="111"/>
    </row>
    <row r="15" spans="1:8" ht="15" x14ac:dyDescent="0.25">
      <c r="A15" s="102" t="s">
        <v>158</v>
      </c>
      <c r="B15" s="424"/>
      <c r="C15" s="425"/>
      <c r="D15" s="424"/>
      <c r="E15" s="425"/>
      <c r="F15" s="424"/>
      <c r="G15" s="425"/>
      <c r="H15" s="111"/>
    </row>
    <row r="16" spans="1:8" ht="15" x14ac:dyDescent="0.25">
      <c r="A16" s="102" t="s">
        <v>159</v>
      </c>
      <c r="B16" s="424"/>
      <c r="C16" s="425"/>
      <c r="D16" s="424"/>
      <c r="E16" s="425"/>
      <c r="F16" s="424"/>
      <c r="G16" s="425"/>
      <c r="H16" s="111"/>
    </row>
    <row r="17" spans="1:8" ht="15" x14ac:dyDescent="0.25">
      <c r="A17" s="102" t="s">
        <v>160</v>
      </c>
      <c r="B17" s="424"/>
      <c r="C17" s="425"/>
      <c r="D17" s="424"/>
      <c r="E17" s="425"/>
      <c r="F17" s="424"/>
      <c r="G17" s="425"/>
      <c r="H17" s="111"/>
    </row>
    <row r="18" spans="1:8" ht="45" customHeight="1" x14ac:dyDescent="0.2">
      <c r="A18" s="404" t="s">
        <v>144</v>
      </c>
      <c r="B18" s="404"/>
      <c r="C18" s="404"/>
      <c r="D18" s="404"/>
      <c r="E18" s="404"/>
      <c r="F18" s="404"/>
      <c r="G18" s="404"/>
      <c r="H18" s="404"/>
    </row>
    <row r="19" spans="1:8" x14ac:dyDescent="0.2">
      <c r="A19" s="405"/>
      <c r="B19" s="405"/>
      <c r="C19" s="405"/>
      <c r="D19" s="405"/>
      <c r="E19" s="405"/>
      <c r="F19" s="405"/>
      <c r="G19" s="405"/>
      <c r="H19" s="405"/>
    </row>
    <row r="20" spans="1:8" ht="15" x14ac:dyDescent="0.25">
      <c r="A20" s="103" t="s">
        <v>145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 x14ac:dyDescent="0.25">
      <c r="A21" s="103" t="s">
        <v>146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 x14ac:dyDescent="0.25">
      <c r="A22" s="103" t="s">
        <v>147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 x14ac:dyDescent="0.25">
      <c r="A23" s="103" t="s">
        <v>148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 x14ac:dyDescent="0.25">
      <c r="A24" s="103" t="s">
        <v>154</v>
      </c>
      <c r="B24" s="424">
        <v>0</v>
      </c>
      <c r="C24" s="425"/>
      <c r="D24" s="424">
        <v>2.54</v>
      </c>
      <c r="E24" s="425"/>
      <c r="F24" s="424">
        <f>B24*D24</f>
        <v>0</v>
      </c>
      <c r="G24" s="425"/>
      <c r="H24" s="170"/>
    </row>
    <row r="25" spans="1:8" ht="18.75" x14ac:dyDescent="0.3">
      <c r="A25" s="417" t="s">
        <v>149</v>
      </c>
      <c r="B25" s="418"/>
      <c r="C25" s="418"/>
      <c r="D25" s="418"/>
      <c r="E25" s="419"/>
      <c r="F25" s="426">
        <f>SUM(F11+F13+F20+F21+F22+F23)</f>
        <v>15</v>
      </c>
      <c r="G25" s="420"/>
      <c r="H25" s="420"/>
    </row>
    <row r="26" spans="1:8" ht="15" x14ac:dyDescent="0.25">
      <c r="A26" s="406" t="s">
        <v>150</v>
      </c>
      <c r="B26" s="407"/>
      <c r="C26" s="407"/>
      <c r="D26" s="407"/>
      <c r="E26" s="408"/>
      <c r="F26" s="401">
        <v>63.63</v>
      </c>
      <c r="G26" s="401"/>
      <c r="H26" s="401"/>
    </row>
    <row r="27" spans="1:8" ht="15" x14ac:dyDescent="0.25">
      <c r="A27" s="421" t="s">
        <v>151</v>
      </c>
      <c r="B27" s="422"/>
      <c r="C27" s="422"/>
      <c r="D27" s="422"/>
      <c r="E27" s="423"/>
      <c r="F27" s="401">
        <v>2.4300000000000002</v>
      </c>
      <c r="G27" s="401"/>
      <c r="H27" s="401"/>
    </row>
    <row r="28" spans="1:8" ht="15.75" x14ac:dyDescent="0.25">
      <c r="A28" s="406" t="s">
        <v>152</v>
      </c>
      <c r="B28" s="407"/>
      <c r="C28" s="407"/>
      <c r="D28" s="407"/>
      <c r="E28" s="408"/>
      <c r="F28" s="409">
        <f>SUM(F26:H27)</f>
        <v>66.06</v>
      </c>
      <c r="G28" s="409"/>
      <c r="H28" s="409"/>
    </row>
    <row r="29" spans="1:8" x14ac:dyDescent="0.2">
      <c r="A29" s="410" t="s">
        <v>153</v>
      </c>
      <c r="B29" s="411"/>
      <c r="C29" s="411"/>
      <c r="D29" s="411"/>
      <c r="E29" s="412"/>
      <c r="F29" s="416">
        <f>SUM(F25,F28)</f>
        <v>81.06</v>
      </c>
      <c r="G29" s="416"/>
      <c r="H29" s="416"/>
    </row>
    <row r="30" spans="1:8" x14ac:dyDescent="0.2">
      <c r="A30" s="413"/>
      <c r="B30" s="414"/>
      <c r="C30" s="414"/>
      <c r="D30" s="414"/>
      <c r="E30" s="415"/>
      <c r="F30" s="416"/>
      <c r="G30" s="416"/>
      <c r="H30" s="416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F24" sqref="F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7" t="s">
        <v>161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1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0" t="s">
        <v>181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1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182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3"/>
      <c r="D8" s="434"/>
      <c r="E8" s="434"/>
      <c r="F8" s="434"/>
      <c r="G8" s="434"/>
      <c r="H8" s="434"/>
      <c r="I8" s="434"/>
      <c r="J8" s="434"/>
      <c r="K8" s="435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1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0" t="s">
        <v>183</v>
      </c>
      <c r="D15" s="438"/>
      <c r="E15" s="438"/>
      <c r="F15" s="438"/>
      <c r="G15" s="438"/>
      <c r="H15" s="438"/>
      <c r="I15" s="438"/>
      <c r="J15" s="438"/>
      <c r="K15" s="438"/>
      <c r="L15" s="438"/>
      <c r="M15" s="438"/>
      <c r="N15" s="439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1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184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1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0" t="s">
        <v>185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1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2023-02-20T14:33:47Z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