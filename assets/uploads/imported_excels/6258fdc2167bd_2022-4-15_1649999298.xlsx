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Downloads\"/>
    </mc:Choice>
  </mc:AlternateContent>
  <bookViews>
    <workbookView xWindow="0" yWindow="0" windowWidth="19200" windowHeight="7305" tabRatio="762" activeTab="1"/>
  </bookViews>
  <sheets>
    <sheet name="TOTAL" sheetId="11" r:id="rId1"/>
    <sheet name="FS Jimbaran May 2021" sheetId="14" r:id="rId2"/>
    <sheet name="RNs &amp; Covers May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49" i="14" l="1"/>
  <c r="AH49" i="14"/>
  <c r="AA49" i="14"/>
  <c r="P49" i="14"/>
  <c r="I42" i="14" l="1"/>
  <c r="Q47" i="14"/>
  <c r="R47" i="14"/>
  <c r="B38" i="10"/>
  <c r="AL42" i="14"/>
  <c r="AI42" i="14"/>
  <c r="AG42" i="14"/>
  <c r="G32" i="11" s="1"/>
  <c r="AA42" i="14"/>
  <c r="AB42" i="14" s="1"/>
  <c r="V42" i="14"/>
  <c r="N42" i="14"/>
  <c r="P42" i="14"/>
  <c r="E32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I32" i="11"/>
  <c r="J32" i="11"/>
  <c r="K32" i="11"/>
  <c r="AG41" i="14"/>
  <c r="H31" i="11" s="1"/>
  <c r="AG32" i="14"/>
  <c r="G22" i="11" s="1"/>
  <c r="AG33" i="14"/>
  <c r="G23" i="11" s="1"/>
  <c r="AG34" i="14"/>
  <c r="H24" i="11" s="1"/>
  <c r="AG35" i="14"/>
  <c r="AG36" i="14"/>
  <c r="AG37" i="14"/>
  <c r="AG38" i="14"/>
  <c r="H28" i="11" s="1"/>
  <c r="AG39" i="14"/>
  <c r="G29" i="11" s="1"/>
  <c r="AG40" i="14"/>
  <c r="G30" i="11" s="1"/>
  <c r="N32" i="14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O21" i="14" s="1"/>
  <c r="N22" i="14"/>
  <c r="N23" i="14"/>
  <c r="N24" i="14"/>
  <c r="O24" i="14" s="1"/>
  <c r="N25" i="14"/>
  <c r="N26" i="14"/>
  <c r="N27" i="14"/>
  <c r="N28" i="14"/>
  <c r="O28" i="14" s="1"/>
  <c r="N29" i="14"/>
  <c r="N30" i="14"/>
  <c r="N31" i="14"/>
  <c r="N12" i="14"/>
  <c r="O12" i="14" s="1"/>
  <c r="F2" i="11" s="1"/>
  <c r="C38" i="10"/>
  <c r="AI40" i="14"/>
  <c r="AL40" i="14"/>
  <c r="AL41" i="14"/>
  <c r="AI41" i="14"/>
  <c r="AA40" i="14"/>
  <c r="AA41" i="14"/>
  <c r="AB41" i="14" s="1"/>
  <c r="V40" i="14"/>
  <c r="K30" i="11" s="1"/>
  <c r="V41" i="14"/>
  <c r="K31" i="11" s="1"/>
  <c r="P40" i="14"/>
  <c r="E30" i="11" s="1"/>
  <c r="P41" i="14"/>
  <c r="E31" i="11" s="1"/>
  <c r="I40" i="14"/>
  <c r="I41" i="14"/>
  <c r="I30" i="11"/>
  <c r="J30" i="11"/>
  <c r="I31" i="11"/>
  <c r="J31" i="11"/>
  <c r="V33" i="14"/>
  <c r="V34" i="14"/>
  <c r="K24" i="11" s="1"/>
  <c r="V35" i="14"/>
  <c r="K25" i="11" s="1"/>
  <c r="V36" i="14"/>
  <c r="K26" i="11" s="1"/>
  <c r="V37" i="14"/>
  <c r="K27" i="11" s="1"/>
  <c r="V38" i="14"/>
  <c r="V39" i="14"/>
  <c r="V24" i="14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7" i="11"/>
  <c r="G27" i="11"/>
  <c r="H25" i="11"/>
  <c r="G25" i="11"/>
  <c r="H23" i="11"/>
  <c r="H21" i="11"/>
  <c r="G21" i="11"/>
  <c r="H26" i="11"/>
  <c r="G26" i="11"/>
  <c r="H22" i="11"/>
  <c r="AA31" i="14"/>
  <c r="AB31" i="14" s="1"/>
  <c r="AA32" i="14"/>
  <c r="AA33" i="14"/>
  <c r="AA34" i="14"/>
  <c r="L24" i="11" s="1"/>
  <c r="AA35" i="14"/>
  <c r="L25" i="11" s="1"/>
  <c r="AA36" i="14"/>
  <c r="AA37" i="14"/>
  <c r="L27" i="11" s="1"/>
  <c r="AA38" i="14"/>
  <c r="AA39" i="14"/>
  <c r="AB39" i="14" s="1"/>
  <c r="V31" i="14"/>
  <c r="K21" i="11" s="1"/>
  <c r="V32" i="14"/>
  <c r="L22" i="11" s="1"/>
  <c r="K22" i="11"/>
  <c r="K23" i="11"/>
  <c r="K28" i="11"/>
  <c r="K29" i="11"/>
  <c r="I39" i="14"/>
  <c r="I38" i="14"/>
  <c r="O38" i="14" s="1"/>
  <c r="I37" i="14"/>
  <c r="O37" i="14" s="1"/>
  <c r="I36" i="14"/>
  <c r="I35" i="14"/>
  <c r="I34" i="14"/>
  <c r="I33" i="14"/>
  <c r="O33" i="14" s="1"/>
  <c r="I32" i="14"/>
  <c r="I31" i="14"/>
  <c r="O31" i="14" s="1"/>
  <c r="O36" i="14"/>
  <c r="L29" i="11"/>
  <c r="L23" i="11"/>
  <c r="AB33" i="14"/>
  <c r="P31" i="14"/>
  <c r="E21" i="11" s="1"/>
  <c r="P32" i="14"/>
  <c r="E22" i="11" s="1"/>
  <c r="P33" i="14"/>
  <c r="E23" i="11" s="1"/>
  <c r="P34" i="14"/>
  <c r="E24" i="11" s="1"/>
  <c r="P35" i="14"/>
  <c r="E25" i="11" s="1"/>
  <c r="P36" i="14"/>
  <c r="E26" i="11"/>
  <c r="P37" i="14"/>
  <c r="E27" i="11"/>
  <c r="P38" i="14"/>
  <c r="E28" i="11" s="1"/>
  <c r="P39" i="14"/>
  <c r="E29" i="11" s="1"/>
  <c r="L28" i="11"/>
  <c r="AB38" i="14"/>
  <c r="L26" i="11"/>
  <c r="AB36" i="14"/>
  <c r="AB32" i="14"/>
  <c r="V30" i="14"/>
  <c r="V29" i="14"/>
  <c r="K19" i="11" s="1"/>
  <c r="V28" i="14"/>
  <c r="K18" i="11" s="1"/>
  <c r="V27" i="14"/>
  <c r="V26" i="14"/>
  <c r="V25" i="14"/>
  <c r="K15" i="11" s="1"/>
  <c r="V23" i="14"/>
  <c r="K13" i="11" s="1"/>
  <c r="V22" i="14"/>
  <c r="V21" i="14"/>
  <c r="K11" i="11" s="1"/>
  <c r="V20" i="14"/>
  <c r="K10" i="11" s="1"/>
  <c r="V19" i="14"/>
  <c r="V18" i="14"/>
  <c r="K8" i="11" s="1"/>
  <c r="V17" i="14"/>
  <c r="V16" i="14"/>
  <c r="K6" i="11" s="1"/>
  <c r="V15" i="14"/>
  <c r="K5" i="11" s="1"/>
  <c r="V14" i="14"/>
  <c r="V13" i="14"/>
  <c r="V12" i="14"/>
  <c r="K2" i="11" s="1"/>
  <c r="AJ47" i="14"/>
  <c r="K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O27" i="14" s="1"/>
  <c r="AL26" i="14"/>
  <c r="AI26" i="14"/>
  <c r="I26" i="14"/>
  <c r="AL25" i="14"/>
  <c r="I15" i="11"/>
  <c r="P25" i="14"/>
  <c r="E15" i="11" s="1"/>
  <c r="AL24" i="14"/>
  <c r="K14" i="11"/>
  <c r="I24" i="14"/>
  <c r="AL23" i="14"/>
  <c r="P23" i="14"/>
  <c r="E13" i="11" s="1"/>
  <c r="I22" i="14"/>
  <c r="P21" i="14"/>
  <c r="E11" i="11" s="1"/>
  <c r="AL20" i="14"/>
  <c r="AA20" i="14"/>
  <c r="AB20" i="14" s="1"/>
  <c r="I20" i="14"/>
  <c r="I9" i="11"/>
  <c r="AA19" i="14"/>
  <c r="AB19" i="14" s="1"/>
  <c r="AL18" i="14"/>
  <c r="P18" i="14"/>
  <c r="E8" i="11" s="1"/>
  <c r="I18" i="14"/>
  <c r="AL17" i="14"/>
  <c r="I7" i="11"/>
  <c r="P17" i="14"/>
  <c r="AL16" i="14"/>
  <c r="I16" i="14"/>
  <c r="O16" i="14" s="1"/>
  <c r="AL15" i="14"/>
  <c r="P15" i="14"/>
  <c r="E5" i="11" s="1"/>
  <c r="AL13" i="14"/>
  <c r="I12" i="14"/>
  <c r="H11" i="11"/>
  <c r="H5" i="11"/>
  <c r="G2" i="11"/>
  <c r="H7" i="11"/>
  <c r="H13" i="11"/>
  <c r="H3" i="11"/>
  <c r="E7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G20" i="11"/>
  <c r="O20" i="14"/>
  <c r="G15" i="11"/>
  <c r="G14" i="1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G51" i="14" s="1"/>
  <c r="I53" i="14" s="1"/>
  <c r="W47" i="14"/>
  <c r="AA13" i="14"/>
  <c r="AA15" i="14"/>
  <c r="AA17" i="14"/>
  <c r="AB17" i="14" s="1"/>
  <c r="AA23" i="14"/>
  <c r="AB23" i="14" s="1"/>
  <c r="P27" i="14"/>
  <c r="P29" i="14"/>
  <c r="E19" i="11" s="1"/>
  <c r="P30" i="14"/>
  <c r="E20" i="11" s="1"/>
  <c r="J16" i="11"/>
  <c r="J8" i="11"/>
  <c r="K3" i="11"/>
  <c r="G6" i="11"/>
  <c r="I12" i="11"/>
  <c r="I4" i="11"/>
  <c r="J15" i="11"/>
  <c r="I19" i="14"/>
  <c r="O19" i="14" s="1"/>
  <c r="F9" i="11" s="1"/>
  <c r="G12" i="11"/>
  <c r="G4" i="11"/>
  <c r="I18" i="11"/>
  <c r="K16" i="11"/>
  <c r="L47" i="14"/>
  <c r="P14" i="14"/>
  <c r="E4" i="11" s="1"/>
  <c r="P20" i="14"/>
  <c r="E10" i="11" s="1"/>
  <c r="P22" i="14"/>
  <c r="E12" i="11" s="1"/>
  <c r="AA29" i="14"/>
  <c r="AB29" i="14" s="1"/>
  <c r="G19" i="11"/>
  <c r="I17" i="11"/>
  <c r="K7" i="11"/>
  <c r="P13" i="14"/>
  <c r="E3" i="11" s="1"/>
  <c r="AF47" i="14"/>
  <c r="I10" i="11"/>
  <c r="M47" i="14"/>
  <c r="P16" i="14"/>
  <c r="I17" i="14"/>
  <c r="O18" i="14"/>
  <c r="F8" i="11" s="1"/>
  <c r="I21" i="14"/>
  <c r="AA27" i="14"/>
  <c r="AB27" i="14" s="1"/>
  <c r="G18" i="11"/>
  <c r="G10" i="11"/>
  <c r="I16" i="11"/>
  <c r="I8" i="11"/>
  <c r="J19" i="11"/>
  <c r="J3" i="11"/>
  <c r="K47" i="14"/>
  <c r="AA24" i="14"/>
  <c r="L14" i="11" s="1"/>
  <c r="P26" i="14"/>
  <c r="E16" i="11" s="1"/>
  <c r="E47" i="14"/>
  <c r="I13" i="14"/>
  <c r="I15" i="14"/>
  <c r="O15" i="14" s="1"/>
  <c r="P19" i="14"/>
  <c r="E9" i="11" s="1"/>
  <c r="AA21" i="14"/>
  <c r="I23" i="14"/>
  <c r="O23" i="14" s="1"/>
  <c r="F13" i="11" s="1"/>
  <c r="P28" i="14"/>
  <c r="E18" i="11" s="1"/>
  <c r="G17" i="11"/>
  <c r="J18" i="11"/>
  <c r="J10" i="11"/>
  <c r="AA25" i="14"/>
  <c r="F47" i="14"/>
  <c r="I14" i="14"/>
  <c r="O14" i="14" s="1"/>
  <c r="AA14" i="14"/>
  <c r="AB14" i="14" s="1"/>
  <c r="P24" i="14"/>
  <c r="I25" i="14"/>
  <c r="O25" i="14" s="1"/>
  <c r="F15" i="11" s="1"/>
  <c r="O26" i="14"/>
  <c r="I14" i="11"/>
  <c r="I6" i="11"/>
  <c r="K12" i="11"/>
  <c r="K4" i="11"/>
  <c r="AA12" i="14"/>
  <c r="AB12" i="14" s="1"/>
  <c r="H2" i="11"/>
  <c r="AA18" i="14"/>
  <c r="L8" i="11" s="1"/>
  <c r="AA26" i="14"/>
  <c r="AA22" i="14"/>
  <c r="AB22" i="14" s="1"/>
  <c r="AA30" i="14"/>
  <c r="AB30" i="14" s="1"/>
  <c r="H47" i="14"/>
  <c r="P12" i="14"/>
  <c r="AA28" i="14"/>
  <c r="AB28" i="14" s="1"/>
  <c r="J2" i="11"/>
  <c r="AC47" i="14"/>
  <c r="E2" i="11"/>
  <c r="E6" i="11"/>
  <c r="E17" i="11"/>
  <c r="AI18" i="14"/>
  <c r="AI19" i="14"/>
  <c r="L12" i="11"/>
  <c r="AI13" i="14"/>
  <c r="AI15" i="14"/>
  <c r="O17" i="14"/>
  <c r="F7" i="11" s="1"/>
  <c r="L18" i="11"/>
  <c r="L19" i="11"/>
  <c r="X47" i="14"/>
  <c r="AB25" i="14"/>
  <c r="AI21" i="14"/>
  <c r="AB26" i="14"/>
  <c r="L16" i="11"/>
  <c r="L7" i="11"/>
  <c r="Y47" i="14"/>
  <c r="AB15" i="14"/>
  <c r="AI23" i="14"/>
  <c r="AI17" i="14"/>
  <c r="AB21" i="14"/>
  <c r="AL19" i="14"/>
  <c r="J9" i="11"/>
  <c r="L3" i="11"/>
  <c r="AK47" i="14"/>
  <c r="AL47" i="14" s="1"/>
  <c r="AL12" i="14"/>
  <c r="AA16" i="14"/>
  <c r="AB16" i="14" s="1"/>
  <c r="AH47" i="14"/>
  <c r="AI47" i="14"/>
  <c r="AI12" i="14"/>
  <c r="Z47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G31" i="11" l="1"/>
  <c r="G24" i="11"/>
  <c r="H29" i="11"/>
  <c r="H30" i="11"/>
  <c r="G28" i="11"/>
  <c r="H32" i="11"/>
  <c r="AG47" i="14"/>
  <c r="L6" i="11"/>
  <c r="L5" i="11"/>
  <c r="L13" i="11"/>
  <c r="L17" i="11"/>
  <c r="L30" i="11"/>
  <c r="L32" i="11"/>
  <c r="AA47" i="14"/>
  <c r="AB47" i="14" s="1"/>
  <c r="L9" i="11"/>
  <c r="AB18" i="14"/>
  <c r="AB24" i="14"/>
  <c r="L2" i="11"/>
  <c r="L21" i="11"/>
  <c r="AB13" i="14"/>
  <c r="AB40" i="14"/>
  <c r="AB35" i="14"/>
  <c r="L20" i="11"/>
  <c r="V47" i="14"/>
  <c r="W50" i="14" s="1"/>
  <c r="L11" i="11"/>
  <c r="L15" i="11"/>
  <c r="L10" i="11"/>
  <c r="K17" i="11"/>
  <c r="AB37" i="14"/>
  <c r="L31" i="11"/>
  <c r="L4" i="11"/>
  <c r="AB34" i="14"/>
  <c r="F10" i="11"/>
  <c r="O22" i="14"/>
  <c r="F11" i="11"/>
  <c r="N47" i="14"/>
  <c r="J54" i="14" s="1"/>
  <c r="F16" i="11"/>
  <c r="L51" i="14"/>
  <c r="I54" i="14" s="1"/>
  <c r="O30" i="14"/>
  <c r="F20" i="11" s="1"/>
  <c r="F18" i="11"/>
  <c r="F14" i="11"/>
  <c r="O35" i="14"/>
  <c r="O34" i="14"/>
  <c r="F24" i="11" s="1"/>
  <c r="O29" i="14"/>
  <c r="F19" i="11" s="1"/>
  <c r="O13" i="14"/>
  <c r="F12" i="11"/>
  <c r="F27" i="11"/>
  <c r="O42" i="14"/>
  <c r="F32" i="11" s="1"/>
  <c r="F26" i="11"/>
  <c r="F5" i="11"/>
  <c r="F4" i="11"/>
  <c r="F21" i="11"/>
  <c r="O39" i="14"/>
  <c r="O41" i="14"/>
  <c r="F31" i="11" s="1"/>
  <c r="O32" i="14"/>
  <c r="O47" i="14" s="1"/>
  <c r="T47" i="14" s="1"/>
  <c r="U47" i="14" s="1"/>
  <c r="O40" i="14"/>
  <c r="F30" i="11" s="1"/>
  <c r="F6" i="11"/>
  <c r="F28" i="11"/>
  <c r="E14" i="11"/>
  <c r="F29" i="11"/>
  <c r="F23" i="11"/>
  <c r="F17" i="11"/>
  <c r="I47" i="14"/>
  <c r="J53" i="14" s="1"/>
  <c r="F25" i="11"/>
  <c r="F3" i="11"/>
  <c r="P47" i="14"/>
  <c r="S47" i="14" s="1"/>
  <c r="J55" i="14"/>
  <c r="I55" i="14"/>
  <c r="I56" i="14" s="1"/>
  <c r="F22" i="11" l="1"/>
  <c r="U48" i="14"/>
  <c r="J56" i="14"/>
  <c r="K55" i="14" s="1"/>
  <c r="K54" i="14" l="1"/>
  <c r="K53" i="14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<sst xmlns="http://schemas.openxmlformats.org/spreadsheetml/2006/main" count="101" uniqueCount="55">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</sst>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71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168" fontId="17" fillId="0" borderId="0" xfId="0" applyNumberFormat="1" applyFont="1"/>
    <xf numFmtId="43" fontId="17" fillId="0" borderId="0" xfId="0" applyNumberFormat="1" applyFont="1"/>
    <xf numFmtId="9" fontId="17" fillId="0" borderId="0" xfId="5" applyFont="1"/>
    <xf numFmtId="9" fontId="0" fillId="0" borderId="0" xfId="5" applyFont="1" applyBorder="1"/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68" fontId="4" fillId="0" borderId="0" xfId="0" applyNumberFormat="1" applyFont="1" applyBorder="1"/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C20" sqref="C20"/>
    </sheetView>
  </sheetViews>
  <sheetFormatPr defaultColWidth="11.5703125" defaultRowHeight="15" x14ac:dyDescent="0.25"/>
  <cols>
    <col min="1" max="1" width="18.42578125" style="170" customWidth="1"/>
    <col min="2" max="2" width="11.5703125" style="171"/>
    <col min="3" max="3" width="11.5703125" style="172"/>
    <col min="4" max="4" width="13.42578125" style="171" customWidth="1"/>
    <col min="5" max="5" width="12.5703125" style="169" customWidth="1"/>
    <col min="6" max="6" width="12.5703125" style="173" customWidth="1"/>
    <col min="7" max="7" width="11.5703125" style="169"/>
    <col min="8" max="8" width="11.5703125" style="173"/>
    <col min="9" max="9" width="11.5703125" style="174"/>
    <col min="10" max="10" width="11.5703125" style="175"/>
    <col min="11" max="11" width="11.5703125" style="169"/>
    <col min="12" max="12" width="11.5703125" style="175"/>
    <col min="13" max="26" width="11.5703125" style="169"/>
  </cols>
  <sheetData>
    <row r="1" spans="1:15" s="163" customFormat="1" ht="60" x14ac:dyDescent="0.25">
      <c r="A1" s="159" t="s">
        <v>37</v>
      </c>
      <c r="B1" s="159" t="s">
        <v>38</v>
      </c>
      <c r="C1" s="160" t="s">
        <v>39</v>
      </c>
      <c r="D1" s="159" t="s">
        <v>40</v>
      </c>
      <c r="E1" s="158" t="s">
        <v>41</v>
      </c>
      <c r="F1" s="161" t="s">
        <v>42</v>
      </c>
      <c r="G1" s="158" t="s">
        <v>47</v>
      </c>
      <c r="H1" s="161" t="s">
        <v>48</v>
      </c>
      <c r="I1" s="177" t="s">
        <v>50</v>
      </c>
      <c r="J1" s="161" t="s">
        <v>51</v>
      </c>
      <c r="K1" s="158" t="s">
        <v>43</v>
      </c>
      <c r="L1" s="162" t="s">
        <v>44</v>
      </c>
      <c r="M1" s="158" t="s">
        <v>45</v>
      </c>
      <c r="N1" s="158" t="s">
        <v>3</v>
      </c>
    </row>
    <row r="2" spans="1:15" x14ac:dyDescent="0.25">
      <c r="A2" s="164" t="s">
        <v>49</v>
      </c>
      <c r="B2" s="165">
        <v>1</v>
      </c>
      <c r="C2" s="166">
        <v>5</v>
      </c>
      <c r="D2" s="165">
        <v>2021</v>
      </c>
      <c r="E2" s="167">
        <f>'FS Jimbaran May 2021'!P12</f>
        <v>14399.999999999885</v>
      </c>
      <c r="F2" s="176">
        <f>'FS Jimbaran May 2021'!O12/'FS Jimbaran May 2021'!P12</f>
        <v>1132.1650833333331</v>
      </c>
      <c r="G2" s="167">
        <f>'FS Jimbaran May 2021'!AG12</f>
        <v>62</v>
      </c>
      <c r="H2" s="176">
        <f>'FS Jimbaran May 2021'!AH12/'FS Jimbaran May 2021'!AG12</f>
        <v>4435.4838709677415</v>
      </c>
      <c r="I2" s="167">
        <f>'FS Jimbaran May 2021'!AJ12</f>
        <v>134.84000000000015</v>
      </c>
      <c r="J2" s="168">
        <f>'FS Jimbaran May 2021'!AK12/'FS Jimbaran May 2021'!AJ12</f>
        <v>8900</v>
      </c>
      <c r="K2" s="167">
        <f>'FS Jimbaran May 2021'!V12</f>
        <v>1033.29</v>
      </c>
      <c r="L2" s="176">
        <f>'FS Jimbaran May 2021'!AA12/'FS Jimbaran May 2021'!V12</f>
        <v>9624.1813781223082</v>
      </c>
      <c r="M2" s="167">
        <f>+'RNs &amp; Covers May 2021'!B6</f>
        <v>9</v>
      </c>
      <c r="N2" s="178">
        <f>+'RNs &amp; Covers May 2021'!C6</f>
        <v>72</v>
      </c>
    </row>
    <row r="3" spans="1:15" x14ac:dyDescent="0.25">
      <c r="A3" s="164" t="s">
        <v>49</v>
      </c>
      <c r="B3" s="165">
        <f>B2+1</f>
        <v>2</v>
      </c>
      <c r="C3" s="166">
        <v>5</v>
      </c>
      <c r="D3" s="165">
        <v>2021</v>
      </c>
      <c r="E3" s="178">
        <f>'FS Jimbaran May 2021'!P13</f>
        <v>15300.000000000025</v>
      </c>
      <c r="F3" s="176">
        <f>'FS Jimbaran May 2021'!O13/'FS Jimbaran May 2021'!P13</f>
        <v>1126.4953725490191</v>
      </c>
      <c r="G3" s="178">
        <f>'FS Jimbaran May 2021'!AG13</f>
        <v>112</v>
      </c>
      <c r="H3" s="176">
        <f>'FS Jimbaran May 2021'!AH13/'FS Jimbaran May 2021'!AG13</f>
        <v>44857.142857142855</v>
      </c>
      <c r="I3" s="178">
        <f>'FS Jimbaran May 2021'!AJ13</f>
        <v>87.950000000000728</v>
      </c>
      <c r="J3" s="168">
        <f>'FS Jimbaran May 2021'!AK13/'FS Jimbaran May 2021'!AJ13</f>
        <v>8900</v>
      </c>
      <c r="K3" s="178">
        <f>'FS Jimbaran May 2021'!V13</f>
        <v>1027.06</v>
      </c>
      <c r="L3" s="176">
        <f>'FS Jimbaran May 2021'!AA13/'FS Jimbaran May 2021'!V13</f>
        <v>9478.4042634315447</v>
      </c>
      <c r="M3" s="178">
        <f>+'RNs &amp; Covers May 2021'!B7</f>
        <v>5</v>
      </c>
      <c r="N3" s="178">
        <f>+'RNs &amp; Covers May 2021'!C7</f>
        <v>109</v>
      </c>
    </row>
    <row r="4" spans="1:15" x14ac:dyDescent="0.25">
      <c r="A4" s="164" t="s">
        <v>49</v>
      </c>
      <c r="B4" s="165">
        <f t="shared" ref="B4:B32" si="0">B3+1</f>
        <v>3</v>
      </c>
      <c r="C4" s="166">
        <v>5</v>
      </c>
      <c r="D4" s="165">
        <v>2021</v>
      </c>
      <c r="E4" s="178">
        <f>'FS Jimbaran May 2021'!P14</f>
        <v>15059.999999999916</v>
      </c>
      <c r="F4" s="176">
        <f>'FS Jimbaran May 2021'!O14/'FS Jimbaran May 2021'!P14</f>
        <v>1127.2532669322725</v>
      </c>
      <c r="G4" s="178">
        <f>'FS Jimbaran May 2021'!AG14</f>
        <v>112</v>
      </c>
      <c r="H4" s="176">
        <f>'FS Jimbaran May 2021'!AH14/'FS Jimbaran May 2021'!AG14</f>
        <v>2455.3571428571427</v>
      </c>
      <c r="I4" s="178">
        <f>'FS Jimbaran May 2021'!AJ14</f>
        <v>202</v>
      </c>
      <c r="J4" s="168">
        <f>'FS Jimbaran May 2021'!AK14/'FS Jimbaran May 2021'!AJ14</f>
        <v>8900</v>
      </c>
      <c r="K4" s="178">
        <f>'FS Jimbaran May 2021'!V14</f>
        <v>1004.8100000000001</v>
      </c>
      <c r="L4" s="176">
        <f>'FS Jimbaran May 2021'!AA14/'FS Jimbaran May 2021'!V14</f>
        <v>9180.9460938883967</v>
      </c>
      <c r="M4" s="178">
        <f>+'RNs &amp; Covers May 2021'!B8</f>
        <v>3</v>
      </c>
      <c r="N4" s="178">
        <f>+'RNs &amp; Covers May 2021'!C8</f>
        <v>62</v>
      </c>
    </row>
    <row r="5" spans="1:15" x14ac:dyDescent="0.25">
      <c r="A5" s="164" t="s">
        <v>49</v>
      </c>
      <c r="B5" s="165">
        <f t="shared" si="0"/>
        <v>4</v>
      </c>
      <c r="C5" s="166">
        <v>5</v>
      </c>
      <c r="D5" s="165">
        <v>2021</v>
      </c>
      <c r="E5" s="178">
        <f>'FS Jimbaran May 2021'!P15</f>
        <v>14940.000000000033</v>
      </c>
      <c r="F5" s="176">
        <f>'FS Jimbaran May 2021'!O15/'FS Jimbaran May 2021'!P15</f>
        <v>1123.8282329317258</v>
      </c>
      <c r="G5" s="178">
        <f>'FS Jimbaran May 2021'!AG15</f>
        <v>62</v>
      </c>
      <c r="H5" s="176">
        <f>'FS Jimbaran May 2021'!AH15/'FS Jimbaran May 2021'!AG15</f>
        <v>0</v>
      </c>
      <c r="I5" s="178">
        <f>'FS Jimbaran May 2021'!AJ15</f>
        <v>187.5</v>
      </c>
      <c r="J5" s="168">
        <f>'FS Jimbaran May 2021'!AK15/'FS Jimbaran May 2021'!AJ15</f>
        <v>8900</v>
      </c>
      <c r="K5" s="178">
        <f>'FS Jimbaran May 2021'!V15</f>
        <v>1049.31</v>
      </c>
      <c r="L5" s="176">
        <f>'FS Jimbaran May 2021'!AA15/'FS Jimbaran May 2021'!V15</f>
        <v>9553.700712468195</v>
      </c>
      <c r="M5" s="178">
        <f>+'RNs &amp; Covers May 2021'!B9</f>
        <v>1</v>
      </c>
      <c r="N5" s="178">
        <f>+'RNs &amp; Covers May 2021'!C9</f>
        <v>62</v>
      </c>
    </row>
    <row r="6" spans="1:15" x14ac:dyDescent="0.25">
      <c r="A6" s="164" t="s">
        <v>49</v>
      </c>
      <c r="B6" s="165">
        <f t="shared" si="0"/>
        <v>5</v>
      </c>
      <c r="C6" s="166">
        <v>5</v>
      </c>
      <c r="D6" s="165">
        <v>2021</v>
      </c>
      <c r="E6" s="178">
        <f>'FS Jimbaran May 2021'!P16</f>
        <v>15019.999999999825</v>
      </c>
      <c r="F6" s="176">
        <f>'FS Jimbaran May 2021'!O16/'FS Jimbaran May 2021'!P16</f>
        <v>1125.4280692410132</v>
      </c>
      <c r="G6" s="178">
        <f>'FS Jimbaran May 2021'!AG16</f>
        <v>112</v>
      </c>
      <c r="H6" s="176">
        <f>'FS Jimbaran May 2021'!AH16/'FS Jimbaran May 2021'!AG16</f>
        <v>4910.7142857142853</v>
      </c>
      <c r="I6" s="178">
        <f>'FS Jimbaran May 2021'!AJ16</f>
        <v>257.90000000000146</v>
      </c>
      <c r="J6" s="168">
        <f>'FS Jimbaran May 2021'!AK16/'FS Jimbaran May 2021'!AJ16</f>
        <v>8900</v>
      </c>
      <c r="K6" s="178">
        <f>'FS Jimbaran May 2021'!V16</f>
        <v>1006.5899999999999</v>
      </c>
      <c r="L6" s="176">
        <f>'FS Jimbaran May 2021'!AA16/'FS Jimbaran May 2021'!V16</f>
        <v>9135.8112643678178</v>
      </c>
      <c r="M6" s="178">
        <f>+'RNs &amp; Covers May 2021'!B10</f>
        <v>3</v>
      </c>
      <c r="N6" s="178">
        <f>+'RNs &amp; Covers May 2021'!C10</f>
        <v>59</v>
      </c>
    </row>
    <row r="7" spans="1:15" x14ac:dyDescent="0.25">
      <c r="A7" s="164" t="s">
        <v>49</v>
      </c>
      <c r="B7" s="165">
        <f t="shared" si="0"/>
        <v>6</v>
      </c>
      <c r="C7" s="166">
        <v>5</v>
      </c>
      <c r="D7" s="165">
        <v>2021</v>
      </c>
      <c r="E7" s="178">
        <f>'FS Jimbaran May 2021'!P17</f>
        <v>15700.000000000031</v>
      </c>
      <c r="F7" s="176">
        <f>'FS Jimbaran May 2021'!O17/'FS Jimbaran May 2021'!P17</f>
        <v>1126.8230828025487</v>
      </c>
      <c r="G7" s="178">
        <f>'FS Jimbaran May 2021'!AG17</f>
        <v>62</v>
      </c>
      <c r="H7" s="176">
        <f>'FS Jimbaran May 2021'!AH17/'FS Jimbaran May 2021'!AG17</f>
        <v>0</v>
      </c>
      <c r="I7" s="178">
        <f>'FS Jimbaran May 2021'!AJ17</f>
        <v>89.879999999997381</v>
      </c>
      <c r="J7" s="168">
        <f>'FS Jimbaran May 2021'!AK17/'FS Jimbaran May 2021'!AJ17</f>
        <v>8900</v>
      </c>
      <c r="K7" s="178">
        <f>'FS Jimbaran May 2021'!V17</f>
        <v>1025.2800000000002</v>
      </c>
      <c r="L7" s="176">
        <f>'FS Jimbaran May 2021'!AA17/'FS Jimbaran May 2021'!V17</f>
        <v>9082.4021527777768</v>
      </c>
      <c r="M7" s="178">
        <f>+'RNs &amp; Covers May 2021'!B11</f>
        <v>2</v>
      </c>
      <c r="N7" s="178">
        <f>+'RNs &amp; Covers May 2021'!C11</f>
        <v>68</v>
      </c>
    </row>
    <row r="8" spans="1:15" x14ac:dyDescent="0.25">
      <c r="A8" s="164" t="s">
        <v>49</v>
      </c>
      <c r="B8" s="165">
        <f t="shared" si="0"/>
        <v>7</v>
      </c>
      <c r="C8" s="166">
        <v>5</v>
      </c>
      <c r="D8" s="165">
        <v>2021</v>
      </c>
      <c r="E8" s="178">
        <f>'FS Jimbaran May 2021'!P18</f>
        <v>14580.000000000282</v>
      </c>
      <c r="F8" s="176">
        <f>'FS Jimbaran May 2021'!O18/'FS Jimbaran May 2021'!P18</f>
        <v>1126.712674897117</v>
      </c>
      <c r="G8" s="178">
        <f>'FS Jimbaran May 2021'!AG18</f>
        <v>112</v>
      </c>
      <c r="H8" s="176">
        <f>'FS Jimbaran May 2021'!AH18/'FS Jimbaran May 2021'!AG18</f>
        <v>0</v>
      </c>
      <c r="I8" s="178">
        <f>'FS Jimbaran May 2021'!AJ18</f>
        <v>178.13000000000102</v>
      </c>
      <c r="J8" s="168">
        <f>'FS Jimbaran May 2021'!AK18/'FS Jimbaran May 2021'!AJ18</f>
        <v>8900</v>
      </c>
      <c r="K8" s="178">
        <f>'FS Jimbaran May 2021'!V18</f>
        <v>1191.9769999999994</v>
      </c>
      <c r="L8" s="176">
        <f>'FS Jimbaran May 2021'!AA18/'FS Jimbaran May 2021'!V18</f>
        <v>8785.10142163817</v>
      </c>
      <c r="M8" s="178">
        <f>+'RNs &amp; Covers May 2021'!B12</f>
        <v>5</v>
      </c>
      <c r="N8" s="178">
        <f>+'RNs &amp; Covers May 2021'!C12</f>
        <v>64</v>
      </c>
    </row>
    <row r="9" spans="1:15" x14ac:dyDescent="0.25">
      <c r="A9" s="164" t="s">
        <v>49</v>
      </c>
      <c r="B9" s="165">
        <f t="shared" si="0"/>
        <v>8</v>
      </c>
      <c r="C9" s="166">
        <v>5</v>
      </c>
      <c r="D9" s="165">
        <v>2021</v>
      </c>
      <c r="E9" s="178">
        <f>'FS Jimbaran May 2021'!P19</f>
        <v>14060.000000000138</v>
      </c>
      <c r="F9" s="176">
        <f>'FS Jimbaran May 2021'!O19/'FS Jimbaran May 2021'!P19</f>
        <v>1119.7621621621611</v>
      </c>
      <c r="G9" s="178">
        <f>'FS Jimbaran May 2021'!AG19</f>
        <v>112</v>
      </c>
      <c r="H9" s="176">
        <f>'FS Jimbaran May 2021'!AH19/'FS Jimbaran May 2021'!AG19</f>
        <v>46084.821428571428</v>
      </c>
      <c r="I9" s="178">
        <f>'FS Jimbaran May 2021'!AJ19</f>
        <v>118.85000000000218</v>
      </c>
      <c r="J9" s="168">
        <f>'FS Jimbaran May 2021'!AK19/'FS Jimbaran May 2021'!AJ19</f>
        <v>8900</v>
      </c>
      <c r="K9" s="178">
        <f>'FS Jimbaran May 2021'!V19</f>
        <v>1245.6440000000002</v>
      </c>
      <c r="L9" s="176">
        <f>'FS Jimbaran May 2021'!AA19/'FS Jimbaran May 2021'!V19</f>
        <v>8491.4386167476423</v>
      </c>
      <c r="M9" s="178">
        <f>+'RNs &amp; Covers May 2021'!B13</f>
        <v>7</v>
      </c>
      <c r="N9" s="178">
        <f>+'RNs &amp; Covers May 2021'!C13</f>
        <v>130</v>
      </c>
      <c r="O9" s="169" t="s">
        <v>46</v>
      </c>
    </row>
    <row r="10" spans="1:15" x14ac:dyDescent="0.25">
      <c r="A10" s="164" t="s">
        <v>49</v>
      </c>
      <c r="B10" s="165">
        <f t="shared" si="0"/>
        <v>9</v>
      </c>
      <c r="C10" s="166">
        <v>5</v>
      </c>
      <c r="D10" s="165">
        <v>2021</v>
      </c>
      <c r="E10" s="178">
        <f>'FS Jimbaran May 2021'!P20</f>
        <v>15259.999999999663</v>
      </c>
      <c r="F10" s="176">
        <f>'FS Jimbaran May 2021'!O20/'FS Jimbaran May 2021'!P20</f>
        <v>1137.5932372214959</v>
      </c>
      <c r="G10" s="178">
        <f>'FS Jimbaran May 2021'!AG20</f>
        <v>50</v>
      </c>
      <c r="H10" s="176">
        <f>'FS Jimbaran May 2021'!AH20/'FS Jimbaran May 2021'!AG20</f>
        <v>2750</v>
      </c>
      <c r="I10" s="178">
        <f>'FS Jimbaran May 2021'!AJ20</f>
        <v>121</v>
      </c>
      <c r="J10" s="168">
        <f>'FS Jimbaran May 2021'!AK20/'FS Jimbaran May 2021'!AJ20</f>
        <v>8900</v>
      </c>
      <c r="K10" s="178">
        <f>'FS Jimbaran May 2021'!V20</f>
        <v>1235.5870000000009</v>
      </c>
      <c r="L10" s="176">
        <f>'FS Jimbaran May 2021'!AA20/'FS Jimbaran May 2021'!V20</f>
        <v>8189.8624749693845</v>
      </c>
      <c r="M10" s="178">
        <f>+'RNs &amp; Covers May 2021'!B14</f>
        <v>13</v>
      </c>
      <c r="N10" s="178">
        <f>+'RNs &amp; Covers May 2021'!C14</f>
        <v>137</v>
      </c>
    </row>
    <row r="11" spans="1:15" x14ac:dyDescent="0.25">
      <c r="A11" s="164" t="s">
        <v>49</v>
      </c>
      <c r="B11" s="165">
        <f t="shared" si="0"/>
        <v>10</v>
      </c>
      <c r="C11" s="166">
        <v>5</v>
      </c>
      <c r="D11" s="165">
        <v>2021</v>
      </c>
      <c r="E11" s="178">
        <f>'FS Jimbaran May 2021'!P21</f>
        <v>15560.000000000131</v>
      </c>
      <c r="F11" s="176">
        <f>'FS Jimbaran May 2021'!O21/'FS Jimbaran May 2021'!P21</f>
        <v>1127.6422365038563</v>
      </c>
      <c r="G11" s="178">
        <f>'FS Jimbaran May 2021'!AG21</f>
        <v>62</v>
      </c>
      <c r="H11" s="176">
        <f>'FS Jimbaran May 2021'!AH21/'FS Jimbaran May 2021'!AG21</f>
        <v>0</v>
      </c>
      <c r="I11" s="178">
        <f>'FS Jimbaran May 2021'!AJ21</f>
        <v>225</v>
      </c>
      <c r="J11" s="168">
        <f>'FS Jimbaran May 2021'!AK21/'FS Jimbaran May 2021'!AJ21</f>
        <v>8900</v>
      </c>
      <c r="K11" s="178">
        <f>'FS Jimbaran May 2021'!V21</f>
        <v>1323.3409999999997</v>
      </c>
      <c r="L11" s="176">
        <f>'FS Jimbaran May 2021'!AA21/'FS Jimbaran May 2021'!V21</f>
        <v>8362.1298419530576</v>
      </c>
      <c r="M11" s="178">
        <f>+'RNs &amp; Covers May 2021'!B15</f>
        <v>16</v>
      </c>
      <c r="N11" s="178">
        <f>+'RNs &amp; Covers May 2021'!C15</f>
        <v>78</v>
      </c>
    </row>
    <row r="12" spans="1:15" x14ac:dyDescent="0.25">
      <c r="A12" s="164" t="s">
        <v>49</v>
      </c>
      <c r="B12" s="165">
        <f t="shared" si="0"/>
        <v>11</v>
      </c>
      <c r="C12" s="166">
        <v>5</v>
      </c>
      <c r="D12" s="165">
        <v>2021</v>
      </c>
      <c r="E12" s="178">
        <f>'FS Jimbaran May 2021'!P22</f>
        <v>15459.999999999965</v>
      </c>
      <c r="F12" s="176">
        <f>'FS Jimbaran May 2021'!O22/'FS Jimbaran May 2021'!P22</f>
        <v>1122.8766364812407</v>
      </c>
      <c r="G12" s="178">
        <f>'FS Jimbaran May 2021'!AG22</f>
        <v>112</v>
      </c>
      <c r="H12" s="176">
        <f>'FS Jimbaran May 2021'!AH22/'FS Jimbaran May 2021'!AG22</f>
        <v>0</v>
      </c>
      <c r="I12" s="178">
        <f>'FS Jimbaran May 2021'!AJ22</f>
        <v>109</v>
      </c>
      <c r="J12" s="168">
        <f>'FS Jimbaran May 2021'!AK22/'FS Jimbaran May 2021'!AJ22</f>
        <v>8900</v>
      </c>
      <c r="K12" s="178">
        <f>'FS Jimbaran May 2021'!V22</f>
        <v>1062.7490000000003</v>
      </c>
      <c r="L12" s="176">
        <f>'FS Jimbaran May 2021'!AA22/'FS Jimbaran May 2021'!V22</f>
        <v>7762.4297445775064</v>
      </c>
      <c r="M12" s="178">
        <f>+'RNs &amp; Covers May 2021'!B16</f>
        <v>14</v>
      </c>
      <c r="N12" s="178">
        <f>+'RNs &amp; Covers May 2021'!C16</f>
        <v>100</v>
      </c>
    </row>
    <row r="13" spans="1:15" x14ac:dyDescent="0.25">
      <c r="A13" s="164" t="s">
        <v>49</v>
      </c>
      <c r="B13" s="165">
        <f t="shared" si="0"/>
        <v>12</v>
      </c>
      <c r="C13" s="166">
        <v>5</v>
      </c>
      <c r="D13" s="165">
        <v>2021</v>
      </c>
      <c r="E13" s="178">
        <f>'FS Jimbaran May 2021'!P23</f>
        <v>15119.99999999992</v>
      </c>
      <c r="F13" s="176">
        <f>'FS Jimbaran May 2021'!O23/'FS Jimbaran May 2021'!P23</f>
        <v>1125.5201984126998</v>
      </c>
      <c r="G13" s="178">
        <f>'FS Jimbaran May 2021'!AG23</f>
        <v>112</v>
      </c>
      <c r="H13" s="176">
        <f>'FS Jimbaran May 2021'!AH23/'FS Jimbaran May 2021'!AG23</f>
        <v>46084.821428571428</v>
      </c>
      <c r="I13" s="178">
        <f>'FS Jimbaran May 2021'!AJ23</f>
        <v>327.95000000004438</v>
      </c>
      <c r="J13" s="168">
        <f>'FS Jimbaran May 2021'!AK23/'FS Jimbaran May 2021'!AJ23</f>
        <v>8900</v>
      </c>
      <c r="K13" s="178">
        <f>'FS Jimbaran May 2021'!V23</f>
        <v>1209.8659999999998</v>
      </c>
      <c r="L13" s="176">
        <f>'FS Jimbaran May 2021'!AA23/'FS Jimbaran May 2021'!V23</f>
        <v>8475.6560041194662</v>
      </c>
      <c r="M13" s="178">
        <f>+'RNs &amp; Covers May 2021'!B17</f>
        <v>13</v>
      </c>
      <c r="N13" s="178">
        <f>+'RNs &amp; Covers May 2021'!C17</f>
        <v>103</v>
      </c>
    </row>
    <row r="14" spans="1:15" x14ac:dyDescent="0.25">
      <c r="A14" s="164" t="s">
        <v>49</v>
      </c>
      <c r="B14" s="165">
        <f t="shared" si="0"/>
        <v>13</v>
      </c>
      <c r="C14" s="166">
        <v>5</v>
      </c>
      <c r="D14" s="165">
        <v>2021</v>
      </c>
      <c r="E14" s="178">
        <f>'FS Jimbaran May 2021'!P24</f>
        <v>15059.999999999975</v>
      </c>
      <c r="F14" s="176">
        <f>'FS Jimbaran May 2021'!O24/'FS Jimbaran May 2021'!P24</f>
        <v>1128.6288047808773</v>
      </c>
      <c r="G14" s="178">
        <f>'FS Jimbaran May 2021'!AG24</f>
        <v>62</v>
      </c>
      <c r="H14" s="176">
        <f>'FS Jimbaran May 2021'!AH24/'FS Jimbaran May 2021'!AG24</f>
        <v>2217.7419354838707</v>
      </c>
      <c r="I14" s="178">
        <f>'FS Jimbaran May 2021'!AJ24</f>
        <v>139.78000000000247</v>
      </c>
      <c r="J14" s="168">
        <f>'FS Jimbaran May 2021'!AK24/'FS Jimbaran May 2021'!AJ24</f>
        <v>8900</v>
      </c>
      <c r="K14" s="178">
        <f>'FS Jimbaran May 2021'!V24</f>
        <v>1170.7950000000001</v>
      </c>
      <c r="L14" s="176">
        <f>'FS Jimbaran May 2021'!AA24/'FS Jimbaran May 2021'!V24</f>
        <v>9315.8797491448113</v>
      </c>
      <c r="M14" s="178">
        <f>+'RNs &amp; Covers May 2021'!B18</f>
        <v>19</v>
      </c>
      <c r="N14" s="178">
        <f>+'RNs &amp; Covers May 2021'!C18</f>
        <v>129</v>
      </c>
    </row>
    <row r="15" spans="1:15" x14ac:dyDescent="0.25">
      <c r="A15" s="164" t="s">
        <v>49</v>
      </c>
      <c r="B15" s="165">
        <f t="shared" si="0"/>
        <v>14</v>
      </c>
      <c r="C15" s="166">
        <v>5</v>
      </c>
      <c r="D15" s="165">
        <v>2021</v>
      </c>
      <c r="E15" s="178">
        <f>'FS Jimbaran May 2021'!P25</f>
        <v>16120.00000000026</v>
      </c>
      <c r="F15" s="176">
        <f>'FS Jimbaran May 2021'!O25/'FS Jimbaran May 2021'!P25</f>
        <v>1132.1615136476412</v>
      </c>
      <c r="G15" s="178">
        <f>'FS Jimbaran May 2021'!AG25</f>
        <v>100</v>
      </c>
      <c r="H15" s="176">
        <f>'FS Jimbaran May 2021'!AH25/'FS Jimbaran May 2021'!AG25</f>
        <v>1375</v>
      </c>
      <c r="I15" s="178">
        <f>'FS Jimbaran May 2021'!AJ25</f>
        <v>256.54999999999927</v>
      </c>
      <c r="J15" s="168">
        <f>'FS Jimbaran May 2021'!AK25/'FS Jimbaran May 2021'!AJ25</f>
        <v>8900</v>
      </c>
      <c r="K15" s="178">
        <f>'FS Jimbaran May 2021'!V25</f>
        <v>1235.2309999999998</v>
      </c>
      <c r="L15" s="176">
        <f>'FS Jimbaran May 2021'!AA25/'FS Jimbaran May 2021'!V25</f>
        <v>8556.9024007493354</v>
      </c>
      <c r="M15" s="178">
        <f>+'RNs &amp; Covers May 2021'!B19</f>
        <v>19</v>
      </c>
      <c r="N15" s="178">
        <f>+'RNs &amp; Covers May 2021'!C19</f>
        <v>139</v>
      </c>
    </row>
    <row r="16" spans="1:15" x14ac:dyDescent="0.25">
      <c r="A16" s="164" t="s">
        <v>49</v>
      </c>
      <c r="B16" s="165">
        <f t="shared" si="0"/>
        <v>15</v>
      </c>
      <c r="C16" s="166">
        <v>5</v>
      </c>
      <c r="D16" s="165">
        <v>2021</v>
      </c>
      <c r="E16" s="178">
        <f>'FS Jimbaran May 2021'!P26</f>
        <v>16280.000000000029</v>
      </c>
      <c r="F16" s="176">
        <f>'FS Jimbaran May 2021'!O26/'FS Jimbaran May 2021'!P26</f>
        <v>1122.9433046683032</v>
      </c>
      <c r="G16" s="178">
        <f>'FS Jimbaran May 2021'!AG26</f>
        <v>112</v>
      </c>
      <c r="H16" s="176">
        <f>'FS Jimbaran May 2021'!AH26/'FS Jimbaran May 2021'!AG26</f>
        <v>40477.678571428572</v>
      </c>
      <c r="I16" s="178">
        <f>'FS Jimbaran May 2021'!AJ26</f>
        <v>142.23999999999796</v>
      </c>
      <c r="J16" s="168">
        <f>'FS Jimbaran May 2021'!AK26/'FS Jimbaran May 2021'!AJ26</f>
        <v>8900</v>
      </c>
      <c r="K16" s="178">
        <f>'FS Jimbaran May 2021'!V26</f>
        <v>1098.26</v>
      </c>
      <c r="L16" s="176">
        <f>'FS Jimbaran May 2021'!AA26/'FS Jimbaran May 2021'!V26</f>
        <v>8538.5134846029177</v>
      </c>
      <c r="M16" s="178">
        <f>+'RNs &amp; Covers May 2021'!B20</f>
        <v>16</v>
      </c>
      <c r="N16" s="178">
        <f>+'RNs &amp; Covers May 2021'!C20</f>
        <v>162</v>
      </c>
    </row>
    <row r="17" spans="1:14" x14ac:dyDescent="0.25">
      <c r="A17" s="164" t="s">
        <v>49</v>
      </c>
      <c r="B17" s="165">
        <f t="shared" si="0"/>
        <v>16</v>
      </c>
      <c r="C17" s="166">
        <v>5</v>
      </c>
      <c r="D17" s="165">
        <v>2021</v>
      </c>
      <c r="E17" s="178">
        <f>'FS Jimbaran May 2021'!P27</f>
        <v>15379.999999999789</v>
      </c>
      <c r="F17" s="176">
        <f>'FS Jimbaran May 2021'!O27/'FS Jimbaran May 2021'!P27</f>
        <v>1127.3704291287406</v>
      </c>
      <c r="G17" s="178">
        <f>'FS Jimbaran May 2021'!AG27</f>
        <v>112</v>
      </c>
      <c r="H17" s="176">
        <f>'FS Jimbaran May 2021'!AH27/'FS Jimbaran May 2021'!AG27</f>
        <v>2455.3571428571427</v>
      </c>
      <c r="I17" s="178">
        <f>'FS Jimbaran May 2021'!AJ27</f>
        <v>90</v>
      </c>
      <c r="J17" s="168">
        <f>'FS Jimbaran May 2021'!AK27/'FS Jimbaran May 2021'!AJ27</f>
        <v>8900</v>
      </c>
      <c r="K17" s="178">
        <f>'FS Jimbaran May 2021'!V27</f>
        <v>1157</v>
      </c>
      <c r="L17" s="176">
        <f>'FS Jimbaran May 2021'!AA27/'FS Jimbaran May 2021'!V27</f>
        <v>8573.9347692307692</v>
      </c>
      <c r="M17" s="178">
        <f>+'RNs &amp; Covers May 2021'!B21</f>
        <v>10</v>
      </c>
      <c r="N17" s="178">
        <f>+'RNs &amp; Covers May 2021'!C21</f>
        <v>146</v>
      </c>
    </row>
    <row r="18" spans="1:14" x14ac:dyDescent="0.25">
      <c r="A18" s="164" t="s">
        <v>49</v>
      </c>
      <c r="B18" s="165">
        <f t="shared" si="0"/>
        <v>17</v>
      </c>
      <c r="C18" s="166">
        <v>5</v>
      </c>
      <c r="D18" s="165">
        <v>2021</v>
      </c>
      <c r="E18" s="178">
        <f>'FS Jimbaran May 2021'!P28</f>
        <v>14959.999999999973</v>
      </c>
      <c r="F18" s="176">
        <f>'FS Jimbaran May 2021'!O28/'FS Jimbaran May 2021'!P28</f>
        <v>1125.0952540106955</v>
      </c>
      <c r="G18" s="178">
        <f>'FS Jimbaran May 2021'!AG28</f>
        <v>112</v>
      </c>
      <c r="H18" s="176">
        <f>'FS Jimbaran May 2021'!AH28/'FS Jimbaran May 2021'!AG28</f>
        <v>6834.8214285714284</v>
      </c>
      <c r="I18" s="178">
        <f>'FS Jimbaran May 2021'!AJ28</f>
        <v>300.69000000000233</v>
      </c>
      <c r="J18" s="168">
        <f>'FS Jimbaran May 2021'!AK28/'FS Jimbaran May 2021'!AJ28</f>
        <v>8900</v>
      </c>
      <c r="K18" s="178">
        <f>'FS Jimbaran May 2021'!V28</f>
        <v>1119.6199999999999</v>
      </c>
      <c r="L18" s="176">
        <f>'FS Jimbaran May 2021'!AA28/'FS Jimbaran May 2021'!V28</f>
        <v>8871.202003179651</v>
      </c>
      <c r="M18" s="178">
        <f>+'RNs &amp; Covers May 2021'!B22</f>
        <v>13</v>
      </c>
      <c r="N18" s="178">
        <f>+'RNs &amp; Covers May 2021'!C22</f>
        <v>86</v>
      </c>
    </row>
    <row r="19" spans="1:14" x14ac:dyDescent="0.25">
      <c r="A19" s="164" t="s">
        <v>49</v>
      </c>
      <c r="B19" s="165">
        <f t="shared" si="0"/>
        <v>18</v>
      </c>
      <c r="C19" s="166">
        <v>5</v>
      </c>
      <c r="D19" s="165">
        <v>2021</v>
      </c>
      <c r="E19" s="178">
        <f>'FS Jimbaran May 2021'!P29</f>
        <v>14400.000000000098</v>
      </c>
      <c r="F19" s="176">
        <f>'FS Jimbaran May 2021'!O29/'FS Jimbaran May 2021'!P29</f>
        <v>1127.130041666667</v>
      </c>
      <c r="G19" s="178">
        <f>'FS Jimbaran May 2021'!AG29</f>
        <v>62</v>
      </c>
      <c r="H19" s="176">
        <f>'FS Jimbaran May 2021'!AH29/'FS Jimbaran May 2021'!AG29</f>
        <v>0</v>
      </c>
      <c r="I19" s="178">
        <f>'FS Jimbaran May 2021'!AJ29</f>
        <v>99.629999999997381</v>
      </c>
      <c r="J19" s="168">
        <f>'FS Jimbaran May 2021'!AK29/'FS Jimbaran May 2021'!AJ29</f>
        <v>8900</v>
      </c>
      <c r="K19" s="178">
        <f>'FS Jimbaran May 2021'!V29</f>
        <v>1090.25</v>
      </c>
      <c r="L19" s="176">
        <f>'FS Jimbaran May 2021'!AA29/'FS Jimbaran May 2021'!V29</f>
        <v>8928.5953142857143</v>
      </c>
      <c r="M19" s="178">
        <f>+'RNs &amp; Covers May 2021'!B23</f>
        <v>11</v>
      </c>
      <c r="N19" s="178">
        <f>+'RNs &amp; Covers May 2021'!C23</f>
        <v>113</v>
      </c>
    </row>
    <row r="20" spans="1:14" x14ac:dyDescent="0.25">
      <c r="A20" s="164" t="s">
        <v>49</v>
      </c>
      <c r="B20" s="165">
        <f t="shared" si="0"/>
        <v>19</v>
      </c>
      <c r="C20" s="166">
        <v>5</v>
      </c>
      <c r="D20" s="165">
        <v>2021</v>
      </c>
      <c r="E20" s="178">
        <f>'FS Jimbaran May 2021'!P30</f>
        <v>14079.999999999807</v>
      </c>
      <c r="F20" s="176">
        <f>'FS Jimbaran May 2021'!O30/'FS Jimbaran May 2021'!P30</f>
        <v>1126.9992613636371</v>
      </c>
      <c r="G20" s="178">
        <f>'FS Jimbaran May 2021'!AG30</f>
        <v>112</v>
      </c>
      <c r="H20" s="176">
        <f>'FS Jimbaran May 2021'!AH30/'FS Jimbaran May 2021'!AG30</f>
        <v>1227.6785714285713</v>
      </c>
      <c r="I20" s="178">
        <f>'FS Jimbaran May 2021'!AJ30</f>
        <v>342.83000000000175</v>
      </c>
      <c r="J20" s="168">
        <f>'FS Jimbaran May 2021'!AK30/'FS Jimbaran May 2021'!AJ30</f>
        <v>8900</v>
      </c>
      <c r="K20" s="178">
        <f>'FS Jimbaran May 2021'!V30</f>
        <v>1238.8800000000001</v>
      </c>
      <c r="L20" s="176">
        <f>'FS Jimbaran May 2021'!AA30/'FS Jimbaran May 2021'!V30</f>
        <v>8406.1606321839081</v>
      </c>
      <c r="M20" s="178">
        <f>+'RNs &amp; Covers May 2021'!B24</f>
        <v>7</v>
      </c>
      <c r="N20" s="178">
        <f>+'RNs &amp; Covers May 2021'!C24</f>
        <v>103</v>
      </c>
    </row>
    <row r="21" spans="1:14" x14ac:dyDescent="0.25">
      <c r="A21" s="164" t="s">
        <v>49</v>
      </c>
      <c r="B21" s="165">
        <f t="shared" si="0"/>
        <v>20</v>
      </c>
      <c r="C21" s="166">
        <v>5</v>
      </c>
      <c r="D21" s="165">
        <v>2021</v>
      </c>
      <c r="E21" s="178">
        <f>'FS Jimbaran May 2021'!P31</f>
        <v>14400.000000000135</v>
      </c>
      <c r="F21" s="176">
        <f>'FS Jimbaran May 2021'!O31/'FS Jimbaran May 2021'!P31</f>
        <v>1126.410749999998</v>
      </c>
      <c r="G21" s="178">
        <f>'FS Jimbaran May 2021'!AG31</f>
        <v>62</v>
      </c>
      <c r="H21" s="176">
        <f>'FS Jimbaran May 2021'!AH31/'FS Jimbaran May 2021'!AG31</f>
        <v>0</v>
      </c>
      <c r="I21" s="178">
        <f>'FS Jimbaran May 2021'!AJ31</f>
        <v>108.13000000000102</v>
      </c>
      <c r="J21" s="168">
        <f>'FS Jimbaran May 2021'!AK31/'FS Jimbaran May 2021'!AJ31</f>
        <v>8900</v>
      </c>
      <c r="K21" s="178">
        <f>'FS Jimbaran May 2021'!V31</f>
        <v>988.79</v>
      </c>
      <c r="L21" s="176">
        <f>'FS Jimbaran May 2021'!AA31/'FS Jimbaran May 2021'!V31</f>
        <v>8420.8399099909984</v>
      </c>
      <c r="M21" s="178">
        <f>+'RNs &amp; Covers May 2021'!B25</f>
        <v>5</v>
      </c>
      <c r="N21" s="178">
        <f>+'RNs &amp; Covers May 2021'!C25</f>
        <v>85</v>
      </c>
    </row>
    <row r="22" spans="1:14" x14ac:dyDescent="0.25">
      <c r="A22" s="164" t="s">
        <v>49</v>
      </c>
      <c r="B22" s="165">
        <f t="shared" si="0"/>
        <v>21</v>
      </c>
      <c r="C22" s="166">
        <v>5</v>
      </c>
      <c r="D22" s="165">
        <v>2021</v>
      </c>
      <c r="E22" s="178">
        <f>'FS Jimbaran May 2021'!P32</f>
        <v>14679.9999999999</v>
      </c>
      <c r="F22" s="176">
        <f>'FS Jimbaran May 2021'!O32/'FS Jimbaran May 2021'!P32</f>
        <v>1125.3876702997291</v>
      </c>
      <c r="G22" s="178">
        <f>'FS Jimbaran May 2021'!AG32</f>
        <v>12</v>
      </c>
      <c r="H22" s="176">
        <f>'FS Jimbaran May 2021'!AH32/'FS Jimbaran May 2021'!AG32</f>
        <v>11458.333333333334</v>
      </c>
      <c r="I22" s="178">
        <f>'FS Jimbaran May 2021'!AJ32</f>
        <v>229.64999999999782</v>
      </c>
      <c r="J22" s="168">
        <f>'FS Jimbaran May 2021'!AK32/'FS Jimbaran May 2021'!AJ32</f>
        <v>8900</v>
      </c>
      <c r="K22" s="178">
        <f>'FS Jimbaran May 2021'!V32</f>
        <v>838.38</v>
      </c>
      <c r="L22" s="176">
        <f>'FS Jimbaran May 2021'!AA32/'FS Jimbaran May 2021'!V32</f>
        <v>5090.2633970276011</v>
      </c>
      <c r="M22" s="178">
        <f>+'RNs &amp; Covers May 2021'!B26</f>
        <v>10</v>
      </c>
      <c r="N22" s="178">
        <f>+'RNs &amp; Covers May 2021'!C26</f>
        <v>89</v>
      </c>
    </row>
    <row r="23" spans="1:14" x14ac:dyDescent="0.25">
      <c r="A23" s="164" t="s">
        <v>49</v>
      </c>
      <c r="B23" s="165">
        <f t="shared" si="0"/>
        <v>22</v>
      </c>
      <c r="C23" s="166">
        <v>5</v>
      </c>
      <c r="D23" s="165">
        <v>2021</v>
      </c>
      <c r="E23" s="178">
        <f>'FS Jimbaran May 2021'!P33</f>
        <v>14900.000000000204</v>
      </c>
      <c r="F23" s="176">
        <f>'FS Jimbaran May 2021'!O33/'FS Jimbaran May 2021'!P33</f>
        <v>1127.5403758389245</v>
      </c>
      <c r="G23" s="178">
        <f>'FS Jimbaran May 2021'!AG33</f>
        <v>0</v>
      </c>
      <c r="H23" s="176" t="e">
        <f>'FS Jimbaran May 2021'!AH33/'FS Jimbaran May 2021'!AG33</f>
        <v>#DIV/0!</v>
      </c>
      <c r="I23" s="178">
        <f>'FS Jimbaran May 2021'!AJ33</f>
        <v>118.40000000000146</v>
      </c>
      <c r="J23" s="168">
        <f>'FS Jimbaran May 2021'!AK33/'FS Jimbaran May 2021'!AJ33</f>
        <v>8900</v>
      </c>
      <c r="K23" s="178">
        <f>'FS Jimbaran May 2021'!V33</f>
        <v>1241.5500000000002</v>
      </c>
      <c r="L23" s="176">
        <f>'FS Jimbaran May 2021'!AA33/'FS Jimbaran May 2021'!V33</f>
        <v>8653.0247025089611</v>
      </c>
      <c r="M23" s="178">
        <f>+'RNs &amp; Covers May 2021'!B27</f>
        <v>9</v>
      </c>
      <c r="N23" s="178">
        <f>+'RNs &amp; Covers May 2021'!C27</f>
        <v>150</v>
      </c>
    </row>
    <row r="24" spans="1:14" x14ac:dyDescent="0.25">
      <c r="A24" s="164" t="s">
        <v>49</v>
      </c>
      <c r="B24" s="165">
        <f t="shared" si="0"/>
        <v>23</v>
      </c>
      <c r="C24" s="166">
        <v>5</v>
      </c>
      <c r="D24" s="165">
        <v>2021</v>
      </c>
      <c r="E24" s="178">
        <f>'FS Jimbaran May 2021'!P34</f>
        <v>14519.99999999972</v>
      </c>
      <c r="F24" s="176">
        <f>'FS Jimbaran May 2021'!O34/'FS Jimbaran May 2021'!P34</f>
        <v>1131.368512396697</v>
      </c>
      <c r="G24" s="178">
        <f>'FS Jimbaran May 2021'!AG34</f>
        <v>462</v>
      </c>
      <c r="H24" s="176">
        <f>'FS Jimbaran May 2021'!AH34/'FS Jimbaran May 2021'!AG34</f>
        <v>12531.385281385281</v>
      </c>
      <c r="I24" s="178">
        <f>'FS Jimbaran May 2021'!AJ34</f>
        <v>120.56999999999971</v>
      </c>
      <c r="J24" s="168">
        <f>'FS Jimbaran May 2021'!AK34/'FS Jimbaran May 2021'!AJ34</f>
        <v>8900</v>
      </c>
      <c r="K24" s="178">
        <f>'FS Jimbaran May 2021'!V34</f>
        <v>1253.1199999999999</v>
      </c>
      <c r="L24" s="176">
        <f>'FS Jimbaran May 2021'!AA34/'FS Jimbaran May 2021'!V34</f>
        <v>8787.7930113636376</v>
      </c>
      <c r="M24" s="178">
        <f>+'RNs &amp; Covers May 2021'!B28</f>
        <v>6</v>
      </c>
      <c r="N24" s="178">
        <f>+'RNs &amp; Covers May 2021'!C28</f>
        <v>150</v>
      </c>
    </row>
    <row r="25" spans="1:14" x14ac:dyDescent="0.25">
      <c r="A25" s="164" t="s">
        <v>49</v>
      </c>
      <c r="B25" s="165">
        <f t="shared" si="0"/>
        <v>24</v>
      </c>
      <c r="C25" s="166">
        <v>5</v>
      </c>
      <c r="D25" s="165">
        <v>2021</v>
      </c>
      <c r="E25" s="178">
        <f>'FS Jimbaran May 2021'!P35</f>
        <v>14660.000000000231</v>
      </c>
      <c r="F25" s="176">
        <f>'FS Jimbaran May 2021'!O35/'FS Jimbaran May 2021'!P35</f>
        <v>1118.4445702592068</v>
      </c>
      <c r="G25" s="178">
        <f>'FS Jimbaran May 2021'!AG35</f>
        <v>0</v>
      </c>
      <c r="H25" s="176" t="e">
        <f>'FS Jimbaran May 2021'!AH35/'FS Jimbaran May 2021'!AG35</f>
        <v>#DIV/0!</v>
      </c>
      <c r="I25" s="178">
        <f>'FS Jimbaran May 2021'!AJ35</f>
        <v>256.59000000000015</v>
      </c>
      <c r="J25" s="168">
        <f>'FS Jimbaran May 2021'!AK35/'FS Jimbaran May 2021'!AJ35</f>
        <v>8900</v>
      </c>
      <c r="K25" s="178">
        <f>'FS Jimbaran May 2021'!V35</f>
        <v>1246.8900000000001</v>
      </c>
      <c r="L25" s="176">
        <f>'FS Jimbaran May 2021'!AA35/'FS Jimbaran May 2021'!V35</f>
        <v>8781.0994575303357</v>
      </c>
      <c r="M25" s="178">
        <f>+'RNs &amp; Covers May 2021'!B29</f>
        <v>3</v>
      </c>
      <c r="N25" s="178">
        <f>+'RNs &amp; Covers May 2021'!C29</f>
        <v>56</v>
      </c>
    </row>
    <row r="26" spans="1:14" x14ac:dyDescent="0.25">
      <c r="A26" s="164" t="s">
        <v>49</v>
      </c>
      <c r="B26" s="165">
        <f>B25+1</f>
        <v>25</v>
      </c>
      <c r="C26" s="166">
        <v>5</v>
      </c>
      <c r="D26" s="165">
        <v>2021</v>
      </c>
      <c r="E26" s="178">
        <f>'FS Jimbaran May 2021'!P36</f>
        <v>14679.999999999865</v>
      </c>
      <c r="F26" s="176">
        <f>'FS Jimbaran May 2021'!O36/'FS Jimbaran May 2021'!P36</f>
        <v>1131.0322479564036</v>
      </c>
      <c r="G26" s="178">
        <f>'FS Jimbaran May 2021'!AG36</f>
        <v>84</v>
      </c>
      <c r="H26" s="176">
        <f>'FS Jimbaran May 2021'!AH36/'FS Jimbaran May 2021'!AG36</f>
        <v>11458.333333333334</v>
      </c>
      <c r="I26" s="178">
        <f>'FS Jimbaran May 2021'!AJ36</f>
        <v>112.5099999999984</v>
      </c>
      <c r="J26" s="168">
        <f>'FS Jimbaran May 2021'!AK36/'FS Jimbaran May 2021'!AJ36</f>
        <v>8900</v>
      </c>
      <c r="K26" s="178">
        <f>'FS Jimbaran May 2021'!V36</f>
        <v>1036.8499999999999</v>
      </c>
      <c r="L26" s="176">
        <f>'FS Jimbaran May 2021'!AA36/'FS Jimbaran May 2021'!V36</f>
        <v>9605.7127038626622</v>
      </c>
      <c r="M26" s="178">
        <f>+'RNs &amp; Covers May 2021'!B30</f>
        <v>7</v>
      </c>
      <c r="N26" s="178">
        <f>+'RNs &amp; Covers May 2021'!C30</f>
        <v>64</v>
      </c>
    </row>
    <row r="27" spans="1:14" x14ac:dyDescent="0.25">
      <c r="A27" s="164" t="s">
        <v>49</v>
      </c>
      <c r="B27" s="165">
        <f t="shared" si="0"/>
        <v>26</v>
      </c>
      <c r="C27" s="166">
        <v>5</v>
      </c>
      <c r="D27" s="165">
        <v>2021</v>
      </c>
      <c r="E27" s="178">
        <f>'FS Jimbaran May 2021'!P37</f>
        <v>14660.000000000231</v>
      </c>
      <c r="F27" s="176">
        <f>'FS Jimbaran May 2021'!O37/'FS Jimbaran May 2021'!P37</f>
        <v>1124.0968485675296</v>
      </c>
      <c r="G27" s="178">
        <f>'FS Jimbaran May 2021'!AG37</f>
        <v>0</v>
      </c>
      <c r="H27" s="176" t="e">
        <f>'FS Jimbaran May 2021'!AH37/'FS Jimbaran May 2021'!AG37</f>
        <v>#DIV/0!</v>
      </c>
      <c r="I27" s="178">
        <f>'FS Jimbaran May 2021'!AJ37</f>
        <v>300.29999999995562</v>
      </c>
      <c r="J27" s="168">
        <f>'FS Jimbaran May 2021'!AK37/'FS Jimbaran May 2021'!AJ37</f>
        <v>8900</v>
      </c>
      <c r="K27" s="178">
        <f>'FS Jimbaran May 2021'!V37</f>
        <v>1046.6400000000001</v>
      </c>
      <c r="L27" s="176">
        <f>'FS Jimbaran May 2021'!AA37/'FS Jimbaran May 2021'!V37</f>
        <v>9637.2699999999986</v>
      </c>
      <c r="M27" s="178">
        <f>+'RNs &amp; Covers May 2021'!B31</f>
        <v>8</v>
      </c>
      <c r="N27" s="178">
        <f>+'RNs &amp; Covers May 2021'!C31</f>
        <v>117</v>
      </c>
    </row>
    <row r="28" spans="1:14" x14ac:dyDescent="0.25">
      <c r="A28" s="164" t="s">
        <v>49</v>
      </c>
      <c r="B28" s="165">
        <f t="shared" si="0"/>
        <v>27</v>
      </c>
      <c r="C28" s="166">
        <v>5</v>
      </c>
      <c r="D28" s="165">
        <v>2021</v>
      </c>
      <c r="E28" s="178">
        <f>'FS Jimbaran May 2021'!P38</f>
        <v>14839.999999999933</v>
      </c>
      <c r="F28" s="176">
        <f>'FS Jimbaran May 2021'!O38/'FS Jimbaran May 2021'!P38</f>
        <v>1130.7032345013486</v>
      </c>
      <c r="G28" s="178">
        <f>'FS Jimbaran May 2021'!AG38</f>
        <v>50</v>
      </c>
      <c r="H28" s="176">
        <f>'FS Jimbaran May 2021'!AH38/'FS Jimbaran May 2021'!AG38</f>
        <v>12560</v>
      </c>
      <c r="I28" s="178">
        <f>'FS Jimbaran May 2021'!AJ38</f>
        <v>291.93999999999869</v>
      </c>
      <c r="J28" s="168">
        <f>'FS Jimbaran May 2021'!AK38/'FS Jimbaran May 2021'!AJ38</f>
        <v>8900</v>
      </c>
      <c r="K28" s="178">
        <f>'FS Jimbaran May 2021'!V38</f>
        <v>1112.5</v>
      </c>
      <c r="L28" s="176">
        <f>'FS Jimbaran May 2021'!AA38/'FS Jimbaran May 2021'!V38</f>
        <v>9186.2952000000005</v>
      </c>
      <c r="M28" s="178">
        <f>+'RNs &amp; Covers May 2021'!B32</f>
        <v>7</v>
      </c>
      <c r="N28" s="178">
        <f>+'RNs &amp; Covers May 2021'!C32</f>
        <v>117</v>
      </c>
    </row>
    <row r="29" spans="1:14" x14ac:dyDescent="0.25">
      <c r="A29" s="164" t="s">
        <v>49</v>
      </c>
      <c r="B29" s="165">
        <f t="shared" si="0"/>
        <v>28</v>
      </c>
      <c r="C29" s="166">
        <v>5</v>
      </c>
      <c r="D29" s="165">
        <v>2021</v>
      </c>
      <c r="E29" s="178">
        <f>'FS Jimbaran May 2021'!P39</f>
        <v>15260.000000000076</v>
      </c>
      <c r="F29" s="176">
        <f>'FS Jimbaran May 2021'!O39/'FS Jimbaran May 2021'!P39</f>
        <v>1123.3393840104839</v>
      </c>
      <c r="G29" s="178">
        <f>'FS Jimbaran May 2021'!AG39</f>
        <v>800</v>
      </c>
      <c r="H29" s="176">
        <f>'FS Jimbaran May 2021'!AH39/'FS Jimbaran May 2021'!AG39</f>
        <v>12560</v>
      </c>
      <c r="I29" s="178">
        <f>'FS Jimbaran May 2021'!AJ39</f>
        <v>274.93999999999869</v>
      </c>
      <c r="J29" s="168">
        <f>'FS Jimbaran May 2021'!AK39/'FS Jimbaran May 2021'!AJ39</f>
        <v>8900</v>
      </c>
      <c r="K29" s="178">
        <f>'FS Jimbaran May 2021'!V39</f>
        <v>1112.5</v>
      </c>
      <c r="L29" s="176">
        <f>'FS Jimbaran May 2021'!AA39/'FS Jimbaran May 2021'!V39</f>
        <v>9142.3741759999994</v>
      </c>
      <c r="M29" s="178">
        <f>+'RNs &amp; Covers May 2021'!B33</f>
        <v>8</v>
      </c>
      <c r="N29" s="178">
        <f>+'RNs &amp; Covers May 2021'!C33</f>
        <v>118</v>
      </c>
    </row>
    <row r="30" spans="1:14" x14ac:dyDescent="0.25">
      <c r="A30" s="164" t="s">
        <v>49</v>
      </c>
      <c r="B30" s="165">
        <f t="shared" si="0"/>
        <v>29</v>
      </c>
      <c r="C30" s="166">
        <v>5</v>
      </c>
      <c r="D30" s="165">
        <v>2021</v>
      </c>
      <c r="E30" s="178">
        <f>'FS Jimbaran May 2021'!P40</f>
        <v>15339.999999999933</v>
      </c>
      <c r="F30" s="176">
        <f>'FS Jimbaran May 2021'!O40/'FS Jimbaran May 2021'!P40</f>
        <v>1126.9340417209921</v>
      </c>
      <c r="G30" s="178">
        <f>'FS Jimbaran May 2021'!AG40</f>
        <v>0</v>
      </c>
      <c r="H30" s="176" t="e">
        <f>'FS Jimbaran May 2021'!AH40/'FS Jimbaran May 2021'!AG40</f>
        <v>#DIV/0!</v>
      </c>
      <c r="I30" s="178">
        <f>'FS Jimbaran May 2021'!AJ40</f>
        <v>332.41000000001441</v>
      </c>
      <c r="J30" s="168">
        <f>'FS Jimbaran May 2021'!AK40/'FS Jimbaran May 2021'!AJ40</f>
        <v>8900</v>
      </c>
      <c r="K30" s="178">
        <f>'FS Jimbaran May 2021'!V40</f>
        <v>1052.3359999999998</v>
      </c>
      <c r="L30" s="176">
        <f>'FS Jimbaran May 2021'!AA40/'FS Jimbaran May 2021'!V40</f>
        <v>8969.6431596752391</v>
      </c>
      <c r="M30" s="178">
        <f>+'RNs &amp; Covers May 2021'!B34</f>
        <v>11</v>
      </c>
      <c r="N30" s="178">
        <f>+'RNs &amp; Covers May 2021'!C34</f>
        <v>137</v>
      </c>
    </row>
    <row r="31" spans="1:14" x14ac:dyDescent="0.25">
      <c r="A31" s="164" t="s">
        <v>49</v>
      </c>
      <c r="B31" s="165">
        <f t="shared" si="0"/>
        <v>30</v>
      </c>
      <c r="C31" s="166">
        <v>5</v>
      </c>
      <c r="D31" s="165">
        <v>2021</v>
      </c>
      <c r="E31" s="178">
        <f>'FS Jimbaran May 2021'!P41</f>
        <v>14520.000000000018</v>
      </c>
      <c r="F31" s="176">
        <f>'FS Jimbaran May 2021'!O41/'FS Jimbaran May 2021'!P41</f>
        <v>1126.3750826446269</v>
      </c>
      <c r="G31" s="178">
        <f>'FS Jimbaran May 2021'!AG41</f>
        <v>12</v>
      </c>
      <c r="H31" s="176">
        <f>'FS Jimbaran May 2021'!AH41/'FS Jimbaran May 2021'!AG41</f>
        <v>11458.333333333334</v>
      </c>
      <c r="I31" s="178">
        <f>'FS Jimbaran May 2021'!AJ41</f>
        <v>155.34000000000015</v>
      </c>
      <c r="J31" s="168">
        <f>'FS Jimbaran May 2021'!AK41/'FS Jimbaran May 2021'!AJ41</f>
        <v>8900</v>
      </c>
      <c r="K31" s="178">
        <f>'FS Jimbaran May 2021'!V41</f>
        <v>967.96400000000028</v>
      </c>
      <c r="L31" s="176">
        <f>'FS Jimbaran May 2021'!AA41/'FS Jimbaran May 2021'!V41</f>
        <v>9406.6877969841844</v>
      </c>
      <c r="M31" s="178">
        <f>+'RNs &amp; Covers May 2021'!B35</f>
        <v>10</v>
      </c>
      <c r="N31" s="178">
        <f>+'RNs &amp; Covers May 2021'!C35</f>
        <v>163</v>
      </c>
    </row>
    <row r="32" spans="1:14" x14ac:dyDescent="0.25">
      <c r="A32" s="164" t="s">
        <v>49</v>
      </c>
      <c r="B32" s="165">
        <f t="shared" si="0"/>
        <v>31</v>
      </c>
      <c r="C32" s="166">
        <v>5</v>
      </c>
      <c r="D32" s="165">
        <v>2021</v>
      </c>
      <c r="E32" s="178">
        <f>'FS Jimbaran May 2021'!P42</f>
        <v>15040.000000000049</v>
      </c>
      <c r="F32" s="176">
        <f>'FS Jimbaran May 2021'!O42/'FS Jimbaran May 2021'!P42</f>
        <v>1125.9975398936167</v>
      </c>
      <c r="G32" s="178">
        <f>'FS Jimbaran May 2021'!AG42</f>
        <v>12</v>
      </c>
      <c r="H32" s="176">
        <f>'FS Jimbaran May 2021'!AH42/'FS Jimbaran May 2021'!AG42</f>
        <v>11458.333333333334</v>
      </c>
      <c r="I32" s="178">
        <f>'FS Jimbaran May 2021'!AJ42</f>
        <v>317.34000000000015</v>
      </c>
      <c r="J32" s="168">
        <f>'FS Jimbaran May 2021'!AK42/'FS Jimbaran May 2021'!AJ42</f>
        <v>8900</v>
      </c>
      <c r="K32" s="178">
        <f>'FS Jimbaran May 2021'!V42</f>
        <v>1161.45</v>
      </c>
      <c r="L32" s="176">
        <f>'FS Jimbaran May 2021'!AA42/'FS Jimbaran May 2021'!V42</f>
        <v>8914.9440459770103</v>
      </c>
      <c r="M32" s="178">
        <f>+'RNs &amp; Covers May 2021'!B36</f>
        <v>12</v>
      </c>
      <c r="N32" s="178">
        <f>+'RNs &amp; Covers May 2021'!C36</f>
        <v>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tabSelected="1" zoomScale="62" zoomScaleNormal="62" workbookViewId="0">
      <pane xSplit="4" ySplit="10" topLeftCell="T11" activePane="bottomRight" state="frozen"/>
      <selection pane="topRight" activeCell="E1" sqref="E1"/>
      <selection pane="bottomLeft" activeCell="A11" sqref="A11"/>
      <selection pane="bottomRight" activeCell="AH49" sqref="AH49:AK49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x14ac:dyDescent="0.25">
      <c r="N5" s="179"/>
      <c r="X5" s="180"/>
    </row>
    <row r="6" spans="1:39" s="28" customFormat="1" ht="19.5" thickBot="1" x14ac:dyDescent="0.35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5" thickBot="1" x14ac:dyDescent="0.3">
      <c r="A7" s="33"/>
      <c r="B7" s="234" t="s">
        <v>54</v>
      </c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6"/>
      <c r="AM7" s="33"/>
    </row>
    <row r="8" spans="1:39" s="8" customFormat="1" ht="15.75" customHeight="1" thickBot="1" x14ac:dyDescent="0.3">
      <c r="A8" s="29"/>
      <c r="B8" s="237" t="s">
        <v>1</v>
      </c>
      <c r="C8" s="240" t="s">
        <v>2</v>
      </c>
      <c r="D8" s="243" t="s">
        <v>3</v>
      </c>
      <c r="E8" s="246" t="s">
        <v>34</v>
      </c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7"/>
      <c r="V8" s="248" t="s">
        <v>19</v>
      </c>
      <c r="W8" s="249"/>
      <c r="X8" s="249"/>
      <c r="Y8" s="249"/>
      <c r="Z8" s="249"/>
      <c r="AA8" s="249"/>
      <c r="AB8" s="250"/>
      <c r="AC8" s="251" t="s">
        <v>24</v>
      </c>
      <c r="AD8" s="251"/>
      <c r="AE8" s="251"/>
      <c r="AF8" s="251"/>
      <c r="AG8" s="251"/>
      <c r="AH8" s="251"/>
      <c r="AI8" s="251"/>
      <c r="AJ8" s="251"/>
      <c r="AK8" s="251"/>
      <c r="AL8" s="252"/>
      <c r="AM8" s="31"/>
    </row>
    <row r="9" spans="1:39" ht="15" customHeight="1" thickBot="1" x14ac:dyDescent="0.3">
      <c r="A9" s="32"/>
      <c r="B9" s="238"/>
      <c r="C9" s="241"/>
      <c r="D9" s="244"/>
      <c r="E9" s="253" t="s">
        <v>33</v>
      </c>
      <c r="F9" s="254"/>
      <c r="G9" s="254"/>
      <c r="H9" s="254"/>
      <c r="I9" s="255"/>
      <c r="J9" s="256" t="s">
        <v>5</v>
      </c>
      <c r="K9" s="256"/>
      <c r="L9" s="256"/>
      <c r="M9" s="256"/>
      <c r="N9" s="257"/>
      <c r="O9" s="243" t="s">
        <v>12</v>
      </c>
      <c r="P9" s="258" t="s">
        <v>32</v>
      </c>
      <c r="Q9" s="260" t="s">
        <v>52</v>
      </c>
      <c r="R9" s="262" t="s">
        <v>21</v>
      </c>
      <c r="S9" s="264" t="s">
        <v>13</v>
      </c>
      <c r="T9" s="230" t="s">
        <v>18</v>
      </c>
      <c r="U9" s="231"/>
      <c r="V9" s="56"/>
      <c r="W9" s="56" t="s">
        <v>4</v>
      </c>
      <c r="X9" s="56"/>
      <c r="Y9" s="57"/>
      <c r="Z9" s="185"/>
      <c r="AA9" s="232" t="s">
        <v>27</v>
      </c>
      <c r="AB9" s="233"/>
      <c r="AC9" s="251" t="s">
        <v>22</v>
      </c>
      <c r="AD9" s="251"/>
      <c r="AE9" s="251"/>
      <c r="AF9" s="251"/>
      <c r="AG9" s="251"/>
      <c r="AH9" s="251"/>
      <c r="AI9" s="252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39"/>
      <c r="C10" s="242"/>
      <c r="D10" s="245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45"/>
      <c r="P10" s="259"/>
      <c r="Q10" s="261"/>
      <c r="R10" s="263"/>
      <c r="S10" s="265"/>
      <c r="T10" s="186" t="s">
        <v>16</v>
      </c>
      <c r="U10" s="25" t="s">
        <v>17</v>
      </c>
      <c r="V10" s="187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8"/>
      <c r="E11" s="189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0"/>
      <c r="R11" s="116"/>
      <c r="S11" s="191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153">
        <v>9</v>
      </c>
      <c r="D12" s="155">
        <v>72</v>
      </c>
      <c r="E12" s="109">
        <v>10359.9999999999</v>
      </c>
      <c r="F12" s="3">
        <v>10730680.799999896</v>
      </c>
      <c r="G12" s="38">
        <v>2279.9999999999727</v>
      </c>
      <c r="H12" s="3">
        <v>3542367.5999999577</v>
      </c>
      <c r="I12" s="106">
        <f>F12+H12</f>
        <v>14273048.399999853</v>
      </c>
      <c r="J12" s="109">
        <v>1360.0000000000136</v>
      </c>
      <c r="K12" s="3">
        <v>1408660.800000014</v>
      </c>
      <c r="L12" s="192">
        <v>399.99999999999858</v>
      </c>
      <c r="M12" s="193">
        <v>621467.99999999779</v>
      </c>
      <c r="N12" s="97">
        <f>+K12+M12</f>
        <v>2030128.8000000119</v>
      </c>
      <c r="O12" s="111">
        <f>N12+I12</f>
        <v>16303177.199999865</v>
      </c>
      <c r="P12" s="114">
        <f>L12+J12+G12+E12</f>
        <v>14399.999999999885</v>
      </c>
      <c r="Q12" s="138"/>
      <c r="R12" s="209"/>
      <c r="S12" s="223"/>
      <c r="T12" s="220"/>
      <c r="U12" s="218">
        <v>0</v>
      </c>
      <c r="V12" s="194">
        <f>Y12+W12</f>
        <v>1033.29</v>
      </c>
      <c r="W12" s="3">
        <v>404.95</v>
      </c>
      <c r="X12" s="3">
        <v>7277153.9749999996</v>
      </c>
      <c r="Y12" s="34">
        <v>628.34</v>
      </c>
      <c r="Z12" s="34">
        <v>2667416.4012000002</v>
      </c>
      <c r="AA12" s="34">
        <f t="shared" ref="AA12:AA39" si="0">Z12+X12</f>
        <v>9944570.3761999998</v>
      </c>
      <c r="AB12" s="131">
        <f t="shared" ref="AB12:AB39" si="1">AA12/$AL$48</f>
        <v>766.3764952462567</v>
      </c>
      <c r="AC12" s="137">
        <v>0</v>
      </c>
      <c r="AD12" s="3">
        <v>0</v>
      </c>
      <c r="AE12" s="3">
        <v>0</v>
      </c>
      <c r="AF12" s="3">
        <v>24</v>
      </c>
      <c r="AG12" s="3">
        <v>62</v>
      </c>
      <c r="AH12" s="3">
        <v>275000</v>
      </c>
      <c r="AI12" s="46">
        <f t="shared" ref="AI12:AI39" si="2">AH12/$AL$48</f>
        <v>21.192824649027557</v>
      </c>
      <c r="AJ12" s="146">
        <v>134.84000000000015</v>
      </c>
      <c r="AK12" s="3">
        <v>1200076.0000000014</v>
      </c>
      <c r="AL12" s="42">
        <f t="shared" ref="AL12:AL42" si="3">AK12/$AL$48</f>
        <v>92.483637212750637</v>
      </c>
      <c r="AM12" s="7"/>
    </row>
    <row r="13" spans="1:39" x14ac:dyDescent="0.25">
      <c r="A13" s="36"/>
      <c r="B13" s="61">
        <v>2</v>
      </c>
      <c r="C13" s="153">
        <v>5</v>
      </c>
      <c r="D13" s="155">
        <v>109</v>
      </c>
      <c r="E13" s="109">
        <v>11200.000000000045</v>
      </c>
      <c r="F13" s="3">
        <v>11600736.000000047</v>
      </c>
      <c r="G13" s="38">
        <v>2319.9999999999932</v>
      </c>
      <c r="H13" s="3">
        <v>3604514.3999999897</v>
      </c>
      <c r="I13" s="106">
        <f t="shared" ref="I13:I42" si="4">F13+H13</f>
        <v>15205250.400000036</v>
      </c>
      <c r="J13" s="109">
        <v>1419.9999999999875</v>
      </c>
      <c r="K13" s="3">
        <v>1470807.5999999871</v>
      </c>
      <c r="L13" s="192">
        <v>359.99999999999943</v>
      </c>
      <c r="M13" s="193">
        <v>559321.19999999914</v>
      </c>
      <c r="N13" s="97">
        <f t="shared" ref="N13:N41" si="5">+K13+M13</f>
        <v>2030128.7999999863</v>
      </c>
      <c r="O13" s="111">
        <f t="shared" ref="O13:O39" si="6">N13+I13</f>
        <v>17235379.200000022</v>
      </c>
      <c r="P13" s="114">
        <f t="shared" ref="P13:P39" si="7">L13+J13+G13+E13</f>
        <v>15300.000000000025</v>
      </c>
      <c r="Q13" s="197"/>
      <c r="R13" s="210"/>
      <c r="S13" s="198"/>
      <c r="T13" s="221"/>
      <c r="U13" s="218">
        <v>0</v>
      </c>
      <c r="V13" s="194">
        <f t="shared" ref="V13:V42" si="8">Y13+W13</f>
        <v>1027.06</v>
      </c>
      <c r="W13" s="3">
        <v>391.6</v>
      </c>
      <c r="X13" s="3">
        <v>7037247.8000000007</v>
      </c>
      <c r="Y13" s="34">
        <v>635.46</v>
      </c>
      <c r="Z13" s="34">
        <v>2697642.0828000004</v>
      </c>
      <c r="AA13" s="34">
        <f t="shared" si="0"/>
        <v>9734889.8828000017</v>
      </c>
      <c r="AB13" s="131">
        <f t="shared" si="1"/>
        <v>750.21750641371955</v>
      </c>
      <c r="AC13" s="137">
        <v>0</v>
      </c>
      <c r="AD13" s="3">
        <v>0</v>
      </c>
      <c r="AE13" s="3">
        <v>400</v>
      </c>
      <c r="AF13" s="3">
        <v>0</v>
      </c>
      <c r="AG13" s="3">
        <v>112</v>
      </c>
      <c r="AH13" s="3">
        <v>5024000</v>
      </c>
      <c r="AI13" s="46">
        <f t="shared" si="2"/>
        <v>387.17364013350709</v>
      </c>
      <c r="AJ13" s="146">
        <v>87.950000000000728</v>
      </c>
      <c r="AK13" s="3">
        <v>782755.00000000652</v>
      </c>
      <c r="AL13" s="42">
        <f t="shared" si="3"/>
        <v>60.322870756908017</v>
      </c>
      <c r="AM13" s="7"/>
    </row>
    <row r="14" spans="1:39" x14ac:dyDescent="0.25">
      <c r="A14" s="36"/>
      <c r="B14" s="61">
        <v>3</v>
      </c>
      <c r="C14" s="153">
        <v>3</v>
      </c>
      <c r="D14" s="155">
        <v>62</v>
      </c>
      <c r="E14" s="109">
        <v>10879.999999999882</v>
      </c>
      <c r="F14" s="3">
        <v>11269286.399999877</v>
      </c>
      <c r="G14" s="38">
        <v>2160.000000000025</v>
      </c>
      <c r="H14" s="3">
        <v>3355927.2000000388</v>
      </c>
      <c r="I14" s="106">
        <f t="shared" si="4"/>
        <v>14625213.599999916</v>
      </c>
      <c r="J14" s="109">
        <v>1520.0000000000102</v>
      </c>
      <c r="K14" s="3">
        <v>1574385.6000000106</v>
      </c>
      <c r="L14" s="192">
        <v>500</v>
      </c>
      <c r="M14" s="193">
        <v>776835</v>
      </c>
      <c r="N14" s="97">
        <f t="shared" si="5"/>
        <v>2351220.6000000108</v>
      </c>
      <c r="O14" s="111">
        <f t="shared" si="6"/>
        <v>16976434.199999928</v>
      </c>
      <c r="P14" s="114">
        <f t="shared" si="7"/>
        <v>15059.999999999916</v>
      </c>
      <c r="Q14" s="197"/>
      <c r="R14" s="210"/>
      <c r="S14" s="198"/>
      <c r="T14" s="221"/>
      <c r="U14" s="218">
        <v>0</v>
      </c>
      <c r="V14" s="194">
        <f t="shared" si="8"/>
        <v>1004.8100000000001</v>
      </c>
      <c r="W14" s="3">
        <v>361.34000000000003</v>
      </c>
      <c r="X14" s="3">
        <v>6493460.4700000007</v>
      </c>
      <c r="Y14" s="34">
        <v>643.47</v>
      </c>
      <c r="Z14" s="34">
        <v>2731645.9746000003</v>
      </c>
      <c r="AA14" s="34">
        <f t="shared" si="0"/>
        <v>9225106.444600001</v>
      </c>
      <c r="AB14" s="131">
        <f t="shared" si="1"/>
        <v>710.93113908735222</v>
      </c>
      <c r="AC14" s="137">
        <v>0</v>
      </c>
      <c r="AD14" s="3">
        <v>0</v>
      </c>
      <c r="AE14" s="3">
        <v>0</v>
      </c>
      <c r="AF14" s="3">
        <v>24</v>
      </c>
      <c r="AG14" s="3">
        <v>112</v>
      </c>
      <c r="AH14" s="3">
        <v>275000</v>
      </c>
      <c r="AI14" s="46">
        <f t="shared" si="2"/>
        <v>21.192824649027557</v>
      </c>
      <c r="AJ14" s="146">
        <v>202</v>
      </c>
      <c r="AK14" s="3">
        <v>1797800</v>
      </c>
      <c r="AL14" s="42">
        <f t="shared" si="3"/>
        <v>138.54712783280632</v>
      </c>
      <c r="AM14" s="7"/>
    </row>
    <row r="15" spans="1:39" x14ac:dyDescent="0.25">
      <c r="A15" s="36"/>
      <c r="B15" s="61">
        <v>4</v>
      </c>
      <c r="C15" s="153">
        <v>1</v>
      </c>
      <c r="D15" s="155">
        <v>62</v>
      </c>
      <c r="E15" s="109">
        <v>10680.000000000064</v>
      </c>
      <c r="F15" s="3">
        <v>11062130.400000066</v>
      </c>
      <c r="G15" s="38">
        <v>2159.9999999999682</v>
      </c>
      <c r="H15" s="3">
        <v>3355927.1999999508</v>
      </c>
      <c r="I15" s="106">
        <f t="shared" si="4"/>
        <v>14418057.600000016</v>
      </c>
      <c r="J15" s="109">
        <v>1719.9999999999989</v>
      </c>
      <c r="K15" s="3">
        <v>1781541.5999999987</v>
      </c>
      <c r="L15" s="192">
        <v>380.00000000000256</v>
      </c>
      <c r="M15" s="193">
        <v>590394.60000000405</v>
      </c>
      <c r="N15" s="97">
        <f t="shared" si="5"/>
        <v>2371936.200000003</v>
      </c>
      <c r="O15" s="111">
        <f t="shared" si="6"/>
        <v>16789993.800000019</v>
      </c>
      <c r="P15" s="114">
        <f t="shared" si="7"/>
        <v>14940.000000000033</v>
      </c>
      <c r="Q15" s="197"/>
      <c r="R15" s="210"/>
      <c r="S15" s="198"/>
      <c r="T15" s="221"/>
      <c r="U15" s="218">
        <v>0</v>
      </c>
      <c r="V15" s="194">
        <f t="shared" si="8"/>
        <v>1049.31</v>
      </c>
      <c r="W15" s="3">
        <v>405.84000000000003</v>
      </c>
      <c r="X15" s="3">
        <v>7293147.7200000007</v>
      </c>
      <c r="Y15" s="34">
        <v>643.47</v>
      </c>
      <c r="Z15" s="34">
        <v>2731645.9746000003</v>
      </c>
      <c r="AA15" s="34">
        <f t="shared" si="0"/>
        <v>10024793.694600001</v>
      </c>
      <c r="AB15" s="131">
        <f t="shared" si="1"/>
        <v>772.55889059030881</v>
      </c>
      <c r="AC15" s="137">
        <v>0</v>
      </c>
      <c r="AD15" s="3">
        <v>0</v>
      </c>
      <c r="AE15" s="3">
        <v>0</v>
      </c>
      <c r="AF15" s="3">
        <v>0</v>
      </c>
      <c r="AG15" s="3">
        <v>62</v>
      </c>
      <c r="AH15" s="3">
        <v>0</v>
      </c>
      <c r="AI15" s="46">
        <f t="shared" si="2"/>
        <v>0</v>
      </c>
      <c r="AJ15" s="146">
        <v>187.5</v>
      </c>
      <c r="AK15" s="3">
        <v>1668750</v>
      </c>
      <c r="AL15" s="42">
        <f t="shared" si="3"/>
        <v>128.60191321114451</v>
      </c>
      <c r="AM15" s="7"/>
    </row>
    <row r="16" spans="1:39" x14ac:dyDescent="0.25">
      <c r="A16" s="36"/>
      <c r="B16" s="61">
        <v>5</v>
      </c>
      <c r="C16" s="153">
        <v>3</v>
      </c>
      <c r="D16" s="155">
        <v>59</v>
      </c>
      <c r="E16" s="109">
        <v>10959.999999999809</v>
      </c>
      <c r="F16" s="3">
        <v>11352148.799999801</v>
      </c>
      <c r="G16" s="38">
        <v>2240.0000000000091</v>
      </c>
      <c r="H16" s="3">
        <v>3480220.8000000142</v>
      </c>
      <c r="I16" s="106">
        <f t="shared" si="4"/>
        <v>14832369.599999815</v>
      </c>
      <c r="J16" s="109">
        <v>1460.000000000008</v>
      </c>
      <c r="K16" s="3">
        <v>1512238.8000000082</v>
      </c>
      <c r="L16" s="192">
        <v>359.99999999999943</v>
      </c>
      <c r="M16" s="193">
        <v>559321.19999999914</v>
      </c>
      <c r="N16" s="97">
        <f t="shared" si="5"/>
        <v>2071560.0000000075</v>
      </c>
      <c r="O16" s="111">
        <f t="shared" si="6"/>
        <v>16903929.599999823</v>
      </c>
      <c r="P16" s="114">
        <f t="shared" si="7"/>
        <v>15019.999999999825</v>
      </c>
      <c r="Q16" s="197"/>
      <c r="R16" s="210"/>
      <c r="S16" s="198"/>
      <c r="T16" s="221"/>
      <c r="U16" s="218">
        <v>0</v>
      </c>
      <c r="V16" s="194">
        <f t="shared" si="8"/>
        <v>1006.5899999999999</v>
      </c>
      <c r="W16" s="3">
        <v>358.67</v>
      </c>
      <c r="X16" s="3">
        <v>6445479.2350000003</v>
      </c>
      <c r="Y16" s="34">
        <v>647.91999999999996</v>
      </c>
      <c r="Z16" s="34">
        <v>2750537.0255999998</v>
      </c>
      <c r="AA16" s="34">
        <f t="shared" si="0"/>
        <v>9196016.2606000006</v>
      </c>
      <c r="AB16" s="131">
        <f t="shared" si="1"/>
        <v>708.68930938364338</v>
      </c>
      <c r="AC16" s="137">
        <v>0</v>
      </c>
      <c r="AD16" s="3">
        <v>0</v>
      </c>
      <c r="AE16" s="3">
        <v>0</v>
      </c>
      <c r="AF16" s="3">
        <v>48</v>
      </c>
      <c r="AG16" s="3">
        <v>112</v>
      </c>
      <c r="AH16" s="3">
        <v>550000</v>
      </c>
      <c r="AI16" s="46">
        <f t="shared" si="2"/>
        <v>42.385649298055114</v>
      </c>
      <c r="AJ16" s="146">
        <v>257.90000000000146</v>
      </c>
      <c r="AK16" s="3">
        <v>2295310.000000013</v>
      </c>
      <c r="AL16" s="42">
        <f t="shared" si="3"/>
        <v>176.88764489148988</v>
      </c>
      <c r="AM16" s="7"/>
    </row>
    <row r="17" spans="1:39" x14ac:dyDescent="0.25">
      <c r="A17" s="36"/>
      <c r="B17" s="61">
        <v>6</v>
      </c>
      <c r="C17" s="153">
        <v>2</v>
      </c>
      <c r="D17" s="155">
        <v>68</v>
      </c>
      <c r="E17" s="109">
        <v>11480.000000000018</v>
      </c>
      <c r="F17" s="3">
        <v>11890754.400000019</v>
      </c>
      <c r="G17" s="38">
        <v>2400.0000000000341</v>
      </c>
      <c r="H17" s="3">
        <v>3728808.0000000531</v>
      </c>
      <c r="I17" s="106">
        <f t="shared" si="4"/>
        <v>15619562.400000073</v>
      </c>
      <c r="J17" s="109">
        <v>1459.9999999999795</v>
      </c>
      <c r="K17" s="3">
        <v>1512238.7999999789</v>
      </c>
      <c r="L17" s="192">
        <v>359.99999999999943</v>
      </c>
      <c r="M17" s="193">
        <v>559321.19999999914</v>
      </c>
      <c r="N17" s="97">
        <f t="shared" si="5"/>
        <v>2071559.9999999781</v>
      </c>
      <c r="O17" s="111">
        <f t="shared" si="6"/>
        <v>17691122.400000051</v>
      </c>
      <c r="P17" s="114">
        <f t="shared" si="7"/>
        <v>15700.000000000031</v>
      </c>
      <c r="Q17" s="197"/>
      <c r="R17" s="210"/>
      <c r="S17" s="198"/>
      <c r="T17" s="198"/>
      <c r="U17" s="218">
        <v>0</v>
      </c>
      <c r="V17" s="194">
        <f t="shared" si="8"/>
        <v>1025.2800000000002</v>
      </c>
      <c r="W17" s="3">
        <v>361.34000000000003</v>
      </c>
      <c r="X17" s="3">
        <v>6493460.4700000007</v>
      </c>
      <c r="Y17" s="34">
        <v>663.94</v>
      </c>
      <c r="Z17" s="34">
        <v>2818544.8092000005</v>
      </c>
      <c r="AA17" s="34">
        <f t="shared" si="0"/>
        <v>9312005.2792000007</v>
      </c>
      <c r="AB17" s="131">
        <f t="shared" si="1"/>
        <v>717.62798186510736</v>
      </c>
      <c r="AC17" s="137">
        <v>0</v>
      </c>
      <c r="AD17" s="3">
        <v>0</v>
      </c>
      <c r="AE17" s="3">
        <v>0</v>
      </c>
      <c r="AF17" s="3">
        <v>0</v>
      </c>
      <c r="AG17" s="3">
        <v>62</v>
      </c>
      <c r="AH17" s="3">
        <v>0</v>
      </c>
      <c r="AI17" s="46">
        <f t="shared" si="2"/>
        <v>0</v>
      </c>
      <c r="AJ17" s="146">
        <v>89.879999999997381</v>
      </c>
      <c r="AK17" s="3">
        <v>799931.99999997672</v>
      </c>
      <c r="AL17" s="42">
        <f t="shared" si="3"/>
        <v>61.646613116892432</v>
      </c>
      <c r="AM17" s="7"/>
    </row>
    <row r="18" spans="1:39" x14ac:dyDescent="0.25">
      <c r="A18" s="36"/>
      <c r="B18" s="61">
        <v>7</v>
      </c>
      <c r="C18" s="153">
        <v>5</v>
      </c>
      <c r="D18" s="155">
        <v>64</v>
      </c>
      <c r="E18" s="109">
        <v>10680.000000000291</v>
      </c>
      <c r="F18" s="3">
        <v>11062130.4000003</v>
      </c>
      <c r="G18" s="38">
        <v>2199.9999999999886</v>
      </c>
      <c r="H18" s="3">
        <v>3418073.9999999823</v>
      </c>
      <c r="I18" s="106">
        <f t="shared" si="4"/>
        <v>14480204.400000282</v>
      </c>
      <c r="J18" s="109">
        <v>1340.0000000000034</v>
      </c>
      <c r="K18" s="3">
        <v>1387945.2000000034</v>
      </c>
      <c r="L18" s="192">
        <v>359.99999999999943</v>
      </c>
      <c r="M18" s="193">
        <v>559321.19999999914</v>
      </c>
      <c r="N18" s="97">
        <f t="shared" si="5"/>
        <v>1947266.4000000027</v>
      </c>
      <c r="O18" s="111">
        <f t="shared" si="6"/>
        <v>16427470.800000284</v>
      </c>
      <c r="P18" s="114">
        <f t="shared" si="7"/>
        <v>14580.000000000282</v>
      </c>
      <c r="Q18" s="197"/>
      <c r="R18" s="210"/>
      <c r="S18" s="198"/>
      <c r="T18" s="198"/>
      <c r="U18" s="218">
        <v>0</v>
      </c>
      <c r="V18" s="194">
        <f t="shared" si="8"/>
        <v>1191.9769999999994</v>
      </c>
      <c r="W18" s="3">
        <v>394.27</v>
      </c>
      <c r="X18" s="3">
        <v>7085229.0349999992</v>
      </c>
      <c r="Y18" s="34">
        <v>797.70699999999931</v>
      </c>
      <c r="Z18" s="34">
        <v>3386409.8022599975</v>
      </c>
      <c r="AA18" s="34">
        <f t="shared" si="0"/>
        <v>10471638.837259997</v>
      </c>
      <c r="AB18" s="131">
        <f t="shared" si="1"/>
        <v>806.99492969453797</v>
      </c>
      <c r="AC18" s="137">
        <v>0</v>
      </c>
      <c r="AD18" s="3">
        <v>0</v>
      </c>
      <c r="AE18" s="3">
        <v>0</v>
      </c>
      <c r="AF18" s="3">
        <v>0</v>
      </c>
      <c r="AG18" s="3">
        <v>112</v>
      </c>
      <c r="AH18" s="3">
        <v>0</v>
      </c>
      <c r="AI18" s="46">
        <f t="shared" si="2"/>
        <v>0</v>
      </c>
      <c r="AJ18" s="146">
        <v>178.13000000000102</v>
      </c>
      <c r="AK18" s="3">
        <v>1585357.0000000091</v>
      </c>
      <c r="AL18" s="42">
        <f t="shared" si="3"/>
        <v>122.17524693494026</v>
      </c>
      <c r="AM18" s="7"/>
    </row>
    <row r="19" spans="1:39" x14ac:dyDescent="0.25">
      <c r="A19" s="36"/>
      <c r="B19" s="61">
        <v>8</v>
      </c>
      <c r="C19" s="153">
        <v>7</v>
      </c>
      <c r="D19" s="155">
        <v>130</v>
      </c>
      <c r="E19" s="109">
        <v>10360.000000000127</v>
      </c>
      <c r="F19" s="3">
        <v>10730680.800000131</v>
      </c>
      <c r="G19" s="38">
        <v>1879.9999999999955</v>
      </c>
      <c r="H19" s="3">
        <v>2920899.5999999931</v>
      </c>
      <c r="I19" s="106">
        <f t="shared" si="4"/>
        <v>13651580.400000125</v>
      </c>
      <c r="J19" s="109">
        <v>1420.0000000000159</v>
      </c>
      <c r="K19" s="3">
        <v>1470807.6000000164</v>
      </c>
      <c r="L19" s="192">
        <v>399.99999999999858</v>
      </c>
      <c r="M19" s="193">
        <v>621467.99999999779</v>
      </c>
      <c r="N19" s="97">
        <f t="shared" si="5"/>
        <v>2092275.6000000141</v>
      </c>
      <c r="O19" s="111">
        <f t="shared" si="6"/>
        <v>15743856.00000014</v>
      </c>
      <c r="P19" s="114">
        <f t="shared" si="7"/>
        <v>14060.000000000138</v>
      </c>
      <c r="Q19" s="197"/>
      <c r="R19" s="210"/>
      <c r="S19" s="198"/>
      <c r="T19" s="198"/>
      <c r="U19" s="218">
        <v>0</v>
      </c>
      <c r="V19" s="194">
        <f t="shared" si="8"/>
        <v>1245.6440000000002</v>
      </c>
      <c r="W19" s="3">
        <v>385.37</v>
      </c>
      <c r="X19" s="3">
        <v>6925291.585</v>
      </c>
      <c r="Y19" s="34">
        <v>860.27400000000034</v>
      </c>
      <c r="Z19" s="34">
        <v>3652017.9793200018</v>
      </c>
      <c r="AA19" s="34">
        <f t="shared" si="0"/>
        <v>10577309.564320002</v>
      </c>
      <c r="AB19" s="131">
        <f t="shared" si="1"/>
        <v>815.13842492769402</v>
      </c>
      <c r="AC19" s="137">
        <v>0</v>
      </c>
      <c r="AD19" s="3">
        <v>0</v>
      </c>
      <c r="AE19" s="3">
        <v>400</v>
      </c>
      <c r="AF19" s="3">
        <v>12</v>
      </c>
      <c r="AG19" s="3">
        <v>112</v>
      </c>
      <c r="AH19" s="3">
        <v>5161500</v>
      </c>
      <c r="AI19" s="46">
        <f t="shared" si="2"/>
        <v>397.77005245802087</v>
      </c>
      <c r="AJ19" s="146">
        <v>118.85000000000218</v>
      </c>
      <c r="AK19" s="3">
        <v>1057765.0000000193</v>
      </c>
      <c r="AL19" s="42">
        <f t="shared" si="3"/>
        <v>81.516466054105621</v>
      </c>
      <c r="AM19" s="7"/>
    </row>
    <row r="20" spans="1:39" x14ac:dyDescent="0.25">
      <c r="A20" s="36"/>
      <c r="B20" s="61">
        <v>9</v>
      </c>
      <c r="C20" s="153">
        <v>13</v>
      </c>
      <c r="D20" s="155">
        <v>137</v>
      </c>
      <c r="E20" s="109">
        <v>10839.999999999691</v>
      </c>
      <c r="F20" s="3">
        <v>11227855.199999679</v>
      </c>
      <c r="G20" s="38">
        <v>2639.9999999999864</v>
      </c>
      <c r="H20" s="3">
        <v>4101688.7999999789</v>
      </c>
      <c r="I20" s="106">
        <f t="shared" si="4"/>
        <v>15329543.999999657</v>
      </c>
      <c r="J20" s="109">
        <v>1419.9999999999875</v>
      </c>
      <c r="K20" s="3">
        <v>1470807.5999999871</v>
      </c>
      <c r="L20" s="192">
        <v>359.99999999999943</v>
      </c>
      <c r="M20" s="193">
        <v>559321.19999999914</v>
      </c>
      <c r="N20" s="97">
        <f t="shared" si="5"/>
        <v>2030128.7999999863</v>
      </c>
      <c r="O20" s="111">
        <f t="shared" si="6"/>
        <v>17359672.799999643</v>
      </c>
      <c r="P20" s="114">
        <f t="shared" si="7"/>
        <v>15259.999999999663</v>
      </c>
      <c r="Q20" s="197"/>
      <c r="R20" s="210"/>
      <c r="S20" s="198"/>
      <c r="T20" s="198"/>
      <c r="U20" s="218">
        <v>0</v>
      </c>
      <c r="V20" s="194">
        <f t="shared" si="8"/>
        <v>1235.5870000000009</v>
      </c>
      <c r="W20" s="3">
        <v>355.11</v>
      </c>
      <c r="X20" s="3">
        <v>6381504.2549999999</v>
      </c>
      <c r="Y20" s="34">
        <v>880.477000000001</v>
      </c>
      <c r="Z20" s="34">
        <v>3737783.3508600043</v>
      </c>
      <c r="AA20" s="34">
        <f t="shared" si="0"/>
        <v>10119287.605860004</v>
      </c>
      <c r="AB20" s="131">
        <f t="shared" si="1"/>
        <v>779.84104656025079</v>
      </c>
      <c r="AC20" s="137">
        <v>0</v>
      </c>
      <c r="AD20" s="3">
        <v>0</v>
      </c>
      <c r="AE20" s="3">
        <v>0</v>
      </c>
      <c r="AF20" s="3">
        <v>12</v>
      </c>
      <c r="AG20" s="3">
        <v>50</v>
      </c>
      <c r="AH20" s="3">
        <v>137500</v>
      </c>
      <c r="AI20" s="46">
        <f t="shared" si="2"/>
        <v>10.596412324513778</v>
      </c>
      <c r="AJ20" s="146">
        <v>121</v>
      </c>
      <c r="AK20" s="3">
        <v>1076900</v>
      </c>
      <c r="AL20" s="42">
        <f t="shared" si="3"/>
        <v>82.991101325591913</v>
      </c>
      <c r="AM20" s="7"/>
    </row>
    <row r="21" spans="1:39" x14ac:dyDescent="0.25">
      <c r="A21" s="36"/>
      <c r="B21" s="61">
        <v>10</v>
      </c>
      <c r="C21" s="153">
        <v>16</v>
      </c>
      <c r="D21" s="155">
        <v>78</v>
      </c>
      <c r="E21" s="109">
        <v>11400.000000000091</v>
      </c>
      <c r="F21" s="3">
        <v>11807892.000000093</v>
      </c>
      <c r="G21" s="38">
        <v>2400.0000000000341</v>
      </c>
      <c r="H21" s="3">
        <v>3728808.0000000531</v>
      </c>
      <c r="I21" s="106">
        <f t="shared" si="4"/>
        <v>15536700.000000145</v>
      </c>
      <c r="J21" s="109">
        <v>1400.0000000000057</v>
      </c>
      <c r="K21" s="3">
        <v>1450092.0000000058</v>
      </c>
      <c r="L21" s="192">
        <v>359.99999999999943</v>
      </c>
      <c r="M21" s="193">
        <v>559321.19999999914</v>
      </c>
      <c r="N21" s="97">
        <f t="shared" si="5"/>
        <v>2009413.2000000048</v>
      </c>
      <c r="O21" s="111">
        <f t="shared" si="6"/>
        <v>17546113.200000152</v>
      </c>
      <c r="P21" s="114">
        <f t="shared" si="7"/>
        <v>15560.000000000131</v>
      </c>
      <c r="Q21" s="197"/>
      <c r="R21" s="210"/>
      <c r="S21" s="198"/>
      <c r="T21" s="221"/>
      <c r="U21" s="218">
        <v>0</v>
      </c>
      <c r="V21" s="194">
        <f t="shared" si="8"/>
        <v>1323.3409999999997</v>
      </c>
      <c r="W21" s="3">
        <v>396.94</v>
      </c>
      <c r="X21" s="3">
        <v>7133210.2699999996</v>
      </c>
      <c r="Y21" s="34">
        <v>926.40099999999973</v>
      </c>
      <c r="Z21" s="34">
        <v>3932738.997179999</v>
      </c>
      <c r="AA21" s="34">
        <f t="shared" si="0"/>
        <v>11065949.26718</v>
      </c>
      <c r="AB21" s="131">
        <f t="shared" si="1"/>
        <v>852.79535416138447</v>
      </c>
      <c r="AC21" s="137">
        <v>0</v>
      </c>
      <c r="AD21" s="3">
        <v>0</v>
      </c>
      <c r="AE21" s="3">
        <v>0</v>
      </c>
      <c r="AF21" s="3">
        <v>0</v>
      </c>
      <c r="AG21" s="3">
        <v>62</v>
      </c>
      <c r="AH21" s="3">
        <v>0</v>
      </c>
      <c r="AI21" s="46">
        <f t="shared" si="2"/>
        <v>0</v>
      </c>
      <c r="AJ21" s="146">
        <v>225</v>
      </c>
      <c r="AK21" s="3">
        <v>2002500</v>
      </c>
      <c r="AL21" s="42">
        <f t="shared" si="3"/>
        <v>154.32229585337339</v>
      </c>
      <c r="AM21" s="7"/>
    </row>
    <row r="22" spans="1:39" x14ac:dyDescent="0.25">
      <c r="A22" s="36"/>
      <c r="B22" s="61">
        <v>11</v>
      </c>
      <c r="C22" s="153">
        <v>14</v>
      </c>
      <c r="D22" s="155">
        <v>100</v>
      </c>
      <c r="E22" s="109">
        <v>11480.000000000018</v>
      </c>
      <c r="F22" s="3">
        <v>11890754.400000019</v>
      </c>
      <c r="G22" s="38">
        <v>2239.9999999999523</v>
      </c>
      <c r="H22" s="3">
        <v>3480220.7999999258</v>
      </c>
      <c r="I22" s="106">
        <f t="shared" si="4"/>
        <v>15370975.199999945</v>
      </c>
      <c r="J22" s="109">
        <v>1379.9999999999955</v>
      </c>
      <c r="K22" s="3">
        <v>1429376.3999999953</v>
      </c>
      <c r="L22" s="192">
        <v>359.99999999999943</v>
      </c>
      <c r="M22" s="193">
        <v>559321.19999999914</v>
      </c>
      <c r="N22" s="97">
        <f t="shared" si="5"/>
        <v>1988697.5999999945</v>
      </c>
      <c r="O22" s="111">
        <f t="shared" si="6"/>
        <v>17359672.799999941</v>
      </c>
      <c r="P22" s="114">
        <f t="shared" si="7"/>
        <v>15459.999999999965</v>
      </c>
      <c r="Q22" s="197"/>
      <c r="R22" s="210"/>
      <c r="S22" s="198"/>
      <c r="T22" s="221"/>
      <c r="U22" s="218">
        <v>0</v>
      </c>
      <c r="V22" s="194">
        <f t="shared" si="8"/>
        <v>1062.7490000000003</v>
      </c>
      <c r="W22" s="3">
        <v>272.34000000000003</v>
      </c>
      <c r="X22" s="3">
        <v>4894085.9700000007</v>
      </c>
      <c r="Y22" s="34">
        <v>790.40900000000033</v>
      </c>
      <c r="Z22" s="34">
        <v>3355428.4786200016</v>
      </c>
      <c r="AA22" s="34">
        <f t="shared" si="0"/>
        <v>8249514.4486200027</v>
      </c>
      <c r="AB22" s="131">
        <f t="shared" si="1"/>
        <v>635.74732054262904</v>
      </c>
      <c r="AC22" s="137">
        <v>0</v>
      </c>
      <c r="AD22" s="3">
        <v>0</v>
      </c>
      <c r="AE22" s="3">
        <v>0</v>
      </c>
      <c r="AF22" s="3">
        <v>0</v>
      </c>
      <c r="AG22" s="3">
        <v>112</v>
      </c>
      <c r="AH22" s="3">
        <v>0</v>
      </c>
      <c r="AI22" s="46">
        <f t="shared" si="2"/>
        <v>0</v>
      </c>
      <c r="AJ22" s="146">
        <v>109</v>
      </c>
      <c r="AK22" s="3">
        <v>970100</v>
      </c>
      <c r="AL22" s="42">
        <f t="shared" si="3"/>
        <v>74.760578880078668</v>
      </c>
      <c r="AM22" s="7"/>
    </row>
    <row r="23" spans="1:39" x14ac:dyDescent="0.25">
      <c r="A23" s="36"/>
      <c r="B23" s="61">
        <v>12</v>
      </c>
      <c r="C23" s="153">
        <v>13</v>
      </c>
      <c r="D23" s="155">
        <v>103</v>
      </c>
      <c r="E23" s="109">
        <v>11119.999999999891</v>
      </c>
      <c r="F23" s="3">
        <v>11517873.599999886</v>
      </c>
      <c r="G23" s="38">
        <v>2280.0000000000296</v>
      </c>
      <c r="H23" s="3">
        <v>3542367.6000000462</v>
      </c>
      <c r="I23" s="106">
        <f t="shared" si="4"/>
        <v>15060241.199999932</v>
      </c>
      <c r="J23" s="109">
        <v>1379.9999999999955</v>
      </c>
      <c r="K23" s="3">
        <v>1429376.3999999953</v>
      </c>
      <c r="L23" s="192">
        <v>340.00000000000341</v>
      </c>
      <c r="M23" s="193">
        <v>528247.80000000529</v>
      </c>
      <c r="N23" s="97">
        <f t="shared" si="5"/>
        <v>1957624.2000000007</v>
      </c>
      <c r="O23" s="111">
        <f t="shared" si="6"/>
        <v>17017865.399999931</v>
      </c>
      <c r="P23" s="114">
        <f t="shared" si="7"/>
        <v>15119.99999999992</v>
      </c>
      <c r="Q23" s="197"/>
      <c r="R23" s="210"/>
      <c r="S23" s="198"/>
      <c r="T23" s="221"/>
      <c r="U23" s="218">
        <v>0</v>
      </c>
      <c r="V23" s="194">
        <f t="shared" si="8"/>
        <v>1209.8659999999998</v>
      </c>
      <c r="W23" s="3">
        <v>372.91</v>
      </c>
      <c r="X23" s="3">
        <v>6701379.1550000003</v>
      </c>
      <c r="Y23" s="34">
        <v>836.95599999999968</v>
      </c>
      <c r="Z23" s="34">
        <v>3553028.8720799987</v>
      </c>
      <c r="AA23" s="34">
        <f t="shared" si="0"/>
        <v>10254408.027079999</v>
      </c>
      <c r="AB23" s="131">
        <f t="shared" si="1"/>
        <v>790.25407708177113</v>
      </c>
      <c r="AC23" s="137">
        <v>0</v>
      </c>
      <c r="AD23" s="3">
        <v>0</v>
      </c>
      <c r="AE23" s="3">
        <v>400</v>
      </c>
      <c r="AF23" s="3">
        <v>12</v>
      </c>
      <c r="AG23" s="3">
        <v>112</v>
      </c>
      <c r="AH23" s="3">
        <v>5161500</v>
      </c>
      <c r="AI23" s="46">
        <f t="shared" si="2"/>
        <v>397.77005245802087</v>
      </c>
      <c r="AJ23" s="146">
        <v>327.95000000004438</v>
      </c>
      <c r="AK23" s="3">
        <v>2918755.0000003949</v>
      </c>
      <c r="AL23" s="42">
        <f t="shared" si="3"/>
        <v>224.93331966720291</v>
      </c>
      <c r="AM23" s="7"/>
    </row>
    <row r="24" spans="1:39" x14ac:dyDescent="0.25">
      <c r="A24" s="36"/>
      <c r="B24" s="61">
        <v>13</v>
      </c>
      <c r="C24" s="153">
        <v>19</v>
      </c>
      <c r="D24" s="155">
        <v>129</v>
      </c>
      <c r="E24" s="109">
        <v>11039.999999999964</v>
      </c>
      <c r="F24" s="3">
        <v>11435011.199999962</v>
      </c>
      <c r="G24" s="38">
        <v>2360.0000000000136</v>
      </c>
      <c r="H24" s="3">
        <v>3666661.2000000211</v>
      </c>
      <c r="I24" s="106">
        <f t="shared" si="4"/>
        <v>15101672.399999984</v>
      </c>
      <c r="J24" s="109">
        <v>1319.9999999999932</v>
      </c>
      <c r="K24" s="3">
        <v>1367229.5999999929</v>
      </c>
      <c r="L24" s="192">
        <v>340.00000000000341</v>
      </c>
      <c r="M24" s="193">
        <v>528247.80000000529</v>
      </c>
      <c r="N24" s="97">
        <f t="shared" si="5"/>
        <v>1895477.399999998</v>
      </c>
      <c r="O24" s="111">
        <f t="shared" si="6"/>
        <v>16997149.799999982</v>
      </c>
      <c r="P24" s="114">
        <f t="shared" si="7"/>
        <v>15059.999999999975</v>
      </c>
      <c r="Q24" s="197"/>
      <c r="R24" s="210"/>
      <c r="S24" s="198"/>
      <c r="T24" s="221"/>
      <c r="U24" s="218">
        <v>0</v>
      </c>
      <c r="V24" s="194">
        <f>Y24+W24</f>
        <v>1170.7950000000001</v>
      </c>
      <c r="W24" s="3">
        <v>432.54</v>
      </c>
      <c r="X24" s="3">
        <v>7772960.0700000003</v>
      </c>
      <c r="Y24" s="34">
        <v>738.255</v>
      </c>
      <c r="Z24" s="34">
        <v>3134025.3609000002</v>
      </c>
      <c r="AA24" s="34">
        <f t="shared" si="0"/>
        <v>10906985.4309</v>
      </c>
      <c r="AB24" s="131">
        <f t="shared" si="1"/>
        <v>840.5448352238617</v>
      </c>
      <c r="AC24" s="137">
        <v>0</v>
      </c>
      <c r="AD24" s="3">
        <v>0</v>
      </c>
      <c r="AE24" s="3">
        <v>0</v>
      </c>
      <c r="AF24" s="3">
        <v>12</v>
      </c>
      <c r="AG24" s="3">
        <v>62</v>
      </c>
      <c r="AH24" s="3">
        <v>137500</v>
      </c>
      <c r="AI24" s="46">
        <f t="shared" si="2"/>
        <v>10.596412324513778</v>
      </c>
      <c r="AJ24" s="146">
        <v>139.78000000000247</v>
      </c>
      <c r="AK24" s="3">
        <v>1244042.0000000221</v>
      </c>
      <c r="AL24" s="42">
        <f t="shared" si="3"/>
        <v>95.871868952821856</v>
      </c>
      <c r="AM24" s="7"/>
    </row>
    <row r="25" spans="1:39" x14ac:dyDescent="0.25">
      <c r="A25" s="36"/>
      <c r="B25" s="61">
        <v>14</v>
      </c>
      <c r="C25" s="153">
        <v>19</v>
      </c>
      <c r="D25" s="155">
        <v>139</v>
      </c>
      <c r="E25" s="109">
        <v>11720.000000000255</v>
      </c>
      <c r="F25" s="3">
        <v>12139341.600000264</v>
      </c>
      <c r="G25" s="38">
        <v>2560.0000000000023</v>
      </c>
      <c r="H25" s="3">
        <v>3977395.2000000039</v>
      </c>
      <c r="I25" s="106">
        <f t="shared" si="4"/>
        <v>16116736.800000269</v>
      </c>
      <c r="J25" s="109">
        <v>1400.0000000000057</v>
      </c>
      <c r="K25" s="3">
        <v>1450092.0000000058</v>
      </c>
      <c r="L25" s="192">
        <v>439.99999999999773</v>
      </c>
      <c r="M25" s="193">
        <v>683614.79999999655</v>
      </c>
      <c r="N25" s="97">
        <f t="shared" si="5"/>
        <v>2133706.8000000026</v>
      </c>
      <c r="O25" s="111">
        <f t="shared" si="6"/>
        <v>18250443.60000027</v>
      </c>
      <c r="P25" s="114">
        <f t="shared" si="7"/>
        <v>16120.00000000026</v>
      </c>
      <c r="Q25" s="197"/>
      <c r="R25" s="210"/>
      <c r="S25" s="198"/>
      <c r="T25" s="221"/>
      <c r="U25" s="218">
        <v>0</v>
      </c>
      <c r="V25" s="194">
        <f t="shared" si="8"/>
        <v>1235.2309999999998</v>
      </c>
      <c r="W25" s="3">
        <v>388.04</v>
      </c>
      <c r="X25" s="3">
        <v>6973272.8200000003</v>
      </c>
      <c r="Y25" s="34">
        <v>847.19099999999969</v>
      </c>
      <c r="Z25" s="34">
        <v>3596478.289379999</v>
      </c>
      <c r="AA25" s="34">
        <f t="shared" si="0"/>
        <v>10569751.109379999</v>
      </c>
      <c r="AB25" s="131">
        <f t="shared" si="1"/>
        <v>814.55593398165388</v>
      </c>
      <c r="AC25" s="137">
        <v>0</v>
      </c>
      <c r="AD25" s="3">
        <v>0</v>
      </c>
      <c r="AE25" s="3">
        <v>0</v>
      </c>
      <c r="AF25" s="3">
        <v>12</v>
      </c>
      <c r="AG25" s="3">
        <v>100</v>
      </c>
      <c r="AH25" s="3">
        <v>137500</v>
      </c>
      <c r="AI25" s="46">
        <f t="shared" si="2"/>
        <v>10.596412324513778</v>
      </c>
      <c r="AJ25" s="146">
        <v>256.54999999999927</v>
      </c>
      <c r="AK25" s="3">
        <v>2283294.9999999935</v>
      </c>
      <c r="AL25" s="42">
        <f t="shared" si="3"/>
        <v>175.96171111636815</v>
      </c>
      <c r="AM25" s="7"/>
    </row>
    <row r="26" spans="1:39" x14ac:dyDescent="0.25">
      <c r="A26" s="36"/>
      <c r="B26" s="61">
        <v>15</v>
      </c>
      <c r="C26" s="153">
        <v>16</v>
      </c>
      <c r="D26" s="155">
        <v>162</v>
      </c>
      <c r="E26" s="109">
        <v>11920.000000000073</v>
      </c>
      <c r="F26" s="3">
        <v>12346497.600000074</v>
      </c>
      <c r="G26" s="38">
        <v>2359.9999999999568</v>
      </c>
      <c r="H26" s="3">
        <v>3666661.1999999331</v>
      </c>
      <c r="I26" s="106">
        <f t="shared" si="4"/>
        <v>16013158.800000008</v>
      </c>
      <c r="J26" s="109">
        <v>1620.0000000000045</v>
      </c>
      <c r="K26" s="3">
        <v>1677963.6000000047</v>
      </c>
      <c r="L26" s="192">
        <v>379.99999999999545</v>
      </c>
      <c r="M26" s="193">
        <v>590394.59999999299</v>
      </c>
      <c r="N26" s="97">
        <f t="shared" si="5"/>
        <v>2268358.1999999979</v>
      </c>
      <c r="O26" s="111">
        <f t="shared" si="6"/>
        <v>18281517.000000007</v>
      </c>
      <c r="P26" s="114">
        <f t="shared" si="7"/>
        <v>16280.000000000029</v>
      </c>
      <c r="Q26" s="197"/>
      <c r="R26" s="210"/>
      <c r="S26" s="198"/>
      <c r="T26" s="221"/>
      <c r="U26" s="218">
        <v>0</v>
      </c>
      <c r="V26" s="194">
        <f t="shared" si="8"/>
        <v>1098.26</v>
      </c>
      <c r="W26" s="3">
        <v>343.54</v>
      </c>
      <c r="X26" s="3">
        <v>6173585.5700000003</v>
      </c>
      <c r="Y26" s="34">
        <v>754.72</v>
      </c>
      <c r="Z26" s="34">
        <v>3203922.2496000002</v>
      </c>
      <c r="AA26" s="34">
        <f t="shared" si="0"/>
        <v>9377507.819600001</v>
      </c>
      <c r="AB26" s="131">
        <f t="shared" si="1"/>
        <v>722.67592314788203</v>
      </c>
      <c r="AC26" s="137">
        <v>0</v>
      </c>
      <c r="AD26" s="3">
        <v>0</v>
      </c>
      <c r="AE26" s="3">
        <v>350</v>
      </c>
      <c r="AF26" s="3">
        <v>12</v>
      </c>
      <c r="AG26" s="3">
        <v>112</v>
      </c>
      <c r="AH26" s="3">
        <v>4533500</v>
      </c>
      <c r="AI26" s="46">
        <f t="shared" si="2"/>
        <v>349.3733474413325</v>
      </c>
      <c r="AJ26" s="146">
        <v>142.23999999999796</v>
      </c>
      <c r="AK26" s="3">
        <v>1265935.9999999818</v>
      </c>
      <c r="AL26" s="42">
        <f t="shared" si="3"/>
        <v>97.559126054148962</v>
      </c>
      <c r="AM26" s="7"/>
    </row>
    <row r="27" spans="1:39" x14ac:dyDescent="0.25">
      <c r="A27" s="36"/>
      <c r="B27" s="61">
        <v>16</v>
      </c>
      <c r="C27" s="153">
        <v>10</v>
      </c>
      <c r="D27" s="155">
        <v>146</v>
      </c>
      <c r="E27" s="109">
        <v>11239.999999999782</v>
      </c>
      <c r="F27" s="3">
        <v>11642167.199999774</v>
      </c>
      <c r="G27" s="38">
        <v>2360.0000000000136</v>
      </c>
      <c r="H27" s="3">
        <v>3666661.2000000211</v>
      </c>
      <c r="I27" s="106">
        <f t="shared" si="4"/>
        <v>15308828.399999795</v>
      </c>
      <c r="J27" s="109">
        <v>1419.9999999999875</v>
      </c>
      <c r="K27" s="3">
        <v>1470807.5999999871</v>
      </c>
      <c r="L27" s="192">
        <v>360.00000000000654</v>
      </c>
      <c r="M27" s="193">
        <v>559321.2000000102</v>
      </c>
      <c r="N27" s="97">
        <f t="shared" si="5"/>
        <v>2030128.7999999973</v>
      </c>
      <c r="O27" s="111">
        <f t="shared" si="6"/>
        <v>17338957.199999794</v>
      </c>
      <c r="P27" s="114">
        <f t="shared" si="7"/>
        <v>15379.999999999789</v>
      </c>
      <c r="Q27" s="197"/>
      <c r="R27" s="210"/>
      <c r="S27" s="198"/>
      <c r="T27" s="221"/>
      <c r="U27" s="218">
        <v>0</v>
      </c>
      <c r="V27" s="194">
        <f t="shared" si="8"/>
        <v>1157</v>
      </c>
      <c r="W27" s="3">
        <v>364.9</v>
      </c>
      <c r="X27" s="3">
        <v>6557435.4499999993</v>
      </c>
      <c r="Y27" s="34">
        <v>792.1</v>
      </c>
      <c r="Z27" s="34">
        <v>3362607.0780000002</v>
      </c>
      <c r="AA27" s="34">
        <f t="shared" si="0"/>
        <v>9920042.527999999</v>
      </c>
      <c r="AB27" s="131">
        <f t="shared" si="1"/>
        <v>764.48626111563647</v>
      </c>
      <c r="AC27" s="137">
        <v>0</v>
      </c>
      <c r="AD27" s="3">
        <v>0</v>
      </c>
      <c r="AE27" s="3">
        <v>0</v>
      </c>
      <c r="AF27" s="3">
        <v>24</v>
      </c>
      <c r="AG27" s="3">
        <v>112</v>
      </c>
      <c r="AH27" s="3">
        <v>275000</v>
      </c>
      <c r="AI27" s="46">
        <f t="shared" si="2"/>
        <v>21.192824649027557</v>
      </c>
      <c r="AJ27" s="146">
        <v>90</v>
      </c>
      <c r="AK27" s="3">
        <v>801000</v>
      </c>
      <c r="AL27" s="42">
        <f t="shared" si="3"/>
        <v>61.728918341349356</v>
      </c>
      <c r="AM27" s="7"/>
    </row>
    <row r="28" spans="1:39" x14ac:dyDescent="0.25">
      <c r="A28" s="36"/>
      <c r="B28" s="61">
        <v>17</v>
      </c>
      <c r="C28" s="153">
        <v>13</v>
      </c>
      <c r="D28" s="155">
        <v>86</v>
      </c>
      <c r="E28" s="109">
        <v>11039.999999999964</v>
      </c>
      <c r="F28" s="3">
        <v>11435011.199999962</v>
      </c>
      <c r="G28" s="38">
        <v>2240.0000000000091</v>
      </c>
      <c r="H28" s="3">
        <v>3480220.8000000142</v>
      </c>
      <c r="I28" s="106">
        <f t="shared" si="4"/>
        <v>14915231.999999976</v>
      </c>
      <c r="J28" s="109">
        <v>1340.0000000000034</v>
      </c>
      <c r="K28" s="3">
        <v>1387945.2000000034</v>
      </c>
      <c r="L28" s="192">
        <v>339.99999999999631</v>
      </c>
      <c r="M28" s="193">
        <v>528247.79999999434</v>
      </c>
      <c r="N28" s="97">
        <f t="shared" si="5"/>
        <v>1916192.9999999977</v>
      </c>
      <c r="O28" s="111">
        <f t="shared" si="6"/>
        <v>16831424.999999974</v>
      </c>
      <c r="P28" s="114">
        <f t="shared" si="7"/>
        <v>14959.999999999973</v>
      </c>
      <c r="Q28" s="197"/>
      <c r="R28" s="197"/>
      <c r="S28" s="198"/>
      <c r="T28" s="221"/>
      <c r="U28" s="218">
        <v>0</v>
      </c>
      <c r="V28" s="194">
        <f t="shared" si="8"/>
        <v>1119.6199999999999</v>
      </c>
      <c r="W28" s="3">
        <v>377.36</v>
      </c>
      <c r="X28" s="3">
        <v>6781347.8799999999</v>
      </c>
      <c r="Y28" s="34">
        <v>742.26</v>
      </c>
      <c r="Z28" s="34">
        <v>3151027.3068000004</v>
      </c>
      <c r="AA28" s="34">
        <f t="shared" si="0"/>
        <v>9932375.1867999993</v>
      </c>
      <c r="AB28" s="131">
        <f t="shared" si="1"/>
        <v>765.43667520801716</v>
      </c>
      <c r="AC28" s="137">
        <v>0</v>
      </c>
      <c r="AD28" s="3">
        <v>0</v>
      </c>
      <c r="AE28" s="3">
        <v>50</v>
      </c>
      <c r="AF28" s="3">
        <v>12</v>
      </c>
      <c r="AG28" s="3">
        <v>112</v>
      </c>
      <c r="AH28" s="3">
        <v>765500</v>
      </c>
      <c r="AI28" s="46">
        <f t="shared" si="2"/>
        <v>58.993117341202165</v>
      </c>
      <c r="AJ28" s="146">
        <v>300.69000000000233</v>
      </c>
      <c r="AK28" s="3">
        <v>2676141.0000000205</v>
      </c>
      <c r="AL28" s="42">
        <f t="shared" si="3"/>
        <v>206.23631617844978</v>
      </c>
      <c r="AM28" s="7"/>
    </row>
    <row r="29" spans="1:39" x14ac:dyDescent="0.25">
      <c r="A29" s="36"/>
      <c r="B29" s="61">
        <v>18</v>
      </c>
      <c r="C29" s="153">
        <v>11</v>
      </c>
      <c r="D29" s="155">
        <v>113</v>
      </c>
      <c r="E29" s="109">
        <v>10440.000000000055</v>
      </c>
      <c r="F29" s="3">
        <v>10813543.200000057</v>
      </c>
      <c r="G29" s="38">
        <v>2160.000000000025</v>
      </c>
      <c r="H29" s="3">
        <v>3355927.2000000388</v>
      </c>
      <c r="I29" s="106">
        <f t="shared" si="4"/>
        <v>14169470.400000095</v>
      </c>
      <c r="J29" s="109">
        <v>1420.0000000000159</v>
      </c>
      <c r="K29" s="3">
        <v>1470807.6000000164</v>
      </c>
      <c r="L29" s="192">
        <v>380.00000000000256</v>
      </c>
      <c r="M29" s="193">
        <v>590394.60000000405</v>
      </c>
      <c r="N29" s="97">
        <f t="shared" si="5"/>
        <v>2061202.2000000204</v>
      </c>
      <c r="O29" s="111">
        <f t="shared" si="6"/>
        <v>16230672.600000115</v>
      </c>
      <c r="P29" s="114">
        <f t="shared" si="7"/>
        <v>14400.000000000098</v>
      </c>
      <c r="Q29" s="200"/>
      <c r="R29" s="200"/>
      <c r="S29" s="198"/>
      <c r="T29" s="221"/>
      <c r="U29" s="218">
        <v>0</v>
      </c>
      <c r="V29" s="194">
        <f t="shared" si="8"/>
        <v>1090.25</v>
      </c>
      <c r="W29" s="3">
        <v>372.02</v>
      </c>
      <c r="X29" s="3">
        <v>6685385.4099999992</v>
      </c>
      <c r="Y29" s="34">
        <v>718.23</v>
      </c>
      <c r="Z29" s="34">
        <v>3049015.6314000003</v>
      </c>
      <c r="AA29" s="34">
        <f t="shared" si="0"/>
        <v>9734401.0414000005</v>
      </c>
      <c r="AB29" s="131">
        <f t="shared" si="1"/>
        <v>750.17983394073258</v>
      </c>
      <c r="AC29" s="137">
        <v>0</v>
      </c>
      <c r="AD29" s="3">
        <v>0</v>
      </c>
      <c r="AE29" s="3">
        <v>0</v>
      </c>
      <c r="AF29" s="3">
        <v>0</v>
      </c>
      <c r="AG29" s="3">
        <v>62</v>
      </c>
      <c r="AH29" s="3">
        <v>0</v>
      </c>
      <c r="AI29" s="46">
        <f t="shared" si="2"/>
        <v>0</v>
      </c>
      <c r="AJ29" s="146">
        <v>99.629999999997381</v>
      </c>
      <c r="AK29" s="3">
        <v>886706.99999997672</v>
      </c>
      <c r="AL29" s="42">
        <f t="shared" si="3"/>
        <v>68.333912603871951</v>
      </c>
      <c r="AM29" s="7"/>
    </row>
    <row r="30" spans="1:39" x14ac:dyDescent="0.25">
      <c r="A30" s="36"/>
      <c r="B30" s="61">
        <v>19</v>
      </c>
      <c r="C30" s="153">
        <v>7</v>
      </c>
      <c r="D30" s="155">
        <v>103</v>
      </c>
      <c r="E30" s="109">
        <v>10199.999999999818</v>
      </c>
      <c r="F30" s="3">
        <v>10564955.999999812</v>
      </c>
      <c r="G30" s="38">
        <v>2079.9999999999841</v>
      </c>
      <c r="H30" s="3">
        <v>3231633.5999999754</v>
      </c>
      <c r="I30" s="106">
        <f t="shared" si="4"/>
        <v>13796589.599999787</v>
      </c>
      <c r="J30" s="109">
        <v>1400.0000000000057</v>
      </c>
      <c r="K30" s="3">
        <v>1450092.0000000058</v>
      </c>
      <c r="L30" s="192">
        <v>399.99999999999858</v>
      </c>
      <c r="M30" s="193">
        <v>621467.99999999779</v>
      </c>
      <c r="N30" s="97">
        <f t="shared" si="5"/>
        <v>2071560.0000000037</v>
      </c>
      <c r="O30" s="111">
        <f t="shared" si="6"/>
        <v>15868149.599999791</v>
      </c>
      <c r="P30" s="114">
        <f t="shared" si="7"/>
        <v>14079.999999999807</v>
      </c>
      <c r="Q30" s="197"/>
      <c r="R30" s="197"/>
      <c r="S30" s="198"/>
      <c r="T30" s="221"/>
      <c r="U30" s="218">
        <v>0</v>
      </c>
      <c r="V30" s="194">
        <f t="shared" si="8"/>
        <v>1238.8800000000001</v>
      </c>
      <c r="W30" s="3">
        <v>375.58</v>
      </c>
      <c r="X30" s="3">
        <v>6749360.3899999997</v>
      </c>
      <c r="Y30" s="34">
        <v>863.30000000000007</v>
      </c>
      <c r="Z30" s="34">
        <v>3664863.8940000003</v>
      </c>
      <c r="AA30" s="34">
        <f t="shared" si="0"/>
        <v>10414224.284</v>
      </c>
      <c r="AB30" s="131">
        <f t="shared" si="1"/>
        <v>802.57028765984205</v>
      </c>
      <c r="AC30" s="137">
        <v>0</v>
      </c>
      <c r="AD30" s="3">
        <v>0</v>
      </c>
      <c r="AE30" s="3">
        <v>0</v>
      </c>
      <c r="AF30" s="3">
        <v>12</v>
      </c>
      <c r="AG30" s="3">
        <v>112</v>
      </c>
      <c r="AH30" s="3">
        <v>137500</v>
      </c>
      <c r="AI30" s="46">
        <f t="shared" si="2"/>
        <v>10.596412324513778</v>
      </c>
      <c r="AJ30" s="146">
        <v>342.83000000000175</v>
      </c>
      <c r="AK30" s="3">
        <v>3051187.0000000154</v>
      </c>
      <c r="AL30" s="42">
        <f t="shared" si="3"/>
        <v>235.13916749961007</v>
      </c>
      <c r="AM30" s="7"/>
    </row>
    <row r="31" spans="1:39" x14ac:dyDescent="0.25">
      <c r="A31" s="36"/>
      <c r="B31" s="61">
        <v>20</v>
      </c>
      <c r="C31" s="153">
        <v>5</v>
      </c>
      <c r="D31" s="155">
        <v>85</v>
      </c>
      <c r="E31" s="109">
        <v>10320.000000000164</v>
      </c>
      <c r="F31" s="3">
        <v>10689249.600000169</v>
      </c>
      <c r="G31" s="38">
        <v>2159.9999999999682</v>
      </c>
      <c r="H31" s="3">
        <v>3355927.1999999508</v>
      </c>
      <c r="I31" s="106">
        <f t="shared" si="4"/>
        <v>14045176.80000012</v>
      </c>
      <c r="J31" s="109">
        <v>1560.0000000000023</v>
      </c>
      <c r="K31" s="3">
        <v>1615816.8000000024</v>
      </c>
      <c r="L31" s="192">
        <v>359.99999999999943</v>
      </c>
      <c r="M31" s="193">
        <v>559321.19999999914</v>
      </c>
      <c r="N31" s="97">
        <f t="shared" si="5"/>
        <v>2175138.0000000014</v>
      </c>
      <c r="O31" s="111">
        <f t="shared" si="6"/>
        <v>16220314.800000122</v>
      </c>
      <c r="P31" s="114">
        <f t="shared" si="7"/>
        <v>14400.000000000135</v>
      </c>
      <c r="Q31" s="200"/>
      <c r="R31" s="200"/>
      <c r="S31" s="198"/>
      <c r="T31" s="221"/>
      <c r="U31" s="218">
        <v>0</v>
      </c>
      <c r="V31" s="194">
        <f t="shared" si="8"/>
        <v>988.79</v>
      </c>
      <c r="W31" s="3">
        <v>300.82</v>
      </c>
      <c r="X31" s="3">
        <v>5405885.8099999996</v>
      </c>
      <c r="Y31" s="34">
        <v>687.97</v>
      </c>
      <c r="Z31" s="34">
        <v>2920556.4846000001</v>
      </c>
      <c r="AA31" s="34">
        <f t="shared" si="0"/>
        <v>8326442.2945999997</v>
      </c>
      <c r="AB31" s="131">
        <f t="shared" si="1"/>
        <v>641.6757509080162</v>
      </c>
      <c r="AC31" s="137">
        <v>0</v>
      </c>
      <c r="AD31" s="3">
        <v>0</v>
      </c>
      <c r="AE31" s="3">
        <v>0</v>
      </c>
      <c r="AF31" s="3">
        <v>0</v>
      </c>
      <c r="AG31" s="3">
        <v>62</v>
      </c>
      <c r="AH31" s="3">
        <v>0</v>
      </c>
      <c r="AI31" s="46">
        <f t="shared" si="2"/>
        <v>0</v>
      </c>
      <c r="AJ31" s="146">
        <v>108.13000000000102</v>
      </c>
      <c r="AK31" s="3">
        <v>962357.00000000908</v>
      </c>
      <c r="AL31" s="42">
        <f t="shared" si="3"/>
        <v>74.163866002779656</v>
      </c>
      <c r="AM31" s="7"/>
    </row>
    <row r="32" spans="1:39" x14ac:dyDescent="0.25">
      <c r="A32" s="36"/>
      <c r="B32" s="61">
        <v>21</v>
      </c>
      <c r="C32" s="153">
        <v>10</v>
      </c>
      <c r="D32" s="155">
        <v>89</v>
      </c>
      <c r="E32" s="109">
        <v>10639.999999999873</v>
      </c>
      <c r="F32" s="3">
        <v>11020699.199999867</v>
      </c>
      <c r="G32" s="38">
        <v>2160.000000000025</v>
      </c>
      <c r="H32" s="3">
        <v>3355927.2000000388</v>
      </c>
      <c r="I32" s="106">
        <f t="shared" si="4"/>
        <v>14376626.399999905</v>
      </c>
      <c r="J32" s="109">
        <v>1500</v>
      </c>
      <c r="K32" s="3">
        <v>1553670</v>
      </c>
      <c r="L32" s="192">
        <v>380.00000000000256</v>
      </c>
      <c r="M32" s="193">
        <v>590394.60000000405</v>
      </c>
      <c r="N32" s="97">
        <f>+K32+M32</f>
        <v>2144064.6000000043</v>
      </c>
      <c r="O32" s="111">
        <f t="shared" si="6"/>
        <v>16520690.999999911</v>
      </c>
      <c r="P32" s="114">
        <f t="shared" si="7"/>
        <v>14679.9999999999</v>
      </c>
      <c r="Q32" s="197"/>
      <c r="R32" s="211"/>
      <c r="S32" s="198"/>
      <c r="T32" s="221"/>
      <c r="U32" s="218">
        <v>0</v>
      </c>
      <c r="V32" s="194">
        <f t="shared" si="8"/>
        <v>838.38</v>
      </c>
      <c r="W32" s="3">
        <v>51.62</v>
      </c>
      <c r="X32" s="3">
        <v>927637.21</v>
      </c>
      <c r="Y32" s="34">
        <v>786.76</v>
      </c>
      <c r="Z32" s="34">
        <v>3339937.8168000001</v>
      </c>
      <c r="AA32" s="34">
        <f t="shared" si="0"/>
        <v>4267575.0268000001</v>
      </c>
      <c r="AB32" s="131">
        <f t="shared" si="1"/>
        <v>328.87988807105995</v>
      </c>
      <c r="AC32" s="137">
        <v>0</v>
      </c>
      <c r="AD32" s="3">
        <v>0</v>
      </c>
      <c r="AE32" s="3">
        <v>0</v>
      </c>
      <c r="AF32" s="3">
        <v>12</v>
      </c>
      <c r="AG32" s="3">
        <f t="shared" ref="AG32:AG40" si="9">+AE32+AF32</f>
        <v>12</v>
      </c>
      <c r="AH32" s="3">
        <v>137500</v>
      </c>
      <c r="AI32" s="46">
        <f t="shared" si="2"/>
        <v>10.596412324513778</v>
      </c>
      <c r="AJ32" s="146">
        <v>229.64999999999782</v>
      </c>
      <c r="AK32" s="3">
        <v>2043884.9999999807</v>
      </c>
      <c r="AL32" s="42">
        <f t="shared" si="3"/>
        <v>157.51162330100829</v>
      </c>
      <c r="AM32" s="7"/>
    </row>
    <row r="33" spans="1:39" x14ac:dyDescent="0.25">
      <c r="A33" s="36"/>
      <c r="B33" s="61">
        <v>22</v>
      </c>
      <c r="C33" s="153">
        <v>9</v>
      </c>
      <c r="D33" s="155">
        <v>150</v>
      </c>
      <c r="E33" s="109">
        <v>10760.000000000218</v>
      </c>
      <c r="F33" s="3">
        <v>11144992.800000226</v>
      </c>
      <c r="G33" s="38">
        <v>2199.9999999999886</v>
      </c>
      <c r="H33" s="3">
        <v>3418073.9999999823</v>
      </c>
      <c r="I33" s="106">
        <f t="shared" si="4"/>
        <v>14563066.800000209</v>
      </c>
      <c r="J33" s="109">
        <v>1500</v>
      </c>
      <c r="K33" s="3">
        <v>1553670</v>
      </c>
      <c r="L33" s="192">
        <v>439.99999999999773</v>
      </c>
      <c r="M33" s="193">
        <v>683614.79999999655</v>
      </c>
      <c r="N33" s="97">
        <f t="shared" si="5"/>
        <v>2237284.7999999966</v>
      </c>
      <c r="O33" s="111">
        <f t="shared" si="6"/>
        <v>16800351.600000206</v>
      </c>
      <c r="P33" s="114">
        <f t="shared" si="7"/>
        <v>14900.000000000204</v>
      </c>
      <c r="Q33" s="197"/>
      <c r="R33" s="212"/>
      <c r="S33" s="198"/>
      <c r="T33" s="221"/>
      <c r="U33" s="218">
        <v>0</v>
      </c>
      <c r="V33" s="194">
        <f t="shared" si="8"/>
        <v>1241.5500000000002</v>
      </c>
      <c r="W33" s="3">
        <v>398.72</v>
      </c>
      <c r="X33" s="3">
        <v>7165197.7600000007</v>
      </c>
      <c r="Y33" s="34">
        <v>842.83</v>
      </c>
      <c r="Z33" s="34">
        <v>3577965.0594000006</v>
      </c>
      <c r="AA33" s="34">
        <f t="shared" si="0"/>
        <v>10743162.819400001</v>
      </c>
      <c r="AB33" s="131">
        <f t="shared" si="1"/>
        <v>827.91987566362445</v>
      </c>
      <c r="AC33" s="137">
        <v>0</v>
      </c>
      <c r="AD33" s="3">
        <v>0</v>
      </c>
      <c r="AE33" s="3">
        <v>0</v>
      </c>
      <c r="AF33" s="3">
        <v>0</v>
      </c>
      <c r="AG33" s="3">
        <f t="shared" si="9"/>
        <v>0</v>
      </c>
      <c r="AH33" s="3">
        <v>0</v>
      </c>
      <c r="AI33" s="46">
        <f t="shared" si="2"/>
        <v>0</v>
      </c>
      <c r="AJ33" s="146">
        <v>118.40000000000146</v>
      </c>
      <c r="AK33" s="3">
        <v>1053760.000000013</v>
      </c>
      <c r="AL33" s="42">
        <f t="shared" si="3"/>
        <v>81.207821462398385</v>
      </c>
      <c r="AM33" s="7"/>
    </row>
    <row r="34" spans="1:39" x14ac:dyDescent="0.25">
      <c r="A34" s="36"/>
      <c r="B34" s="61">
        <v>23</v>
      </c>
      <c r="C34" s="153">
        <v>6</v>
      </c>
      <c r="D34" s="155">
        <v>150</v>
      </c>
      <c r="E34" s="109">
        <v>10319.999999999709</v>
      </c>
      <c r="F34" s="3">
        <v>10689249.599999698</v>
      </c>
      <c r="G34" s="38">
        <v>2280.0000000000296</v>
      </c>
      <c r="H34" s="3">
        <v>3542367.6000000462</v>
      </c>
      <c r="I34" s="106">
        <f t="shared" si="4"/>
        <v>14231617.199999744</v>
      </c>
      <c r="J34" s="109">
        <v>1519.9999999999818</v>
      </c>
      <c r="K34" s="3">
        <v>1574385.5999999812</v>
      </c>
      <c r="L34" s="192">
        <v>399.99999999999858</v>
      </c>
      <c r="M34" s="193">
        <v>621467.99999999779</v>
      </c>
      <c r="N34" s="97">
        <f t="shared" si="5"/>
        <v>2195853.5999999791</v>
      </c>
      <c r="O34" s="111">
        <f t="shared" si="6"/>
        <v>16427470.799999723</v>
      </c>
      <c r="P34" s="114">
        <f t="shared" si="7"/>
        <v>14519.99999999972</v>
      </c>
      <c r="Q34" s="200"/>
      <c r="R34" s="213"/>
      <c r="S34" s="198"/>
      <c r="T34" s="221"/>
      <c r="U34" s="218">
        <v>0</v>
      </c>
      <c r="V34" s="194">
        <f t="shared" si="8"/>
        <v>1253.1199999999999</v>
      </c>
      <c r="W34" s="3">
        <v>414.74</v>
      </c>
      <c r="X34" s="3">
        <v>7453085.1699999999</v>
      </c>
      <c r="Y34" s="34">
        <v>838.38</v>
      </c>
      <c r="Z34" s="34">
        <v>3559074.0084000002</v>
      </c>
      <c r="AA34" s="34">
        <f t="shared" si="0"/>
        <v>11012159.178400001</v>
      </c>
      <c r="AB34" s="131">
        <f t="shared" si="1"/>
        <v>848.65003081822033</v>
      </c>
      <c r="AC34" s="137">
        <v>0</v>
      </c>
      <c r="AD34" s="3">
        <v>0</v>
      </c>
      <c r="AE34" s="3">
        <v>450</v>
      </c>
      <c r="AF34" s="3">
        <v>12</v>
      </c>
      <c r="AG34" s="3">
        <f t="shared" si="9"/>
        <v>462</v>
      </c>
      <c r="AH34" s="3">
        <v>5789500</v>
      </c>
      <c r="AI34" s="46">
        <f t="shared" si="2"/>
        <v>446.16675747470924</v>
      </c>
      <c r="AJ34" s="146">
        <v>120.56999999999971</v>
      </c>
      <c r="AK34" s="3">
        <v>1073072.9999999974</v>
      </c>
      <c r="AL34" s="42">
        <f t="shared" si="3"/>
        <v>82.696174271294154</v>
      </c>
      <c r="AM34" s="7"/>
    </row>
    <row r="35" spans="1:39" x14ac:dyDescent="0.25">
      <c r="A35" s="36"/>
      <c r="B35" s="61">
        <v>24</v>
      </c>
      <c r="C35" s="153">
        <v>3</v>
      </c>
      <c r="D35" s="155">
        <v>56</v>
      </c>
      <c r="E35" s="109">
        <v>10720.000000000255</v>
      </c>
      <c r="F35" s="3">
        <v>11103561.600000264</v>
      </c>
      <c r="G35" s="38">
        <v>1959.9999999999795</v>
      </c>
      <c r="H35" s="3">
        <v>3045193.1999999685</v>
      </c>
      <c r="I35" s="106">
        <f t="shared" si="4"/>
        <v>14148754.800000232</v>
      </c>
      <c r="J35" s="109">
        <v>1599.9999999999943</v>
      </c>
      <c r="K35" s="3">
        <v>1657247.9999999942</v>
      </c>
      <c r="L35" s="192">
        <v>380.00000000000256</v>
      </c>
      <c r="M35" s="193">
        <v>590394.60000000405</v>
      </c>
      <c r="N35" s="97">
        <f t="shared" si="5"/>
        <v>2247642.5999999982</v>
      </c>
      <c r="O35" s="111">
        <f t="shared" si="6"/>
        <v>16396397.400000229</v>
      </c>
      <c r="P35" s="114">
        <f t="shared" si="7"/>
        <v>14660.000000000231</v>
      </c>
      <c r="Q35" s="197"/>
      <c r="R35" s="211"/>
      <c r="S35" s="198"/>
      <c r="T35" s="221"/>
      <c r="U35" s="218">
        <v>0</v>
      </c>
      <c r="V35" s="194">
        <f t="shared" si="8"/>
        <v>1246.8900000000001</v>
      </c>
      <c r="W35" s="3">
        <v>412.07</v>
      </c>
      <c r="X35" s="3">
        <v>7405103.9349999996</v>
      </c>
      <c r="Y35" s="34">
        <v>834.82</v>
      </c>
      <c r="Z35" s="34">
        <v>3543961.1676000003</v>
      </c>
      <c r="AA35" s="34">
        <f t="shared" si="0"/>
        <v>10949065.102600001</v>
      </c>
      <c r="AB35" s="131">
        <f t="shared" si="1"/>
        <v>843.78769741886811</v>
      </c>
      <c r="AC35" s="137">
        <v>0</v>
      </c>
      <c r="AD35" s="3">
        <v>0</v>
      </c>
      <c r="AE35" s="3">
        <v>0</v>
      </c>
      <c r="AF35" s="3">
        <v>0</v>
      </c>
      <c r="AG35" s="3">
        <f t="shared" si="9"/>
        <v>0</v>
      </c>
      <c r="AH35" s="3">
        <v>0</v>
      </c>
      <c r="AI35" s="46">
        <f t="shared" si="2"/>
        <v>0</v>
      </c>
      <c r="AJ35" s="146">
        <v>256.59000000000015</v>
      </c>
      <c r="AK35" s="3">
        <v>2283651.0000000014</v>
      </c>
      <c r="AL35" s="42">
        <f t="shared" si="3"/>
        <v>175.98914619118713</v>
      </c>
      <c r="AM35" s="7"/>
    </row>
    <row r="36" spans="1:39" x14ac:dyDescent="0.25">
      <c r="A36" s="36"/>
      <c r="B36" s="61">
        <v>25</v>
      </c>
      <c r="C36" s="153">
        <v>7</v>
      </c>
      <c r="D36" s="155">
        <v>64</v>
      </c>
      <c r="E36" s="109">
        <v>10639.999999999873</v>
      </c>
      <c r="F36" s="3">
        <v>11020699.199999867</v>
      </c>
      <c r="G36" s="38">
        <v>2319.9999999999932</v>
      </c>
      <c r="H36" s="3">
        <v>3604514.3999999897</v>
      </c>
      <c r="I36" s="106">
        <f t="shared" si="4"/>
        <v>14625213.599999856</v>
      </c>
      <c r="J36" s="109">
        <v>1340.0000000000034</v>
      </c>
      <c r="K36" s="3">
        <v>1387945.2000000034</v>
      </c>
      <c r="L36" s="192">
        <v>379.99999999999545</v>
      </c>
      <c r="M36" s="193">
        <v>590394.59999999299</v>
      </c>
      <c r="N36" s="97">
        <f t="shared" si="5"/>
        <v>1978339.7999999966</v>
      </c>
      <c r="O36" s="111">
        <f t="shared" si="6"/>
        <v>16603553.399999853</v>
      </c>
      <c r="P36" s="114">
        <f t="shared" si="7"/>
        <v>14679.999999999865</v>
      </c>
      <c r="Q36" s="197"/>
      <c r="R36" s="211"/>
      <c r="S36" s="198"/>
      <c r="T36" s="221"/>
      <c r="U36" s="218">
        <v>0</v>
      </c>
      <c r="V36" s="194">
        <f t="shared" si="8"/>
        <v>1036.8499999999999</v>
      </c>
      <c r="W36" s="3">
        <v>404.95</v>
      </c>
      <c r="X36" s="3">
        <v>7277153.9749999996</v>
      </c>
      <c r="Y36" s="34">
        <v>631.9</v>
      </c>
      <c r="Z36" s="34">
        <v>2682529.2420000001</v>
      </c>
      <c r="AA36" s="34">
        <f t="shared" si="0"/>
        <v>9959683.2170000002</v>
      </c>
      <c r="AB36" s="131">
        <f t="shared" si="1"/>
        <v>767.54116355543158</v>
      </c>
      <c r="AC36" s="137">
        <v>0</v>
      </c>
      <c r="AD36" s="3">
        <v>0</v>
      </c>
      <c r="AE36" s="3">
        <v>0</v>
      </c>
      <c r="AF36" s="3">
        <v>84</v>
      </c>
      <c r="AG36" s="3">
        <f t="shared" si="9"/>
        <v>84</v>
      </c>
      <c r="AH36" s="3">
        <v>962500</v>
      </c>
      <c r="AI36" s="46">
        <f t="shared" si="2"/>
        <v>74.174886271596449</v>
      </c>
      <c r="AJ36" s="146">
        <v>112.5099999999984</v>
      </c>
      <c r="AK36" s="3">
        <v>1001338.9999999858</v>
      </c>
      <c r="AL36" s="42">
        <f t="shared" si="3"/>
        <v>77.168006695390204</v>
      </c>
      <c r="AM36" s="7"/>
    </row>
    <row r="37" spans="1:39" x14ac:dyDescent="0.25">
      <c r="A37" s="36"/>
      <c r="B37" s="61">
        <v>26</v>
      </c>
      <c r="C37" s="153">
        <v>8</v>
      </c>
      <c r="D37" s="155">
        <v>117</v>
      </c>
      <c r="E37" s="109">
        <v>10760.000000000218</v>
      </c>
      <c r="F37" s="3">
        <v>11144992.800000226</v>
      </c>
      <c r="G37" s="38">
        <v>2120.0000000000045</v>
      </c>
      <c r="H37" s="3">
        <v>3293780.4000000074</v>
      </c>
      <c r="I37" s="106">
        <f t="shared" si="4"/>
        <v>14438773.200000234</v>
      </c>
      <c r="J37" s="109">
        <v>1400.0000000000057</v>
      </c>
      <c r="K37" s="3">
        <v>1450092.0000000058</v>
      </c>
      <c r="L37" s="192">
        <v>380.00000000000256</v>
      </c>
      <c r="M37" s="193">
        <v>590394.60000000405</v>
      </c>
      <c r="N37" s="97">
        <f t="shared" si="5"/>
        <v>2040486.6000000099</v>
      </c>
      <c r="O37" s="111">
        <f t="shared" si="6"/>
        <v>16479259.800000243</v>
      </c>
      <c r="P37" s="114">
        <f t="shared" si="7"/>
        <v>14660.000000000231</v>
      </c>
      <c r="Q37" s="197"/>
      <c r="R37" s="211"/>
      <c r="S37" s="198"/>
      <c r="T37" s="221"/>
      <c r="U37" s="218">
        <v>0</v>
      </c>
      <c r="V37" s="194">
        <f t="shared" si="8"/>
        <v>1046.6400000000001</v>
      </c>
      <c r="W37" s="3">
        <v>411.18</v>
      </c>
      <c r="X37" s="3">
        <v>7389110.1900000004</v>
      </c>
      <c r="Y37" s="34">
        <v>635.46</v>
      </c>
      <c r="Z37" s="34">
        <v>2697642.0828000004</v>
      </c>
      <c r="AA37" s="34">
        <f t="shared" si="0"/>
        <v>10086752.2728</v>
      </c>
      <c r="AB37" s="131">
        <f t="shared" si="1"/>
        <v>777.33371707502033</v>
      </c>
      <c r="AC37" s="137">
        <v>0</v>
      </c>
      <c r="AD37" s="3">
        <v>0</v>
      </c>
      <c r="AE37" s="3">
        <v>0</v>
      </c>
      <c r="AF37" s="3">
        <v>0</v>
      </c>
      <c r="AG37" s="3">
        <f t="shared" si="9"/>
        <v>0</v>
      </c>
      <c r="AH37" s="3">
        <v>0</v>
      </c>
      <c r="AI37" s="46">
        <f t="shared" si="2"/>
        <v>0</v>
      </c>
      <c r="AJ37" s="146">
        <v>300.29999999995562</v>
      </c>
      <c r="AK37" s="3">
        <v>2672669.9999996051</v>
      </c>
      <c r="AL37" s="42">
        <f t="shared" si="3"/>
        <v>205.96882419893859</v>
      </c>
      <c r="AM37" s="7"/>
    </row>
    <row r="38" spans="1:39" x14ac:dyDescent="0.25">
      <c r="A38" s="36"/>
      <c r="B38" s="61">
        <v>27</v>
      </c>
      <c r="C38" s="153">
        <v>7</v>
      </c>
      <c r="D38" s="155">
        <v>117</v>
      </c>
      <c r="E38" s="109">
        <v>10599.999999999909</v>
      </c>
      <c r="F38" s="3">
        <v>10979267.999999905</v>
      </c>
      <c r="G38" s="38">
        <v>2240.0000000000091</v>
      </c>
      <c r="H38" s="3">
        <v>3480220.8000000142</v>
      </c>
      <c r="I38" s="106">
        <f t="shared" si="4"/>
        <v>14459488.799999919</v>
      </c>
      <c r="J38" s="109">
        <v>1520.0000000000102</v>
      </c>
      <c r="K38" s="3">
        <v>1574385.6000000106</v>
      </c>
      <c r="L38" s="192">
        <v>480.00000000000398</v>
      </c>
      <c r="M38" s="193">
        <v>745761.60000000626</v>
      </c>
      <c r="N38" s="97">
        <f t="shared" si="5"/>
        <v>2320147.200000017</v>
      </c>
      <c r="O38" s="111">
        <f t="shared" si="6"/>
        <v>16779635.999999937</v>
      </c>
      <c r="P38" s="114">
        <f t="shared" si="7"/>
        <v>14839.999999999933</v>
      </c>
      <c r="Q38" s="197"/>
      <c r="R38" s="211"/>
      <c r="S38" s="198"/>
      <c r="T38" s="221"/>
      <c r="U38" s="218">
        <v>0</v>
      </c>
      <c r="V38" s="194">
        <f t="shared" si="8"/>
        <v>1112.5</v>
      </c>
      <c r="W38" s="3">
        <v>400.5</v>
      </c>
      <c r="X38" s="3">
        <v>7197185.25</v>
      </c>
      <c r="Y38" s="34">
        <v>712</v>
      </c>
      <c r="Z38" s="34">
        <v>3022568.16</v>
      </c>
      <c r="AA38" s="34">
        <f t="shared" si="0"/>
        <v>10219753.41</v>
      </c>
      <c r="AB38" s="131">
        <f t="shared" si="1"/>
        <v>787.58342536156886</v>
      </c>
      <c r="AC38" s="137">
        <v>0</v>
      </c>
      <c r="AD38" s="3">
        <v>0</v>
      </c>
      <c r="AE38" s="3">
        <v>50</v>
      </c>
      <c r="AF38" s="3">
        <v>0</v>
      </c>
      <c r="AG38" s="3">
        <f t="shared" si="9"/>
        <v>50</v>
      </c>
      <c r="AH38" s="3">
        <v>628000</v>
      </c>
      <c r="AI38" s="46">
        <f t="shared" si="2"/>
        <v>48.396705016688387</v>
      </c>
      <c r="AJ38" s="146">
        <v>291.93999999999869</v>
      </c>
      <c r="AK38" s="3">
        <v>2598265.9999999884</v>
      </c>
      <c r="AL38" s="42">
        <f t="shared" si="3"/>
        <v>200.23489356192724</v>
      </c>
      <c r="AM38" s="7"/>
    </row>
    <row r="39" spans="1:39" x14ac:dyDescent="0.25">
      <c r="A39" s="36"/>
      <c r="B39" s="61">
        <v>28</v>
      </c>
      <c r="C39" s="153">
        <v>8</v>
      </c>
      <c r="D39" s="155">
        <v>118</v>
      </c>
      <c r="E39" s="109">
        <v>10880.000000000109</v>
      </c>
      <c r="F39" s="3">
        <v>11269286.400000112</v>
      </c>
      <c r="G39" s="38">
        <v>2199.9999999999886</v>
      </c>
      <c r="H39" s="3">
        <v>3418073.9999999823</v>
      </c>
      <c r="I39" s="106">
        <f t="shared" si="4"/>
        <v>14687360.400000095</v>
      </c>
      <c r="J39" s="109">
        <v>1799.9999999999829</v>
      </c>
      <c r="K39" s="3">
        <v>1864403.9999999823</v>
      </c>
      <c r="L39" s="192">
        <v>379.99999999999545</v>
      </c>
      <c r="M39" s="193">
        <v>590394.59999999299</v>
      </c>
      <c r="N39" s="97">
        <f t="shared" si="5"/>
        <v>2454798.5999999754</v>
      </c>
      <c r="O39" s="111">
        <f t="shared" si="6"/>
        <v>17142159.000000071</v>
      </c>
      <c r="P39" s="114">
        <f t="shared" si="7"/>
        <v>15260.000000000076</v>
      </c>
      <c r="Q39" s="197"/>
      <c r="R39" s="214"/>
      <c r="S39" s="198"/>
      <c r="T39" s="221"/>
      <c r="U39" s="218">
        <v>0</v>
      </c>
      <c r="V39" s="194">
        <f t="shared" si="8"/>
        <v>1112.5</v>
      </c>
      <c r="W39" s="3">
        <v>396.94</v>
      </c>
      <c r="X39" s="3">
        <v>7133210.2699999996</v>
      </c>
      <c r="Y39" s="34">
        <v>715.56000000000006</v>
      </c>
      <c r="Z39" s="34">
        <v>3037681.0008000005</v>
      </c>
      <c r="AA39" s="34">
        <f t="shared" si="0"/>
        <v>10170891.2708</v>
      </c>
      <c r="AB39" s="131">
        <f t="shared" si="1"/>
        <v>783.8178735505071</v>
      </c>
      <c r="AC39" s="137">
        <v>0</v>
      </c>
      <c r="AD39" s="3">
        <v>0</v>
      </c>
      <c r="AE39" s="3">
        <v>800</v>
      </c>
      <c r="AF39" s="3">
        <v>0</v>
      </c>
      <c r="AG39" s="3">
        <f t="shared" si="9"/>
        <v>800</v>
      </c>
      <c r="AH39" s="3">
        <v>10048000</v>
      </c>
      <c r="AI39" s="46">
        <f t="shared" si="2"/>
        <v>774.34728026701418</v>
      </c>
      <c r="AJ39" s="146">
        <v>274.93999999999869</v>
      </c>
      <c r="AK39" s="3">
        <v>2446965.9999999884</v>
      </c>
      <c r="AL39" s="42">
        <f t="shared" si="3"/>
        <v>188.5749867641168</v>
      </c>
      <c r="AM39" s="7"/>
    </row>
    <row r="40" spans="1:39" x14ac:dyDescent="0.25">
      <c r="A40" s="36"/>
      <c r="B40" s="61">
        <v>29</v>
      </c>
      <c r="C40" s="153">
        <v>11</v>
      </c>
      <c r="D40" s="155">
        <v>137</v>
      </c>
      <c r="E40" s="109">
        <v>11119.999999999891</v>
      </c>
      <c r="F40" s="3">
        <v>11517873.599999886</v>
      </c>
      <c r="G40" s="38">
        <v>2280.0000000000296</v>
      </c>
      <c r="H40" s="3">
        <v>3542367.6000000462</v>
      </c>
      <c r="I40" s="106">
        <f t="shared" si="4"/>
        <v>15060241.199999932</v>
      </c>
      <c r="J40" s="109">
        <v>1520.0000000000102</v>
      </c>
      <c r="K40" s="3">
        <v>1574385.6000000106</v>
      </c>
      <c r="L40" s="192">
        <v>420.00000000000171</v>
      </c>
      <c r="M40" s="193">
        <v>652541.4000000027</v>
      </c>
      <c r="N40" s="97">
        <f t="shared" si="5"/>
        <v>2226927.000000013</v>
      </c>
      <c r="O40" s="111">
        <f t="shared" ref="O40:O41" si="10">N40+I40</f>
        <v>17287168.199999943</v>
      </c>
      <c r="P40" s="114">
        <f t="shared" ref="P40:P41" si="11">L40+J40+G40+E40</f>
        <v>15339.999999999933</v>
      </c>
      <c r="Q40" s="200"/>
      <c r="R40" s="215"/>
      <c r="S40" s="198"/>
      <c r="T40" s="221"/>
      <c r="U40" s="218">
        <v>0</v>
      </c>
      <c r="V40" s="194">
        <f t="shared" si="8"/>
        <v>1052.3359999999998</v>
      </c>
      <c r="W40" s="3">
        <v>362.23</v>
      </c>
      <c r="X40" s="3">
        <v>6509454.2150000008</v>
      </c>
      <c r="Y40" s="34">
        <v>690.10599999999965</v>
      </c>
      <c r="Z40" s="34">
        <v>2929624.1890799985</v>
      </c>
      <c r="AA40" s="34">
        <f t="shared" ref="AA40:AA41" si="12">Z40+X40</f>
        <v>9439078.4040799998</v>
      </c>
      <c r="AB40" s="131">
        <f t="shared" ref="AB40:AB41" si="13">AA40/$AL$48</f>
        <v>727.42084896760116</v>
      </c>
      <c r="AC40" s="137">
        <v>0</v>
      </c>
      <c r="AD40" s="3">
        <v>0</v>
      </c>
      <c r="AE40" s="3">
        <v>0</v>
      </c>
      <c r="AF40" s="3">
        <v>0</v>
      </c>
      <c r="AG40" s="3">
        <f t="shared" si="9"/>
        <v>0</v>
      </c>
      <c r="AH40" s="3">
        <v>0</v>
      </c>
      <c r="AI40" s="46">
        <f t="shared" ref="AI40:AI42" si="14">AH40/$AL$48</f>
        <v>0</v>
      </c>
      <c r="AJ40" s="146">
        <v>332.41000000001441</v>
      </c>
      <c r="AK40" s="3">
        <v>2958449.0000001281</v>
      </c>
      <c r="AL40" s="42">
        <f t="shared" si="3"/>
        <v>227.99233050943141</v>
      </c>
      <c r="AM40" s="7"/>
    </row>
    <row r="41" spans="1:39" x14ac:dyDescent="0.25">
      <c r="A41" s="36"/>
      <c r="B41" s="61">
        <v>30</v>
      </c>
      <c r="C41" s="153">
        <v>10</v>
      </c>
      <c r="D41" s="155">
        <v>163</v>
      </c>
      <c r="E41" s="109">
        <v>10440.000000000055</v>
      </c>
      <c r="F41" s="3">
        <v>10813543.200000057</v>
      </c>
      <c r="G41" s="38">
        <v>2159.9999999999682</v>
      </c>
      <c r="H41" s="3">
        <v>3355927.1999999508</v>
      </c>
      <c r="I41" s="106">
        <f t="shared" si="4"/>
        <v>14169470.400000008</v>
      </c>
      <c r="J41" s="109">
        <v>1539.999999999992</v>
      </c>
      <c r="K41" s="3">
        <v>1595101.1999999918</v>
      </c>
      <c r="L41" s="192">
        <v>380.00000000000256</v>
      </c>
      <c r="M41" s="193">
        <v>590394.60000000405</v>
      </c>
      <c r="N41" s="97">
        <f t="shared" si="5"/>
        <v>2185495.7999999961</v>
      </c>
      <c r="O41" s="111">
        <f t="shared" si="10"/>
        <v>16354966.200000003</v>
      </c>
      <c r="P41" s="114">
        <f t="shared" si="11"/>
        <v>14520.000000000018</v>
      </c>
      <c r="Q41" s="197"/>
      <c r="R41" s="216"/>
      <c r="S41" s="198"/>
      <c r="T41" s="221"/>
      <c r="U41" s="218">
        <v>0</v>
      </c>
      <c r="V41" s="194">
        <f t="shared" si="8"/>
        <v>967.96400000000028</v>
      </c>
      <c r="W41" s="3">
        <v>364.01</v>
      </c>
      <c r="X41" s="3">
        <v>6541441.7050000001</v>
      </c>
      <c r="Y41" s="34">
        <v>603.95400000000029</v>
      </c>
      <c r="Z41" s="34">
        <v>2563893.4417200014</v>
      </c>
      <c r="AA41" s="34">
        <f t="shared" si="12"/>
        <v>9105335.1467200015</v>
      </c>
      <c r="AB41" s="131">
        <f t="shared" si="13"/>
        <v>701.70098594568947</v>
      </c>
      <c r="AC41" s="137">
        <v>0</v>
      </c>
      <c r="AD41" s="3">
        <v>0</v>
      </c>
      <c r="AE41" s="3">
        <v>0</v>
      </c>
      <c r="AF41" s="3">
        <v>12</v>
      </c>
      <c r="AG41" s="3">
        <f>+AE41+AF41</f>
        <v>12</v>
      </c>
      <c r="AH41" s="3">
        <v>137500</v>
      </c>
      <c r="AI41" s="46">
        <f t="shared" si="14"/>
        <v>10.596412324513778</v>
      </c>
      <c r="AJ41" s="146">
        <v>155.34000000000015</v>
      </c>
      <c r="AK41" s="3">
        <v>1382526.0000000014</v>
      </c>
      <c r="AL41" s="42">
        <f t="shared" si="3"/>
        <v>106.5441130571691</v>
      </c>
      <c r="AM41" s="7"/>
    </row>
    <row r="42" spans="1:39" x14ac:dyDescent="0.25">
      <c r="A42" s="36"/>
      <c r="B42" s="61">
        <v>31</v>
      </c>
      <c r="C42" s="181">
        <v>12</v>
      </c>
      <c r="D42" s="182">
        <v>97</v>
      </c>
      <c r="E42" s="109">
        <v>10960.000000000036</v>
      </c>
      <c r="F42" s="3">
        <v>11352148.800000038</v>
      </c>
      <c r="G42" s="38">
        <v>2240.0000000000091</v>
      </c>
      <c r="H42" s="3">
        <v>3480220.8000000142</v>
      </c>
      <c r="I42" s="106">
        <f t="shared" si="4"/>
        <v>14832369.600000052</v>
      </c>
      <c r="J42" s="109">
        <v>1460.000000000008</v>
      </c>
      <c r="K42" s="3">
        <v>1512238.8000000082</v>
      </c>
      <c r="L42" s="192">
        <v>379.99999999999545</v>
      </c>
      <c r="M42" s="193">
        <v>590394.59999999299</v>
      </c>
      <c r="N42" s="97">
        <f t="shared" ref="N42" si="15">+K42+M42</f>
        <v>2102633.4000000013</v>
      </c>
      <c r="O42" s="111">
        <f t="shared" ref="O42" si="16">N42+I42</f>
        <v>16935003.000000052</v>
      </c>
      <c r="P42" s="114">
        <f t="shared" ref="P42" si="17">L42+J42+G42+E42</f>
        <v>15040.000000000049</v>
      </c>
      <c r="Q42" s="197"/>
      <c r="R42" s="216"/>
      <c r="S42" s="198"/>
      <c r="T42" s="221"/>
      <c r="U42" s="218">
        <v>0</v>
      </c>
      <c r="V42" s="194">
        <f t="shared" si="8"/>
        <v>1161.45</v>
      </c>
      <c r="W42" s="3">
        <v>395.16</v>
      </c>
      <c r="X42" s="3">
        <v>7101222.7800000003</v>
      </c>
      <c r="Y42" s="34">
        <v>766.29</v>
      </c>
      <c r="Z42" s="34">
        <v>3253038.9822</v>
      </c>
      <c r="AA42" s="34">
        <f t="shared" ref="AA42" si="18">Z42+X42</f>
        <v>10354261.7622</v>
      </c>
      <c r="AB42" s="131">
        <f t="shared" ref="AB42" si="19">AA42/$AL$48</f>
        <v>797.94928689612971</v>
      </c>
      <c r="AC42" s="137">
        <v>0</v>
      </c>
      <c r="AD42" s="3">
        <v>0</v>
      </c>
      <c r="AE42" s="3">
        <v>0</v>
      </c>
      <c r="AF42" s="3">
        <v>12</v>
      </c>
      <c r="AG42" s="3">
        <f>+AE42+AF42</f>
        <v>12</v>
      </c>
      <c r="AH42" s="3">
        <v>137500</v>
      </c>
      <c r="AI42" s="46">
        <f t="shared" si="14"/>
        <v>10.596412324513778</v>
      </c>
      <c r="AJ42" s="146">
        <v>317.34000000000015</v>
      </c>
      <c r="AK42" s="3">
        <v>2824326.0000000014</v>
      </c>
      <c r="AL42" s="42">
        <f t="shared" si="3"/>
        <v>217.65616607159794</v>
      </c>
      <c r="AM42" s="7"/>
    </row>
    <row r="43" spans="1:39" ht="16.5" thickBot="1" x14ac:dyDescent="0.3">
      <c r="A43" s="36"/>
      <c r="B43" s="125"/>
      <c r="C43" s="154"/>
      <c r="D43" s="156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3"/>
      <c r="R43" s="217"/>
      <c r="S43" s="199"/>
      <c r="T43" s="222"/>
      <c r="U43" s="219"/>
      <c r="V43" s="194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25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5" thickBot="1" x14ac:dyDescent="0.3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5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7.25" thickTop="1" thickBot="1" x14ac:dyDescent="0.3">
      <c r="A47" s="27"/>
      <c r="B47" s="72"/>
      <c r="C47" s="73">
        <f>SUM(C12:C43)</f>
        <v>282</v>
      </c>
      <c r="D47" s="73">
        <f>SUM(D12:D43)</f>
        <v>3265</v>
      </c>
      <c r="E47" s="73">
        <f>SUM(E12:E43)</f>
        <v>337200.00000000006</v>
      </c>
      <c r="F47" s="73">
        <f>SUM(F12:F43)</f>
        <v>349265016</v>
      </c>
      <c r="G47" s="73">
        <f>SUM(G12:G43)</f>
        <v>69639.999999999985</v>
      </c>
      <c r="H47" s="73">
        <f t="shared" ref="H47:O47" si="20">SUM(H12:H43)</f>
        <v>108197578.79999998</v>
      </c>
      <c r="I47" s="73">
        <f t="shared" si="20"/>
        <v>457462594.79999995</v>
      </c>
      <c r="J47" s="73">
        <f t="shared" si="20"/>
        <v>45460.000000000007</v>
      </c>
      <c r="K47" s="73">
        <f t="shared" si="20"/>
        <v>47086558.800000012</v>
      </c>
      <c r="L47" s="73">
        <f t="shared" si="20"/>
        <v>11939.999999999996</v>
      </c>
      <c r="M47" s="73">
        <f t="shared" si="20"/>
        <v>18550819.800000001</v>
      </c>
      <c r="N47" s="73">
        <f t="shared" si="20"/>
        <v>65637378.600000001</v>
      </c>
      <c r="O47" s="73">
        <f t="shared" si="20"/>
        <v>523099973.39999998</v>
      </c>
      <c r="P47" s="85">
        <f>SUM(P12:P43)</f>
        <v>464239.99999999994</v>
      </c>
      <c r="Q47" s="196" t="e">
        <f>+#REF!</f>
        <v>#REF!</v>
      </c>
      <c r="R47" s="126" t="e">
        <f>+#REF!</f>
        <v>#REF!</v>
      </c>
      <c r="S47" s="118" t="e">
        <f>Q47+P47</f>
        <v>#REF!</v>
      </c>
      <c r="T47" s="118" t="e">
        <f>R47+O47</f>
        <v>#REF!</v>
      </c>
      <c r="U47" s="140" t="e">
        <f>T47/AL48</f>
        <v>#REF!</v>
      </c>
      <c r="V47" s="184">
        <f>SUM(V12:V42)</f>
        <v>34584.509999999995</v>
      </c>
      <c r="W47" s="55">
        <f>SUM(W12:W42)</f>
        <v>11427.6</v>
      </c>
      <c r="X47" s="55">
        <f t="shared" ref="X47:Z47" si="21">SUM(X12:X42)</f>
        <v>205359685.79999998</v>
      </c>
      <c r="Y47" s="55">
        <f t="shared" si="21"/>
        <v>23156.910000000003</v>
      </c>
      <c r="Z47" s="55">
        <f t="shared" si="21"/>
        <v>98305251.193800002</v>
      </c>
      <c r="AA47" s="139">
        <f>SUM(AA12:AA42)</f>
        <v>303664936.99380004</v>
      </c>
      <c r="AB47" s="127">
        <f>AA47/$AL$48</f>
        <v>23401.882770064021</v>
      </c>
      <c r="AC47" s="47">
        <f>SUM(AC12:AC41)</f>
        <v>0</v>
      </c>
      <c r="AD47" s="141">
        <f>SUM(AD12:AD41)</f>
        <v>0</v>
      </c>
      <c r="AE47" s="47">
        <f>SUM(AE12:AE42)</f>
        <v>2900</v>
      </c>
      <c r="AF47" s="47">
        <f>SUM(AF12:AF42)</f>
        <v>348</v>
      </c>
      <c r="AG47" s="225">
        <f>SUM(AG12:AG42)</f>
        <v>3248</v>
      </c>
      <c r="AH47" s="150">
        <f>SUM(AH12:AH43)</f>
        <v>40411500</v>
      </c>
      <c r="AI47" s="151">
        <f>AH47/$AL$48</f>
        <v>3114.3048483788261</v>
      </c>
      <c r="AJ47" s="224">
        <f>SUM(AJ12:AJ43)</f>
        <v>6029.8400000000147</v>
      </c>
      <c r="AK47" s="148">
        <f>SUM(AK12:AK43)</f>
        <v>53665576.000000112</v>
      </c>
      <c r="AL47" s="149">
        <f>AK47/AL48</f>
        <v>4135.7277885711419</v>
      </c>
      <c r="AM47" s="27"/>
    </row>
    <row r="48" spans="1:39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7" t="e">
        <f>U47/S47</f>
        <v>#REF!</v>
      </c>
      <c r="V48" s="201" t="s">
        <v>53</v>
      </c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2">
        <v>12976.09</v>
      </c>
      <c r="AM48" s="27"/>
    </row>
    <row r="49" spans="1:39" s="1" customFormat="1" x14ac:dyDescent="0.25">
      <c r="A49" s="27"/>
      <c r="B49" s="27"/>
      <c r="C49" s="5"/>
      <c r="D49" s="11"/>
      <c r="E49" s="5"/>
      <c r="F49" s="5"/>
      <c r="G49" s="11"/>
      <c r="H49" s="5"/>
      <c r="I49" s="9"/>
      <c r="J49" s="9"/>
      <c r="K49" s="9"/>
      <c r="L49" s="17"/>
      <c r="M49" s="66"/>
      <c r="N49" s="70"/>
      <c r="O49" s="10"/>
      <c r="P49" s="70">
        <f>O47/P47</f>
        <v>1126.7878110460108</v>
      </c>
      <c r="Q49" s="10"/>
      <c r="R49" s="117"/>
      <c r="S49" s="14"/>
      <c r="T49" s="84"/>
      <c r="U49" s="157"/>
      <c r="V49" s="201"/>
      <c r="W49" s="11"/>
      <c r="X49" s="11"/>
      <c r="Y49" s="142"/>
      <c r="Z49" s="11"/>
      <c r="AA49" s="270">
        <f>AA47/V47</f>
        <v>8780.3741326333693</v>
      </c>
      <c r="AB49" s="11"/>
      <c r="AC49" s="16"/>
      <c r="AD49" s="7"/>
      <c r="AE49" s="16"/>
      <c r="AF49" s="16"/>
      <c r="AG49" s="7"/>
      <c r="AH49" s="17">
        <f>AH47/AG47</f>
        <v>12441.964285714286</v>
      </c>
      <c r="AI49" s="270"/>
      <c r="AJ49" s="117"/>
      <c r="AK49" s="270">
        <f>AK47/AJ47</f>
        <v>8899.9999999999964</v>
      </c>
      <c r="AL49" s="152"/>
      <c r="AM49" s="27"/>
    </row>
    <row r="50" spans="1:39" s="1" customFormat="1" x14ac:dyDescent="0.25">
      <c r="A50" s="27"/>
      <c r="B50" s="27"/>
      <c r="C50" s="5"/>
      <c r="D50" s="11"/>
      <c r="E50" s="5"/>
      <c r="F50" s="5"/>
      <c r="G50" s="11"/>
      <c r="H50" s="5"/>
      <c r="I50" s="9"/>
      <c r="J50" s="9"/>
      <c r="K50" s="9"/>
      <c r="L50" s="17"/>
      <c r="M50" s="66"/>
      <c r="N50" s="70"/>
      <c r="O50" s="10"/>
      <c r="P50" s="70"/>
      <c r="Q50" s="10"/>
      <c r="R50" s="117"/>
      <c r="S50" s="14"/>
      <c r="T50" s="84"/>
      <c r="U50" s="157"/>
      <c r="V50" s="201"/>
      <c r="W50" s="229">
        <f>W47/V47</f>
        <v>0.33042538408090794</v>
      </c>
      <c r="X50" s="11"/>
      <c r="Y50" s="142"/>
      <c r="Z50" s="11"/>
      <c r="AA50" s="11"/>
      <c r="AB50" s="11"/>
      <c r="AC50" s="16"/>
      <c r="AD50" s="7"/>
      <c r="AE50" s="16"/>
      <c r="AF50" s="16"/>
      <c r="AG50" s="7"/>
      <c r="AH50" s="5"/>
      <c r="AI50" s="11"/>
      <c r="AJ50" s="91"/>
      <c r="AK50" s="11"/>
      <c r="AL50" s="152"/>
      <c r="AM50" s="27"/>
    </row>
    <row r="51" spans="1:39" s="204" customFormat="1" x14ac:dyDescent="0.25">
      <c r="A51" s="202"/>
      <c r="B51" s="202"/>
      <c r="C51" s="203"/>
      <c r="E51" s="203"/>
      <c r="F51" s="203"/>
      <c r="G51" s="203">
        <f>G47+E47</f>
        <v>406840.00000000006</v>
      </c>
      <c r="H51" s="203"/>
      <c r="K51" s="228"/>
      <c r="L51" s="203">
        <f>L47+J47</f>
        <v>57400</v>
      </c>
      <c r="M51" s="205"/>
      <c r="N51" s="206"/>
      <c r="P51" s="206"/>
      <c r="R51" s="207"/>
      <c r="AD51" s="203"/>
      <c r="AH51" s="203"/>
      <c r="AJ51" s="207"/>
      <c r="AL51" s="208"/>
      <c r="AM51" s="202"/>
    </row>
    <row r="52" spans="1:39" s="204" customFormat="1" x14ac:dyDescent="0.25">
      <c r="A52" s="202"/>
      <c r="B52" s="202"/>
      <c r="C52" s="203"/>
      <c r="E52" s="203"/>
      <c r="F52" s="203"/>
      <c r="H52" s="203"/>
      <c r="K52" s="228"/>
      <c r="L52" s="203"/>
      <c r="M52" s="205"/>
      <c r="N52" s="206"/>
      <c r="P52" s="206"/>
      <c r="R52" s="207"/>
      <c r="AD52" s="203"/>
      <c r="AH52" s="203"/>
      <c r="AJ52" s="207"/>
      <c r="AL52" s="208"/>
      <c r="AM52" s="202"/>
    </row>
    <row r="53" spans="1:39" s="204" customFormat="1" x14ac:dyDescent="0.25">
      <c r="A53" s="202"/>
      <c r="B53" s="202"/>
      <c r="C53" s="203"/>
      <c r="E53" s="203"/>
      <c r="F53" s="203"/>
      <c r="H53" s="203"/>
      <c r="I53" s="226">
        <f>G51</f>
        <v>406840.00000000006</v>
      </c>
      <c r="J53" s="226">
        <f>I47</f>
        <v>457462594.79999995</v>
      </c>
      <c r="K53" s="228" t="e">
        <f>J53/J56</f>
        <v>#REF!</v>
      </c>
      <c r="L53" s="203"/>
      <c r="M53" s="205"/>
      <c r="N53" s="206"/>
      <c r="P53" s="206"/>
      <c r="R53" s="207"/>
      <c r="AD53" s="203"/>
      <c r="AH53" s="203"/>
      <c r="AJ53" s="207"/>
      <c r="AL53" s="208"/>
      <c r="AM53" s="202"/>
    </row>
    <row r="54" spans="1:39" s="204" customFormat="1" x14ac:dyDescent="0.25">
      <c r="A54" s="202"/>
      <c r="B54" s="202"/>
      <c r="C54" s="203"/>
      <c r="E54" s="203"/>
      <c r="F54" s="203"/>
      <c r="H54" s="203"/>
      <c r="I54" s="226">
        <f>L51</f>
        <v>57400</v>
      </c>
      <c r="J54" s="226">
        <f>N47</f>
        <v>65637378.600000001</v>
      </c>
      <c r="K54" s="228" t="e">
        <f>J54/J56</f>
        <v>#REF!</v>
      </c>
      <c r="L54" s="203"/>
      <c r="M54" s="205"/>
      <c r="N54" s="206"/>
      <c r="P54" s="206"/>
      <c r="R54" s="207"/>
      <c r="AD54" s="203"/>
      <c r="AH54" s="203"/>
      <c r="AJ54" s="207"/>
      <c r="AL54" s="208"/>
      <c r="AM54" s="202"/>
    </row>
    <row r="55" spans="1:39" s="204" customFormat="1" x14ac:dyDescent="0.25">
      <c r="A55" s="202"/>
      <c r="B55" s="202"/>
      <c r="C55" s="203"/>
      <c r="E55" s="203"/>
      <c r="F55" s="203"/>
      <c r="H55" s="203"/>
      <c r="I55" s="227" t="e">
        <f>Q47</f>
        <v>#REF!</v>
      </c>
      <c r="J55" s="226" t="e">
        <f>R47</f>
        <v>#REF!</v>
      </c>
      <c r="K55" s="228" t="e">
        <f>J55/J56</f>
        <v>#REF!</v>
      </c>
      <c r="L55" s="203"/>
      <c r="M55" s="205"/>
      <c r="N55" s="206"/>
      <c r="P55" s="206"/>
      <c r="R55" s="207"/>
      <c r="AD55" s="203"/>
      <c r="AH55" s="203"/>
      <c r="AJ55" s="207"/>
      <c r="AL55" s="208"/>
      <c r="AM55" s="202"/>
    </row>
    <row r="56" spans="1:39" s="204" customFormat="1" x14ac:dyDescent="0.25">
      <c r="A56" s="202"/>
      <c r="B56" s="202"/>
      <c r="C56" s="203"/>
      <c r="E56" s="203"/>
      <c r="F56" s="203"/>
      <c r="H56" s="203"/>
      <c r="I56" s="226" t="e">
        <f>SUM(I53:I55)</f>
        <v>#REF!</v>
      </c>
      <c r="J56" s="226" t="e">
        <f>SUM(J53:J55)</f>
        <v>#REF!</v>
      </c>
      <c r="K56" s="228"/>
      <c r="L56" s="203"/>
      <c r="M56" s="205"/>
      <c r="N56" s="206"/>
      <c r="P56" s="206"/>
      <c r="R56" s="207"/>
      <c r="AD56" s="203"/>
      <c r="AH56" s="203"/>
      <c r="AJ56" s="207"/>
      <c r="AL56" s="208"/>
      <c r="AM56" s="202"/>
    </row>
    <row r="57" spans="1:39" s="204" customFormat="1" x14ac:dyDescent="0.25">
      <c r="A57" s="202"/>
      <c r="B57" s="202"/>
      <c r="C57" s="203"/>
      <c r="E57" s="203"/>
      <c r="F57" s="203"/>
      <c r="H57" s="203"/>
      <c r="K57" s="228"/>
      <c r="L57" s="203"/>
      <c r="M57" s="205"/>
      <c r="N57" s="206"/>
      <c r="P57" s="206"/>
      <c r="R57" s="207"/>
      <c r="AD57" s="203"/>
      <c r="AH57" s="203"/>
      <c r="AJ57" s="207"/>
      <c r="AL57" s="208"/>
      <c r="AM57" s="202"/>
    </row>
    <row r="58" spans="1:39" s="204" customFormat="1" x14ac:dyDescent="0.25">
      <c r="A58" s="202"/>
      <c r="B58" s="202"/>
      <c r="C58" s="203"/>
      <c r="E58" s="203"/>
      <c r="F58" s="203"/>
      <c r="H58" s="203"/>
      <c r="L58" s="203"/>
      <c r="M58" s="205"/>
      <c r="N58" s="206"/>
      <c r="P58" s="206"/>
      <c r="R58" s="207"/>
      <c r="AD58" s="203"/>
      <c r="AH58" s="203"/>
      <c r="AJ58" s="207"/>
      <c r="AL58" s="208"/>
      <c r="AM58" s="202"/>
    </row>
    <row r="59" spans="1:39" s="204" customFormat="1" x14ac:dyDescent="0.25">
      <c r="A59" s="202"/>
      <c r="B59" s="202"/>
      <c r="C59" s="203"/>
      <c r="E59" s="203"/>
      <c r="F59" s="203"/>
      <c r="H59" s="203"/>
      <c r="L59" s="203"/>
      <c r="M59" s="205"/>
      <c r="N59" s="206"/>
      <c r="P59" s="206"/>
      <c r="R59" s="207"/>
      <c r="AD59" s="203"/>
      <c r="AH59" s="203"/>
      <c r="AJ59" s="207"/>
      <c r="AL59" s="208"/>
      <c r="AM59" s="202"/>
    </row>
    <row r="60" spans="1:39" s="204" customFormat="1" x14ac:dyDescent="0.25">
      <c r="A60" s="202"/>
      <c r="B60" s="202"/>
      <c r="C60" s="203"/>
      <c r="E60" s="203"/>
      <c r="F60" s="203"/>
      <c r="H60" s="203"/>
      <c r="L60" s="203"/>
      <c r="M60" s="205"/>
      <c r="N60" s="206"/>
      <c r="P60" s="206"/>
      <c r="R60" s="207"/>
      <c r="AD60" s="203"/>
      <c r="AH60" s="203"/>
      <c r="AJ60" s="207"/>
      <c r="AL60" s="208"/>
      <c r="AM60" s="202"/>
    </row>
    <row r="61" spans="1:39" s="204" customFormat="1" x14ac:dyDescent="0.25">
      <c r="A61" s="202"/>
      <c r="B61" s="202"/>
      <c r="C61" s="203"/>
      <c r="E61" s="203"/>
      <c r="F61" s="203"/>
      <c r="H61" s="203"/>
      <c r="L61" s="203"/>
      <c r="M61" s="205"/>
      <c r="N61" s="206"/>
      <c r="P61" s="206"/>
      <c r="R61" s="207"/>
      <c r="AD61" s="203"/>
      <c r="AH61" s="203"/>
      <c r="AJ61" s="207"/>
      <c r="AL61" s="208"/>
      <c r="AM61" s="202"/>
    </row>
    <row r="62" spans="1:39" s="204" customFormat="1" x14ac:dyDescent="0.25">
      <c r="A62" s="202"/>
      <c r="B62" s="202"/>
      <c r="C62" s="203"/>
      <c r="E62" s="203"/>
      <c r="F62" s="203"/>
      <c r="H62" s="203"/>
      <c r="L62" s="203"/>
      <c r="M62" s="205"/>
      <c r="N62" s="206"/>
      <c r="P62" s="206"/>
      <c r="R62" s="207"/>
      <c r="AD62" s="203"/>
      <c r="AH62" s="203"/>
      <c r="AJ62" s="207"/>
      <c r="AL62" s="208"/>
      <c r="AM62" s="202"/>
    </row>
    <row r="63" spans="1:39" s="204" customFormat="1" x14ac:dyDescent="0.25">
      <c r="A63" s="202"/>
      <c r="B63" s="202"/>
      <c r="C63" s="203"/>
      <c r="E63" s="203"/>
      <c r="F63" s="203"/>
      <c r="H63" s="203"/>
      <c r="L63" s="203"/>
      <c r="M63" s="205"/>
      <c r="N63" s="206"/>
      <c r="P63" s="206"/>
      <c r="R63" s="207"/>
      <c r="AD63" s="203"/>
      <c r="AH63" s="203"/>
      <c r="AJ63" s="207"/>
      <c r="AL63" s="208"/>
      <c r="AM63" s="202"/>
    </row>
    <row r="64" spans="1:39" s="204" customFormat="1" x14ac:dyDescent="0.25">
      <c r="A64" s="202"/>
      <c r="B64" s="202"/>
      <c r="C64" s="203"/>
      <c r="E64" s="203"/>
      <c r="F64" s="203"/>
      <c r="H64" s="203"/>
      <c r="L64" s="203"/>
      <c r="M64" s="205"/>
      <c r="N64" s="206"/>
      <c r="P64" s="206"/>
      <c r="R64" s="207"/>
      <c r="AD64" s="203"/>
      <c r="AH64" s="203"/>
      <c r="AJ64" s="207"/>
      <c r="AL64" s="208"/>
      <c r="AM64" s="202"/>
    </row>
    <row r="65" spans="1:39" s="204" customFormat="1" x14ac:dyDescent="0.25">
      <c r="A65" s="202"/>
      <c r="B65" s="202"/>
      <c r="C65" s="203"/>
      <c r="E65" s="203"/>
      <c r="F65" s="203"/>
      <c r="H65" s="203"/>
      <c r="L65" s="203"/>
      <c r="M65" s="205"/>
      <c r="N65" s="206"/>
      <c r="P65" s="206"/>
      <c r="R65" s="207"/>
      <c r="AD65" s="203"/>
      <c r="AH65" s="203"/>
      <c r="AJ65" s="207"/>
      <c r="AL65" s="208"/>
      <c r="AM65" s="202"/>
    </row>
    <row r="66" spans="1:39" s="204" customFormat="1" x14ac:dyDescent="0.25">
      <c r="A66" s="202"/>
      <c r="B66" s="202"/>
      <c r="C66" s="203"/>
      <c r="E66" s="203"/>
      <c r="F66" s="203"/>
      <c r="H66" s="203"/>
      <c r="L66" s="203"/>
      <c r="M66" s="205"/>
      <c r="N66" s="206"/>
      <c r="P66" s="206"/>
      <c r="R66" s="207"/>
      <c r="AD66" s="203"/>
      <c r="AH66" s="203"/>
      <c r="AJ66" s="207"/>
      <c r="AL66" s="208"/>
      <c r="AM66" s="202"/>
    </row>
    <row r="67" spans="1:39" s="204" customFormat="1" x14ac:dyDescent="0.25">
      <c r="A67" s="202"/>
      <c r="B67" s="202"/>
      <c r="C67" s="203"/>
      <c r="E67" s="203"/>
      <c r="F67" s="203"/>
      <c r="H67" s="203"/>
      <c r="L67" s="203"/>
      <c r="M67" s="205"/>
      <c r="N67" s="206"/>
      <c r="P67" s="206"/>
      <c r="R67" s="207"/>
      <c r="AD67" s="203"/>
      <c r="AH67" s="203"/>
      <c r="AJ67" s="207"/>
      <c r="AL67" s="208"/>
      <c r="AM67" s="202"/>
    </row>
    <row r="68" spans="1:39" s="204" customFormat="1" x14ac:dyDescent="0.25">
      <c r="A68" s="202"/>
      <c r="B68" s="202"/>
      <c r="C68" s="203"/>
      <c r="E68" s="203"/>
      <c r="F68" s="203"/>
      <c r="H68" s="203"/>
      <c r="L68" s="203"/>
      <c r="M68" s="205"/>
      <c r="N68" s="206"/>
      <c r="P68" s="206"/>
      <c r="R68" s="207"/>
      <c r="AD68" s="203"/>
      <c r="AH68" s="203"/>
      <c r="AJ68" s="207"/>
      <c r="AL68" s="208"/>
      <c r="AM68" s="202"/>
    </row>
    <row r="69" spans="1:39" s="204" customFormat="1" x14ac:dyDescent="0.25">
      <c r="A69" s="202"/>
      <c r="B69" s="202"/>
      <c r="C69" s="203"/>
      <c r="E69" s="203"/>
      <c r="F69" s="203"/>
      <c r="H69" s="203"/>
      <c r="L69" s="203"/>
      <c r="M69" s="205"/>
      <c r="N69" s="206"/>
      <c r="P69" s="206"/>
      <c r="R69" s="207"/>
      <c r="AD69" s="203"/>
      <c r="AH69" s="203"/>
      <c r="AJ69" s="207"/>
      <c r="AL69" s="208"/>
      <c r="AM69" s="202"/>
    </row>
    <row r="70" spans="1:39" s="204" customFormat="1" x14ac:dyDescent="0.25">
      <c r="A70" s="202"/>
      <c r="B70" s="202"/>
      <c r="C70" s="203"/>
      <c r="E70" s="203"/>
      <c r="F70" s="203"/>
      <c r="H70" s="203"/>
      <c r="L70" s="203"/>
      <c r="M70" s="205"/>
      <c r="N70" s="206"/>
      <c r="P70" s="206"/>
      <c r="R70" s="207"/>
      <c r="AD70" s="203"/>
      <c r="AH70" s="203"/>
      <c r="AJ70" s="207"/>
      <c r="AL70" s="208"/>
      <c r="AM70" s="202"/>
    </row>
  </sheetData>
  <mergeCells count="17"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2" sqref="E32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8" t="s">
        <v>28</v>
      </c>
    </row>
    <row r="2" spans="1:3" ht="18.75" x14ac:dyDescent="0.3">
      <c r="A2" s="266">
        <v>44317</v>
      </c>
      <c r="B2" s="267"/>
      <c r="C2" s="267"/>
    </row>
    <row r="3" spans="1:3" x14ac:dyDescent="0.25">
      <c r="A3" s="269" t="s">
        <v>1</v>
      </c>
      <c r="B3" s="268" t="s">
        <v>2</v>
      </c>
      <c r="C3" s="268" t="s">
        <v>3</v>
      </c>
    </row>
    <row r="4" spans="1:3" x14ac:dyDescent="0.25">
      <c r="A4" s="269"/>
      <c r="B4" s="268"/>
      <c r="C4" s="268"/>
    </row>
    <row r="5" spans="1:3" x14ac:dyDescent="0.25">
      <c r="A5" s="269"/>
      <c r="B5" s="268"/>
      <c r="C5" s="268"/>
    </row>
    <row r="6" spans="1:3" x14ac:dyDescent="0.25">
      <c r="A6" s="2">
        <v>1</v>
      </c>
      <c r="B6" s="2">
        <v>9</v>
      </c>
      <c r="C6" s="2">
        <v>72</v>
      </c>
    </row>
    <row r="7" spans="1:3" x14ac:dyDescent="0.25">
      <c r="A7" s="2">
        <v>2</v>
      </c>
      <c r="B7" s="2">
        <v>5</v>
      </c>
      <c r="C7" s="2">
        <v>109</v>
      </c>
    </row>
    <row r="8" spans="1:3" x14ac:dyDescent="0.25">
      <c r="A8" s="2">
        <f>A7+1</f>
        <v>3</v>
      </c>
      <c r="B8" s="2">
        <v>3</v>
      </c>
      <c r="C8" s="2">
        <v>62</v>
      </c>
    </row>
    <row r="9" spans="1:3" x14ac:dyDescent="0.25">
      <c r="A9" s="2">
        <f>A8+1</f>
        <v>4</v>
      </c>
      <c r="B9" s="2">
        <v>1</v>
      </c>
      <c r="C9" s="2">
        <v>62</v>
      </c>
    </row>
    <row r="10" spans="1:3" x14ac:dyDescent="0.25">
      <c r="A10" s="2">
        <f t="shared" ref="A10:A36" si="0">A9+1</f>
        <v>5</v>
      </c>
      <c r="B10" s="2">
        <v>3</v>
      </c>
      <c r="C10" s="2">
        <v>59</v>
      </c>
    </row>
    <row r="11" spans="1:3" x14ac:dyDescent="0.25">
      <c r="A11" s="2">
        <f t="shared" si="0"/>
        <v>6</v>
      </c>
      <c r="B11" s="2">
        <v>2</v>
      </c>
      <c r="C11" s="2">
        <v>68</v>
      </c>
    </row>
    <row r="12" spans="1:3" x14ac:dyDescent="0.25">
      <c r="A12" s="2">
        <f t="shared" si="0"/>
        <v>7</v>
      </c>
      <c r="B12" s="2">
        <v>5</v>
      </c>
      <c r="C12" s="2">
        <v>64</v>
      </c>
    </row>
    <row r="13" spans="1:3" x14ac:dyDescent="0.25">
      <c r="A13" s="2">
        <f t="shared" si="0"/>
        <v>8</v>
      </c>
      <c r="B13" s="2">
        <v>7</v>
      </c>
      <c r="C13" s="2">
        <v>130</v>
      </c>
    </row>
    <row r="14" spans="1:3" x14ac:dyDescent="0.25">
      <c r="A14" s="2">
        <f t="shared" si="0"/>
        <v>9</v>
      </c>
      <c r="B14" s="2">
        <v>13</v>
      </c>
      <c r="C14" s="2">
        <v>137</v>
      </c>
    </row>
    <row r="15" spans="1:3" x14ac:dyDescent="0.25">
      <c r="A15" s="2">
        <f t="shared" si="0"/>
        <v>10</v>
      </c>
      <c r="B15" s="2">
        <v>16</v>
      </c>
      <c r="C15" s="2">
        <v>78</v>
      </c>
    </row>
    <row r="16" spans="1:3" x14ac:dyDescent="0.25">
      <c r="A16" s="2">
        <f t="shared" si="0"/>
        <v>11</v>
      </c>
      <c r="B16" s="2">
        <v>14</v>
      </c>
      <c r="C16" s="2">
        <v>100</v>
      </c>
    </row>
    <row r="17" spans="1:3" x14ac:dyDescent="0.25">
      <c r="A17" s="2">
        <f t="shared" si="0"/>
        <v>12</v>
      </c>
      <c r="B17" s="2">
        <v>13</v>
      </c>
      <c r="C17" s="2">
        <v>103</v>
      </c>
    </row>
    <row r="18" spans="1:3" x14ac:dyDescent="0.25">
      <c r="A18" s="2">
        <f t="shared" si="0"/>
        <v>13</v>
      </c>
      <c r="B18" s="2">
        <v>19</v>
      </c>
      <c r="C18" s="2">
        <v>129</v>
      </c>
    </row>
    <row r="19" spans="1:3" x14ac:dyDescent="0.25">
      <c r="A19" s="2">
        <f t="shared" si="0"/>
        <v>14</v>
      </c>
      <c r="B19" s="2">
        <v>19</v>
      </c>
      <c r="C19" s="2">
        <v>139</v>
      </c>
    </row>
    <row r="20" spans="1:3" x14ac:dyDescent="0.25">
      <c r="A20" s="2">
        <f t="shared" si="0"/>
        <v>15</v>
      </c>
      <c r="B20" s="2">
        <v>16</v>
      </c>
      <c r="C20" s="2">
        <v>162</v>
      </c>
    </row>
    <row r="21" spans="1:3" x14ac:dyDescent="0.25">
      <c r="A21" s="2">
        <f t="shared" si="0"/>
        <v>16</v>
      </c>
      <c r="B21" s="2">
        <v>10</v>
      </c>
      <c r="C21" s="2">
        <v>146</v>
      </c>
    </row>
    <row r="22" spans="1:3" x14ac:dyDescent="0.25">
      <c r="A22" s="2">
        <f t="shared" si="0"/>
        <v>17</v>
      </c>
      <c r="B22" s="2">
        <v>13</v>
      </c>
      <c r="C22" s="2">
        <v>86</v>
      </c>
    </row>
    <row r="23" spans="1:3" x14ac:dyDescent="0.25">
      <c r="A23" s="2">
        <f t="shared" si="0"/>
        <v>18</v>
      </c>
      <c r="B23" s="2">
        <v>11</v>
      </c>
      <c r="C23" s="2">
        <v>113</v>
      </c>
    </row>
    <row r="24" spans="1:3" x14ac:dyDescent="0.25">
      <c r="A24" s="2">
        <f t="shared" si="0"/>
        <v>19</v>
      </c>
      <c r="B24" s="2">
        <v>7</v>
      </c>
      <c r="C24" s="2">
        <v>103</v>
      </c>
    </row>
    <row r="25" spans="1:3" x14ac:dyDescent="0.25">
      <c r="A25" s="2">
        <f t="shared" si="0"/>
        <v>20</v>
      </c>
      <c r="B25" s="2">
        <v>5</v>
      </c>
      <c r="C25" s="2">
        <v>85</v>
      </c>
    </row>
    <row r="26" spans="1:3" x14ac:dyDescent="0.25">
      <c r="A26" s="2">
        <f t="shared" si="0"/>
        <v>21</v>
      </c>
      <c r="B26" s="2">
        <v>10</v>
      </c>
      <c r="C26" s="2">
        <v>89</v>
      </c>
    </row>
    <row r="27" spans="1:3" x14ac:dyDescent="0.25">
      <c r="A27" s="2">
        <f t="shared" si="0"/>
        <v>22</v>
      </c>
      <c r="B27" s="2">
        <v>9</v>
      </c>
      <c r="C27" s="2">
        <v>150</v>
      </c>
    </row>
    <row r="28" spans="1:3" x14ac:dyDescent="0.25">
      <c r="A28" s="2">
        <f t="shared" si="0"/>
        <v>23</v>
      </c>
      <c r="B28" s="2">
        <v>6</v>
      </c>
      <c r="C28" s="2">
        <v>150</v>
      </c>
    </row>
    <row r="29" spans="1:3" x14ac:dyDescent="0.25">
      <c r="A29" s="2">
        <f t="shared" si="0"/>
        <v>24</v>
      </c>
      <c r="B29" s="2">
        <v>3</v>
      </c>
      <c r="C29" s="2">
        <v>56</v>
      </c>
    </row>
    <row r="30" spans="1:3" x14ac:dyDescent="0.25">
      <c r="A30" s="2">
        <f t="shared" si="0"/>
        <v>25</v>
      </c>
      <c r="B30" s="2">
        <v>7</v>
      </c>
      <c r="C30" s="2">
        <v>64</v>
      </c>
    </row>
    <row r="31" spans="1:3" x14ac:dyDescent="0.25">
      <c r="A31" s="2">
        <f t="shared" si="0"/>
        <v>26</v>
      </c>
      <c r="B31" s="2">
        <v>8</v>
      </c>
      <c r="C31" s="2">
        <v>117</v>
      </c>
    </row>
    <row r="32" spans="1:3" x14ac:dyDescent="0.25">
      <c r="A32" s="2">
        <f t="shared" si="0"/>
        <v>27</v>
      </c>
      <c r="B32" s="2">
        <v>7</v>
      </c>
      <c r="C32" s="2">
        <v>117</v>
      </c>
    </row>
    <row r="33" spans="1:3" x14ac:dyDescent="0.25">
      <c r="A33" s="2">
        <f t="shared" si="0"/>
        <v>28</v>
      </c>
      <c r="B33" s="2">
        <v>8</v>
      </c>
      <c r="C33" s="2">
        <v>118</v>
      </c>
    </row>
    <row r="34" spans="1:3" x14ac:dyDescent="0.25">
      <c r="A34" s="2">
        <f t="shared" si="0"/>
        <v>29</v>
      </c>
      <c r="B34" s="2">
        <v>11</v>
      </c>
      <c r="C34" s="2">
        <v>137</v>
      </c>
    </row>
    <row r="35" spans="1:3" x14ac:dyDescent="0.25">
      <c r="A35" s="2">
        <f t="shared" si="0"/>
        <v>30</v>
      </c>
      <c r="B35" s="2">
        <v>10</v>
      </c>
      <c r="C35" s="2">
        <v>163</v>
      </c>
    </row>
    <row r="36" spans="1:3" x14ac:dyDescent="0.25">
      <c r="A36" s="2">
        <f t="shared" si="0"/>
        <v>31</v>
      </c>
      <c r="B36" s="2">
        <v>12</v>
      </c>
      <c r="C36" s="2">
        <v>97</v>
      </c>
    </row>
    <row r="38" spans="1:3" x14ac:dyDescent="0.25">
      <c r="B38" s="6">
        <f>SUM(B6:B36)</f>
        <v>282</v>
      </c>
      <c r="C38" s="6">
        <f>SUM(C6:C36)</f>
        <v>3265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7D87318-DA37-44CD-9616-62E4B7AD39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May 2021</vt:lpstr>
      <vt:lpstr>RNs &amp; Covers May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2022-04-15T04:40:00Z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