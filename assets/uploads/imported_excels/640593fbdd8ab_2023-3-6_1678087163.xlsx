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盘Lemon\付款\HEP\Budget\"/>
    </mc:Choice>
  </mc:AlternateContent>
  <bookViews>
    <workbookView xWindow="-120" yWindow="-120" windowWidth="20730" windowHeight="11160"/>
  </bookViews>
  <sheets>
    <sheet name="Sites Utilities" sheetId="2" r:id="rId1"/>
  </sheets>
  <definedNames>
    <definedName name="_xlnm._FilterDatabase" localSheetId="0" hidden="1">'Sites Utilities'!$A$1:$CD$1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2" l="1"/>
  <c r="L13" i="2"/>
  <c r="L12" i="2"/>
  <c r="L8" i="2"/>
  <c r="L9" i="2"/>
  <c r="L10" i="2"/>
  <c r="L11" i="2"/>
  <c r="L7" i="2"/>
  <c r="L6" i="2"/>
  <c r="L5" i="2"/>
  <c r="L4" i="2"/>
  <c r="L3" i="2"/>
  <c r="L2" i="2"/>
  <c r="G4" i="2"/>
  <c r="G5" i="2"/>
  <c r="G6" i="2"/>
  <c r="G7" i="2"/>
  <c r="G8" i="2"/>
  <c r="G9" i="2"/>
  <c r="G10" i="2"/>
  <c r="G11" i="2"/>
  <c r="G12" i="2"/>
  <c r="G13" i="2"/>
  <c r="G3" i="2"/>
  <c r="G2" i="2"/>
  <c r="Q4" i="2" l="1"/>
  <c r="Q5" i="2"/>
  <c r="Q6" i="2"/>
  <c r="Q7" i="2"/>
  <c r="Q8" i="2"/>
  <c r="Q9" i="2"/>
  <c r="Q10" i="2"/>
  <c r="Q11" i="2"/>
  <c r="Q12" i="2"/>
  <c r="Q13" i="2"/>
  <c r="Q3" i="2"/>
</calcChain>
</file>

<file path=xl/sharedStrings.xml><?xml version="1.0" encoding="utf-8"?>
<sst xmlns="http://schemas.openxmlformats.org/spreadsheetml/2006/main" count="33" uniqueCount="22">
  <si>
    <t>Tianjin</t>
  </si>
  <si>
    <t>Site Name</t>
  </si>
  <si>
    <t>Month</t>
  </si>
  <si>
    <t>Year</t>
  </si>
  <si>
    <t>Purchased Electricity Kwh</t>
  </si>
  <si>
    <t>Electricity Total Budgeted</t>
  </si>
  <si>
    <t>Natural Gas Total Budgeted</t>
  </si>
  <si>
    <t>Water Total Budgeted</t>
  </si>
  <si>
    <t xml:space="preserve">Room Nights
</t>
  </si>
  <si>
    <t>Purchased Electricity 
Cost（￥）</t>
  </si>
  <si>
    <t>Water Utility Supply 
Cost（￥）</t>
  </si>
  <si>
    <t>Natural Gas Hot-Water Boilers(m³）
Cost(￥)</t>
  </si>
  <si>
    <t>Food Covers</t>
  </si>
  <si>
    <t>Natural Gas Total Budgeted Cost($)</t>
  </si>
  <si>
    <t>Water Total Budgeted Cost($)</t>
  </si>
  <si>
    <t>Electricity Total Budgeted Cost($)</t>
  </si>
  <si>
    <t>Purchased Electricity Tariff ($/Kwh)</t>
  </si>
  <si>
    <t>Forex</t>
  </si>
  <si>
    <t>Water Utility Supply (m3) m3</t>
  </si>
  <si>
    <t>Water Utility Supply (m3) $/m3</t>
  </si>
  <si>
    <t>Natural Gas Hot-Water Boilers (m3) $/m3</t>
  </si>
  <si>
    <t>Natural Gas Hot-Water Boilers (m3)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</si>
</sst>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3"/>
  <sheetViews>
    <sheetView tabSelected="1" topLeftCell="B1" workbookViewId="0">
      <selection activeCell="Q3" sqref="Q3"/>
    </sheetView>
  </sheetViews>
  <sheetFormatPr defaultColWidth="8.85546875" defaultRowHeight="15" x14ac:dyDescent="0.25"/>
  <cols>
    <col min="1" max="8" width="12.7109375" style="1" customWidth="1"/>
    <col min="9" max="9" width="13.42578125" style="1" customWidth="1"/>
    <col min="10" max="82" width="12.7109375" style="1" customWidth="1"/>
    <col min="83" max="16384" width="8.85546875" style="1"/>
  </cols>
  <sheetData>
    <row r="1" spans="1:82" s="2" customFormat="1" ht="60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16</v>
      </c>
      <c r="F1" s="3" t="s">
        <v>9</v>
      </c>
      <c r="G1" s="4" t="s">
        <v>5</v>
      </c>
      <c r="H1" s="4" t="s">
        <v>15</v>
      </c>
      <c r="I1" s="3" t="s">
        <v>21</v>
      </c>
      <c r="J1" s="3" t="s">
        <v>20</v>
      </c>
      <c r="K1" s="3" t="s">
        <v>11</v>
      </c>
      <c r="L1" s="4" t="s">
        <v>6</v>
      </c>
      <c r="M1" s="4" t="s">
        <v>13</v>
      </c>
      <c r="N1" s="3" t="s">
        <v>18</v>
      </c>
      <c r="O1" s="3" t="s">
        <v>19</v>
      </c>
      <c r="P1" s="3" t="s">
        <v>10</v>
      </c>
      <c r="Q1" s="4" t="s">
        <v>7</v>
      </c>
      <c r="R1" s="4" t="s">
        <v>14</v>
      </c>
      <c r="S1" s="3" t="s">
        <v>8</v>
      </c>
      <c r="T1" s="3" t="s">
        <v>12</v>
      </c>
      <c r="U1" s="3" t="s">
        <v>17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x14ac:dyDescent="0.25">
      <c r="A2" s="1" t="s">
        <v>0</v>
      </c>
      <c r="B2" s="1">
        <v>1</v>
      </c>
      <c r="C2" s="1">
        <v>2023</v>
      </c>
      <c r="D2" s="1">
        <v>546848</v>
      </c>
      <c r="E2" s="1">
        <v>0.77</v>
      </c>
      <c r="F2" s="1">
        <v>421073</v>
      </c>
      <c r="G2" s="6">
        <f>H2/0.89</f>
        <v>431261.79775280895</v>
      </c>
      <c r="H2" s="5">
        <v>383823</v>
      </c>
      <c r="I2" s="1">
        <v>103745</v>
      </c>
      <c r="J2" s="1">
        <v>4.16</v>
      </c>
      <c r="K2" s="1">
        <v>431580</v>
      </c>
      <c r="L2" s="6">
        <f>M2/4.05</f>
        <v>103132.83950617284</v>
      </c>
      <c r="M2" s="5">
        <v>417688</v>
      </c>
      <c r="N2" s="1">
        <v>4458</v>
      </c>
      <c r="O2" s="1">
        <v>8.4700000000000006</v>
      </c>
      <c r="P2" s="1">
        <v>37759</v>
      </c>
      <c r="Q2" s="6">
        <f>R2/8.47</f>
        <v>6318.6540731995274</v>
      </c>
      <c r="R2" s="5">
        <v>53519</v>
      </c>
      <c r="U2" s="1">
        <v>0.15</v>
      </c>
    </row>
    <row r="3" spans="1:82" x14ac:dyDescent="0.25">
      <c r="A3" s="1" t="s">
        <v>0</v>
      </c>
      <c r="B3" s="1">
        <v>2</v>
      </c>
      <c r="C3" s="1">
        <v>2023</v>
      </c>
      <c r="D3" s="1">
        <v>495410</v>
      </c>
      <c r="E3" s="1">
        <v>0.77</v>
      </c>
      <c r="F3" s="1">
        <v>381466</v>
      </c>
      <c r="G3" s="6">
        <f>H3/0.89</f>
        <v>392537.07865168538</v>
      </c>
      <c r="H3" s="5">
        <v>349358</v>
      </c>
      <c r="I3" s="1">
        <v>76659</v>
      </c>
      <c r="J3" s="1">
        <v>4.16</v>
      </c>
      <c r="K3" s="1">
        <v>318901</v>
      </c>
      <c r="L3" s="6">
        <f>M3/4.05</f>
        <v>78049.382716049382</v>
      </c>
      <c r="M3" s="5">
        <v>316100</v>
      </c>
      <c r="N3" s="1">
        <v>4002</v>
      </c>
      <c r="O3" s="1">
        <v>8.4700000000000006</v>
      </c>
      <c r="P3" s="1">
        <v>33897</v>
      </c>
      <c r="Q3" s="6">
        <f>R3/8.47</f>
        <v>5996.9303423848878</v>
      </c>
      <c r="R3" s="5">
        <v>50794</v>
      </c>
      <c r="U3" s="1">
        <v>0.15</v>
      </c>
    </row>
    <row r="4" spans="1:82" x14ac:dyDescent="0.25">
      <c r="A4" s="1" t="s">
        <v>0</v>
      </c>
      <c r="B4" s="1">
        <v>3</v>
      </c>
      <c r="C4" s="1">
        <v>2023</v>
      </c>
      <c r="G4" s="6">
        <f t="shared" ref="G4:G13" si="0">H4/0.89</f>
        <v>425294.38202247192</v>
      </c>
      <c r="H4" s="5">
        <v>378512</v>
      </c>
      <c r="L4" s="6">
        <f>M4/4.05</f>
        <v>43115.555555555555</v>
      </c>
      <c r="M4" s="5">
        <v>174618</v>
      </c>
      <c r="Q4" s="6">
        <f t="shared" ref="Q4:Q13" si="1">R4/8.47</f>
        <v>6215.7024793388427</v>
      </c>
      <c r="R4" s="5">
        <v>52647</v>
      </c>
      <c r="U4" s="1">
        <v>0.15</v>
      </c>
    </row>
    <row r="5" spans="1:82" x14ac:dyDescent="0.25">
      <c r="A5" s="1" t="s">
        <v>0</v>
      </c>
      <c r="B5" s="1">
        <v>4</v>
      </c>
      <c r="C5" s="1">
        <v>2023</v>
      </c>
      <c r="G5" s="6">
        <f t="shared" si="0"/>
        <v>428087.64044943819</v>
      </c>
      <c r="H5" s="5">
        <v>380998</v>
      </c>
      <c r="L5" s="6">
        <f>M5/3.75</f>
        <v>31653.599999999999</v>
      </c>
      <c r="M5" s="5">
        <v>118701</v>
      </c>
      <c r="Q5" s="6">
        <f t="shared" si="1"/>
        <v>6447.3435655253834</v>
      </c>
      <c r="R5" s="5">
        <v>54609</v>
      </c>
      <c r="U5" s="1">
        <v>0.15</v>
      </c>
    </row>
    <row r="6" spans="1:82" x14ac:dyDescent="0.25">
      <c r="A6" s="1" t="s">
        <v>0</v>
      </c>
      <c r="B6" s="1">
        <v>5</v>
      </c>
      <c r="C6" s="1">
        <v>2023</v>
      </c>
      <c r="G6" s="6">
        <f t="shared" si="0"/>
        <v>529152.80898876407</v>
      </c>
      <c r="H6" s="5">
        <v>470946</v>
      </c>
      <c r="L6" s="6">
        <f>M6/3.75</f>
        <v>28601.599999999999</v>
      </c>
      <c r="M6" s="5">
        <v>107256</v>
      </c>
      <c r="Q6" s="6">
        <f t="shared" si="1"/>
        <v>7129.3978748524196</v>
      </c>
      <c r="R6" s="5">
        <v>60386</v>
      </c>
      <c r="U6" s="1">
        <v>0.15</v>
      </c>
    </row>
    <row r="7" spans="1:82" x14ac:dyDescent="0.25">
      <c r="A7" s="1" t="s">
        <v>0</v>
      </c>
      <c r="B7" s="1">
        <v>6</v>
      </c>
      <c r="C7" s="1">
        <v>2023</v>
      </c>
      <c r="G7" s="6">
        <f t="shared" si="0"/>
        <v>598603.37078651681</v>
      </c>
      <c r="H7" s="5">
        <v>532757</v>
      </c>
      <c r="L7" s="6">
        <f>M7/3.75</f>
        <v>25171.733333333334</v>
      </c>
      <c r="M7" s="5">
        <v>94394</v>
      </c>
      <c r="Q7" s="6">
        <f t="shared" si="1"/>
        <v>6884.8878394332933</v>
      </c>
      <c r="R7" s="5">
        <v>58315</v>
      </c>
      <c r="U7" s="1">
        <v>0.15</v>
      </c>
    </row>
    <row r="8" spans="1:82" x14ac:dyDescent="0.25">
      <c r="A8" s="1" t="s">
        <v>0</v>
      </c>
      <c r="B8" s="1">
        <v>7</v>
      </c>
      <c r="C8" s="1">
        <v>2023</v>
      </c>
      <c r="G8" s="6">
        <f t="shared" si="0"/>
        <v>739155.05617977527</v>
      </c>
      <c r="H8" s="5">
        <v>657848</v>
      </c>
      <c r="L8" s="6">
        <f t="shared" ref="L8:L11" si="2">M8/3.75</f>
        <v>24009.066666666666</v>
      </c>
      <c r="M8" s="5">
        <v>90034</v>
      </c>
      <c r="Q8" s="6">
        <f t="shared" si="1"/>
        <v>8107.4380165289249</v>
      </c>
      <c r="R8" s="5">
        <v>68670</v>
      </c>
      <c r="U8" s="1">
        <v>0.15</v>
      </c>
    </row>
    <row r="9" spans="1:82" x14ac:dyDescent="0.25">
      <c r="A9" s="1" t="s">
        <v>0</v>
      </c>
      <c r="B9" s="1">
        <v>8</v>
      </c>
      <c r="C9" s="1">
        <v>2023</v>
      </c>
      <c r="G9" s="6">
        <f t="shared" si="0"/>
        <v>682401.1235955056</v>
      </c>
      <c r="H9" s="5">
        <v>607337</v>
      </c>
      <c r="L9" s="6">
        <f t="shared" si="2"/>
        <v>32176.799999999999</v>
      </c>
      <c r="M9" s="5">
        <v>120663</v>
      </c>
      <c r="Q9" s="6">
        <f t="shared" si="1"/>
        <v>7065.053128689492</v>
      </c>
      <c r="R9" s="5">
        <v>59841</v>
      </c>
      <c r="U9" s="1">
        <v>0.15</v>
      </c>
    </row>
    <row r="10" spans="1:82" x14ac:dyDescent="0.25">
      <c r="A10" s="1" t="s">
        <v>0</v>
      </c>
      <c r="B10" s="1">
        <v>9</v>
      </c>
      <c r="C10" s="1">
        <v>2023</v>
      </c>
      <c r="G10" s="6">
        <f t="shared" si="0"/>
        <v>618664.04494382022</v>
      </c>
      <c r="H10" s="5">
        <v>550611</v>
      </c>
      <c r="L10" s="6">
        <f t="shared" si="2"/>
        <v>30985.066666666666</v>
      </c>
      <c r="M10" s="5">
        <v>116194</v>
      </c>
      <c r="Q10" s="6">
        <f t="shared" si="1"/>
        <v>7129.3978748524196</v>
      </c>
      <c r="R10" s="5">
        <v>60386</v>
      </c>
      <c r="U10" s="1">
        <v>0.15</v>
      </c>
    </row>
    <row r="11" spans="1:82" x14ac:dyDescent="0.25">
      <c r="A11" s="1" t="s">
        <v>0</v>
      </c>
      <c r="B11" s="1">
        <v>10</v>
      </c>
      <c r="C11" s="1">
        <v>2023</v>
      </c>
      <c r="G11" s="6">
        <f t="shared" si="0"/>
        <v>556323.59550561802</v>
      </c>
      <c r="H11" s="5">
        <v>495128</v>
      </c>
      <c r="L11" s="6">
        <f t="shared" si="2"/>
        <v>38397.066666666666</v>
      </c>
      <c r="M11" s="5">
        <v>143989</v>
      </c>
      <c r="Q11" s="6">
        <f t="shared" si="1"/>
        <v>7219.4805194805185</v>
      </c>
      <c r="R11" s="5">
        <v>61149</v>
      </c>
      <c r="U11" s="1">
        <v>0.15</v>
      </c>
    </row>
    <row r="12" spans="1:82" x14ac:dyDescent="0.25">
      <c r="A12" s="1" t="s">
        <v>0</v>
      </c>
      <c r="B12" s="1">
        <v>11</v>
      </c>
      <c r="C12" s="1">
        <v>2023</v>
      </c>
      <c r="G12" s="6">
        <f t="shared" si="0"/>
        <v>456655.05617977527</v>
      </c>
      <c r="H12" s="5">
        <v>406423</v>
      </c>
      <c r="L12" s="6">
        <f>M12/4.05</f>
        <v>50301.481481481482</v>
      </c>
      <c r="M12" s="5">
        <v>203721</v>
      </c>
      <c r="Q12" s="6">
        <f t="shared" si="1"/>
        <v>6061.2750885478154</v>
      </c>
      <c r="R12" s="5">
        <v>51339</v>
      </c>
      <c r="U12" s="1">
        <v>0.15</v>
      </c>
    </row>
    <row r="13" spans="1:82" x14ac:dyDescent="0.25">
      <c r="A13" s="1" t="s">
        <v>0</v>
      </c>
      <c r="B13" s="1">
        <v>12</v>
      </c>
      <c r="C13" s="1">
        <v>2023</v>
      </c>
      <c r="G13" s="6">
        <f t="shared" si="0"/>
        <v>493602.24719101121</v>
      </c>
      <c r="H13" s="5">
        <v>439306</v>
      </c>
      <c r="L13" s="6">
        <f>M13/4.05</f>
        <v>99957.037037037036</v>
      </c>
      <c r="M13" s="5">
        <v>404826</v>
      </c>
      <c r="Q13" s="6">
        <f t="shared" si="1"/>
        <v>6550.295159386068</v>
      </c>
      <c r="R13" s="5">
        <v>55481</v>
      </c>
      <c r="U13" s="1">
        <v>0.15</v>
      </c>
    </row>
  </sheetData>
  <autoFilter ref="A1:CD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Lemon Wang </cp:lastModifiedBy>
  <dcterms:created xsi:type="dcterms:W3CDTF">2022-03-28T13:52:41Z</dcterms:created>
  <dcterms:modified xsi:type="dcterms:W3CDTF">2023-03-06T07:19:00Z</dcterms:modified>
</cp:coreProperties>
</file>