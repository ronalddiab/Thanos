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HEP Logs\"/>
    </mc:Choice>
  </mc:AlternateContent>
  <xr:revisionPtr revIDLastSave="0" documentId="8_{58F6F014-E4DB-4C55-BBBA-A5D91599E03C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5" i="2"/>
  <c r="B32" i="1"/>
  <c r="K32" i="1"/>
  <c r="L32" i="1"/>
  <c r="E32" i="3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B32" i="3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B30" i="1"/>
  <c r="B3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0" i="1" s="1"/>
  <c r="E31" i="3"/>
  <c r="E31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E32" i="1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<sst xmlns="http://schemas.openxmlformats.org/spreadsheetml/2006/main" count="150" uniqueCount="55">
  <si>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</si>
  <si>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</si>
  <si>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</si>
  <si>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</si>
  <si>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</si>
  <si>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</si>
  <si>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</si>
  <si>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</si>
  <si>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</si>
  <si>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</si>
  <si>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</si>
  <si>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</si>
  <si>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</si>
  <si>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</si>
  <si>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</si>
  <si>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</si>
  <si>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</si>
  <si>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</si>
  <si>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</si>
  <si>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</si>
  <si>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</si>
  <si>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</si>
  <si>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</si>
  <si>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</si>
  <si>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</si>
  <si>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</si>
  <si>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</si>
  <si>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</si>
  <si>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</si>
  <si>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>Main Site Water Meter</t>
  </si>
  <si>
    <t>Water Softener 
Sub Meter</t>
  </si>
  <si>
    <t>Hard Water Supply Sub Meter</t>
  </si>
  <si>
    <t>Pool Supply Sub Meter</t>
  </si>
  <si>
    <t xml:space="preserve">Kids pool Sub Meter </t>
  </si>
  <si>
    <t>Main Pool
Backwash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</si>
  <si>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</si>
  <si>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</si>
  <si>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</si>
  <si>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</si>
  <si>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</si>
  <si>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</si>
  <si>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</si>
  <si>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</si>
  <si>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</si>
  <si>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</si>
  <si>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</si>
  <si>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</si>
  <si>
    <t>GAS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</si>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</sst>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EA9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0" fontId="10" fillId="0" borderId="11" xfId="0" applyFont="1" applyBorder="1"/>
    <xf numFmtId="0" fontId="10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0" fillId="4" borderId="0" xfId="0" applyFill="1"/>
    <xf numFmtId="0" fontId="3" fillId="7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O11" sqref="O11"/>
    </sheetView>
  </sheetViews>
  <sheetFormatPr defaultColWidth="11.5703125" defaultRowHeight="1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12</v>
      </c>
      <c r="B2" s="2">
        <v>1</v>
      </c>
      <c r="C2" s="2">
        <v>8</v>
      </c>
      <c r="D2" s="2">
        <v>2022</v>
      </c>
      <c r="E2" s="4">
        <f>(Submetering!E2+Submetering!F2)</f>
        <v>10998</v>
      </c>
      <c r="F2" s="12">
        <v>0.35</v>
      </c>
      <c r="G2" s="4">
        <f>Submetering!M2</f>
        <v>1213</v>
      </c>
      <c r="H2" s="12">
        <v>0.6</v>
      </c>
      <c r="I2" s="4">
        <f>Submetering!N2</f>
        <v>138</v>
      </c>
      <c r="J2" s="13">
        <v>2.06</v>
      </c>
      <c r="K2" s="4">
        <f>'Hampshire Daily'!B5</f>
        <v>65</v>
      </c>
      <c r="L2" s="4">
        <f>'Hampshire Daily'!C5</f>
        <v>131</v>
      </c>
    </row>
    <row r="3" spans="1:24">
      <c r="A3" s="3" t="s">
        <v>12</v>
      </c>
      <c r="B3" s="2">
        <f>B2+1</f>
        <v>2</v>
      </c>
      <c r="C3" s="2">
        <v>8</v>
      </c>
      <c r="D3" s="2">
        <v>2022</v>
      </c>
      <c r="E3" s="4">
        <f>Submetering!E3+Submetering!F3</f>
        <v>10907</v>
      </c>
      <c r="F3" s="12">
        <v>0.35</v>
      </c>
      <c r="G3" s="4">
        <f>Submetering!M3</f>
        <v>1110</v>
      </c>
      <c r="H3" s="12">
        <v>0.6</v>
      </c>
      <c r="I3" s="4">
        <f>Submetering!N3</f>
        <v>119</v>
      </c>
      <c r="J3" s="13">
        <v>2.06</v>
      </c>
      <c r="K3" s="4">
        <f>'Hampshire Daily'!B6</f>
        <v>72</v>
      </c>
      <c r="L3" s="4">
        <f>'Hampshire Daily'!C6</f>
        <v>154</v>
      </c>
    </row>
    <row r="4" spans="1:24">
      <c r="A4" s="3" t="s">
        <v>12</v>
      </c>
      <c r="B4" s="2">
        <f t="shared" ref="B4:B32" si="0">B3+1</f>
        <v>3</v>
      </c>
      <c r="C4" s="2">
        <v>8</v>
      </c>
      <c r="D4" s="2">
        <v>2022</v>
      </c>
      <c r="E4" s="4">
        <f>Submetering!E4+Submetering!F4</f>
        <v>11479</v>
      </c>
      <c r="F4" s="12">
        <v>0.35</v>
      </c>
      <c r="G4" s="4">
        <f>Submetering!M4</f>
        <v>1080</v>
      </c>
      <c r="H4" s="12">
        <v>0.6</v>
      </c>
      <c r="I4" s="4">
        <f>Submetering!N4</f>
        <v>125</v>
      </c>
      <c r="J4" s="13">
        <v>2.06</v>
      </c>
      <c r="K4" s="4">
        <f>'Hampshire Daily'!B7</f>
        <v>64</v>
      </c>
      <c r="L4" s="4">
        <f>'Hampshire Daily'!C7</f>
        <v>164</v>
      </c>
    </row>
    <row r="5" spans="1:24">
      <c r="A5" s="3" t="s">
        <v>12</v>
      </c>
      <c r="B5" s="2">
        <f t="shared" si="0"/>
        <v>4</v>
      </c>
      <c r="C5" s="2">
        <v>8</v>
      </c>
      <c r="D5" s="2">
        <v>2022</v>
      </c>
      <c r="E5" s="4">
        <f>Submetering!E5+Submetering!F5</f>
        <v>10318</v>
      </c>
      <c r="F5" s="12">
        <v>0.35</v>
      </c>
      <c r="G5" s="4">
        <f>Submetering!M5</f>
        <v>1363</v>
      </c>
      <c r="H5" s="12">
        <v>0.6</v>
      </c>
      <c r="I5" s="4">
        <f>Submetering!N5</f>
        <v>140</v>
      </c>
      <c r="J5" s="13">
        <v>2.06</v>
      </c>
      <c r="K5" s="4">
        <f>'Hampshire Daily'!B8</f>
        <v>71</v>
      </c>
      <c r="L5" s="4">
        <f>'Hampshire Daily'!C8</f>
        <v>153</v>
      </c>
    </row>
    <row r="6" spans="1:24">
      <c r="A6" s="3" t="s">
        <v>12</v>
      </c>
      <c r="B6" s="2">
        <f t="shared" si="0"/>
        <v>5</v>
      </c>
      <c r="C6" s="2">
        <v>8</v>
      </c>
      <c r="D6" s="2">
        <v>2022</v>
      </c>
      <c r="E6" s="4">
        <f>Submetering!E6+Submetering!F6</f>
        <v>7492</v>
      </c>
      <c r="F6" s="12">
        <v>0.35</v>
      </c>
      <c r="G6" s="4">
        <f>Submetering!M6</f>
        <v>1901</v>
      </c>
      <c r="H6" s="12">
        <v>0.6</v>
      </c>
      <c r="I6" s="4">
        <f>Submetering!N6</f>
        <v>142</v>
      </c>
      <c r="J6" s="13">
        <v>2.06</v>
      </c>
      <c r="K6" s="4">
        <f>'Hampshire Daily'!B9</f>
        <v>95</v>
      </c>
      <c r="L6" s="4">
        <f>'Hampshire Daily'!C9</f>
        <v>203</v>
      </c>
    </row>
    <row r="7" spans="1:24">
      <c r="A7" s="3" t="s">
        <v>12</v>
      </c>
      <c r="B7" s="2">
        <f t="shared" si="0"/>
        <v>6</v>
      </c>
      <c r="C7" s="2">
        <v>8</v>
      </c>
      <c r="D7" s="2">
        <v>2022</v>
      </c>
      <c r="E7" s="4">
        <f>Submetering!E7+Submetering!F7</f>
        <v>9345</v>
      </c>
      <c r="F7" s="12">
        <v>0.35</v>
      </c>
      <c r="G7" s="4">
        <f>Submetering!M7</f>
        <v>1516</v>
      </c>
      <c r="H7" s="12">
        <v>0.6</v>
      </c>
      <c r="I7" s="4">
        <f>Submetering!N7</f>
        <v>131</v>
      </c>
      <c r="J7" s="13">
        <v>2.06</v>
      </c>
      <c r="K7" s="4">
        <f>'Hampshire Daily'!B10</f>
        <v>103</v>
      </c>
      <c r="L7" s="4">
        <f>'Hampshire Daily'!C10</f>
        <v>214</v>
      </c>
    </row>
    <row r="8" spans="1:24">
      <c r="A8" s="3" t="s">
        <v>12</v>
      </c>
      <c r="B8" s="2">
        <f t="shared" si="0"/>
        <v>7</v>
      </c>
      <c r="C8" s="2">
        <v>8</v>
      </c>
      <c r="D8" s="2">
        <v>2022</v>
      </c>
      <c r="E8" s="4">
        <f>Submetering!E8+Submetering!F8</f>
        <v>10074</v>
      </c>
      <c r="F8" s="12">
        <v>0.35</v>
      </c>
      <c r="G8" s="4">
        <f>Submetering!M8</f>
        <v>1532</v>
      </c>
      <c r="H8" s="12">
        <v>0.6</v>
      </c>
      <c r="I8" s="4">
        <f>Submetering!N8</f>
        <v>152</v>
      </c>
      <c r="J8" s="13">
        <v>2.06</v>
      </c>
      <c r="K8" s="4">
        <f>'Hampshire Daily'!B11</f>
        <v>83</v>
      </c>
      <c r="L8" s="4">
        <f>'Hampshire Daily'!C11</f>
        <v>157</v>
      </c>
    </row>
    <row r="9" spans="1:24">
      <c r="A9" s="3" t="s">
        <v>12</v>
      </c>
      <c r="B9" s="2">
        <f t="shared" si="0"/>
        <v>8</v>
      </c>
      <c r="C9" s="2">
        <v>8</v>
      </c>
      <c r="D9" s="2">
        <v>2022</v>
      </c>
      <c r="E9" s="4">
        <f>Submetering!E9+Submetering!F9</f>
        <v>9253</v>
      </c>
      <c r="F9" s="12">
        <v>0.35</v>
      </c>
      <c r="G9" s="4">
        <f>Submetering!M9</f>
        <v>1409</v>
      </c>
      <c r="H9" s="12">
        <v>0.6</v>
      </c>
      <c r="I9" s="4">
        <f>Submetering!N9</f>
        <v>129</v>
      </c>
      <c r="J9" s="13">
        <v>2.06</v>
      </c>
      <c r="K9" s="4">
        <f>'Hampshire Daily'!B12</f>
        <v>120</v>
      </c>
      <c r="L9" s="4">
        <f>'Hampshire Daily'!C12</f>
        <v>214</v>
      </c>
    </row>
    <row r="10" spans="1:24">
      <c r="A10" s="3" t="s">
        <v>12</v>
      </c>
      <c r="B10" s="2">
        <f t="shared" si="0"/>
        <v>9</v>
      </c>
      <c r="C10" s="2">
        <v>8</v>
      </c>
      <c r="D10" s="2">
        <v>2022</v>
      </c>
      <c r="E10" s="4">
        <f>Submetering!E10+Submetering!F10</f>
        <v>11818</v>
      </c>
      <c r="F10" s="12">
        <v>0.35</v>
      </c>
      <c r="G10" s="4">
        <f>Submetering!M10</f>
        <v>1134</v>
      </c>
      <c r="H10" s="12">
        <v>0.6</v>
      </c>
      <c r="I10" s="4">
        <f>Submetering!N10</f>
        <v>150</v>
      </c>
      <c r="J10" s="13">
        <v>2.06</v>
      </c>
      <c r="K10" s="4">
        <f>'Hampshire Daily'!B13</f>
        <v>115</v>
      </c>
      <c r="L10" s="4">
        <f>'Hampshire Daily'!C13</f>
        <v>207</v>
      </c>
    </row>
    <row r="11" spans="1:24">
      <c r="A11" s="3" t="s">
        <v>12</v>
      </c>
      <c r="B11" s="2">
        <f t="shared" si="0"/>
        <v>10</v>
      </c>
      <c r="C11" s="2">
        <v>8</v>
      </c>
      <c r="D11" s="2">
        <v>2022</v>
      </c>
      <c r="E11" s="4">
        <f>Submetering!E11+Submetering!F11</f>
        <v>10257</v>
      </c>
      <c r="F11" s="12">
        <v>0.35</v>
      </c>
      <c r="G11" s="4">
        <f>Submetering!M11</f>
        <v>1534</v>
      </c>
      <c r="H11" s="12">
        <v>0.6</v>
      </c>
      <c r="I11" s="4">
        <f>Submetering!N11</f>
        <v>160</v>
      </c>
      <c r="J11" s="13">
        <v>2.06</v>
      </c>
      <c r="K11" s="4">
        <f>'Hampshire Daily'!B14</f>
        <v>67</v>
      </c>
      <c r="L11" s="4">
        <f>'Hampshire Daily'!C14</f>
        <v>155</v>
      </c>
    </row>
    <row r="12" spans="1:24">
      <c r="A12" s="3" t="s">
        <v>12</v>
      </c>
      <c r="B12" s="2">
        <f t="shared" si="0"/>
        <v>11</v>
      </c>
      <c r="C12" s="2">
        <v>8</v>
      </c>
      <c r="D12" s="2">
        <v>2022</v>
      </c>
      <c r="E12" s="4">
        <f>Submetering!E12+Submetering!F12</f>
        <v>10555</v>
      </c>
      <c r="F12" s="12">
        <v>0.35</v>
      </c>
      <c r="G12" s="4">
        <f>Submetering!M12</f>
        <v>1292</v>
      </c>
      <c r="H12" s="12">
        <v>0.6</v>
      </c>
      <c r="I12" s="4">
        <f>Submetering!N12</f>
        <v>133</v>
      </c>
      <c r="J12" s="13">
        <v>2.06</v>
      </c>
      <c r="K12" s="4">
        <f>'Hampshire Daily'!B15</f>
        <v>68</v>
      </c>
      <c r="L12" s="4">
        <f>'Hampshire Daily'!C15</f>
        <v>160</v>
      </c>
    </row>
    <row r="13" spans="1:24">
      <c r="A13" s="3" t="s">
        <v>12</v>
      </c>
      <c r="B13" s="2">
        <f t="shared" si="0"/>
        <v>12</v>
      </c>
      <c r="C13" s="2">
        <v>8</v>
      </c>
      <c r="D13" s="2">
        <v>2022</v>
      </c>
      <c r="E13" s="4">
        <f>Submetering!E13+Submetering!F13</f>
        <v>10129</v>
      </c>
      <c r="F13" s="12">
        <v>0.35</v>
      </c>
      <c r="G13" s="4">
        <f>Submetering!M13</f>
        <v>1450</v>
      </c>
      <c r="H13" s="12">
        <v>0.6</v>
      </c>
      <c r="I13" s="4">
        <f>Submetering!N13</f>
        <v>138</v>
      </c>
      <c r="J13" s="13">
        <v>2.06</v>
      </c>
      <c r="K13" s="4">
        <f>'Hampshire Daily'!B16</f>
        <v>117</v>
      </c>
      <c r="L13" s="4">
        <f>'Hampshire Daily'!C16</f>
        <v>246</v>
      </c>
    </row>
    <row r="14" spans="1:24">
      <c r="A14" s="3" t="s">
        <v>12</v>
      </c>
      <c r="B14" s="2">
        <f t="shared" si="0"/>
        <v>13</v>
      </c>
      <c r="C14" s="2">
        <v>8</v>
      </c>
      <c r="D14" s="2">
        <v>2022</v>
      </c>
      <c r="E14" s="4">
        <f>Submetering!E14+Submetering!F14</f>
        <v>11384</v>
      </c>
      <c r="F14" s="12">
        <v>0.35</v>
      </c>
      <c r="G14" s="4">
        <f>Submetering!M14</f>
        <v>1190</v>
      </c>
      <c r="H14" s="12">
        <v>0.6</v>
      </c>
      <c r="I14" s="4">
        <f>Submetering!N14</f>
        <v>149</v>
      </c>
      <c r="J14" s="13">
        <v>2.06</v>
      </c>
      <c r="K14" s="4">
        <f>'Hampshire Daily'!B17</f>
        <v>117</v>
      </c>
      <c r="L14" s="4">
        <f>'Hampshire Daily'!C17</f>
        <v>217</v>
      </c>
    </row>
    <row r="15" spans="1:24">
      <c r="A15" s="3" t="s">
        <v>12</v>
      </c>
      <c r="B15" s="2">
        <f t="shared" si="0"/>
        <v>14</v>
      </c>
      <c r="C15" s="2">
        <v>8</v>
      </c>
      <c r="D15" s="2">
        <v>2022</v>
      </c>
      <c r="E15" s="4">
        <f>Submetering!E15+Submetering!F15</f>
        <v>11474</v>
      </c>
      <c r="F15" s="12">
        <v>0.35</v>
      </c>
      <c r="G15" s="4">
        <f>Submetering!M15</f>
        <v>1254</v>
      </c>
      <c r="H15" s="12">
        <v>0.6</v>
      </c>
      <c r="I15" s="4">
        <f>Submetering!N15</f>
        <v>124</v>
      </c>
      <c r="J15" s="13">
        <v>2.06</v>
      </c>
      <c r="K15" s="4">
        <f>'Hampshire Daily'!B18</f>
        <v>121</v>
      </c>
      <c r="L15" s="4">
        <f>'Hampshire Daily'!C18</f>
        <v>176</v>
      </c>
    </row>
    <row r="16" spans="1:24">
      <c r="A16" s="3" t="s">
        <v>12</v>
      </c>
      <c r="B16" s="2">
        <f t="shared" si="0"/>
        <v>15</v>
      </c>
      <c r="C16" s="2">
        <v>8</v>
      </c>
      <c r="D16" s="2">
        <v>2022</v>
      </c>
      <c r="E16" s="4">
        <f>Submetering!E16+Submetering!F16</f>
        <v>11300</v>
      </c>
      <c r="F16" s="12">
        <v>0.35</v>
      </c>
      <c r="G16" s="4">
        <f>Submetering!M16</f>
        <v>1267</v>
      </c>
      <c r="H16" s="12">
        <v>0.6</v>
      </c>
      <c r="I16" s="4">
        <f>Submetering!N16</f>
        <v>148</v>
      </c>
      <c r="J16" s="13">
        <v>2.06</v>
      </c>
      <c r="K16" s="4">
        <f>'Hampshire Daily'!B19</f>
        <v>108</v>
      </c>
      <c r="L16" s="4">
        <f>'Hampshire Daily'!C19</f>
        <v>187</v>
      </c>
    </row>
    <row r="17" spans="1:12">
      <c r="A17" s="3" t="s">
        <v>12</v>
      </c>
      <c r="B17" s="2">
        <f t="shared" si="0"/>
        <v>16</v>
      </c>
      <c r="C17" s="2">
        <v>8</v>
      </c>
      <c r="D17" s="2">
        <v>2022</v>
      </c>
      <c r="E17" s="4">
        <f>Submetering!E17+Submetering!F17</f>
        <v>12890</v>
      </c>
      <c r="F17" s="12">
        <v>0.35</v>
      </c>
      <c r="G17" s="4">
        <f>Submetering!M17</f>
        <v>949</v>
      </c>
      <c r="H17" s="12">
        <v>0.6</v>
      </c>
      <c r="I17" s="4">
        <f>Submetering!N17</f>
        <v>179</v>
      </c>
      <c r="J17" s="13">
        <v>2.06</v>
      </c>
      <c r="K17" s="4">
        <f>'Hampshire Daily'!B20</f>
        <v>113</v>
      </c>
      <c r="L17" s="4">
        <f>'Hampshire Daily'!C20</f>
        <v>191</v>
      </c>
    </row>
    <row r="18" spans="1:12">
      <c r="A18" s="3" t="s">
        <v>12</v>
      </c>
      <c r="B18" s="2">
        <f t="shared" si="0"/>
        <v>17</v>
      </c>
      <c r="C18" s="2">
        <v>8</v>
      </c>
      <c r="D18" s="2">
        <v>2022</v>
      </c>
      <c r="E18" s="4">
        <f>Submetering!E18+Submetering!F18</f>
        <v>10066</v>
      </c>
      <c r="F18" s="12">
        <v>0.35</v>
      </c>
      <c r="G18" s="4">
        <f>Submetering!M18</f>
        <v>1516</v>
      </c>
      <c r="H18" s="12">
        <v>0.6</v>
      </c>
      <c r="I18" s="4">
        <f>Submetering!N18</f>
        <v>175</v>
      </c>
      <c r="J18" s="13">
        <v>2.06</v>
      </c>
      <c r="K18" s="4">
        <f>'Hampshire Daily'!B21</f>
        <v>84</v>
      </c>
      <c r="L18" s="4">
        <f>'Hampshire Daily'!C21</f>
        <v>148</v>
      </c>
    </row>
    <row r="19" spans="1:12">
      <c r="A19" s="3" t="s">
        <v>12</v>
      </c>
      <c r="B19" s="2">
        <f t="shared" si="0"/>
        <v>18</v>
      </c>
      <c r="C19" s="2">
        <v>8</v>
      </c>
      <c r="D19" s="2">
        <v>2022</v>
      </c>
      <c r="E19" s="4">
        <f>Submetering!E19+Submetering!F19</f>
        <v>9260</v>
      </c>
      <c r="F19" s="12">
        <v>0.35</v>
      </c>
      <c r="G19" s="4">
        <f>Submetering!M19</f>
        <v>1621</v>
      </c>
      <c r="H19" s="12">
        <v>0.6</v>
      </c>
      <c r="I19" s="4">
        <f>Submetering!N19</f>
        <v>149</v>
      </c>
      <c r="J19" s="13">
        <v>2.06</v>
      </c>
      <c r="K19" s="4">
        <f>'Hampshire Daily'!B22</f>
        <v>84</v>
      </c>
      <c r="L19" s="4">
        <f>'Hampshire Daily'!C22</f>
        <v>148</v>
      </c>
    </row>
    <row r="20" spans="1:12">
      <c r="A20" s="3" t="s">
        <v>12</v>
      </c>
      <c r="B20" s="2">
        <f t="shared" si="0"/>
        <v>19</v>
      </c>
      <c r="C20" s="2">
        <v>8</v>
      </c>
      <c r="D20" s="2">
        <v>2022</v>
      </c>
      <c r="E20" s="4">
        <f>Submetering!E20+Submetering!F20</f>
        <v>9876</v>
      </c>
      <c r="F20" s="12">
        <v>0.35</v>
      </c>
      <c r="G20" s="4">
        <f>Submetering!M20</f>
        <v>1467</v>
      </c>
      <c r="H20" s="12">
        <v>0.6</v>
      </c>
      <c r="I20" s="4">
        <f>Submetering!N20</f>
        <v>127</v>
      </c>
      <c r="J20" s="13">
        <v>2.06</v>
      </c>
      <c r="K20" s="4">
        <f>'Hampshire Daily'!B23</f>
        <v>92</v>
      </c>
      <c r="L20" s="4">
        <f>'Hampshire Daily'!C23</f>
        <v>191</v>
      </c>
    </row>
    <row r="21" spans="1:12">
      <c r="A21" s="3" t="s">
        <v>12</v>
      </c>
      <c r="B21" s="2">
        <f t="shared" si="0"/>
        <v>20</v>
      </c>
      <c r="C21" s="2">
        <v>8</v>
      </c>
      <c r="D21" s="2">
        <v>2022</v>
      </c>
      <c r="E21" s="4">
        <f>Submetering!E21+Submetering!F21</f>
        <v>11958</v>
      </c>
      <c r="F21" s="12">
        <v>0.35</v>
      </c>
      <c r="G21" s="4">
        <f>Submetering!M21</f>
        <v>740</v>
      </c>
      <c r="H21" s="12">
        <v>0.6</v>
      </c>
      <c r="I21" s="4">
        <f>Submetering!N21</f>
        <v>190</v>
      </c>
      <c r="J21" s="13">
        <v>2.06</v>
      </c>
      <c r="K21" s="4">
        <f>'Hampshire Daily'!B24</f>
        <v>110</v>
      </c>
      <c r="L21" s="4">
        <f>'Hampshire Daily'!C24</f>
        <v>228</v>
      </c>
    </row>
    <row r="22" spans="1:12">
      <c r="A22" s="3" t="s">
        <v>12</v>
      </c>
      <c r="B22" s="2">
        <f t="shared" si="0"/>
        <v>21</v>
      </c>
      <c r="C22" s="2">
        <v>8</v>
      </c>
      <c r="D22" s="2">
        <v>2022</v>
      </c>
      <c r="E22" s="4">
        <f>Submetering!E22+Submetering!F22</f>
        <v>9585</v>
      </c>
      <c r="F22" s="12">
        <v>0.35</v>
      </c>
      <c r="G22" s="4">
        <f>Submetering!M22</f>
        <v>1626</v>
      </c>
      <c r="H22" s="12">
        <v>0.6</v>
      </c>
      <c r="I22" s="4">
        <f>Submetering!N22</f>
        <v>157</v>
      </c>
      <c r="J22" s="13">
        <v>2.06</v>
      </c>
      <c r="K22" s="4">
        <f>'Hampshire Daily'!B25</f>
        <v>58</v>
      </c>
      <c r="L22" s="4">
        <f>'Hampshire Daily'!C25</f>
        <v>132</v>
      </c>
    </row>
    <row r="23" spans="1:12">
      <c r="A23" s="3" t="s">
        <v>12</v>
      </c>
      <c r="B23" s="2">
        <f t="shared" si="0"/>
        <v>22</v>
      </c>
      <c r="C23" s="2">
        <v>8</v>
      </c>
      <c r="D23" s="2">
        <v>2022</v>
      </c>
      <c r="E23" s="4">
        <f>Submetering!E23+Submetering!F23</f>
        <v>8465</v>
      </c>
      <c r="F23" s="12">
        <v>0.35</v>
      </c>
      <c r="G23" s="4">
        <f>Submetering!M23</f>
        <v>1601</v>
      </c>
      <c r="H23" s="12">
        <v>0.6</v>
      </c>
      <c r="I23" s="4">
        <f>Submetering!N23</f>
        <v>153</v>
      </c>
      <c r="J23" s="13">
        <v>2.06</v>
      </c>
      <c r="K23" s="4">
        <f>'Hampshire Daily'!B26</f>
        <v>82</v>
      </c>
      <c r="L23" s="4">
        <f>'Hampshire Daily'!C26</f>
        <v>182</v>
      </c>
    </row>
    <row r="24" spans="1:12">
      <c r="A24" s="3" t="s">
        <v>12</v>
      </c>
      <c r="B24" s="2">
        <f t="shared" si="0"/>
        <v>23</v>
      </c>
      <c r="C24" s="2">
        <v>8</v>
      </c>
      <c r="D24" s="2">
        <v>2022</v>
      </c>
      <c r="E24" s="4">
        <f>Submetering!E24+Submetering!F24</f>
        <v>8750</v>
      </c>
      <c r="F24" s="12">
        <v>0.35</v>
      </c>
      <c r="G24" s="4">
        <f>Submetering!M24</f>
        <v>1675</v>
      </c>
      <c r="H24" s="12">
        <v>0.6</v>
      </c>
      <c r="I24" s="4">
        <f>Submetering!N24</f>
        <v>152</v>
      </c>
      <c r="J24" s="13">
        <v>2.06</v>
      </c>
      <c r="K24" s="4">
        <f>'Hampshire Daily'!B27</f>
        <v>67</v>
      </c>
      <c r="L24" s="4">
        <f>'Hampshire Daily'!C27</f>
        <v>161</v>
      </c>
    </row>
    <row r="25" spans="1:12">
      <c r="A25" s="3" t="s">
        <v>12</v>
      </c>
      <c r="B25" s="2">
        <f t="shared" si="0"/>
        <v>24</v>
      </c>
      <c r="C25" s="2">
        <v>8</v>
      </c>
      <c r="D25" s="2">
        <v>2022</v>
      </c>
      <c r="E25" s="4">
        <f>Submetering!E25+Submetering!F25</f>
        <v>10215</v>
      </c>
      <c r="F25" s="12">
        <v>0.35</v>
      </c>
      <c r="G25" s="4">
        <f>Submetering!M25</f>
        <v>1402</v>
      </c>
      <c r="H25" s="12">
        <v>0.6</v>
      </c>
      <c r="I25" s="4">
        <f>Submetering!N25</f>
        <v>147</v>
      </c>
      <c r="J25" s="13">
        <v>2.06</v>
      </c>
      <c r="K25" s="4">
        <f>'Hampshire Daily'!B28</f>
        <v>57</v>
      </c>
      <c r="L25" s="4">
        <f>'Hampshire Daily'!C28</f>
        <v>142</v>
      </c>
    </row>
    <row r="26" spans="1:12">
      <c r="A26" s="3" t="s">
        <v>12</v>
      </c>
      <c r="B26" s="2">
        <f>B25+1</f>
        <v>25</v>
      </c>
      <c r="C26" s="2">
        <v>8</v>
      </c>
      <c r="D26" s="2">
        <v>2022</v>
      </c>
      <c r="E26" s="4">
        <f>Submetering!E26+Submetering!F26</f>
        <v>9616</v>
      </c>
      <c r="F26" s="12">
        <v>0.35</v>
      </c>
      <c r="G26" s="4">
        <f>Submetering!M26</f>
        <v>1235</v>
      </c>
      <c r="H26" s="12">
        <v>0.6</v>
      </c>
      <c r="I26" s="4">
        <f>Submetering!N26</f>
        <v>149</v>
      </c>
      <c r="J26" s="13">
        <v>2.06</v>
      </c>
      <c r="K26" s="4">
        <f>'Hampshire Daily'!B29</f>
        <v>55</v>
      </c>
      <c r="L26" s="4">
        <f>'Hampshire Daily'!C29</f>
        <v>145</v>
      </c>
    </row>
    <row r="27" spans="1:12">
      <c r="A27" s="3" t="s">
        <v>12</v>
      </c>
      <c r="B27" s="2">
        <f t="shared" si="0"/>
        <v>26</v>
      </c>
      <c r="C27" s="2">
        <v>8</v>
      </c>
      <c r="D27" s="2">
        <v>2022</v>
      </c>
      <c r="E27" s="4">
        <f>Submetering!E27+Submetering!F27</f>
        <v>7857</v>
      </c>
      <c r="F27" s="12">
        <v>0.35</v>
      </c>
      <c r="G27" s="4">
        <f>Submetering!M27</f>
        <v>1983</v>
      </c>
      <c r="H27" s="12">
        <v>0.6</v>
      </c>
      <c r="I27" s="4">
        <f>Submetering!N27</f>
        <v>146</v>
      </c>
      <c r="J27" s="13">
        <v>2.06</v>
      </c>
      <c r="K27" s="4">
        <f>'Hampshire Daily'!B30</f>
        <v>79</v>
      </c>
      <c r="L27" s="4">
        <f>'Hampshire Daily'!C30</f>
        <v>175</v>
      </c>
    </row>
    <row r="28" spans="1:12">
      <c r="A28" s="3" t="s">
        <v>12</v>
      </c>
      <c r="B28" s="2">
        <f t="shared" si="0"/>
        <v>27</v>
      </c>
      <c r="C28" s="2">
        <v>8</v>
      </c>
      <c r="D28" s="2">
        <v>2022</v>
      </c>
      <c r="E28" s="4">
        <f>Submetering!E28+Submetering!F28</f>
        <v>8673</v>
      </c>
      <c r="F28" s="12">
        <v>0.35</v>
      </c>
      <c r="G28" s="4">
        <f>Submetering!M28</f>
        <v>1669</v>
      </c>
      <c r="H28" s="12">
        <v>0.6</v>
      </c>
      <c r="I28" s="4">
        <f>Submetering!N28</f>
        <v>151</v>
      </c>
      <c r="J28" s="13">
        <v>2.06</v>
      </c>
      <c r="K28" s="4">
        <f>'Hampshire Daily'!B31</f>
        <v>105</v>
      </c>
      <c r="L28" s="4">
        <f>'Hampshire Daily'!C31</f>
        <v>223</v>
      </c>
    </row>
    <row r="29" spans="1:12">
      <c r="A29" s="3" t="s">
        <v>12</v>
      </c>
      <c r="B29" s="2">
        <f t="shared" si="0"/>
        <v>28</v>
      </c>
      <c r="C29" s="2">
        <v>8</v>
      </c>
      <c r="D29" s="2">
        <v>2022</v>
      </c>
      <c r="E29" s="4">
        <f>Submetering!E29+Submetering!F29</f>
        <v>8983</v>
      </c>
      <c r="F29" s="12">
        <v>0.35</v>
      </c>
      <c r="G29" s="4">
        <f>Submetering!M29</f>
        <v>1612</v>
      </c>
      <c r="H29" s="12">
        <v>0.6</v>
      </c>
      <c r="I29" s="4">
        <f>Submetering!N29</f>
        <v>161</v>
      </c>
      <c r="J29" s="13">
        <v>2.06</v>
      </c>
      <c r="K29" s="4">
        <f>'Hampshire Daily'!B32</f>
        <v>98</v>
      </c>
      <c r="L29" s="4">
        <f>'Hampshire Daily'!C32</f>
        <v>235</v>
      </c>
    </row>
    <row r="30" spans="1:12">
      <c r="A30" s="3" t="s">
        <v>12</v>
      </c>
      <c r="B30" s="2">
        <f t="shared" si="0"/>
        <v>29</v>
      </c>
      <c r="C30" s="2">
        <v>8</v>
      </c>
      <c r="D30" s="2">
        <v>2022</v>
      </c>
      <c r="E30" s="4">
        <f>Submetering!E30+Submetering!F30</f>
        <v>8545</v>
      </c>
      <c r="F30" s="12">
        <v>0.35</v>
      </c>
      <c r="G30" s="4">
        <f>Submetering!M30</f>
        <v>1605</v>
      </c>
      <c r="H30" s="12">
        <v>0.6</v>
      </c>
      <c r="I30" s="4">
        <f>Submetering!N30</f>
        <v>171</v>
      </c>
      <c r="J30" s="13">
        <v>2.06</v>
      </c>
      <c r="K30" s="4">
        <f>'Hampshire Daily'!B33</f>
        <v>57</v>
      </c>
      <c r="L30" s="4">
        <f>'Hampshire Daily'!C33</f>
        <v>127</v>
      </c>
    </row>
    <row r="31" spans="1:12">
      <c r="A31" s="3" t="s">
        <v>12</v>
      </c>
      <c r="B31" s="2">
        <f t="shared" si="0"/>
        <v>30</v>
      </c>
      <c r="C31" s="2">
        <v>8</v>
      </c>
      <c r="D31" s="2">
        <v>2022</v>
      </c>
      <c r="E31" s="4">
        <f>Submetering!E31+Submetering!F31</f>
        <v>11331</v>
      </c>
      <c r="F31" s="12">
        <v>0.35</v>
      </c>
      <c r="G31" s="4">
        <f>Submetering!M31</f>
        <v>897</v>
      </c>
      <c r="H31" s="12">
        <v>0.6</v>
      </c>
      <c r="I31" s="4">
        <f>Submetering!N31</f>
        <v>165</v>
      </c>
      <c r="J31" s="13">
        <v>2.06</v>
      </c>
      <c r="K31" s="4">
        <f>'Hampshire Daily'!B34</f>
        <v>45</v>
      </c>
      <c r="L31" s="4">
        <f>'Hampshire Daily'!C34</f>
        <v>97</v>
      </c>
    </row>
    <row r="32" spans="1:12">
      <c r="A32" s="3" t="s">
        <v>12</v>
      </c>
      <c r="B32" s="2">
        <f t="shared" si="0"/>
        <v>31</v>
      </c>
      <c r="C32" s="2">
        <v>8</v>
      </c>
      <c r="D32" s="2">
        <v>2022</v>
      </c>
      <c r="E32" s="4">
        <f>Submetering!E32+Submetering!F32</f>
        <v>11034</v>
      </c>
      <c r="F32" s="12">
        <v>1.35</v>
      </c>
      <c r="G32" s="4">
        <f>Submetering!M32</f>
        <v>1033</v>
      </c>
      <c r="H32" s="12">
        <v>1.6</v>
      </c>
      <c r="I32" s="4">
        <f>Submetering!N32</f>
        <v>141</v>
      </c>
      <c r="J32" s="13">
        <v>3.06</v>
      </c>
      <c r="K32" s="4">
        <f>'Hampshire Daily'!B35</f>
        <v>42</v>
      </c>
      <c r="L32" s="4">
        <f>'Hampshire Daily'!C35</f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C13" activePane="bottomRight" state="frozen"/>
      <selection pane="bottomRight" activeCell="P21" sqref="P21"/>
      <selection pane="bottomLeft" activeCell="A2" sqref="A2"/>
      <selection pane="topRight" activeCell="C1" sqref="C1"/>
    </sheetView>
  </sheetViews>
  <sheetFormatPr defaultColWidth="11.5703125" defaultRowHeight="1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>
      <c r="A2" s="3" t="s">
        <v>12</v>
      </c>
      <c r="B2" s="1">
        <v>1</v>
      </c>
      <c r="C2" s="1">
        <v>8</v>
      </c>
      <c r="D2" s="1">
        <v>2022</v>
      </c>
      <c r="E2" s="4">
        <f>'Hampshire Daily'!D5-'Hampshire Daily'!D4</f>
        <v>5567</v>
      </c>
      <c r="F2" s="4">
        <f>'Hampshire Daily'!E5-'Hampshire Daily'!E4</f>
        <v>5431</v>
      </c>
      <c r="G2" s="4">
        <f>'Hampshire Daily'!F5-'Hampshire Daily'!F4</f>
        <v>545</v>
      </c>
      <c r="H2" s="4">
        <f>'Hampshire Daily'!G5-'Hampshire Daily'!G4</f>
        <v>1650</v>
      </c>
      <c r="I2" s="4">
        <f>'Hampshire Daily'!H5-'Hampshire Daily'!H4</f>
        <v>0</v>
      </c>
      <c r="J2" s="4">
        <f>'Hampshire Daily'!I5-'Hampshire Daily'!I4</f>
        <v>2653</v>
      </c>
      <c r="K2" s="4">
        <f>'Hampshire Daily'!J5-'Hampshire Daily'!J4</f>
        <v>1279</v>
      </c>
      <c r="L2" s="4">
        <f>'Hampshire Daily'!K5-'Hampshire Daily'!K4</f>
        <v>276</v>
      </c>
      <c r="M2" s="4">
        <f>'Hampshire Daily'!N5-'Hampshire Daily'!N4</f>
        <v>1213</v>
      </c>
      <c r="N2" s="4">
        <f>'Hampshire Daily'!O5-'Hampshire Daily'!O4</f>
        <v>138</v>
      </c>
      <c r="O2" s="4">
        <f>'Hampshire Daily'!P5-'Hampshire Daily'!P4</f>
        <v>93</v>
      </c>
      <c r="P2" s="4">
        <f>'Hampshire Daily'!Q5-'Hampshire Daily'!Q4</f>
        <v>95</v>
      </c>
      <c r="Q2" s="4">
        <f>'Hampshire Daily'!T5-'Hampshire Daily'!T4</f>
        <v>7</v>
      </c>
      <c r="R2" s="4">
        <f>'Hampshire Daily'!B5</f>
        <v>65</v>
      </c>
      <c r="S2" s="4">
        <f>'Hampshire Daily'!C5</f>
        <v>131</v>
      </c>
    </row>
    <row r="3" spans="1:23">
      <c r="A3" s="3" t="s">
        <v>12</v>
      </c>
      <c r="B3" s="1">
        <f>B2+1</f>
        <v>2</v>
      </c>
      <c r="C3" s="1">
        <v>8</v>
      </c>
      <c r="D3" s="1">
        <v>2022</v>
      </c>
      <c r="E3" s="4">
        <f>'Hampshire Daily'!D6-'Hampshire Daily'!D5</f>
        <v>5796</v>
      </c>
      <c r="F3" s="4">
        <f>'Hampshire Daily'!E6-'Hampshire Daily'!E5</f>
        <v>5111</v>
      </c>
      <c r="G3" s="4">
        <f>'Hampshire Daily'!F6-'Hampshire Daily'!F5</f>
        <v>512</v>
      </c>
      <c r="H3" s="4">
        <f>'Hampshire Daily'!G6-'Hampshire Daily'!G5</f>
        <v>1833</v>
      </c>
      <c r="I3" s="4">
        <f>'Hampshire Daily'!H6-'Hampshire Daily'!H5</f>
        <v>0</v>
      </c>
      <c r="J3" s="4">
        <f>'Hampshire Daily'!I6-'Hampshire Daily'!I5</f>
        <v>2570</v>
      </c>
      <c r="K3" s="4">
        <f>'Hampshire Daily'!J6-'Hampshire Daily'!J5</f>
        <v>1261</v>
      </c>
      <c r="L3" s="4">
        <f>'Hampshire Daily'!K6-'Hampshire Daily'!K5</f>
        <v>321</v>
      </c>
      <c r="M3" s="4">
        <f>'Hampshire Daily'!N6-'Hampshire Daily'!N5</f>
        <v>1110</v>
      </c>
      <c r="N3" s="4">
        <f>'Hampshire Daily'!O6-'Hampshire Daily'!O5</f>
        <v>119</v>
      </c>
      <c r="O3" s="4">
        <f>'Hampshire Daily'!P6-'Hampshire Daily'!P5</f>
        <v>76</v>
      </c>
      <c r="P3" s="4">
        <f>'Hampshire Daily'!Q6-'Hampshire Daily'!Q5</f>
        <v>84</v>
      </c>
      <c r="Q3" s="4">
        <f>'Hampshire Daily'!T6-'Hampshire Daily'!T5</f>
        <v>6</v>
      </c>
      <c r="R3" s="4">
        <f>'Hampshire Daily'!B6</f>
        <v>72</v>
      </c>
      <c r="S3" s="4">
        <f>'Hampshire Daily'!C6</f>
        <v>154</v>
      </c>
      <c r="T3" t="s">
        <v>26</v>
      </c>
      <c r="U3" t="s">
        <v>26</v>
      </c>
      <c r="V3" t="s">
        <v>26</v>
      </c>
      <c r="W3" t="s">
        <v>26</v>
      </c>
    </row>
    <row r="4" spans="1:23">
      <c r="A4" s="3" t="s">
        <v>12</v>
      </c>
      <c r="B4" s="1">
        <f t="shared" ref="B4:B32" si="0">B3+1</f>
        <v>3</v>
      </c>
      <c r="C4" s="1">
        <v>8</v>
      </c>
      <c r="D4" s="1">
        <v>2022</v>
      </c>
      <c r="E4" s="4">
        <f>'Hampshire Daily'!D7-'Hampshire Daily'!D6</f>
        <v>6265</v>
      </c>
      <c r="F4" s="4">
        <f>'Hampshire Daily'!E7-'Hampshire Daily'!E6</f>
        <v>5214</v>
      </c>
      <c r="G4" s="4">
        <f>'Hampshire Daily'!F7-'Hampshire Daily'!F6</f>
        <v>507</v>
      </c>
      <c r="H4" s="4">
        <f>'Hampshire Daily'!G7-'Hampshire Daily'!G6</f>
        <v>1985</v>
      </c>
      <c r="I4" s="4">
        <f>'Hampshire Daily'!H7-'Hampshire Daily'!H6</f>
        <v>0</v>
      </c>
      <c r="J4" s="4">
        <f>'Hampshire Daily'!I7-'Hampshire Daily'!I6</f>
        <v>2569</v>
      </c>
      <c r="K4" s="4">
        <f>'Hampshire Daily'!J7-'Hampshire Daily'!J6</f>
        <v>1248</v>
      </c>
      <c r="L4" s="4">
        <f>'Hampshire Daily'!K7-'Hampshire Daily'!K6</f>
        <v>425</v>
      </c>
      <c r="M4" s="4">
        <f>'Hampshire Daily'!N7-'Hampshire Daily'!N6</f>
        <v>1080</v>
      </c>
      <c r="N4" s="4">
        <f>'Hampshire Daily'!O7-'Hampshire Daily'!O6</f>
        <v>125</v>
      </c>
      <c r="O4" s="4">
        <f>'Hampshire Daily'!P7-'Hampshire Daily'!P6</f>
        <v>93</v>
      </c>
      <c r="P4" s="4">
        <f>'Hampshire Daily'!Q7-'Hampshire Daily'!Q6</f>
        <v>94</v>
      </c>
      <c r="Q4" s="4">
        <f>'Hampshire Daily'!T7-'Hampshire Daily'!T6</f>
        <v>7</v>
      </c>
      <c r="R4" s="4">
        <f>'Hampshire Daily'!B7</f>
        <v>64</v>
      </c>
      <c r="S4" s="4">
        <f>'Hampshire Daily'!C7</f>
        <v>164</v>
      </c>
      <c r="T4" t="s">
        <v>26</v>
      </c>
    </row>
    <row r="5" spans="1:23">
      <c r="A5" s="3" t="s">
        <v>12</v>
      </c>
      <c r="B5" s="1">
        <f t="shared" si="0"/>
        <v>4</v>
      </c>
      <c r="C5" s="1">
        <v>8</v>
      </c>
      <c r="D5" s="1">
        <v>2022</v>
      </c>
      <c r="E5" s="4">
        <f>'Hampshire Daily'!D8-'Hampshire Daily'!D7</f>
        <v>4542</v>
      </c>
      <c r="F5" s="4">
        <f>'Hampshire Daily'!E8-'Hampshire Daily'!E7</f>
        <v>5776</v>
      </c>
      <c r="G5" s="4">
        <f>'Hampshire Daily'!F8-'Hampshire Daily'!F7</f>
        <v>647</v>
      </c>
      <c r="H5" s="4">
        <f>'Hampshire Daily'!G8-'Hampshire Daily'!G7</f>
        <v>1921</v>
      </c>
      <c r="I5" s="4">
        <f>'Hampshire Daily'!H8-'Hampshire Daily'!H7</f>
        <v>0</v>
      </c>
      <c r="J5" s="4">
        <f>'Hampshire Daily'!I8-'Hampshire Daily'!I7</f>
        <v>2533</v>
      </c>
      <c r="K5" s="4">
        <f>'Hampshire Daily'!J8-'Hampshire Daily'!J7</f>
        <v>1236</v>
      </c>
      <c r="L5" s="4">
        <f>'Hampshire Daily'!K8-'Hampshire Daily'!K7</f>
        <v>72</v>
      </c>
      <c r="M5" s="4">
        <f>'Hampshire Daily'!N8-'Hampshire Daily'!N7</f>
        <v>1363</v>
      </c>
      <c r="N5" s="4">
        <f>'Hampshire Daily'!O8-'Hampshire Daily'!O7</f>
        <v>140</v>
      </c>
      <c r="O5" s="4">
        <f>'Hampshire Daily'!P8-'Hampshire Daily'!P7</f>
        <v>94</v>
      </c>
      <c r="P5" s="4">
        <f>'Hampshire Daily'!Q8-'Hampshire Daily'!Q7</f>
        <v>96</v>
      </c>
      <c r="Q5" s="4">
        <f>'Hampshire Daily'!T8-'Hampshire Daily'!T7</f>
        <v>12</v>
      </c>
      <c r="R5" s="4">
        <f>'Hampshire Daily'!B8</f>
        <v>71</v>
      </c>
      <c r="S5" s="4">
        <f>'Hampshire Daily'!C8</f>
        <v>153</v>
      </c>
    </row>
    <row r="6" spans="1:23">
      <c r="A6" s="3" t="s">
        <v>12</v>
      </c>
      <c r="B6" s="1">
        <f t="shared" si="0"/>
        <v>5</v>
      </c>
      <c r="C6" s="1">
        <v>8</v>
      </c>
      <c r="D6" s="1">
        <v>2022</v>
      </c>
      <c r="E6" s="4">
        <f>'Hampshire Daily'!D9-'Hampshire Daily'!D8</f>
        <v>3685</v>
      </c>
      <c r="F6" s="4">
        <f>'Hampshire Daily'!E9-'Hampshire Daily'!E8</f>
        <v>3807</v>
      </c>
      <c r="G6" s="4">
        <f>'Hampshire Daily'!F9-'Hampshire Daily'!F8</f>
        <v>261</v>
      </c>
      <c r="H6" s="4">
        <f>'Hampshire Daily'!G9-'Hampshire Daily'!G8</f>
        <v>1938</v>
      </c>
      <c r="I6" s="4">
        <f>'Hampshire Daily'!H9-'Hampshire Daily'!H8</f>
        <v>0</v>
      </c>
      <c r="J6" s="4">
        <f>'Hampshire Daily'!I9-'Hampshire Daily'!I8</f>
        <v>2533</v>
      </c>
      <c r="K6" s="4">
        <f>'Hampshire Daily'!J9-'Hampshire Daily'!J8</f>
        <v>1196</v>
      </c>
      <c r="L6" s="4">
        <f>'Hampshire Daily'!K9-'Hampshire Daily'!K8</f>
        <v>0</v>
      </c>
      <c r="M6" s="4">
        <f>'Hampshire Daily'!N9-'Hampshire Daily'!N8</f>
        <v>1901</v>
      </c>
      <c r="N6" s="4">
        <f>'Hampshire Daily'!O9-'Hampshire Daily'!O8</f>
        <v>142</v>
      </c>
      <c r="O6" s="4">
        <f>'Hampshire Daily'!P9-'Hampshire Daily'!P8</f>
        <v>83</v>
      </c>
      <c r="P6" s="4">
        <f>'Hampshire Daily'!Q9-'Hampshire Daily'!Q8</f>
        <v>94</v>
      </c>
      <c r="Q6" s="4">
        <f>'Hampshire Daily'!T9-'Hampshire Daily'!T8</f>
        <v>5</v>
      </c>
      <c r="R6" s="4">
        <f>'Hampshire Daily'!B9</f>
        <v>95</v>
      </c>
      <c r="S6" s="4">
        <f>'Hampshire Daily'!C9</f>
        <v>203</v>
      </c>
    </row>
    <row r="7" spans="1:23">
      <c r="A7" s="3" t="s">
        <v>12</v>
      </c>
      <c r="B7" s="1">
        <f t="shared" si="0"/>
        <v>6</v>
      </c>
      <c r="C7" s="1">
        <v>8</v>
      </c>
      <c r="D7" s="1">
        <v>2022</v>
      </c>
      <c r="E7" s="4">
        <f>'Hampshire Daily'!D10-'Hampshire Daily'!D9</f>
        <v>3393</v>
      </c>
      <c r="F7" s="4">
        <f>'Hampshire Daily'!E10-'Hampshire Daily'!E9</f>
        <v>5952</v>
      </c>
      <c r="G7" s="4">
        <f>'Hampshire Daily'!F10-'Hampshire Daily'!F9</f>
        <v>653</v>
      </c>
      <c r="H7" s="4">
        <f>'Hampshire Daily'!G10-'Hampshire Daily'!G9</f>
        <v>1373</v>
      </c>
      <c r="I7" s="4">
        <f>'Hampshire Daily'!H10-'Hampshire Daily'!H9</f>
        <v>0</v>
      </c>
      <c r="J7" s="4">
        <f>'Hampshire Daily'!I10-'Hampshire Daily'!I9</f>
        <v>2677</v>
      </c>
      <c r="K7" s="4">
        <f>'Hampshire Daily'!J10-'Hampshire Daily'!J9</f>
        <v>1304</v>
      </c>
      <c r="L7" s="4">
        <f>'Hampshire Daily'!K10-'Hampshire Daily'!K9</f>
        <v>0</v>
      </c>
      <c r="M7" s="4">
        <f>'Hampshire Daily'!N10-'Hampshire Daily'!N9</f>
        <v>1516</v>
      </c>
      <c r="N7" s="4">
        <f>'Hampshire Daily'!O10-'Hampshire Daily'!O9</f>
        <v>131</v>
      </c>
      <c r="O7" s="4">
        <f>'Hampshire Daily'!P10-'Hampshire Daily'!P9</f>
        <v>102</v>
      </c>
      <c r="P7" s="4">
        <f>'Hampshire Daily'!Q10-'Hampshire Daily'!Q9</f>
        <v>103</v>
      </c>
      <c r="Q7" s="4">
        <f>'Hampshire Daily'!T10-'Hampshire Daily'!T9</f>
        <v>7</v>
      </c>
      <c r="R7" s="4">
        <f>'Hampshire Daily'!B10</f>
        <v>103</v>
      </c>
      <c r="S7" s="4">
        <f>'Hampshire Daily'!C10</f>
        <v>214</v>
      </c>
    </row>
    <row r="8" spans="1:23">
      <c r="A8" s="3" t="s">
        <v>12</v>
      </c>
      <c r="B8" s="1">
        <f t="shared" si="0"/>
        <v>7</v>
      </c>
      <c r="C8" s="1">
        <v>8</v>
      </c>
      <c r="D8" s="1">
        <v>2022</v>
      </c>
      <c r="E8" s="4">
        <f>'Hampshire Daily'!D11-'Hampshire Daily'!D10</f>
        <v>3647</v>
      </c>
      <c r="F8" s="4">
        <f>'Hampshire Daily'!E11-'Hampshire Daily'!E10</f>
        <v>6427</v>
      </c>
      <c r="G8" s="4">
        <f>'Hampshire Daily'!F11-'Hampshire Daily'!F10</f>
        <v>746</v>
      </c>
      <c r="H8" s="4">
        <f>'Hampshire Daily'!G11-'Hampshire Daily'!G10</f>
        <v>2523</v>
      </c>
      <c r="I8" s="4">
        <f>'Hampshire Daily'!H11-'Hampshire Daily'!H10</f>
        <v>0</v>
      </c>
      <c r="J8" s="4">
        <f>'Hampshire Daily'!I11-'Hampshire Daily'!I10</f>
        <v>2557</v>
      </c>
      <c r="K8" s="4">
        <f>'Hampshire Daily'!J11-'Hampshire Daily'!J10</f>
        <v>1232</v>
      </c>
      <c r="L8" s="4">
        <f>'Hampshire Daily'!K11-'Hampshire Daily'!K10</f>
        <v>0</v>
      </c>
      <c r="M8" s="4">
        <f>'Hampshire Daily'!N11-'Hampshire Daily'!N10</f>
        <v>1532</v>
      </c>
      <c r="N8" s="4">
        <f>'Hampshire Daily'!O11-'Hampshire Daily'!O10</f>
        <v>152</v>
      </c>
      <c r="O8" s="4">
        <f>'Hampshire Daily'!P11-'Hampshire Daily'!P10</f>
        <v>118</v>
      </c>
      <c r="P8" s="4">
        <f>'Hampshire Daily'!Q11-'Hampshire Daily'!Q10</f>
        <v>119</v>
      </c>
      <c r="Q8" s="4">
        <f>'Hampshire Daily'!T11-'Hampshire Daily'!T10</f>
        <v>9</v>
      </c>
      <c r="R8" s="4">
        <f>'Hampshire Daily'!B11</f>
        <v>83</v>
      </c>
      <c r="S8" s="4">
        <f>'Hampshire Daily'!C11</f>
        <v>157</v>
      </c>
    </row>
    <row r="9" spans="1:23">
      <c r="A9" s="3" t="s">
        <v>12</v>
      </c>
      <c r="B9" s="1">
        <f t="shared" si="0"/>
        <v>8</v>
      </c>
      <c r="C9" s="1">
        <v>8</v>
      </c>
      <c r="D9" s="1">
        <v>2022</v>
      </c>
      <c r="E9" s="4">
        <f>'Hampshire Daily'!D12-'Hampshire Daily'!D11</f>
        <v>3842</v>
      </c>
      <c r="F9" s="4">
        <f>'Hampshire Daily'!E12-'Hampshire Daily'!E11</f>
        <v>5411</v>
      </c>
      <c r="G9" s="4">
        <f>'Hampshire Daily'!F12-'Hampshire Daily'!F11</f>
        <v>659</v>
      </c>
      <c r="H9" s="4">
        <f>'Hampshire Daily'!G12-'Hampshire Daily'!G11</f>
        <v>1962</v>
      </c>
      <c r="I9" s="4">
        <f>'Hampshire Daily'!H12-'Hampshire Daily'!H11</f>
        <v>0</v>
      </c>
      <c r="J9" s="4">
        <f>'Hampshire Daily'!I12-'Hampshire Daily'!I11</f>
        <v>2412</v>
      </c>
      <c r="K9" s="4">
        <f>'Hampshire Daily'!J12-'Hampshire Daily'!J11</f>
        <v>1148</v>
      </c>
      <c r="L9" s="4">
        <f>'Hampshire Daily'!K12-'Hampshire Daily'!K11</f>
        <v>0</v>
      </c>
      <c r="M9" s="4">
        <f>'Hampshire Daily'!N12-'Hampshire Daily'!N11</f>
        <v>1409</v>
      </c>
      <c r="N9" s="4">
        <f>'Hampshire Daily'!O12-'Hampshire Daily'!O11</f>
        <v>129</v>
      </c>
      <c r="O9" s="4">
        <f>'Hampshire Daily'!P12-'Hampshire Daily'!P11</f>
        <v>97</v>
      </c>
      <c r="P9" s="4">
        <f>'Hampshire Daily'!Q12-'Hampshire Daily'!Q11</f>
        <v>99</v>
      </c>
      <c r="Q9" s="4">
        <f>'Hampshire Daily'!T12-'Hampshire Daily'!T11</f>
        <v>6</v>
      </c>
      <c r="R9" s="4">
        <f>'Hampshire Daily'!B12</f>
        <v>120</v>
      </c>
      <c r="S9" s="4">
        <f>'Hampshire Daily'!C12</f>
        <v>214</v>
      </c>
    </row>
    <row r="10" spans="1:23">
      <c r="A10" s="3" t="s">
        <v>12</v>
      </c>
      <c r="B10" s="1">
        <f t="shared" si="0"/>
        <v>9</v>
      </c>
      <c r="C10" s="1">
        <v>8</v>
      </c>
      <c r="D10" s="1">
        <v>2022</v>
      </c>
      <c r="E10" s="4">
        <f>'Hampshire Daily'!D13-'Hampshire Daily'!D12</f>
        <v>6315</v>
      </c>
      <c r="F10" s="4">
        <f>'Hampshire Daily'!E13-'Hampshire Daily'!E12</f>
        <v>5503</v>
      </c>
      <c r="G10" s="4">
        <f>'Hampshire Daily'!F13-'Hampshire Daily'!F12</f>
        <v>605</v>
      </c>
      <c r="H10" s="4">
        <f>'Hampshire Daily'!G13-'Hampshire Daily'!G12</f>
        <v>2019</v>
      </c>
      <c r="I10" s="4">
        <f>'Hampshire Daily'!H13-'Hampshire Daily'!H12</f>
        <v>0</v>
      </c>
      <c r="J10" s="4">
        <f>'Hampshire Daily'!I13-'Hampshire Daily'!I12</f>
        <v>2522</v>
      </c>
      <c r="K10" s="4">
        <f>'Hampshire Daily'!J13-'Hampshire Daily'!J12</f>
        <v>1226</v>
      </c>
      <c r="L10" s="4">
        <f>'Hampshire Daily'!K13-'Hampshire Daily'!K12</f>
        <v>431</v>
      </c>
      <c r="M10" s="4">
        <f>'Hampshire Daily'!N13-'Hampshire Daily'!N12</f>
        <v>1134</v>
      </c>
      <c r="N10" s="4">
        <f>'Hampshire Daily'!O13-'Hampshire Daily'!O12</f>
        <v>150</v>
      </c>
      <c r="O10" s="4">
        <f>'Hampshire Daily'!P13-'Hampshire Daily'!P12</f>
        <v>110</v>
      </c>
      <c r="P10" s="4">
        <f>'Hampshire Daily'!Q13-'Hampshire Daily'!Q12</f>
        <v>111</v>
      </c>
      <c r="Q10" s="4">
        <f>'Hampshire Daily'!T13-'Hampshire Daily'!T12</f>
        <v>7</v>
      </c>
      <c r="R10" s="4">
        <f>'Hampshire Daily'!B13</f>
        <v>115</v>
      </c>
      <c r="S10" s="4">
        <f>'Hampshire Daily'!C13</f>
        <v>207</v>
      </c>
    </row>
    <row r="11" spans="1:23">
      <c r="A11" s="3" t="s">
        <v>12</v>
      </c>
      <c r="B11" s="1">
        <f t="shared" si="0"/>
        <v>10</v>
      </c>
      <c r="C11" s="1">
        <v>8</v>
      </c>
      <c r="D11" s="1">
        <v>2022</v>
      </c>
      <c r="E11" s="4">
        <f>'Hampshire Daily'!D14-'Hampshire Daily'!D13</f>
        <v>6708</v>
      </c>
      <c r="F11" s="4">
        <f>'Hampshire Daily'!E14-'Hampshire Daily'!E13</f>
        <v>3549</v>
      </c>
      <c r="G11" s="4">
        <f>'Hampshire Daily'!F14-'Hampshire Daily'!F13</f>
        <v>74</v>
      </c>
      <c r="H11" s="4">
        <f>'Hampshire Daily'!G14-'Hampshire Daily'!G13</f>
        <v>2550</v>
      </c>
      <c r="I11" s="4">
        <f>'Hampshire Daily'!H14-'Hampshire Daily'!H13</f>
        <v>0</v>
      </c>
      <c r="J11" s="4">
        <f>'Hampshire Daily'!I14-'Hampshire Daily'!I13</f>
        <v>2531</v>
      </c>
      <c r="K11" s="4">
        <f>'Hampshire Daily'!J14-'Hampshire Daily'!J13</f>
        <v>1195</v>
      </c>
      <c r="L11" s="4">
        <f>'Hampshire Daily'!K14-'Hampshire Daily'!K13</f>
        <v>428</v>
      </c>
      <c r="M11" s="4">
        <f>'Hampshire Daily'!N14-'Hampshire Daily'!N13</f>
        <v>1534</v>
      </c>
      <c r="N11" s="4">
        <f>'Hampshire Daily'!O14-'Hampshire Daily'!O13</f>
        <v>160</v>
      </c>
      <c r="O11" s="4">
        <f>'Hampshire Daily'!P14-'Hampshire Daily'!P13</f>
        <v>109</v>
      </c>
      <c r="P11" s="4">
        <f>'Hampshire Daily'!Q14-'Hampshire Daily'!Q13</f>
        <v>109</v>
      </c>
      <c r="Q11" s="4">
        <f>'Hampshire Daily'!T14-'Hampshire Daily'!T13</f>
        <v>6</v>
      </c>
      <c r="R11" s="4">
        <f>'Hampshire Daily'!B14</f>
        <v>67</v>
      </c>
      <c r="S11" s="4">
        <f>'Hampshire Daily'!C14</f>
        <v>155</v>
      </c>
    </row>
    <row r="12" spans="1:23">
      <c r="A12" s="3" t="s">
        <v>12</v>
      </c>
      <c r="B12" s="1">
        <f t="shared" si="0"/>
        <v>11</v>
      </c>
      <c r="C12" s="1">
        <v>8</v>
      </c>
      <c r="D12" s="1">
        <v>2022</v>
      </c>
      <c r="E12" s="4">
        <f>'Hampshire Daily'!D15-'Hampshire Daily'!D14</f>
        <v>6637</v>
      </c>
      <c r="F12" s="4">
        <f>'Hampshire Daily'!E15-'Hampshire Daily'!E14</f>
        <v>3918</v>
      </c>
      <c r="G12" s="4">
        <f>'Hampshire Daily'!F15-'Hampshire Daily'!F14</f>
        <v>137</v>
      </c>
      <c r="H12" s="4">
        <f>'Hampshire Daily'!G15-'Hampshire Daily'!G14</f>
        <v>2115</v>
      </c>
      <c r="I12" s="4">
        <f>'Hampshire Daily'!H15-'Hampshire Daily'!H14</f>
        <v>0</v>
      </c>
      <c r="J12" s="4">
        <f>'Hampshire Daily'!I15-'Hampshire Daily'!I14</f>
        <v>2457</v>
      </c>
      <c r="K12" s="4">
        <f>'Hampshire Daily'!J15-'Hampshire Daily'!J14</f>
        <v>1161</v>
      </c>
      <c r="L12" s="4">
        <f>'Hampshire Daily'!K15-'Hampshire Daily'!K14</f>
        <v>460</v>
      </c>
      <c r="M12" s="4">
        <f>'Hampshire Daily'!N15-'Hampshire Daily'!N14</f>
        <v>1292</v>
      </c>
      <c r="N12" s="4">
        <f>'Hampshire Daily'!O15-'Hampshire Daily'!O14</f>
        <v>133</v>
      </c>
      <c r="O12" s="4">
        <f>'Hampshire Daily'!P15-'Hampshire Daily'!P14</f>
        <v>100</v>
      </c>
      <c r="P12" s="4">
        <f>'Hampshire Daily'!Q15-'Hampshire Daily'!Q14</f>
        <v>101</v>
      </c>
      <c r="Q12" s="4">
        <f>'Hampshire Daily'!T15-'Hampshire Daily'!T14</f>
        <v>6</v>
      </c>
      <c r="R12" s="4">
        <f>'Hampshire Daily'!B15</f>
        <v>68</v>
      </c>
      <c r="S12" s="4">
        <f>'Hampshire Daily'!C15</f>
        <v>160</v>
      </c>
    </row>
    <row r="13" spans="1:23">
      <c r="A13" s="3" t="s">
        <v>12</v>
      </c>
      <c r="B13" s="1">
        <f t="shared" si="0"/>
        <v>12</v>
      </c>
      <c r="C13" s="1">
        <v>8</v>
      </c>
      <c r="D13" s="1">
        <v>2022</v>
      </c>
      <c r="E13" s="4">
        <f>'Hampshire Daily'!D16-'Hampshire Daily'!D15</f>
        <v>5907</v>
      </c>
      <c r="F13" s="4">
        <f>'Hampshire Daily'!E16-'Hampshire Daily'!E15</f>
        <v>4222</v>
      </c>
      <c r="G13" s="4">
        <f>'Hampshire Daily'!F16-'Hampshire Daily'!F15</f>
        <v>178</v>
      </c>
      <c r="H13" s="4">
        <f>'Hampshire Daily'!G16-'Hampshire Daily'!G15</f>
        <v>2081</v>
      </c>
      <c r="I13" s="4">
        <f>'Hampshire Daily'!H16-'Hampshire Daily'!H15</f>
        <v>0</v>
      </c>
      <c r="J13" s="4">
        <f>'Hampshire Daily'!I16-'Hampshire Daily'!I15</f>
        <v>2618</v>
      </c>
      <c r="K13" s="4">
        <f>'Hampshire Daily'!J16-'Hampshire Daily'!J15</f>
        <v>1254</v>
      </c>
      <c r="L13" s="4">
        <f>'Hampshire Daily'!K16-'Hampshire Daily'!K15</f>
        <v>318</v>
      </c>
      <c r="M13" s="4">
        <f>'Hampshire Daily'!N16-'Hampshire Daily'!N15</f>
        <v>1450</v>
      </c>
      <c r="N13" s="4">
        <f>'Hampshire Daily'!O16-'Hampshire Daily'!O15</f>
        <v>138</v>
      </c>
      <c r="O13" s="4">
        <f>'Hampshire Daily'!P16-'Hampshire Daily'!P15</f>
        <v>97</v>
      </c>
      <c r="P13" s="4">
        <f>'Hampshire Daily'!Q16-'Hampshire Daily'!Q15</f>
        <v>99</v>
      </c>
      <c r="Q13" s="4">
        <f>'Hampshire Daily'!T16-'Hampshire Daily'!T15</f>
        <v>5</v>
      </c>
      <c r="R13" s="4">
        <f>'Hampshire Daily'!B16</f>
        <v>117</v>
      </c>
      <c r="S13" s="4">
        <f>'Hampshire Daily'!C16</f>
        <v>246</v>
      </c>
    </row>
    <row r="14" spans="1:23">
      <c r="A14" s="3" t="s">
        <v>12</v>
      </c>
      <c r="B14" s="1">
        <f t="shared" si="0"/>
        <v>13</v>
      </c>
      <c r="C14" s="1">
        <v>8</v>
      </c>
      <c r="D14" s="1">
        <v>2022</v>
      </c>
      <c r="E14" s="4">
        <f>'Hampshire Daily'!D17-'Hampshire Daily'!D16</f>
        <v>7298</v>
      </c>
      <c r="F14" s="4">
        <f>'Hampshire Daily'!E17-'Hampshire Daily'!E16</f>
        <v>4086</v>
      </c>
      <c r="G14" s="4">
        <f>'Hampshire Daily'!F17-'Hampshire Daily'!F16</f>
        <v>160</v>
      </c>
      <c r="H14" s="4">
        <f>'Hampshire Daily'!G17-'Hampshire Daily'!G16</f>
        <v>1996</v>
      </c>
      <c r="I14" s="4">
        <f>'Hampshire Daily'!H17-'Hampshire Daily'!H16</f>
        <v>0</v>
      </c>
      <c r="J14" s="4">
        <f>'Hampshire Daily'!I17-'Hampshire Daily'!I16</f>
        <v>2700</v>
      </c>
      <c r="K14" s="4">
        <f>'Hampshire Daily'!J17-'Hampshire Daily'!J16</f>
        <v>1305</v>
      </c>
      <c r="L14" s="4">
        <f>'Hampshire Daily'!K17-'Hampshire Daily'!K16</f>
        <v>593</v>
      </c>
      <c r="M14" s="4">
        <f>'Hampshire Daily'!N17-'Hampshire Daily'!N16</f>
        <v>1190</v>
      </c>
      <c r="N14" s="4">
        <f>'Hampshire Daily'!O17-'Hampshire Daily'!O16</f>
        <v>149</v>
      </c>
      <c r="O14" s="4">
        <f>'Hampshire Daily'!P17-'Hampshire Daily'!P16</f>
        <v>100</v>
      </c>
      <c r="P14" s="4">
        <f>'Hampshire Daily'!Q17-'Hampshire Daily'!Q16</f>
        <v>104</v>
      </c>
      <c r="Q14" s="4">
        <f>'Hampshire Daily'!T17-'Hampshire Daily'!T16</f>
        <v>7</v>
      </c>
      <c r="R14" s="4">
        <f>'Hampshire Daily'!B17</f>
        <v>117</v>
      </c>
      <c r="S14" s="4">
        <f>'Hampshire Daily'!C17</f>
        <v>217</v>
      </c>
    </row>
    <row r="15" spans="1:23">
      <c r="A15" s="3" t="s">
        <v>12</v>
      </c>
      <c r="B15" s="1">
        <f t="shared" si="0"/>
        <v>14</v>
      </c>
      <c r="C15" s="1">
        <v>8</v>
      </c>
      <c r="D15" s="1">
        <v>2022</v>
      </c>
      <c r="E15" s="4">
        <f>'Hampshire Daily'!D18-'Hampshire Daily'!D17</f>
        <v>7509</v>
      </c>
      <c r="F15" s="4">
        <f>'Hampshire Daily'!E18-'Hampshire Daily'!E17</f>
        <v>3965</v>
      </c>
      <c r="G15" s="4">
        <f>'Hampshire Daily'!F18-'Hampshire Daily'!F17</f>
        <v>94</v>
      </c>
      <c r="H15" s="4">
        <f>'Hampshire Daily'!G18-'Hampshire Daily'!G17</f>
        <v>2080</v>
      </c>
      <c r="I15" s="4">
        <f>'Hampshire Daily'!H18-'Hampshire Daily'!H17</f>
        <v>0</v>
      </c>
      <c r="J15" s="4">
        <f>'Hampshire Daily'!I18-'Hampshire Daily'!I17</f>
        <v>2740</v>
      </c>
      <c r="K15" s="4">
        <f>'Hampshire Daily'!J18-'Hampshire Daily'!J17</f>
        <v>1318</v>
      </c>
      <c r="L15" s="4">
        <f>'Hampshire Daily'!K18-'Hampshire Daily'!K17</f>
        <v>684</v>
      </c>
      <c r="M15" s="4">
        <f>'Hampshire Daily'!N18-'Hampshire Daily'!N17</f>
        <v>1254</v>
      </c>
      <c r="N15" s="4">
        <f>'Hampshire Daily'!O18-'Hampshire Daily'!O17</f>
        <v>124</v>
      </c>
      <c r="O15" s="4">
        <f>'Hampshire Daily'!P18-'Hampshire Daily'!P17</f>
        <v>109</v>
      </c>
      <c r="P15" s="4">
        <f>'Hampshire Daily'!Q18-'Hampshire Daily'!Q17</f>
        <v>110</v>
      </c>
      <c r="Q15" s="4">
        <f>'Hampshire Daily'!T18-'Hampshire Daily'!T17</f>
        <v>8</v>
      </c>
      <c r="R15" s="4">
        <f>'Hampshire Daily'!B18</f>
        <v>121</v>
      </c>
      <c r="S15" s="4">
        <f>'Hampshire Daily'!C18</f>
        <v>176</v>
      </c>
    </row>
    <row r="16" spans="1:23">
      <c r="A16" s="3" t="s">
        <v>12</v>
      </c>
      <c r="B16" s="1">
        <f t="shared" si="0"/>
        <v>15</v>
      </c>
      <c r="C16" s="1">
        <v>8</v>
      </c>
      <c r="D16" s="1">
        <v>2022</v>
      </c>
      <c r="E16" s="4">
        <f>'Hampshire Daily'!D19-'Hampshire Daily'!D18</f>
        <v>7487</v>
      </c>
      <c r="F16" s="4">
        <f>'Hampshire Daily'!E19-'Hampshire Daily'!E18</f>
        <v>3813</v>
      </c>
      <c r="G16" s="4">
        <f>'Hampshire Daily'!F19-'Hampshire Daily'!F18</f>
        <v>86</v>
      </c>
      <c r="H16" s="4">
        <f>'Hampshire Daily'!G19-'Hampshire Daily'!G18</f>
        <v>2008</v>
      </c>
      <c r="I16" s="4">
        <f>'Hampshire Daily'!H19-'Hampshire Daily'!H18</f>
        <v>0</v>
      </c>
      <c r="J16" s="4">
        <f>'Hampshire Daily'!I19-'Hampshire Daily'!I18</f>
        <v>2534</v>
      </c>
      <c r="K16" s="4">
        <f>'Hampshire Daily'!J19-'Hampshire Daily'!J18</f>
        <v>1207</v>
      </c>
      <c r="L16" s="4">
        <f>'Hampshire Daily'!K19-'Hampshire Daily'!K18</f>
        <v>647</v>
      </c>
      <c r="M16" s="4">
        <f>'Hampshire Daily'!N19-'Hampshire Daily'!N18</f>
        <v>1267</v>
      </c>
      <c r="N16" s="4">
        <f>'Hampshire Daily'!O19-'Hampshire Daily'!O18</f>
        <v>148</v>
      </c>
      <c r="O16" s="4">
        <f>'Hampshire Daily'!P19-'Hampshire Daily'!P18</f>
        <v>107</v>
      </c>
      <c r="P16" s="4">
        <f>'Hampshire Daily'!Q19-'Hampshire Daily'!Q18</f>
        <v>109</v>
      </c>
      <c r="Q16" s="4">
        <f>'Hampshire Daily'!T19-'Hampshire Daily'!T18</f>
        <v>8</v>
      </c>
      <c r="R16" s="4">
        <f>'Hampshire Daily'!B19</f>
        <v>108</v>
      </c>
      <c r="S16" s="4">
        <f>'Hampshire Daily'!C19</f>
        <v>187</v>
      </c>
    </row>
    <row r="17" spans="1:19">
      <c r="A17" s="3" t="s">
        <v>12</v>
      </c>
      <c r="B17" s="1">
        <f t="shared" si="0"/>
        <v>16</v>
      </c>
      <c r="C17" s="1">
        <v>8</v>
      </c>
      <c r="D17" s="1">
        <v>2022</v>
      </c>
      <c r="E17" s="4">
        <f>'Hampshire Daily'!D20-'Hampshire Daily'!D19</f>
        <v>7689</v>
      </c>
      <c r="F17" s="4">
        <f>'Hampshire Daily'!E20-'Hampshire Daily'!E19</f>
        <v>5201</v>
      </c>
      <c r="G17" s="4">
        <f>'Hampshire Daily'!F20-'Hampshire Daily'!F19</f>
        <v>489</v>
      </c>
      <c r="H17" s="4">
        <f>'Hampshire Daily'!G20-'Hampshire Daily'!G19</f>
        <v>2158</v>
      </c>
      <c r="I17" s="4">
        <f>'Hampshire Daily'!H20-'Hampshire Daily'!H19</f>
        <v>0</v>
      </c>
      <c r="J17" s="4">
        <f>'Hampshire Daily'!I20-'Hampshire Daily'!I19</f>
        <v>2697</v>
      </c>
      <c r="K17" s="4">
        <f>'Hampshire Daily'!J20-'Hampshire Daily'!J19</f>
        <v>1276</v>
      </c>
      <c r="L17" s="4">
        <f>'Hampshire Daily'!K20-'Hampshire Daily'!K19</f>
        <v>666</v>
      </c>
      <c r="M17" s="4">
        <f>'Hampshire Daily'!N20-'Hampshire Daily'!N19</f>
        <v>949</v>
      </c>
      <c r="N17" s="4">
        <f>'Hampshire Daily'!O20-'Hampshire Daily'!O19</f>
        <v>179</v>
      </c>
      <c r="O17" s="4">
        <f>'Hampshire Daily'!P20-'Hampshire Daily'!P19</f>
        <v>110</v>
      </c>
      <c r="P17" s="4">
        <f>'Hampshire Daily'!Q20-'Hampshire Daily'!Q19</f>
        <v>110</v>
      </c>
      <c r="Q17" s="4">
        <f>'Hampshire Daily'!T20-'Hampshire Daily'!T19</f>
        <v>5</v>
      </c>
      <c r="R17" s="4">
        <f>'Hampshire Daily'!B20</f>
        <v>113</v>
      </c>
      <c r="S17" s="4">
        <f>'Hampshire Daily'!C20</f>
        <v>191</v>
      </c>
    </row>
    <row r="18" spans="1:19">
      <c r="A18" s="3" t="s">
        <v>12</v>
      </c>
      <c r="B18" s="1">
        <f t="shared" si="0"/>
        <v>17</v>
      </c>
      <c r="C18" s="1">
        <v>8</v>
      </c>
      <c r="D18" s="1">
        <v>2022</v>
      </c>
      <c r="E18" s="4">
        <f>'Hampshire Daily'!D21-'Hampshire Daily'!D20</f>
        <v>7030</v>
      </c>
      <c r="F18" s="4">
        <f>'Hampshire Daily'!E21-'Hampshire Daily'!E20</f>
        <v>3036</v>
      </c>
      <c r="G18" s="4">
        <f>'Hampshire Daily'!F21-'Hampshire Daily'!F20</f>
        <v>87</v>
      </c>
      <c r="H18" s="4">
        <f>'Hampshire Daily'!G21-'Hampshire Daily'!G20</f>
        <v>2090</v>
      </c>
      <c r="I18" s="4">
        <f>'Hampshire Daily'!H21-'Hampshire Daily'!H20</f>
        <v>0</v>
      </c>
      <c r="J18" s="4">
        <f>'Hampshire Daily'!I21-'Hampshire Daily'!I20</f>
        <v>2283</v>
      </c>
      <c r="K18" s="4">
        <f>'Hampshire Daily'!J21-'Hampshire Daily'!J20</f>
        <v>1078</v>
      </c>
      <c r="L18" s="4">
        <f>'Hampshire Daily'!K21-'Hampshire Daily'!K20</f>
        <v>644</v>
      </c>
      <c r="M18" s="4">
        <f>'Hampshire Daily'!N21-'Hampshire Daily'!N20</f>
        <v>1516</v>
      </c>
      <c r="N18" s="4">
        <f>'Hampshire Daily'!O21-'Hampshire Daily'!O20</f>
        <v>175</v>
      </c>
      <c r="O18" s="4">
        <f>'Hampshire Daily'!P21-'Hampshire Daily'!P20</f>
        <v>105</v>
      </c>
      <c r="P18" s="4">
        <f>'Hampshire Daily'!Q21-'Hampshire Daily'!Q20</f>
        <v>108</v>
      </c>
      <c r="Q18" s="4">
        <f>'Hampshire Daily'!T21-'Hampshire Daily'!T20</f>
        <v>4</v>
      </c>
      <c r="R18" s="4">
        <f>'Hampshire Daily'!B21</f>
        <v>84</v>
      </c>
      <c r="S18" s="4">
        <f>'Hampshire Daily'!C21</f>
        <v>148</v>
      </c>
    </row>
    <row r="19" spans="1:19">
      <c r="A19" s="3" t="s">
        <v>12</v>
      </c>
      <c r="B19" s="1">
        <f t="shared" si="0"/>
        <v>18</v>
      </c>
      <c r="C19" s="1">
        <v>8</v>
      </c>
      <c r="D19" s="1">
        <v>2022</v>
      </c>
      <c r="E19" s="4">
        <f>'Hampshire Daily'!D22-'Hampshire Daily'!D21</f>
        <v>6471</v>
      </c>
      <c r="F19" s="4">
        <f>'Hampshire Daily'!E22-'Hampshire Daily'!E21</f>
        <v>2789</v>
      </c>
      <c r="G19" s="4">
        <f>'Hampshire Daily'!F22-'Hampshire Daily'!F21</f>
        <v>2</v>
      </c>
      <c r="H19" s="4">
        <f>'Hampshire Daily'!G22-'Hampshire Daily'!G21</f>
        <v>1903</v>
      </c>
      <c r="I19" s="4">
        <f>'Hampshire Daily'!H22-'Hampshire Daily'!H21</f>
        <v>0</v>
      </c>
      <c r="J19" s="4">
        <f>'Hampshire Daily'!I22-'Hampshire Daily'!I21</f>
        <v>2693</v>
      </c>
      <c r="K19" s="4">
        <f>'Hampshire Daily'!J22-'Hampshire Daily'!J21</f>
        <v>1308</v>
      </c>
      <c r="L19" s="4">
        <f>'Hampshire Daily'!K22-'Hampshire Daily'!K21</f>
        <v>644</v>
      </c>
      <c r="M19" s="4">
        <f>'Hampshire Daily'!N22-'Hampshire Daily'!N21</f>
        <v>1621</v>
      </c>
      <c r="N19" s="4">
        <f>'Hampshire Daily'!O22-'Hampshire Daily'!O21</f>
        <v>149</v>
      </c>
      <c r="O19" s="4">
        <f>'Hampshire Daily'!P22-'Hampshire Daily'!P21</f>
        <v>104</v>
      </c>
      <c r="P19" s="4">
        <f>'Hampshire Daily'!Q22-'Hampshire Daily'!Q21</f>
        <v>103</v>
      </c>
      <c r="Q19" s="4">
        <f>'Hampshire Daily'!T22-'Hampshire Daily'!T21</f>
        <v>5</v>
      </c>
      <c r="R19" s="4">
        <f>'Hampshire Daily'!B22</f>
        <v>84</v>
      </c>
      <c r="S19" s="4">
        <f>'Hampshire Daily'!C22</f>
        <v>148</v>
      </c>
    </row>
    <row r="20" spans="1:19">
      <c r="A20" s="3" t="s">
        <v>12</v>
      </c>
      <c r="B20" s="1">
        <f t="shared" si="0"/>
        <v>19</v>
      </c>
      <c r="C20" s="1">
        <v>8</v>
      </c>
      <c r="D20" s="1">
        <v>2022</v>
      </c>
      <c r="E20" s="4">
        <f>'Hampshire Daily'!D23-'Hampshire Daily'!D22</f>
        <v>7890</v>
      </c>
      <c r="F20" s="4">
        <f>'Hampshire Daily'!E23-'Hampshire Daily'!E22</f>
        <v>1986</v>
      </c>
      <c r="G20" s="4">
        <f>'Hampshire Daily'!F23-'Hampshire Daily'!F22</f>
        <v>97</v>
      </c>
      <c r="H20" s="4">
        <f>'Hampshire Daily'!G23-'Hampshire Daily'!G22</f>
        <v>1810</v>
      </c>
      <c r="I20" s="4">
        <f>'Hampshire Daily'!H23-'Hampshire Daily'!H22</f>
        <v>0</v>
      </c>
      <c r="J20" s="4">
        <f>'Hampshire Daily'!I23-'Hampshire Daily'!I22</f>
        <v>2502</v>
      </c>
      <c r="K20" s="4">
        <f>'Hampshire Daily'!J23-'Hampshire Daily'!J22</f>
        <v>1103</v>
      </c>
      <c r="L20" s="4">
        <f>'Hampshire Daily'!K23-'Hampshire Daily'!K22</f>
        <v>697</v>
      </c>
      <c r="M20" s="4">
        <f>'Hampshire Daily'!N23-'Hampshire Daily'!N22</f>
        <v>1467</v>
      </c>
      <c r="N20" s="4">
        <f>'Hampshire Daily'!O23-'Hampshire Daily'!O22</f>
        <v>127</v>
      </c>
      <c r="O20" s="4">
        <f>'Hampshire Daily'!P23-'Hampshire Daily'!P22</f>
        <v>97</v>
      </c>
      <c r="P20" s="4">
        <f>'Hampshire Daily'!Q23-'Hampshire Daily'!Q22</f>
        <v>100</v>
      </c>
      <c r="Q20" s="4">
        <f>'Hampshire Daily'!T23-'Hampshire Daily'!T22</f>
        <v>5</v>
      </c>
      <c r="R20" s="4">
        <f>'Hampshire Daily'!B23</f>
        <v>92</v>
      </c>
      <c r="S20" s="4">
        <f>'Hampshire Daily'!C23</f>
        <v>191</v>
      </c>
    </row>
    <row r="21" spans="1:19">
      <c r="A21" s="3" t="s">
        <v>12</v>
      </c>
      <c r="B21" s="1">
        <f t="shared" si="0"/>
        <v>20</v>
      </c>
      <c r="C21" s="1">
        <v>8</v>
      </c>
      <c r="D21" s="1">
        <v>2022</v>
      </c>
      <c r="E21" s="4">
        <f>'Hampshire Daily'!D24-'Hampshire Daily'!D23</f>
        <v>7279</v>
      </c>
      <c r="F21" s="4">
        <f>'Hampshire Daily'!E24-'Hampshire Daily'!E23</f>
        <v>4679</v>
      </c>
      <c r="G21" s="4">
        <f>'Hampshire Daily'!F24-'Hampshire Daily'!F23</f>
        <v>594</v>
      </c>
      <c r="H21" s="4">
        <f>'Hampshire Daily'!G24-'Hampshire Daily'!G23</f>
        <v>1966</v>
      </c>
      <c r="I21" s="4">
        <f>'Hampshire Daily'!H24-'Hampshire Daily'!H23</f>
        <v>0</v>
      </c>
      <c r="J21" s="4">
        <f>'Hampshire Daily'!I24-'Hampshire Daily'!I23</f>
        <v>2647</v>
      </c>
      <c r="K21" s="4">
        <f>'Hampshire Daily'!J24-'Hampshire Daily'!J23</f>
        <v>1217</v>
      </c>
      <c r="L21" s="4">
        <f>'Hampshire Daily'!K24-'Hampshire Daily'!K23</f>
        <v>625</v>
      </c>
      <c r="M21" s="4">
        <f>'Hampshire Daily'!N24-'Hampshire Daily'!N23</f>
        <v>740</v>
      </c>
      <c r="N21" s="4">
        <f>'Hampshire Daily'!O24-'Hampshire Daily'!O23</f>
        <v>190</v>
      </c>
      <c r="O21" s="4">
        <f>'Hampshire Daily'!P24-'Hampshire Daily'!P23</f>
        <v>129</v>
      </c>
      <c r="P21" s="4">
        <f>'Hampshire Daily'!Q24-'Hampshire Daily'!Q23</f>
        <v>129</v>
      </c>
      <c r="Q21" s="4">
        <f>'Hampshire Daily'!T24-'Hampshire Daily'!T23</f>
        <v>9</v>
      </c>
      <c r="R21" s="4">
        <f>'Hampshire Daily'!B24</f>
        <v>110</v>
      </c>
      <c r="S21" s="4">
        <f>'Hampshire Daily'!C24</f>
        <v>228</v>
      </c>
    </row>
    <row r="22" spans="1:19">
      <c r="A22" s="3" t="s">
        <v>12</v>
      </c>
      <c r="B22" s="1">
        <f t="shared" si="0"/>
        <v>21</v>
      </c>
      <c r="C22" s="1">
        <v>8</v>
      </c>
      <c r="D22" s="1">
        <v>2022</v>
      </c>
      <c r="E22" s="4">
        <f>'Hampshire Daily'!D25-'Hampshire Daily'!D24</f>
        <v>7508</v>
      </c>
      <c r="F22" s="4">
        <f>'Hampshire Daily'!E25-'Hampshire Daily'!E24</f>
        <v>2077</v>
      </c>
      <c r="G22" s="4">
        <f>'Hampshire Daily'!F25-'Hampshire Daily'!F24</f>
        <v>68</v>
      </c>
      <c r="H22" s="4">
        <f>'Hampshire Daily'!G25-'Hampshire Daily'!G24</f>
        <v>1829</v>
      </c>
      <c r="I22" s="4">
        <f>'Hampshire Daily'!H25-'Hampshire Daily'!H24</f>
        <v>0</v>
      </c>
      <c r="J22" s="4">
        <f>'Hampshire Daily'!I25-'Hampshire Daily'!I24</f>
        <v>2696</v>
      </c>
      <c r="K22" s="4">
        <f>'Hampshire Daily'!J25-'Hampshire Daily'!J24</f>
        <v>1277</v>
      </c>
      <c r="L22" s="4">
        <f>'Hampshire Daily'!K25-'Hampshire Daily'!K24</f>
        <v>627</v>
      </c>
      <c r="M22" s="4">
        <f>'Hampshire Daily'!N25-'Hampshire Daily'!N24</f>
        <v>1626</v>
      </c>
      <c r="N22" s="4">
        <f>'Hampshire Daily'!O25-'Hampshire Daily'!O24</f>
        <v>157</v>
      </c>
      <c r="O22" s="4">
        <f>'Hampshire Daily'!P25-'Hampshire Daily'!P24</f>
        <v>110</v>
      </c>
      <c r="P22" s="4">
        <f>'Hampshire Daily'!Q25-'Hampshire Daily'!Q24</f>
        <v>111</v>
      </c>
      <c r="Q22" s="4">
        <f>'Hampshire Daily'!T25-'Hampshire Daily'!T24</f>
        <v>8</v>
      </c>
      <c r="R22" s="4">
        <f>'Hampshire Daily'!B25</f>
        <v>58</v>
      </c>
      <c r="S22" s="4">
        <f>'Hampshire Daily'!C25</f>
        <v>132</v>
      </c>
    </row>
    <row r="23" spans="1:19">
      <c r="A23" s="3" t="s">
        <v>12</v>
      </c>
      <c r="B23" s="1">
        <f t="shared" si="0"/>
        <v>22</v>
      </c>
      <c r="C23" s="1">
        <v>8</v>
      </c>
      <c r="D23" s="1">
        <v>2022</v>
      </c>
      <c r="E23" s="4">
        <f>'Hampshire Daily'!D26-'Hampshire Daily'!D25</f>
        <v>6977</v>
      </c>
      <c r="F23" s="4">
        <f>'Hampshire Daily'!E26-'Hampshire Daily'!E25</f>
        <v>1488</v>
      </c>
      <c r="G23" s="4">
        <f>'Hampshire Daily'!F26-'Hampshire Daily'!F25</f>
        <v>0</v>
      </c>
      <c r="H23" s="4">
        <f>'Hampshire Daily'!G26-'Hampshire Daily'!G25</f>
        <v>1736</v>
      </c>
      <c r="I23" s="4">
        <f>'Hampshire Daily'!H26-'Hampshire Daily'!H25</f>
        <v>0</v>
      </c>
      <c r="J23" s="4">
        <f>'Hampshire Daily'!I26-'Hampshire Daily'!I25</f>
        <v>2592</v>
      </c>
      <c r="K23" s="4">
        <f>'Hampshire Daily'!J26-'Hampshire Daily'!J25</f>
        <v>1167</v>
      </c>
      <c r="L23" s="4">
        <f>'Hampshire Daily'!K26-'Hampshire Daily'!K25</f>
        <v>632</v>
      </c>
      <c r="M23" s="4">
        <f>'Hampshire Daily'!N26-'Hampshire Daily'!N25</f>
        <v>1601</v>
      </c>
      <c r="N23" s="4">
        <f>'Hampshire Daily'!O26-'Hampshire Daily'!O25</f>
        <v>153</v>
      </c>
      <c r="O23" s="4">
        <f>'Hampshire Daily'!P26-'Hampshire Daily'!P25</f>
        <v>106</v>
      </c>
      <c r="P23" s="4">
        <f>'Hampshire Daily'!Q26-'Hampshire Daily'!Q25</f>
        <v>107</v>
      </c>
      <c r="Q23" s="4">
        <f>'Hampshire Daily'!T26-'Hampshire Daily'!T25</f>
        <v>8</v>
      </c>
      <c r="R23" s="4">
        <f>'Hampshire Daily'!B26</f>
        <v>82</v>
      </c>
      <c r="S23" s="4">
        <f>'Hampshire Daily'!C26</f>
        <v>182</v>
      </c>
    </row>
    <row r="24" spans="1:19">
      <c r="A24" s="3" t="s">
        <v>12</v>
      </c>
      <c r="B24" s="1">
        <f t="shared" si="0"/>
        <v>23</v>
      </c>
      <c r="C24" s="1">
        <v>8</v>
      </c>
      <c r="D24" s="1">
        <v>2022</v>
      </c>
      <c r="E24" s="4">
        <f>'Hampshire Daily'!D27-'Hampshire Daily'!D26</f>
        <v>7222</v>
      </c>
      <c r="F24" s="4">
        <f>'Hampshire Daily'!E27-'Hampshire Daily'!E26</f>
        <v>1528</v>
      </c>
      <c r="G24" s="4">
        <f>'Hampshire Daily'!F27-'Hampshire Daily'!F26</f>
        <v>0</v>
      </c>
      <c r="H24" s="4">
        <f>'Hampshire Daily'!G27-'Hampshire Daily'!G26</f>
        <v>1773</v>
      </c>
      <c r="I24" s="4">
        <f>'Hampshire Daily'!H27-'Hampshire Daily'!H26</f>
        <v>0</v>
      </c>
      <c r="J24" s="4">
        <f>'Hampshire Daily'!I27-'Hampshire Daily'!I26</f>
        <v>2663</v>
      </c>
      <c r="K24" s="4">
        <f>'Hampshire Daily'!J27-'Hampshire Daily'!J26</f>
        <v>1181</v>
      </c>
      <c r="L24" s="4">
        <f>'Hampshire Daily'!K27-'Hampshire Daily'!K26</f>
        <v>655</v>
      </c>
      <c r="M24" s="4">
        <f>'Hampshire Daily'!N27-'Hampshire Daily'!N26</f>
        <v>1675</v>
      </c>
      <c r="N24" s="4">
        <f>'Hampshire Daily'!O27-'Hampshire Daily'!O26</f>
        <v>152</v>
      </c>
      <c r="O24" s="4">
        <f>'Hampshire Daily'!P27-'Hampshire Daily'!P26</f>
        <v>114</v>
      </c>
      <c r="P24" s="4">
        <f>'Hampshire Daily'!Q27-'Hampshire Daily'!Q26</f>
        <v>116</v>
      </c>
      <c r="Q24" s="4">
        <f>'Hampshire Daily'!T27-'Hampshire Daily'!T26</f>
        <v>5</v>
      </c>
      <c r="R24" s="4">
        <f>'Hampshire Daily'!B27</f>
        <v>67</v>
      </c>
      <c r="S24" s="4">
        <f>'Hampshire Daily'!C27</f>
        <v>161</v>
      </c>
    </row>
    <row r="25" spans="1:19">
      <c r="A25" s="3" t="s">
        <v>12</v>
      </c>
      <c r="B25" s="1">
        <f t="shared" si="0"/>
        <v>24</v>
      </c>
      <c r="C25" s="1">
        <v>8</v>
      </c>
      <c r="D25" s="1">
        <v>2022</v>
      </c>
      <c r="E25" s="4">
        <f>'Hampshire Daily'!D28-'Hampshire Daily'!D27</f>
        <v>7929</v>
      </c>
      <c r="F25" s="4">
        <f>'Hampshire Daily'!E28-'Hampshire Daily'!E27</f>
        <v>2286</v>
      </c>
      <c r="G25" s="4">
        <f>'Hampshire Daily'!F28-'Hampshire Daily'!F27</f>
        <v>129</v>
      </c>
      <c r="H25" s="4">
        <f>'Hampshire Daily'!G28-'Hampshire Daily'!G27</f>
        <v>1804</v>
      </c>
      <c r="I25" s="4">
        <f>'Hampshire Daily'!H28-'Hampshire Daily'!H27</f>
        <v>0</v>
      </c>
      <c r="J25" s="4">
        <f>'Hampshire Daily'!I28-'Hampshire Daily'!I27</f>
        <v>2599</v>
      </c>
      <c r="K25" s="4">
        <f>'Hampshire Daily'!J28-'Hampshire Daily'!J27</f>
        <v>1212</v>
      </c>
      <c r="L25" s="4">
        <f>'Hampshire Daily'!K28-'Hampshire Daily'!K27</f>
        <v>640</v>
      </c>
      <c r="M25" s="4">
        <f>'Hampshire Daily'!N28-'Hampshire Daily'!N27</f>
        <v>1402</v>
      </c>
      <c r="N25" s="4">
        <f>'Hampshire Daily'!O28-'Hampshire Daily'!O27</f>
        <v>147</v>
      </c>
      <c r="O25" s="4">
        <f>'Hampshire Daily'!P28-'Hampshire Daily'!P27</f>
        <v>104</v>
      </c>
      <c r="P25" s="4">
        <f>'Hampshire Daily'!Q28-'Hampshire Daily'!Q27</f>
        <v>104</v>
      </c>
      <c r="Q25" s="4">
        <f>'Hampshire Daily'!T28-'Hampshire Daily'!T27</f>
        <v>5</v>
      </c>
      <c r="R25" s="4">
        <f>'Hampshire Daily'!B28</f>
        <v>57</v>
      </c>
      <c r="S25" s="4">
        <f>'Hampshire Daily'!C28</f>
        <v>142</v>
      </c>
    </row>
    <row r="26" spans="1:19">
      <c r="A26" s="3" t="s">
        <v>12</v>
      </c>
      <c r="B26" s="23">
        <f>B25+1</f>
        <v>25</v>
      </c>
      <c r="C26" s="1">
        <v>8</v>
      </c>
      <c r="D26" s="1">
        <v>2022</v>
      </c>
      <c r="E26" s="4">
        <f>'Hampshire Daily'!D29-'Hampshire Daily'!D28</f>
        <v>8100</v>
      </c>
      <c r="F26" s="4">
        <f>'Hampshire Daily'!E29-'Hampshire Daily'!E28</f>
        <v>1516</v>
      </c>
      <c r="G26" s="4">
        <f>'Hampshire Daily'!F29-'Hampshire Daily'!F28</f>
        <v>0</v>
      </c>
      <c r="H26" s="4">
        <f>'Hampshire Daily'!G29-'Hampshire Daily'!G28</f>
        <v>1946</v>
      </c>
      <c r="I26" s="4">
        <f>'Hampshire Daily'!H29-'Hampshire Daily'!H28</f>
        <v>0</v>
      </c>
      <c r="J26" s="4">
        <f>'Hampshire Daily'!I29-'Hampshire Daily'!I28</f>
        <v>2809</v>
      </c>
      <c r="K26" s="4">
        <f>'Hampshire Daily'!J29-'Hampshire Daily'!J28</f>
        <v>1281</v>
      </c>
      <c r="L26" s="4">
        <f>'Hampshire Daily'!K29-'Hampshire Daily'!K28</f>
        <v>670</v>
      </c>
      <c r="M26" s="4">
        <f>'Hampshire Daily'!N29-'Hampshire Daily'!N28</f>
        <v>1235</v>
      </c>
      <c r="N26" s="4">
        <f>'Hampshire Daily'!O29-'Hampshire Daily'!O28</f>
        <v>149</v>
      </c>
      <c r="O26" s="4">
        <f>'Hampshire Daily'!P29-'Hampshire Daily'!P28</f>
        <v>168</v>
      </c>
      <c r="P26" s="4">
        <f>'Hampshire Daily'!Q29-'Hampshire Daily'!Q28</f>
        <v>110</v>
      </c>
      <c r="Q26" s="4">
        <f>'Hampshire Daily'!T29-'Hampshire Daily'!T28</f>
        <v>8</v>
      </c>
      <c r="R26" s="4">
        <f>'Hampshire Daily'!B29</f>
        <v>55</v>
      </c>
      <c r="S26" s="4">
        <f>'Hampshire Daily'!C29</f>
        <v>145</v>
      </c>
    </row>
    <row r="27" spans="1:19">
      <c r="A27" s="3" t="s">
        <v>12</v>
      </c>
      <c r="B27" s="1">
        <f t="shared" si="0"/>
        <v>26</v>
      </c>
      <c r="C27" s="1">
        <v>8</v>
      </c>
      <c r="D27" s="1">
        <v>2022</v>
      </c>
      <c r="E27" s="4">
        <f>'Hampshire Daily'!D30-'Hampshire Daily'!D29</f>
        <v>6405</v>
      </c>
      <c r="F27" s="4">
        <f>'Hampshire Daily'!E30-'Hampshire Daily'!E29</f>
        <v>1452</v>
      </c>
      <c r="G27" s="4">
        <f>'Hampshire Daily'!F30-'Hampshire Daily'!F29</f>
        <v>0</v>
      </c>
      <c r="H27" s="4">
        <f>'Hampshire Daily'!G30-'Hampshire Daily'!G29</f>
        <v>1749</v>
      </c>
      <c r="I27" s="4">
        <f>'Hampshire Daily'!H30-'Hampshire Daily'!H29</f>
        <v>0</v>
      </c>
      <c r="J27" s="4">
        <f>'Hampshire Daily'!I30-'Hampshire Daily'!I29</f>
        <v>2568</v>
      </c>
      <c r="K27" s="4">
        <f>'Hampshire Daily'!J30-'Hampshire Daily'!J29</f>
        <v>1193</v>
      </c>
      <c r="L27" s="4">
        <f>'Hampshire Daily'!K30-'Hampshire Daily'!K29</f>
        <v>605</v>
      </c>
      <c r="M27" s="4">
        <f>'Hampshire Daily'!N30-'Hampshire Daily'!N29</f>
        <v>1983</v>
      </c>
      <c r="N27" s="4">
        <f>'Hampshire Daily'!O30-'Hampshire Daily'!O29</f>
        <v>146</v>
      </c>
      <c r="O27" s="4">
        <f>'Hampshire Daily'!P30-'Hampshire Daily'!P29</f>
        <v>36</v>
      </c>
      <c r="P27" s="4">
        <f>'Hampshire Daily'!Q30-'Hampshire Daily'!Q29</f>
        <v>97</v>
      </c>
      <c r="Q27" s="4">
        <f>'Hampshire Daily'!T30-'Hampshire Daily'!T29</f>
        <v>5</v>
      </c>
      <c r="R27" s="4">
        <f>'Hampshire Daily'!B30</f>
        <v>79</v>
      </c>
      <c r="S27" s="4">
        <f>'Hampshire Daily'!C30</f>
        <v>175</v>
      </c>
    </row>
    <row r="28" spans="1:19">
      <c r="A28" s="3" t="s">
        <v>12</v>
      </c>
      <c r="B28" s="1">
        <f t="shared" si="0"/>
        <v>27</v>
      </c>
      <c r="C28" s="1">
        <v>8</v>
      </c>
      <c r="D28" s="1">
        <v>2022</v>
      </c>
      <c r="E28" s="4">
        <f>'Hampshire Daily'!D31-'Hampshire Daily'!D30</f>
        <v>7226</v>
      </c>
      <c r="F28" s="4">
        <f>'Hampshire Daily'!E31-'Hampshire Daily'!E30</f>
        <v>1447</v>
      </c>
      <c r="G28" s="4">
        <f>'Hampshire Daily'!F31-'Hampshire Daily'!F30</f>
        <v>0</v>
      </c>
      <c r="H28" s="4">
        <f>'Hampshire Daily'!G31-'Hampshire Daily'!G30</f>
        <v>2195</v>
      </c>
      <c r="I28" s="4">
        <f>'Hampshire Daily'!H31-'Hampshire Daily'!H30</f>
        <v>0</v>
      </c>
      <c r="J28" s="4">
        <f>'Hampshire Daily'!I31-'Hampshire Daily'!I30</f>
        <v>2651</v>
      </c>
      <c r="K28" s="4">
        <f>'Hampshire Daily'!J31-'Hampshire Daily'!J30</f>
        <v>1202</v>
      </c>
      <c r="L28" s="4">
        <f>'Hampshire Daily'!K31-'Hampshire Daily'!K30</f>
        <v>624</v>
      </c>
      <c r="M28" s="4">
        <f>'Hampshire Daily'!N31-'Hampshire Daily'!N30</f>
        <v>1669</v>
      </c>
      <c r="N28" s="4">
        <f>'Hampshire Daily'!O31-'Hampshire Daily'!O30</f>
        <v>151</v>
      </c>
      <c r="O28" s="4">
        <f>'Hampshire Daily'!P31-'Hampshire Daily'!P30</f>
        <v>102</v>
      </c>
      <c r="P28" s="4">
        <f>'Hampshire Daily'!Q31-'Hampshire Daily'!Q30</f>
        <v>105</v>
      </c>
      <c r="Q28" s="4">
        <f>'Hampshire Daily'!T31-'Hampshire Daily'!T30</f>
        <v>5</v>
      </c>
      <c r="R28" s="4">
        <f>'Hampshire Daily'!B31</f>
        <v>105</v>
      </c>
      <c r="S28" s="4">
        <f>'Hampshire Daily'!C31</f>
        <v>223</v>
      </c>
    </row>
    <row r="29" spans="1:19">
      <c r="A29" s="3" t="s">
        <v>12</v>
      </c>
      <c r="B29" s="1">
        <f t="shared" si="0"/>
        <v>28</v>
      </c>
      <c r="C29" s="1">
        <v>8</v>
      </c>
      <c r="D29" s="1">
        <v>2022</v>
      </c>
      <c r="E29" s="4">
        <f>'Hampshire Daily'!D32-'Hampshire Daily'!D31</f>
        <v>7356</v>
      </c>
      <c r="F29" s="4">
        <f>'Hampshire Daily'!E32-'Hampshire Daily'!E31</f>
        <v>1627</v>
      </c>
      <c r="G29" s="4">
        <f>'Hampshire Daily'!F32-'Hampshire Daily'!F31</f>
        <v>0</v>
      </c>
      <c r="H29" s="4">
        <f>'Hampshire Daily'!G32-'Hampshire Daily'!G31</f>
        <v>2116</v>
      </c>
      <c r="I29" s="4">
        <f>'Hampshire Daily'!H32-'Hampshire Daily'!H31</f>
        <v>96</v>
      </c>
      <c r="J29" s="4">
        <f>'Hampshire Daily'!I32-'Hampshire Daily'!I31</f>
        <v>2668</v>
      </c>
      <c r="K29" s="4">
        <f>'Hampshire Daily'!J32-'Hampshire Daily'!J31</f>
        <v>1227</v>
      </c>
      <c r="L29" s="4">
        <f>'Hampshire Daily'!K32-'Hampshire Daily'!K31</f>
        <v>592</v>
      </c>
      <c r="M29" s="4">
        <f>'Hampshire Daily'!N32-'Hampshire Daily'!N31</f>
        <v>1612</v>
      </c>
      <c r="N29" s="4">
        <f>'Hampshire Daily'!O32-'Hampshire Daily'!O31</f>
        <v>161</v>
      </c>
      <c r="O29" s="4">
        <f>'Hampshire Daily'!P32-'Hampshire Daily'!P31</f>
        <v>112</v>
      </c>
      <c r="P29" s="4">
        <f>'Hampshire Daily'!Q32-'Hampshire Daily'!Q31</f>
        <v>112</v>
      </c>
      <c r="Q29" s="4">
        <f>'Hampshire Daily'!T32-'Hampshire Daily'!T31</f>
        <v>7</v>
      </c>
      <c r="R29" s="4">
        <f>'Hampshire Daily'!B32</f>
        <v>98</v>
      </c>
      <c r="S29" s="4">
        <f>'Hampshire Daily'!C32</f>
        <v>235</v>
      </c>
    </row>
    <row r="30" spans="1:19">
      <c r="A30" s="3" t="s">
        <v>12</v>
      </c>
      <c r="B30" s="1">
        <f t="shared" si="0"/>
        <v>29</v>
      </c>
      <c r="C30" s="1">
        <v>8</v>
      </c>
      <c r="D30" s="1">
        <v>2022</v>
      </c>
      <c r="E30" s="4">
        <f>'Hampshire Daily'!D33-'Hampshire Daily'!D32</f>
        <v>7025</v>
      </c>
      <c r="F30" s="4">
        <f>'Hampshire Daily'!E33-'Hampshire Daily'!E32</f>
        <v>1520</v>
      </c>
      <c r="G30" s="4">
        <f>'Hampshire Daily'!F33-'Hampshire Daily'!F32</f>
        <v>0</v>
      </c>
      <c r="H30" s="4">
        <f>'Hampshire Daily'!G33-'Hampshire Daily'!G32</f>
        <v>1861</v>
      </c>
      <c r="I30" s="4">
        <f>'Hampshire Daily'!H33-'Hampshire Daily'!H32</f>
        <v>0</v>
      </c>
      <c r="J30" s="4">
        <f>'Hampshire Daily'!I33-'Hampshire Daily'!I32</f>
        <v>2733</v>
      </c>
      <c r="K30" s="4">
        <f>'Hampshire Daily'!J33-'Hampshire Daily'!J32</f>
        <v>1244</v>
      </c>
      <c r="L30" s="4">
        <f>'Hampshire Daily'!K33-'Hampshire Daily'!K32</f>
        <v>619</v>
      </c>
      <c r="M30" s="4">
        <f>'Hampshire Daily'!N33-'Hampshire Daily'!N32</f>
        <v>1605</v>
      </c>
      <c r="N30" s="4">
        <f>'Hampshire Daily'!O33-'Hampshire Daily'!O32</f>
        <v>171</v>
      </c>
      <c r="O30" s="4">
        <f>'Hampshire Daily'!P33-'Hampshire Daily'!P32</f>
        <v>112</v>
      </c>
      <c r="P30" s="4">
        <f>'Hampshire Daily'!Q33-'Hampshire Daily'!Q32</f>
        <v>112</v>
      </c>
      <c r="Q30" s="4">
        <f>'Hampshire Daily'!T33-'Hampshire Daily'!T32</f>
        <v>10</v>
      </c>
      <c r="R30" s="4">
        <f>'Hampshire Daily'!B33</f>
        <v>57</v>
      </c>
      <c r="S30" s="4">
        <f>'Hampshire Daily'!C33</f>
        <v>127</v>
      </c>
    </row>
    <row r="31" spans="1:19">
      <c r="A31" s="3" t="s">
        <v>12</v>
      </c>
      <c r="B31" s="1">
        <f t="shared" si="0"/>
        <v>30</v>
      </c>
      <c r="C31" s="1">
        <v>8</v>
      </c>
      <c r="D31" s="1">
        <v>2022</v>
      </c>
      <c r="E31" s="4">
        <f>'Hampshire Daily'!D34-'Hampshire Daily'!D33</f>
        <v>6881</v>
      </c>
      <c r="F31" s="4">
        <f>'Hampshire Daily'!E34-'Hampshire Daily'!E33</f>
        <v>4450</v>
      </c>
      <c r="G31" s="4">
        <f>'Hampshire Daily'!F34-'Hampshire Daily'!F33</f>
        <v>577</v>
      </c>
      <c r="H31" s="4">
        <f>'Hampshire Daily'!G34-'Hampshire Daily'!G33</f>
        <v>1728</v>
      </c>
      <c r="I31" s="4">
        <f>'Hampshire Daily'!H34-'Hampshire Daily'!H33</f>
        <v>0</v>
      </c>
      <c r="J31" s="4">
        <f>'Hampshire Daily'!I34-'Hampshire Daily'!I33</f>
        <v>2494</v>
      </c>
      <c r="K31" s="4">
        <f>'Hampshire Daily'!J34-'Hampshire Daily'!J33</f>
        <v>1128</v>
      </c>
      <c r="L31" s="4">
        <f>'Hampshire Daily'!K34-'Hampshire Daily'!K33</f>
        <v>632</v>
      </c>
      <c r="M31" s="4">
        <f>'Hampshire Daily'!N34-'Hampshire Daily'!N33</f>
        <v>897</v>
      </c>
      <c r="N31" s="4">
        <f>'Hampshire Daily'!O34-'Hampshire Daily'!O33</f>
        <v>165</v>
      </c>
      <c r="O31" s="4">
        <f>'Hampshire Daily'!P34-'Hampshire Daily'!P33</f>
        <v>112</v>
      </c>
      <c r="P31" s="4">
        <f>'Hampshire Daily'!Q34-'Hampshire Daily'!Q33</f>
        <v>114</v>
      </c>
      <c r="Q31" s="4">
        <f>'Hampshire Daily'!T34-'Hampshire Daily'!T33</f>
        <v>7</v>
      </c>
      <c r="R31" s="4">
        <f>'Hampshire Daily'!B34</f>
        <v>45</v>
      </c>
      <c r="S31" s="4">
        <f>'Hampshire Daily'!C34</f>
        <v>97</v>
      </c>
    </row>
    <row r="32" spans="1:19">
      <c r="A32" s="3" t="s">
        <v>12</v>
      </c>
      <c r="B32" s="1">
        <f t="shared" si="0"/>
        <v>31</v>
      </c>
      <c r="C32" s="1">
        <v>8</v>
      </c>
      <c r="D32" s="1">
        <v>2023</v>
      </c>
      <c r="E32" s="4">
        <f>'Hampshire Daily'!D35-'Hampshire Daily'!D34</f>
        <v>7169</v>
      </c>
      <c r="F32" s="4">
        <f>'Hampshire Daily'!E35-'Hampshire Daily'!E34</f>
        <v>3865</v>
      </c>
      <c r="G32" s="4">
        <f>'Hampshire Daily'!F35-'Hampshire Daily'!F34</f>
        <v>489</v>
      </c>
      <c r="H32" s="4">
        <f>'Hampshire Daily'!G35-'Hampshire Daily'!G34</f>
        <v>1998</v>
      </c>
      <c r="I32" s="4">
        <f>'Hampshire Daily'!H35-'Hampshire Daily'!H34</f>
        <v>0</v>
      </c>
      <c r="J32" s="4">
        <f>'Hampshire Daily'!I35-'Hampshire Daily'!I34</f>
        <v>2506</v>
      </c>
      <c r="K32" s="4">
        <f>'Hampshire Daily'!J35-'Hampshire Daily'!J34</f>
        <v>1027</v>
      </c>
      <c r="L32" s="4">
        <f>'Hampshire Daily'!K35-'Hampshire Daily'!K34</f>
        <v>636</v>
      </c>
      <c r="M32" s="4">
        <f>'Hampshire Daily'!N35-'Hampshire Daily'!N34</f>
        <v>1033</v>
      </c>
      <c r="N32" s="4">
        <f>'Hampshire Daily'!O35-'Hampshire Daily'!O34</f>
        <v>141</v>
      </c>
      <c r="O32" s="4">
        <f>'Hampshire Daily'!P35-'Hampshire Daily'!P34</f>
        <v>103</v>
      </c>
      <c r="P32" s="4">
        <f>'Hampshire Daily'!Q35-'Hampshire Daily'!Q34</f>
        <v>105</v>
      </c>
      <c r="Q32" s="4">
        <f>'Hampshire Daily'!T35-'Hampshire Daily'!T34</f>
        <v>6</v>
      </c>
      <c r="R32" s="4">
        <f>'Hampshire Daily'!B35</f>
        <v>42</v>
      </c>
      <c r="S32" s="4">
        <f>'Hampshire Daily'!C35</f>
        <v>91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Y238"/>
  <sheetViews>
    <sheetView tabSelected="1" zoomScaleNormal="100" workbookViewId="0">
      <pane xSplit="1" ySplit="3" topLeftCell="B22" activePane="bottomRight" state="frozen"/>
      <selection pane="bottomRight" activeCell="N35" sqref="N35"/>
      <selection pane="bottomLeft"/>
      <selection pane="topRight"/>
    </sheetView>
  </sheetViews>
  <sheetFormatPr defaultRowHeight="1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8" max="18" width="10.42578125" customWidth="1"/>
    <col min="21" max="21" width="9.28515625" customWidth="1"/>
    <col min="22" max="22" width="12" customWidth="1"/>
    <col min="25" max="25" width="9.140625" style="32"/>
  </cols>
  <sheetData>
    <row r="1" spans="1:25" ht="15" customHeight="1">
      <c r="A1" s="54"/>
      <c r="B1" s="19"/>
      <c r="C1" s="19"/>
      <c r="D1" s="64" t="s">
        <v>27</v>
      </c>
      <c r="E1" s="65"/>
      <c r="F1" s="65"/>
      <c r="G1" s="65"/>
      <c r="H1" s="65"/>
      <c r="I1" s="65"/>
      <c r="J1" s="65"/>
      <c r="K1" s="65"/>
      <c r="L1" s="65"/>
      <c r="M1" s="66"/>
      <c r="N1" s="47" t="s">
        <v>28</v>
      </c>
      <c r="O1" s="49" t="s">
        <v>29</v>
      </c>
      <c r="P1" s="49" t="s">
        <v>30</v>
      </c>
      <c r="Q1" s="51"/>
      <c r="R1" s="49" t="s">
        <v>31</v>
      </c>
      <c r="S1" s="52" t="s">
        <v>32</v>
      </c>
      <c r="T1" s="43" t="s">
        <v>33</v>
      </c>
      <c r="U1" s="42" t="s">
        <v>34</v>
      </c>
    </row>
    <row r="2" spans="1:25" ht="15" customHeight="1">
      <c r="A2" s="55"/>
      <c r="B2" s="59" t="s">
        <v>35</v>
      </c>
      <c r="C2" s="59" t="s">
        <v>36</v>
      </c>
      <c r="D2" s="61" t="s">
        <v>37</v>
      </c>
      <c r="E2" s="57" t="s">
        <v>38</v>
      </c>
      <c r="F2" s="57" t="s">
        <v>39</v>
      </c>
      <c r="G2" s="57" t="s">
        <v>40</v>
      </c>
      <c r="H2" s="57" t="s">
        <v>41</v>
      </c>
      <c r="I2" s="57" t="s">
        <v>42</v>
      </c>
      <c r="J2" s="57" t="s">
        <v>43</v>
      </c>
      <c r="K2" s="57" t="s">
        <v>44</v>
      </c>
      <c r="L2" s="46" t="s">
        <v>45</v>
      </c>
      <c r="M2" s="46" t="s">
        <v>46</v>
      </c>
      <c r="N2" s="48"/>
      <c r="O2" s="49"/>
      <c r="P2" s="49"/>
      <c r="Q2" s="51"/>
      <c r="R2" s="49"/>
      <c r="S2" s="52"/>
      <c r="T2" s="44"/>
      <c r="U2" s="42"/>
    </row>
    <row r="3" spans="1:25" ht="27" customHeight="1">
      <c r="A3" s="56"/>
      <c r="B3" s="60"/>
      <c r="C3" s="60"/>
      <c r="D3" s="62"/>
      <c r="E3" s="63"/>
      <c r="F3" s="57"/>
      <c r="G3" s="57"/>
      <c r="H3" s="57"/>
      <c r="I3" s="57"/>
      <c r="J3" s="57"/>
      <c r="K3" s="58"/>
      <c r="L3" s="46"/>
      <c r="M3" s="46"/>
      <c r="N3" s="48"/>
      <c r="O3" s="50"/>
      <c r="P3" s="51"/>
      <c r="Q3" s="51"/>
      <c r="R3" s="50"/>
      <c r="S3" s="53"/>
      <c r="T3" s="45"/>
      <c r="U3" s="42"/>
      <c r="X3" t="s">
        <v>47</v>
      </c>
    </row>
    <row r="4" spans="1:25" s="17" customFormat="1" ht="19.899999999999999" customHeight="1">
      <c r="A4" s="18">
        <v>44773</v>
      </c>
      <c r="B4" s="35">
        <v>56</v>
      </c>
      <c r="C4" s="36">
        <v>126</v>
      </c>
      <c r="D4" s="34">
        <v>1734355</v>
      </c>
      <c r="E4" s="34">
        <v>1915782</v>
      </c>
      <c r="F4" s="34">
        <v>329602</v>
      </c>
      <c r="G4" s="34">
        <v>7912726</v>
      </c>
      <c r="H4" s="34">
        <v>34609</v>
      </c>
      <c r="I4" s="34">
        <v>6111124</v>
      </c>
      <c r="J4" s="34">
        <v>168777</v>
      </c>
      <c r="K4" s="34">
        <v>2663636</v>
      </c>
      <c r="L4" s="34">
        <v>1405</v>
      </c>
      <c r="M4" s="34">
        <v>2380</v>
      </c>
      <c r="N4" s="34">
        <v>1984476</v>
      </c>
      <c r="O4" s="34">
        <v>402190</v>
      </c>
      <c r="P4" s="34">
        <v>358430</v>
      </c>
      <c r="Q4" s="34">
        <v>62479</v>
      </c>
      <c r="R4" s="34">
        <v>54845</v>
      </c>
      <c r="S4" s="34">
        <v>31552</v>
      </c>
      <c r="T4" s="34">
        <v>4087</v>
      </c>
      <c r="Y4" s="40"/>
    </row>
    <row r="5" spans="1:25">
      <c r="A5" s="18">
        <f>A4+1</f>
        <v>44774</v>
      </c>
      <c r="B5" s="22">
        <v>65</v>
      </c>
      <c r="C5" s="22">
        <v>131</v>
      </c>
      <c r="D5" s="21">
        <v>1739922</v>
      </c>
      <c r="E5" s="21">
        <v>1921213</v>
      </c>
      <c r="F5" s="21">
        <v>330147</v>
      </c>
      <c r="G5" s="21">
        <v>7914376</v>
      </c>
      <c r="H5" s="33">
        <v>34609</v>
      </c>
      <c r="I5" s="33">
        <v>6113777</v>
      </c>
      <c r="J5" s="21">
        <v>170056</v>
      </c>
      <c r="K5" s="21">
        <v>2663912</v>
      </c>
      <c r="L5" s="29">
        <v>892</v>
      </c>
      <c r="M5" s="29">
        <v>1123</v>
      </c>
      <c r="N5" s="21">
        <v>1985689</v>
      </c>
      <c r="O5" s="21">
        <v>402328</v>
      </c>
      <c r="P5" s="21">
        <v>358523</v>
      </c>
      <c r="Q5" s="21">
        <v>62574</v>
      </c>
      <c r="R5" s="21">
        <v>54853</v>
      </c>
      <c r="S5" s="21">
        <v>31555</v>
      </c>
      <c r="T5" s="21">
        <v>4094</v>
      </c>
      <c r="U5">
        <f>SUM(S5-S4)</f>
        <v>3</v>
      </c>
      <c r="V5" s="41" t="s">
        <v>48</v>
      </c>
      <c r="X5">
        <f>N5-N4</f>
        <v>1213</v>
      </c>
    </row>
    <row r="6" spans="1:25">
      <c r="A6" s="18">
        <f t="shared" ref="A6:A33" si="0">A5+1</f>
        <v>44775</v>
      </c>
      <c r="B6" s="22">
        <v>72</v>
      </c>
      <c r="C6" s="22">
        <v>154</v>
      </c>
      <c r="D6" s="21">
        <v>1745718</v>
      </c>
      <c r="E6" s="21">
        <v>1926324</v>
      </c>
      <c r="F6" s="21">
        <v>330659</v>
      </c>
      <c r="G6" s="21">
        <v>7916209</v>
      </c>
      <c r="H6" s="33">
        <v>34609</v>
      </c>
      <c r="I6" s="33">
        <v>6116347</v>
      </c>
      <c r="J6" s="21">
        <v>171317</v>
      </c>
      <c r="K6" s="21">
        <v>2664233</v>
      </c>
      <c r="L6" s="29">
        <v>824</v>
      </c>
      <c r="M6" s="29">
        <v>866</v>
      </c>
      <c r="N6" s="21">
        <v>1986799</v>
      </c>
      <c r="O6" s="21">
        <v>402447</v>
      </c>
      <c r="P6" s="21">
        <v>358599</v>
      </c>
      <c r="Q6" s="21">
        <v>62658</v>
      </c>
      <c r="R6" s="21">
        <v>54860</v>
      </c>
      <c r="S6" s="21">
        <v>31556</v>
      </c>
      <c r="T6" s="21">
        <v>4100</v>
      </c>
      <c r="U6">
        <f t="shared" ref="U6:U35" si="1">SUM(S6-S5)</f>
        <v>1</v>
      </c>
      <c r="V6" t="s">
        <v>49</v>
      </c>
      <c r="W6" s="27"/>
      <c r="X6">
        <f t="shared" ref="X6:X35" si="2">N6-N5</f>
        <v>1110</v>
      </c>
    </row>
    <row r="7" spans="1:25">
      <c r="A7" s="18">
        <f t="shared" si="0"/>
        <v>44776</v>
      </c>
      <c r="B7" s="22">
        <v>64</v>
      </c>
      <c r="C7" s="22">
        <v>164</v>
      </c>
      <c r="D7" s="21">
        <v>1751983</v>
      </c>
      <c r="E7" s="21">
        <v>1931538</v>
      </c>
      <c r="F7" s="21">
        <v>331166</v>
      </c>
      <c r="G7" s="21">
        <v>7918194</v>
      </c>
      <c r="H7" s="33">
        <v>34609</v>
      </c>
      <c r="I7" s="33">
        <v>6118916</v>
      </c>
      <c r="J7" s="21">
        <v>172565</v>
      </c>
      <c r="K7" s="21">
        <v>2664658</v>
      </c>
      <c r="L7" s="29">
        <v>319</v>
      </c>
      <c r="M7" s="29">
        <v>1737</v>
      </c>
      <c r="N7" s="21">
        <v>1987879</v>
      </c>
      <c r="O7" s="21">
        <v>402572</v>
      </c>
      <c r="P7" s="21">
        <v>358692</v>
      </c>
      <c r="Q7" s="21">
        <v>62752</v>
      </c>
      <c r="R7" s="21">
        <v>54868</v>
      </c>
      <c r="S7" s="21">
        <v>31557</v>
      </c>
      <c r="T7" s="21">
        <v>4107</v>
      </c>
      <c r="U7">
        <f t="shared" si="1"/>
        <v>1</v>
      </c>
      <c r="V7" t="s">
        <v>50</v>
      </c>
      <c r="X7">
        <f t="shared" si="2"/>
        <v>1080</v>
      </c>
    </row>
    <row r="8" spans="1:25">
      <c r="A8" s="18">
        <f t="shared" si="0"/>
        <v>44777</v>
      </c>
      <c r="B8" s="22">
        <v>71</v>
      </c>
      <c r="C8" s="22">
        <v>153</v>
      </c>
      <c r="D8" s="21">
        <v>1756525</v>
      </c>
      <c r="E8" s="21">
        <v>1937314</v>
      </c>
      <c r="F8" s="21">
        <v>331813</v>
      </c>
      <c r="G8" s="21">
        <v>7920115</v>
      </c>
      <c r="H8" s="33">
        <v>34609</v>
      </c>
      <c r="I8" s="33">
        <v>6121449</v>
      </c>
      <c r="J8" s="21">
        <v>173801</v>
      </c>
      <c r="K8" s="21">
        <v>2664730</v>
      </c>
      <c r="L8" s="29">
        <v>1573</v>
      </c>
      <c r="M8" s="29">
        <v>2918</v>
      </c>
      <c r="N8" s="21">
        <v>1989242</v>
      </c>
      <c r="O8" s="21">
        <v>402712</v>
      </c>
      <c r="P8" s="21">
        <v>358786</v>
      </c>
      <c r="Q8" s="21">
        <v>62848</v>
      </c>
      <c r="R8" s="21">
        <v>54879</v>
      </c>
      <c r="S8" s="21">
        <v>31565</v>
      </c>
      <c r="T8" s="21">
        <v>4119</v>
      </c>
      <c r="U8">
        <f t="shared" si="1"/>
        <v>8</v>
      </c>
      <c r="V8" s="41" t="s">
        <v>51</v>
      </c>
      <c r="X8">
        <f t="shared" si="2"/>
        <v>1363</v>
      </c>
    </row>
    <row r="9" spans="1:25">
      <c r="A9" s="18">
        <f t="shared" si="0"/>
        <v>44778</v>
      </c>
      <c r="B9" s="22">
        <v>95</v>
      </c>
      <c r="C9" s="22">
        <v>203</v>
      </c>
      <c r="D9" s="21">
        <v>1760210</v>
      </c>
      <c r="E9" s="21">
        <v>1941121</v>
      </c>
      <c r="F9" s="21">
        <v>332074</v>
      </c>
      <c r="G9" s="21">
        <v>7922053</v>
      </c>
      <c r="H9" s="33">
        <v>34609</v>
      </c>
      <c r="I9" s="33">
        <v>6123982</v>
      </c>
      <c r="J9" s="21">
        <v>174997</v>
      </c>
      <c r="K9" s="21">
        <v>2664730</v>
      </c>
      <c r="L9" s="29">
        <v>910</v>
      </c>
      <c r="M9" s="29">
        <v>2923</v>
      </c>
      <c r="N9" s="21">
        <v>1991143</v>
      </c>
      <c r="O9" s="21">
        <v>402854</v>
      </c>
      <c r="P9" s="21">
        <v>358869</v>
      </c>
      <c r="Q9" s="21">
        <v>62942</v>
      </c>
      <c r="R9" s="21">
        <v>54886</v>
      </c>
      <c r="S9" s="21">
        <v>31565</v>
      </c>
      <c r="T9" s="21">
        <v>4124</v>
      </c>
      <c r="U9">
        <f t="shared" si="1"/>
        <v>0</v>
      </c>
      <c r="V9" t="s">
        <v>52</v>
      </c>
      <c r="X9">
        <f t="shared" si="2"/>
        <v>1901</v>
      </c>
    </row>
    <row r="10" spans="1:25">
      <c r="A10" s="18">
        <f t="shared" si="0"/>
        <v>44779</v>
      </c>
      <c r="B10" s="22">
        <v>103</v>
      </c>
      <c r="C10" s="22">
        <v>214</v>
      </c>
      <c r="D10" s="21">
        <v>1763603</v>
      </c>
      <c r="E10" s="21">
        <v>1947073</v>
      </c>
      <c r="F10" s="21">
        <v>332727</v>
      </c>
      <c r="G10" s="21">
        <v>7923426</v>
      </c>
      <c r="H10" s="33">
        <v>34609</v>
      </c>
      <c r="I10" s="33">
        <v>6126659</v>
      </c>
      <c r="J10" s="21">
        <v>176301</v>
      </c>
      <c r="K10" s="21">
        <v>2664730</v>
      </c>
      <c r="L10" s="29">
        <v>40</v>
      </c>
      <c r="M10" s="29">
        <v>2919</v>
      </c>
      <c r="N10" s="21">
        <v>1992659</v>
      </c>
      <c r="O10" s="21">
        <v>402985</v>
      </c>
      <c r="P10" s="21">
        <v>358971</v>
      </c>
      <c r="Q10" s="21">
        <v>63045</v>
      </c>
      <c r="R10" s="21">
        <v>54895</v>
      </c>
      <c r="S10" s="21">
        <v>31566</v>
      </c>
      <c r="T10" s="21">
        <v>4131</v>
      </c>
      <c r="U10">
        <f t="shared" si="1"/>
        <v>1</v>
      </c>
      <c r="V10" t="s">
        <v>53</v>
      </c>
      <c r="X10">
        <f t="shared" si="2"/>
        <v>1516</v>
      </c>
    </row>
    <row r="11" spans="1:25">
      <c r="A11" s="18">
        <f t="shared" si="0"/>
        <v>44780</v>
      </c>
      <c r="B11" s="22">
        <v>83</v>
      </c>
      <c r="C11" s="22">
        <v>157</v>
      </c>
      <c r="D11" s="21">
        <v>1767250</v>
      </c>
      <c r="E11" s="21">
        <v>1953500</v>
      </c>
      <c r="F11" s="21">
        <v>333473</v>
      </c>
      <c r="G11" s="21">
        <v>7925949</v>
      </c>
      <c r="H11" s="33">
        <v>34609</v>
      </c>
      <c r="I11" s="33">
        <v>6129216</v>
      </c>
      <c r="J11" s="21">
        <v>177533</v>
      </c>
      <c r="K11" s="21">
        <v>2664730</v>
      </c>
      <c r="L11" s="29">
        <v>339</v>
      </c>
      <c r="M11" s="29">
        <v>2921</v>
      </c>
      <c r="N11" s="21">
        <v>1994191</v>
      </c>
      <c r="O11" s="21">
        <v>403137</v>
      </c>
      <c r="P11" s="21">
        <v>359089</v>
      </c>
      <c r="Q11" s="21">
        <v>63164</v>
      </c>
      <c r="R11" s="21">
        <v>54903</v>
      </c>
      <c r="S11" s="21">
        <v>31567</v>
      </c>
      <c r="T11" s="21">
        <v>4140</v>
      </c>
      <c r="U11">
        <f t="shared" si="1"/>
        <v>1</v>
      </c>
      <c r="V11" t="s">
        <v>54</v>
      </c>
      <c r="X11">
        <f t="shared" si="2"/>
        <v>1532</v>
      </c>
    </row>
    <row r="12" spans="1:25">
      <c r="A12" s="18">
        <f t="shared" si="0"/>
        <v>44781</v>
      </c>
      <c r="B12" s="22">
        <v>120</v>
      </c>
      <c r="C12" s="22">
        <v>214</v>
      </c>
      <c r="D12" s="21">
        <v>1771092</v>
      </c>
      <c r="E12" s="21">
        <v>1958911</v>
      </c>
      <c r="F12" s="21">
        <v>334132</v>
      </c>
      <c r="G12" s="21">
        <v>7927911</v>
      </c>
      <c r="H12" s="33">
        <v>34609</v>
      </c>
      <c r="I12" s="33">
        <v>6131628</v>
      </c>
      <c r="J12" s="21">
        <v>178681</v>
      </c>
      <c r="K12" s="21">
        <v>2664730</v>
      </c>
      <c r="L12" s="29">
        <v>700</v>
      </c>
      <c r="M12" s="29">
        <v>1740</v>
      </c>
      <c r="N12" s="21">
        <v>1995600</v>
      </c>
      <c r="O12" s="21">
        <v>403266</v>
      </c>
      <c r="P12" s="21">
        <v>359186</v>
      </c>
      <c r="Q12" s="21">
        <v>63263</v>
      </c>
      <c r="R12" s="21">
        <v>54911</v>
      </c>
      <c r="S12" s="21">
        <v>31579</v>
      </c>
      <c r="T12" s="21">
        <v>4146</v>
      </c>
      <c r="U12">
        <f t="shared" si="1"/>
        <v>12</v>
      </c>
      <c r="V12" s="41" t="s">
        <v>48</v>
      </c>
      <c r="X12">
        <f t="shared" si="2"/>
        <v>1409</v>
      </c>
    </row>
    <row r="13" spans="1:25">
      <c r="A13" s="18">
        <f t="shared" si="0"/>
        <v>44782</v>
      </c>
      <c r="B13" s="39">
        <v>115</v>
      </c>
      <c r="C13" s="39">
        <v>207</v>
      </c>
      <c r="D13" s="21">
        <v>1777407</v>
      </c>
      <c r="E13" s="21">
        <v>1964414</v>
      </c>
      <c r="F13" s="21">
        <v>334737</v>
      </c>
      <c r="G13" s="21">
        <v>7929930</v>
      </c>
      <c r="H13" s="33">
        <v>34609</v>
      </c>
      <c r="I13" s="33">
        <v>6134150</v>
      </c>
      <c r="J13" s="21">
        <v>179907</v>
      </c>
      <c r="K13" s="21">
        <v>2665161</v>
      </c>
      <c r="L13" s="29">
        <v>1787</v>
      </c>
      <c r="M13" s="29">
        <v>863</v>
      </c>
      <c r="N13" s="21">
        <v>1996734</v>
      </c>
      <c r="O13" s="21">
        <v>403416</v>
      </c>
      <c r="P13" s="21">
        <v>359296</v>
      </c>
      <c r="Q13" s="21">
        <v>63374</v>
      </c>
      <c r="R13" s="21">
        <v>54917</v>
      </c>
      <c r="S13" s="21">
        <v>31579</v>
      </c>
      <c r="T13" s="21">
        <v>4153</v>
      </c>
      <c r="U13">
        <f t="shared" si="1"/>
        <v>0</v>
      </c>
      <c r="V13" t="s">
        <v>49</v>
      </c>
      <c r="X13">
        <f t="shared" si="2"/>
        <v>1134</v>
      </c>
    </row>
    <row r="14" spans="1:25">
      <c r="A14" s="18">
        <f t="shared" si="0"/>
        <v>44783</v>
      </c>
      <c r="B14" s="22">
        <v>67</v>
      </c>
      <c r="C14" s="22">
        <v>155</v>
      </c>
      <c r="D14" s="21">
        <v>1784115</v>
      </c>
      <c r="E14" s="21">
        <v>1967963</v>
      </c>
      <c r="F14" s="21">
        <v>334811</v>
      </c>
      <c r="G14" s="21">
        <v>7932480</v>
      </c>
      <c r="H14" s="33">
        <v>34609</v>
      </c>
      <c r="I14" s="33">
        <v>6136681</v>
      </c>
      <c r="J14" s="21">
        <v>181102</v>
      </c>
      <c r="K14" s="21">
        <v>2665589</v>
      </c>
      <c r="L14" s="29">
        <v>2425</v>
      </c>
      <c r="M14" s="29">
        <v>695</v>
      </c>
      <c r="N14" s="21">
        <v>1998268</v>
      </c>
      <c r="O14" s="21">
        <v>403576</v>
      </c>
      <c r="P14" s="21">
        <v>359405</v>
      </c>
      <c r="Q14" s="21">
        <v>63483</v>
      </c>
      <c r="R14" s="21">
        <v>54924</v>
      </c>
      <c r="S14" s="21">
        <v>31580</v>
      </c>
      <c r="T14" s="21">
        <v>4159</v>
      </c>
      <c r="U14">
        <f t="shared" si="1"/>
        <v>1</v>
      </c>
      <c r="V14" t="s">
        <v>50</v>
      </c>
      <c r="X14">
        <f t="shared" si="2"/>
        <v>1534</v>
      </c>
    </row>
    <row r="15" spans="1:25">
      <c r="A15" s="18">
        <f t="shared" si="0"/>
        <v>44784</v>
      </c>
      <c r="B15" s="22">
        <v>68</v>
      </c>
      <c r="C15" s="22">
        <v>160</v>
      </c>
      <c r="D15" s="21">
        <v>1790752</v>
      </c>
      <c r="E15" s="21">
        <v>1971881</v>
      </c>
      <c r="F15" s="21">
        <v>334948</v>
      </c>
      <c r="G15" s="21">
        <v>7934595</v>
      </c>
      <c r="H15" s="33">
        <v>34609</v>
      </c>
      <c r="I15" s="33">
        <v>6139138</v>
      </c>
      <c r="J15" s="21">
        <v>182263</v>
      </c>
      <c r="K15" s="21">
        <v>2666049</v>
      </c>
      <c r="L15" s="29">
        <v>1679</v>
      </c>
      <c r="M15" s="29">
        <v>794</v>
      </c>
      <c r="N15" s="21">
        <v>1999560</v>
      </c>
      <c r="O15" s="21">
        <v>403709</v>
      </c>
      <c r="P15" s="21">
        <v>359505</v>
      </c>
      <c r="Q15" s="21">
        <v>63584</v>
      </c>
      <c r="R15" s="21">
        <v>54934</v>
      </c>
      <c r="S15" s="21">
        <v>31581</v>
      </c>
      <c r="T15" s="21">
        <v>4165</v>
      </c>
      <c r="U15">
        <f t="shared" si="1"/>
        <v>1</v>
      </c>
      <c r="V15" s="41" t="s">
        <v>51</v>
      </c>
      <c r="X15">
        <f t="shared" si="2"/>
        <v>1292</v>
      </c>
    </row>
    <row r="16" spans="1:25">
      <c r="A16" s="18">
        <f t="shared" si="0"/>
        <v>44785</v>
      </c>
      <c r="B16" s="22">
        <v>117</v>
      </c>
      <c r="C16" s="22">
        <v>246</v>
      </c>
      <c r="D16" s="21">
        <v>1796659</v>
      </c>
      <c r="E16" s="21">
        <v>1976103</v>
      </c>
      <c r="F16" s="21">
        <v>335126</v>
      </c>
      <c r="G16" s="21">
        <v>7936676</v>
      </c>
      <c r="H16" s="33">
        <v>34609</v>
      </c>
      <c r="I16" s="33">
        <v>6141756</v>
      </c>
      <c r="J16" s="21">
        <v>183517</v>
      </c>
      <c r="K16" s="21">
        <v>2666367</v>
      </c>
      <c r="L16" s="29">
        <v>2084</v>
      </c>
      <c r="M16" s="29">
        <v>1249</v>
      </c>
      <c r="N16" s="21">
        <v>2001010</v>
      </c>
      <c r="O16" s="21">
        <v>403847</v>
      </c>
      <c r="P16" s="21">
        <v>359602</v>
      </c>
      <c r="Q16" s="21">
        <v>63683</v>
      </c>
      <c r="R16" s="21">
        <v>54940</v>
      </c>
      <c r="S16" s="21">
        <v>31581</v>
      </c>
      <c r="T16" s="21">
        <v>4170</v>
      </c>
      <c r="U16">
        <f t="shared" si="1"/>
        <v>0</v>
      </c>
      <c r="V16" t="s">
        <v>52</v>
      </c>
      <c r="X16">
        <f t="shared" si="2"/>
        <v>1450</v>
      </c>
    </row>
    <row r="17" spans="1:24">
      <c r="A17" s="18">
        <f t="shared" si="0"/>
        <v>44786</v>
      </c>
      <c r="B17" s="22">
        <v>117</v>
      </c>
      <c r="C17" s="22">
        <v>217</v>
      </c>
      <c r="D17" s="21">
        <v>1803957</v>
      </c>
      <c r="E17" s="21">
        <v>1980189</v>
      </c>
      <c r="F17" s="21">
        <v>335286</v>
      </c>
      <c r="G17" s="21">
        <v>7938672</v>
      </c>
      <c r="H17" s="33">
        <v>34609</v>
      </c>
      <c r="I17" s="33">
        <v>6144456</v>
      </c>
      <c r="J17" s="21">
        <v>184822</v>
      </c>
      <c r="K17" s="21">
        <v>2666960</v>
      </c>
      <c r="L17" s="29">
        <v>2288</v>
      </c>
      <c r="M17" s="29">
        <v>0</v>
      </c>
      <c r="N17" s="21">
        <v>2002200</v>
      </c>
      <c r="O17" s="21">
        <v>403996</v>
      </c>
      <c r="P17" s="21">
        <v>359702</v>
      </c>
      <c r="Q17" s="21">
        <v>63787</v>
      </c>
      <c r="R17" s="21">
        <v>54948</v>
      </c>
      <c r="S17" s="21">
        <v>31582</v>
      </c>
      <c r="T17" s="21">
        <v>4177</v>
      </c>
      <c r="U17">
        <f t="shared" si="1"/>
        <v>1</v>
      </c>
      <c r="V17" t="s">
        <v>53</v>
      </c>
      <c r="X17">
        <f t="shared" si="2"/>
        <v>1190</v>
      </c>
    </row>
    <row r="18" spans="1:24">
      <c r="A18" s="18">
        <f t="shared" si="0"/>
        <v>44787</v>
      </c>
      <c r="B18" s="22">
        <v>121</v>
      </c>
      <c r="C18" s="22">
        <v>176</v>
      </c>
      <c r="D18" s="21">
        <v>1811466</v>
      </c>
      <c r="E18" s="21">
        <v>1984154</v>
      </c>
      <c r="F18" s="21">
        <v>335380</v>
      </c>
      <c r="G18" s="21">
        <v>7940752</v>
      </c>
      <c r="H18" s="33">
        <v>34609</v>
      </c>
      <c r="I18" s="33">
        <v>6147196</v>
      </c>
      <c r="J18" s="21">
        <v>186140</v>
      </c>
      <c r="K18" s="21">
        <v>2667644</v>
      </c>
      <c r="L18" s="28">
        <v>2326</v>
      </c>
      <c r="M18" s="28">
        <v>0</v>
      </c>
      <c r="N18" s="21">
        <v>2003454</v>
      </c>
      <c r="O18" s="21">
        <v>404120</v>
      </c>
      <c r="P18" s="21">
        <v>359811</v>
      </c>
      <c r="Q18" s="21">
        <v>63897</v>
      </c>
      <c r="R18" s="21">
        <v>54956</v>
      </c>
      <c r="S18" s="21">
        <v>31583</v>
      </c>
      <c r="T18" s="21">
        <v>4185</v>
      </c>
      <c r="U18">
        <f t="shared" si="1"/>
        <v>1</v>
      </c>
      <c r="V18" t="s">
        <v>54</v>
      </c>
      <c r="X18">
        <f t="shared" si="2"/>
        <v>1254</v>
      </c>
    </row>
    <row r="19" spans="1:24">
      <c r="A19" s="18">
        <f t="shared" si="0"/>
        <v>44788</v>
      </c>
      <c r="B19" s="22">
        <v>108</v>
      </c>
      <c r="C19" s="22">
        <v>187</v>
      </c>
      <c r="D19" s="21">
        <v>1818953</v>
      </c>
      <c r="E19" s="21">
        <v>1987967</v>
      </c>
      <c r="F19" s="21">
        <v>335466</v>
      </c>
      <c r="G19" s="21">
        <v>7942760</v>
      </c>
      <c r="H19" s="33">
        <v>34609</v>
      </c>
      <c r="I19" s="33">
        <v>6149730</v>
      </c>
      <c r="J19" s="21">
        <v>187347</v>
      </c>
      <c r="K19" s="21">
        <v>2668291</v>
      </c>
      <c r="L19" s="29">
        <v>1688</v>
      </c>
      <c r="M19" s="29">
        <v>0</v>
      </c>
      <c r="N19" s="21">
        <v>2004721</v>
      </c>
      <c r="O19" s="21">
        <v>404268</v>
      </c>
      <c r="P19" s="21">
        <v>359918</v>
      </c>
      <c r="Q19" s="21">
        <v>64006</v>
      </c>
      <c r="R19" s="21">
        <v>54965</v>
      </c>
      <c r="S19" s="21">
        <v>31596</v>
      </c>
      <c r="T19" s="21">
        <v>4193</v>
      </c>
      <c r="U19">
        <f t="shared" si="1"/>
        <v>13</v>
      </c>
      <c r="V19" s="41" t="s">
        <v>48</v>
      </c>
      <c r="X19">
        <f t="shared" si="2"/>
        <v>1267</v>
      </c>
    </row>
    <row r="20" spans="1:24">
      <c r="A20" s="18">
        <f t="shared" si="0"/>
        <v>44789</v>
      </c>
      <c r="B20" s="22">
        <v>113</v>
      </c>
      <c r="C20" s="22">
        <v>191</v>
      </c>
      <c r="D20" s="21">
        <v>1826642</v>
      </c>
      <c r="E20" s="21">
        <v>1993168</v>
      </c>
      <c r="F20" s="21">
        <v>335955</v>
      </c>
      <c r="G20" s="21">
        <v>7944918</v>
      </c>
      <c r="H20" s="33">
        <v>34609</v>
      </c>
      <c r="I20" s="33">
        <v>6152427</v>
      </c>
      <c r="J20" s="21">
        <v>188623</v>
      </c>
      <c r="K20" s="21">
        <v>2668957</v>
      </c>
      <c r="L20" s="29">
        <v>2020</v>
      </c>
      <c r="M20" s="29">
        <v>0</v>
      </c>
      <c r="N20" s="21">
        <v>2005670</v>
      </c>
      <c r="O20" s="21">
        <v>404447</v>
      </c>
      <c r="P20" s="21">
        <v>360028</v>
      </c>
      <c r="Q20" s="21">
        <v>64116</v>
      </c>
      <c r="R20" s="21">
        <v>54974</v>
      </c>
      <c r="S20" s="21">
        <v>31596</v>
      </c>
      <c r="T20" s="21">
        <v>4198</v>
      </c>
      <c r="U20">
        <f t="shared" si="1"/>
        <v>0</v>
      </c>
      <c r="V20" t="s">
        <v>49</v>
      </c>
      <c r="X20">
        <f t="shared" si="2"/>
        <v>949</v>
      </c>
    </row>
    <row r="21" spans="1:24">
      <c r="A21" s="18">
        <f t="shared" si="0"/>
        <v>44790</v>
      </c>
      <c r="B21" s="22">
        <v>84</v>
      </c>
      <c r="C21" s="22">
        <v>148</v>
      </c>
      <c r="D21" s="21">
        <v>1833672</v>
      </c>
      <c r="E21" s="21">
        <v>1996204</v>
      </c>
      <c r="F21" s="21">
        <v>336042</v>
      </c>
      <c r="G21" s="21">
        <v>7947008</v>
      </c>
      <c r="H21" s="33">
        <v>34609</v>
      </c>
      <c r="I21" s="33">
        <v>6154710</v>
      </c>
      <c r="J21" s="21">
        <v>189701</v>
      </c>
      <c r="K21" s="21">
        <v>2669601</v>
      </c>
      <c r="L21" s="29">
        <v>3490</v>
      </c>
      <c r="M21" s="29">
        <v>0</v>
      </c>
      <c r="N21" s="21">
        <v>2007186</v>
      </c>
      <c r="O21" s="21">
        <v>404622</v>
      </c>
      <c r="P21" s="21">
        <v>360133</v>
      </c>
      <c r="Q21" s="21">
        <v>64224</v>
      </c>
      <c r="R21" s="21">
        <v>54981</v>
      </c>
      <c r="S21" s="21">
        <v>31596</v>
      </c>
      <c r="T21" s="21">
        <v>4202</v>
      </c>
      <c r="U21">
        <f t="shared" si="1"/>
        <v>0</v>
      </c>
      <c r="V21" t="s">
        <v>50</v>
      </c>
      <c r="X21">
        <f t="shared" si="2"/>
        <v>1516</v>
      </c>
    </row>
    <row r="22" spans="1:24">
      <c r="A22" s="18">
        <f t="shared" si="0"/>
        <v>44791</v>
      </c>
      <c r="B22" s="22">
        <v>84</v>
      </c>
      <c r="C22" s="22">
        <v>148</v>
      </c>
      <c r="D22" s="21">
        <v>1840143</v>
      </c>
      <c r="E22" s="21">
        <v>1998993</v>
      </c>
      <c r="F22" s="21">
        <v>336044</v>
      </c>
      <c r="G22" s="21">
        <v>7948911</v>
      </c>
      <c r="H22" s="33">
        <v>34609</v>
      </c>
      <c r="I22" s="33">
        <v>6157403</v>
      </c>
      <c r="J22" s="21">
        <v>191009</v>
      </c>
      <c r="K22" s="21">
        <v>2670245</v>
      </c>
      <c r="L22" s="29">
        <v>3015</v>
      </c>
      <c r="M22" s="29">
        <v>0</v>
      </c>
      <c r="N22" s="21">
        <v>2008807</v>
      </c>
      <c r="O22" s="21">
        <v>404771</v>
      </c>
      <c r="P22" s="21">
        <v>360237</v>
      </c>
      <c r="Q22" s="21">
        <v>64327</v>
      </c>
      <c r="R22" s="21">
        <v>54991</v>
      </c>
      <c r="S22" s="21">
        <v>31596</v>
      </c>
      <c r="T22" s="21">
        <v>4207</v>
      </c>
      <c r="U22">
        <f t="shared" si="1"/>
        <v>0</v>
      </c>
      <c r="V22" s="41" t="s">
        <v>51</v>
      </c>
      <c r="X22">
        <f t="shared" si="2"/>
        <v>1621</v>
      </c>
    </row>
    <row r="23" spans="1:24">
      <c r="A23" s="18">
        <f t="shared" si="0"/>
        <v>44792</v>
      </c>
      <c r="B23" s="22">
        <v>92</v>
      </c>
      <c r="C23" s="22">
        <v>191</v>
      </c>
      <c r="D23" s="21">
        <v>1848033</v>
      </c>
      <c r="E23" s="21">
        <v>2000979</v>
      </c>
      <c r="F23" s="21">
        <v>336141</v>
      </c>
      <c r="G23" s="21">
        <v>7950721</v>
      </c>
      <c r="H23" s="33">
        <v>34609</v>
      </c>
      <c r="I23" s="33">
        <v>6159905</v>
      </c>
      <c r="J23" s="21">
        <v>192112</v>
      </c>
      <c r="K23" s="21">
        <v>2670942</v>
      </c>
      <c r="L23" s="29">
        <v>1343</v>
      </c>
      <c r="M23" s="29">
        <v>0</v>
      </c>
      <c r="N23" s="21">
        <v>2010274</v>
      </c>
      <c r="O23" s="21">
        <v>404898</v>
      </c>
      <c r="P23" s="21">
        <v>360334</v>
      </c>
      <c r="Q23" s="21">
        <v>64427</v>
      </c>
      <c r="R23" s="21">
        <v>54998</v>
      </c>
      <c r="S23" s="21">
        <v>31597</v>
      </c>
      <c r="T23" s="21">
        <v>4212</v>
      </c>
      <c r="U23">
        <f t="shared" si="1"/>
        <v>1</v>
      </c>
      <c r="V23" t="s">
        <v>52</v>
      </c>
      <c r="X23">
        <f t="shared" si="2"/>
        <v>1467</v>
      </c>
    </row>
    <row r="24" spans="1:24">
      <c r="A24" s="18">
        <f t="shared" si="0"/>
        <v>44793</v>
      </c>
      <c r="B24" s="22">
        <v>110</v>
      </c>
      <c r="C24" s="22">
        <v>228</v>
      </c>
      <c r="D24" s="21">
        <v>1855312</v>
      </c>
      <c r="E24" s="21">
        <v>2005658</v>
      </c>
      <c r="F24" s="21">
        <v>336735</v>
      </c>
      <c r="G24" s="21">
        <v>7952687</v>
      </c>
      <c r="H24" s="33">
        <v>34609</v>
      </c>
      <c r="I24" s="33">
        <v>6162552</v>
      </c>
      <c r="J24" s="21">
        <v>193329</v>
      </c>
      <c r="K24" s="21">
        <v>2671567</v>
      </c>
      <c r="L24" s="29">
        <v>1980</v>
      </c>
      <c r="M24" s="29">
        <v>0</v>
      </c>
      <c r="N24" s="21">
        <v>2011014</v>
      </c>
      <c r="O24" s="21">
        <v>405088</v>
      </c>
      <c r="P24" s="21">
        <v>360463</v>
      </c>
      <c r="Q24" s="21">
        <v>64556</v>
      </c>
      <c r="R24" s="21">
        <v>55006</v>
      </c>
      <c r="S24" s="21">
        <v>31598</v>
      </c>
      <c r="T24" s="21">
        <v>4221</v>
      </c>
      <c r="U24">
        <f t="shared" si="1"/>
        <v>1</v>
      </c>
      <c r="V24" t="s">
        <v>53</v>
      </c>
      <c r="X24">
        <f t="shared" si="2"/>
        <v>740</v>
      </c>
    </row>
    <row r="25" spans="1:24">
      <c r="A25" s="18">
        <f t="shared" si="0"/>
        <v>44794</v>
      </c>
      <c r="B25" s="22">
        <v>58</v>
      </c>
      <c r="C25" s="22">
        <v>132</v>
      </c>
      <c r="D25" s="21">
        <v>1862820</v>
      </c>
      <c r="E25" s="21">
        <v>2007735</v>
      </c>
      <c r="F25" s="21">
        <v>336803</v>
      </c>
      <c r="G25" s="21">
        <v>7954516</v>
      </c>
      <c r="H25" s="33">
        <v>34609</v>
      </c>
      <c r="I25" s="33">
        <v>6165248</v>
      </c>
      <c r="J25" s="21">
        <v>194606</v>
      </c>
      <c r="K25" s="21">
        <v>2672194</v>
      </c>
      <c r="L25" s="32">
        <v>3510</v>
      </c>
      <c r="M25" s="30">
        <v>0</v>
      </c>
      <c r="N25" s="21">
        <v>2012640</v>
      </c>
      <c r="O25" s="21">
        <v>405245</v>
      </c>
      <c r="P25" s="21">
        <v>360573</v>
      </c>
      <c r="Q25" s="21">
        <v>64667</v>
      </c>
      <c r="R25" s="21">
        <v>55013</v>
      </c>
      <c r="S25" s="21">
        <v>31599</v>
      </c>
      <c r="T25" s="21">
        <v>4229</v>
      </c>
      <c r="U25">
        <f t="shared" si="1"/>
        <v>1</v>
      </c>
      <c r="V25" t="s">
        <v>54</v>
      </c>
      <c r="X25">
        <f t="shared" si="2"/>
        <v>1626</v>
      </c>
    </row>
    <row r="26" spans="1:24">
      <c r="A26" s="18">
        <f t="shared" si="0"/>
        <v>44795</v>
      </c>
      <c r="B26" s="22">
        <v>82</v>
      </c>
      <c r="C26" s="37">
        <v>182</v>
      </c>
      <c r="D26" s="25">
        <v>1869797</v>
      </c>
      <c r="E26" s="25">
        <v>2009223</v>
      </c>
      <c r="F26" s="25">
        <v>336803</v>
      </c>
      <c r="G26" s="25">
        <v>7956252</v>
      </c>
      <c r="H26" s="26">
        <v>34609</v>
      </c>
      <c r="I26" s="26">
        <v>6167840</v>
      </c>
      <c r="J26" s="26">
        <v>195773</v>
      </c>
      <c r="K26" s="25">
        <v>2672826</v>
      </c>
      <c r="L26" s="30">
        <v>3524</v>
      </c>
      <c r="M26" s="30">
        <v>0</v>
      </c>
      <c r="N26" s="25">
        <v>2014241</v>
      </c>
      <c r="O26" s="25">
        <v>405398</v>
      </c>
      <c r="P26" s="25">
        <v>360679</v>
      </c>
      <c r="Q26" s="25">
        <v>64774</v>
      </c>
      <c r="R26" s="25">
        <v>55022</v>
      </c>
      <c r="S26" s="25">
        <v>31605</v>
      </c>
      <c r="T26" s="25">
        <v>4237</v>
      </c>
      <c r="U26">
        <f t="shared" si="1"/>
        <v>6</v>
      </c>
      <c r="V26" s="41" t="s">
        <v>48</v>
      </c>
      <c r="X26">
        <f t="shared" si="2"/>
        <v>1601</v>
      </c>
    </row>
    <row r="27" spans="1:24">
      <c r="A27" s="18">
        <f t="shared" si="0"/>
        <v>44796</v>
      </c>
      <c r="B27" s="22">
        <v>67</v>
      </c>
      <c r="C27" s="37">
        <v>161</v>
      </c>
      <c r="D27" s="25">
        <v>1877019</v>
      </c>
      <c r="E27" s="25">
        <v>2010751</v>
      </c>
      <c r="F27" s="25">
        <v>336803</v>
      </c>
      <c r="G27" s="25">
        <v>7958025</v>
      </c>
      <c r="H27" s="26">
        <v>34609</v>
      </c>
      <c r="I27" s="26">
        <v>6170503</v>
      </c>
      <c r="J27" s="26">
        <v>196954</v>
      </c>
      <c r="K27" s="25">
        <v>2673481</v>
      </c>
      <c r="L27" s="30">
        <v>2750</v>
      </c>
      <c r="M27" s="30">
        <v>0</v>
      </c>
      <c r="N27" s="25">
        <v>2015916</v>
      </c>
      <c r="O27" s="26">
        <v>405550</v>
      </c>
      <c r="P27" s="25">
        <v>360793</v>
      </c>
      <c r="Q27" s="25">
        <v>64890</v>
      </c>
      <c r="R27" s="25">
        <v>55032</v>
      </c>
      <c r="S27" s="25">
        <v>31606</v>
      </c>
      <c r="T27" s="25">
        <v>4242</v>
      </c>
      <c r="U27">
        <f t="shared" si="1"/>
        <v>1</v>
      </c>
      <c r="V27" t="s">
        <v>49</v>
      </c>
      <c r="X27">
        <f t="shared" si="2"/>
        <v>1675</v>
      </c>
    </row>
    <row r="28" spans="1:24">
      <c r="A28" s="18">
        <f t="shared" si="0"/>
        <v>44797</v>
      </c>
      <c r="B28" s="22">
        <v>57</v>
      </c>
      <c r="C28" s="37">
        <v>142</v>
      </c>
      <c r="D28" s="25">
        <v>1884948</v>
      </c>
      <c r="E28" s="25">
        <v>2013037</v>
      </c>
      <c r="F28" s="25">
        <v>336932</v>
      </c>
      <c r="G28" s="25">
        <v>7959829</v>
      </c>
      <c r="H28" s="26">
        <v>34609</v>
      </c>
      <c r="I28" s="26">
        <v>6173102</v>
      </c>
      <c r="J28" s="26">
        <v>198166</v>
      </c>
      <c r="K28" s="25">
        <v>2674121</v>
      </c>
      <c r="L28" s="30">
        <v>3448</v>
      </c>
      <c r="M28" s="30">
        <v>0</v>
      </c>
      <c r="N28" s="25">
        <v>2017318</v>
      </c>
      <c r="O28" s="26">
        <v>405697</v>
      </c>
      <c r="P28" s="25">
        <v>360897</v>
      </c>
      <c r="Q28" s="25">
        <v>64994</v>
      </c>
      <c r="R28" s="25">
        <v>55039</v>
      </c>
      <c r="S28" s="25">
        <v>31606</v>
      </c>
      <c r="T28" s="25">
        <v>4247</v>
      </c>
      <c r="U28">
        <f t="shared" si="1"/>
        <v>0</v>
      </c>
      <c r="V28" t="s">
        <v>50</v>
      </c>
      <c r="X28">
        <f t="shared" si="2"/>
        <v>1402</v>
      </c>
    </row>
    <row r="29" spans="1:24">
      <c r="A29" s="18">
        <f t="shared" si="0"/>
        <v>44798</v>
      </c>
      <c r="B29" s="22">
        <v>55</v>
      </c>
      <c r="C29" s="37">
        <v>145</v>
      </c>
      <c r="D29" s="25">
        <v>1893048</v>
      </c>
      <c r="E29" s="25">
        <v>2014553</v>
      </c>
      <c r="F29" s="25">
        <v>336932</v>
      </c>
      <c r="G29" s="25">
        <v>7961775</v>
      </c>
      <c r="H29" s="26">
        <v>34609</v>
      </c>
      <c r="I29" s="26">
        <v>6175911</v>
      </c>
      <c r="J29" s="26">
        <v>199447</v>
      </c>
      <c r="K29" s="25">
        <v>2674791</v>
      </c>
      <c r="L29" s="30">
        <v>3514</v>
      </c>
      <c r="M29" s="30">
        <v>0</v>
      </c>
      <c r="N29" s="25">
        <v>2018553</v>
      </c>
      <c r="O29" s="26">
        <v>405846</v>
      </c>
      <c r="P29" s="25">
        <v>361065</v>
      </c>
      <c r="Q29" s="25">
        <v>65104</v>
      </c>
      <c r="R29" s="25">
        <v>55046</v>
      </c>
      <c r="S29" s="25">
        <v>31607</v>
      </c>
      <c r="T29" s="25">
        <v>4255</v>
      </c>
      <c r="U29">
        <f t="shared" si="1"/>
        <v>1</v>
      </c>
      <c r="V29" s="41" t="s">
        <v>51</v>
      </c>
      <c r="X29">
        <f t="shared" si="2"/>
        <v>1235</v>
      </c>
    </row>
    <row r="30" spans="1:24">
      <c r="A30" s="18">
        <f t="shared" si="0"/>
        <v>44799</v>
      </c>
      <c r="B30" s="22">
        <v>79</v>
      </c>
      <c r="C30" s="37">
        <v>175</v>
      </c>
      <c r="D30" s="25">
        <v>1899453</v>
      </c>
      <c r="E30" s="25">
        <v>2016005</v>
      </c>
      <c r="F30" s="25">
        <v>336932</v>
      </c>
      <c r="G30" s="25">
        <v>7963524</v>
      </c>
      <c r="H30" s="26">
        <v>34609</v>
      </c>
      <c r="I30" s="26">
        <v>6178479</v>
      </c>
      <c r="J30" s="25">
        <v>200640</v>
      </c>
      <c r="K30" s="25">
        <v>2675396</v>
      </c>
      <c r="L30" s="30">
        <v>3521</v>
      </c>
      <c r="M30" s="30">
        <v>0</v>
      </c>
      <c r="N30" s="25">
        <v>2020536</v>
      </c>
      <c r="O30" s="25">
        <v>405992</v>
      </c>
      <c r="P30" s="25">
        <v>361101</v>
      </c>
      <c r="Q30" s="25">
        <v>65201</v>
      </c>
      <c r="R30" s="25">
        <v>55053</v>
      </c>
      <c r="S30" s="25">
        <v>31611</v>
      </c>
      <c r="T30" s="25">
        <v>4260</v>
      </c>
      <c r="U30">
        <f t="shared" si="1"/>
        <v>4</v>
      </c>
      <c r="V30" t="s">
        <v>52</v>
      </c>
      <c r="X30">
        <f t="shared" si="2"/>
        <v>1983</v>
      </c>
    </row>
    <row r="31" spans="1:24">
      <c r="A31" s="18">
        <f t="shared" si="0"/>
        <v>44800</v>
      </c>
      <c r="B31" s="22">
        <v>105</v>
      </c>
      <c r="C31" s="37">
        <v>223</v>
      </c>
      <c r="D31" s="25">
        <v>1906679</v>
      </c>
      <c r="E31" s="25">
        <v>2017452</v>
      </c>
      <c r="F31" s="25">
        <v>336932</v>
      </c>
      <c r="G31" s="25">
        <v>7965719</v>
      </c>
      <c r="H31" s="26">
        <v>34609</v>
      </c>
      <c r="I31" s="26">
        <v>6181130</v>
      </c>
      <c r="J31" s="25">
        <v>201842</v>
      </c>
      <c r="K31" s="25">
        <v>2676020</v>
      </c>
      <c r="L31" s="30">
        <v>3510</v>
      </c>
      <c r="M31" s="30">
        <v>0</v>
      </c>
      <c r="N31" s="25">
        <v>2022205</v>
      </c>
      <c r="O31" s="25">
        <v>406143</v>
      </c>
      <c r="P31" s="25">
        <v>361203</v>
      </c>
      <c r="Q31" s="25">
        <v>65306</v>
      </c>
      <c r="R31" s="25">
        <v>55061</v>
      </c>
      <c r="S31" s="25">
        <v>31611</v>
      </c>
      <c r="T31" s="25">
        <v>4265</v>
      </c>
      <c r="U31">
        <f t="shared" si="1"/>
        <v>0</v>
      </c>
      <c r="V31" t="s">
        <v>53</v>
      </c>
      <c r="X31">
        <f t="shared" si="2"/>
        <v>1669</v>
      </c>
    </row>
    <row r="32" spans="1:24">
      <c r="A32" s="18">
        <f t="shared" si="0"/>
        <v>44801</v>
      </c>
      <c r="B32" s="22">
        <v>98</v>
      </c>
      <c r="C32" s="37">
        <v>235</v>
      </c>
      <c r="D32" s="25">
        <v>1914035</v>
      </c>
      <c r="E32" s="25">
        <v>2019079</v>
      </c>
      <c r="F32" s="25">
        <v>336932</v>
      </c>
      <c r="G32" s="25">
        <v>7967835</v>
      </c>
      <c r="H32" s="26">
        <v>34705</v>
      </c>
      <c r="I32" s="26">
        <v>6183798</v>
      </c>
      <c r="J32" s="25">
        <v>203069</v>
      </c>
      <c r="K32" s="25">
        <v>2676612</v>
      </c>
      <c r="L32" s="30">
        <v>3521</v>
      </c>
      <c r="M32" s="30">
        <v>0</v>
      </c>
      <c r="N32" s="25">
        <v>2023817</v>
      </c>
      <c r="O32" s="25">
        <v>406304</v>
      </c>
      <c r="P32" s="25">
        <v>361315</v>
      </c>
      <c r="Q32" s="25">
        <v>65418</v>
      </c>
      <c r="R32" s="25">
        <v>55069</v>
      </c>
      <c r="S32" s="25">
        <v>31612</v>
      </c>
      <c r="T32" s="25">
        <v>4272</v>
      </c>
      <c r="U32">
        <f t="shared" si="1"/>
        <v>1</v>
      </c>
      <c r="V32" t="s">
        <v>54</v>
      </c>
      <c r="X32">
        <f t="shared" si="2"/>
        <v>1612</v>
      </c>
    </row>
    <row r="33" spans="1:24">
      <c r="A33" s="18">
        <f t="shared" si="0"/>
        <v>44802</v>
      </c>
      <c r="B33" s="22">
        <v>57</v>
      </c>
      <c r="C33" s="37">
        <v>127</v>
      </c>
      <c r="D33" s="24">
        <v>1921060</v>
      </c>
      <c r="E33" s="25">
        <v>2020599</v>
      </c>
      <c r="F33" s="25">
        <v>336932</v>
      </c>
      <c r="G33" s="25">
        <v>7969696</v>
      </c>
      <c r="H33" s="25">
        <v>34705</v>
      </c>
      <c r="I33" s="25">
        <v>6186531</v>
      </c>
      <c r="J33" s="25">
        <v>204313</v>
      </c>
      <c r="K33" s="25">
        <v>2677231</v>
      </c>
      <c r="L33" s="31">
        <v>1620</v>
      </c>
      <c r="M33" s="31">
        <v>0</v>
      </c>
      <c r="N33" s="25">
        <v>2025422</v>
      </c>
      <c r="O33" s="25">
        <v>406475</v>
      </c>
      <c r="P33" s="25">
        <v>361427</v>
      </c>
      <c r="Q33" s="25">
        <v>65530</v>
      </c>
      <c r="R33" s="25">
        <v>55077</v>
      </c>
      <c r="S33" s="25">
        <v>31622</v>
      </c>
      <c r="T33" s="25">
        <v>4282</v>
      </c>
      <c r="U33">
        <f t="shared" si="1"/>
        <v>10</v>
      </c>
      <c r="V33" s="41" t="s">
        <v>48</v>
      </c>
      <c r="X33">
        <f t="shared" si="2"/>
        <v>1605</v>
      </c>
    </row>
    <row r="34" spans="1:24">
      <c r="A34" s="18">
        <f>A33+1</f>
        <v>44803</v>
      </c>
      <c r="B34" s="22">
        <v>45</v>
      </c>
      <c r="C34" s="37">
        <v>97</v>
      </c>
      <c r="D34" s="24">
        <v>1927941</v>
      </c>
      <c r="E34" s="25">
        <v>2025049</v>
      </c>
      <c r="F34" s="25">
        <v>337509</v>
      </c>
      <c r="G34" s="25">
        <v>7971424</v>
      </c>
      <c r="H34" s="25">
        <v>34705</v>
      </c>
      <c r="I34" s="25">
        <v>6189025</v>
      </c>
      <c r="J34" s="25">
        <v>205441</v>
      </c>
      <c r="K34" s="25">
        <v>2677863</v>
      </c>
      <c r="L34" s="31">
        <v>922</v>
      </c>
      <c r="M34" s="31">
        <v>0</v>
      </c>
      <c r="N34" s="25">
        <v>2026319</v>
      </c>
      <c r="O34" s="25">
        <v>406640</v>
      </c>
      <c r="P34" s="25">
        <v>361539</v>
      </c>
      <c r="Q34" s="25">
        <v>65644</v>
      </c>
      <c r="R34" s="25">
        <v>55086</v>
      </c>
      <c r="S34" s="25">
        <v>31623</v>
      </c>
      <c r="T34" s="25">
        <v>4289</v>
      </c>
      <c r="U34">
        <f t="shared" si="1"/>
        <v>1</v>
      </c>
      <c r="V34" t="s">
        <v>49</v>
      </c>
      <c r="X34">
        <f t="shared" si="2"/>
        <v>897</v>
      </c>
    </row>
    <row r="35" spans="1:24">
      <c r="A35" s="18">
        <f>A34+1</f>
        <v>44804</v>
      </c>
      <c r="B35" s="22">
        <v>42</v>
      </c>
      <c r="C35" s="37">
        <v>91</v>
      </c>
      <c r="D35" s="24">
        <v>1935110</v>
      </c>
      <c r="E35" s="25">
        <v>2028914</v>
      </c>
      <c r="F35" s="25">
        <v>337998</v>
      </c>
      <c r="G35" s="25">
        <v>7973422</v>
      </c>
      <c r="H35" s="25">
        <v>34705</v>
      </c>
      <c r="I35" s="25">
        <v>6191531</v>
      </c>
      <c r="J35" s="25">
        <v>206468</v>
      </c>
      <c r="K35" s="25">
        <v>2678499</v>
      </c>
      <c r="L35" s="31">
        <v>951</v>
      </c>
      <c r="M35" s="31">
        <v>0</v>
      </c>
      <c r="N35" s="25">
        <v>2027352</v>
      </c>
      <c r="O35" s="25">
        <v>406781</v>
      </c>
      <c r="P35" s="25">
        <v>361642</v>
      </c>
      <c r="Q35" s="25">
        <v>65749</v>
      </c>
      <c r="R35" s="25">
        <v>55095</v>
      </c>
      <c r="S35" s="25">
        <v>31623</v>
      </c>
      <c r="T35" s="25">
        <v>4295</v>
      </c>
      <c r="U35">
        <f t="shared" si="1"/>
        <v>0</v>
      </c>
      <c r="V35" t="s">
        <v>50</v>
      </c>
      <c r="X35">
        <f t="shared" si="2"/>
        <v>1033</v>
      </c>
    </row>
    <row r="36" spans="1:24">
      <c r="B36" s="38"/>
      <c r="C36" s="38"/>
    </row>
    <row r="37" spans="1:24">
      <c r="B37" s="1"/>
      <c r="C37" s="1"/>
    </row>
    <row r="38" spans="1:24">
      <c r="B38"/>
      <c r="C38"/>
    </row>
    <row r="39" spans="1:24">
      <c r="B39"/>
      <c r="C39"/>
    </row>
    <row r="40" spans="1:24">
      <c r="B40"/>
      <c r="C40"/>
    </row>
    <row r="41" spans="1:24">
      <c r="B41"/>
      <c r="C41"/>
    </row>
    <row r="42" spans="1:24">
      <c r="B42"/>
      <c r="C42"/>
    </row>
    <row r="43" spans="1:24">
      <c r="B43"/>
      <c r="C43"/>
    </row>
    <row r="44" spans="1:24">
      <c r="B44"/>
      <c r="C44"/>
    </row>
    <row r="45" spans="1:24">
      <c r="B45"/>
      <c r="C45"/>
    </row>
    <row r="46" spans="1:24">
      <c r="B46"/>
      <c r="C46"/>
    </row>
    <row r="47" spans="1:24">
      <c r="B47"/>
      <c r="C47"/>
    </row>
    <row r="48" spans="1:24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</sheetData>
  <mergeCells count="21"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U1:U3"/>
    <mergeCell ref="T1:T3"/>
    <mergeCell ref="M2:M3"/>
    <mergeCell ref="L2:L3"/>
    <mergeCell ref="N1:N3"/>
    <mergeCell ref="O1:O3"/>
    <mergeCell ref="P1:Q3"/>
    <mergeCell ref="R1:R3"/>
    <mergeCell ref="S1:S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4B8BC1-168A-4D1E-A980-BA893BB9193E}"/>
</file>

<file path=customXml/itemProps2.xml><?xml version="1.0" encoding="utf-8"?>
<ds:datastoreItem xmlns:ds="http://schemas.openxmlformats.org/officeDocument/2006/customXml" ds:itemID="{A0BACACF-264B-4E80-A364-6E53198B6DA8}"/>
</file>

<file path=customXml/itemProps3.xml><?xml version="1.0" encoding="utf-8"?>
<ds:datastoreItem xmlns:ds="http://schemas.openxmlformats.org/officeDocument/2006/customXml" ds:itemID="{D6CDD560-7822-4EA1-8593-5175C6066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/>
  <cp:revision/>
  <dcterms:created xsi:type="dcterms:W3CDTF">2017-05-03T09:23:30Z</dcterms:created>
  <dcterms:modified xsi:type="dcterms:W3CDTF">2022-09-01T06:36:28Z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