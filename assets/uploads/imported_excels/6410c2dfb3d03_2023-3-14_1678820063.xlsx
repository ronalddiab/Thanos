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7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ef.abdullah\Downloads\"/>
    </mc:Choice>
  </mc:AlternateContent>
  <xr:revisionPtr revIDLastSave="7" documentId="8_{84DB0A92-B455-4AC5-8EEC-FC4EA6C50F71}" xr6:coauthVersionLast="47" xr6:coauthVersionMax="47" xr10:uidLastSave="{A9F682D2-50F8-44EF-81E8-54DD1FADB9E0}"/>
  <bookViews>
    <workbookView xWindow="-120" yWindow="-120" windowWidth="17520" windowHeight="12600" xr2:uid="{00000000-000D-0000-FFFF-FFFF00000000}"/>
  </bookViews>
  <sheets>
    <sheet name="Total" sheetId="13" r:id="rId1"/>
    <sheet name="Submetering" sheetId="12" r:id="rId2"/>
    <sheet name="Elect" sheetId="1" r:id="rId3"/>
    <sheet name="Water" sheetId="2" r:id="rId4"/>
    <sheet name="Gas" sheetId="6" r:id="rId5"/>
    <sheet name="Sheet1" sheetId="14" state="hidden" r:id="rId6"/>
    <sheet name="Sheet2" sheetId="15" state="hidden" r:id="rId7"/>
    <sheet name="Consp" sheetId="9" state="hidden" r:id="rId8"/>
    <sheet name="Temp." sheetId="4" state="hidden" r:id="rId9"/>
    <sheet name="M-Rep" sheetId="7" state="hidden" r:id="rId10"/>
    <sheet name="YTD" sheetId="10" state="hidden" r:id="rId11"/>
    <sheet name="Utility Consnsumption" sheetId="11" r:id="rId12"/>
  </sheets>
  <externalReferences>
    <externalReference r:id="rId13"/>
  </externalReferences>
  <definedNames>
    <definedName name="_xlnm.Print_Area" localSheetId="7">Consp!$A$1:$BQ$40</definedName>
    <definedName name="_xlnm.Print_Area" localSheetId="2">Elect!$A$1:$BZ$40</definedName>
    <definedName name="_xlnm.Print_Area" localSheetId="4">Gas!$A$1:$J$40</definedName>
    <definedName name="_xlnm.Print_Area" localSheetId="8">Temp.!$A$1:$J$45</definedName>
    <definedName name="_xlnm.Print_Area" localSheetId="11">'Utility Consnsumption'!$A$1:$M$62</definedName>
    <definedName name="_xlnm.Print_Area" localSheetId="3">Water!$A$1:$Z$50</definedName>
    <definedName name="_xlnm.Print_Area" localSheetId="10">YTD!$A$1:$Q$2370</definedName>
    <definedName name="_xlnm.Print_Titles" localSheetId="7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3" l="1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2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2" i="13"/>
  <c r="F53" i="11" l="1"/>
  <c r="F52" i="11"/>
  <c r="E34" i="11"/>
  <c r="D41" i="11"/>
  <c r="D34" i="11"/>
  <c r="G52" i="11"/>
  <c r="E30" i="2"/>
  <c r="G12" i="2"/>
  <c r="G13" i="2"/>
  <c r="H6" i="11"/>
  <c r="E41" i="11"/>
  <c r="C17" i="2"/>
  <c r="G27" i="2"/>
  <c r="C25" i="2"/>
  <c r="E18" i="2"/>
  <c r="E19" i="2"/>
  <c r="E20" i="2"/>
  <c r="C34" i="2"/>
  <c r="C35" i="2"/>
  <c r="C33" i="2"/>
  <c r="E23" i="2"/>
  <c r="E24" i="2"/>
  <c r="AH2" i="12"/>
  <c r="AH3" i="12"/>
  <c r="AH4" i="12"/>
  <c r="AH5" i="12"/>
  <c r="AH6" i="12"/>
  <c r="AH7" i="12"/>
  <c r="AH8" i="12"/>
  <c r="AH9" i="12"/>
  <c r="AH10" i="12"/>
  <c r="AH11" i="12"/>
  <c r="AH12" i="12"/>
  <c r="AH13" i="12"/>
  <c r="AH14" i="12"/>
  <c r="AH15" i="12"/>
  <c r="AH16" i="12"/>
  <c r="AH17" i="12"/>
  <c r="AH18" i="12"/>
  <c r="AH19" i="12"/>
  <c r="AH20" i="12"/>
  <c r="AH21" i="12"/>
  <c r="AH22" i="12"/>
  <c r="AH23" i="12"/>
  <c r="AH24" i="12"/>
  <c r="AH25" i="12"/>
  <c r="AH26" i="12"/>
  <c r="AH27" i="12"/>
  <c r="AH28" i="12"/>
  <c r="AH29" i="12"/>
  <c r="AH30" i="12"/>
  <c r="AH31" i="12"/>
  <c r="AH32" i="12"/>
  <c r="E33" i="2" l="1"/>
  <c r="G24" i="2"/>
  <c r="G25" i="2"/>
  <c r="G26" i="2"/>
  <c r="G31" i="2"/>
  <c r="G32" i="2"/>
  <c r="G33" i="2"/>
  <c r="G34" i="2"/>
  <c r="G35" i="2"/>
  <c r="G36" i="2"/>
  <c r="G37" i="2"/>
  <c r="G28" i="2"/>
  <c r="G29" i="2"/>
  <c r="G30" i="2"/>
  <c r="E21" i="2"/>
  <c r="E22" i="2"/>
  <c r="E25" i="2"/>
  <c r="E26" i="2"/>
  <c r="E27" i="2"/>
  <c r="E28" i="2"/>
  <c r="E29" i="2"/>
  <c r="E31" i="2"/>
  <c r="E32" i="2"/>
  <c r="E34" i="2"/>
  <c r="E35" i="2"/>
  <c r="E36" i="2"/>
  <c r="E37" i="2"/>
  <c r="C30" i="2"/>
  <c r="C31" i="2"/>
  <c r="C32" i="2"/>
  <c r="H35" i="2"/>
  <c r="C36" i="2"/>
  <c r="C37" i="2"/>
  <c r="C26" i="2"/>
  <c r="C27" i="2"/>
  <c r="C28" i="2"/>
  <c r="C29" i="2"/>
  <c r="E9" i="2"/>
  <c r="C7" i="2"/>
  <c r="H36" i="2" l="1"/>
  <c r="H37" i="2"/>
  <c r="H26" i="2"/>
  <c r="H27" i="2"/>
  <c r="H34" i="2"/>
  <c r="H33" i="2"/>
  <c r="H32" i="2"/>
  <c r="H31" i="2"/>
  <c r="H30" i="2"/>
  <c r="H29" i="2"/>
  <c r="H28" i="2"/>
  <c r="A1" i="6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M9" i="1"/>
  <c r="M10" i="1"/>
  <c r="M11" i="1"/>
  <c r="M12" i="1"/>
  <c r="M13" i="1"/>
  <c r="K13" i="1" s="1"/>
  <c r="M14" i="1"/>
  <c r="M15" i="1"/>
  <c r="M16" i="1"/>
  <c r="M17" i="1"/>
  <c r="M18" i="1"/>
  <c r="M19" i="1"/>
  <c r="M20" i="1"/>
  <c r="M21" i="1"/>
  <c r="K21" i="1" s="1"/>
  <c r="M22" i="1"/>
  <c r="M23" i="1"/>
  <c r="K23" i="1" s="1"/>
  <c r="M24" i="1"/>
  <c r="K24" i="1" s="1"/>
  <c r="M25" i="1"/>
  <c r="K25" i="1" s="1"/>
  <c r="M26" i="1"/>
  <c r="K26" i="1" s="1"/>
  <c r="M27" i="1"/>
  <c r="K27" i="1" s="1"/>
  <c r="M28" i="1"/>
  <c r="U27" i="1"/>
  <c r="BF21" i="1"/>
  <c r="AT20" i="1"/>
  <c r="W17" i="1"/>
  <c r="J17" i="1"/>
  <c r="S8" i="1"/>
  <c r="S9" i="1"/>
  <c r="Q9" i="1"/>
  <c r="Q8" i="1"/>
  <c r="K14" i="1" l="1"/>
  <c r="K22" i="1"/>
  <c r="K20" i="1"/>
  <c r="K19" i="1"/>
  <c r="K18" i="1"/>
  <c r="K17" i="1"/>
  <c r="K16" i="1"/>
  <c r="K15" i="1"/>
  <c r="G25" i="6"/>
  <c r="G26" i="6"/>
  <c r="G27" i="6"/>
  <c r="G28" i="6"/>
  <c r="G29" i="6"/>
  <c r="G30" i="6"/>
  <c r="G31" i="6"/>
  <c r="J31" i="6" s="1"/>
  <c r="G32" i="6"/>
  <c r="G33" i="6"/>
  <c r="G34" i="6"/>
  <c r="G35" i="6"/>
  <c r="G36" i="6"/>
  <c r="G37" i="6"/>
  <c r="E36" i="6"/>
  <c r="E37" i="6"/>
  <c r="E31" i="6"/>
  <c r="E32" i="6"/>
  <c r="E33" i="6"/>
  <c r="E34" i="6"/>
  <c r="E35" i="6"/>
  <c r="AP30" i="12" s="1"/>
  <c r="E30" i="6"/>
  <c r="G9" i="2"/>
  <c r="G10" i="2"/>
  <c r="G11" i="2"/>
  <c r="G14" i="2"/>
  <c r="G15" i="2"/>
  <c r="G16" i="2"/>
  <c r="G17" i="2"/>
  <c r="G18" i="2"/>
  <c r="G19" i="2"/>
  <c r="G20" i="2"/>
  <c r="G21" i="2"/>
  <c r="G22" i="2"/>
  <c r="G23" i="2"/>
  <c r="E10" i="2"/>
  <c r="E11" i="2"/>
  <c r="E12" i="2"/>
  <c r="E13" i="2"/>
  <c r="E14" i="2"/>
  <c r="E15" i="2"/>
  <c r="E16" i="2"/>
  <c r="E17" i="2"/>
  <c r="C22" i="2"/>
  <c r="C23" i="2"/>
  <c r="C24" i="2"/>
  <c r="H25" i="2"/>
  <c r="C19" i="2"/>
  <c r="C20" i="2"/>
  <c r="C21" i="2"/>
  <c r="C8" i="2"/>
  <c r="C9" i="2"/>
  <c r="C10" i="2"/>
  <c r="C11" i="2"/>
  <c r="C12" i="2"/>
  <c r="C13" i="2"/>
  <c r="C14" i="2"/>
  <c r="C15" i="2"/>
  <c r="C16" i="2"/>
  <c r="C18" i="2"/>
  <c r="BF6" i="1"/>
  <c r="AB2" i="12"/>
  <c r="BF7" i="1"/>
  <c r="AB3" i="12"/>
  <c r="BF8" i="1"/>
  <c r="AB4" i="12"/>
  <c r="BF9" i="1"/>
  <c r="AB5" i="12"/>
  <c r="BF10" i="1"/>
  <c r="AB6" i="12"/>
  <c r="BF11" i="1"/>
  <c r="AB7" i="12"/>
  <c r="BF12" i="1"/>
  <c r="AB8" i="12"/>
  <c r="BF13" i="1"/>
  <c r="AB9" i="12"/>
  <c r="BF14" i="1"/>
  <c r="AB10" i="12"/>
  <c r="BF15" i="1"/>
  <c r="AB11" i="12"/>
  <c r="BF16" i="1"/>
  <c r="AB12" i="12"/>
  <c r="BF17" i="1"/>
  <c r="AB13" i="12"/>
  <c r="BF18" i="1"/>
  <c r="AB14" i="12"/>
  <c r="BF19" i="1"/>
  <c r="AB15" i="12"/>
  <c r="BF20" i="1"/>
  <c r="AB16" i="12"/>
  <c r="AB17" i="12"/>
  <c r="BF22" i="1"/>
  <c r="AB18" i="12"/>
  <c r="BF23" i="1"/>
  <c r="AB19" i="12"/>
  <c r="BF24" i="1"/>
  <c r="AB20" i="12"/>
  <c r="BF25" i="1"/>
  <c r="AB21" i="12"/>
  <c r="BF26" i="1"/>
  <c r="AB22" i="12"/>
  <c r="BF27" i="1"/>
  <c r="AB23" i="12"/>
  <c r="BF28" i="1"/>
  <c r="AB24" i="12"/>
  <c r="BF29" i="1"/>
  <c r="AB25" i="12"/>
  <c r="BF30" i="1"/>
  <c r="AB26" i="12"/>
  <c r="BF31" i="1"/>
  <c r="AB27" i="12"/>
  <c r="BF32" i="1"/>
  <c r="AB28" i="12"/>
  <c r="BF33" i="1"/>
  <c r="AB29" i="12"/>
  <c r="BF34" i="1"/>
  <c r="AB30" i="12"/>
  <c r="BF35" i="1"/>
  <c r="AB31" i="12"/>
  <c r="BF36" i="1"/>
  <c r="AB32" i="12"/>
  <c r="BD6" i="1"/>
  <c r="AA2" i="12"/>
  <c r="BD7" i="1"/>
  <c r="AA3" i="12"/>
  <c r="BD8" i="1"/>
  <c r="AA4" i="12"/>
  <c r="BD9" i="1"/>
  <c r="AA5" i="12"/>
  <c r="BD10" i="1"/>
  <c r="AA6" i="12"/>
  <c r="BD11" i="1"/>
  <c r="AA7" i="12"/>
  <c r="BD12" i="1"/>
  <c r="AA8" i="12"/>
  <c r="BD13" i="1"/>
  <c r="AA9" i="12"/>
  <c r="BD14" i="1"/>
  <c r="AA10" i="12"/>
  <c r="BD15" i="1"/>
  <c r="AA11" i="12"/>
  <c r="BD16" i="1"/>
  <c r="AA12" i="12"/>
  <c r="BD17" i="1"/>
  <c r="AA13" i="12"/>
  <c r="BD18" i="1"/>
  <c r="AA14" i="12"/>
  <c r="BD19" i="1"/>
  <c r="AA15" i="12"/>
  <c r="BD20" i="1"/>
  <c r="AA16" i="12"/>
  <c r="BD21" i="1"/>
  <c r="AA17" i="12"/>
  <c r="BD22" i="1"/>
  <c r="AA18" i="12"/>
  <c r="BD23" i="1"/>
  <c r="AA19" i="12"/>
  <c r="BD24" i="1"/>
  <c r="AA20" i="12"/>
  <c r="BD25" i="1"/>
  <c r="AA21" i="12"/>
  <c r="BD26" i="1"/>
  <c r="AA22" i="12"/>
  <c r="BD27" i="1"/>
  <c r="AA23" i="12"/>
  <c r="BD28" i="1"/>
  <c r="AA24" i="12"/>
  <c r="BD29" i="1"/>
  <c r="AA25" i="12"/>
  <c r="BD30" i="1"/>
  <c r="AA26" i="12"/>
  <c r="BD31" i="1"/>
  <c r="AA27" i="12"/>
  <c r="BD32" i="1"/>
  <c r="AA28" i="12"/>
  <c r="BD33" i="1"/>
  <c r="AA29" i="12"/>
  <c r="BD34" i="1"/>
  <c r="AA30" i="12"/>
  <c r="BD35" i="1"/>
  <c r="AA31" i="12"/>
  <c r="BD36" i="1"/>
  <c r="AA32" i="12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/>
  <c r="AM7" i="1"/>
  <c r="S3" i="12"/>
  <c r="AM8" i="1"/>
  <c r="S4" i="12"/>
  <c r="AM9" i="1"/>
  <c r="S5" i="12"/>
  <c r="AM10" i="1"/>
  <c r="S6" i="12"/>
  <c r="AM11" i="1"/>
  <c r="S7" i="12"/>
  <c r="AM12" i="1"/>
  <c r="S8" i="12"/>
  <c r="AM13" i="1"/>
  <c r="S9" i="12"/>
  <c r="AM14" i="1"/>
  <c r="S10" i="12"/>
  <c r="AM15" i="1"/>
  <c r="S11" i="12"/>
  <c r="AM16" i="1"/>
  <c r="S12" i="12"/>
  <c r="AM17" i="1"/>
  <c r="S13" i="12"/>
  <c r="AM18" i="1"/>
  <c r="S14" i="12"/>
  <c r="AM19" i="1"/>
  <c r="S15" i="12"/>
  <c r="AM20" i="1"/>
  <c r="S16" i="12"/>
  <c r="AM21" i="1"/>
  <c r="S17" i="12"/>
  <c r="AM22" i="1"/>
  <c r="S18" i="12"/>
  <c r="AM23" i="1"/>
  <c r="S19" i="12"/>
  <c r="AM24" i="1"/>
  <c r="S20" i="12"/>
  <c r="AM25" i="1"/>
  <c r="S21" i="12"/>
  <c r="AM26" i="1"/>
  <c r="S22" i="12"/>
  <c r="AM27" i="1"/>
  <c r="S23" i="12"/>
  <c r="AM28" i="1"/>
  <c r="S24" i="12"/>
  <c r="AM29" i="1"/>
  <c r="S25" i="12"/>
  <c r="AM30" i="1"/>
  <c r="S26" i="12"/>
  <c r="AM31" i="1"/>
  <c r="S27" i="12"/>
  <c r="AM32" i="1"/>
  <c r="S28" i="12"/>
  <c r="AM33" i="1"/>
  <c r="S29" i="12"/>
  <c r="AM34" i="1"/>
  <c r="AM35" i="1"/>
  <c r="AM36" i="1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/>
  <c r="AG7" i="1"/>
  <c r="P3" i="12"/>
  <c r="AG8" i="1"/>
  <c r="P4" i="12"/>
  <c r="AG9" i="1"/>
  <c r="P5" i="12"/>
  <c r="AG10" i="1"/>
  <c r="P6" i="12"/>
  <c r="AG11" i="1"/>
  <c r="P7" i="12"/>
  <c r="AG12" i="1"/>
  <c r="P8" i="12"/>
  <c r="AG13" i="1"/>
  <c r="P9" i="12"/>
  <c r="AG14" i="1"/>
  <c r="P10" i="12"/>
  <c r="AG15" i="1"/>
  <c r="P11" i="12"/>
  <c r="AG16" i="1"/>
  <c r="P12" i="12"/>
  <c r="AG17" i="1"/>
  <c r="P13" i="12"/>
  <c r="AG18" i="1"/>
  <c r="P14" i="12"/>
  <c r="AG19" i="1"/>
  <c r="P15" i="12"/>
  <c r="AG20" i="1"/>
  <c r="P16" i="12"/>
  <c r="AG21" i="1"/>
  <c r="P17" i="12"/>
  <c r="AG22" i="1"/>
  <c r="P18" i="12"/>
  <c r="AG23" i="1"/>
  <c r="P19" i="12"/>
  <c r="AG24" i="1"/>
  <c r="P20" i="12"/>
  <c r="AG25" i="1"/>
  <c r="P21" i="12"/>
  <c r="AG26" i="1"/>
  <c r="P22" i="12"/>
  <c r="AG27" i="1"/>
  <c r="P23" i="12"/>
  <c r="AG28" i="1"/>
  <c r="P24" i="12"/>
  <c r="AG29" i="1"/>
  <c r="P25" i="12"/>
  <c r="AG30" i="1"/>
  <c r="P26" i="12"/>
  <c r="AG31" i="1"/>
  <c r="P27" i="12"/>
  <c r="AG32" i="1"/>
  <c r="P28" i="12"/>
  <c r="AG33" i="1"/>
  <c r="P29" i="12"/>
  <c r="AG34" i="1"/>
  <c r="AG35" i="1"/>
  <c r="AG36" i="1"/>
  <c r="AE6" i="1"/>
  <c r="O2" i="12"/>
  <c r="AE7" i="1"/>
  <c r="O3" i="12"/>
  <c r="AE8" i="1"/>
  <c r="O4" i="12"/>
  <c r="AE9" i="1"/>
  <c r="O5" i="12"/>
  <c r="AE10" i="1"/>
  <c r="O6" i="12"/>
  <c r="AE11" i="1"/>
  <c r="O7" i="12"/>
  <c r="AE12" i="1"/>
  <c r="O8" i="12"/>
  <c r="AE13" i="1"/>
  <c r="O9" i="12"/>
  <c r="AE14" i="1"/>
  <c r="O10" i="12"/>
  <c r="AE15" i="1"/>
  <c r="O11" i="12"/>
  <c r="AE16" i="1"/>
  <c r="O12" i="12"/>
  <c r="AE17" i="1"/>
  <c r="O13" i="12"/>
  <c r="AE18" i="1"/>
  <c r="O14" i="12"/>
  <c r="AE19" i="1"/>
  <c r="O15" i="12"/>
  <c r="AE20" i="1"/>
  <c r="O16" i="12"/>
  <c r="AE21" i="1"/>
  <c r="O17" i="12"/>
  <c r="AE22" i="1"/>
  <c r="O18" i="12"/>
  <c r="AE23" i="1"/>
  <c r="O19" i="12"/>
  <c r="AE24" i="1"/>
  <c r="O20" i="12"/>
  <c r="AE25" i="1"/>
  <c r="O21" i="12"/>
  <c r="AE26" i="1"/>
  <c r="O22" i="12"/>
  <c r="AE27" i="1"/>
  <c r="O23" i="12"/>
  <c r="AE28" i="1"/>
  <c r="O24" i="12"/>
  <c r="AE29" i="1"/>
  <c r="O25" i="12"/>
  <c r="AE30" i="1"/>
  <c r="O26" i="12"/>
  <c r="AE31" i="1"/>
  <c r="O27" i="12"/>
  <c r="AE32" i="1"/>
  <c r="O28" i="12"/>
  <c r="AE33" i="1"/>
  <c r="O29" i="12"/>
  <c r="AE34" i="1"/>
  <c r="AE35" i="1"/>
  <c r="AE36" i="1"/>
  <c r="AG5" i="1"/>
  <c r="AE5" i="1"/>
  <c r="B48" i="2"/>
  <c r="A42" i="6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/>
  <c r="BD37" i="1"/>
  <c r="AM37" i="1"/>
  <c r="AG37" i="1"/>
  <c r="AE37" i="1"/>
  <c r="G13" i="6"/>
  <c r="G14" i="6"/>
  <c r="G15" i="6"/>
  <c r="G16" i="6"/>
  <c r="G17" i="6"/>
  <c r="G10" i="6"/>
  <c r="G11" i="6"/>
  <c r="G12" i="6"/>
  <c r="E7" i="2"/>
  <c r="E8" i="2"/>
  <c r="K6" i="9" s="1"/>
  <c r="AK4" i="12"/>
  <c r="K8" i="9"/>
  <c r="K10" i="9"/>
  <c r="K11" i="9"/>
  <c r="AK10" i="12"/>
  <c r="K14" i="9"/>
  <c r="K15" i="9"/>
  <c r="O8" i="1"/>
  <c r="G8" i="9"/>
  <c r="G9" i="9"/>
  <c r="Y6" i="1"/>
  <c r="Y7" i="1"/>
  <c r="L3" i="12"/>
  <c r="Y8" i="1"/>
  <c r="Y9" i="1"/>
  <c r="L5" i="12"/>
  <c r="S7" i="1"/>
  <c r="I3" i="12"/>
  <c r="I4" i="12"/>
  <c r="I5" i="12"/>
  <c r="S10" i="1"/>
  <c r="I6" i="12"/>
  <c r="S11" i="1"/>
  <c r="I7" i="12"/>
  <c r="AV25" i="1"/>
  <c r="W21" i="12"/>
  <c r="AV26" i="1"/>
  <c r="AV27" i="1"/>
  <c r="W23" i="12"/>
  <c r="AV28" i="1"/>
  <c r="AV29" i="1"/>
  <c r="W25" i="12"/>
  <c r="AV30" i="1"/>
  <c r="W26" i="12"/>
  <c r="BL14" i="1"/>
  <c r="AD10" i="12"/>
  <c r="BL15" i="1"/>
  <c r="AD11" i="12"/>
  <c r="BL16" i="1"/>
  <c r="AD12" i="12"/>
  <c r="BL17" i="1"/>
  <c r="AD13" i="12"/>
  <c r="E42" i="11"/>
  <c r="R14" i="12"/>
  <c r="R15" i="12"/>
  <c r="R16" i="12"/>
  <c r="R17" i="12"/>
  <c r="R19" i="12"/>
  <c r="AK12" i="1"/>
  <c r="R8" i="12"/>
  <c r="R9" i="12"/>
  <c r="R10" i="12"/>
  <c r="R11" i="12"/>
  <c r="R12" i="12"/>
  <c r="R13" i="12"/>
  <c r="AK7" i="1"/>
  <c r="AK8" i="1"/>
  <c r="R4" i="12"/>
  <c r="AK9" i="1"/>
  <c r="AK10" i="1"/>
  <c r="R6" i="12"/>
  <c r="AK11" i="1"/>
  <c r="AZ22" i="1"/>
  <c r="Y18" i="12"/>
  <c r="AZ23" i="1"/>
  <c r="Y19" i="12"/>
  <c r="BB22" i="1"/>
  <c r="BB23" i="1"/>
  <c r="BN22" i="1"/>
  <c r="BN23" i="1"/>
  <c r="AE19" i="12"/>
  <c r="BP22" i="1"/>
  <c r="BP23" i="1"/>
  <c r="BR22" i="1"/>
  <c r="AG18" i="12"/>
  <c r="BR23" i="1"/>
  <c r="AG19" i="12"/>
  <c r="BR24" i="1"/>
  <c r="AX22" i="1"/>
  <c r="X18" i="12"/>
  <c r="AX23" i="1"/>
  <c r="X19" i="12"/>
  <c r="AV22" i="1"/>
  <c r="W18" i="12"/>
  <c r="AV23" i="1"/>
  <c r="W19" i="12"/>
  <c r="T18" i="12"/>
  <c r="T19" i="12"/>
  <c r="AR22" i="1"/>
  <c r="U18" i="12"/>
  <c r="AR23" i="1"/>
  <c r="U19" i="12"/>
  <c r="V19" i="12"/>
  <c r="Q19" i="12"/>
  <c r="N20" i="12"/>
  <c r="L18" i="12"/>
  <c r="L20" i="12"/>
  <c r="W22" i="1"/>
  <c r="AN22" i="1"/>
  <c r="W23" i="1"/>
  <c r="W24" i="1"/>
  <c r="W25" i="1"/>
  <c r="U22" i="1"/>
  <c r="J18" i="12"/>
  <c r="U23" i="1"/>
  <c r="J19" i="12"/>
  <c r="U24" i="1"/>
  <c r="J20" i="12"/>
  <c r="S23" i="1"/>
  <c r="I19" i="12"/>
  <c r="S24" i="1"/>
  <c r="I20" i="12"/>
  <c r="S25" i="1"/>
  <c r="I21" i="12"/>
  <c r="Q22" i="1"/>
  <c r="H18" i="12"/>
  <c r="Q23" i="1"/>
  <c r="G21" i="9"/>
  <c r="G22" i="9"/>
  <c r="E21" i="9"/>
  <c r="E23" i="9"/>
  <c r="E25" i="9"/>
  <c r="M29" i="1"/>
  <c r="E28" i="9"/>
  <c r="M30" i="1"/>
  <c r="M31" i="1"/>
  <c r="M32" i="1"/>
  <c r="E31" i="9"/>
  <c r="M33" i="1"/>
  <c r="M34" i="1"/>
  <c r="E33" i="9"/>
  <c r="M35" i="1"/>
  <c r="E34" i="9"/>
  <c r="M36" i="1"/>
  <c r="J22" i="1"/>
  <c r="J23" i="1"/>
  <c r="AA10" i="1"/>
  <c r="M6" i="12"/>
  <c r="AA11" i="1"/>
  <c r="M7" i="12"/>
  <c r="H4" i="12"/>
  <c r="H5" i="12"/>
  <c r="Q10" i="1"/>
  <c r="H6" i="12"/>
  <c r="Q11" i="1"/>
  <c r="H7" i="12"/>
  <c r="O34" i="1"/>
  <c r="O35" i="1"/>
  <c r="G34" i="9"/>
  <c r="C31" i="6"/>
  <c r="I31" i="6"/>
  <c r="AQ27" i="12"/>
  <c r="Q35" i="1"/>
  <c r="Q33" i="1"/>
  <c r="H29" i="12"/>
  <c r="Q34" i="1"/>
  <c r="AL23" i="12"/>
  <c r="AL25" i="12"/>
  <c r="AL26" i="12"/>
  <c r="AL27" i="12"/>
  <c r="AL29" i="12"/>
  <c r="AL32" i="12"/>
  <c r="AK23" i="12"/>
  <c r="AK26" i="12"/>
  <c r="K31" i="9"/>
  <c r="AK29" i="12"/>
  <c r="AK30" i="12"/>
  <c r="AK31" i="12"/>
  <c r="AK32" i="12"/>
  <c r="AJ24" i="12"/>
  <c r="AJ25" i="12"/>
  <c r="I29" i="9"/>
  <c r="AJ30" i="12"/>
  <c r="AJ31" i="12"/>
  <c r="AJ32" i="12"/>
  <c r="AS3" i="12"/>
  <c r="AS4" i="12"/>
  <c r="AS5" i="12"/>
  <c r="AS6" i="12"/>
  <c r="AS7" i="12"/>
  <c r="AS8" i="12"/>
  <c r="AS9" i="12"/>
  <c r="AS10" i="12"/>
  <c r="AS11" i="12"/>
  <c r="AS12" i="12"/>
  <c r="AS13" i="12"/>
  <c r="AS14" i="12"/>
  <c r="AS15" i="12"/>
  <c r="AS16" i="12"/>
  <c r="AS17" i="12"/>
  <c r="AS18" i="12"/>
  <c r="AS19" i="12"/>
  <c r="AS20" i="12"/>
  <c r="AS21" i="12"/>
  <c r="AS22" i="12"/>
  <c r="AS23" i="12"/>
  <c r="AS24" i="12"/>
  <c r="AS25" i="12"/>
  <c r="AS26" i="12"/>
  <c r="AS27" i="12"/>
  <c r="AS28" i="12"/>
  <c r="AS29" i="12"/>
  <c r="AS30" i="12"/>
  <c r="AS31" i="12"/>
  <c r="AS32" i="12"/>
  <c r="AS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BN16" i="1"/>
  <c r="AE12" i="12" s="1"/>
  <c r="BN17" i="1"/>
  <c r="G53" i="11"/>
  <c r="U6" i="1"/>
  <c r="J2" i="12"/>
  <c r="U7" i="1"/>
  <c r="S6" i="1"/>
  <c r="I2" i="12"/>
  <c r="A1" i="2"/>
  <c r="BT37" i="1"/>
  <c r="BT38" i="1"/>
  <c r="E7" i="6"/>
  <c r="H7" i="6"/>
  <c r="E8" i="6"/>
  <c r="AP3" i="12"/>
  <c r="E9" i="6"/>
  <c r="AP4" i="12"/>
  <c r="E10" i="6"/>
  <c r="AP5" i="12"/>
  <c r="E11" i="6"/>
  <c r="AP6" i="12"/>
  <c r="E12" i="6"/>
  <c r="AP7" i="12"/>
  <c r="E13" i="6"/>
  <c r="AP8" i="12"/>
  <c r="E14" i="6"/>
  <c r="AP9" i="12"/>
  <c r="E15" i="6"/>
  <c r="H15" i="6"/>
  <c r="E16" i="6"/>
  <c r="AP11" i="12"/>
  <c r="E17" i="6"/>
  <c r="E18" i="6"/>
  <c r="AP13" i="12"/>
  <c r="E19" i="6"/>
  <c r="E20" i="6"/>
  <c r="AP15" i="12"/>
  <c r="E21" i="6"/>
  <c r="E22" i="6"/>
  <c r="AP17" i="12"/>
  <c r="E23" i="6"/>
  <c r="H23" i="6"/>
  <c r="E24" i="6"/>
  <c r="E25" i="6"/>
  <c r="AP20" i="12"/>
  <c r="E26" i="6"/>
  <c r="E27" i="6"/>
  <c r="AP22" i="12"/>
  <c r="E28" i="6"/>
  <c r="AP23" i="12"/>
  <c r="E29" i="6"/>
  <c r="AP24" i="12"/>
  <c r="AP25" i="12"/>
  <c r="AP26" i="12"/>
  <c r="AP27" i="12"/>
  <c r="AP28" i="12"/>
  <c r="AP31" i="12"/>
  <c r="H37" i="6"/>
  <c r="E6" i="6"/>
  <c r="K3" i="13"/>
  <c r="K4" i="13"/>
  <c r="K5" i="13"/>
  <c r="K6" i="13"/>
  <c r="K7" i="13"/>
  <c r="K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J17" i="6"/>
  <c r="AJ15" i="9"/>
  <c r="G18" i="6"/>
  <c r="AQ13" i="12"/>
  <c r="C18" i="6"/>
  <c r="I18" i="6"/>
  <c r="C17" i="6"/>
  <c r="AH15" i="9"/>
  <c r="N21" i="12"/>
  <c r="Y4" i="12"/>
  <c r="Y5" i="12"/>
  <c r="AZ10" i="1"/>
  <c r="J36" i="1"/>
  <c r="AA5" i="1"/>
  <c r="BB27" i="1"/>
  <c r="T26" i="12"/>
  <c r="S30" i="1"/>
  <c r="I26" i="12"/>
  <c r="BL22" i="1"/>
  <c r="G22" i="6"/>
  <c r="AQ17" i="12"/>
  <c r="AJ19" i="12"/>
  <c r="AJ21" i="12"/>
  <c r="AJ22" i="12"/>
  <c r="AJ23" i="12"/>
  <c r="AJ16" i="12"/>
  <c r="AJ5" i="12"/>
  <c r="AJ6" i="12"/>
  <c r="AJ7" i="12"/>
  <c r="AJ8" i="12"/>
  <c r="AJ9" i="12"/>
  <c r="AJ10" i="12"/>
  <c r="AJ11" i="12"/>
  <c r="AJ12" i="12"/>
  <c r="AJ13" i="12"/>
  <c r="AJ14" i="12"/>
  <c r="AJ15" i="12"/>
  <c r="J16" i="1"/>
  <c r="F12" i="12"/>
  <c r="V37" i="2"/>
  <c r="S37" i="2"/>
  <c r="O37" i="2"/>
  <c r="BR36" i="1"/>
  <c r="AG32" i="12"/>
  <c r="BP36" i="1"/>
  <c r="BN36" i="1"/>
  <c r="AE32" i="12"/>
  <c r="BL36" i="1"/>
  <c r="AD32" i="12"/>
  <c r="BB36" i="1"/>
  <c r="AZ36" i="1"/>
  <c r="Y32" i="12"/>
  <c r="AX36" i="1"/>
  <c r="X32" i="12"/>
  <c r="AV36" i="1"/>
  <c r="W32" i="12"/>
  <c r="AR36" i="1"/>
  <c r="W36" i="1"/>
  <c r="U36" i="1"/>
  <c r="S36" i="1"/>
  <c r="Q36" i="1"/>
  <c r="O36" i="1"/>
  <c r="K36" i="1"/>
  <c r="C37" i="6"/>
  <c r="AO32" i="12"/>
  <c r="AQ32" i="12"/>
  <c r="D42" i="11"/>
  <c r="U35" i="1"/>
  <c r="U34" i="1"/>
  <c r="U33" i="1"/>
  <c r="J29" i="12"/>
  <c r="U32" i="1"/>
  <c r="J28" i="12"/>
  <c r="U31" i="1"/>
  <c r="J27" i="12"/>
  <c r="U30" i="1"/>
  <c r="J26" i="12"/>
  <c r="U29" i="1"/>
  <c r="J25" i="12"/>
  <c r="U28" i="1"/>
  <c r="J24" i="12"/>
  <c r="J23" i="12"/>
  <c r="U26" i="1"/>
  <c r="J22" i="12"/>
  <c r="U25" i="1"/>
  <c r="J21" i="12"/>
  <c r="U21" i="1"/>
  <c r="J17" i="12"/>
  <c r="U20" i="1"/>
  <c r="J16" i="12"/>
  <c r="U19" i="1"/>
  <c r="J15" i="12"/>
  <c r="U18" i="1"/>
  <c r="J14" i="12"/>
  <c r="U17" i="1"/>
  <c r="J13" i="12"/>
  <c r="U16" i="1"/>
  <c r="J12" i="12"/>
  <c r="U15" i="1"/>
  <c r="J11" i="12"/>
  <c r="U14" i="1"/>
  <c r="J10" i="12"/>
  <c r="U13" i="1"/>
  <c r="J9" i="12"/>
  <c r="U12" i="1"/>
  <c r="J8" i="12"/>
  <c r="U11" i="1"/>
  <c r="J7" i="12"/>
  <c r="U10" i="1"/>
  <c r="J6" i="12"/>
  <c r="U9" i="1"/>
  <c r="J5" i="12"/>
  <c r="U8" i="1"/>
  <c r="J4" i="12"/>
  <c r="U5" i="1"/>
  <c r="F41" i="11"/>
  <c r="G41" i="11"/>
  <c r="S34" i="1"/>
  <c r="S35" i="1"/>
  <c r="S26" i="1"/>
  <c r="I22" i="12"/>
  <c r="S27" i="1"/>
  <c r="I23" i="12"/>
  <c r="S28" i="1"/>
  <c r="I24" i="12"/>
  <c r="S29" i="1"/>
  <c r="I25" i="12"/>
  <c r="S31" i="1"/>
  <c r="I27" i="12"/>
  <c r="S32" i="1"/>
  <c r="I28" i="12"/>
  <c r="S33" i="1"/>
  <c r="I29" i="12"/>
  <c r="S14" i="1"/>
  <c r="I10" i="12"/>
  <c r="S15" i="1"/>
  <c r="I11" i="12"/>
  <c r="S16" i="1"/>
  <c r="I12" i="12"/>
  <c r="S17" i="1"/>
  <c r="I13" i="12"/>
  <c r="S18" i="1"/>
  <c r="I14" i="12"/>
  <c r="S19" i="1"/>
  <c r="I15" i="12"/>
  <c r="S20" i="1"/>
  <c r="I16" i="12"/>
  <c r="S21" i="1"/>
  <c r="I17" i="12"/>
  <c r="S22" i="1"/>
  <c r="I18" i="12"/>
  <c r="S12" i="1"/>
  <c r="I8" i="12"/>
  <c r="S13" i="1"/>
  <c r="I9" i="12"/>
  <c r="S5" i="1"/>
  <c r="C30" i="6"/>
  <c r="I30" i="6"/>
  <c r="K24" i="9"/>
  <c r="AK22" i="12"/>
  <c r="M19" i="12"/>
  <c r="AC11" i="1"/>
  <c r="N7" i="12"/>
  <c r="W33" i="1"/>
  <c r="Q24" i="1"/>
  <c r="H20" i="12"/>
  <c r="Q25" i="1"/>
  <c r="H21" i="12"/>
  <c r="Q27" i="1"/>
  <c r="H23" i="12"/>
  <c r="AC12" i="1"/>
  <c r="N8" i="12"/>
  <c r="AC10" i="1"/>
  <c r="N6" i="12"/>
  <c r="AR17" i="1"/>
  <c r="U13" i="12"/>
  <c r="AR18" i="1"/>
  <c r="U14" i="12"/>
  <c r="AR21" i="1"/>
  <c r="U17" i="12"/>
  <c r="AR20" i="1"/>
  <c r="U16" i="12"/>
  <c r="AR7" i="1"/>
  <c r="U3" i="12"/>
  <c r="AR8" i="1"/>
  <c r="U4" i="12"/>
  <c r="AR9" i="1"/>
  <c r="U5" i="12"/>
  <c r="AR10" i="1"/>
  <c r="U6" i="12"/>
  <c r="AR11" i="1"/>
  <c r="U7" i="12"/>
  <c r="AR12" i="1"/>
  <c r="U8" i="12"/>
  <c r="AR13" i="1"/>
  <c r="U9" i="12"/>
  <c r="AR14" i="1"/>
  <c r="U10" i="12"/>
  <c r="AR15" i="1"/>
  <c r="U11" i="12"/>
  <c r="AR16" i="1"/>
  <c r="U12" i="12"/>
  <c r="U26" i="12"/>
  <c r="U27" i="12"/>
  <c r="U28" i="12"/>
  <c r="U29" i="12"/>
  <c r="U20" i="12"/>
  <c r="U21" i="12"/>
  <c r="U22" i="12"/>
  <c r="U23" i="12"/>
  <c r="U24" i="12"/>
  <c r="U25" i="12"/>
  <c r="AR19" i="1"/>
  <c r="U15" i="12"/>
  <c r="C35" i="6"/>
  <c r="AO30" i="12"/>
  <c r="C36" i="6"/>
  <c r="G8" i="6"/>
  <c r="AQ3" i="12"/>
  <c r="G9" i="6"/>
  <c r="AQ6" i="12"/>
  <c r="AQ7" i="12"/>
  <c r="AQ8" i="12"/>
  <c r="AQ9" i="12"/>
  <c r="AQ10" i="12"/>
  <c r="AQ11" i="12"/>
  <c r="G19" i="6"/>
  <c r="J19" i="6"/>
  <c r="AJ17" i="9"/>
  <c r="G20" i="6"/>
  <c r="AQ15" i="12"/>
  <c r="G21" i="6"/>
  <c r="AQ16" i="12"/>
  <c r="G23" i="6"/>
  <c r="G24" i="6"/>
  <c r="J24" i="6"/>
  <c r="AJ22" i="9"/>
  <c r="AQ20" i="12"/>
  <c r="AQ21" i="12"/>
  <c r="AQ22" i="12"/>
  <c r="AQ24" i="12"/>
  <c r="AQ25" i="12"/>
  <c r="AQ28" i="12"/>
  <c r="AQ29" i="12"/>
  <c r="AQ30" i="12"/>
  <c r="C8" i="6"/>
  <c r="I8" i="6"/>
  <c r="C9" i="6"/>
  <c r="C10" i="6"/>
  <c r="AO5" i="12"/>
  <c r="C11" i="6"/>
  <c r="AO6" i="12"/>
  <c r="C12" i="6"/>
  <c r="AH10" i="9"/>
  <c r="C13" i="6"/>
  <c r="C14" i="6"/>
  <c r="AO9" i="12"/>
  <c r="C15" i="6"/>
  <c r="I15" i="6"/>
  <c r="C16" i="6"/>
  <c r="I16" i="6"/>
  <c r="C19" i="6"/>
  <c r="AO14" i="12"/>
  <c r="C20" i="6"/>
  <c r="I20" i="6"/>
  <c r="C21" i="6"/>
  <c r="AH19" i="9"/>
  <c r="C22" i="6"/>
  <c r="C23" i="6"/>
  <c r="I23" i="6"/>
  <c r="C24" i="6"/>
  <c r="I24" i="6"/>
  <c r="C25" i="6"/>
  <c r="I25" i="6"/>
  <c r="C26" i="6"/>
  <c r="C27" i="6"/>
  <c r="I27" i="6"/>
  <c r="C28" i="6"/>
  <c r="K28" i="6" s="1"/>
  <c r="I28" i="6"/>
  <c r="C29" i="6"/>
  <c r="C32" i="6"/>
  <c r="C33" i="6"/>
  <c r="I33" i="6"/>
  <c r="C34" i="6"/>
  <c r="AH32" i="9"/>
  <c r="Q7" i="1"/>
  <c r="H3" i="12"/>
  <c r="Q12" i="1"/>
  <c r="H8" i="12"/>
  <c r="Q13" i="1"/>
  <c r="H9" i="12"/>
  <c r="Q14" i="1"/>
  <c r="H10" i="12"/>
  <c r="Q15" i="1"/>
  <c r="H11" i="12"/>
  <c r="Q16" i="1"/>
  <c r="H12" i="12"/>
  <c r="Q17" i="1"/>
  <c r="H13" i="12"/>
  <c r="Q18" i="1"/>
  <c r="H14" i="12"/>
  <c r="Q19" i="1"/>
  <c r="H15" i="12"/>
  <c r="Q20" i="1"/>
  <c r="H16" i="12"/>
  <c r="Q21" i="1"/>
  <c r="H17" i="12"/>
  <c r="H19" i="12"/>
  <c r="Q26" i="1"/>
  <c r="H22" i="12"/>
  <c r="Q28" i="1"/>
  <c r="H24" i="12"/>
  <c r="Q29" i="1"/>
  <c r="H25" i="12"/>
  <c r="Q30" i="1"/>
  <c r="H26" i="12"/>
  <c r="Q31" i="1"/>
  <c r="H27" i="12"/>
  <c r="Q32" i="1"/>
  <c r="H28" i="12"/>
  <c r="Y3" i="12"/>
  <c r="AZ11" i="1"/>
  <c r="AZ12" i="1"/>
  <c r="AZ13" i="1"/>
  <c r="AZ14" i="1"/>
  <c r="AZ15" i="1"/>
  <c r="AZ16" i="1"/>
  <c r="AZ17" i="1"/>
  <c r="AZ18" i="1"/>
  <c r="AZ19" i="1"/>
  <c r="Y15" i="12"/>
  <c r="AZ20" i="1"/>
  <c r="Y16" i="12"/>
  <c r="AZ21" i="1"/>
  <c r="Y17" i="12"/>
  <c r="AZ24" i="1"/>
  <c r="Y20" i="12"/>
  <c r="AZ25" i="1"/>
  <c r="Y21" i="12"/>
  <c r="AZ26" i="1"/>
  <c r="Y22" i="12"/>
  <c r="AZ27" i="1"/>
  <c r="Y23" i="12"/>
  <c r="AZ28" i="1"/>
  <c r="Y24" i="12"/>
  <c r="AZ29" i="1"/>
  <c r="Y25" i="12"/>
  <c r="AZ30" i="1"/>
  <c r="Y26" i="12"/>
  <c r="AZ31" i="1"/>
  <c r="Y27" i="12"/>
  <c r="AZ32" i="1"/>
  <c r="Y28" i="12"/>
  <c r="AZ33" i="1"/>
  <c r="Y29" i="12"/>
  <c r="AZ34" i="1"/>
  <c r="Y30" i="12"/>
  <c r="AZ35" i="1"/>
  <c r="Y31" i="12"/>
  <c r="W7" i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6" i="1"/>
  <c r="W27" i="1"/>
  <c r="W28" i="1"/>
  <c r="W29" i="1"/>
  <c r="W30" i="1"/>
  <c r="AN30" i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AE11" i="12" s="1"/>
  <c r="BN18" i="1"/>
  <c r="BN19" i="1"/>
  <c r="BN20" i="1"/>
  <c r="BN21" i="1"/>
  <c r="BN24" i="1"/>
  <c r="AE20" i="12"/>
  <c r="BN25" i="1"/>
  <c r="AE21" i="12"/>
  <c r="BN26" i="1"/>
  <c r="BN27" i="1"/>
  <c r="AE23" i="12"/>
  <c r="BN28" i="1"/>
  <c r="AE24" i="12"/>
  <c r="BN29" i="1"/>
  <c r="AE25" i="12"/>
  <c r="BN30" i="1"/>
  <c r="BN31" i="1"/>
  <c r="BN32" i="1"/>
  <c r="AE28" i="12"/>
  <c r="BN33" i="1"/>
  <c r="AE29" i="12"/>
  <c r="BN34" i="1"/>
  <c r="AE30" i="12"/>
  <c r="BN35" i="1"/>
  <c r="AE31" i="12"/>
  <c r="BL7" i="1"/>
  <c r="AD3" i="12"/>
  <c r="BL8" i="1"/>
  <c r="AD4" i="12"/>
  <c r="BL9" i="1"/>
  <c r="AD5" i="12"/>
  <c r="BL10" i="1"/>
  <c r="AD6" i="12"/>
  <c r="BL11" i="1"/>
  <c r="AD7" i="12"/>
  <c r="BL12" i="1"/>
  <c r="AD8" i="12"/>
  <c r="BL13" i="1"/>
  <c r="AD9" i="12"/>
  <c r="BL18" i="1"/>
  <c r="AD14" i="12"/>
  <c r="BL19" i="1"/>
  <c r="AD15" i="12"/>
  <c r="BL20" i="1"/>
  <c r="AD16" i="12"/>
  <c r="BL21" i="1"/>
  <c r="BL23" i="1"/>
  <c r="AD19" i="12"/>
  <c r="BL24" i="1"/>
  <c r="AD20" i="12"/>
  <c r="BL25" i="1"/>
  <c r="AD21" i="12" s="1"/>
  <c r="BL26" i="1"/>
  <c r="BL27" i="1"/>
  <c r="AD23" i="12"/>
  <c r="BL28" i="1"/>
  <c r="AD24" i="12"/>
  <c r="BL29" i="1"/>
  <c r="AD25" i="12"/>
  <c r="BL30" i="1"/>
  <c r="AD26" i="12"/>
  <c r="BL31" i="1"/>
  <c r="AD27" i="12"/>
  <c r="BL32" i="1"/>
  <c r="AD28" i="12"/>
  <c r="BR7" i="1"/>
  <c r="AT6" i="9"/>
  <c r="BR8" i="1"/>
  <c r="AG4" i="12"/>
  <c r="BR9" i="1"/>
  <c r="BR10" i="1"/>
  <c r="AG6" i="12"/>
  <c r="BR11" i="1"/>
  <c r="AT10" i="9"/>
  <c r="BR12" i="1"/>
  <c r="BR13" i="1"/>
  <c r="AG9" i="12"/>
  <c r="BR14" i="1"/>
  <c r="BR15" i="1"/>
  <c r="AG11" i="12"/>
  <c r="BR16" i="1"/>
  <c r="AG12" i="12"/>
  <c r="BR17" i="1"/>
  <c r="AG13" i="12"/>
  <c r="BR18" i="1"/>
  <c r="AG14" i="12"/>
  <c r="BR19" i="1"/>
  <c r="BR20" i="1"/>
  <c r="AT19" i="9"/>
  <c r="BR21" i="1"/>
  <c r="AG17" i="12"/>
  <c r="BR25" i="1"/>
  <c r="AG21" i="12"/>
  <c r="BR26" i="1"/>
  <c r="BR27" i="1"/>
  <c r="AG23" i="12"/>
  <c r="BR28" i="1"/>
  <c r="BR29" i="1"/>
  <c r="AG25" i="12"/>
  <c r="BR30" i="1"/>
  <c r="AG26" i="12"/>
  <c r="BR31" i="1"/>
  <c r="AT30" i="9"/>
  <c r="BR32" i="1"/>
  <c r="AG28" i="12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/>
  <c r="BP27" i="1"/>
  <c r="BP28" i="1"/>
  <c r="BP29" i="1"/>
  <c r="AU28" i="9"/>
  <c r="BP30" i="1"/>
  <c r="AU29" i="9"/>
  <c r="BP31" i="1"/>
  <c r="BP32" i="1"/>
  <c r="BP33" i="1"/>
  <c r="BP34" i="1"/>
  <c r="BP35" i="1"/>
  <c r="BB7" i="1"/>
  <c r="BB8" i="1"/>
  <c r="BB9" i="1"/>
  <c r="BB10" i="1"/>
  <c r="Z6" i="12"/>
  <c r="BB11" i="1"/>
  <c r="Z7" i="12"/>
  <c r="BB12" i="1"/>
  <c r="Z8" i="12"/>
  <c r="BB13" i="1"/>
  <c r="Z9" i="12"/>
  <c r="BB14" i="1"/>
  <c r="Z10" i="12"/>
  <c r="BB15" i="1"/>
  <c r="Z11" i="12"/>
  <c r="BB16" i="1"/>
  <c r="Z12" i="12"/>
  <c r="BB17" i="1"/>
  <c r="Z13" i="12"/>
  <c r="BB18" i="1"/>
  <c r="Z14" i="12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/>
  <c r="AX8" i="1"/>
  <c r="X4" i="12"/>
  <c r="AX9" i="1"/>
  <c r="X5" i="12"/>
  <c r="AX10" i="1"/>
  <c r="X6" i="12"/>
  <c r="AX11" i="1"/>
  <c r="X7" i="12"/>
  <c r="AX12" i="1"/>
  <c r="X8" i="12"/>
  <c r="AX13" i="1"/>
  <c r="X9" i="12"/>
  <c r="AX14" i="1"/>
  <c r="X10" i="12"/>
  <c r="AX15" i="1"/>
  <c r="X11" i="12"/>
  <c r="AX16" i="1"/>
  <c r="X12" i="12"/>
  <c r="AX17" i="1"/>
  <c r="X13" i="12"/>
  <c r="AX18" i="1"/>
  <c r="X14" i="12"/>
  <c r="AX19" i="1"/>
  <c r="X15" i="12"/>
  <c r="AX20" i="1"/>
  <c r="X16" i="12"/>
  <c r="AX21" i="1"/>
  <c r="X17" i="12"/>
  <c r="AX24" i="1"/>
  <c r="X20" i="12"/>
  <c r="AX25" i="1"/>
  <c r="X21" i="12"/>
  <c r="AX26" i="1"/>
  <c r="X22" i="12"/>
  <c r="AX27" i="1"/>
  <c r="X23" i="12"/>
  <c r="AX28" i="1"/>
  <c r="X24" i="12"/>
  <c r="AX29" i="1"/>
  <c r="X25" i="12"/>
  <c r="AX30" i="1"/>
  <c r="X26" i="12"/>
  <c r="AX31" i="1"/>
  <c r="X27" i="12"/>
  <c r="AX32" i="1"/>
  <c r="X28" i="12"/>
  <c r="AX33" i="1"/>
  <c r="X29" i="12"/>
  <c r="AX34" i="1"/>
  <c r="X30" i="12"/>
  <c r="AX35" i="1"/>
  <c r="X31" i="12"/>
  <c r="AX6" i="1"/>
  <c r="X2" i="12"/>
  <c r="AV7" i="1"/>
  <c r="W3" i="12"/>
  <c r="AV8" i="1"/>
  <c r="W4" i="12"/>
  <c r="AV9" i="1"/>
  <c r="W5" i="12"/>
  <c r="AV10" i="1"/>
  <c r="W6" i="12"/>
  <c r="AV11" i="1"/>
  <c r="W7" i="12"/>
  <c r="AV12" i="1"/>
  <c r="W8" i="12"/>
  <c r="AV13" i="1"/>
  <c r="W9" i="12"/>
  <c r="AV14" i="1"/>
  <c r="W10" i="12"/>
  <c r="AV15" i="1"/>
  <c r="W11" i="12"/>
  <c r="AV16" i="1"/>
  <c r="W12" i="12"/>
  <c r="AV17" i="1"/>
  <c r="W13" i="12"/>
  <c r="AV18" i="1"/>
  <c r="W14" i="12"/>
  <c r="AV19" i="1"/>
  <c r="W15" i="12"/>
  <c r="AV20" i="1"/>
  <c r="W16" i="12"/>
  <c r="AV21" i="1"/>
  <c r="W17" i="12"/>
  <c r="AV24" i="1"/>
  <c r="W20" i="12"/>
  <c r="W22" i="12"/>
  <c r="W24" i="12"/>
  <c r="AV31" i="1"/>
  <c r="W27" i="12"/>
  <c r="AV32" i="1"/>
  <c r="W28" i="12"/>
  <c r="AV33" i="1"/>
  <c r="W29" i="12"/>
  <c r="AV34" i="1"/>
  <c r="W30" i="12"/>
  <c r="AV35" i="1"/>
  <c r="W31" i="12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L4" i="12"/>
  <c r="Y10" i="1"/>
  <c r="L6" i="12"/>
  <c r="Y11" i="1"/>
  <c r="L7" i="12"/>
  <c r="Y12" i="1"/>
  <c r="Y13" i="1"/>
  <c r="L9" i="12"/>
  <c r="Y14" i="1"/>
  <c r="Y15" i="1"/>
  <c r="Y16" i="1"/>
  <c r="Y17" i="1"/>
  <c r="L13" i="12"/>
  <c r="L15" i="12"/>
  <c r="L17" i="12"/>
  <c r="L19" i="12"/>
  <c r="L21" i="12"/>
  <c r="L22" i="12"/>
  <c r="L23" i="12"/>
  <c r="L24" i="12"/>
  <c r="L25" i="12"/>
  <c r="L26" i="12"/>
  <c r="L27" i="12"/>
  <c r="L28" i="12"/>
  <c r="L29" i="12"/>
  <c r="AA7" i="1"/>
  <c r="AA8" i="1"/>
  <c r="M4" i="12"/>
  <c r="AA9" i="1"/>
  <c r="M5" i="12"/>
  <c r="AA12" i="1"/>
  <c r="M8" i="12"/>
  <c r="AA13" i="1"/>
  <c r="M9" i="12"/>
  <c r="AA14" i="1"/>
  <c r="AA15" i="1"/>
  <c r="M11" i="12"/>
  <c r="AA16" i="1"/>
  <c r="M12" i="12"/>
  <c r="AA17" i="1"/>
  <c r="M13" i="12"/>
  <c r="AA18" i="1"/>
  <c r="M14" i="12"/>
  <c r="AA19" i="1"/>
  <c r="M15" i="12"/>
  <c r="M16" i="12"/>
  <c r="M17" i="12"/>
  <c r="M20" i="12"/>
  <c r="M22" i="12"/>
  <c r="M23" i="12"/>
  <c r="M24" i="12"/>
  <c r="M25" i="12"/>
  <c r="M26" i="12"/>
  <c r="M27" i="12"/>
  <c r="M28" i="12"/>
  <c r="M29" i="12"/>
  <c r="AA6" i="1"/>
  <c r="M2" i="12"/>
  <c r="AC6" i="1"/>
  <c r="N2" i="12"/>
  <c r="AC7" i="1"/>
  <c r="N3" i="12"/>
  <c r="AC8" i="1"/>
  <c r="AC9" i="1"/>
  <c r="N5" i="12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L2" i="12"/>
  <c r="O6" i="1"/>
  <c r="G5" i="9"/>
  <c r="O7" i="1"/>
  <c r="G6" i="9"/>
  <c r="G7" i="9"/>
  <c r="G11" i="9"/>
  <c r="G12" i="9"/>
  <c r="G13" i="9"/>
  <c r="G14" i="9"/>
  <c r="G15" i="9"/>
  <c r="G16" i="9"/>
  <c r="G17" i="9"/>
  <c r="G18" i="9"/>
  <c r="G20" i="9"/>
  <c r="G24" i="9"/>
  <c r="G25" i="9"/>
  <c r="G26" i="9"/>
  <c r="O28" i="1"/>
  <c r="K28" i="1" s="1"/>
  <c r="O29" i="1"/>
  <c r="G28" i="9"/>
  <c r="O30" i="1"/>
  <c r="G29" i="9"/>
  <c r="O31" i="1"/>
  <c r="G30" i="9"/>
  <c r="O32" i="1"/>
  <c r="G31" i="9"/>
  <c r="O33" i="1"/>
  <c r="G32" i="9"/>
  <c r="M6" i="1"/>
  <c r="E5" i="9" s="1"/>
  <c r="M7" i="1"/>
  <c r="K7" i="1" s="1"/>
  <c r="M8" i="1"/>
  <c r="K8" i="1" s="1"/>
  <c r="E8" i="9"/>
  <c r="K10" i="1"/>
  <c r="G6" i="12" s="1"/>
  <c r="E10" i="9"/>
  <c r="E12" i="9"/>
  <c r="E13" i="9"/>
  <c r="E14" i="9"/>
  <c r="E15" i="9"/>
  <c r="E16" i="9"/>
  <c r="E17" i="9"/>
  <c r="E18" i="9"/>
  <c r="E19" i="9"/>
  <c r="E20" i="9"/>
  <c r="E27" i="9"/>
  <c r="E29" i="9"/>
  <c r="J6" i="1"/>
  <c r="F2" i="12"/>
  <c r="J7" i="1"/>
  <c r="J8" i="1"/>
  <c r="C7" i="9"/>
  <c r="J9" i="1"/>
  <c r="F5" i="12"/>
  <c r="J10" i="1"/>
  <c r="F6" i="12"/>
  <c r="J11" i="1"/>
  <c r="F7" i="12"/>
  <c r="J12" i="1"/>
  <c r="F8" i="12"/>
  <c r="J13" i="1"/>
  <c r="F9" i="12"/>
  <c r="J14" i="1"/>
  <c r="C13" i="9"/>
  <c r="J15" i="1"/>
  <c r="F13" i="12"/>
  <c r="J18" i="1"/>
  <c r="F14" i="12"/>
  <c r="J19" i="1"/>
  <c r="J20" i="1"/>
  <c r="F16" i="12"/>
  <c r="J21" i="1"/>
  <c r="F17" i="12"/>
  <c r="F19" i="12"/>
  <c r="J24" i="1"/>
  <c r="F20" i="12"/>
  <c r="J25" i="1"/>
  <c r="J26" i="1"/>
  <c r="F22" i="12"/>
  <c r="J27" i="1"/>
  <c r="C26" i="9"/>
  <c r="J28" i="1"/>
  <c r="F24" i="12"/>
  <c r="J29" i="1"/>
  <c r="F25" i="12"/>
  <c r="J30" i="1"/>
  <c r="F26" i="12"/>
  <c r="J31" i="1"/>
  <c r="J32" i="1"/>
  <c r="F28" i="12"/>
  <c r="J33" i="1"/>
  <c r="F29" i="12"/>
  <c r="J34" i="1"/>
  <c r="C25" i="7"/>
  <c r="J35" i="1"/>
  <c r="C34" i="9"/>
  <c r="W6" i="1"/>
  <c r="C7" i="6"/>
  <c r="AO2" i="12"/>
  <c r="BR6" i="1"/>
  <c r="BN6" i="1"/>
  <c r="BL6" i="1"/>
  <c r="AD2" i="12"/>
  <c r="BB6" i="1"/>
  <c r="Y2" i="12"/>
  <c r="AV6" i="1"/>
  <c r="W2" i="12"/>
  <c r="V2" i="12"/>
  <c r="AR6" i="1"/>
  <c r="U2" i="12"/>
  <c r="T2" i="12"/>
  <c r="AK6" i="1"/>
  <c r="R2" i="12"/>
  <c r="Q2" i="12"/>
  <c r="Q6" i="1"/>
  <c r="H2" i="12"/>
  <c r="BR5" i="1"/>
  <c r="AT35" i="9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K5" i="1" s="1"/>
  <c r="E35" i="9"/>
  <c r="J5" i="1"/>
  <c r="C35" i="9"/>
  <c r="G6" i="6"/>
  <c r="C6" i="6"/>
  <c r="G6" i="2"/>
  <c r="E6" i="2"/>
  <c r="C6" i="2"/>
  <c r="J39" i="1"/>
  <c r="G7" i="6"/>
  <c r="J7" i="6"/>
  <c r="AJ5" i="9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/>
  <c r="O9" i="2"/>
  <c r="R7" i="9"/>
  <c r="O10" i="2"/>
  <c r="R8" i="9"/>
  <c r="O11" i="2"/>
  <c r="R9" i="9"/>
  <c r="O12" i="2"/>
  <c r="R10" i="9"/>
  <c r="O13" i="2"/>
  <c r="R11" i="9"/>
  <c r="O14" i="2"/>
  <c r="R12" i="9"/>
  <c r="O15" i="2"/>
  <c r="R13" i="9"/>
  <c r="O16" i="2"/>
  <c r="R14" i="9"/>
  <c r="O17" i="2"/>
  <c r="R15" i="9"/>
  <c r="O18" i="2"/>
  <c r="R16" i="9"/>
  <c r="O19" i="2"/>
  <c r="R17" i="9"/>
  <c r="O20" i="2"/>
  <c r="R18" i="9"/>
  <c r="O21" i="2"/>
  <c r="R19" i="9"/>
  <c r="O22" i="2"/>
  <c r="O23" i="2"/>
  <c r="R21" i="9"/>
  <c r="O24" i="2"/>
  <c r="R22" i="9"/>
  <c r="O25" i="2"/>
  <c r="R23" i="9"/>
  <c r="O26" i="2"/>
  <c r="R24" i="9"/>
  <c r="O27" i="2"/>
  <c r="R25" i="9"/>
  <c r="O28" i="2"/>
  <c r="R26" i="9"/>
  <c r="O29" i="2"/>
  <c r="R27" i="9"/>
  <c r="O30" i="2"/>
  <c r="R28" i="9"/>
  <c r="O31" i="2"/>
  <c r="R29" i="9"/>
  <c r="O32" i="2"/>
  <c r="R30" i="9"/>
  <c r="O33" i="2"/>
  <c r="R31" i="9"/>
  <c r="O34" i="2"/>
  <c r="R32" i="9"/>
  <c r="O35" i="2"/>
  <c r="O36" i="2"/>
  <c r="G8" i="2"/>
  <c r="AL3" i="12"/>
  <c r="AL4" i="12"/>
  <c r="AL5" i="12"/>
  <c r="AL6" i="12"/>
  <c r="AL7" i="12"/>
  <c r="AL8" i="12"/>
  <c r="AL9" i="12"/>
  <c r="AL10" i="12"/>
  <c r="AL11" i="12"/>
  <c r="AL12" i="12"/>
  <c r="AL14" i="12"/>
  <c r="AL15" i="12"/>
  <c r="AL16" i="12"/>
  <c r="AL17" i="12"/>
  <c r="AL18" i="12"/>
  <c r="AL19" i="12"/>
  <c r="AL20" i="12"/>
  <c r="AL21" i="12"/>
  <c r="AL22" i="12"/>
  <c r="AL24" i="12"/>
  <c r="AL28" i="12"/>
  <c r="AL30" i="12"/>
  <c r="K7" i="9"/>
  <c r="K18" i="9"/>
  <c r="K19" i="9"/>
  <c r="AK18" i="12"/>
  <c r="AK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L2" i="12"/>
  <c r="AJ2" i="12"/>
  <c r="BV37" i="1"/>
  <c r="BV38" i="1"/>
  <c r="S7" i="2"/>
  <c r="J40" i="1"/>
  <c r="F37" i="1"/>
  <c r="F38" i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1242" i="10" s="1"/>
  <c r="D2368" i="10"/>
  <c r="D2369" i="10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/>
  <c r="F2368" i="10"/>
  <c r="F2369" i="10"/>
  <c r="G2368" i="10"/>
  <c r="G2369" i="10"/>
  <c r="C2368" i="10"/>
  <c r="C2369" i="10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/>
  <c r="F11" i="4"/>
  <c r="F12" i="4"/>
  <c r="H12" i="4"/>
  <c r="F13" i="4"/>
  <c r="H13" i="4"/>
  <c r="F14" i="4"/>
  <c r="H14" i="4"/>
  <c r="F15" i="4"/>
  <c r="F16" i="4"/>
  <c r="F17" i="4"/>
  <c r="H17" i="4"/>
  <c r="F18" i="4"/>
  <c r="G18" i="4"/>
  <c r="F19" i="4"/>
  <c r="G19" i="4"/>
  <c r="F20" i="4"/>
  <c r="F21" i="4"/>
  <c r="H21" i="4"/>
  <c r="F22" i="4"/>
  <c r="G22" i="4"/>
  <c r="F23" i="4"/>
  <c r="H23" i="4"/>
  <c r="F24" i="4"/>
  <c r="G24" i="4"/>
  <c r="F25" i="4"/>
  <c r="H25" i="4"/>
  <c r="F26" i="4"/>
  <c r="H26" i="4"/>
  <c r="F27" i="4"/>
  <c r="H27" i="4"/>
  <c r="F28" i="4"/>
  <c r="H28" i="4"/>
  <c r="F29" i="4"/>
  <c r="F30" i="4"/>
  <c r="H30" i="4"/>
  <c r="F31" i="4"/>
  <c r="H31" i="4"/>
  <c r="F32" i="4"/>
  <c r="F33" i="4"/>
  <c r="H33" i="4"/>
  <c r="F34" i="4"/>
  <c r="G34" i="4"/>
  <c r="F35" i="4"/>
  <c r="F36" i="4"/>
  <c r="F37" i="4"/>
  <c r="H37" i="4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/>
  <c r="F19" i="10"/>
  <c r="G19" i="10"/>
  <c r="G66" i="10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/>
  <c r="BQ36" i="9"/>
  <c r="W41" i="2"/>
  <c r="BN36" i="9"/>
  <c r="U41" i="2"/>
  <c r="BM36" i="9" s="1"/>
  <c r="AF36" i="9"/>
  <c r="BG7" i="9"/>
  <c r="AI34" i="9"/>
  <c r="AI33" i="9"/>
  <c r="C30" i="7"/>
  <c r="C46" i="7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/>
  <c r="BL34" i="1"/>
  <c r="BL33" i="1"/>
  <c r="AD29" i="12"/>
  <c r="D66" i="10"/>
  <c r="G17" i="4"/>
  <c r="K15" i="12"/>
  <c r="K14" i="12"/>
  <c r="K8" i="12"/>
  <c r="AD18" i="12"/>
  <c r="H66" i="10"/>
  <c r="G33" i="4"/>
  <c r="H31" i="6"/>
  <c r="H30" i="6"/>
  <c r="Q989" i="10"/>
  <c r="Q2196" i="10"/>
  <c r="Q2218" i="10"/>
  <c r="Q1536" i="10"/>
  <c r="Q563" i="10"/>
  <c r="Q831" i="10"/>
  <c r="Q767" i="10"/>
  <c r="Q403" i="10"/>
  <c r="J29" i="6"/>
  <c r="AJ27" i="9" s="1"/>
  <c r="I24" i="9"/>
  <c r="AU6" i="9"/>
  <c r="AH25" i="9"/>
  <c r="C2353" i="10"/>
  <c r="C22" i="9"/>
  <c r="J30" i="6"/>
  <c r="AJ28" i="9" s="1"/>
  <c r="C10" i="9"/>
  <c r="C9" i="9"/>
  <c r="Q572" i="10"/>
  <c r="Q1607" i="10"/>
  <c r="Q1718" i="10"/>
  <c r="Q1136" i="10"/>
  <c r="P40" i="10"/>
  <c r="Q1983" i="10"/>
  <c r="H29" i="6"/>
  <c r="Q26" i="10"/>
  <c r="Q1060" i="10"/>
  <c r="Q567" i="10"/>
  <c r="Q2359" i="10"/>
  <c r="V43" i="2" s="1"/>
  <c r="V44" i="2" s="1"/>
  <c r="V45" i="2" s="1"/>
  <c r="Q1959" i="10"/>
  <c r="Q1154" i="10"/>
  <c r="Q423" i="10"/>
  <c r="Q2117" i="10"/>
  <c r="Q2348" i="10"/>
  <c r="Q1962" i="10"/>
  <c r="Q1782" i="10"/>
  <c r="Q64" i="10"/>
  <c r="F54" i="7"/>
  <c r="AU20" i="9"/>
  <c r="G31" i="4"/>
  <c r="AU7" i="9"/>
  <c r="H33" i="6"/>
  <c r="AO22" i="12"/>
  <c r="BO36" i="9"/>
  <c r="P24" i="9"/>
  <c r="I25" i="9"/>
  <c r="K25" i="9"/>
  <c r="AT31" i="9"/>
  <c r="AU18" i="9"/>
  <c r="Y41" i="2"/>
  <c r="BP36" i="9" s="1"/>
  <c r="P26" i="10"/>
  <c r="Q663" i="10"/>
  <c r="AK6" i="12"/>
  <c r="K9" i="9"/>
  <c r="G23" i="4"/>
  <c r="AK21" i="12"/>
  <c r="AT20" i="9"/>
  <c r="J14" i="6"/>
  <c r="AJ12" i="9"/>
  <c r="K27" i="6"/>
  <c r="C28" i="9"/>
  <c r="C17" i="9"/>
  <c r="AU15" i="9"/>
  <c r="AT29" i="9"/>
  <c r="J15" i="6"/>
  <c r="AJ13" i="9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J20" i="12"/>
  <c r="I23" i="9"/>
  <c r="H15" i="4"/>
  <c r="G15" i="4"/>
  <c r="Q153" i="10"/>
  <c r="Q839" i="10"/>
  <c r="Q581" i="10"/>
  <c r="Q1567" i="10"/>
  <c r="P7" i="10"/>
  <c r="Q1848" i="10"/>
  <c r="Q2345" i="10"/>
  <c r="Q2266" i="10"/>
  <c r="K26" i="9"/>
  <c r="G27" i="4"/>
  <c r="AU10" i="9"/>
  <c r="H10" i="4"/>
  <c r="J10" i="4"/>
  <c r="AH12" i="9"/>
  <c r="C25" i="9"/>
  <c r="AU19" i="9"/>
  <c r="AG16" i="12"/>
  <c r="AQ23" i="12"/>
  <c r="J28" i="6"/>
  <c r="AJ26" i="9" s="1"/>
  <c r="AJ17" i="12"/>
  <c r="I20" i="9"/>
  <c r="C8" i="9"/>
  <c r="AF21" i="12"/>
  <c r="AU24" i="9"/>
  <c r="AG24" i="12"/>
  <c r="AT27" i="9"/>
  <c r="K11" i="12"/>
  <c r="AQ5" i="12"/>
  <c r="J10" i="6"/>
  <c r="AJ8" i="9"/>
  <c r="I35" i="6"/>
  <c r="C66" i="10"/>
  <c r="AL31" i="12"/>
  <c r="AO17" i="12"/>
  <c r="AH20" i="9"/>
  <c r="I22" i="6"/>
  <c r="J32" i="6"/>
  <c r="AJ30" i="9"/>
  <c r="J21" i="6"/>
  <c r="AJ19" i="9"/>
  <c r="H18" i="4"/>
  <c r="K21" i="9"/>
  <c r="K13" i="9"/>
  <c r="AL13" i="12"/>
  <c r="R20" i="9"/>
  <c r="G22" i="12"/>
  <c r="G24" i="12"/>
  <c r="G27" i="9"/>
  <c r="M21" i="12"/>
  <c r="M3" i="12"/>
  <c r="Q14" i="12"/>
  <c r="V15" i="12"/>
  <c r="H35" i="4"/>
  <c r="G35" i="4"/>
  <c r="H11" i="4"/>
  <c r="G11" i="4"/>
  <c r="K26" i="12"/>
  <c r="AO21" i="12"/>
  <c r="I26" i="6"/>
  <c r="AH24" i="9"/>
  <c r="H18" i="6"/>
  <c r="H29" i="4"/>
  <c r="G29" i="4"/>
  <c r="J26" i="6"/>
  <c r="AJ24" i="9" s="1"/>
  <c r="C31" i="9"/>
  <c r="G13" i="4"/>
  <c r="H39" i="4"/>
  <c r="G39" i="4"/>
  <c r="H24" i="4"/>
  <c r="AF6" i="12"/>
  <c r="AG10" i="12"/>
  <c r="AT13" i="9"/>
  <c r="AT9" i="9"/>
  <c r="AQ18" i="12"/>
  <c r="J23" i="6"/>
  <c r="AJ21" i="9"/>
  <c r="I11" i="9"/>
  <c r="AJ26" i="12"/>
  <c r="H9" i="6"/>
  <c r="AF30" i="12"/>
  <c r="K6" i="12"/>
  <c r="AO29" i="12"/>
  <c r="K29" i="6"/>
  <c r="I29" i="6"/>
  <c r="AO24" i="12"/>
  <c r="AH27" i="9"/>
  <c r="G21" i="4"/>
  <c r="H16" i="6"/>
  <c r="G2370" i="10"/>
  <c r="Q1200" i="10"/>
  <c r="Q2104" i="10"/>
  <c r="Q625" i="10"/>
  <c r="Q101" i="10"/>
  <c r="Q413" i="10"/>
  <c r="AT21" i="9"/>
  <c r="AG7" i="12"/>
  <c r="O65" i="10"/>
  <c r="O2352" i="10"/>
  <c r="F23" i="12"/>
  <c r="AF23" i="12"/>
  <c r="AU26" i="9"/>
  <c r="AE5" i="12"/>
  <c r="K9" i="12"/>
  <c r="AJ18" i="12"/>
  <c r="AE26" i="12"/>
  <c r="K2" i="12"/>
  <c r="AE22" i="12"/>
  <c r="H19" i="4"/>
  <c r="Q253" i="10"/>
  <c r="Q1469" i="10"/>
  <c r="Q175" i="10"/>
  <c r="C29" i="9"/>
  <c r="G23" i="9"/>
  <c r="AT24" i="9"/>
  <c r="AO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O25" i="12"/>
  <c r="K17" i="6"/>
  <c r="F18" i="12"/>
  <c r="C21" i="9"/>
  <c r="E24" i="9"/>
  <c r="G21" i="12"/>
  <c r="AG30" i="12"/>
  <c r="AT33" i="9"/>
  <c r="AG15" i="12"/>
  <c r="AT18" i="9"/>
  <c r="Q576" i="10"/>
  <c r="Q2088" i="10"/>
  <c r="P39" i="10"/>
  <c r="Q2119" i="10"/>
  <c r="Q116" i="10"/>
  <c r="Q1614" i="10"/>
  <c r="Q845" i="10"/>
  <c r="Q707" i="10"/>
  <c r="Q1422" i="10"/>
  <c r="Q902" i="10"/>
  <c r="Q740" i="10"/>
  <c r="Q300" i="10"/>
  <c r="Q710" i="10"/>
  <c r="Q536" i="10"/>
  <c r="Q502" i="10"/>
  <c r="Q1571" i="10"/>
  <c r="Q1324" i="10"/>
  <c r="Q1681" i="10"/>
  <c r="Q1401" i="10"/>
  <c r="Q2222" i="10"/>
  <c r="Q1922" i="10"/>
  <c r="Q1173" i="10"/>
  <c r="Q2021" i="10"/>
  <c r="Q1945" i="10"/>
  <c r="Q2017" i="10"/>
  <c r="Q2240" i="10"/>
  <c r="Q1728" i="10"/>
  <c r="Q4" i="10"/>
  <c r="C33" i="7"/>
  <c r="Q1359" i="10"/>
  <c r="Q2135" i="10"/>
  <c r="Q752" i="10"/>
  <c r="Q1810" i="10"/>
  <c r="Q1000" i="10"/>
  <c r="Q1032" i="10"/>
  <c r="Q851" i="10"/>
  <c r="Q297" i="10"/>
  <c r="Q656" i="10"/>
  <c r="Q788" i="10"/>
  <c r="Q1637" i="10"/>
  <c r="Q565" i="10"/>
  <c r="Q982" i="10"/>
  <c r="P42" i="10"/>
  <c r="Q1800" i="10"/>
  <c r="Q755" i="10"/>
  <c r="Q324" i="10"/>
  <c r="Q271" i="10"/>
  <c r="Q533" i="10"/>
  <c r="Q2366" i="10"/>
  <c r="Q1814" i="10"/>
  <c r="Q1944" i="10"/>
  <c r="Q347" i="10"/>
  <c r="Q491" i="10"/>
  <c r="Q1564" i="10"/>
  <c r="Q2005" i="10"/>
  <c r="Q1796" i="10"/>
  <c r="Q1360" i="10"/>
  <c r="P2344" i="10"/>
  <c r="Q1655" i="10"/>
  <c r="P27" i="10"/>
  <c r="Q1071" i="10"/>
  <c r="Q494" i="10"/>
  <c r="Q2312" i="10"/>
  <c r="Q1302" i="10"/>
  <c r="Q5" i="10"/>
  <c r="C34" i="7" s="1"/>
  <c r="Q1131" i="10"/>
  <c r="P14" i="10"/>
  <c r="Q1505" i="10"/>
  <c r="Q1410" i="10"/>
  <c r="Q490" i="10"/>
  <c r="Q7" i="10"/>
  <c r="P62" i="10"/>
  <c r="Q676" i="10"/>
  <c r="Q973" i="10"/>
  <c r="Q1113" i="10"/>
  <c r="Q1648" i="10"/>
  <c r="P57" i="10"/>
  <c r="Q1159" i="10"/>
  <c r="Q1098" i="10"/>
  <c r="Q1529" i="10"/>
  <c r="Q2361" i="10"/>
  <c r="Q1298" i="10"/>
  <c r="Q2052" i="10"/>
  <c r="Q254" i="10"/>
  <c r="Q1256" i="10"/>
  <c r="Q364" i="10"/>
  <c r="Q1988" i="10"/>
  <c r="Q1047" i="10"/>
  <c r="Q561" i="10"/>
  <c r="Q1415" i="10"/>
  <c r="Q1238" i="10"/>
  <c r="Q19" i="10"/>
  <c r="Q1980" i="10"/>
  <c r="Q828" i="10"/>
  <c r="Q1817" i="10"/>
  <c r="Q1521" i="10"/>
  <c r="Q1276" i="10"/>
  <c r="Q1905" i="10"/>
  <c r="Q1630" i="10"/>
  <c r="Q979" i="10"/>
  <c r="Q47" i="10"/>
  <c r="Q1374" i="10"/>
  <c r="Q598" i="10"/>
  <c r="Q259" i="10"/>
  <c r="Q1428" i="10"/>
  <c r="Q2187" i="10"/>
  <c r="Q560" i="10"/>
  <c r="Q585" i="10"/>
  <c r="Q1295" i="10"/>
  <c r="Q2016" i="10"/>
  <c r="Q594" i="10"/>
  <c r="Q1187" i="10"/>
  <c r="Q14" i="10"/>
  <c r="Q1334" i="10"/>
  <c r="Q20" i="10"/>
  <c r="Q495" i="10"/>
  <c r="Q2151" i="10"/>
  <c r="Q810" i="10"/>
  <c r="Q132" i="10"/>
  <c r="Q256" i="10"/>
  <c r="Q1875" i="10"/>
  <c r="Q609" i="10"/>
  <c r="Q534" i="10"/>
  <c r="Q1398" i="10"/>
  <c r="Q2313" i="10"/>
  <c r="Q772" i="10"/>
  <c r="Q1752" i="10"/>
  <c r="Q1055" i="10"/>
  <c r="Q918" i="10"/>
  <c r="Q2239" i="10"/>
  <c r="Q1996" i="10"/>
  <c r="Q282" i="10"/>
  <c r="Q726" i="10"/>
  <c r="Q483" i="10"/>
  <c r="Q1775" i="10"/>
  <c r="Q1396" i="10"/>
  <c r="Q1140" i="10"/>
  <c r="P20" i="10"/>
  <c r="P38" i="10"/>
  <c r="Q708" i="10"/>
  <c r="P50" i="10"/>
  <c r="Q647" i="10"/>
  <c r="Q1991" i="10"/>
  <c r="P12" i="10"/>
  <c r="Q1894" i="10"/>
  <c r="Q166" i="10"/>
  <c r="Q278" i="10"/>
  <c r="Q1379" i="10"/>
  <c r="Q1592" i="10"/>
  <c r="Q1716" i="10"/>
  <c r="Q8" i="10"/>
  <c r="Q1853" i="10"/>
  <c r="Q295" i="10"/>
  <c r="Q648" i="10"/>
  <c r="Q15" i="10"/>
  <c r="Q2061" i="10"/>
  <c r="Q1141" i="10"/>
  <c r="Q910" i="10"/>
  <c r="Q161" i="10"/>
  <c r="Q643" i="10"/>
  <c r="Q183" i="10"/>
  <c r="Q685" i="10"/>
  <c r="Q1602" i="10"/>
  <c r="Q2039" i="10"/>
  <c r="Q1293" i="10"/>
  <c r="Q701" i="10"/>
  <c r="Q2035" i="10"/>
  <c r="Q867" i="10"/>
  <c r="Q544" i="10"/>
  <c r="Q1624" i="10"/>
  <c r="Q1209" i="10"/>
  <c r="Q1908" i="10"/>
  <c r="Q2108" i="10"/>
  <c r="Q164" i="10"/>
  <c r="Q1299" i="10"/>
  <c r="Q1924" i="10"/>
  <c r="Q1859" i="10"/>
  <c r="Q1837" i="10"/>
  <c r="Q1888" i="10"/>
  <c r="Q1188" i="10"/>
  <c r="Q1969" i="10"/>
  <c r="Q1950" i="10"/>
  <c r="Q2352" i="10"/>
  <c r="Q40" i="10"/>
  <c r="Q197" i="10"/>
  <c r="Q1573" i="10"/>
  <c r="Q655" i="10"/>
  <c r="Q2205" i="10"/>
  <c r="Q2106" i="10"/>
  <c r="Q279" i="10"/>
  <c r="Q2084" i="10"/>
  <c r="Q1029" i="10"/>
  <c r="Q2155" i="10"/>
  <c r="P53" i="10"/>
  <c r="Q796" i="10"/>
  <c r="Q1327" i="10"/>
  <c r="Q396" i="10"/>
  <c r="Q481" i="10"/>
  <c r="Q554" i="10"/>
  <c r="Q2118" i="10"/>
  <c r="Q2235" i="10"/>
  <c r="Q1890" i="10"/>
  <c r="Q1797" i="10"/>
  <c r="Q1795" i="10"/>
  <c r="Q1368" i="10"/>
  <c r="Q1632" i="10"/>
  <c r="Q2073" i="10"/>
  <c r="Q2188" i="10"/>
  <c r="Q575" i="10"/>
  <c r="Q30" i="10"/>
  <c r="Q729" i="10"/>
  <c r="Q52" i="10"/>
  <c r="Q1406" i="10"/>
  <c r="Q67" i="10"/>
  <c r="Q1464" i="10"/>
  <c r="Q744" i="10"/>
  <c r="Q1084" i="10"/>
  <c r="Q2234" i="10"/>
  <c r="Q947" i="10"/>
  <c r="Q2099" i="10"/>
  <c r="Q2284" i="10"/>
  <c r="Q203" i="10"/>
  <c r="Q1727" i="10"/>
  <c r="Q562" i="10"/>
  <c r="Q1064" i="10"/>
  <c r="Q1541" i="10"/>
  <c r="Q1593" i="10"/>
  <c r="Q1023" i="10"/>
  <c r="Q2043" i="10"/>
  <c r="Q2299" i="10"/>
  <c r="Q1429" i="10"/>
  <c r="Q731" i="10"/>
  <c r="Q2335" i="10"/>
  <c r="Q1385" i="10"/>
  <c r="Q1235" i="10"/>
  <c r="Q555" i="10"/>
  <c r="Q1606" i="10"/>
  <c r="Q1783" i="10"/>
  <c r="Q1246" i="10"/>
  <c r="Q1330" i="10"/>
  <c r="Q1966" i="10"/>
  <c r="Q468" i="10"/>
  <c r="P2367" i="10"/>
  <c r="Q909" i="10"/>
  <c r="Q342" i="10"/>
  <c r="Q907" i="10"/>
  <c r="Q2331" i="10"/>
  <c r="Q437" i="10"/>
  <c r="Q2228" i="10"/>
  <c r="Q416" i="10"/>
  <c r="Q1880" i="10"/>
  <c r="Q2203" i="10"/>
  <c r="Q762" i="10"/>
  <c r="Q305" i="10"/>
  <c r="Q658" i="10"/>
  <c r="Q2110" i="10"/>
  <c r="Q2291" i="10"/>
  <c r="Q1017" i="10"/>
  <c r="Q362" i="10"/>
  <c r="Q1292" i="10"/>
  <c r="Q938" i="10"/>
  <c r="Q813" i="10"/>
  <c r="Q713" i="10"/>
  <c r="Q28" i="10"/>
  <c r="Q601" i="10"/>
  <c r="Q2175" i="10"/>
  <c r="Q90" i="10"/>
  <c r="Q890" i="10"/>
  <c r="Q459" i="10"/>
  <c r="Q1241" i="10"/>
  <c r="Q901" i="10"/>
  <c r="Q792" i="10"/>
  <c r="Q2048" i="10"/>
  <c r="Q198" i="10"/>
  <c r="Q1155" i="10"/>
  <c r="Q578" i="10"/>
  <c r="Q1926" i="10"/>
  <c r="Q1540" i="10"/>
  <c r="Q1843" i="10"/>
  <c r="Q1769" i="10"/>
  <c r="Q2303" i="10"/>
  <c r="Q1963" i="10"/>
  <c r="Q1476" i="10"/>
  <c r="Q1535" i="10"/>
  <c r="Q1361" i="10"/>
  <c r="Q1869" i="10"/>
  <c r="Q1730" i="10"/>
  <c r="Q1304" i="10"/>
  <c r="Q1310" i="10"/>
  <c r="Q2024" i="10"/>
  <c r="Q351" i="10"/>
  <c r="Q1409" i="10"/>
  <c r="Q1124" i="10"/>
  <c r="Q523" i="10"/>
  <c r="Q288" i="10"/>
  <c r="Q269" i="10"/>
  <c r="Q38" i="10"/>
  <c r="Q248" i="10"/>
  <c r="Q352" i="10"/>
  <c r="Q900" i="10"/>
  <c r="Q1785" i="10"/>
  <c r="Q1250" i="10"/>
  <c r="Q809" i="10"/>
  <c r="Q887" i="10"/>
  <c r="Q1319" i="10"/>
  <c r="Q1117" i="10"/>
  <c r="Q497" i="10"/>
  <c r="Q1597" i="10"/>
  <c r="Q1279" i="10"/>
  <c r="Q732" i="10"/>
  <c r="Q548" i="10"/>
  <c r="Q1501" i="10"/>
  <c r="Q1517" i="10"/>
  <c r="Q2295" i="10"/>
  <c r="Q361" i="10"/>
  <c r="Q1973" i="10"/>
  <c r="Q876" i="10"/>
  <c r="Q1876" i="10"/>
  <c r="Q2292" i="10"/>
  <c r="Q2150" i="10"/>
  <c r="Q78" i="10"/>
  <c r="Q1771" i="10"/>
  <c r="Q1830" i="10"/>
  <c r="Q1193" i="10"/>
  <c r="Q1106" i="10"/>
  <c r="Q1887" i="10"/>
  <c r="Q221" i="10"/>
  <c r="Q994" i="10"/>
  <c r="Q862" i="10"/>
  <c r="Q287" i="10"/>
  <c r="Q1761" i="10"/>
  <c r="Q2160" i="10"/>
  <c r="Q817" i="10"/>
  <c r="Q1978" i="10"/>
  <c r="Q670" i="10"/>
  <c r="Q1617" i="10"/>
  <c r="Q784" i="10"/>
  <c r="Q2001" i="10"/>
  <c r="Q798" i="10"/>
  <c r="Q1456" i="10"/>
  <c r="Q2022" i="10"/>
  <c r="Q1103" i="10"/>
  <c r="Q1439" i="10"/>
  <c r="Q199" i="10"/>
  <c r="Q1286" i="10"/>
  <c r="Q967" i="10"/>
  <c r="Q1145" i="10"/>
  <c r="Q1448" i="10"/>
  <c r="Q1590" i="10"/>
  <c r="Q1263" i="10"/>
  <c r="P11" i="10"/>
  <c r="Q714" i="10"/>
  <c r="Q1475" i="10"/>
  <c r="Q119" i="10"/>
  <c r="Q1672" i="10"/>
  <c r="P61" i="10"/>
  <c r="Q1281" i="10"/>
  <c r="Q802" i="10"/>
  <c r="Q825" i="10"/>
  <c r="Q1227" i="10"/>
  <c r="Q826" i="10"/>
  <c r="Q791" i="10"/>
  <c r="Q1543" i="10"/>
  <c r="Q564" i="10"/>
  <c r="Q608" i="10"/>
  <c r="Q1046" i="10"/>
  <c r="Q405" i="10"/>
  <c r="Q807" i="10"/>
  <c r="Q913" i="10"/>
  <c r="Q238" i="10"/>
  <c r="Q1910" i="10"/>
  <c r="Q2285" i="10"/>
  <c r="Q2080" i="10"/>
  <c r="P25" i="10"/>
  <c r="Q1267" i="10"/>
  <c r="Q824" i="10"/>
  <c r="Q33" i="10"/>
  <c r="Q2140" i="10"/>
  <c r="Q1544" i="10"/>
  <c r="Q1489" i="10"/>
  <c r="Q2182" i="10"/>
  <c r="Q2162" i="10"/>
  <c r="Q1759" i="10"/>
  <c r="Q58" i="10"/>
  <c r="Q877" i="10"/>
  <c r="Q36" i="10"/>
  <c r="Q261" i="10"/>
  <c r="Q574" i="10"/>
  <c r="Q2294" i="10"/>
  <c r="Q1515" i="10"/>
  <c r="Q2278" i="10"/>
  <c r="Q2177" i="10"/>
  <c r="P2370" i="10"/>
  <c r="Q1083" i="10"/>
  <c r="Q929" i="10"/>
  <c r="Q1770" i="10"/>
  <c r="Q906" i="10"/>
  <c r="Q381" i="10"/>
  <c r="Q17" i="10"/>
  <c r="Q1182" i="10"/>
  <c r="Q1745" i="10"/>
  <c r="Q2214" i="10"/>
  <c r="Q462" i="10"/>
  <c r="Q955" i="10"/>
  <c r="Q167" i="10"/>
  <c r="Q1871" i="10"/>
  <c r="Q230" i="10"/>
  <c r="Q350" i="10"/>
  <c r="Q912" i="10"/>
  <c r="Q1077" i="10"/>
  <c r="Q148" i="10"/>
  <c r="Q1827" i="10"/>
  <c r="Q2139" i="10"/>
  <c r="P23" i="10"/>
  <c r="Q384" i="10"/>
  <c r="Q805" i="10"/>
  <c r="Q1466" i="10"/>
  <c r="Q508" i="10"/>
  <c r="Q386" i="10"/>
  <c r="Q214" i="10"/>
  <c r="Q212" i="10"/>
  <c r="Q566" i="10"/>
  <c r="Q1719" i="10"/>
  <c r="Q1074" i="10"/>
  <c r="Q1345" i="10"/>
  <c r="Q1684" i="10"/>
  <c r="Q1447" i="10"/>
  <c r="Q227" i="10"/>
  <c r="Q434" i="10"/>
  <c r="Q1568" i="10"/>
  <c r="Q1722" i="10"/>
  <c r="Q1181" i="10"/>
  <c r="Q964" i="10"/>
  <c r="Q1562" i="10"/>
  <c r="Q1087" i="10"/>
  <c r="Q1579" i="10"/>
  <c r="Q85" i="10"/>
  <c r="Q1975" i="10"/>
  <c r="Q1318" i="10"/>
  <c r="Q1604" i="10"/>
  <c r="Q1831" i="10"/>
  <c r="Q886" i="10"/>
  <c r="Q191" i="10"/>
  <c r="Q661" i="10"/>
  <c r="Q1948" i="10"/>
  <c r="Q2128" i="10"/>
  <c r="Q1979" i="10"/>
  <c r="Q51" i="10"/>
  <c r="Q1301" i="10"/>
  <c r="Q1626" i="10"/>
  <c r="Q260" i="10"/>
  <c r="Q1879" i="10"/>
  <c r="Q627" i="10"/>
  <c r="Q1967" i="10"/>
  <c r="Q1033" i="10"/>
  <c r="P2343" i="10"/>
  <c r="Q996" i="10"/>
  <c r="Q456" i="10"/>
  <c r="Q277" i="10"/>
  <c r="Q1393" i="10"/>
  <c r="Q410" i="10"/>
  <c r="Q54" i="10"/>
  <c r="Q972" i="10"/>
  <c r="Q1720" i="10"/>
  <c r="Q634" i="10"/>
  <c r="Q146" i="10"/>
  <c r="Q95" i="10"/>
  <c r="Q1085" i="10"/>
  <c r="Q1559" i="10"/>
  <c r="Q1495" i="10"/>
  <c r="Q532" i="10"/>
  <c r="Q1354" i="10"/>
  <c r="Q421" i="10"/>
  <c r="Q2364" i="10"/>
  <c r="Q1275" i="10"/>
  <c r="Q477" i="10"/>
  <c r="Q711" i="10"/>
  <c r="Q2211" i="10"/>
  <c r="Q1663" i="10"/>
  <c r="Q1434" i="10"/>
  <c r="Q1673" i="10"/>
  <c r="Q2286" i="10"/>
  <c r="Q1900" i="10"/>
  <c r="Q135" i="10"/>
  <c r="Q2033" i="10"/>
  <c r="P8" i="10"/>
  <c r="Q516" i="10"/>
  <c r="Q1994" i="10"/>
  <c r="P65" i="10"/>
  <c r="Q172" i="10"/>
  <c r="Q646" i="10"/>
  <c r="Q865" i="10"/>
  <c r="Q320" i="10"/>
  <c r="Q1494" i="10"/>
  <c r="Q881" i="10"/>
  <c r="Q1671" i="10"/>
  <c r="Q525" i="10"/>
  <c r="Q837" i="10"/>
  <c r="Q138" i="10"/>
  <c r="Q950" i="10"/>
  <c r="Q206" i="10"/>
  <c r="Q1020" i="10"/>
  <c r="Q1508" i="10"/>
  <c r="Q841" i="10"/>
  <c r="Q546" i="10"/>
  <c r="Q875" i="10"/>
  <c r="Q56" i="10"/>
  <c r="Q623" i="10"/>
  <c r="Q290" i="10"/>
  <c r="Q773" i="10"/>
  <c r="Q1111" i="10"/>
  <c r="Q953" i="10"/>
  <c r="Q1450" i="10"/>
  <c r="Q1903" i="10"/>
  <c r="P6" i="10"/>
  <c r="Q1965" i="10"/>
  <c r="Q2370" i="10"/>
  <c r="Q1844" i="10"/>
  <c r="Q376" i="10"/>
  <c r="Q402" i="10"/>
  <c r="Q173" i="10"/>
  <c r="Q2050" i="10"/>
  <c r="Q2126" i="10"/>
  <c r="Q1929" i="10"/>
  <c r="Q1191" i="10"/>
  <c r="Q1039" i="10"/>
  <c r="Q1683" i="10"/>
  <c r="Q615" i="10"/>
  <c r="Q2053" i="10"/>
  <c r="Q786" i="10"/>
  <c r="Q1195" i="10"/>
  <c r="Q961" i="10"/>
  <c r="Q981" i="10"/>
  <c r="Q883" i="10"/>
  <c r="Q2096" i="10"/>
  <c r="Q306" i="10"/>
  <c r="Q1427" i="10"/>
  <c r="Q1163" i="10"/>
  <c r="Q1990" i="10"/>
  <c r="Q597" i="10"/>
  <c r="Q667" i="10"/>
  <c r="Q688" i="10"/>
  <c r="Q728" i="10"/>
  <c r="Q270" i="10"/>
  <c r="Q917" i="10"/>
  <c r="Q2329" i="10"/>
  <c r="Q2153" i="10"/>
  <c r="Q2136" i="10"/>
  <c r="Q326" i="10"/>
  <c r="Q208" i="10"/>
  <c r="Q193" i="10"/>
  <c r="Q24" i="10"/>
  <c r="Q2324" i="10"/>
  <c r="Q1490" i="10"/>
  <c r="Q92" i="10"/>
  <c r="Q1552" i="10"/>
  <c r="P2363" i="10"/>
  <c r="Q16" i="10"/>
  <c r="Q530" i="10"/>
  <c r="Q211" i="10"/>
  <c r="Q1380" i="10"/>
  <c r="Q231" i="10"/>
  <c r="Q155" i="10"/>
  <c r="Q2062" i="10"/>
  <c r="P30" i="10"/>
  <c r="Q2367" i="10"/>
  <c r="Q1454" i="10"/>
  <c r="Q317" i="10"/>
  <c r="Q903" i="10"/>
  <c r="P2368" i="10"/>
  <c r="Q485" i="10"/>
  <c r="P21" i="10"/>
  <c r="Q144" i="10"/>
  <c r="Q2301" i="10"/>
  <c r="Q1961" i="10"/>
  <c r="P46" i="10"/>
  <c r="Q133" i="10"/>
  <c r="Q18" i="10"/>
  <c r="Q2172" i="10"/>
  <c r="Q83" i="10"/>
  <c r="Q1290" i="10"/>
  <c r="Q1538" i="10"/>
  <c r="Q2244" i="10"/>
  <c r="Q1588" i="10"/>
  <c r="Q2217" i="10"/>
  <c r="Q1925" i="10"/>
  <c r="Q2344" i="10"/>
  <c r="Q1202" i="10"/>
  <c r="Q675" i="10"/>
  <c r="Q2071" i="10"/>
  <c r="Q414" i="10"/>
  <c r="Q298" i="10"/>
  <c r="Q1016" i="10"/>
  <c r="Q579" i="10"/>
  <c r="Q240" i="10"/>
  <c r="Q262" i="10"/>
  <c r="Q1073" i="10"/>
  <c r="Q59" i="10"/>
  <c r="Q2254" i="10"/>
  <c r="Q1036" i="10"/>
  <c r="Q2145" i="10"/>
  <c r="Q1432" i="10"/>
  <c r="P58" i="10"/>
  <c r="Q1470" i="10"/>
  <c r="Q11" i="10"/>
  <c r="Q1068" i="10"/>
  <c r="Q371" i="10"/>
  <c r="Q2036" i="10"/>
  <c r="Q1638" i="10"/>
  <c r="Q363" i="10"/>
  <c r="Q1418" i="10"/>
  <c r="Q289" i="10"/>
  <c r="Q1935" i="10"/>
  <c r="Q1120" i="10"/>
  <c r="Q617" i="10"/>
  <c r="Q1236" i="10"/>
  <c r="Q551" i="10"/>
  <c r="Q1631" i="10"/>
  <c r="Q1395" i="10"/>
  <c r="Q1664" i="10"/>
  <c r="Q931" i="10"/>
  <c r="P2353" i="10"/>
  <c r="Q1317" i="10"/>
  <c r="Q1865" i="10"/>
  <c r="Q117" i="10"/>
  <c r="Q1025" i="10"/>
  <c r="Q244" i="10"/>
  <c r="Q1272" i="10"/>
  <c r="Q2288" i="10"/>
  <c r="Q2353" i="10"/>
  <c r="Q104" i="10"/>
  <c r="Q1995" i="10"/>
  <c r="Q777" i="10"/>
  <c r="Q2326" i="10"/>
  <c r="Q373" i="10"/>
  <c r="Q2191" i="10"/>
  <c r="Q591" i="10"/>
  <c r="Q29" i="10"/>
  <c r="Q341" i="10"/>
  <c r="Q1674" i="10"/>
  <c r="Q418" i="10"/>
  <c r="Q1170" i="10"/>
  <c r="Q1213" i="10"/>
  <c r="Q605" i="10"/>
  <c r="Q899" i="10"/>
  <c r="Q827" i="10"/>
  <c r="Q1522" i="10"/>
  <c r="Q1001" i="10"/>
  <c r="Q2176" i="10"/>
  <c r="Q946" i="10"/>
  <c r="Q304" i="10"/>
  <c r="Q431" i="10"/>
  <c r="Q1953" i="10"/>
  <c r="Q338" i="10"/>
  <c r="Q69" i="10"/>
  <c r="Q1619" i="10"/>
  <c r="Q129" i="10"/>
  <c r="Q1123" i="10"/>
  <c r="Q1239" i="10"/>
  <c r="Q1138" i="10"/>
  <c r="Q1261" i="10"/>
  <c r="Q1791" i="10"/>
  <c r="Q664" i="10"/>
  <c r="Q603" i="10"/>
  <c r="Q2051" i="10"/>
  <c r="Q106" i="10"/>
  <c r="Q660" i="10"/>
  <c r="Q1937" i="10"/>
  <c r="Q441" i="10"/>
  <c r="Q1412" i="10"/>
  <c r="Q1477" i="10"/>
  <c r="Q2315" i="10"/>
  <c r="Q1386" i="10"/>
  <c r="Q915" i="10"/>
  <c r="Q905" i="10"/>
  <c r="Q1678" i="10"/>
  <c r="Q509" i="10"/>
  <c r="Q2012" i="10"/>
  <c r="Q1636" i="10"/>
  <c r="Q1519" i="10"/>
  <c r="Q1986" i="10"/>
  <c r="Q1465" i="10"/>
  <c r="Q1130" i="10"/>
  <c r="Q2283" i="10"/>
  <c r="Q498" i="10"/>
  <c r="Q118" i="10"/>
  <c r="Q977" i="10"/>
  <c r="Q985" i="10"/>
  <c r="Q2255" i="10"/>
  <c r="Q458" i="10"/>
  <c r="Q1405" i="10"/>
  <c r="Q397" i="10"/>
  <c r="Q1219" i="10"/>
  <c r="Q893" i="10"/>
  <c r="Q1445" i="10"/>
  <c r="Q1313" i="10"/>
  <c r="Q1525" i="10"/>
  <c r="Q2308" i="10"/>
  <c r="Q771" i="10"/>
  <c r="Q2365" i="10"/>
  <c r="Q1453" i="10"/>
  <c r="Q151" i="10"/>
  <c r="Q472" i="10"/>
  <c r="Q401" i="10"/>
  <c r="Q510" i="10"/>
  <c r="Q291" i="10"/>
  <c r="Q1612" i="10"/>
  <c r="Q219" i="10"/>
  <c r="Q935" i="10"/>
  <c r="Q1249" i="10"/>
  <c r="Q1206" i="10"/>
  <c r="Q696" i="10"/>
  <c r="Q1641" i="10"/>
  <c r="Q1484" i="10"/>
  <c r="Q1125" i="10"/>
  <c r="Q1703" i="10"/>
  <c r="Q507" i="10"/>
  <c r="Q1822" i="10"/>
  <c r="Q2169" i="10"/>
  <c r="Q412" i="10"/>
  <c r="Q1311" i="10"/>
  <c r="Q722" i="10"/>
  <c r="Q31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/>
  <c r="T45" i="2" s="1"/>
  <c r="T44" i="2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/>
  <c r="Q37" i="2"/>
  <c r="W37" i="2"/>
  <c r="U37" i="2"/>
  <c r="X27" i="2"/>
  <c r="BO25" i="9"/>
  <c r="W27" i="2"/>
  <c r="BN25" i="9"/>
  <c r="U27" i="2"/>
  <c r="W26" i="2"/>
  <c r="U26" i="2"/>
  <c r="AN6" i="1"/>
  <c r="BH19" i="1"/>
  <c r="BH35" i="1"/>
  <c r="BH21" i="1"/>
  <c r="BH23" i="1"/>
  <c r="BI23" i="1"/>
  <c r="AE2" i="12"/>
  <c r="BH6" i="1"/>
  <c r="BI6" i="1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K27" i="12"/>
  <c r="AN31" i="1"/>
  <c r="AN15" i="1"/>
  <c r="K21" i="12"/>
  <c r="AN25" i="1"/>
  <c r="AE10" i="12"/>
  <c r="BH14" i="1"/>
  <c r="AC10" i="12"/>
  <c r="K10" i="12"/>
  <c r="AN14" i="1"/>
  <c r="AE13" i="12"/>
  <c r="BH17" i="1"/>
  <c r="BI17" i="1"/>
  <c r="BJ17" i="1"/>
  <c r="K20" i="12"/>
  <c r="AN24" i="1"/>
  <c r="AN5" i="1"/>
  <c r="Z19" i="12"/>
  <c r="AE9" i="12"/>
  <c r="BH13" i="1"/>
  <c r="BI13" i="1"/>
  <c r="K25" i="12"/>
  <c r="AN29" i="1"/>
  <c r="AN13" i="1"/>
  <c r="BH16" i="1"/>
  <c r="BI16" i="1" s="1"/>
  <c r="K19" i="12"/>
  <c r="AN23" i="1"/>
  <c r="AE8" i="12"/>
  <c r="BH12" i="1"/>
  <c r="AC8" i="12"/>
  <c r="K24" i="12"/>
  <c r="AN28" i="1"/>
  <c r="AN12" i="1"/>
  <c r="BH25" i="1"/>
  <c r="AC21" i="12"/>
  <c r="AE7" i="12"/>
  <c r="BH11" i="1"/>
  <c r="BI11" i="1"/>
  <c r="K23" i="12"/>
  <c r="AN27" i="1"/>
  <c r="K7" i="12"/>
  <c r="AN11" i="1"/>
  <c r="AN36" i="1"/>
  <c r="AE6" i="12"/>
  <c r="BH10" i="1"/>
  <c r="BI10" i="1"/>
  <c r="K22" i="12"/>
  <c r="AN26" i="1"/>
  <c r="AN10" i="1"/>
  <c r="BH9" i="1"/>
  <c r="BI9" i="1"/>
  <c r="K17" i="12"/>
  <c r="AN21" i="1"/>
  <c r="K5" i="12"/>
  <c r="AN9" i="1"/>
  <c r="AE4" i="12"/>
  <c r="BH8" i="1"/>
  <c r="BI8" i="1"/>
  <c r="K16" i="12"/>
  <c r="AN20" i="1"/>
  <c r="K4" i="12"/>
  <c r="AN8" i="1"/>
  <c r="AE3" i="12"/>
  <c r="BH7" i="1"/>
  <c r="AN19" i="1"/>
  <c r="K3" i="12"/>
  <c r="AN7" i="1"/>
  <c r="BH18" i="1"/>
  <c r="BI18" i="1"/>
  <c r="AN35" i="1"/>
  <c r="AN18" i="1"/>
  <c r="Z24" i="12"/>
  <c r="Z22" i="12"/>
  <c r="Z23" i="12"/>
  <c r="Z21" i="12"/>
  <c r="Y14" i="12"/>
  <c r="Y12" i="12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Y9" i="12"/>
  <c r="Z28" i="12"/>
  <c r="Y8" i="12"/>
  <c r="BI12" i="1"/>
  <c r="Z27" i="12"/>
  <c r="Y7" i="12"/>
  <c r="Z2" i="12"/>
  <c r="Z26" i="12"/>
  <c r="Z25" i="12"/>
  <c r="AF26" i="12"/>
  <c r="BH30" i="1"/>
  <c r="BI30" i="1"/>
  <c r="BJ30" i="1"/>
  <c r="AF27" i="12"/>
  <c r="BH31" i="1"/>
  <c r="BI31" i="1"/>
  <c r="AF25" i="12"/>
  <c r="BH29" i="1"/>
  <c r="BI29" i="1"/>
  <c r="AU35" i="9"/>
  <c r="BH5" i="1"/>
  <c r="BI5" i="1"/>
  <c r="AU27" i="9"/>
  <c r="BH28" i="1"/>
  <c r="AC24" i="12"/>
  <c r="AU23" i="9"/>
  <c r="BH24" i="1"/>
  <c r="BI24" i="1"/>
  <c r="BJ24" i="1"/>
  <c r="AF22" i="12"/>
  <c r="BH26" i="1"/>
  <c r="BI26" i="1"/>
  <c r="BJ26" i="1"/>
  <c r="AF32" i="12"/>
  <c r="BH36" i="1"/>
  <c r="BI36" i="1"/>
  <c r="BJ36" i="1"/>
  <c r="AU30" i="9"/>
  <c r="AU33" i="9"/>
  <c r="BH34" i="1"/>
  <c r="AC30" i="12"/>
  <c r="AF16" i="12"/>
  <c r="BH20" i="1"/>
  <c r="BI20" i="1"/>
  <c r="AF29" i="12"/>
  <c r="BH33" i="1"/>
  <c r="BI33" i="1"/>
  <c r="AF28" i="12"/>
  <c r="BH32" i="1"/>
  <c r="BI32" i="1"/>
  <c r="BJ32" i="1"/>
  <c r="AF18" i="12"/>
  <c r="BH22" i="1"/>
  <c r="BI22" i="1"/>
  <c r="BJ22" i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P32" i="12"/>
  <c r="AH29" i="9"/>
  <c r="I34" i="6"/>
  <c r="AH28" i="9"/>
  <c r="K30" i="6"/>
  <c r="J34" i="6"/>
  <c r="AJ32" i="9" s="1"/>
  <c r="I7" i="6"/>
  <c r="H12" i="6"/>
  <c r="J18" i="6"/>
  <c r="AJ16" i="9"/>
  <c r="AQ2" i="12"/>
  <c r="AO19" i="12"/>
  <c r="K24" i="6"/>
  <c r="J8" i="6"/>
  <c r="AJ6" i="9"/>
  <c r="AH22" i="9"/>
  <c r="I19" i="9"/>
  <c r="I26" i="9"/>
  <c r="BN24" i="9"/>
  <c r="K26" i="6"/>
  <c r="AK12" i="12"/>
  <c r="I8" i="9"/>
  <c r="J25" i="6"/>
  <c r="AJ23" i="9"/>
  <c r="K6" i="6"/>
  <c r="H26" i="6"/>
  <c r="AP21" i="12"/>
  <c r="AH8" i="9"/>
  <c r="AO12" i="12"/>
  <c r="AO20" i="12"/>
  <c r="AH23" i="9"/>
  <c r="K25" i="6"/>
  <c r="AC27" i="12"/>
  <c r="AF24" i="12"/>
  <c r="AE27" i="12"/>
  <c r="K6" i="1"/>
  <c r="G2" i="12" s="1"/>
  <c r="G15" i="12"/>
  <c r="V38" i="2"/>
  <c r="S38" i="2"/>
  <c r="C22" i="7"/>
  <c r="AF10" i="12"/>
  <c r="AQ26" i="12"/>
  <c r="AH31" i="9"/>
  <c r="AU31" i="9"/>
  <c r="I22" i="9"/>
  <c r="H27" i="6"/>
  <c r="H2370" i="10"/>
  <c r="AT7" i="9"/>
  <c r="K30" i="1"/>
  <c r="G26" i="12"/>
  <c r="K22" i="9"/>
  <c r="H24" i="2"/>
  <c r="D2370" i="10"/>
  <c r="K29" i="9"/>
  <c r="BM25" i="9"/>
  <c r="H28" i="6"/>
  <c r="AT22" i="9"/>
  <c r="H20" i="6"/>
  <c r="AC32" i="12"/>
  <c r="I27" i="9"/>
  <c r="AO28" i="12"/>
  <c r="G37" i="4"/>
  <c r="G30" i="4"/>
  <c r="Q27" i="2"/>
  <c r="X25" i="9"/>
  <c r="AF20" i="12"/>
  <c r="AQ19" i="12"/>
  <c r="J33" i="6"/>
  <c r="AJ31" i="9" s="1"/>
  <c r="AT26" i="9"/>
  <c r="D6" i="10"/>
  <c r="O6" i="10"/>
  <c r="I17" i="9"/>
  <c r="AO16" i="12"/>
  <c r="AO15" i="12"/>
  <c r="K21" i="6"/>
  <c r="J20" i="6"/>
  <c r="AJ18" i="9"/>
  <c r="AK8" i="12"/>
  <c r="AH14" i="9"/>
  <c r="K16" i="6"/>
  <c r="AO11" i="12"/>
  <c r="I17" i="6"/>
  <c r="K14" i="6"/>
  <c r="I14" i="6"/>
  <c r="AO7" i="12"/>
  <c r="AP10" i="12"/>
  <c r="AH13" i="9"/>
  <c r="I16" i="9"/>
  <c r="I15" i="9"/>
  <c r="AH16" i="9"/>
  <c r="I14" i="9"/>
  <c r="J16" i="6"/>
  <c r="AJ14" i="9"/>
  <c r="AT15" i="9"/>
  <c r="G12" i="12"/>
  <c r="AT14" i="9"/>
  <c r="AU14" i="9"/>
  <c r="AC5" i="12"/>
  <c r="M2370" i="10"/>
  <c r="I2370" i="10"/>
  <c r="F10" i="12"/>
  <c r="AT12" i="9"/>
  <c r="AC9" i="12"/>
  <c r="AK7" i="12"/>
  <c r="I9" i="9"/>
  <c r="I10" i="9"/>
  <c r="AO3" i="12"/>
  <c r="J12" i="6"/>
  <c r="AJ10" i="9"/>
  <c r="AH9" i="9"/>
  <c r="I12" i="6"/>
  <c r="AC6" i="12"/>
  <c r="AT8" i="9"/>
  <c r="AU8" i="9"/>
  <c r="E9" i="9"/>
  <c r="I10" i="6"/>
  <c r="I5" i="9"/>
  <c r="K7" i="6"/>
  <c r="AH6" i="9"/>
  <c r="G37" i="1"/>
  <c r="G38" i="1"/>
  <c r="O19" i="10"/>
  <c r="I2353" i="10"/>
  <c r="K9" i="1"/>
  <c r="G5" i="12" s="1"/>
  <c r="F4" i="12"/>
  <c r="G4" i="12"/>
  <c r="G14" i="4"/>
  <c r="G26" i="4"/>
  <c r="G28" i="4"/>
  <c r="K9" i="6"/>
  <c r="AC3" i="12"/>
  <c r="AG3" i="12"/>
  <c r="K22" i="6"/>
  <c r="F42" i="11"/>
  <c r="G42" i="11"/>
  <c r="G43" i="11"/>
  <c r="J36" i="6"/>
  <c r="D5" i="10"/>
  <c r="O5" i="10"/>
  <c r="AD30" i="12"/>
  <c r="AP37" i="1"/>
  <c r="AP38" i="1"/>
  <c r="S37" i="1"/>
  <c r="S38" i="1" s="1"/>
  <c r="K37" i="6"/>
  <c r="I37" i="6"/>
  <c r="H36" i="6"/>
  <c r="K32" i="9"/>
  <c r="K34" i="6"/>
  <c r="H34" i="6"/>
  <c r="AP29" i="12"/>
  <c r="K32" i="6"/>
  <c r="H32" i="6"/>
  <c r="K33" i="6"/>
  <c r="AO26" i="12"/>
  <c r="K31" i="6"/>
  <c r="C32" i="9"/>
  <c r="U37" i="1"/>
  <c r="U38" i="1"/>
  <c r="K32" i="1"/>
  <c r="G28" i="12"/>
  <c r="G11" i="12"/>
  <c r="G3" i="12"/>
  <c r="G13" i="12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P19" i="12"/>
  <c r="H24" i="6"/>
  <c r="AJ28" i="12"/>
  <c r="I31" i="9"/>
  <c r="AK27" i="12"/>
  <c r="K30" i="9"/>
  <c r="K28" i="9"/>
  <c r="AK25" i="12"/>
  <c r="K34" i="1"/>
  <c r="G33" i="9"/>
  <c r="E32" i="9"/>
  <c r="K33" i="1"/>
  <c r="G29" i="12"/>
  <c r="F21" i="12"/>
  <c r="C24" i="9"/>
  <c r="O2369" i="10"/>
  <c r="T38" i="2"/>
  <c r="G18" i="12"/>
  <c r="AT28" i="9"/>
  <c r="AQ12" i="12"/>
  <c r="K8" i="6"/>
  <c r="AP18" i="12"/>
  <c r="G20" i="12"/>
  <c r="G19" i="12"/>
  <c r="AU21" i="9"/>
  <c r="J13" i="6"/>
  <c r="AJ11" i="9"/>
  <c r="AQ14" i="12"/>
  <c r="J11" i="6"/>
  <c r="AJ9" i="9"/>
  <c r="K10" i="6"/>
  <c r="H8" i="6"/>
  <c r="K12" i="6"/>
  <c r="H10" i="6"/>
  <c r="K18" i="6"/>
  <c r="K11" i="6"/>
  <c r="AO13" i="12"/>
  <c r="H23" i="2"/>
  <c r="AK15" i="12"/>
  <c r="I21" i="9"/>
  <c r="J22" i="6"/>
  <c r="AJ20" i="9"/>
  <c r="H22" i="6"/>
  <c r="AO18" i="12"/>
  <c r="AH21" i="9"/>
  <c r="I21" i="6"/>
  <c r="K20" i="6"/>
  <c r="I19" i="6"/>
  <c r="AH17" i="9"/>
  <c r="H19" i="2"/>
  <c r="I18" i="9"/>
  <c r="H20" i="2"/>
  <c r="X37" i="2"/>
  <c r="Z37" i="2" s="1"/>
  <c r="H12" i="2"/>
  <c r="Q26" i="2"/>
  <c r="X24" i="9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G10" i="12"/>
  <c r="K19" i="6"/>
  <c r="BR37" i="1"/>
  <c r="BR38" i="1"/>
  <c r="C16" i="9"/>
  <c r="AT16" i="9"/>
  <c r="AC13" i="12"/>
  <c r="AU16" i="9"/>
  <c r="C47" i="7"/>
  <c r="E51" i="7"/>
  <c r="E37" i="1"/>
  <c r="E38" i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/>
  <c r="E30" i="9"/>
  <c r="G23" i="12"/>
  <c r="E26" i="9"/>
  <c r="N19" i="12"/>
  <c r="G10" i="9"/>
  <c r="K11" i="1"/>
  <c r="G7" i="12" s="1"/>
  <c r="F15" i="12"/>
  <c r="C18" i="9"/>
  <c r="G17" i="12"/>
  <c r="K12" i="1"/>
  <c r="G8" i="12" s="1"/>
  <c r="G16" i="12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O37" i="1"/>
  <c r="O38" i="1" s="1"/>
  <c r="C15" i="9"/>
  <c r="H16" i="2"/>
  <c r="AP14" i="12"/>
  <c r="H10" i="2"/>
  <c r="AK5" i="12"/>
  <c r="I13" i="9"/>
  <c r="AO10" i="12"/>
  <c r="J14" i="4"/>
  <c r="H40" i="4"/>
  <c r="G40" i="4"/>
  <c r="C37" i="1"/>
  <c r="C38" i="1"/>
  <c r="R5" i="9"/>
  <c r="O38" i="2"/>
  <c r="AK20" i="12"/>
  <c r="K23" i="9"/>
  <c r="K17" i="9"/>
  <c r="AK14" i="12"/>
  <c r="AT5" i="9"/>
  <c r="AW5" i="9"/>
  <c r="C33" i="9"/>
  <c r="F11" i="12"/>
  <c r="C14" i="9"/>
  <c r="L11" i="12"/>
  <c r="AO27" i="12"/>
  <c r="I32" i="6"/>
  <c r="I13" i="6"/>
  <c r="AH11" i="9"/>
  <c r="AO4" i="12"/>
  <c r="AH7" i="9"/>
  <c r="I9" i="6"/>
  <c r="AQ4" i="12"/>
  <c r="J9" i="6"/>
  <c r="AJ7" i="9"/>
  <c r="I36" i="6"/>
  <c r="K36" i="6"/>
  <c r="AO31" i="12"/>
  <c r="AP16" i="12"/>
  <c r="H21" i="6"/>
  <c r="AP12" i="12"/>
  <c r="H17" i="6"/>
  <c r="AJ29" i="12"/>
  <c r="I32" i="9"/>
  <c r="AJ27" i="12"/>
  <c r="I30" i="9"/>
  <c r="K35" i="1"/>
  <c r="K18" i="12"/>
  <c r="AG20" i="12"/>
  <c r="AT23" i="9"/>
  <c r="AE18" i="12"/>
  <c r="K16" i="9"/>
  <c r="AK13" i="12"/>
  <c r="K12" i="9"/>
  <c r="AK9" i="12"/>
  <c r="O66" i="10"/>
  <c r="H38" i="4"/>
  <c r="G38" i="4"/>
  <c r="H36" i="4"/>
  <c r="G36" i="4"/>
  <c r="G20" i="4"/>
  <c r="H20" i="4"/>
  <c r="H16" i="4"/>
  <c r="J16" i="4"/>
  <c r="G16" i="4"/>
  <c r="O2349" i="10"/>
  <c r="O2353" i="10"/>
  <c r="J11" i="4"/>
  <c r="J15" i="4"/>
  <c r="P25" i="9"/>
  <c r="S39" i="2"/>
  <c r="Q28" i="2"/>
  <c r="X26" i="9"/>
  <c r="K23" i="6"/>
  <c r="C23" i="9"/>
  <c r="AG2" i="12"/>
  <c r="N4" i="12"/>
  <c r="AR37" i="1"/>
  <c r="AR38" i="1"/>
  <c r="G19" i="9"/>
  <c r="C12" i="9"/>
  <c r="I10" i="4"/>
  <c r="AP2" i="12"/>
  <c r="K15" i="6"/>
  <c r="H19" i="6"/>
  <c r="C38" i="6"/>
  <c r="E27" i="11" s="1"/>
  <c r="W30" i="2"/>
  <c r="BN28" i="9" s="1"/>
  <c r="H18" i="2"/>
  <c r="H15" i="2"/>
  <c r="AK28" i="12"/>
  <c r="AJ4" i="12"/>
  <c r="I28" i="9"/>
  <c r="AH26" i="9"/>
  <c r="C38" i="2"/>
  <c r="I33" i="9" s="1"/>
  <c r="AO8" i="12"/>
  <c r="AH30" i="9"/>
  <c r="H25" i="6"/>
  <c r="H34" i="4"/>
  <c r="G14" i="12"/>
  <c r="J35" i="6"/>
  <c r="O2368" i="10"/>
  <c r="AK16" i="12"/>
  <c r="I11" i="6"/>
  <c r="C19" i="9"/>
  <c r="H22" i="4"/>
  <c r="J26" i="4"/>
  <c r="G25" i="4"/>
  <c r="I31" i="4"/>
  <c r="H11" i="6"/>
  <c r="G12" i="4"/>
  <c r="E11" i="9"/>
  <c r="I6" i="9"/>
  <c r="AJ3" i="12"/>
  <c r="AK24" i="12"/>
  <c r="K20" i="9"/>
  <c r="H22" i="2"/>
  <c r="AK17" i="12"/>
  <c r="AK11" i="12"/>
  <c r="AF31" i="12"/>
  <c r="AF17" i="12"/>
  <c r="AF15" i="12"/>
  <c r="AG31" i="12"/>
  <c r="AT34" i="9"/>
  <c r="AG8" i="12"/>
  <c r="AT11" i="9"/>
  <c r="E2370" i="10"/>
  <c r="AK37" i="1"/>
  <c r="AK38" i="1"/>
  <c r="G9" i="12"/>
  <c r="H21" i="2"/>
  <c r="H17" i="2"/>
  <c r="G38" i="2"/>
  <c r="H9" i="2"/>
  <c r="H11" i="2"/>
  <c r="H13" i="2"/>
  <c r="H14" i="2"/>
  <c r="I12" i="9"/>
  <c r="H14" i="6"/>
  <c r="H13" i="6"/>
  <c r="K13" i="6"/>
  <c r="AX37" i="1"/>
  <c r="AX38" i="1"/>
  <c r="AV37" i="1"/>
  <c r="AV38" i="1"/>
  <c r="AT37" i="1"/>
  <c r="AT38" i="1"/>
  <c r="Y37" i="1"/>
  <c r="Y38" i="1"/>
  <c r="C11" i="9"/>
  <c r="BP37" i="1"/>
  <c r="BP38" i="1"/>
  <c r="AZ37" i="1"/>
  <c r="AZ38" i="1"/>
  <c r="AI37" i="1"/>
  <c r="AI38" i="1"/>
  <c r="AC37" i="1"/>
  <c r="AC38" i="1"/>
  <c r="AA37" i="1"/>
  <c r="AA38" i="1"/>
  <c r="W37" i="1"/>
  <c r="W38" i="1"/>
  <c r="J37" i="1"/>
  <c r="D13" i="11" s="1"/>
  <c r="E13" i="11"/>
  <c r="I27" i="4"/>
  <c r="J18" i="4"/>
  <c r="J12" i="4"/>
  <c r="I15" i="4"/>
  <c r="J13" i="4"/>
  <c r="E22" i="9"/>
  <c r="M37" i="1"/>
  <c r="M38" i="1" s="1"/>
  <c r="Z27" i="2"/>
  <c r="BQ25" i="9"/>
  <c r="Y27" i="2"/>
  <c r="BP25" i="9"/>
  <c r="BJ20" i="1"/>
  <c r="AC22" i="12"/>
  <c r="AC19" i="12"/>
  <c r="BJ12" i="1"/>
  <c r="BI25" i="1"/>
  <c r="BJ25" i="1"/>
  <c r="BJ6" i="1"/>
  <c r="W22" i="2"/>
  <c r="U22" i="2"/>
  <c r="BM20" i="9"/>
  <c r="Q36" i="2"/>
  <c r="W36" i="2"/>
  <c r="U36" i="2"/>
  <c r="W35" i="2"/>
  <c r="U35" i="2"/>
  <c r="W32" i="2"/>
  <c r="BN30" i="9"/>
  <c r="U32" i="2"/>
  <c r="BM30" i="9"/>
  <c r="W34" i="2"/>
  <c r="BN32" i="9"/>
  <c r="U34" i="2"/>
  <c r="BM32" i="9"/>
  <c r="W25" i="2"/>
  <c r="BN23" i="9"/>
  <c r="U25" i="2"/>
  <c r="BM23" i="9"/>
  <c r="P21" i="9"/>
  <c r="W23" i="2"/>
  <c r="BN21" i="9"/>
  <c r="U23" i="2"/>
  <c r="W29" i="2"/>
  <c r="U29" i="2"/>
  <c r="P31" i="9"/>
  <c r="W33" i="2"/>
  <c r="BN31" i="9"/>
  <c r="U33" i="2"/>
  <c r="BM31" i="9"/>
  <c r="W24" i="2"/>
  <c r="BN22" i="9"/>
  <c r="U24" i="2"/>
  <c r="BM22" i="9"/>
  <c r="W28" i="2"/>
  <c r="BN26" i="9"/>
  <c r="U28" i="2"/>
  <c r="BM26" i="9"/>
  <c r="BJ18" i="1"/>
  <c r="W9" i="2"/>
  <c r="BN7" i="9"/>
  <c r="U9" i="2"/>
  <c r="BM7" i="9"/>
  <c r="Q10" i="2"/>
  <c r="X8" i="9"/>
  <c r="U10" i="2"/>
  <c r="BM8" i="9"/>
  <c r="W10" i="2"/>
  <c r="U17" i="2"/>
  <c r="W17" i="2"/>
  <c r="P17" i="9"/>
  <c r="W19" i="2"/>
  <c r="BN17" i="9"/>
  <c r="U19" i="2"/>
  <c r="BM17" i="9"/>
  <c r="W21" i="2"/>
  <c r="U21" i="2"/>
  <c r="BM19" i="9"/>
  <c r="U15" i="2"/>
  <c r="BM13" i="9"/>
  <c r="W15" i="2"/>
  <c r="BN13" i="9"/>
  <c r="U16" i="2"/>
  <c r="BM14" i="9"/>
  <c r="W16" i="2"/>
  <c r="BN14" i="9"/>
  <c r="W12" i="2"/>
  <c r="BN10" i="9"/>
  <c r="U12" i="2"/>
  <c r="BM10" i="9"/>
  <c r="U18" i="2"/>
  <c r="BM16" i="9"/>
  <c r="W18" i="2"/>
  <c r="BN16" i="9"/>
  <c r="W11" i="2"/>
  <c r="BN9" i="9"/>
  <c r="U11" i="2"/>
  <c r="BM9" i="9"/>
  <c r="P11" i="9"/>
  <c r="W13" i="2"/>
  <c r="BN11" i="9"/>
  <c r="U13" i="2"/>
  <c r="BM11" i="9"/>
  <c r="U20" i="2"/>
  <c r="BM18" i="9"/>
  <c r="W20" i="2"/>
  <c r="BN18" i="9"/>
  <c r="W14" i="2"/>
  <c r="BN12" i="9"/>
  <c r="U14" i="2"/>
  <c r="BM12" i="9"/>
  <c r="BJ33" i="1"/>
  <c r="BJ8" i="1"/>
  <c r="BJ9" i="1"/>
  <c r="BJ11" i="1"/>
  <c r="BJ27" i="1"/>
  <c r="BJ13" i="1"/>
  <c r="BJ23" i="1"/>
  <c r="BI14" i="1"/>
  <c r="BJ14" i="1"/>
  <c r="BJ21" i="1"/>
  <c r="BJ10" i="1"/>
  <c r="BJ35" i="1"/>
  <c r="AC26" i="12"/>
  <c r="BJ5" i="1"/>
  <c r="BJ19" i="1"/>
  <c r="AC28" i="12"/>
  <c r="BJ31" i="1"/>
  <c r="BJ29" i="1"/>
  <c r="BI34" i="1"/>
  <c r="BJ34" i="1"/>
  <c r="BI28" i="1"/>
  <c r="BJ28" i="1"/>
  <c r="BS9" i="1"/>
  <c r="E5" i="13" s="1"/>
  <c r="BX9" i="1"/>
  <c r="AC23" i="12"/>
  <c r="X28" i="2"/>
  <c r="P26" i="9"/>
  <c r="BS27" i="1"/>
  <c r="E23" i="13" s="1"/>
  <c r="BS36" i="1"/>
  <c r="BX36" i="1"/>
  <c r="BS26" i="1"/>
  <c r="E22" i="13" s="1"/>
  <c r="BX26" i="1"/>
  <c r="AC4" i="12"/>
  <c r="AC14" i="12"/>
  <c r="BS23" i="1"/>
  <c r="E19" i="13" s="1"/>
  <c r="BX23" i="1"/>
  <c r="BS31" i="1"/>
  <c r="E27" i="13" s="1"/>
  <c r="BS8" i="1"/>
  <c r="E4" i="13" s="1"/>
  <c r="I22" i="4"/>
  <c r="J27" i="4"/>
  <c r="BS18" i="1"/>
  <c r="E14" i="13" s="1"/>
  <c r="X24" i="2"/>
  <c r="J39" i="4"/>
  <c r="Q24" i="2"/>
  <c r="X22" i="9"/>
  <c r="O2370" i="10"/>
  <c r="P22" i="9"/>
  <c r="BS30" i="1"/>
  <c r="E26" i="13" s="1"/>
  <c r="AC2" i="12"/>
  <c r="I39" i="4"/>
  <c r="X19" i="2"/>
  <c r="Y19" i="2"/>
  <c r="BP17" i="9"/>
  <c r="BS13" i="1"/>
  <c r="E9" i="13" s="1"/>
  <c r="BS10" i="1"/>
  <c r="E6" i="13" s="1"/>
  <c r="J19" i="4"/>
  <c r="J22" i="4"/>
  <c r="I40" i="4"/>
  <c r="BS6" i="1"/>
  <c r="E2" i="13" s="1"/>
  <c r="J21" i="4"/>
  <c r="P16" i="9"/>
  <c r="Q15" i="2"/>
  <c r="X13" i="9"/>
  <c r="X33" i="2"/>
  <c r="Z33" i="2"/>
  <c r="BQ31" i="9"/>
  <c r="BS12" i="1"/>
  <c r="E8" i="13" s="1"/>
  <c r="Q33" i="2"/>
  <c r="X31" i="9"/>
  <c r="BS32" i="1"/>
  <c r="E28" i="13" s="1"/>
  <c r="BX32" i="1"/>
  <c r="AC29" i="12"/>
  <c r="BS33" i="1"/>
  <c r="E29" i="13" s="1"/>
  <c r="BX33" i="1"/>
  <c r="E42" i="4"/>
  <c r="C38" i="7"/>
  <c r="I21" i="4"/>
  <c r="I34" i="4"/>
  <c r="J28" i="4"/>
  <c r="J23" i="4"/>
  <c r="J31" i="4"/>
  <c r="BM27" i="9"/>
  <c r="X29" i="2"/>
  <c r="BN27" i="9"/>
  <c r="Q29" i="2"/>
  <c r="X27" i="9"/>
  <c r="P27" i="9"/>
  <c r="AC12" i="12"/>
  <c r="X23" i="2"/>
  <c r="Y23" i="2"/>
  <c r="BP21" i="9"/>
  <c r="Q23" i="2"/>
  <c r="X21" i="9"/>
  <c r="BM21" i="9"/>
  <c r="BS24" i="1"/>
  <c r="E20" i="13" s="1"/>
  <c r="AC20" i="12"/>
  <c r="Q19" i="2"/>
  <c r="X17" i="9"/>
  <c r="X20" i="2"/>
  <c r="Q20" i="2"/>
  <c r="X18" i="9"/>
  <c r="P18" i="9"/>
  <c r="Y26" i="2"/>
  <c r="BP24" i="9"/>
  <c r="Z26" i="2"/>
  <c r="BQ24" i="9"/>
  <c r="BO24" i="9"/>
  <c r="I18" i="4"/>
  <c r="I26" i="4"/>
  <c r="I32" i="4"/>
  <c r="I36" i="4"/>
  <c r="BS17" i="1"/>
  <c r="E13" i="13" s="1"/>
  <c r="J30" i="4"/>
  <c r="J24" i="4"/>
  <c r="X13" i="2"/>
  <c r="BO11" i="9"/>
  <c r="I16" i="4"/>
  <c r="J32" i="4"/>
  <c r="E44" i="4"/>
  <c r="C39" i="7"/>
  <c r="I30" i="4"/>
  <c r="Q12" i="2"/>
  <c r="X10" i="9"/>
  <c r="X12" i="2"/>
  <c r="P10" i="9"/>
  <c r="AC25" i="12"/>
  <c r="BS29" i="1"/>
  <c r="E25" i="13" s="1"/>
  <c r="AC16" i="12"/>
  <c r="BS20" i="1"/>
  <c r="E16" i="13" s="1"/>
  <c r="BX20" i="1"/>
  <c r="P14" i="9"/>
  <c r="Q16" i="2"/>
  <c r="X14" i="9"/>
  <c r="X16" i="2"/>
  <c r="X18" i="2"/>
  <c r="Y18" i="2"/>
  <c r="BP16" i="9"/>
  <c r="X10" i="2"/>
  <c r="Y10" i="2"/>
  <c r="BP8" i="9"/>
  <c r="P8" i="9"/>
  <c r="BN8" i="9"/>
  <c r="Q13" i="2"/>
  <c r="X11" i="9"/>
  <c r="X15" i="2"/>
  <c r="Y15" i="2"/>
  <c r="BP13" i="9"/>
  <c r="AC31" i="12"/>
  <c r="BS35" i="1"/>
  <c r="BX35" i="1"/>
  <c r="I37" i="4"/>
  <c r="I35" i="4"/>
  <c r="I38" i="4"/>
  <c r="X35" i="2"/>
  <c r="Q35" i="2"/>
  <c r="Q18" i="2"/>
  <c r="X16" i="9"/>
  <c r="AH33" i="9"/>
  <c r="F27" i="11"/>
  <c r="I20" i="4"/>
  <c r="I17" i="4"/>
  <c r="I29" i="4"/>
  <c r="J33" i="4"/>
  <c r="P30" i="9"/>
  <c r="X32" i="2"/>
  <c r="Z32" i="2" s="1"/>
  <c r="BQ30" i="9" s="1"/>
  <c r="Q32" i="2"/>
  <c r="X30" i="9"/>
  <c r="X34" i="2"/>
  <c r="P32" i="9"/>
  <c r="Q34" i="2"/>
  <c r="X32" i="9"/>
  <c r="J36" i="4"/>
  <c r="J37" i="4"/>
  <c r="J40" i="4"/>
  <c r="AC15" i="12"/>
  <c r="BS19" i="1"/>
  <c r="E15" i="13" s="1"/>
  <c r="BX19" i="1"/>
  <c r="AC17" i="12"/>
  <c r="BS21" i="1"/>
  <c r="E17" i="13" s="1"/>
  <c r="BX21" i="1"/>
  <c r="X22" i="2"/>
  <c r="BN20" i="9"/>
  <c r="Q22" i="2"/>
  <c r="X20" i="9"/>
  <c r="P20" i="9"/>
  <c r="I12" i="4"/>
  <c r="I14" i="4"/>
  <c r="I24" i="4"/>
  <c r="I13" i="4"/>
  <c r="I23" i="4"/>
  <c r="I25" i="4"/>
  <c r="J34" i="4"/>
  <c r="J35" i="4"/>
  <c r="X36" i="2"/>
  <c r="Y36" i="2" s="1"/>
  <c r="P13" i="9"/>
  <c r="Q30" i="2"/>
  <c r="X28" i="9" s="1"/>
  <c r="P28" i="9"/>
  <c r="I19" i="4"/>
  <c r="I28" i="4"/>
  <c r="J29" i="4"/>
  <c r="BS22" i="1"/>
  <c r="E18" i="13" s="1"/>
  <c r="BX22" i="1"/>
  <c r="AC18" i="12"/>
  <c r="I38" i="6"/>
  <c r="I39" i="6"/>
  <c r="P23" i="9"/>
  <c r="Q25" i="2"/>
  <c r="X23" i="9"/>
  <c r="X25" i="2"/>
  <c r="R33" i="9"/>
  <c r="I33" i="4"/>
  <c r="J25" i="4"/>
  <c r="J20" i="4"/>
  <c r="J17" i="4"/>
  <c r="J38" i="4"/>
  <c r="X21" i="2"/>
  <c r="BN19" i="9"/>
  <c r="P19" i="9"/>
  <c r="Q21" i="2"/>
  <c r="X19" i="9"/>
  <c r="P15" i="9"/>
  <c r="BM15" i="9"/>
  <c r="Q17" i="2"/>
  <c r="X15" i="9"/>
  <c r="BN15" i="9"/>
  <c r="X17" i="2"/>
  <c r="P7" i="9"/>
  <c r="X9" i="2"/>
  <c r="Q9" i="2"/>
  <c r="X7" i="9"/>
  <c r="X11" i="2"/>
  <c r="P9" i="9"/>
  <c r="Q11" i="2"/>
  <c r="X9" i="9"/>
  <c r="X14" i="2"/>
  <c r="P12" i="9"/>
  <c r="Q14" i="2"/>
  <c r="X12" i="9"/>
  <c r="AN37" i="1"/>
  <c r="B13" i="11"/>
  <c r="C13" i="11" s="1"/>
  <c r="J38" i="1"/>
  <c r="AC7" i="12"/>
  <c r="BS11" i="1"/>
  <c r="E7" i="13" s="1"/>
  <c r="C39" i="6"/>
  <c r="AH34" i="9"/>
  <c r="AJ37" i="9"/>
  <c r="BU11" i="1"/>
  <c r="BX11" i="1"/>
  <c r="BW29" i="1"/>
  <c r="BX29" i="1"/>
  <c r="BU17" i="1"/>
  <c r="BX17" i="1"/>
  <c r="BW24" i="1"/>
  <c r="BX24" i="1"/>
  <c r="BX12" i="1"/>
  <c r="BY12" i="1"/>
  <c r="BU6" i="1"/>
  <c r="BX6" i="1"/>
  <c r="BW10" i="1"/>
  <c r="BX10" i="1"/>
  <c r="BW13" i="1"/>
  <c r="BX13" i="1"/>
  <c r="BX30" i="1"/>
  <c r="BX18" i="1"/>
  <c r="BW31" i="1"/>
  <c r="BX31" i="1"/>
  <c r="BW27" i="1"/>
  <c r="BX27" i="1"/>
  <c r="BS25" i="1"/>
  <c r="E21" i="13" s="1"/>
  <c r="BX25" i="1"/>
  <c r="BO13" i="9"/>
  <c r="BS28" i="1"/>
  <c r="E24" i="13" s="1"/>
  <c r="BZ9" i="1"/>
  <c r="BY9" i="1"/>
  <c r="BS14" i="1"/>
  <c r="E10" i="13" s="1"/>
  <c r="BS34" i="1"/>
  <c r="BZ27" i="1"/>
  <c r="BU27" i="1"/>
  <c r="Z28" i="2"/>
  <c r="BQ26" i="9"/>
  <c r="Y28" i="2"/>
  <c r="BP26" i="9"/>
  <c r="BO26" i="9"/>
  <c r="Z19" i="2"/>
  <c r="BQ17" i="9"/>
  <c r="BO31" i="9"/>
  <c r="BU36" i="1"/>
  <c r="BW36" i="1"/>
  <c r="BZ31" i="1"/>
  <c r="BU31" i="1"/>
  <c r="BY36" i="1"/>
  <c r="BU30" i="1"/>
  <c r="BY30" i="1"/>
  <c r="BY6" i="1"/>
  <c r="BW6" i="1"/>
  <c r="BZ18" i="1"/>
  <c r="BW18" i="1"/>
  <c r="BW30" i="1"/>
  <c r="BU18" i="1"/>
  <c r="Z10" i="2"/>
  <c r="BQ8" i="9"/>
  <c r="Z24" i="2"/>
  <c r="BQ22" i="9"/>
  <c r="Y24" i="2"/>
  <c r="BP22" i="9"/>
  <c r="BO22" i="9"/>
  <c r="BO17" i="9"/>
  <c r="Y13" i="2"/>
  <c r="BP11" i="9"/>
  <c r="Z18" i="2"/>
  <c r="BQ16" i="9"/>
  <c r="Y33" i="2"/>
  <c r="BP31" i="9"/>
  <c r="BO8" i="9"/>
  <c r="BZ12" i="1"/>
  <c r="BU12" i="1"/>
  <c r="BW12" i="1"/>
  <c r="BU9" i="1"/>
  <c r="BU33" i="1"/>
  <c r="BZ33" i="1"/>
  <c r="BW33" i="1"/>
  <c r="BW32" i="1"/>
  <c r="BU32" i="1"/>
  <c r="Z13" i="2"/>
  <c r="BQ11" i="9"/>
  <c r="Y29" i="2"/>
  <c r="BP27" i="9"/>
  <c r="BO27" i="9"/>
  <c r="Z29" i="2"/>
  <c r="BQ27" i="9"/>
  <c r="BW9" i="1"/>
  <c r="BY10" i="1"/>
  <c r="BU10" i="1"/>
  <c r="BU13" i="1"/>
  <c r="BW28" i="1"/>
  <c r="BU28" i="1"/>
  <c r="BU29" i="1"/>
  <c r="BU24" i="1"/>
  <c r="BW26" i="1"/>
  <c r="Z23" i="2"/>
  <c r="BQ21" i="9"/>
  <c r="BO21" i="9"/>
  <c r="BW23" i="1"/>
  <c r="BU23" i="1"/>
  <c r="Z20" i="2"/>
  <c r="BQ18" i="9"/>
  <c r="Y20" i="2"/>
  <c r="BP18" i="9"/>
  <c r="BO18" i="9"/>
  <c r="BZ26" i="1"/>
  <c r="BY26" i="1"/>
  <c r="Y12" i="2"/>
  <c r="BP10" i="9"/>
  <c r="BO10" i="9"/>
  <c r="Z12" i="2"/>
  <c r="BQ10" i="9"/>
  <c r="BY13" i="1"/>
  <c r="BU26" i="1"/>
  <c r="BW17" i="1"/>
  <c r="BY17" i="1"/>
  <c r="BW20" i="1"/>
  <c r="Z16" i="2"/>
  <c r="BQ14" i="9"/>
  <c r="Y16" i="2"/>
  <c r="BP14" i="9"/>
  <c r="BO14" i="9"/>
  <c r="BO16" i="9"/>
  <c r="Z15" i="2"/>
  <c r="BQ13" i="9"/>
  <c r="BU22" i="1"/>
  <c r="BW22" i="1"/>
  <c r="BU21" i="1"/>
  <c r="BW21" i="1"/>
  <c r="BU19" i="1"/>
  <c r="BW19" i="1"/>
  <c r="BU35" i="1"/>
  <c r="BW35" i="1"/>
  <c r="Y25" i="2"/>
  <c r="BP23" i="9"/>
  <c r="BO23" i="9"/>
  <c r="Z25" i="2"/>
  <c r="BQ23" i="9"/>
  <c r="Z22" i="2"/>
  <c r="BQ20" i="9"/>
  <c r="BO20" i="9"/>
  <c r="Y22" i="2"/>
  <c r="BP20" i="9"/>
  <c r="Y34" i="2"/>
  <c r="BP32" i="9"/>
  <c r="BO32" i="9"/>
  <c r="Z34" i="2"/>
  <c r="BQ32" i="9"/>
  <c r="Z35" i="2"/>
  <c r="Y35" i="2"/>
  <c r="BY23" i="1"/>
  <c r="BZ23" i="1"/>
  <c r="Z17" i="2"/>
  <c r="BQ15" i="9"/>
  <c r="BO15" i="9"/>
  <c r="Y17" i="2"/>
  <c r="BP15" i="9"/>
  <c r="Y21" i="2"/>
  <c r="BP19" i="9"/>
  <c r="BO19" i="9"/>
  <c r="Z21" i="2"/>
  <c r="BQ19" i="9"/>
  <c r="Y9" i="2"/>
  <c r="BP7" i="9"/>
  <c r="BO7" i="9"/>
  <c r="Z9" i="2"/>
  <c r="BQ7" i="9"/>
  <c r="Z11" i="2"/>
  <c r="BQ9" i="9"/>
  <c r="BO9" i="9"/>
  <c r="Y11" i="2"/>
  <c r="BP9" i="9"/>
  <c r="Y14" i="2"/>
  <c r="BP12" i="9"/>
  <c r="Z14" i="2"/>
  <c r="BQ12" i="9"/>
  <c r="BO12" i="9"/>
  <c r="AN38" i="1"/>
  <c r="BW11" i="1"/>
  <c r="BY32" i="1"/>
  <c r="BZ32" i="1"/>
  <c r="BX34" i="1"/>
  <c r="BW14" i="1"/>
  <c r="BX14" i="1"/>
  <c r="BX28" i="1"/>
  <c r="BY28" i="1"/>
  <c r="BW25" i="1"/>
  <c r="BU25" i="1"/>
  <c r="BZ14" i="1"/>
  <c r="BU14" i="1"/>
  <c r="BY27" i="1"/>
  <c r="BU34" i="1"/>
  <c r="BW34" i="1"/>
  <c r="BZ34" i="1"/>
  <c r="BY31" i="1"/>
  <c r="BZ6" i="1"/>
  <c r="BZ30" i="1"/>
  <c r="BZ36" i="1"/>
  <c r="BY18" i="1"/>
  <c r="BY14" i="1"/>
  <c r="BY33" i="1"/>
  <c r="BZ13" i="1"/>
  <c r="BZ10" i="1"/>
  <c r="BZ28" i="1"/>
  <c r="BY24" i="1"/>
  <c r="BZ24" i="1"/>
  <c r="BZ17" i="1"/>
  <c r="BY29" i="1"/>
  <c r="BZ29" i="1"/>
  <c r="BZ20" i="1"/>
  <c r="BY20" i="1"/>
  <c r="BZ35" i="1"/>
  <c r="BY35" i="1"/>
  <c r="BY19" i="1"/>
  <c r="BZ19" i="1"/>
  <c r="BZ21" i="1"/>
  <c r="BY21" i="1"/>
  <c r="BZ22" i="1"/>
  <c r="BY22" i="1"/>
  <c r="BZ11" i="1"/>
  <c r="BY11" i="1"/>
  <c r="BZ25" i="1"/>
  <c r="BY25" i="1"/>
  <c r="BY34" i="1"/>
  <c r="H13" i="11" l="1"/>
  <c r="G54" i="11"/>
  <c r="BU20" i="1"/>
  <c r="BN37" i="1"/>
  <c r="BN38" i="1" s="1"/>
  <c r="BH15" i="1"/>
  <c r="BJ16" i="1"/>
  <c r="BS16" i="1"/>
  <c r="E12" i="13" s="1"/>
  <c r="V39" i="2"/>
  <c r="Y37" i="2"/>
  <c r="T39" i="2"/>
  <c r="C39" i="2"/>
  <c r="I34" i="9" s="1"/>
  <c r="G39" i="2"/>
  <c r="Z36" i="2"/>
  <c r="O39" i="2"/>
  <c r="R34" i="9" s="1"/>
  <c r="BB37" i="1"/>
  <c r="BB38" i="1" s="1"/>
  <c r="BI7" i="1"/>
  <c r="Z3" i="12"/>
  <c r="E7" i="9"/>
  <c r="E6" i="9"/>
  <c r="H7" i="2"/>
  <c r="U7" i="2"/>
  <c r="BM5" i="9" s="1"/>
  <c r="Q7" i="2"/>
  <c r="X5" i="9" s="1"/>
  <c r="X7" i="2"/>
  <c r="W7" i="2"/>
  <c r="BN5" i="9" s="1"/>
  <c r="P5" i="9"/>
  <c r="K5" i="9"/>
  <c r="H8" i="2"/>
  <c r="AK2" i="12"/>
  <c r="AK3" i="12"/>
  <c r="E38" i="2"/>
  <c r="E39" i="2" s="1"/>
  <c r="K33" i="9" s="1"/>
  <c r="Y32" i="2"/>
  <c r="BP30" i="9" s="1"/>
  <c r="BO30" i="9"/>
  <c r="X30" i="2"/>
  <c r="Q31" i="2"/>
  <c r="P29" i="9"/>
  <c r="U31" i="2"/>
  <c r="BM29" i="9" s="1"/>
  <c r="U30" i="2"/>
  <c r="BM28" i="9" s="1"/>
  <c r="X31" i="2"/>
  <c r="W31" i="2"/>
  <c r="BN29" i="9" s="1"/>
  <c r="K29" i="1"/>
  <c r="G25" i="12" s="1"/>
  <c r="X45" i="2"/>
  <c r="BO40" i="9" s="1"/>
  <c r="X44" i="2"/>
  <c r="Y43" i="2"/>
  <c r="BP38" i="9" s="1"/>
  <c r="BO38" i="9"/>
  <c r="Z43" i="2"/>
  <c r="BQ38" i="9" s="1"/>
  <c r="Q1007" i="10"/>
  <c r="Q706" i="10"/>
  <c r="Q742" i="10"/>
  <c r="Q1355" i="10"/>
  <c r="Q1897" i="10"/>
  <c r="Q2310" i="10"/>
  <c r="Q1565" i="10"/>
  <c r="Q328" i="10"/>
  <c r="Q65" i="10"/>
  <c r="C54" i="7" s="1"/>
  <c r="Q1808" i="10"/>
  <c r="Q1584" i="10"/>
  <c r="Q1976" i="10"/>
  <c r="Q503" i="10"/>
  <c r="Q1152" i="10"/>
  <c r="Q1767" i="10"/>
  <c r="Q1512" i="10"/>
  <c r="Q1907" i="10"/>
  <c r="Q593" i="10"/>
  <c r="Q783" i="10"/>
  <c r="Q2056" i="10"/>
  <c r="Q1480" i="10"/>
  <c r="Q1284" i="10"/>
  <c r="Q1594" i="10"/>
  <c r="Q224" i="10"/>
  <c r="Q1706" i="10"/>
  <c r="Q1805" i="10"/>
  <c r="P51" i="10"/>
  <c r="P36" i="10"/>
  <c r="Q1377" i="10"/>
  <c r="Q310" i="10"/>
  <c r="Q122" i="10"/>
  <c r="Q1151" i="10"/>
  <c r="Q753" i="10"/>
  <c r="Q2231" i="10"/>
  <c r="Q2082" i="10"/>
  <c r="Q522" i="10"/>
  <c r="Q2300" i="10"/>
  <c r="Q1850" i="10"/>
  <c r="Q850" i="10"/>
  <c r="Q1274" i="10"/>
  <c r="Q727" i="10"/>
  <c r="Q285" i="10"/>
  <c r="Q448" i="10"/>
  <c r="Q1507" i="10"/>
  <c r="Q1035" i="10"/>
  <c r="Q1118" i="10"/>
  <c r="Q1042" i="10"/>
  <c r="Q223" i="10"/>
  <c r="Q97" i="10"/>
  <c r="Q1533" i="10"/>
  <c r="Q860" i="10"/>
  <c r="Q1050" i="10"/>
  <c r="Q584" i="10"/>
  <c r="Q318" i="10"/>
  <c r="Q1440" i="10"/>
  <c r="Q162" i="10"/>
  <c r="Q1303" i="10"/>
  <c r="Q2298" i="10"/>
  <c r="Q549" i="10"/>
  <c r="Q234" i="10"/>
  <c r="Q602" i="10"/>
  <c r="Q1183" i="10"/>
  <c r="Q1608" i="10"/>
  <c r="Q2322" i="10"/>
  <c r="Q2058" i="10"/>
  <c r="Q843" i="10"/>
  <c r="Q1851" i="10"/>
  <c r="Q1150" i="10"/>
  <c r="Q1835" i="10"/>
  <c r="Q891" i="10"/>
  <c r="Q697" i="10"/>
  <c r="Q940" i="10"/>
  <c r="Q1102" i="10"/>
  <c r="Q854" i="10"/>
  <c r="Q1234" i="10"/>
  <c r="Q126" i="10"/>
  <c r="Q681" i="10"/>
  <c r="Q411" i="10"/>
  <c r="Q1563" i="10"/>
  <c r="Q2171" i="10"/>
  <c r="Q22" i="10"/>
  <c r="Q1864" i="10"/>
  <c r="Q1581" i="10"/>
  <c r="Q243" i="10"/>
  <c r="Q222" i="10"/>
  <c r="Q2158" i="10"/>
  <c r="Q1739" i="10"/>
  <c r="Q1951" i="10"/>
  <c r="Q1618" i="10"/>
  <c r="Q1971" i="10"/>
  <c r="Q2097" i="10"/>
  <c r="Q120" i="10"/>
  <c r="Q1891" i="10"/>
  <c r="Q1580" i="10"/>
  <c r="Q1091" i="10"/>
  <c r="Q1179" i="10"/>
  <c r="P2351" i="10"/>
  <c r="Q1052" i="10"/>
  <c r="Q649" i="10"/>
  <c r="Q674" i="10"/>
  <c r="Q2141" i="10"/>
  <c r="P35" i="10"/>
  <c r="Q452" i="10"/>
  <c r="Q619" i="10"/>
  <c r="Q1054" i="10"/>
  <c r="Q550" i="10"/>
  <c r="Q275" i="10"/>
  <c r="Q2204" i="10"/>
  <c r="Q1072" i="10"/>
  <c r="Q1229" i="10"/>
  <c r="Q1215" i="10"/>
  <c r="Q691" i="10"/>
  <c r="Q1390" i="10"/>
  <c r="Q2102" i="10"/>
  <c r="Q2081" i="10"/>
  <c r="Q1918" i="10"/>
  <c r="Q1566" i="10"/>
  <c r="Q2100" i="10"/>
  <c r="Q666" i="10"/>
  <c r="Q1997" i="10"/>
  <c r="Q1682" i="10"/>
  <c r="P16" i="10"/>
  <c r="Q266" i="10"/>
  <c r="Q2268" i="10"/>
  <c r="Q1259" i="10"/>
  <c r="Q1534" i="10"/>
  <c r="Q184" i="10"/>
  <c r="Q2213" i="10"/>
  <c r="P32" i="10"/>
  <c r="Q1049" i="10"/>
  <c r="Q374" i="10"/>
  <c r="Q920" i="10"/>
  <c r="Q72" i="10"/>
  <c r="Q1968" i="10"/>
  <c r="Q134" i="10"/>
  <c r="Q669" i="10"/>
  <c r="Q1518" i="10"/>
  <c r="Q1305" i="10"/>
  <c r="Q2195" i="10"/>
  <c r="Q521" i="10"/>
  <c r="Q336" i="10"/>
  <c r="Q1956" i="10"/>
  <c r="Q454" i="10"/>
  <c r="Q842" i="10"/>
  <c r="Q400" i="10"/>
  <c r="Q1488" i="10"/>
  <c r="Q1506" i="10"/>
  <c r="Q949" i="10"/>
  <c r="Q1756" i="10"/>
  <c r="Q185" i="10"/>
  <c r="Q1513" i="10"/>
  <c r="Q1277" i="10"/>
  <c r="Q2346" i="10"/>
  <c r="X40" i="2" s="1"/>
  <c r="Q87" i="10"/>
  <c r="Q528" i="10"/>
  <c r="Q1115" i="10"/>
  <c r="Q2201" i="10"/>
  <c r="Q2368" i="10"/>
  <c r="Q1884" i="10"/>
  <c r="Q115" i="10"/>
  <c r="Q781" i="10"/>
  <c r="Q2013" i="10"/>
  <c r="Q1686" i="10"/>
  <c r="Q1598" i="10"/>
  <c r="Q2321" i="10"/>
  <c r="Q1744" i="10"/>
  <c r="Q587" i="10"/>
  <c r="Q1760" i="10"/>
  <c r="P24" i="10"/>
  <c r="Q480" i="10"/>
  <c r="Q624" i="10"/>
  <c r="Q2210" i="10"/>
  <c r="Q375" i="10"/>
  <c r="Q1550" i="10"/>
  <c r="Q1692" i="10"/>
  <c r="Q739" i="10"/>
  <c r="Q652" i="10"/>
  <c r="Q439" i="10"/>
  <c r="Q1628" i="10"/>
  <c r="Q1089" i="10"/>
  <c r="Q1474" i="10"/>
  <c r="Q179" i="10"/>
  <c r="Q1556" i="10"/>
  <c r="Q1233" i="10"/>
  <c r="Q558" i="10"/>
  <c r="Q1902" i="10"/>
  <c r="Q1824" i="10"/>
  <c r="Q1095" i="10"/>
  <c r="Q1092" i="10"/>
  <c r="Q630" i="10"/>
  <c r="Q1093" i="10"/>
  <c r="Q1435" i="10"/>
  <c r="Q1308" i="10"/>
  <c r="Q1300" i="10"/>
  <c r="Q1974" i="10"/>
  <c r="Q1192" i="10"/>
  <c r="Q1024" i="10"/>
  <c r="Q1408" i="10"/>
  <c r="Q542" i="10"/>
  <c r="Q79" i="10"/>
  <c r="Q1920" i="10"/>
  <c r="Q1312" i="10"/>
  <c r="Q379" i="10"/>
  <c r="Q39" i="10"/>
  <c r="Q2123" i="10"/>
  <c r="Q1729" i="10"/>
  <c r="Q892" i="10"/>
  <c r="Q1269" i="10"/>
  <c r="Q1002" i="10"/>
  <c r="Q1866" i="10"/>
  <c r="Q1178" i="10"/>
  <c r="Q492" i="10"/>
  <c r="Q990" i="10"/>
  <c r="Q1105" i="10"/>
  <c r="Q335" i="10"/>
  <c r="Q1438" i="10"/>
  <c r="Q1998" i="10"/>
  <c r="Q1586" i="10"/>
  <c r="Q573" i="10"/>
  <c r="Q44" i="10"/>
  <c r="Q1798" i="10"/>
  <c r="Q1148" i="10"/>
  <c r="Q1197" i="10"/>
  <c r="Q1337" i="10"/>
  <c r="Q1176" i="10"/>
  <c r="Q283" i="10"/>
  <c r="Q70" i="10"/>
  <c r="Q1255" i="10"/>
  <c r="Q1027" i="10"/>
  <c r="Q1338" i="10"/>
  <c r="Q618" i="10"/>
  <c r="Q1248" i="10"/>
  <c r="Q1041" i="10"/>
  <c r="Q2330" i="10"/>
  <c r="Q520" i="10"/>
  <c r="Q698" i="10"/>
  <c r="K37" i="1"/>
  <c r="K38" i="1" s="1"/>
  <c r="Q38" i="1"/>
  <c r="BU8" i="1"/>
  <c r="BW8" i="1"/>
  <c r="BX8" i="1"/>
  <c r="G38" i="6"/>
  <c r="G39" i="6" s="1"/>
  <c r="BL37" i="1"/>
  <c r="BL38" i="1" s="1"/>
  <c r="AD22" i="12"/>
  <c r="AJ29" i="9"/>
  <c r="J38" i="6"/>
  <c r="AQ31" i="12"/>
  <c r="K35" i="6"/>
  <c r="E38" i="6"/>
  <c r="H35" i="6"/>
  <c r="H38" i="6" s="1"/>
  <c r="H39" i="6" s="1"/>
  <c r="E39" i="6" l="1"/>
  <c r="F34" i="11"/>
  <c r="G34" i="11" s="1"/>
  <c r="G35" i="11" s="1"/>
  <c r="I13" i="11"/>
  <c r="H38" i="2"/>
  <c r="E20" i="11" s="1"/>
  <c r="AC11" i="12"/>
  <c r="BH37" i="1"/>
  <c r="BH38" i="1" s="1"/>
  <c r="BI15" i="1"/>
  <c r="BU16" i="1"/>
  <c r="BX16" i="1"/>
  <c r="BW16" i="1"/>
  <c r="BJ7" i="1"/>
  <c r="BI37" i="1"/>
  <c r="F13" i="11" s="1"/>
  <c r="BS7" i="1"/>
  <c r="E3" i="13" s="1"/>
  <c r="P6" i="9"/>
  <c r="X8" i="2"/>
  <c r="X38" i="2" s="1"/>
  <c r="W8" i="2"/>
  <c r="BN6" i="9" s="1"/>
  <c r="U8" i="2"/>
  <c r="BM6" i="9" s="1"/>
  <c r="Q8" i="2"/>
  <c r="X6" i="9" s="1"/>
  <c r="C27" i="7"/>
  <c r="W38" i="2"/>
  <c r="BN33" i="9" s="1"/>
  <c r="H39" i="2"/>
  <c r="W39" i="2" s="1"/>
  <c r="BN34" i="9" s="1"/>
  <c r="P33" i="9"/>
  <c r="U38" i="2"/>
  <c r="BM33" i="9" s="1"/>
  <c r="BO5" i="9"/>
  <c r="Y7" i="2"/>
  <c r="BP5" i="9" s="1"/>
  <c r="F20" i="11"/>
  <c r="X29" i="9"/>
  <c r="Y31" i="2"/>
  <c r="BP29" i="9" s="1"/>
  <c r="BO29" i="9"/>
  <c r="Z31" i="2"/>
  <c r="BQ29" i="9" s="1"/>
  <c r="BO28" i="9"/>
  <c r="Y30" i="2"/>
  <c r="BP28" i="9" s="1"/>
  <c r="Z30" i="2"/>
  <c r="BQ28" i="9" s="1"/>
  <c r="BO35" i="9"/>
  <c r="Z40" i="2"/>
  <c r="BQ35" i="9" s="1"/>
  <c r="Y40" i="2"/>
  <c r="BP35" i="9" s="1"/>
  <c r="Z44" i="2"/>
  <c r="BQ39" i="9" s="1"/>
  <c r="Y44" i="2"/>
  <c r="BP39" i="9" s="1"/>
  <c r="BO39" i="9"/>
  <c r="BZ8" i="1"/>
  <c r="BY8" i="1"/>
  <c r="AJ33" i="9"/>
  <c r="J39" i="6"/>
  <c r="AJ34" i="9" s="1"/>
  <c r="K38" i="6"/>
  <c r="G13" i="11" l="1"/>
  <c r="K13" i="11" s="1"/>
  <c r="J13" i="11"/>
  <c r="BJ15" i="1"/>
  <c r="BJ37" i="1" s="1"/>
  <c r="BS15" i="1"/>
  <c r="E11" i="13" s="1"/>
  <c r="BY16" i="1"/>
  <c r="BZ16" i="1"/>
  <c r="BU7" i="1"/>
  <c r="BW7" i="1"/>
  <c r="BX7" i="1"/>
  <c r="BS37" i="1"/>
  <c r="L13" i="11"/>
  <c r="K17" i="11"/>
  <c r="U39" i="2"/>
  <c r="BM34" i="9" s="1"/>
  <c r="P34" i="9"/>
  <c r="BO6" i="9"/>
  <c r="Z8" i="2"/>
  <c r="BQ6" i="9" s="1"/>
  <c r="Y8" i="2"/>
  <c r="BP6" i="9" s="1"/>
  <c r="Q38" i="2"/>
  <c r="X33" i="9" s="1"/>
  <c r="Q39" i="2"/>
  <c r="X34" i="9" s="1"/>
  <c r="X39" i="2"/>
  <c r="Y38" i="2"/>
  <c r="BP33" i="9" s="1"/>
  <c r="Z38" i="2"/>
  <c r="BQ33" i="9" s="1"/>
  <c r="BO33" i="9"/>
  <c r="C43" i="7"/>
  <c r="BU15" i="1" l="1"/>
  <c r="BX15" i="1"/>
  <c r="BW15" i="1"/>
  <c r="M13" i="11"/>
  <c r="BU37" i="1"/>
  <c r="BS38" i="1"/>
  <c r="BW37" i="1"/>
  <c r="BZ7" i="1"/>
  <c r="BY7" i="1"/>
  <c r="BX37" i="1"/>
  <c r="BO34" i="9"/>
  <c r="Y39" i="2"/>
  <c r="BP34" i="9" s="1"/>
  <c r="Z39" i="2"/>
  <c r="BQ34" i="9" s="1"/>
  <c r="BZ15" i="1" l="1"/>
  <c r="BY15" i="1"/>
  <c r="BY37" i="1"/>
  <c r="BZ37" i="1"/>
  <c r="BX38" i="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K18" i="11"/>
  <c r="K16" i="11" s="1"/>
  <c r="BW38" i="1"/>
  <c r="BU38" i="1"/>
  <c r="BZ38" i="1" l="1"/>
  <c r="BY38" i="1"/>
</calcChain>
</file>

<file path=xl/sharedStrings.xml><?xml version="1.0" encoding="utf-8"?>
<sst xmlns="http://schemas.openxmlformats.org/spreadsheetml/2006/main" count="884" uniqueCount="417">
  <si>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</si>
  <si>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</si>
  <si>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</si>
  <si>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</si>
  <si>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</si>
  <si>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</si>
  <si>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</si>
  <si>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</si>
  <si>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</si>
  <si>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</si>
  <si>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</si>
  <si>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</si>
  <si>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</si>
  <si>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</si>
  <si>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</si>
  <si>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</si>
  <si>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</si>
  <si>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</si>
  <si>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</si>
  <si>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</si>
  <si>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</si>
  <si>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</si>
  <si>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</si>
  <si>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</si>
  <si>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</si>
  <si>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</si>
  <si>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</si>
  <si>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</si>
  <si>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</si>
  <si>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</si>
  <si>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</si>
  <si>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</si>
  <si>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</si>
  <si>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</si>
  <si>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</si>
  <si>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</si>
  <si>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</si>
  <si>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</si>
  <si>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</si>
  <si>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</si>
  <si>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</si>
  <si>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</si>
  <si>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</si>
  <si>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Boat -KWh</t>
  </si>
  <si>
    <t>Water</t>
  </si>
  <si>
    <t>Main water meter 1 -m3</t>
  </si>
  <si>
    <t>Main water meter 2 -m3</t>
  </si>
  <si>
    <t>Main water meter 3 -m3</t>
  </si>
  <si>
    <t>Boat -m3</t>
  </si>
  <si>
    <t>Gas</t>
  </si>
  <si>
    <t>Main Gas Flow Meter -m3</t>
  </si>
  <si>
    <t>Laundry Gas Flow Meter -m3</t>
  </si>
  <si>
    <t>Gourmandize Gas Flow Meter -m3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</si>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</sst>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2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6"/>
      <color indexed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  <xf numFmtId="0" fontId="1" fillId="0" borderId="0"/>
  </cellStyleXfs>
  <cellXfs count="975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  <protection locked="0"/>
    </xf>
    <xf numFmtId="4" fontId="6" fillId="17" borderId="5" xfId="0" applyNumberFormat="1" applyFont="1" applyFill="1" applyBorder="1" applyAlignment="1">
      <alignment vertical="center"/>
    </xf>
    <xf numFmtId="4" fontId="6" fillId="17" borderId="9" xfId="0" applyNumberFormat="1" applyFont="1" applyFill="1" applyBorder="1" applyAlignment="1">
      <alignment vertical="center"/>
    </xf>
    <xf numFmtId="1" fontId="6" fillId="0" borderId="114" xfId="0" applyNumberFormat="1" applyFont="1" applyBorder="1" applyAlignment="1" applyProtection="1">
      <alignment horizontal="center" vertical="center"/>
      <protection locked="0"/>
    </xf>
    <xf numFmtId="0" fontId="66" fillId="0" borderId="114" xfId="0" applyFont="1" applyBorder="1" applyAlignment="1" applyProtection="1">
      <alignment horizontal="center" vertical="center"/>
      <protection locked="0"/>
    </xf>
    <xf numFmtId="3" fontId="19" fillId="0" borderId="10" xfId="0" applyNumberFormat="1" applyFont="1" applyBorder="1" applyAlignment="1">
      <alignment horizontal="center" vertical="center"/>
    </xf>
    <xf numFmtId="3" fontId="19" fillId="0" borderId="25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 applyProtection="1">
      <alignment horizontal="center" vertical="center"/>
      <protection locked="0"/>
    </xf>
    <xf numFmtId="1" fontId="71" fillId="15" borderId="1" xfId="0" applyNumberFormat="1" applyFont="1" applyFill="1" applyBorder="1" applyAlignment="1" applyProtection="1">
      <alignment horizontal="center" vertical="center"/>
      <protection locked="0"/>
    </xf>
    <xf numFmtId="43" fontId="6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114" xfId="0" applyNumberFormat="1" applyFont="1" applyBorder="1" applyAlignment="1">
      <alignment horizontal="center" vertical="center"/>
    </xf>
    <xf numFmtId="3" fontId="4" fillId="11" borderId="102" xfId="0" applyNumberFormat="1" applyFont="1" applyFill="1" applyBorder="1" applyAlignment="1">
      <alignment horizontal="center" vertical="center"/>
    </xf>
    <xf numFmtId="3" fontId="6" fillId="0" borderId="38" xfId="0" applyNumberFormat="1" applyFont="1" applyBorder="1" applyAlignment="1">
      <alignment horizontal="center" vertical="center"/>
    </xf>
    <xf numFmtId="3" fontId="4" fillId="17" borderId="60" xfId="0" applyNumberFormat="1" applyFont="1" applyFill="1" applyBorder="1" applyAlignment="1">
      <alignment horizontal="center" vertical="center"/>
    </xf>
    <xf numFmtId="1" fontId="6" fillId="0" borderId="60" xfId="0" applyNumberFormat="1" applyFont="1" applyBorder="1" applyAlignment="1" applyProtection="1">
      <alignment horizontal="center" vertical="center"/>
      <protection locked="0"/>
    </xf>
    <xf numFmtId="1" fontId="0" fillId="0" borderId="27" xfId="0" applyNumberFormat="1" applyBorder="1" applyAlignment="1">
      <alignment horizontal="center"/>
    </xf>
    <xf numFmtId="0" fontId="67" fillId="0" borderId="4" xfId="0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67" fillId="15" borderId="0" xfId="0" applyFont="1" applyFill="1"/>
    <xf numFmtId="0" fontId="67" fillId="15" borderId="0" xfId="0" applyFont="1" applyFill="1" applyAlignment="1">
      <alignment horizontal="center"/>
    </xf>
    <xf numFmtId="0" fontId="67" fillId="15" borderId="0" xfId="0" applyFont="1" applyFill="1" applyAlignment="1" applyProtection="1">
      <alignment horizontal="center"/>
      <protection locked="0"/>
    </xf>
    <xf numFmtId="1" fontId="0" fillId="15" borderId="0" xfId="0" applyNumberFormat="1" applyFill="1" applyAlignment="1">
      <alignment horizontal="center"/>
    </xf>
    <xf numFmtId="0" fontId="67" fillId="0" borderId="10" xfId="0" applyFont="1" applyBorder="1"/>
    <xf numFmtId="0" fontId="67" fillId="0" borderId="100" xfId="0" applyFont="1" applyBorder="1" applyAlignment="1">
      <alignment horizontal="center"/>
    </xf>
    <xf numFmtId="0" fontId="67" fillId="0" borderId="100" xfId="0" applyFont="1" applyBorder="1" applyAlignment="1" applyProtection="1">
      <alignment horizontal="center"/>
      <protection locked="0"/>
    </xf>
    <xf numFmtId="0" fontId="67" fillId="0" borderId="25" xfId="0" applyFont="1" applyBorder="1" applyAlignment="1">
      <alignment horizontal="center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0" fontId="67" fillId="0" borderId="106" xfId="0" applyFont="1" applyBorder="1" applyAlignment="1" applyProtection="1">
      <alignment horizontal="center"/>
      <protection locked="0"/>
    </xf>
    <xf numFmtId="0" fontId="67" fillId="0" borderId="27" xfId="0" applyFont="1" applyBorder="1" applyAlignment="1" applyProtection="1">
      <alignment horizontal="center"/>
      <protection locked="0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67" fontId="36" fillId="0" borderId="0" xfId="0" applyNumberFormat="1" applyFont="1" applyAlignment="1" applyProtection="1">
      <alignment horizontal="center" vertical="center"/>
      <protection locked="0"/>
    </xf>
    <xf numFmtId="167" fontId="36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0" fillId="0" borderId="39" xfId="0" applyBorder="1" applyAlignment="1"/>
  </cellXfs>
  <cellStyles count="7">
    <cellStyle name="Comma" xfId="1" builtinId="3"/>
    <cellStyle name="Normal" xfId="0" builtinId="0"/>
    <cellStyle name="Normal 2" xfId="6" xr:uid="{F5152CD8-05C1-4FCC-9217-181B9A5FF58F}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41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shr.sharepoint.com/teams/CAF_Engineering_O365/Shared%20Documents/Share_ENG/Readings/Readings%202023/Readings%2001-%202023.xlsx" TargetMode="External"/><Relationship Id="rId1" Type="http://schemas.openxmlformats.org/officeDocument/2006/relationships/externalLinkPath" Target="Readings%2001-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JHuwfy31CUWkDnssdQpHRs5Tr3uExxJKjuBR-PGgGKy9PvTvGSq3S6hu5tfuJXuN" itemId="01BZGWL7KOYP5QDO2DD5GZ2IR3DZ6J7R4E">
      <xxl21:absoluteUrl r:id="rId2"/>
    </xxl21:alternateUrls>
    <sheetNames>
      <sheetName val="Total"/>
      <sheetName val="Submetering"/>
      <sheetName val="Boat"/>
      <sheetName val="Water"/>
      <sheetName val="Gas"/>
      <sheetName val="Sheet1"/>
      <sheetName val="Sheet2"/>
      <sheetName val="Consp"/>
      <sheetName val="Temp."/>
      <sheetName val="M-Rep"/>
      <sheetName val="YTD"/>
      <sheetName val="Elect"/>
      <sheetName val="Utility Consnsump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tabSelected="1" workbookViewId="0">
      <selection activeCell="E2" sqref="E2"/>
    </sheetView>
  </sheetViews>
  <sheetFormatPr defaultColWidth="11.5703125" defaultRowHeight="12.75"/>
  <cols>
    <col min="1" max="1" width="24" style="728" bestFit="1" customWidth="1"/>
    <col min="2" max="3" width="11.5703125" style="729"/>
    <col min="4" max="4" width="13.42578125" style="729" customWidth="1"/>
    <col min="5" max="5" width="20.7109375" style="97" customWidth="1"/>
    <col min="6" max="6" width="20.140625" style="729" customWidth="1"/>
    <col min="7" max="7" width="18.28515625" style="97" customWidth="1"/>
    <col min="8" max="8" width="17.42578125" style="729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1" customFormat="1" ht="30">
      <c r="A1" s="747" t="s">
        <v>0</v>
      </c>
      <c r="B1" s="748" t="s">
        <v>1</v>
      </c>
      <c r="C1" s="748" t="s">
        <v>2</v>
      </c>
      <c r="D1" s="748" t="s">
        <v>3</v>
      </c>
      <c r="E1" s="742" t="s">
        <v>4</v>
      </c>
      <c r="F1" s="743" t="s">
        <v>5</v>
      </c>
      <c r="G1" s="742" t="s">
        <v>6</v>
      </c>
      <c r="H1" s="743" t="s">
        <v>7</v>
      </c>
      <c r="I1" s="742" t="s">
        <v>8</v>
      </c>
      <c r="J1" s="742" t="s">
        <v>9</v>
      </c>
      <c r="K1" s="742" t="s">
        <v>10</v>
      </c>
    </row>
    <row r="2" spans="1:12">
      <c r="A2" s="749" t="s">
        <v>11</v>
      </c>
      <c r="B2" s="750">
        <v>1</v>
      </c>
      <c r="C2" s="771">
        <v>2</v>
      </c>
      <c r="D2" s="751">
        <v>2023</v>
      </c>
      <c r="E2" s="746">
        <f>Elect!BS6</f>
        <v>22903.342499926155</v>
      </c>
      <c r="F2" s="744">
        <f>'Utility Consnsumption'!K13/'Utility Consnsumption'!J13</f>
        <v>1.4175395771847608</v>
      </c>
      <c r="G2" s="745">
        <f>Gas!K7</f>
        <v>1521.52</v>
      </c>
      <c r="H2" s="744">
        <v>3.8</v>
      </c>
      <c r="I2" s="745">
        <f>Water!H7</f>
        <v>209.38</v>
      </c>
      <c r="J2" s="744">
        <v>10</v>
      </c>
      <c r="K2" s="745">
        <f>Elect!BT6</f>
        <v>97</v>
      </c>
    </row>
    <row r="3" spans="1:12">
      <c r="A3" s="752" t="s">
        <v>11</v>
      </c>
      <c r="B3" s="729">
        <f>B2+1</f>
        <v>2</v>
      </c>
      <c r="C3" s="771">
        <v>2</v>
      </c>
      <c r="D3" s="751">
        <v>2023</v>
      </c>
      <c r="E3" s="746">
        <f>Elect!BS7</f>
        <v>24396.612500000003</v>
      </c>
      <c r="F3" s="744">
        <f>F2</f>
        <v>1.4175395771847608</v>
      </c>
      <c r="G3" s="745">
        <f>Gas!K8</f>
        <v>1768.92</v>
      </c>
      <c r="H3" s="744">
        <v>3.8</v>
      </c>
      <c r="I3" s="745">
        <f>Water!H8</f>
        <v>256.35999999999996</v>
      </c>
      <c r="J3" s="744">
        <v>10</v>
      </c>
      <c r="K3" s="745">
        <f>Elect!BT7</f>
        <v>128</v>
      </c>
    </row>
    <row r="4" spans="1:12">
      <c r="A4" s="752" t="s">
        <v>11</v>
      </c>
      <c r="B4" s="729">
        <f t="shared" ref="B4:B32" si="0">B3+1</f>
        <v>3</v>
      </c>
      <c r="C4" s="771">
        <v>2</v>
      </c>
      <c r="D4" s="751">
        <v>2023</v>
      </c>
      <c r="E4" s="746">
        <f>Elect!BS8</f>
        <v>24713.800000000003</v>
      </c>
      <c r="F4" s="744">
        <f t="shared" ref="F4:F29" si="1">F3</f>
        <v>1.4175395771847608</v>
      </c>
      <c r="G4" s="745">
        <f>Gas!K9</f>
        <v>1850.1</v>
      </c>
      <c r="H4" s="744">
        <v>3.8</v>
      </c>
      <c r="I4" s="745">
        <f>Water!H9</f>
        <v>336.97999999999996</v>
      </c>
      <c r="J4" s="744">
        <v>10</v>
      </c>
      <c r="K4" s="745">
        <f>Elect!BT8</f>
        <v>130</v>
      </c>
    </row>
    <row r="5" spans="1:12">
      <c r="A5" s="752" t="s">
        <v>11</v>
      </c>
      <c r="B5" s="729">
        <f t="shared" si="0"/>
        <v>4</v>
      </c>
      <c r="C5" s="771">
        <v>2</v>
      </c>
      <c r="D5" s="751">
        <v>2023</v>
      </c>
      <c r="E5" s="746">
        <f>Elect!BS9</f>
        <v>23918.855</v>
      </c>
      <c r="F5" s="744">
        <f t="shared" si="1"/>
        <v>1.4175395771847608</v>
      </c>
      <c r="G5" s="745">
        <f>Gas!K10</f>
        <v>2263.36</v>
      </c>
      <c r="H5" s="744">
        <v>3.8</v>
      </c>
      <c r="I5" s="745">
        <f>Water!H10</f>
        <v>346.26</v>
      </c>
      <c r="J5" s="744">
        <v>10</v>
      </c>
      <c r="K5" s="745">
        <f>Elect!BT9</f>
        <v>236</v>
      </c>
    </row>
    <row r="6" spans="1:12">
      <c r="A6" s="752" t="s">
        <v>11</v>
      </c>
      <c r="B6" s="729">
        <f t="shared" si="0"/>
        <v>5</v>
      </c>
      <c r="C6" s="771">
        <v>2</v>
      </c>
      <c r="D6" s="751">
        <v>2023</v>
      </c>
      <c r="E6" s="746">
        <f>Elect!BS10</f>
        <v>22880.134166664895</v>
      </c>
      <c r="F6" s="744">
        <f t="shared" si="1"/>
        <v>1.4175395771847608</v>
      </c>
      <c r="G6" s="745">
        <f>Gas!K11</f>
        <v>1987.8533333368414</v>
      </c>
      <c r="H6" s="744">
        <v>3.8</v>
      </c>
      <c r="I6" s="745">
        <f>Water!H11</f>
        <v>340.07333333354995</v>
      </c>
      <c r="J6" s="744">
        <v>10</v>
      </c>
      <c r="K6" s="745">
        <f>Elect!BT10</f>
        <v>237</v>
      </c>
    </row>
    <row r="7" spans="1:12">
      <c r="A7" s="752" t="s">
        <v>11</v>
      </c>
      <c r="B7" s="729">
        <f t="shared" si="0"/>
        <v>6</v>
      </c>
      <c r="C7" s="771">
        <v>2</v>
      </c>
      <c r="D7" s="751">
        <v>2023</v>
      </c>
      <c r="E7" s="746">
        <f>Elect!BS11</f>
        <v>22884.965833335104</v>
      </c>
      <c r="F7" s="744">
        <f t="shared" si="1"/>
        <v>1.4175395771847608</v>
      </c>
      <c r="G7" s="745">
        <f>Gas!K12</f>
        <v>1699.8866666631588</v>
      </c>
      <c r="H7" s="744">
        <v>3.8</v>
      </c>
      <c r="I7" s="745">
        <f>Water!H12</f>
        <v>283.42666666644999</v>
      </c>
      <c r="J7" s="744">
        <v>10</v>
      </c>
      <c r="K7" s="745">
        <f>Elect!BT11</f>
        <v>196</v>
      </c>
    </row>
    <row r="8" spans="1:12">
      <c r="A8" s="752" t="s">
        <v>11</v>
      </c>
      <c r="B8" s="729">
        <f t="shared" si="0"/>
        <v>7</v>
      </c>
      <c r="C8" s="771">
        <v>2</v>
      </c>
      <c r="D8" s="751">
        <v>2023</v>
      </c>
      <c r="E8" s="746">
        <f>Elect!BS12</f>
        <v>23212.385000000002</v>
      </c>
      <c r="F8" s="744">
        <f t="shared" si="1"/>
        <v>1.4175395771847608</v>
      </c>
      <c r="G8" s="745">
        <f>Gas!K13</f>
        <v>1865.3600000000001</v>
      </c>
      <c r="H8" s="744">
        <v>3.8</v>
      </c>
      <c r="I8" s="745">
        <f>Water!H13</f>
        <v>296.95999999999998</v>
      </c>
      <c r="J8" s="744">
        <v>10</v>
      </c>
      <c r="K8" s="745">
        <f>Elect!BT12</f>
        <v>163</v>
      </c>
    </row>
    <row r="9" spans="1:12">
      <c r="A9" s="752" t="s">
        <v>11</v>
      </c>
      <c r="B9" s="729">
        <f t="shared" si="0"/>
        <v>8</v>
      </c>
      <c r="C9" s="771">
        <v>2</v>
      </c>
      <c r="D9" s="751">
        <v>2023</v>
      </c>
      <c r="E9" s="746">
        <f>Elect!BS13</f>
        <v>23300.592499999999</v>
      </c>
      <c r="F9" s="744">
        <f t="shared" si="1"/>
        <v>1.4175395771847608</v>
      </c>
      <c r="G9" s="745">
        <f>Gas!K14</f>
        <v>1971.3400000000001</v>
      </c>
      <c r="H9" s="744">
        <v>3.8</v>
      </c>
      <c r="I9" s="745">
        <f>Water!H14</f>
        <v>337.55999999999995</v>
      </c>
      <c r="J9" s="744">
        <v>10</v>
      </c>
      <c r="K9" s="745">
        <f>Elect!BT13</f>
        <v>149</v>
      </c>
    </row>
    <row r="10" spans="1:12">
      <c r="A10" s="752" t="s">
        <v>11</v>
      </c>
      <c r="B10" s="729">
        <f t="shared" si="0"/>
        <v>9</v>
      </c>
      <c r="C10" s="771">
        <v>2</v>
      </c>
      <c r="D10" s="751">
        <v>2023</v>
      </c>
      <c r="E10" s="746">
        <f>Elect!BS14</f>
        <v>22906.682500000003</v>
      </c>
      <c r="F10" s="744">
        <f t="shared" si="1"/>
        <v>1.4175395771847608</v>
      </c>
      <c r="G10" s="745">
        <f>Gas!K15</f>
        <v>1873.04</v>
      </c>
      <c r="H10" s="744">
        <v>3.8</v>
      </c>
      <c r="I10" s="745">
        <f>Water!H15</f>
        <v>294.06</v>
      </c>
      <c r="J10" s="744">
        <v>10</v>
      </c>
      <c r="K10" s="745">
        <f>Elect!BT14</f>
        <v>162</v>
      </c>
    </row>
    <row r="11" spans="1:12">
      <c r="A11" s="752" t="s">
        <v>11</v>
      </c>
      <c r="B11" s="729">
        <f t="shared" si="0"/>
        <v>10</v>
      </c>
      <c r="C11" s="771">
        <v>2</v>
      </c>
      <c r="D11" s="751">
        <v>2023</v>
      </c>
      <c r="E11" s="746">
        <f>Elect!BS15</f>
        <v>22569.904999999999</v>
      </c>
      <c r="F11" s="744">
        <f t="shared" si="1"/>
        <v>1.4175395771847608</v>
      </c>
      <c r="G11" s="745">
        <f>Gas!K16</f>
        <v>1939.46</v>
      </c>
      <c r="H11" s="744">
        <v>3.8</v>
      </c>
      <c r="I11" s="745">
        <f>Water!H16</f>
        <v>326.53999999999996</v>
      </c>
      <c r="J11" s="744">
        <v>10</v>
      </c>
      <c r="K11" s="745">
        <f>Elect!BT15</f>
        <v>176</v>
      </c>
    </row>
    <row r="12" spans="1:12">
      <c r="A12" s="752" t="s">
        <v>11</v>
      </c>
      <c r="B12" s="729">
        <f t="shared" si="0"/>
        <v>11</v>
      </c>
      <c r="C12" s="771">
        <v>2</v>
      </c>
      <c r="D12" s="751">
        <v>2023</v>
      </c>
      <c r="E12" s="746">
        <f>Elect!BS16</f>
        <v>22584</v>
      </c>
      <c r="F12" s="744">
        <f t="shared" si="1"/>
        <v>1.4175395771847608</v>
      </c>
      <c r="G12" s="745">
        <f>Gas!K17</f>
        <v>2352.6</v>
      </c>
      <c r="H12" s="744">
        <v>3.8</v>
      </c>
      <c r="I12" s="745">
        <f>Water!H17</f>
        <v>345.68</v>
      </c>
      <c r="J12" s="744">
        <v>10</v>
      </c>
      <c r="K12" s="745">
        <f>Elect!BT16</f>
        <v>234</v>
      </c>
      <c r="L12" s="732" t="s">
        <v>12</v>
      </c>
    </row>
    <row r="13" spans="1:12">
      <c r="A13" s="752" t="s">
        <v>11</v>
      </c>
      <c r="B13" s="729">
        <f t="shared" si="0"/>
        <v>12</v>
      </c>
      <c r="C13" s="771">
        <v>2</v>
      </c>
      <c r="D13" s="751">
        <v>2023</v>
      </c>
      <c r="E13" s="746">
        <f>Elect!BS17</f>
        <v>25259.357499999998</v>
      </c>
      <c r="F13" s="744">
        <f t="shared" si="1"/>
        <v>1.4175395771847608</v>
      </c>
      <c r="G13" s="745">
        <f>Gas!K18</f>
        <v>2262.58</v>
      </c>
      <c r="H13" s="744">
        <v>3.8</v>
      </c>
      <c r="I13" s="745">
        <f>Water!H18</f>
        <v>331.76</v>
      </c>
      <c r="J13" s="744">
        <v>10</v>
      </c>
      <c r="K13" s="745">
        <f>Elect!BT17</f>
        <v>240</v>
      </c>
      <c r="L13" s="732" t="s">
        <v>13</v>
      </c>
    </row>
    <row r="14" spans="1:12">
      <c r="A14" s="752" t="s">
        <v>11</v>
      </c>
      <c r="B14" s="729">
        <f t="shared" si="0"/>
        <v>13</v>
      </c>
      <c r="C14" s="771">
        <v>2</v>
      </c>
      <c r="D14" s="751">
        <v>2023</v>
      </c>
      <c r="E14" s="745">
        <f>Elect!BS18</f>
        <v>21667.537499999999</v>
      </c>
      <c r="F14" s="744">
        <f t="shared" si="1"/>
        <v>1.4175395771847608</v>
      </c>
      <c r="G14" s="745">
        <f>Gas!K19</f>
        <v>1870.74</v>
      </c>
      <c r="H14" s="744">
        <v>3.8</v>
      </c>
      <c r="I14" s="745">
        <f>Water!H19</f>
        <v>333.5</v>
      </c>
      <c r="J14" s="744">
        <v>10</v>
      </c>
      <c r="K14" s="745">
        <f>Elect!BT18</f>
        <v>246</v>
      </c>
    </row>
    <row r="15" spans="1:12">
      <c r="A15" s="752" t="s">
        <v>11</v>
      </c>
      <c r="B15" s="729">
        <f t="shared" si="0"/>
        <v>14</v>
      </c>
      <c r="C15" s="771">
        <v>2</v>
      </c>
      <c r="D15" s="751">
        <v>2023</v>
      </c>
      <c r="E15" s="746">
        <f>Elect!BS19</f>
        <v>23405.555</v>
      </c>
      <c r="F15" s="744">
        <f t="shared" si="1"/>
        <v>1.4175395771847608</v>
      </c>
      <c r="G15" s="745">
        <f>Gas!K20</f>
        <v>2127.1800000000003</v>
      </c>
      <c r="H15" s="744">
        <v>3.8</v>
      </c>
      <c r="I15" s="745">
        <f>Water!H20</f>
        <v>357.28</v>
      </c>
      <c r="J15" s="744">
        <v>10</v>
      </c>
      <c r="K15" s="745">
        <f>Elect!BT19</f>
        <v>252</v>
      </c>
    </row>
    <row r="16" spans="1:12">
      <c r="A16" s="752" t="s">
        <v>11</v>
      </c>
      <c r="B16" s="729">
        <f t="shared" si="0"/>
        <v>15</v>
      </c>
      <c r="C16" s="771">
        <v>2</v>
      </c>
      <c r="D16" s="751">
        <v>2023</v>
      </c>
      <c r="E16" s="746">
        <f>Elect!BS20</f>
        <v>23602.552499999998</v>
      </c>
      <c r="F16" s="744">
        <f t="shared" si="1"/>
        <v>1.4175395771847608</v>
      </c>
      <c r="G16" s="745">
        <f>Gas!K21</f>
        <v>2318.38</v>
      </c>
      <c r="H16" s="744">
        <v>3.8</v>
      </c>
      <c r="I16" s="745">
        <f>Water!H21</f>
        <v>318.41999999999996</v>
      </c>
      <c r="J16" s="744">
        <v>10</v>
      </c>
      <c r="K16" s="745">
        <f>Elect!BT20</f>
        <v>196</v>
      </c>
    </row>
    <row r="17" spans="1:11">
      <c r="A17" s="752" t="s">
        <v>11</v>
      </c>
      <c r="B17" s="729">
        <f t="shared" si="0"/>
        <v>16</v>
      </c>
      <c r="C17" s="771">
        <v>2</v>
      </c>
      <c r="D17" s="751">
        <v>2023</v>
      </c>
      <c r="E17" s="746">
        <f>Elect!BS21</f>
        <v>23442.595000000001</v>
      </c>
      <c r="F17" s="744">
        <f t="shared" si="1"/>
        <v>1.4175395771847608</v>
      </c>
      <c r="G17" s="745">
        <f>Gas!K22</f>
        <v>2047.72</v>
      </c>
      <c r="H17" s="744">
        <v>3.8</v>
      </c>
      <c r="I17" s="745">
        <f>Water!H22</f>
        <v>331.17999999999995</v>
      </c>
      <c r="J17" s="744">
        <v>10</v>
      </c>
      <c r="K17" s="745">
        <f>Elect!BT21</f>
        <v>219</v>
      </c>
    </row>
    <row r="18" spans="1:11">
      <c r="A18" s="752" t="s">
        <v>11</v>
      </c>
      <c r="B18" s="729">
        <f t="shared" si="0"/>
        <v>17</v>
      </c>
      <c r="C18" s="771">
        <v>2</v>
      </c>
      <c r="D18" s="751">
        <v>2023</v>
      </c>
      <c r="E18" s="746">
        <f>Elect!BS22</f>
        <v>25102.125</v>
      </c>
      <c r="F18" s="744">
        <f t="shared" si="1"/>
        <v>1.4175395771847608</v>
      </c>
      <c r="G18" s="745">
        <f>Gas!K23</f>
        <v>2022.52</v>
      </c>
      <c r="H18" s="744">
        <v>3.8</v>
      </c>
      <c r="I18" s="745">
        <f>Water!H23</f>
        <v>322.67333333331362</v>
      </c>
      <c r="J18" s="744">
        <v>10</v>
      </c>
      <c r="K18" s="745">
        <f>Elect!BT22</f>
        <v>240</v>
      </c>
    </row>
    <row r="19" spans="1:11">
      <c r="A19" s="752" t="s">
        <v>11</v>
      </c>
      <c r="B19" s="729">
        <f t="shared" si="0"/>
        <v>18</v>
      </c>
      <c r="C19" s="771">
        <v>2</v>
      </c>
      <c r="D19" s="751">
        <v>2023</v>
      </c>
      <c r="E19" s="746">
        <f>Elect!BS23</f>
        <v>21604.587500000001</v>
      </c>
      <c r="F19" s="744">
        <f t="shared" si="1"/>
        <v>1.4175395771847608</v>
      </c>
      <c r="G19" s="745">
        <f>Gas!K24</f>
        <v>2213.2800000000002</v>
      </c>
      <c r="H19" s="744">
        <v>3.8</v>
      </c>
      <c r="I19" s="745">
        <f>Water!H24</f>
        <v>320.54666666668635</v>
      </c>
      <c r="J19" s="744">
        <v>10</v>
      </c>
      <c r="K19" s="745">
        <f>Elect!BT23</f>
        <v>256</v>
      </c>
    </row>
    <row r="20" spans="1:11">
      <c r="A20" s="752" t="s">
        <v>11</v>
      </c>
      <c r="B20" s="729">
        <f t="shared" si="0"/>
        <v>19</v>
      </c>
      <c r="C20" s="771">
        <v>2</v>
      </c>
      <c r="D20" s="751">
        <v>2023</v>
      </c>
      <c r="E20" s="746">
        <f>Elect!BS24</f>
        <v>22917.434999999998</v>
      </c>
      <c r="F20" s="744">
        <f t="shared" si="1"/>
        <v>1.4175395771847608</v>
      </c>
      <c r="G20" s="745">
        <f>Gas!K25</f>
        <v>2934.28</v>
      </c>
      <c r="H20" s="744">
        <v>3.8</v>
      </c>
      <c r="I20" s="745">
        <f>Water!H25</f>
        <v>435.58</v>
      </c>
      <c r="J20" s="744">
        <v>10</v>
      </c>
      <c r="K20" s="745">
        <f>Elect!BT24</f>
        <v>254</v>
      </c>
    </row>
    <row r="21" spans="1:11">
      <c r="A21" s="752" t="s">
        <v>11</v>
      </c>
      <c r="B21" s="729">
        <f t="shared" si="0"/>
        <v>20</v>
      </c>
      <c r="C21" s="771">
        <v>2</v>
      </c>
      <c r="D21" s="751">
        <v>2023</v>
      </c>
      <c r="E21" s="746">
        <f>Elect!BS25</f>
        <v>25054.525000000001</v>
      </c>
      <c r="F21" s="744">
        <f t="shared" si="1"/>
        <v>1.4175395771847608</v>
      </c>
      <c r="G21" s="745">
        <f>Gas!K26</f>
        <v>2363.2399999999998</v>
      </c>
      <c r="H21" s="744">
        <v>3.8</v>
      </c>
      <c r="I21" s="745">
        <f>Water!H26</f>
        <v>417.02</v>
      </c>
      <c r="J21" s="744">
        <v>10</v>
      </c>
      <c r="K21" s="745">
        <f>Elect!BT25</f>
        <v>250</v>
      </c>
    </row>
    <row r="22" spans="1:11">
      <c r="A22" s="752" t="s">
        <v>11</v>
      </c>
      <c r="B22" s="729">
        <f t="shared" si="0"/>
        <v>21</v>
      </c>
      <c r="C22" s="771">
        <v>2</v>
      </c>
      <c r="D22" s="751">
        <v>2023</v>
      </c>
      <c r="E22" s="746">
        <f>Elect!BS26</f>
        <v>23447.737500000003</v>
      </c>
      <c r="F22" s="744">
        <f t="shared" si="1"/>
        <v>1.4175395771847608</v>
      </c>
      <c r="G22" s="745">
        <f>Gas!K27</f>
        <v>2062.36</v>
      </c>
      <c r="H22" s="744">
        <v>3.8</v>
      </c>
      <c r="I22" s="745">
        <f>Water!H27</f>
        <v>292.32</v>
      </c>
      <c r="J22" s="744">
        <v>10</v>
      </c>
      <c r="K22" s="745">
        <f>Elect!BT26</f>
        <v>249</v>
      </c>
    </row>
    <row r="23" spans="1:11">
      <c r="A23" s="752" t="s">
        <v>11</v>
      </c>
      <c r="B23" s="729">
        <f t="shared" si="0"/>
        <v>22</v>
      </c>
      <c r="C23" s="771">
        <v>2</v>
      </c>
      <c r="D23" s="751">
        <v>2023</v>
      </c>
      <c r="E23" s="746">
        <f>Elect!BS27</f>
        <v>23769.857499999998</v>
      </c>
      <c r="F23" s="744">
        <f t="shared" si="1"/>
        <v>1.4175395771847608</v>
      </c>
      <c r="G23" s="745">
        <f>Gas!K28</f>
        <v>2360.52</v>
      </c>
      <c r="H23" s="744">
        <v>3.8</v>
      </c>
      <c r="I23" s="745">
        <f>Water!H28</f>
        <v>341.62</v>
      </c>
      <c r="J23" s="744">
        <v>10</v>
      </c>
      <c r="K23" s="745">
        <f>Elect!BT27</f>
        <v>240</v>
      </c>
    </row>
    <row r="24" spans="1:11">
      <c r="A24" s="752" t="s">
        <v>11</v>
      </c>
      <c r="B24" s="729">
        <f t="shared" si="0"/>
        <v>23</v>
      </c>
      <c r="C24" s="771">
        <v>2</v>
      </c>
      <c r="D24" s="751">
        <v>2023</v>
      </c>
      <c r="E24" s="746">
        <f>Elect!BS28</f>
        <v>27649.25</v>
      </c>
      <c r="F24" s="744">
        <f t="shared" si="1"/>
        <v>1.4175395771847608</v>
      </c>
      <c r="G24" s="745">
        <f>Gas!K29</f>
        <v>2152.98</v>
      </c>
      <c r="H24" s="744">
        <v>3.8</v>
      </c>
      <c r="I24" s="745">
        <f>Water!H29</f>
        <v>374.09999999999997</v>
      </c>
      <c r="J24" s="744">
        <v>10</v>
      </c>
      <c r="K24" s="745">
        <f>Elect!BT28</f>
        <v>254</v>
      </c>
    </row>
    <row r="25" spans="1:11">
      <c r="A25" s="752" t="s">
        <v>11</v>
      </c>
      <c r="B25" s="729">
        <f t="shared" si="0"/>
        <v>24</v>
      </c>
      <c r="C25" s="771">
        <v>2</v>
      </c>
      <c r="D25" s="751">
        <v>2023</v>
      </c>
      <c r="E25" s="746">
        <f>Elect!BS29</f>
        <v>23340.345000000001</v>
      </c>
      <c r="F25" s="744">
        <f t="shared" si="1"/>
        <v>1.4175395771847608</v>
      </c>
      <c r="G25" s="745">
        <f>Gas!K30</f>
        <v>1756.8</v>
      </c>
      <c r="H25" s="744">
        <v>3.8</v>
      </c>
      <c r="I25" s="745">
        <f>Water!H30</f>
        <v>377</v>
      </c>
      <c r="J25" s="744">
        <v>10</v>
      </c>
      <c r="K25" s="745">
        <f>Elect!BT29</f>
        <v>251</v>
      </c>
    </row>
    <row r="26" spans="1:11">
      <c r="A26" s="752" t="s">
        <v>11</v>
      </c>
      <c r="B26" s="729">
        <f>B25+1</f>
        <v>25</v>
      </c>
      <c r="C26" s="771">
        <v>2</v>
      </c>
      <c r="D26" s="751">
        <v>2023</v>
      </c>
      <c r="E26" s="746">
        <f>Elect!BS30</f>
        <v>24930.8825</v>
      </c>
      <c r="F26" s="744">
        <f t="shared" si="1"/>
        <v>1.4175395771847608</v>
      </c>
      <c r="G26" s="745">
        <f>Gas!K31</f>
        <v>2244.4266666699573</v>
      </c>
      <c r="H26" s="744">
        <v>3.8</v>
      </c>
      <c r="I26" s="745">
        <f>Water!H31</f>
        <v>356.7</v>
      </c>
      <c r="J26" s="744">
        <v>10</v>
      </c>
      <c r="K26" s="745">
        <f>Elect!BT30</f>
        <v>252</v>
      </c>
    </row>
    <row r="27" spans="1:11">
      <c r="A27" s="752" t="s">
        <v>11</v>
      </c>
      <c r="B27" s="729">
        <f t="shared" si="0"/>
        <v>26</v>
      </c>
      <c r="C27" s="771">
        <v>2</v>
      </c>
      <c r="D27" s="751">
        <v>2023</v>
      </c>
      <c r="E27" s="746">
        <f>Elect!BS31</f>
        <v>27330.224999999999</v>
      </c>
      <c r="F27" s="744">
        <f t="shared" si="1"/>
        <v>1.4175395771847608</v>
      </c>
      <c r="G27" s="745">
        <f>Gas!K32</f>
        <v>1954.0733333300427</v>
      </c>
      <c r="H27" s="744">
        <v>3.8</v>
      </c>
      <c r="I27" s="745">
        <f>Water!H32</f>
        <v>412.96</v>
      </c>
      <c r="J27" s="744">
        <v>10</v>
      </c>
      <c r="K27" s="745">
        <f>Elect!BT31</f>
        <v>252</v>
      </c>
    </row>
    <row r="28" spans="1:11">
      <c r="A28" s="752" t="s">
        <v>11</v>
      </c>
      <c r="B28" s="729">
        <f t="shared" si="0"/>
        <v>27</v>
      </c>
      <c r="C28" s="771">
        <v>2</v>
      </c>
      <c r="D28" s="751">
        <v>2023</v>
      </c>
      <c r="E28" s="815">
        <f>Elect!BS32</f>
        <v>17739.260833333297</v>
      </c>
      <c r="F28" s="816">
        <f t="shared" si="1"/>
        <v>1.4175395771847608</v>
      </c>
      <c r="G28" s="745">
        <f>Gas!K33</f>
        <v>1816.4</v>
      </c>
      <c r="H28" s="816">
        <v>3.8</v>
      </c>
      <c r="I28" s="745">
        <f>Water!H33</f>
        <v>214.59999999999997</v>
      </c>
      <c r="J28" s="816">
        <v>10</v>
      </c>
      <c r="K28" s="817">
        <f>Elect!BT32</f>
        <v>236</v>
      </c>
    </row>
    <row r="29" spans="1:11">
      <c r="A29" s="822" t="s">
        <v>11</v>
      </c>
      <c r="B29" s="823">
        <f t="shared" si="0"/>
        <v>28</v>
      </c>
      <c r="C29" s="824">
        <v>2</v>
      </c>
      <c r="D29" s="825">
        <v>2023</v>
      </c>
      <c r="E29" s="746">
        <f>Elect!BS33</f>
        <v>24134.625833347607</v>
      </c>
      <c r="F29" s="744">
        <f t="shared" si="1"/>
        <v>1.4175395771847608</v>
      </c>
      <c r="G29" s="745">
        <f>Gas!K34</f>
        <v>2103.06</v>
      </c>
      <c r="H29" s="744">
        <v>3.8</v>
      </c>
      <c r="I29" s="745">
        <f>Water!H34</f>
        <v>335.82</v>
      </c>
      <c r="J29" s="744">
        <v>10</v>
      </c>
      <c r="K29" s="745">
        <f>Elect!BT33</f>
        <v>230.666666666667</v>
      </c>
    </row>
    <row r="30" spans="1:11">
      <c r="A30" s="818"/>
      <c r="B30" s="819"/>
      <c r="C30" s="820"/>
      <c r="D30" s="819"/>
      <c r="E30" s="821"/>
      <c r="F30" s="819"/>
      <c r="G30" s="821"/>
      <c r="H30" s="819"/>
      <c r="I30" s="821"/>
      <c r="J30" s="819"/>
      <c r="K30" s="821"/>
    </row>
    <row r="31" spans="1:11">
      <c r="A31" s="818"/>
      <c r="B31" s="819"/>
      <c r="C31" s="820"/>
      <c r="D31" s="819"/>
      <c r="E31" s="821"/>
      <c r="F31" s="819"/>
      <c r="G31" s="821"/>
      <c r="H31" s="819"/>
      <c r="I31" s="821"/>
      <c r="J31" s="819"/>
      <c r="K31" s="821"/>
    </row>
    <row r="32" spans="1:11">
      <c r="A32" s="818"/>
      <c r="B32" s="819"/>
      <c r="C32" s="820"/>
      <c r="D32" s="819"/>
      <c r="E32" s="821"/>
      <c r="F32" s="819"/>
      <c r="G32" s="821"/>
      <c r="H32" s="819"/>
      <c r="I32" s="821"/>
      <c r="J32" s="819"/>
      <c r="K32" s="82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S33"/>
  <sheetViews>
    <sheetView workbookViewId="0">
      <selection activeCell="C32" sqref="C32:D32"/>
    </sheetView>
  </sheetViews>
  <sheetFormatPr defaultRowHeight="12.75"/>
  <cols>
    <col min="1" max="1" width="25.7109375" customWidth="1"/>
    <col min="6" max="34" width="20.7109375" customWidth="1"/>
    <col min="36" max="36" width="24.42578125" customWidth="1"/>
    <col min="37" max="37" width="25.7109375" customWidth="1"/>
    <col min="38" max="39" width="25.42578125" customWidth="1"/>
    <col min="40" max="40" width="10.28515625" customWidth="1"/>
    <col min="41" max="41" width="26.7109375" customWidth="1"/>
    <col min="42" max="42" width="30" customWidth="1"/>
    <col min="43" max="44" width="35.42578125" customWidth="1"/>
    <col min="45" max="45" width="10.5703125" style="97" customWidth="1"/>
    <col min="46" max="46" width="20.7109375" customWidth="1"/>
  </cols>
  <sheetData>
    <row r="1" spans="1:45" s="10" customFormat="1" ht="25.5" customHeight="1">
      <c r="A1" s="740" t="s">
        <v>0</v>
      </c>
      <c r="B1" s="741" t="s">
        <v>1</v>
      </c>
      <c r="C1" s="741" t="s">
        <v>2</v>
      </c>
      <c r="D1" s="741" t="s">
        <v>3</v>
      </c>
      <c r="E1" s="826" t="s">
        <v>14</v>
      </c>
      <c r="F1" s="736" t="s">
        <v>15</v>
      </c>
      <c r="G1" s="737" t="s">
        <v>16</v>
      </c>
      <c r="H1" s="736" t="s">
        <v>17</v>
      </c>
      <c r="I1" s="736" t="s">
        <v>18</v>
      </c>
      <c r="J1" s="736" t="s">
        <v>19</v>
      </c>
      <c r="K1" s="730" t="s">
        <v>20</v>
      </c>
      <c r="L1" s="730" t="s">
        <v>21</v>
      </c>
      <c r="M1" s="755" t="s">
        <v>22</v>
      </c>
      <c r="N1" s="755" t="s">
        <v>23</v>
      </c>
      <c r="O1" s="755" t="s">
        <v>24</v>
      </c>
      <c r="P1" s="755" t="s">
        <v>25</v>
      </c>
      <c r="Q1" s="755" t="s">
        <v>26</v>
      </c>
      <c r="R1" s="755" t="s">
        <v>27</v>
      </c>
      <c r="S1" s="785" t="s">
        <v>28</v>
      </c>
      <c r="T1" s="755" t="s">
        <v>29</v>
      </c>
      <c r="U1" s="755" t="s">
        <v>30</v>
      </c>
      <c r="V1" s="755" t="s">
        <v>31</v>
      </c>
      <c r="W1" s="785" t="s">
        <v>32</v>
      </c>
      <c r="X1" s="755" t="s">
        <v>33</v>
      </c>
      <c r="Y1" s="785" t="s">
        <v>34</v>
      </c>
      <c r="Z1" s="755" t="s">
        <v>35</v>
      </c>
      <c r="AA1" s="785" t="s">
        <v>36</v>
      </c>
      <c r="AB1" s="755" t="s">
        <v>37</v>
      </c>
      <c r="AC1" s="755" t="s">
        <v>38</v>
      </c>
      <c r="AD1" s="785" t="s">
        <v>39</v>
      </c>
      <c r="AE1" s="755" t="s">
        <v>40</v>
      </c>
      <c r="AF1" s="755" t="s">
        <v>41</v>
      </c>
      <c r="AG1" s="755" t="s">
        <v>42</v>
      </c>
      <c r="AH1" s="755" t="s">
        <v>43</v>
      </c>
      <c r="AI1" s="826" t="s">
        <v>44</v>
      </c>
      <c r="AJ1" s="755" t="s">
        <v>45</v>
      </c>
      <c r="AK1" s="755" t="s">
        <v>46</v>
      </c>
      <c r="AL1" s="755" t="s">
        <v>47</v>
      </c>
      <c r="AM1" s="755" t="s">
        <v>48</v>
      </c>
      <c r="AN1" s="826" t="s">
        <v>49</v>
      </c>
      <c r="AO1" s="755" t="s">
        <v>50</v>
      </c>
      <c r="AP1" s="755" t="s">
        <v>51</v>
      </c>
      <c r="AQ1" s="755" t="s">
        <v>52</v>
      </c>
      <c r="AR1" s="755" t="s">
        <v>48</v>
      </c>
      <c r="AS1" s="742" t="s">
        <v>10</v>
      </c>
    </row>
    <row r="2" spans="1:45" ht="19.5" customHeight="1">
      <c r="A2" s="749" t="s">
        <v>11</v>
      </c>
      <c r="B2" s="750">
        <v>1</v>
      </c>
      <c r="C2" s="771">
        <v>2</v>
      </c>
      <c r="D2" s="751">
        <v>2023</v>
      </c>
      <c r="E2" s="827"/>
      <c r="F2" s="738">
        <f>Elect!J6</f>
        <v>7543.333333298564</v>
      </c>
      <c r="G2" s="738">
        <f>Elect!K6</f>
        <v>3061.3333333330229</v>
      </c>
      <c r="H2" s="738">
        <f>Elect!Q6</f>
        <v>420</v>
      </c>
      <c r="I2" s="738">
        <f>Elect!S6</f>
        <v>144.66666666700621</v>
      </c>
      <c r="J2" s="738">
        <f>Elect!U6</f>
        <v>245.33333333302289</v>
      </c>
      <c r="K2" s="738">
        <f>Elect!W6</f>
        <v>1654.13</v>
      </c>
      <c r="L2" s="738">
        <f>Elect!Y6</f>
        <v>0</v>
      </c>
      <c r="M2" s="738">
        <f>Elect!AA6</f>
        <v>0</v>
      </c>
      <c r="N2" s="738">
        <f>Elect!AC6</f>
        <v>0</v>
      </c>
      <c r="O2" s="738">
        <f>Elect!AE6</f>
        <v>26.5</v>
      </c>
      <c r="P2" s="738">
        <f>Elect!AG6</f>
        <v>12.72</v>
      </c>
      <c r="Q2" s="738">
        <f>Elect!AI6</f>
        <v>63.776666666502138</v>
      </c>
      <c r="R2" s="738">
        <f>Elect!AK6</f>
        <v>1898.8133333334979</v>
      </c>
      <c r="S2" s="738">
        <f>Elect!AM6</f>
        <v>119.07333333349787</v>
      </c>
      <c r="T2" s="738">
        <f>Elect!AP6</f>
        <v>141.86250000000001</v>
      </c>
      <c r="U2" s="738">
        <f>Elect!AR6</f>
        <v>187.33333333302289</v>
      </c>
      <c r="V2" s="738">
        <f>Elect!AT6</f>
        <v>138.66666666670062</v>
      </c>
      <c r="W2" s="738">
        <f>Elect!AV6</f>
        <v>43.666666666977108</v>
      </c>
      <c r="X2" s="738">
        <f>Elect!AX6</f>
        <v>482.33333333022892</v>
      </c>
      <c r="Y2" s="738">
        <f>Elect!AZ6</f>
        <v>620</v>
      </c>
      <c r="Z2" s="738">
        <f>Elect!BB6</f>
        <v>4326.333333298564</v>
      </c>
      <c r="AA2" s="738">
        <f>Elect!BD6</f>
        <v>232</v>
      </c>
      <c r="AB2" s="738">
        <f>Elect!BF6</f>
        <v>37</v>
      </c>
      <c r="AC2" s="738">
        <f>Elect!BH6</f>
        <v>4955.7999999986023</v>
      </c>
      <c r="AD2" s="738">
        <f>Elect!BL6</f>
        <v>356.33333332999609</v>
      </c>
      <c r="AE2" s="738">
        <f>Elect!BN6</f>
        <v>929.66666666977108</v>
      </c>
      <c r="AF2" s="738">
        <f>Elect!BP6</f>
        <v>133</v>
      </c>
      <c r="AG2" s="738">
        <f>Elect!BR6</f>
        <v>121</v>
      </c>
      <c r="AH2" s="738" t="e">
        <f>#REF!</f>
        <v>#REF!</v>
      </c>
      <c r="AI2" s="827"/>
      <c r="AJ2" s="738">
        <f>Water!C7</f>
        <v>57.999999999999993</v>
      </c>
      <c r="AK2" s="738">
        <f>Water!E7</f>
        <v>57.999999999999993</v>
      </c>
      <c r="AL2" s="738">
        <f>Water!G7</f>
        <v>93.38</v>
      </c>
      <c r="AM2" s="738">
        <v>0</v>
      </c>
      <c r="AN2" s="827"/>
      <c r="AO2" s="738">
        <f>Gas!C7</f>
        <v>1194.6200000000001</v>
      </c>
      <c r="AP2" s="738">
        <f>Gas!E7</f>
        <v>326.89999999999998</v>
      </c>
      <c r="AQ2" s="738">
        <f>Gas!G7</f>
        <v>90</v>
      </c>
      <c r="AR2" s="738">
        <v>0</v>
      </c>
      <c r="AS2" s="745">
        <f>Elect!BT6</f>
        <v>97</v>
      </c>
    </row>
    <row r="3" spans="1:45" ht="12.75" customHeight="1">
      <c r="A3" s="752" t="s">
        <v>11</v>
      </c>
      <c r="B3" s="729">
        <f>B2+1</f>
        <v>2</v>
      </c>
      <c r="C3" s="771">
        <v>2</v>
      </c>
      <c r="D3" s="751">
        <v>2023</v>
      </c>
      <c r="E3" s="827"/>
      <c r="F3" s="738">
        <f>Elect!J7</f>
        <v>7209</v>
      </c>
      <c r="G3" s="738">
        <f>Elect!K7</f>
        <v>6980</v>
      </c>
      <c r="H3" s="738">
        <f>Elect!Q7</f>
        <v>420</v>
      </c>
      <c r="I3" s="738">
        <f>Elect!S7</f>
        <v>148</v>
      </c>
      <c r="J3" s="738">
        <f>Elect!U7</f>
        <v>254</v>
      </c>
      <c r="K3" s="738">
        <f>Elect!W7</f>
        <v>2147.0300000000002</v>
      </c>
      <c r="L3" s="738">
        <f>Elect!Y7</f>
        <v>0</v>
      </c>
      <c r="M3" s="738">
        <f>Elect!AA7</f>
        <v>0</v>
      </c>
      <c r="N3" s="738">
        <f>Elect!AC7</f>
        <v>0</v>
      </c>
      <c r="O3" s="738">
        <f>Elect!AE7</f>
        <v>13.780000000000001</v>
      </c>
      <c r="P3" s="738">
        <f>Elect!AG7</f>
        <v>12.72</v>
      </c>
      <c r="Q3" s="738">
        <f>Elect!AI7</f>
        <v>136.21</v>
      </c>
      <c r="R3" s="738">
        <f>Elect!AK7</f>
        <v>2065.4100000000003</v>
      </c>
      <c r="S3" s="738">
        <f>Elect!AM7</f>
        <v>124.55000000000001</v>
      </c>
      <c r="T3" s="738">
        <f>Elect!AP7</f>
        <v>148.16249999999999</v>
      </c>
      <c r="U3" s="738">
        <f>Elect!AR7</f>
        <v>195</v>
      </c>
      <c r="V3" s="738">
        <f>Elect!AT7</f>
        <v>130</v>
      </c>
      <c r="W3" s="738">
        <f>Elect!AV7</f>
        <v>44</v>
      </c>
      <c r="X3" s="738">
        <f>Elect!AX7</f>
        <v>679</v>
      </c>
      <c r="Y3" s="738">
        <f>Elect!AZ7</f>
        <v>635</v>
      </c>
      <c r="Z3" s="738">
        <f>Elect!BB7</f>
        <v>4742</v>
      </c>
      <c r="AA3" s="738">
        <f>Elect!BD7</f>
        <v>177</v>
      </c>
      <c r="AB3" s="738">
        <f>Elect!BF7</f>
        <v>39</v>
      </c>
      <c r="AC3" s="738">
        <f>Elect!BH7</f>
        <v>5478.75</v>
      </c>
      <c r="AD3" s="738">
        <f>Elect!BL7</f>
        <v>289</v>
      </c>
      <c r="AE3" s="738">
        <f>Elect!BN7</f>
        <v>1048</v>
      </c>
      <c r="AF3" s="738">
        <f>Elect!BP7</f>
        <v>117</v>
      </c>
      <c r="AG3" s="738">
        <f>Elect!BR7</f>
        <v>128</v>
      </c>
      <c r="AH3" s="738" t="e">
        <f>#REF!</f>
        <v>#REF!</v>
      </c>
      <c r="AI3" s="827"/>
      <c r="AJ3" s="738">
        <f>Water!C8</f>
        <v>75.399999999999991</v>
      </c>
      <c r="AK3" s="738">
        <f>Water!E8</f>
        <v>87</v>
      </c>
      <c r="AL3" s="738">
        <f>Water!G8</f>
        <v>93.96</v>
      </c>
      <c r="AM3" s="738">
        <v>0</v>
      </c>
      <c r="AN3" s="827"/>
      <c r="AO3" s="738">
        <f>Gas!C8</f>
        <v>1374.8200000000002</v>
      </c>
      <c r="AP3" s="738">
        <f>Gas!E8</f>
        <v>394.09999999999997</v>
      </c>
      <c r="AQ3" s="738">
        <f>Gas!G8</f>
        <v>107</v>
      </c>
      <c r="AR3" s="738">
        <v>0</v>
      </c>
      <c r="AS3" s="745">
        <f>Elect!BT7</f>
        <v>128</v>
      </c>
    </row>
    <row r="4" spans="1:45" ht="12.75" customHeight="1">
      <c r="A4" s="752" t="s">
        <v>11</v>
      </c>
      <c r="B4" s="729">
        <f t="shared" ref="B4:B29" si="0">B3+1</f>
        <v>3</v>
      </c>
      <c r="C4" s="771">
        <v>2</v>
      </c>
      <c r="D4" s="751">
        <v>2023</v>
      </c>
      <c r="E4" s="827"/>
      <c r="F4" s="738">
        <f>Elect!J8</f>
        <v>6942</v>
      </c>
      <c r="G4" s="738">
        <f>Elect!K8</f>
        <v>4568</v>
      </c>
      <c r="H4" s="738">
        <f>Elect!Q8</f>
        <v>420</v>
      </c>
      <c r="I4" s="738">
        <f>Elect!S8</f>
        <v>146</v>
      </c>
      <c r="J4" s="738">
        <f>Elect!U8</f>
        <v>263</v>
      </c>
      <c r="K4" s="738">
        <f>Elect!W8</f>
        <v>2217.52</v>
      </c>
      <c r="L4" s="738">
        <f>Elect!Y8</f>
        <v>0</v>
      </c>
      <c r="M4" s="738">
        <f>Elect!AA8</f>
        <v>18.02</v>
      </c>
      <c r="N4" s="738">
        <f>Elect!AC8</f>
        <v>0</v>
      </c>
      <c r="O4" s="738">
        <f>Elect!AE8</f>
        <v>12.72</v>
      </c>
      <c r="P4" s="738">
        <f>Elect!AG8</f>
        <v>12.190000000000001</v>
      </c>
      <c r="Q4" s="738">
        <f>Elect!AI8</f>
        <v>173.31</v>
      </c>
      <c r="R4" s="738">
        <f>Elect!AK8</f>
        <v>1993.3300000000002</v>
      </c>
      <c r="S4" s="738">
        <f>Elect!AM8</f>
        <v>115.01</v>
      </c>
      <c r="T4" s="738">
        <f>Elect!AP8</f>
        <v>146.70000000000002</v>
      </c>
      <c r="U4" s="738">
        <f>Elect!AR8</f>
        <v>202</v>
      </c>
      <c r="V4" s="738">
        <f>Elect!AT8</f>
        <v>113</v>
      </c>
      <c r="W4" s="738">
        <f>Elect!AV8</f>
        <v>40</v>
      </c>
      <c r="X4" s="738">
        <f>Elect!AX8</f>
        <v>643</v>
      </c>
      <c r="Y4" s="738">
        <f>Elect!AZ8</f>
        <v>1040</v>
      </c>
      <c r="Z4" s="738">
        <f>Elect!BB8</f>
        <v>4808</v>
      </c>
      <c r="AA4" s="738">
        <f>Elect!BD8</f>
        <v>199</v>
      </c>
      <c r="AB4" s="738">
        <f>Elect!BF8</f>
        <v>40</v>
      </c>
      <c r="AC4" s="738">
        <f>Elect!BH8</f>
        <v>5578</v>
      </c>
      <c r="AD4" s="738">
        <f>Elect!BL8</f>
        <v>241</v>
      </c>
      <c r="AE4" s="738">
        <f>Elect!BN8</f>
        <v>1002</v>
      </c>
      <c r="AF4" s="738">
        <f>Elect!BP8</f>
        <v>118</v>
      </c>
      <c r="AG4" s="738">
        <f>Elect!BR8</f>
        <v>154</v>
      </c>
      <c r="AH4" s="738" t="e">
        <f>#REF!</f>
        <v>#REF!</v>
      </c>
      <c r="AI4" s="827"/>
      <c r="AJ4" s="738">
        <f>Water!C9</f>
        <v>98.6</v>
      </c>
      <c r="AK4" s="738">
        <f>Water!E9</f>
        <v>110.19999999999999</v>
      </c>
      <c r="AL4" s="738">
        <f>Water!G9</f>
        <v>128.17999999999998</v>
      </c>
      <c r="AM4" s="738">
        <v>0</v>
      </c>
      <c r="AN4" s="827"/>
      <c r="AO4" s="738">
        <f>Gas!C9</f>
        <v>1484</v>
      </c>
      <c r="AP4" s="738">
        <f>Gas!E9</f>
        <v>366.09999999999997</v>
      </c>
      <c r="AQ4" s="738">
        <f>Gas!G9</f>
        <v>108</v>
      </c>
      <c r="AR4" s="738">
        <v>0</v>
      </c>
      <c r="AS4" s="745">
        <f>Elect!BT8</f>
        <v>130</v>
      </c>
    </row>
    <row r="5" spans="1:45" ht="12.75" customHeight="1">
      <c r="A5" s="752" t="s">
        <v>11</v>
      </c>
      <c r="B5" s="729">
        <f t="shared" si="0"/>
        <v>4</v>
      </c>
      <c r="C5" s="771">
        <v>2</v>
      </c>
      <c r="D5" s="751">
        <v>2023</v>
      </c>
      <c r="E5" s="827"/>
      <c r="F5" s="738">
        <f>Elect!J9</f>
        <v>6919</v>
      </c>
      <c r="G5" s="738">
        <f>Elect!K9</f>
        <v>4728</v>
      </c>
      <c r="H5" s="738">
        <f>Elect!Q9</f>
        <v>360</v>
      </c>
      <c r="I5" s="738">
        <f>Elect!S9</f>
        <v>142</v>
      </c>
      <c r="J5" s="738">
        <f>Elect!U9</f>
        <v>253</v>
      </c>
      <c r="K5" s="738">
        <f>Elect!W9</f>
        <v>2164.52</v>
      </c>
      <c r="L5" s="738">
        <f>Elect!Y9</f>
        <v>0</v>
      </c>
      <c r="M5" s="738">
        <f>Elect!AA9</f>
        <v>0</v>
      </c>
      <c r="N5" s="738">
        <f>Elect!AC9</f>
        <v>0</v>
      </c>
      <c r="O5" s="738">
        <f>Elect!AE9</f>
        <v>13.25</v>
      </c>
      <c r="P5" s="738">
        <f>Elect!AG9</f>
        <v>12.72</v>
      </c>
      <c r="Q5" s="738">
        <f>Elect!AI9</f>
        <v>174.37</v>
      </c>
      <c r="R5" s="738">
        <f>Elect!AK9</f>
        <v>1990.15</v>
      </c>
      <c r="S5" s="738">
        <f>Elect!AM9</f>
        <v>113.42</v>
      </c>
      <c r="T5" s="738">
        <f>Elect!AP9</f>
        <v>155.47499999999999</v>
      </c>
      <c r="U5" s="738">
        <f>Elect!AR9</f>
        <v>202</v>
      </c>
      <c r="V5" s="738">
        <f>Elect!AT9</f>
        <v>111</v>
      </c>
      <c r="W5" s="738">
        <f>Elect!AV9</f>
        <v>40</v>
      </c>
      <c r="X5" s="738">
        <f>Elect!AX9</f>
        <v>622</v>
      </c>
      <c r="Y5" s="738">
        <f>Elect!AZ9</f>
        <v>610</v>
      </c>
      <c r="Z5" s="738">
        <f>Elect!BB9</f>
        <v>4853</v>
      </c>
      <c r="AA5" s="738">
        <f>Elect!BD9</f>
        <v>178</v>
      </c>
      <c r="AB5" s="738">
        <f>Elect!BF9</f>
        <v>40</v>
      </c>
      <c r="AC5" s="738">
        <f>Elect!BH9</f>
        <v>5359.95</v>
      </c>
      <c r="AD5" s="738">
        <f>Elect!BL9</f>
        <v>88</v>
      </c>
      <c r="AE5" s="738">
        <f>Elect!BN9</f>
        <v>1011</v>
      </c>
      <c r="AF5" s="738">
        <f>Elect!BP9</f>
        <v>118</v>
      </c>
      <c r="AG5" s="738">
        <f>Elect!BR9</f>
        <v>157</v>
      </c>
      <c r="AH5" s="738" t="e">
        <f>#REF!</f>
        <v>#REF!</v>
      </c>
      <c r="AI5" s="827"/>
      <c r="AJ5" s="738">
        <f>Water!C10</f>
        <v>110.19999999999999</v>
      </c>
      <c r="AK5" s="738">
        <f>Water!E10</f>
        <v>110.19999999999999</v>
      </c>
      <c r="AL5" s="738">
        <f>Water!G10</f>
        <v>125.85999999999999</v>
      </c>
      <c r="AM5" s="738">
        <v>0</v>
      </c>
      <c r="AN5" s="827"/>
      <c r="AO5" s="738">
        <f>Gas!C10</f>
        <v>1734.16</v>
      </c>
      <c r="AP5" s="738">
        <f>Gas!E10</f>
        <v>529.19999999999993</v>
      </c>
      <c r="AQ5" s="738">
        <f>Gas!G10</f>
        <v>109</v>
      </c>
      <c r="AR5" s="738">
        <v>0</v>
      </c>
      <c r="AS5" s="745">
        <f>Elect!BT9</f>
        <v>236</v>
      </c>
    </row>
    <row r="6" spans="1:45" ht="12.75" customHeight="1">
      <c r="A6" s="752" t="s">
        <v>11</v>
      </c>
      <c r="B6" s="729">
        <f t="shared" si="0"/>
        <v>5</v>
      </c>
      <c r="C6" s="771">
        <v>2</v>
      </c>
      <c r="D6" s="751">
        <v>2023</v>
      </c>
      <c r="E6" s="827"/>
      <c r="F6" s="738">
        <f>Elect!J10</f>
        <v>6667</v>
      </c>
      <c r="G6" s="738">
        <f>Elect!K10</f>
        <v>4562.3333333330229</v>
      </c>
      <c r="H6" s="738">
        <f>Elect!Q10</f>
        <v>390</v>
      </c>
      <c r="I6" s="738">
        <f>Elect!S10</f>
        <v>141</v>
      </c>
      <c r="J6" s="738">
        <f>Elect!U10</f>
        <v>247</v>
      </c>
      <c r="K6" s="738">
        <f>Elect!W10</f>
        <v>1929.2</v>
      </c>
      <c r="L6" s="738">
        <f>Elect!Y10</f>
        <v>0</v>
      </c>
      <c r="M6" s="738">
        <f>Elect!AA10</f>
        <v>0</v>
      </c>
      <c r="N6" s="738">
        <f>Elect!AC10</f>
        <v>0</v>
      </c>
      <c r="O6" s="738">
        <f>Elect!AE10</f>
        <v>12.190000000000001</v>
      </c>
      <c r="P6" s="738">
        <f>Elect!AG10</f>
        <v>12.366666664897931</v>
      </c>
      <c r="Q6" s="738">
        <f>Elect!AI10</f>
        <v>155.82000000000002</v>
      </c>
      <c r="R6" s="738">
        <f>Elect!AK10</f>
        <v>1883.0900000000001</v>
      </c>
      <c r="S6" s="738">
        <f>Elect!AM10</f>
        <v>114.48</v>
      </c>
      <c r="T6" s="738">
        <f>Elect!AP10</f>
        <v>149.73750000000001</v>
      </c>
      <c r="U6" s="738">
        <f>Elect!AR10</f>
        <v>198</v>
      </c>
      <c r="V6" s="738">
        <f>Elect!AT10</f>
        <v>121</v>
      </c>
      <c r="W6" s="738">
        <f>Elect!AV10</f>
        <v>40</v>
      </c>
      <c r="X6" s="738">
        <f>Elect!AX10</f>
        <v>655</v>
      </c>
      <c r="Y6" s="738">
        <f>Elect!AZ10</f>
        <v>599</v>
      </c>
      <c r="Z6" s="738">
        <f>Elect!BB10</f>
        <v>4606</v>
      </c>
      <c r="AA6" s="738">
        <f>Elect!BD10</f>
        <v>186</v>
      </c>
      <c r="AB6" s="738">
        <f>Elect!BF10</f>
        <v>40</v>
      </c>
      <c r="AC6" s="738">
        <f>Elect!BH10</f>
        <v>5121.25</v>
      </c>
      <c r="AD6" s="738">
        <f>Elect!BL10</f>
        <v>103</v>
      </c>
      <c r="AE6" s="738">
        <f>Elect!BN10</f>
        <v>1008</v>
      </c>
      <c r="AF6" s="738">
        <f>Elect!BP10</f>
        <v>107</v>
      </c>
      <c r="AG6" s="738">
        <f>Elect!BR10</f>
        <v>155</v>
      </c>
      <c r="AH6" s="738" t="e">
        <f>#REF!</f>
        <v>#REF!</v>
      </c>
      <c r="AI6" s="827"/>
      <c r="AJ6" s="738">
        <f>Water!C11</f>
        <v>102.4666666668636</v>
      </c>
      <c r="AK6" s="738">
        <f>Water!E11</f>
        <v>110.19999999999999</v>
      </c>
      <c r="AL6" s="738">
        <f>Water!G11</f>
        <v>127.40666666668635</v>
      </c>
      <c r="AM6" s="738">
        <v>0</v>
      </c>
      <c r="AN6" s="827"/>
      <c r="AO6" s="738">
        <f>Gas!C11</f>
        <v>1567.3866666699573</v>
      </c>
      <c r="AP6" s="738">
        <f>Gas!E11</f>
        <v>420.46666666688395</v>
      </c>
      <c r="AQ6" s="738">
        <f>Gas!G11</f>
        <v>108.33333333302289</v>
      </c>
      <c r="AR6" s="738">
        <v>0</v>
      </c>
      <c r="AS6" s="745">
        <f>Elect!BT10</f>
        <v>237</v>
      </c>
    </row>
    <row r="7" spans="1:45" ht="12.75" customHeight="1">
      <c r="A7" s="752" t="s">
        <v>11</v>
      </c>
      <c r="B7" s="729">
        <f t="shared" si="0"/>
        <v>6</v>
      </c>
      <c r="C7" s="771">
        <v>2</v>
      </c>
      <c r="D7" s="751">
        <v>2023</v>
      </c>
      <c r="E7" s="827"/>
      <c r="F7" s="738">
        <f>Elect!J11</f>
        <v>7219</v>
      </c>
      <c r="G7" s="738">
        <f>Elect!K11</f>
        <v>4924</v>
      </c>
      <c r="H7" s="738">
        <f>Elect!Q11</f>
        <v>450</v>
      </c>
      <c r="I7" s="738">
        <f>Elect!S11</f>
        <v>142</v>
      </c>
      <c r="J7" s="738">
        <f>Elect!U11</f>
        <v>248</v>
      </c>
      <c r="K7" s="738">
        <f>Elect!W11</f>
        <v>1286.8400000000001</v>
      </c>
      <c r="L7" s="738">
        <f>Elect!Y11</f>
        <v>0</v>
      </c>
      <c r="M7" s="738">
        <f>Elect!AA11</f>
        <v>22.26</v>
      </c>
      <c r="N7" s="738">
        <f>Elect!AC11</f>
        <v>0</v>
      </c>
      <c r="O7" s="738">
        <f>Elect!AE11</f>
        <v>13.780000000000001</v>
      </c>
      <c r="P7" s="738">
        <f>Elect!AG11</f>
        <v>12.543333335102071</v>
      </c>
      <c r="Q7" s="738">
        <f>Elect!AI11</f>
        <v>157.41</v>
      </c>
      <c r="R7" s="738">
        <f>Elect!AK11</f>
        <v>1776.5600000000002</v>
      </c>
      <c r="S7" s="738">
        <f>Elect!AM11</f>
        <v>112.36</v>
      </c>
      <c r="T7" s="738">
        <f>Elect!AP11</f>
        <v>136.46250000000001</v>
      </c>
      <c r="U7" s="738">
        <f>Elect!AR11</f>
        <v>197</v>
      </c>
      <c r="V7" s="738">
        <f>Elect!AT11</f>
        <v>113</v>
      </c>
      <c r="W7" s="738">
        <f>Elect!AV11</f>
        <v>41</v>
      </c>
      <c r="X7" s="738">
        <f>Elect!AX11</f>
        <v>719</v>
      </c>
      <c r="Y7" s="738">
        <f>Elect!AZ11</f>
        <v>946</v>
      </c>
      <c r="Z7" s="738">
        <f>Elect!BB11</f>
        <v>4370</v>
      </c>
      <c r="AA7" s="738">
        <f>Elect!BD11</f>
        <v>192</v>
      </c>
      <c r="AB7" s="738">
        <f>Elect!BF11</f>
        <v>40</v>
      </c>
      <c r="AC7" s="738">
        <f>Elect!BH11</f>
        <v>5079.75</v>
      </c>
      <c r="AD7" s="738">
        <f>Elect!BL11</f>
        <v>90</v>
      </c>
      <c r="AE7" s="738">
        <f>Elect!BN11</f>
        <v>978</v>
      </c>
      <c r="AF7" s="738">
        <f>Elect!BP11</f>
        <v>107</v>
      </c>
      <c r="AG7" s="738">
        <f>Elect!BR11</f>
        <v>156</v>
      </c>
      <c r="AH7" s="738" t="e">
        <f>#REF!</f>
        <v>#REF!</v>
      </c>
      <c r="AI7" s="827"/>
      <c r="AJ7" s="738">
        <f>Water!C12</f>
        <v>83.133333333136392</v>
      </c>
      <c r="AK7" s="738">
        <f>Water!E12</f>
        <v>115.99999999999999</v>
      </c>
      <c r="AL7" s="738">
        <f>Water!G12</f>
        <v>84.29333333331364</v>
      </c>
      <c r="AM7" s="738">
        <v>0</v>
      </c>
      <c r="AN7" s="827"/>
      <c r="AO7" s="738">
        <f>Gas!C12</f>
        <v>1341.2533333300428</v>
      </c>
      <c r="AP7" s="738">
        <f>Gas!E12</f>
        <v>358.63333333311601</v>
      </c>
      <c r="AQ7" s="738">
        <f>Gas!G12</f>
        <v>58.666666666977108</v>
      </c>
      <c r="AR7" s="738">
        <v>0</v>
      </c>
      <c r="AS7" s="745">
        <f>Elect!BT11</f>
        <v>196</v>
      </c>
    </row>
    <row r="8" spans="1:45" ht="12.75" customHeight="1">
      <c r="A8" s="752" t="s">
        <v>11</v>
      </c>
      <c r="B8" s="729">
        <f t="shared" si="0"/>
        <v>7</v>
      </c>
      <c r="C8" s="771">
        <v>2</v>
      </c>
      <c r="D8" s="751">
        <v>2023</v>
      </c>
      <c r="E8" s="827"/>
      <c r="F8" s="738">
        <f>Elect!J12</f>
        <v>7366</v>
      </c>
      <c r="G8" s="738">
        <f>Elect!K12</f>
        <v>5085</v>
      </c>
      <c r="H8" s="738">
        <f>Elect!Q12</f>
        <v>540</v>
      </c>
      <c r="I8" s="738">
        <f>Elect!S12</f>
        <v>146</v>
      </c>
      <c r="J8" s="738">
        <f>Elect!U12</f>
        <v>256</v>
      </c>
      <c r="K8" s="738">
        <f>Elect!W12</f>
        <v>1381.18</v>
      </c>
      <c r="L8" s="738">
        <f>Elect!Y12</f>
        <v>0</v>
      </c>
      <c r="M8" s="738">
        <f>Elect!AA12</f>
        <v>0</v>
      </c>
      <c r="N8" s="738">
        <f>Elect!AC12</f>
        <v>0</v>
      </c>
      <c r="O8" s="738">
        <f>Elect!AE12</f>
        <v>13.25</v>
      </c>
      <c r="P8" s="738">
        <f>Elect!AG12</f>
        <v>12.72</v>
      </c>
      <c r="Q8" s="738">
        <f>Elect!AI12</f>
        <v>127.2</v>
      </c>
      <c r="R8" s="738">
        <f>Elect!AK12</f>
        <v>1865.0700000000002</v>
      </c>
      <c r="S8" s="738">
        <f>Elect!AM12</f>
        <v>118.19000000000001</v>
      </c>
      <c r="T8" s="738">
        <f>Elect!AP12</f>
        <v>115.425</v>
      </c>
      <c r="U8" s="738">
        <f>Elect!AR12</f>
        <v>200</v>
      </c>
      <c r="V8" s="738">
        <f>Elect!AT12</f>
        <v>130</v>
      </c>
      <c r="W8" s="738">
        <f>Elect!AV12</f>
        <v>42</v>
      </c>
      <c r="X8" s="738">
        <f>Elect!AX12</f>
        <v>754</v>
      </c>
      <c r="Y8" s="738">
        <f>Elect!AZ12</f>
        <v>577</v>
      </c>
      <c r="Z8" s="738">
        <f>Elect!BB12</f>
        <v>4432</v>
      </c>
      <c r="AA8" s="738">
        <f>Elect!BD12</f>
        <v>226</v>
      </c>
      <c r="AB8" s="738">
        <f>Elect!BF12</f>
        <v>40</v>
      </c>
      <c r="AC8" s="738">
        <f>Elect!BH12</f>
        <v>5272.3499999999995</v>
      </c>
      <c r="AD8" s="738">
        <f>Elect!BL12</f>
        <v>85</v>
      </c>
      <c r="AE8" s="738">
        <f>Elect!BN12</f>
        <v>1043</v>
      </c>
      <c r="AF8" s="738">
        <f>Elect!BP12</f>
        <v>114</v>
      </c>
      <c r="AG8" s="738">
        <f>Elect!BR12</f>
        <v>165</v>
      </c>
      <c r="AH8" s="738" t="e">
        <f>#REF!</f>
        <v>#REF!</v>
      </c>
      <c r="AI8" s="827"/>
      <c r="AJ8" s="738">
        <f>Water!C13</f>
        <v>87</v>
      </c>
      <c r="AK8" s="738">
        <f>Water!E13</f>
        <v>98.6</v>
      </c>
      <c r="AL8" s="738">
        <f>Water!G13</f>
        <v>111.35999999999999</v>
      </c>
      <c r="AM8" s="738">
        <v>0</v>
      </c>
      <c r="AN8" s="827"/>
      <c r="AO8" s="738">
        <f>Gas!C13</f>
        <v>1469.16</v>
      </c>
      <c r="AP8" s="738">
        <f>Gas!E13</f>
        <v>396.2</v>
      </c>
      <c r="AQ8" s="738">
        <f>Gas!G13</f>
        <v>82</v>
      </c>
      <c r="AR8" s="738">
        <v>0</v>
      </c>
      <c r="AS8" s="745">
        <f>Elect!BT12</f>
        <v>163</v>
      </c>
    </row>
    <row r="9" spans="1:45" ht="12.75" customHeight="1">
      <c r="A9" s="752" t="s">
        <v>11</v>
      </c>
      <c r="B9" s="729">
        <f t="shared" si="0"/>
        <v>8</v>
      </c>
      <c r="C9" s="771">
        <v>2</v>
      </c>
      <c r="D9" s="751">
        <v>2023</v>
      </c>
      <c r="E9" s="827"/>
      <c r="F9" s="738">
        <f>Elect!J13</f>
        <v>7366</v>
      </c>
      <c r="G9" s="738">
        <f>Elect!K13</f>
        <v>5113</v>
      </c>
      <c r="H9" s="738">
        <f>Elect!Q13</f>
        <v>450</v>
      </c>
      <c r="I9" s="738">
        <f>Elect!S13</f>
        <v>146</v>
      </c>
      <c r="J9" s="738">
        <f>Elect!U13</f>
        <v>252</v>
      </c>
      <c r="K9" s="738">
        <f>Elect!W13</f>
        <v>1281.01</v>
      </c>
      <c r="L9" s="738">
        <f>Elect!Y13</f>
        <v>0</v>
      </c>
      <c r="M9" s="738">
        <f>Elect!AA13</f>
        <v>0</v>
      </c>
      <c r="N9" s="738">
        <f>Elect!AC13</f>
        <v>0</v>
      </c>
      <c r="O9" s="738">
        <f>Elect!AE13</f>
        <v>13.780000000000001</v>
      </c>
      <c r="P9" s="738">
        <f>Elect!AG13</f>
        <v>13.25</v>
      </c>
      <c r="Q9" s="738">
        <f>Elect!AI13</f>
        <v>118.19000000000001</v>
      </c>
      <c r="R9" s="738">
        <f>Elect!AK13</f>
        <v>1768.6100000000001</v>
      </c>
      <c r="S9" s="738">
        <f>Elect!AM13</f>
        <v>118.19000000000001</v>
      </c>
      <c r="T9" s="738">
        <f>Elect!AP13</f>
        <v>59.0625</v>
      </c>
      <c r="U9" s="738">
        <f>Elect!AR13</f>
        <v>207</v>
      </c>
      <c r="V9" s="738">
        <f>Elect!AT13</f>
        <v>99</v>
      </c>
      <c r="W9" s="738">
        <f>Elect!AV13</f>
        <v>41</v>
      </c>
      <c r="X9" s="738">
        <f>Elect!AX13</f>
        <v>735</v>
      </c>
      <c r="Y9" s="738">
        <f>Elect!AZ13</f>
        <v>625</v>
      </c>
      <c r="Z9" s="738">
        <f>Elect!BB13</f>
        <v>4740</v>
      </c>
      <c r="AA9" s="738">
        <f>Elect!BD13</f>
        <v>187</v>
      </c>
      <c r="AB9" s="738">
        <f>Elect!BF13</f>
        <v>40</v>
      </c>
      <c r="AC9" s="738">
        <f>Elect!BH13</f>
        <v>5438.5</v>
      </c>
      <c r="AD9" s="738">
        <f>Elect!BL13</f>
        <v>297</v>
      </c>
      <c r="AE9" s="738">
        <f>Elect!BN13</f>
        <v>1018</v>
      </c>
      <c r="AF9" s="738">
        <f>Elect!BP13</f>
        <v>112</v>
      </c>
      <c r="AG9" s="738">
        <f>Elect!BR13</f>
        <v>164</v>
      </c>
      <c r="AH9" s="738" t="e">
        <f>#REF!</f>
        <v>#REF!</v>
      </c>
      <c r="AI9" s="827"/>
      <c r="AJ9" s="738">
        <f>Water!C14</f>
        <v>104.39999999999999</v>
      </c>
      <c r="AK9" s="738">
        <f>Water!E14</f>
        <v>121.8</v>
      </c>
      <c r="AL9" s="738">
        <f>Water!G14</f>
        <v>111.35999999999999</v>
      </c>
      <c r="AM9" s="738">
        <v>0</v>
      </c>
      <c r="AN9" s="827"/>
      <c r="AO9" s="738">
        <f>Gas!C14</f>
        <v>1573.0400000000002</v>
      </c>
      <c r="AP9" s="738">
        <f>Gas!E14</f>
        <v>398.29999999999995</v>
      </c>
      <c r="AQ9" s="738">
        <f>Gas!G14</f>
        <v>94</v>
      </c>
      <c r="AR9" s="738">
        <v>0</v>
      </c>
      <c r="AS9" s="745">
        <f>Elect!BT13</f>
        <v>149</v>
      </c>
    </row>
    <row r="10" spans="1:45" ht="12.75" customHeight="1">
      <c r="A10" s="752" t="s">
        <v>11</v>
      </c>
      <c r="B10" s="729">
        <f t="shared" si="0"/>
        <v>9</v>
      </c>
      <c r="C10" s="771">
        <v>2</v>
      </c>
      <c r="D10" s="751">
        <v>2023</v>
      </c>
      <c r="E10" s="827"/>
      <c r="F10" s="738">
        <f>Elect!J14</f>
        <v>7319</v>
      </c>
      <c r="G10" s="738">
        <f>Elect!K14</f>
        <v>5084</v>
      </c>
      <c r="H10" s="738">
        <f>Elect!Q14</f>
        <v>420</v>
      </c>
      <c r="I10" s="738">
        <f>Elect!S14</f>
        <v>141</v>
      </c>
      <c r="J10" s="738">
        <f>Elect!U14</f>
        <v>252</v>
      </c>
      <c r="K10" s="738">
        <f>Elect!W14</f>
        <v>1346.73</v>
      </c>
      <c r="L10" s="738">
        <f>Elect!Y14</f>
        <v>0</v>
      </c>
      <c r="M10" s="738">
        <f>Elect!AA14</f>
        <v>0</v>
      </c>
      <c r="N10" s="738">
        <f>Elect!AC14</f>
        <v>0</v>
      </c>
      <c r="O10" s="738">
        <f>Elect!AE14</f>
        <v>13.25</v>
      </c>
      <c r="P10" s="738">
        <f>Elect!AG14</f>
        <v>12.72</v>
      </c>
      <c r="Q10" s="738">
        <f>Elect!AI14</f>
        <v>120.31</v>
      </c>
      <c r="R10" s="738">
        <f>Elect!AK14</f>
        <v>1760.66</v>
      </c>
      <c r="S10" s="738">
        <f>Elect!AM14</f>
        <v>111.30000000000001</v>
      </c>
      <c r="T10" s="738">
        <f>Elect!AP14</f>
        <v>120.71250000000001</v>
      </c>
      <c r="U10" s="738">
        <f>Elect!AR14</f>
        <v>203</v>
      </c>
      <c r="V10" s="738">
        <f>Elect!AT14</f>
        <v>108</v>
      </c>
      <c r="W10" s="738">
        <f>Elect!AV14</f>
        <v>40</v>
      </c>
      <c r="X10" s="738">
        <f>Elect!AX14</f>
        <v>740</v>
      </c>
      <c r="Y10" s="738">
        <f>Elect!AZ14</f>
        <v>582</v>
      </c>
      <c r="Z10" s="738">
        <f>Elect!BB14</f>
        <v>4546</v>
      </c>
      <c r="AA10" s="738">
        <f>Elect!BD14</f>
        <v>168</v>
      </c>
      <c r="AB10" s="738">
        <f>Elect!BF14</f>
        <v>35</v>
      </c>
      <c r="AC10" s="738">
        <f>Elect!BH14</f>
        <v>5260</v>
      </c>
      <c r="AD10" s="738">
        <f>Elect!BL14</f>
        <v>267</v>
      </c>
      <c r="AE10" s="738">
        <f>Elect!BN14</f>
        <v>972</v>
      </c>
      <c r="AF10" s="738">
        <f>Elect!BP14</f>
        <v>108</v>
      </c>
      <c r="AG10" s="738">
        <f>Elect!BR14</f>
        <v>120</v>
      </c>
      <c r="AH10" s="738" t="e">
        <f>#REF!</f>
        <v>#REF!</v>
      </c>
      <c r="AI10" s="827"/>
      <c r="AJ10" s="738">
        <f>Water!C15</f>
        <v>87</v>
      </c>
      <c r="AK10" s="738">
        <f>Water!E15</f>
        <v>98.6</v>
      </c>
      <c r="AL10" s="738">
        <f>Water!G15</f>
        <v>108.46</v>
      </c>
      <c r="AM10" s="738">
        <v>0</v>
      </c>
      <c r="AN10" s="827"/>
      <c r="AO10" s="738">
        <f>Gas!C15</f>
        <v>1467.04</v>
      </c>
      <c r="AP10" s="738">
        <f>Gas!E15</f>
        <v>406</v>
      </c>
      <c r="AQ10" s="738">
        <f>Gas!G15</f>
        <v>82</v>
      </c>
      <c r="AR10" s="738">
        <v>0</v>
      </c>
      <c r="AS10" s="745">
        <f>Elect!BT14</f>
        <v>162</v>
      </c>
    </row>
    <row r="11" spans="1:45" ht="12.75" customHeight="1">
      <c r="A11" s="752" t="s">
        <v>11</v>
      </c>
      <c r="B11" s="729">
        <f t="shared" si="0"/>
        <v>10</v>
      </c>
      <c r="C11" s="771">
        <v>2</v>
      </c>
      <c r="D11" s="751">
        <v>2023</v>
      </c>
      <c r="E11" s="827"/>
      <c r="F11" s="738">
        <f>Elect!J15</f>
        <v>7532</v>
      </c>
      <c r="G11" s="738">
        <f>Elect!K15</f>
        <v>4924</v>
      </c>
      <c r="H11" s="738">
        <f>Elect!Q15</f>
        <v>480</v>
      </c>
      <c r="I11" s="738">
        <f>Elect!S15</f>
        <v>145</v>
      </c>
      <c r="J11" s="738">
        <f>Elect!U15</f>
        <v>262</v>
      </c>
      <c r="K11" s="738">
        <f>Elect!W15</f>
        <v>1330.8300000000002</v>
      </c>
      <c r="L11" s="738">
        <f>Elect!Y15</f>
        <v>0</v>
      </c>
      <c r="M11" s="738">
        <f>Elect!AA15</f>
        <v>0</v>
      </c>
      <c r="N11" s="738">
        <f>Elect!AC15</f>
        <v>0</v>
      </c>
      <c r="O11" s="738">
        <f>Elect!AE15</f>
        <v>15.9</v>
      </c>
      <c r="P11" s="738">
        <f>Elect!AG15</f>
        <v>12.190000000000001</v>
      </c>
      <c r="Q11" s="738">
        <f>Elect!AI15</f>
        <v>125.61</v>
      </c>
      <c r="R11" s="738">
        <f>Elect!AK15</f>
        <v>1485.0600000000002</v>
      </c>
      <c r="S11" s="738">
        <f>Elect!AM15</f>
        <v>110.24000000000001</v>
      </c>
      <c r="T11" s="738">
        <f>Elect!AP15</f>
        <v>101.02500000000001</v>
      </c>
      <c r="U11" s="738">
        <f>Elect!AR15</f>
        <v>174</v>
      </c>
      <c r="V11" s="738">
        <f>Elect!AT15</f>
        <v>140</v>
      </c>
      <c r="W11" s="738">
        <f>Elect!AV15</f>
        <v>40</v>
      </c>
      <c r="X11" s="738">
        <f>Elect!AX15</f>
        <v>740</v>
      </c>
      <c r="Y11" s="738">
        <f>Elect!AZ15</f>
        <v>10</v>
      </c>
      <c r="Z11" s="738">
        <f>Elect!BB15</f>
        <v>4704</v>
      </c>
      <c r="AA11" s="738">
        <f>Elect!BD15</f>
        <v>176</v>
      </c>
      <c r="AB11" s="738">
        <f>Elect!BF15</f>
        <v>35</v>
      </c>
      <c r="AC11" s="738">
        <f>Elect!BH15</f>
        <v>5358.0499999999993</v>
      </c>
      <c r="AD11" s="738">
        <f>Elect!BL15</f>
        <v>277</v>
      </c>
      <c r="AE11" s="738">
        <f>Elect!BN15</f>
        <v>978</v>
      </c>
      <c r="AF11" s="738">
        <f>Elect!BP15</f>
        <v>113</v>
      </c>
      <c r="AG11" s="738">
        <f>Elect!BR15</f>
        <v>157</v>
      </c>
      <c r="AH11" s="738" t="e">
        <f>#REF!</f>
        <v>#REF!</v>
      </c>
      <c r="AI11" s="827"/>
      <c r="AJ11" s="738">
        <f>Water!C16</f>
        <v>98.6</v>
      </c>
      <c r="AK11" s="738">
        <f>Water!E16</f>
        <v>115.99999999999999</v>
      </c>
      <c r="AL11" s="738">
        <f>Water!G16</f>
        <v>111.94</v>
      </c>
      <c r="AM11" s="738">
        <v>0</v>
      </c>
      <c r="AN11" s="827"/>
      <c r="AO11" s="738">
        <f>Gas!C16</f>
        <v>1495.66</v>
      </c>
      <c r="AP11" s="738">
        <f>Gas!E16</f>
        <v>443.79999999999995</v>
      </c>
      <c r="AQ11" s="738">
        <f>Gas!G16</f>
        <v>86</v>
      </c>
      <c r="AR11" s="738">
        <v>0</v>
      </c>
      <c r="AS11" s="745">
        <f>Elect!BT15</f>
        <v>176</v>
      </c>
    </row>
    <row r="12" spans="1:45" ht="12.75" customHeight="1">
      <c r="A12" s="752" t="s">
        <v>11</v>
      </c>
      <c r="B12" s="729">
        <f t="shared" si="0"/>
        <v>11</v>
      </c>
      <c r="C12" s="771">
        <v>2</v>
      </c>
      <c r="D12" s="751">
        <v>2023</v>
      </c>
      <c r="E12" s="827"/>
      <c r="F12" s="738">
        <f>Elect!J16</f>
        <v>7099</v>
      </c>
      <c r="G12" s="738">
        <f>Elect!K16</f>
        <v>4845</v>
      </c>
      <c r="H12" s="738">
        <f>Elect!Q16</f>
        <v>420</v>
      </c>
      <c r="I12" s="738">
        <f>Elect!S16</f>
        <v>137</v>
      </c>
      <c r="J12" s="738">
        <f>Elect!U16</f>
        <v>248</v>
      </c>
      <c r="K12" s="738">
        <f>Elect!W16</f>
        <v>1598.48</v>
      </c>
      <c r="L12" s="738">
        <f>Elect!Y16</f>
        <v>0</v>
      </c>
      <c r="M12" s="738">
        <f>Elect!AA16</f>
        <v>0</v>
      </c>
      <c r="N12" s="738">
        <f>Elect!AC16</f>
        <v>0</v>
      </c>
      <c r="O12" s="738">
        <f>Elect!AE16</f>
        <v>10.07</v>
      </c>
      <c r="P12" s="738">
        <f>Elect!AG16</f>
        <v>12.72</v>
      </c>
      <c r="Q12" s="738">
        <f>Elect!AI16</f>
        <v>152.11000000000001</v>
      </c>
      <c r="R12" s="738">
        <f>Elect!AK16</f>
        <v>1787.69</v>
      </c>
      <c r="S12" s="738">
        <f>Elect!AM16</f>
        <v>111.83000000000001</v>
      </c>
      <c r="T12" s="738">
        <f>Elect!AP16</f>
        <v>114.3</v>
      </c>
      <c r="U12" s="738">
        <f>Elect!AR16</f>
        <v>187</v>
      </c>
      <c r="V12" s="738">
        <f>Elect!AT16</f>
        <v>132</v>
      </c>
      <c r="W12" s="738">
        <f>Elect!AV16</f>
        <v>41</v>
      </c>
      <c r="X12" s="738">
        <f>Elect!AX16</f>
        <v>744</v>
      </c>
      <c r="Y12" s="738">
        <f>Elect!AZ16</f>
        <v>10</v>
      </c>
      <c r="Z12" s="738">
        <f>Elect!BB16</f>
        <v>4594</v>
      </c>
      <c r="AA12" s="738">
        <f>Elect!BD16</f>
        <v>193</v>
      </c>
      <c r="AB12" s="738">
        <f>Elect!BF16</f>
        <v>40</v>
      </c>
      <c r="AC12" s="738">
        <f>Elect!BH16</f>
        <v>5336.8</v>
      </c>
      <c r="AD12" s="738">
        <f>Elect!BL16</f>
        <v>269</v>
      </c>
      <c r="AE12" s="738">
        <f>Elect!BN16</f>
        <v>947</v>
      </c>
      <c r="AF12" s="738">
        <f>Elect!BP16</f>
        <v>109</v>
      </c>
      <c r="AG12" s="738">
        <f>Elect!BR16</f>
        <v>152</v>
      </c>
      <c r="AH12" s="738" t="e">
        <f>#REF!</f>
        <v>#REF!</v>
      </c>
      <c r="AI12" s="827"/>
      <c r="AJ12" s="738">
        <f>Water!C17</f>
        <v>110.19999999999999</v>
      </c>
      <c r="AK12" s="738">
        <f>Water!E17</f>
        <v>121.8</v>
      </c>
      <c r="AL12" s="738">
        <f>Water!G17</f>
        <v>113.67999999999999</v>
      </c>
      <c r="AM12" s="738">
        <v>0</v>
      </c>
      <c r="AN12" s="827"/>
      <c r="AO12" s="738">
        <f>Gas!C17</f>
        <v>1844.4</v>
      </c>
      <c r="AP12" s="738">
        <f>Gas!E17</f>
        <v>508.2</v>
      </c>
      <c r="AQ12" s="738">
        <f>Gas!G17</f>
        <v>110</v>
      </c>
      <c r="AR12" s="738">
        <v>0</v>
      </c>
      <c r="AS12" s="745">
        <f>Elect!BT16</f>
        <v>234</v>
      </c>
    </row>
    <row r="13" spans="1:45" ht="12.75" customHeight="1">
      <c r="A13" s="752" t="s">
        <v>11</v>
      </c>
      <c r="B13" s="729">
        <f t="shared" si="0"/>
        <v>12</v>
      </c>
      <c r="C13" s="771">
        <v>2</v>
      </c>
      <c r="D13" s="751">
        <v>2023</v>
      </c>
      <c r="E13" s="827"/>
      <c r="F13" s="738">
        <f>Elect!J17</f>
        <v>9020</v>
      </c>
      <c r="G13" s="738">
        <f>Elect!K17</f>
        <v>4796</v>
      </c>
      <c r="H13" s="738">
        <f>Elect!Q17</f>
        <v>450</v>
      </c>
      <c r="I13" s="738">
        <f>Elect!S17</f>
        <v>155</v>
      </c>
      <c r="J13" s="738">
        <f>Elect!U17</f>
        <v>268</v>
      </c>
      <c r="K13" s="738">
        <f>Elect!W17</f>
        <v>1541.24</v>
      </c>
      <c r="L13" s="738">
        <f>Elect!Y17</f>
        <v>0</v>
      </c>
      <c r="M13" s="738">
        <f>Elect!AA17</f>
        <v>0</v>
      </c>
      <c r="N13" s="738">
        <f>Elect!AC17</f>
        <v>0</v>
      </c>
      <c r="O13" s="738">
        <f>Elect!AE17</f>
        <v>13.780000000000001</v>
      </c>
      <c r="P13" s="738">
        <f>Elect!AG17</f>
        <v>12.72</v>
      </c>
      <c r="Q13" s="738">
        <f>Elect!AI17</f>
        <v>156.88</v>
      </c>
      <c r="R13" s="738">
        <f>Elect!AK17</f>
        <v>1866.13</v>
      </c>
      <c r="S13" s="738">
        <f>Elect!AM17</f>
        <v>116.07000000000001</v>
      </c>
      <c r="T13" s="738">
        <f>Elect!AP17</f>
        <v>58.387500000000003</v>
      </c>
      <c r="U13" s="738">
        <f>Elect!AR17</f>
        <v>207</v>
      </c>
      <c r="V13" s="738">
        <f>Elect!AT17</f>
        <v>131</v>
      </c>
      <c r="W13" s="738">
        <f>Elect!AV17</f>
        <v>42</v>
      </c>
      <c r="X13" s="738">
        <f>Elect!AX17</f>
        <v>754</v>
      </c>
      <c r="Y13" s="738">
        <f>Elect!AZ17</f>
        <v>11</v>
      </c>
      <c r="Z13" s="738">
        <f>Elect!BB17</f>
        <v>4847</v>
      </c>
      <c r="AA13" s="738">
        <f>Elect!BD17</f>
        <v>252</v>
      </c>
      <c r="AB13" s="738">
        <f>Elect!BF17</f>
        <v>40</v>
      </c>
      <c r="AC13" s="738">
        <f>Elect!BH17</f>
        <v>5740.1500000000005</v>
      </c>
      <c r="AD13" s="738">
        <f>Elect!BL17</f>
        <v>209</v>
      </c>
      <c r="AE13" s="738">
        <f>Elect!BN17</f>
        <v>996</v>
      </c>
      <c r="AF13" s="738">
        <f>Elect!BP17</f>
        <v>117</v>
      </c>
      <c r="AG13" s="738">
        <f>Elect!BR17</f>
        <v>168</v>
      </c>
      <c r="AH13" s="738" t="e">
        <f>#REF!</f>
        <v>#REF!</v>
      </c>
      <c r="AI13" s="827"/>
      <c r="AJ13" s="738">
        <f>Water!C18</f>
        <v>104.39999999999999</v>
      </c>
      <c r="AK13" s="738">
        <f>Water!E18</f>
        <v>121.8</v>
      </c>
      <c r="AL13" s="738">
        <f>Water!G18</f>
        <v>105.55999999999999</v>
      </c>
      <c r="AM13" s="738">
        <v>0</v>
      </c>
      <c r="AN13" s="827"/>
      <c r="AO13" s="738">
        <f>Gas!C18</f>
        <v>1836.98</v>
      </c>
      <c r="AP13" s="738">
        <f>Gas!E18</f>
        <v>425.59999999999997</v>
      </c>
      <c r="AQ13" s="738">
        <f>Gas!G18</f>
        <v>108</v>
      </c>
      <c r="AR13" s="738">
        <v>0</v>
      </c>
      <c r="AS13" s="745">
        <f>Elect!BT17</f>
        <v>240</v>
      </c>
    </row>
    <row r="14" spans="1:45" ht="12.75" customHeight="1">
      <c r="A14" s="752" t="s">
        <v>11</v>
      </c>
      <c r="B14" s="729">
        <f t="shared" si="0"/>
        <v>13</v>
      </c>
      <c r="C14" s="771">
        <v>2</v>
      </c>
      <c r="D14" s="751">
        <v>2023</v>
      </c>
      <c r="E14" s="827"/>
      <c r="F14" s="738">
        <f>Elect!J18</f>
        <v>5557</v>
      </c>
      <c r="G14" s="738">
        <f>Elect!K18</f>
        <v>2502</v>
      </c>
      <c r="H14" s="738">
        <f>Elect!Q18</f>
        <v>570</v>
      </c>
      <c r="I14" s="738">
        <f>Elect!S18</f>
        <v>138</v>
      </c>
      <c r="J14" s="738">
        <f>Elect!U18</f>
        <v>237</v>
      </c>
      <c r="K14" s="738">
        <f>Elect!W18</f>
        <v>1515.27</v>
      </c>
      <c r="L14" s="738">
        <f>Elect!Y18</f>
        <v>0</v>
      </c>
      <c r="M14" s="738">
        <f>Elect!AA18</f>
        <v>0</v>
      </c>
      <c r="N14" s="738">
        <f>Elect!AC18</f>
        <v>0</v>
      </c>
      <c r="O14" s="738">
        <f>Elect!AE18</f>
        <v>13.780000000000001</v>
      </c>
      <c r="P14" s="738">
        <f>Elect!AG18</f>
        <v>12.72</v>
      </c>
      <c r="Q14" s="738">
        <f>Elect!AI18</f>
        <v>155.82000000000002</v>
      </c>
      <c r="R14" s="738">
        <f>Elect!AK18</f>
        <v>1989.6200000000001</v>
      </c>
      <c r="S14" s="738">
        <f>Elect!AM18</f>
        <v>110.24000000000001</v>
      </c>
      <c r="T14" s="738">
        <f>Elect!AP18</f>
        <v>95.737499999999997</v>
      </c>
      <c r="U14" s="738">
        <f>Elect!AR18</f>
        <v>186</v>
      </c>
      <c r="V14" s="738">
        <f>Elect!AT18</f>
        <v>143</v>
      </c>
      <c r="W14" s="738">
        <f>Elect!AV18</f>
        <v>40</v>
      </c>
      <c r="X14" s="738">
        <f>Elect!AX18</f>
        <v>685</v>
      </c>
      <c r="Y14" s="738">
        <f>Elect!AZ18</f>
        <v>10</v>
      </c>
      <c r="Z14" s="738">
        <f>Elect!BB18</f>
        <v>4864</v>
      </c>
      <c r="AA14" s="738">
        <f>Elect!BD18</f>
        <v>268</v>
      </c>
      <c r="AB14" s="738">
        <f>Elect!BF18</f>
        <v>74</v>
      </c>
      <c r="AC14" s="738">
        <f>Elect!BH18</f>
        <v>5377.3499999999995</v>
      </c>
      <c r="AD14" s="738">
        <f>Elect!BL18</f>
        <v>197</v>
      </c>
      <c r="AE14" s="738">
        <f>Elect!BN18</f>
        <v>969</v>
      </c>
      <c r="AF14" s="738">
        <f>Elect!BP18</f>
        <v>108</v>
      </c>
      <c r="AG14" s="738">
        <f>Elect!BR18</f>
        <v>161</v>
      </c>
      <c r="AH14" s="738" t="e">
        <f>#REF!</f>
        <v>#REF!</v>
      </c>
      <c r="AI14" s="827"/>
      <c r="AJ14" s="738">
        <f>Water!C19</f>
        <v>104.39999999999999</v>
      </c>
      <c r="AK14" s="738">
        <f>Water!E19</f>
        <v>121.8</v>
      </c>
      <c r="AL14" s="738">
        <f>Water!G19</f>
        <v>107.3</v>
      </c>
      <c r="AM14" s="738">
        <v>0</v>
      </c>
      <c r="AN14" s="827"/>
      <c r="AO14" s="738">
        <f>Gas!C19</f>
        <v>1408.74</v>
      </c>
      <c r="AP14" s="738">
        <f>Gas!E19</f>
        <v>461.99999999999994</v>
      </c>
      <c r="AQ14" s="738">
        <f>Gas!G19</f>
        <v>83</v>
      </c>
      <c r="AR14" s="738">
        <v>0</v>
      </c>
      <c r="AS14" s="745">
        <f>Elect!BT18</f>
        <v>246</v>
      </c>
    </row>
    <row r="15" spans="1:45" ht="12.75" customHeight="1">
      <c r="A15" s="752" t="s">
        <v>11</v>
      </c>
      <c r="B15" s="729">
        <f t="shared" si="0"/>
        <v>14</v>
      </c>
      <c r="C15" s="771">
        <v>2</v>
      </c>
      <c r="D15" s="751">
        <v>2023</v>
      </c>
      <c r="E15" s="827"/>
      <c r="F15" s="738">
        <f>Elect!J19</f>
        <v>7744</v>
      </c>
      <c r="G15" s="738">
        <f>Elect!K19</f>
        <v>4326</v>
      </c>
      <c r="H15" s="738">
        <f>Elect!Q19</f>
        <v>540</v>
      </c>
      <c r="I15" s="738">
        <f>Elect!S19</f>
        <v>144</v>
      </c>
      <c r="J15" s="738">
        <f>Elect!U19</f>
        <v>251</v>
      </c>
      <c r="K15" s="738">
        <f>Elect!W19</f>
        <v>1514.74</v>
      </c>
      <c r="L15" s="738">
        <f>Elect!Y19</f>
        <v>0</v>
      </c>
      <c r="M15" s="738">
        <f>Elect!AA19</f>
        <v>0</v>
      </c>
      <c r="N15" s="738">
        <f>Elect!AC19</f>
        <v>0</v>
      </c>
      <c r="O15" s="738">
        <f>Elect!AE19</f>
        <v>15.370000000000001</v>
      </c>
      <c r="P15" s="738">
        <f>Elect!AG19</f>
        <v>14.31</v>
      </c>
      <c r="Q15" s="738">
        <f>Elect!AI19</f>
        <v>153.17000000000002</v>
      </c>
      <c r="R15" s="738">
        <f>Elect!AK19</f>
        <v>1967.3600000000001</v>
      </c>
      <c r="S15" s="738">
        <f>Elect!AM19</f>
        <v>117.13000000000001</v>
      </c>
      <c r="T15" s="738">
        <f>Elect!AP19</f>
        <v>46.125</v>
      </c>
      <c r="U15" s="738">
        <f>Elect!AR19</f>
        <v>193</v>
      </c>
      <c r="V15" s="738">
        <f>Elect!AT19</f>
        <v>121</v>
      </c>
      <c r="W15" s="738">
        <f>Elect!AV19</f>
        <v>41</v>
      </c>
      <c r="X15" s="738">
        <f>Elect!AX19</f>
        <v>672</v>
      </c>
      <c r="Y15" s="738">
        <f>Elect!AZ19</f>
        <v>10</v>
      </c>
      <c r="Z15" s="738">
        <f>Elect!BB19</f>
        <v>4396</v>
      </c>
      <c r="AA15" s="738">
        <f>Elect!BD19</f>
        <v>243</v>
      </c>
      <c r="AB15" s="738">
        <f>Elect!BF19</f>
        <v>108</v>
      </c>
      <c r="AC15" s="738">
        <f>Elect!BH19</f>
        <v>5509.35</v>
      </c>
      <c r="AD15" s="738">
        <f>Elect!BL19</f>
        <v>198</v>
      </c>
      <c r="AE15" s="738">
        <f>Elect!BN19</f>
        <v>872</v>
      </c>
      <c r="AF15" s="738">
        <f>Elect!BP19</f>
        <v>105</v>
      </c>
      <c r="AG15" s="738">
        <f>Elect!BR19</f>
        <v>123</v>
      </c>
      <c r="AH15" s="738" t="e">
        <f>#REF!</f>
        <v>#REF!</v>
      </c>
      <c r="AI15" s="827"/>
      <c r="AJ15" s="738">
        <f>Water!C20</f>
        <v>115.99999999999999</v>
      </c>
      <c r="AK15" s="738">
        <f>Water!E20</f>
        <v>133.39999999999998</v>
      </c>
      <c r="AL15" s="738">
        <f>Water!G20</f>
        <v>107.88</v>
      </c>
      <c r="AM15" s="738">
        <v>0</v>
      </c>
      <c r="AN15" s="827"/>
      <c r="AO15" s="738">
        <f>Gas!C20</f>
        <v>1693.88</v>
      </c>
      <c r="AP15" s="738">
        <f>Gas!E20</f>
        <v>433.29999999999995</v>
      </c>
      <c r="AQ15" s="738">
        <f>Gas!G20</f>
        <v>89</v>
      </c>
      <c r="AR15" s="738">
        <v>0</v>
      </c>
      <c r="AS15" s="745">
        <f>Elect!BT19</f>
        <v>252</v>
      </c>
    </row>
    <row r="16" spans="1:45" ht="12.75" customHeight="1">
      <c r="A16" s="752" t="s">
        <v>11</v>
      </c>
      <c r="B16" s="729">
        <f t="shared" si="0"/>
        <v>15</v>
      </c>
      <c r="C16" s="771">
        <v>2</v>
      </c>
      <c r="D16" s="751">
        <v>2023</v>
      </c>
      <c r="E16" s="827"/>
      <c r="F16" s="738">
        <f>Elect!J20</f>
        <v>7113</v>
      </c>
      <c r="G16" s="738">
        <f>Elect!K20</f>
        <v>4164</v>
      </c>
      <c r="H16" s="738">
        <f>Elect!Q20</f>
        <v>540</v>
      </c>
      <c r="I16" s="738">
        <f>Elect!S20</f>
        <v>140</v>
      </c>
      <c r="J16" s="738">
        <f>Elect!U20</f>
        <v>239</v>
      </c>
      <c r="K16" s="738">
        <f>Elect!W20</f>
        <v>1489.8300000000002</v>
      </c>
      <c r="L16" s="738">
        <f>Elect!Y20</f>
        <v>0</v>
      </c>
      <c r="M16" s="738">
        <f>Elect!AA20</f>
        <v>0</v>
      </c>
      <c r="N16" s="738">
        <f>Elect!AC20</f>
        <v>0</v>
      </c>
      <c r="O16" s="738">
        <f>Elect!AE20</f>
        <v>12.190000000000001</v>
      </c>
      <c r="P16" s="738">
        <f>Elect!AG20</f>
        <v>11.66</v>
      </c>
      <c r="Q16" s="738">
        <f>Elect!AI20</f>
        <v>147.87</v>
      </c>
      <c r="R16" s="738">
        <f>Elect!AK20</f>
        <v>1896.3400000000001</v>
      </c>
      <c r="S16" s="738">
        <f>Elect!AM20</f>
        <v>111.30000000000001</v>
      </c>
      <c r="T16" s="738">
        <f>Elect!AP20</f>
        <v>41.512500000000003</v>
      </c>
      <c r="U16" s="738">
        <f>Elect!AR20</f>
        <v>189</v>
      </c>
      <c r="V16" s="738">
        <f>Elect!AT20</f>
        <v>127</v>
      </c>
      <c r="W16" s="738">
        <f>Elect!AV20</f>
        <v>40</v>
      </c>
      <c r="X16" s="738">
        <f>Elect!AX20</f>
        <v>649</v>
      </c>
      <c r="Y16" s="738">
        <f>Elect!AZ20</f>
        <v>11</v>
      </c>
      <c r="Z16" s="738">
        <f>Elect!BB20</f>
        <v>5539</v>
      </c>
      <c r="AA16" s="738">
        <f>Elect!BD20</f>
        <v>200</v>
      </c>
      <c r="AB16" s="738">
        <f>Elect!BF20</f>
        <v>45</v>
      </c>
      <c r="AC16" s="738">
        <f>Elect!BH20</f>
        <v>5438.85</v>
      </c>
      <c r="AD16" s="738">
        <f>Elect!BL20</f>
        <v>243</v>
      </c>
      <c r="AE16" s="738">
        <f>Elect!BN20</f>
        <v>936</v>
      </c>
      <c r="AF16" s="738">
        <f>Elect!BP20</f>
        <v>111</v>
      </c>
      <c r="AG16" s="738">
        <f>Elect!BR20</f>
        <v>126</v>
      </c>
      <c r="AH16" s="738" t="e">
        <f>#REF!</f>
        <v>#REF!</v>
      </c>
      <c r="AI16" s="827"/>
      <c r="AJ16" s="738">
        <f>Water!C21</f>
        <v>98.6</v>
      </c>
      <c r="AK16" s="738">
        <f>Water!E21</f>
        <v>110.19999999999999</v>
      </c>
      <c r="AL16" s="738">
        <f>Water!G21</f>
        <v>109.61999999999999</v>
      </c>
      <c r="AM16" s="738">
        <v>0</v>
      </c>
      <c r="AN16" s="827"/>
      <c r="AO16" s="738">
        <f>Gas!C21</f>
        <v>1889.98</v>
      </c>
      <c r="AP16" s="738">
        <f>Gas!E21</f>
        <v>428.4</v>
      </c>
      <c r="AQ16" s="738">
        <f>Gas!G21</f>
        <v>107</v>
      </c>
      <c r="AR16" s="738">
        <v>0</v>
      </c>
      <c r="AS16" s="745">
        <f>Elect!BT20</f>
        <v>196</v>
      </c>
    </row>
    <row r="17" spans="1:45" ht="12.75" customHeight="1">
      <c r="A17" s="752" t="s">
        <v>11</v>
      </c>
      <c r="B17" s="729">
        <f t="shared" si="0"/>
        <v>16</v>
      </c>
      <c r="C17" s="771">
        <v>2</v>
      </c>
      <c r="D17" s="751">
        <v>2023</v>
      </c>
      <c r="E17" s="827"/>
      <c r="F17" s="738">
        <f>Elect!J21</f>
        <v>7244</v>
      </c>
      <c r="G17" s="738">
        <f>Elect!K21</f>
        <v>4419</v>
      </c>
      <c r="H17" s="738">
        <f>Elect!Q21</f>
        <v>570</v>
      </c>
      <c r="I17" s="738">
        <f>Elect!S21</f>
        <v>141</v>
      </c>
      <c r="J17" s="738">
        <f>Elect!U21</f>
        <v>247</v>
      </c>
      <c r="K17" s="738">
        <f>Elect!W21</f>
        <v>1725.68</v>
      </c>
      <c r="L17" s="738">
        <f>Elect!Y21</f>
        <v>0</v>
      </c>
      <c r="M17" s="738">
        <f>Elect!AA21</f>
        <v>0</v>
      </c>
      <c r="N17" s="738">
        <f>Elect!AC21</f>
        <v>265</v>
      </c>
      <c r="O17" s="738">
        <f>Elect!AE21</f>
        <v>12.72</v>
      </c>
      <c r="P17" s="738">
        <f>Elect!AG21</f>
        <v>12.190000000000001</v>
      </c>
      <c r="Q17" s="738">
        <f>Elect!AI21</f>
        <v>181.26000000000002</v>
      </c>
      <c r="R17" s="738">
        <f>Elect!AK21</f>
        <v>2289.0700000000002</v>
      </c>
      <c r="S17" s="738">
        <f>Elect!AM21</f>
        <v>116.60000000000001</v>
      </c>
      <c r="T17" s="738">
        <f>Elect!AP21</f>
        <v>69.075000000000003</v>
      </c>
      <c r="U17" s="738">
        <f>Elect!AR21</f>
        <v>189</v>
      </c>
      <c r="V17" s="738">
        <f>Elect!AT21</f>
        <v>139</v>
      </c>
      <c r="W17" s="738">
        <f>Elect!AV21</f>
        <v>42</v>
      </c>
      <c r="X17" s="738">
        <f>Elect!AX21</f>
        <v>659</v>
      </c>
      <c r="Y17" s="738">
        <f>Elect!AZ21</f>
        <v>5</v>
      </c>
      <c r="Z17" s="738">
        <f>Elect!BB21</f>
        <v>4046</v>
      </c>
      <c r="AA17" s="738">
        <f>Elect!BD21</f>
        <v>213</v>
      </c>
      <c r="AB17" s="738">
        <f>Elect!BF21</f>
        <v>55</v>
      </c>
      <c r="AC17" s="738">
        <f>Elect!BH21</f>
        <v>5609</v>
      </c>
      <c r="AD17" s="738">
        <f>Elect!BL21</f>
        <v>272</v>
      </c>
      <c r="AE17" s="738">
        <f>Elect!BN21</f>
        <v>915</v>
      </c>
      <c r="AF17" s="738">
        <f>Elect!BP21</f>
        <v>105</v>
      </c>
      <c r="AG17" s="738">
        <f>Elect!BR21</f>
        <v>224</v>
      </c>
      <c r="AH17" s="738" t="e">
        <f>#REF!</f>
        <v>#REF!</v>
      </c>
      <c r="AI17" s="827"/>
      <c r="AJ17" s="738">
        <f>Water!C22</f>
        <v>104.39999999999999</v>
      </c>
      <c r="AK17" s="738">
        <f>Water!E22</f>
        <v>121.8</v>
      </c>
      <c r="AL17" s="738">
        <f>Water!G22</f>
        <v>104.97999999999999</v>
      </c>
      <c r="AM17" s="738">
        <v>0</v>
      </c>
      <c r="AN17" s="827"/>
      <c r="AO17" s="738">
        <f>Gas!C22</f>
        <v>1581.52</v>
      </c>
      <c r="AP17" s="738">
        <f>Gas!E22</f>
        <v>466.2</v>
      </c>
      <c r="AQ17" s="738">
        <f>Gas!G22</f>
        <v>88</v>
      </c>
      <c r="AR17" s="738">
        <v>0</v>
      </c>
      <c r="AS17" s="745">
        <f>Elect!BT21</f>
        <v>219</v>
      </c>
    </row>
    <row r="18" spans="1:45" ht="12.75" customHeight="1">
      <c r="A18" s="752" t="s">
        <v>11</v>
      </c>
      <c r="B18" s="729">
        <f t="shared" si="0"/>
        <v>17</v>
      </c>
      <c r="C18" s="771">
        <v>2</v>
      </c>
      <c r="D18" s="751">
        <v>2023</v>
      </c>
      <c r="E18" s="827"/>
      <c r="F18" s="738">
        <f>Elect!J22</f>
        <v>7009</v>
      </c>
      <c r="G18" s="738">
        <f>Elect!K22</f>
        <v>4559</v>
      </c>
      <c r="H18" s="738">
        <f>Elect!Q22</f>
        <v>720</v>
      </c>
      <c r="I18" s="738">
        <f>Elect!S22</f>
        <v>142</v>
      </c>
      <c r="J18" s="738">
        <f>Elect!U22</f>
        <v>252</v>
      </c>
      <c r="K18" s="738">
        <f>Elect!W22</f>
        <v>2009.23</v>
      </c>
      <c r="L18" s="738">
        <f>Elect!Y22</f>
        <v>0</v>
      </c>
      <c r="M18" s="738">
        <f>Elect!AA22</f>
        <v>0</v>
      </c>
      <c r="N18" s="738">
        <f>Elect!AC22</f>
        <v>0</v>
      </c>
      <c r="O18" s="738">
        <f>Elect!AE22</f>
        <v>5.3000000000000007</v>
      </c>
      <c r="P18" s="738">
        <f>Elect!AG22</f>
        <v>15.9</v>
      </c>
      <c r="Q18" s="738">
        <f>Elect!AI22</f>
        <v>207.76000000000002</v>
      </c>
      <c r="R18" s="738">
        <f>Elect!AK22</f>
        <v>2626.6800000000003</v>
      </c>
      <c r="S18" s="738">
        <f>Elect!AM22</f>
        <v>122.43</v>
      </c>
      <c r="T18" s="738">
        <f>Elect!AP22</f>
        <v>69.975000000000009</v>
      </c>
      <c r="U18" s="738">
        <f>Elect!AR22</f>
        <v>197</v>
      </c>
      <c r="V18" s="738">
        <f>Elect!AT22</f>
        <v>117</v>
      </c>
      <c r="W18" s="738">
        <f>Elect!AV22</f>
        <v>46</v>
      </c>
      <c r="X18" s="738">
        <f>Elect!AX22</f>
        <v>833</v>
      </c>
      <c r="Y18" s="738">
        <f>Elect!AZ22</f>
        <v>0</v>
      </c>
      <c r="Z18" s="738">
        <f>Elect!BB22</f>
        <v>5368</v>
      </c>
      <c r="AA18" s="738">
        <f>Elect!BD22</f>
        <v>200</v>
      </c>
      <c r="AB18" s="738">
        <f>Elect!BF22</f>
        <v>35</v>
      </c>
      <c r="AC18" s="738">
        <f>Elect!BH22</f>
        <v>5519.85</v>
      </c>
      <c r="AD18" s="738">
        <f>Elect!BL22</f>
        <v>274</v>
      </c>
      <c r="AE18" s="738">
        <f>Elect!BN22</f>
        <v>760</v>
      </c>
      <c r="AF18" s="738">
        <f>Elect!BP22</f>
        <v>107</v>
      </c>
      <c r="AG18" s="738">
        <f>Elect!BR22</f>
        <v>26</v>
      </c>
      <c r="AH18" s="738" t="e">
        <f>#REF!</f>
        <v>#REF!</v>
      </c>
      <c r="AI18" s="827"/>
      <c r="AJ18" s="738">
        <f>Water!C23</f>
        <v>100.5333333331364</v>
      </c>
      <c r="AK18" s="738">
        <f>Water!E23</f>
        <v>114.0666666668636</v>
      </c>
      <c r="AL18" s="738">
        <f>Water!G23</f>
        <v>108.07333333331363</v>
      </c>
      <c r="AM18" s="738">
        <v>0</v>
      </c>
      <c r="AN18" s="827"/>
      <c r="AO18" s="738">
        <f>Gas!C23</f>
        <v>1581.52</v>
      </c>
      <c r="AP18" s="738">
        <f>Gas!E23</f>
        <v>441</v>
      </c>
      <c r="AQ18" s="738">
        <f>Gas!G23</f>
        <v>100.66666666697711</v>
      </c>
      <c r="AR18" s="738">
        <v>0</v>
      </c>
      <c r="AS18" s="745">
        <f>Elect!BT22</f>
        <v>240</v>
      </c>
    </row>
    <row r="19" spans="1:45" ht="12.75" customHeight="1">
      <c r="A19" s="752" t="s">
        <v>11</v>
      </c>
      <c r="B19" s="729">
        <f t="shared" si="0"/>
        <v>18</v>
      </c>
      <c r="C19" s="771">
        <v>2</v>
      </c>
      <c r="D19" s="751">
        <v>2023</v>
      </c>
      <c r="E19" s="827"/>
      <c r="F19" s="738">
        <f>Elect!J23</f>
        <v>6497</v>
      </c>
      <c r="G19" s="738">
        <f>Elect!K23</f>
        <v>3224</v>
      </c>
      <c r="H19" s="738">
        <f>Elect!Q23</f>
        <v>540</v>
      </c>
      <c r="I19" s="738">
        <f>Elect!S23</f>
        <v>143</v>
      </c>
      <c r="J19" s="738">
        <f>Elect!U23</f>
        <v>254</v>
      </c>
      <c r="K19" s="738">
        <f>Elect!W23</f>
        <v>1487.18</v>
      </c>
      <c r="L19" s="738">
        <f>Elect!Y23</f>
        <v>0</v>
      </c>
      <c r="M19" s="738">
        <f>Elect!AA23</f>
        <v>0</v>
      </c>
      <c r="N19" s="738">
        <f>Elect!AC23</f>
        <v>0</v>
      </c>
      <c r="O19" s="738">
        <f>Elect!AE23</f>
        <v>0</v>
      </c>
      <c r="P19" s="738">
        <f>Elect!AG23</f>
        <v>9.5400000000000009</v>
      </c>
      <c r="Q19" s="738">
        <f>Elect!AI23</f>
        <v>132.5</v>
      </c>
      <c r="R19" s="738">
        <f>Elect!AK23</f>
        <v>1741.0500000000002</v>
      </c>
      <c r="S19" s="738">
        <f>Elect!AM23</f>
        <v>93.28</v>
      </c>
      <c r="T19" s="738">
        <f>Elect!AP23</f>
        <v>51.1875</v>
      </c>
      <c r="U19" s="738">
        <f>Elect!AR23</f>
        <v>210</v>
      </c>
      <c r="V19" s="738">
        <f>Elect!AT23</f>
        <v>126</v>
      </c>
      <c r="W19" s="738">
        <f>Elect!AV23</f>
        <v>34</v>
      </c>
      <c r="X19" s="738">
        <f>Elect!AX23</f>
        <v>854</v>
      </c>
      <c r="Y19" s="738">
        <f>Elect!AZ23</f>
        <v>0</v>
      </c>
      <c r="Z19" s="738">
        <f>Elect!BB23</f>
        <v>4469</v>
      </c>
      <c r="AA19" s="738">
        <f>Elect!BD23</f>
        <v>211</v>
      </c>
      <c r="AB19" s="738">
        <f>Elect!BF23</f>
        <v>45</v>
      </c>
      <c r="AC19" s="738">
        <f>Elect!BH23</f>
        <v>5103.8500000000004</v>
      </c>
      <c r="AD19" s="738">
        <f>Elect!BL23</f>
        <v>274</v>
      </c>
      <c r="AE19" s="738">
        <f>Elect!BN23</f>
        <v>760</v>
      </c>
      <c r="AF19" s="738">
        <f>Elect!BP23</f>
        <v>107</v>
      </c>
      <c r="AG19" s="738">
        <f>Elect!BR23</f>
        <v>141</v>
      </c>
      <c r="AH19" s="738" t="e">
        <f>#REF!</f>
        <v>#REF!</v>
      </c>
      <c r="AI19" s="827"/>
      <c r="AJ19" s="738">
        <f>Water!C24</f>
        <v>27.0666666668636</v>
      </c>
      <c r="AK19" s="738">
        <f>Water!E24</f>
        <v>100.5333333331364</v>
      </c>
      <c r="AL19" s="738">
        <f>Water!G24</f>
        <v>192.94666666668635</v>
      </c>
      <c r="AM19" s="738">
        <v>0</v>
      </c>
      <c r="AN19" s="827"/>
      <c r="AO19" s="738">
        <f>Gas!C24</f>
        <v>1805.18</v>
      </c>
      <c r="AP19" s="738">
        <f>Gas!E24</f>
        <v>408.09999999999997</v>
      </c>
      <c r="AQ19" s="738">
        <f>Gas!G24</f>
        <v>62.333333333022892</v>
      </c>
      <c r="AR19" s="738">
        <v>0</v>
      </c>
      <c r="AS19" s="745">
        <f>Elect!BT23</f>
        <v>256</v>
      </c>
    </row>
    <row r="20" spans="1:45" ht="12.75" customHeight="1">
      <c r="A20" s="752" t="s">
        <v>11</v>
      </c>
      <c r="B20" s="729">
        <f t="shared" si="0"/>
        <v>19</v>
      </c>
      <c r="C20" s="771">
        <v>2</v>
      </c>
      <c r="D20" s="751">
        <v>2023</v>
      </c>
      <c r="E20" s="827"/>
      <c r="F20" s="738">
        <f>Elect!J24</f>
        <v>6654</v>
      </c>
      <c r="G20" s="738">
        <f>Elect!K24</f>
        <v>3907</v>
      </c>
      <c r="H20" s="738">
        <f>Elect!Q24</f>
        <v>540</v>
      </c>
      <c r="I20" s="738">
        <f>Elect!S24</f>
        <v>143</v>
      </c>
      <c r="J20" s="738">
        <f>Elect!U24</f>
        <v>256</v>
      </c>
      <c r="K20" s="738">
        <f>Elect!W24</f>
        <v>1812.6000000000001</v>
      </c>
      <c r="L20" s="738">
        <f>Elect!Y24</f>
        <v>0</v>
      </c>
      <c r="M20" s="738">
        <f>Elect!AA24</f>
        <v>0</v>
      </c>
      <c r="N20" s="738">
        <f>Elect!AC24</f>
        <v>0</v>
      </c>
      <c r="O20" s="738">
        <f>Elect!AE24</f>
        <v>0</v>
      </c>
      <c r="P20" s="738">
        <f>Elect!AG24</f>
        <v>15.370000000000001</v>
      </c>
      <c r="Q20" s="738">
        <f>Elect!AI24</f>
        <v>181.79000000000002</v>
      </c>
      <c r="R20" s="738">
        <f>Elect!AK24</f>
        <v>2181.48</v>
      </c>
      <c r="S20" s="738">
        <f>Elect!AM24</f>
        <v>113.42</v>
      </c>
      <c r="T20" s="738">
        <f>Elect!AP24</f>
        <v>107.325</v>
      </c>
      <c r="U20" s="738">
        <f>Elect!AR24</f>
        <v>193</v>
      </c>
      <c r="V20" s="738">
        <f>Elect!AT24</f>
        <v>120</v>
      </c>
      <c r="W20" s="738">
        <f>Elect!AV24</f>
        <v>42</v>
      </c>
      <c r="X20" s="738">
        <f>Elect!AX24</f>
        <v>978</v>
      </c>
      <c r="Y20" s="738">
        <f>Elect!AZ24</f>
        <v>0</v>
      </c>
      <c r="Z20" s="738">
        <f>Elect!BB24</f>
        <v>4519</v>
      </c>
      <c r="AA20" s="738">
        <f>Elect!BD24</f>
        <v>230</v>
      </c>
      <c r="AB20" s="738">
        <f>Elect!BF24</f>
        <v>55</v>
      </c>
      <c r="AC20" s="738">
        <f>Elect!BH24</f>
        <v>5174.45</v>
      </c>
      <c r="AD20" s="738">
        <f>Elect!BL24</f>
        <v>278</v>
      </c>
      <c r="AE20" s="738">
        <f>Elect!BN24</f>
        <v>783</v>
      </c>
      <c r="AF20" s="738">
        <f>Elect!BP24</f>
        <v>96</v>
      </c>
      <c r="AG20" s="738">
        <f>Elect!BR24</f>
        <v>158</v>
      </c>
      <c r="AH20" s="738" t="e">
        <f>#REF!</f>
        <v>#REF!</v>
      </c>
      <c r="AI20" s="827"/>
      <c r="AJ20" s="738">
        <f>Water!C25</f>
        <v>220.39999999999998</v>
      </c>
      <c r="AK20" s="738">
        <f>Water!E25</f>
        <v>174</v>
      </c>
      <c r="AL20" s="738">
        <f>Water!G25</f>
        <v>41.18</v>
      </c>
      <c r="AM20" s="738">
        <v>0</v>
      </c>
      <c r="AN20" s="827"/>
      <c r="AO20" s="738">
        <f>Gas!C25</f>
        <v>1953.5800000000002</v>
      </c>
      <c r="AP20" s="738">
        <f>Gas!E25</f>
        <v>980.69999999999993</v>
      </c>
      <c r="AQ20" s="738">
        <f>Gas!G25</f>
        <v>128</v>
      </c>
      <c r="AR20" s="738">
        <v>0</v>
      </c>
      <c r="AS20" s="745">
        <f>Elect!BT24</f>
        <v>254</v>
      </c>
    </row>
    <row r="21" spans="1:45" ht="12.75" customHeight="1">
      <c r="A21" s="752" t="s">
        <v>11</v>
      </c>
      <c r="B21" s="729">
        <f t="shared" si="0"/>
        <v>20</v>
      </c>
      <c r="C21" s="771">
        <v>2</v>
      </c>
      <c r="D21" s="751">
        <v>2023</v>
      </c>
      <c r="E21" s="827"/>
      <c r="F21" s="738">
        <f>Elect!J25</f>
        <v>6789</v>
      </c>
      <c r="G21" s="738">
        <f>Elect!K25</f>
        <v>4521</v>
      </c>
      <c r="H21" s="738">
        <f>Elect!Q25</f>
        <v>570</v>
      </c>
      <c r="I21" s="738">
        <f>Elect!S25</f>
        <v>146</v>
      </c>
      <c r="J21" s="738">
        <f>Elect!U25</f>
        <v>256</v>
      </c>
      <c r="K21" s="738">
        <f>Elect!W25</f>
        <v>2275.29</v>
      </c>
      <c r="L21" s="738">
        <f>Elect!Y25</f>
        <v>0</v>
      </c>
      <c r="M21" s="738">
        <f>Elect!AA25</f>
        <v>0</v>
      </c>
      <c r="N21" s="738">
        <f>Elect!AC25</f>
        <v>0</v>
      </c>
      <c r="O21" s="738">
        <f>Elect!AE25</f>
        <v>0</v>
      </c>
      <c r="P21" s="738">
        <f>Elect!AG25</f>
        <v>12.72</v>
      </c>
      <c r="Q21" s="738">
        <f>Elect!AI25</f>
        <v>225.25</v>
      </c>
      <c r="R21" s="738">
        <f>Elect!AK25</f>
        <v>2613.96</v>
      </c>
      <c r="S21" s="738">
        <f>Elect!AM25</f>
        <v>133.03</v>
      </c>
      <c r="T21" s="738">
        <f>Elect!AP25</f>
        <v>47.925000000000004</v>
      </c>
      <c r="U21" s="738">
        <f>Elect!AR25</f>
        <v>218</v>
      </c>
      <c r="V21" s="738">
        <f>Elect!AT25</f>
        <v>74</v>
      </c>
      <c r="W21" s="738">
        <f>Elect!AV25</f>
        <v>48</v>
      </c>
      <c r="X21" s="738">
        <f>Elect!AX25</f>
        <v>1095</v>
      </c>
      <c r="Y21" s="738">
        <f>Elect!AZ25</f>
        <v>0</v>
      </c>
      <c r="Z21" s="738">
        <f>Elect!BB25</f>
        <v>5405</v>
      </c>
      <c r="AA21" s="738">
        <f>Elect!BD25</f>
        <v>215</v>
      </c>
      <c r="AB21" s="738">
        <f>Elect!BF25</f>
        <v>49</v>
      </c>
      <c r="AC21" s="738">
        <f>Elect!BH25</f>
        <v>5283.3499999999995</v>
      </c>
      <c r="AD21" s="738">
        <f>Elect!BL25</f>
        <v>277</v>
      </c>
      <c r="AE21" s="738">
        <f>Elect!BN25</f>
        <v>788</v>
      </c>
      <c r="AF21" s="738">
        <f>Elect!BP25</f>
        <v>89</v>
      </c>
      <c r="AG21" s="738">
        <f>Elect!BR25</f>
        <v>139</v>
      </c>
      <c r="AH21" s="738" t="e">
        <f>#REF!</f>
        <v>#REF!</v>
      </c>
      <c r="AI21" s="827"/>
      <c r="AJ21" s="738">
        <f>Water!C26</f>
        <v>127.6</v>
      </c>
      <c r="AK21" s="738">
        <f>Water!E26</f>
        <v>162.39999999999998</v>
      </c>
      <c r="AL21" s="738">
        <f>Water!G26</f>
        <v>127.02</v>
      </c>
      <c r="AM21" s="738">
        <v>0</v>
      </c>
      <c r="AN21" s="827"/>
      <c r="AO21" s="738">
        <f>Gas!C26</f>
        <v>1933.44</v>
      </c>
      <c r="AP21" s="738">
        <f>Gas!E26</f>
        <v>429.79999999999995</v>
      </c>
      <c r="AQ21" s="738">
        <f>Gas!G26</f>
        <v>86</v>
      </c>
      <c r="AR21" s="738">
        <v>0</v>
      </c>
      <c r="AS21" s="745">
        <f>Elect!BT25</f>
        <v>250</v>
      </c>
    </row>
    <row r="22" spans="1:45" ht="12.75" customHeight="1">
      <c r="A22" s="752" t="s">
        <v>11</v>
      </c>
      <c r="B22" s="729">
        <f t="shared" si="0"/>
        <v>21</v>
      </c>
      <c r="C22" s="771">
        <v>2</v>
      </c>
      <c r="D22" s="751">
        <v>2023</v>
      </c>
      <c r="E22" s="827"/>
      <c r="F22" s="738">
        <f>Elect!J26</f>
        <v>6877</v>
      </c>
      <c r="G22" s="738">
        <f>Elect!K26</f>
        <v>3574</v>
      </c>
      <c r="H22" s="738">
        <f>Elect!Q26</f>
        <v>600</v>
      </c>
      <c r="I22" s="738">
        <f>Elect!S26</f>
        <v>141</v>
      </c>
      <c r="J22" s="738">
        <f>Elect!U26</f>
        <v>250</v>
      </c>
      <c r="K22" s="738">
        <f>Elect!W26</f>
        <v>2053.75</v>
      </c>
      <c r="L22" s="738">
        <f>Elect!Y26</f>
        <v>0</v>
      </c>
      <c r="M22" s="738">
        <f>Elect!AA26</f>
        <v>0</v>
      </c>
      <c r="N22" s="738">
        <f>Elect!AC26</f>
        <v>0</v>
      </c>
      <c r="O22" s="738">
        <f>Elect!AE26</f>
        <v>0</v>
      </c>
      <c r="P22" s="738">
        <f>Elect!AG26</f>
        <v>14.31</v>
      </c>
      <c r="Q22" s="738">
        <f>Elect!AI26</f>
        <v>177.55</v>
      </c>
      <c r="R22" s="738">
        <f>Elect!AK26</f>
        <v>2105.69</v>
      </c>
      <c r="S22" s="738">
        <f>Elect!AM26</f>
        <v>103.35000000000001</v>
      </c>
      <c r="T22" s="738">
        <f>Elect!AP26</f>
        <v>79.987499999999997</v>
      </c>
      <c r="U22" s="738">
        <f>Elect!AR26</f>
        <v>242</v>
      </c>
      <c r="V22" s="738">
        <f>Elect!AT26</f>
        <v>157</v>
      </c>
      <c r="W22" s="738">
        <f>Elect!AV26</f>
        <v>35</v>
      </c>
      <c r="X22" s="738">
        <f>Elect!AX26</f>
        <v>851</v>
      </c>
      <c r="Y22" s="738">
        <f>Elect!AZ26</f>
        <v>0</v>
      </c>
      <c r="Z22" s="738">
        <f>Elect!BB26</f>
        <v>4068</v>
      </c>
      <c r="AA22" s="738">
        <f>Elect!BD26</f>
        <v>237</v>
      </c>
      <c r="AB22" s="738">
        <f>Elect!BF26</f>
        <v>45</v>
      </c>
      <c r="AC22" s="738">
        <f>Elect!BH26</f>
        <v>5801.1</v>
      </c>
      <c r="AD22" s="738">
        <f>Elect!BL26</f>
        <v>273</v>
      </c>
      <c r="AE22" s="738">
        <f>Elect!BN26</f>
        <v>807</v>
      </c>
      <c r="AF22" s="738">
        <f>Elect!BP26</f>
        <v>135</v>
      </c>
      <c r="AG22" s="738">
        <f>Elect!BR26</f>
        <v>187</v>
      </c>
      <c r="AH22" s="738" t="e">
        <f>#REF!</f>
        <v>#REF!</v>
      </c>
      <c r="AI22" s="827"/>
      <c r="AJ22" s="738">
        <f>Water!C27</f>
        <v>92.8</v>
      </c>
      <c r="AK22" s="738">
        <f>Water!E27</f>
        <v>110.19999999999999</v>
      </c>
      <c r="AL22" s="738">
        <f>Water!G27</f>
        <v>89.32</v>
      </c>
      <c r="AM22" s="738">
        <v>0</v>
      </c>
      <c r="AN22" s="827"/>
      <c r="AO22" s="738">
        <f>Gas!C27</f>
        <v>1612.26</v>
      </c>
      <c r="AP22" s="738">
        <f>Gas!E27</f>
        <v>450.09999999999997</v>
      </c>
      <c r="AQ22" s="738">
        <f>Gas!G27</f>
        <v>108</v>
      </c>
      <c r="AR22" s="738">
        <v>0</v>
      </c>
      <c r="AS22" s="745">
        <f>Elect!BT26</f>
        <v>249</v>
      </c>
    </row>
    <row r="23" spans="1:45" ht="12.75" customHeight="1">
      <c r="A23" s="752" t="s">
        <v>11</v>
      </c>
      <c r="B23" s="729">
        <f t="shared" si="0"/>
        <v>22</v>
      </c>
      <c r="C23" s="771">
        <v>2</v>
      </c>
      <c r="D23" s="751">
        <v>2023</v>
      </c>
      <c r="E23" s="827"/>
      <c r="F23" s="738">
        <f>Elect!J27</f>
        <v>6326</v>
      </c>
      <c r="G23" s="738">
        <f>Elect!K27</f>
        <v>4048</v>
      </c>
      <c r="H23" s="738">
        <f>Elect!Q27</f>
        <v>540</v>
      </c>
      <c r="I23" s="738">
        <f>Elect!S27</f>
        <v>140</v>
      </c>
      <c r="J23" s="738">
        <f>Elect!U27</f>
        <v>247</v>
      </c>
      <c r="K23" s="738">
        <f>Elect!W27</f>
        <v>1918.0700000000002</v>
      </c>
      <c r="L23" s="738">
        <f>Elect!Y27</f>
        <v>280.37</v>
      </c>
      <c r="M23" s="738">
        <f>Elect!AA27</f>
        <v>0</v>
      </c>
      <c r="N23" s="738">
        <f>Elect!AC27</f>
        <v>0</v>
      </c>
      <c r="O23" s="738">
        <f>Elect!AE27</f>
        <v>0</v>
      </c>
      <c r="P23" s="738">
        <f>Elect!AG27</f>
        <v>11.66</v>
      </c>
      <c r="Q23" s="738">
        <f>Elect!AI27</f>
        <v>209.35000000000002</v>
      </c>
      <c r="R23" s="738">
        <f>Elect!AK27</f>
        <v>2347.9</v>
      </c>
      <c r="S23" s="738">
        <f>Elect!AM27</f>
        <v>110.77000000000001</v>
      </c>
      <c r="T23" s="738">
        <f>Elect!AP27</f>
        <v>81.337500000000006</v>
      </c>
      <c r="U23" s="738">
        <f>Elect!AR27</f>
        <v>204</v>
      </c>
      <c r="V23" s="738">
        <f>Elect!AT27</f>
        <v>120</v>
      </c>
      <c r="W23" s="738">
        <f>Elect!AV27</f>
        <v>41</v>
      </c>
      <c r="X23" s="738">
        <f>Elect!AX27</f>
        <v>972</v>
      </c>
      <c r="Y23" s="738">
        <f>Elect!AZ27</f>
        <v>5</v>
      </c>
      <c r="Z23" s="738">
        <f>Elect!BB27</f>
        <v>4815</v>
      </c>
      <c r="AA23" s="738">
        <f>Elect!BD27</f>
        <v>257</v>
      </c>
      <c r="AB23" s="738">
        <f>Elect!BF27</f>
        <v>49</v>
      </c>
      <c r="AC23" s="738">
        <f>Elect!BH27</f>
        <v>5481.4</v>
      </c>
      <c r="AD23" s="738">
        <f>Elect!BL27</f>
        <v>267</v>
      </c>
      <c r="AE23" s="738">
        <f>Elect!BN27</f>
        <v>780</v>
      </c>
      <c r="AF23" s="738">
        <f>Elect!BP27</f>
        <v>88</v>
      </c>
      <c r="AG23" s="738">
        <f>Elect!BR27</f>
        <v>61</v>
      </c>
      <c r="AH23" s="738" t="e">
        <f>#REF!</f>
        <v>#REF!</v>
      </c>
      <c r="AI23" s="827"/>
      <c r="AJ23" s="738">
        <f>Water!C28</f>
        <v>110.19999999999999</v>
      </c>
      <c r="AK23" s="738">
        <f>Water!E28</f>
        <v>121.8</v>
      </c>
      <c r="AL23" s="738">
        <f>Water!G28</f>
        <v>109.61999999999999</v>
      </c>
      <c r="AM23" s="738">
        <v>0</v>
      </c>
      <c r="AN23" s="827"/>
      <c r="AO23" s="738">
        <f>Gas!C28</f>
        <v>1830.6200000000001</v>
      </c>
      <c r="AP23" s="738">
        <f>Gas!E28</f>
        <v>529.9</v>
      </c>
      <c r="AQ23" s="738">
        <f>Gas!G28</f>
        <v>87</v>
      </c>
      <c r="AR23" s="738">
        <v>0</v>
      </c>
      <c r="AS23" s="745">
        <f>Elect!BT27</f>
        <v>240</v>
      </c>
    </row>
    <row r="24" spans="1:45" ht="12.75" customHeight="1">
      <c r="A24" s="752" t="s">
        <v>11</v>
      </c>
      <c r="B24" s="729">
        <f t="shared" si="0"/>
        <v>23</v>
      </c>
      <c r="C24" s="771">
        <v>2</v>
      </c>
      <c r="D24" s="751">
        <v>2023</v>
      </c>
      <c r="E24" s="827"/>
      <c r="F24" s="738">
        <f>Elect!J28</f>
        <v>8051</v>
      </c>
      <c r="G24" s="738">
        <f>Elect!K28</f>
        <v>4676</v>
      </c>
      <c r="H24" s="738">
        <f>Elect!Q28</f>
        <v>660</v>
      </c>
      <c r="I24" s="738">
        <f>Elect!S28</f>
        <v>149</v>
      </c>
      <c r="J24" s="738">
        <f>Elect!U28</f>
        <v>273</v>
      </c>
      <c r="K24" s="738">
        <f>Elect!W28</f>
        <v>2654.77</v>
      </c>
      <c r="L24" s="738">
        <f>Elect!Y28</f>
        <v>0</v>
      </c>
      <c r="M24" s="738">
        <f>Elect!AA28</f>
        <v>0</v>
      </c>
      <c r="N24" s="738">
        <f>Elect!AC28</f>
        <v>0</v>
      </c>
      <c r="O24" s="738">
        <f>Elect!AE28</f>
        <v>0</v>
      </c>
      <c r="P24" s="738">
        <f>Elect!AG28</f>
        <v>13.25</v>
      </c>
      <c r="Q24" s="738">
        <f>Elect!AI28</f>
        <v>259.7</v>
      </c>
      <c r="R24" s="738">
        <f>Elect!AK28</f>
        <v>2571.0300000000002</v>
      </c>
      <c r="S24" s="738">
        <f>Elect!AM28</f>
        <v>137.80000000000001</v>
      </c>
      <c r="T24" s="738">
        <f>Elect!AP28</f>
        <v>76.95</v>
      </c>
      <c r="U24" s="738">
        <f>Elect!AR28</f>
        <v>215</v>
      </c>
      <c r="V24" s="738">
        <f>Elect!AT28</f>
        <v>141</v>
      </c>
      <c r="W24" s="738">
        <f>Elect!AV28</f>
        <v>47</v>
      </c>
      <c r="X24" s="738">
        <f>Elect!AX28</f>
        <v>1149</v>
      </c>
      <c r="Y24" s="738">
        <f>Elect!AZ28</f>
        <v>0</v>
      </c>
      <c r="Z24" s="738">
        <f>Elect!BB28</f>
        <v>5564</v>
      </c>
      <c r="AA24" s="738">
        <f>Elect!BD28</f>
        <v>273</v>
      </c>
      <c r="AB24" s="738">
        <f>Elect!BF28</f>
        <v>43</v>
      </c>
      <c r="AC24" s="738">
        <f>Elect!BH28</f>
        <v>5792.75</v>
      </c>
      <c r="AD24" s="738">
        <f>Elect!BL28</f>
        <v>277</v>
      </c>
      <c r="AE24" s="738">
        <f>Elect!BN28</f>
        <v>970</v>
      </c>
      <c r="AF24" s="738">
        <f>Elect!BP28</f>
        <v>115</v>
      </c>
      <c r="AG24" s="738">
        <f>Elect!BR28</f>
        <v>140</v>
      </c>
      <c r="AH24" s="738" t="e">
        <f>#REF!</f>
        <v>#REF!</v>
      </c>
      <c r="AI24" s="827"/>
      <c r="AJ24" s="738">
        <f>Water!C29</f>
        <v>57.999999999999993</v>
      </c>
      <c r="AK24" s="738">
        <f>Water!E29</f>
        <v>110.19999999999999</v>
      </c>
      <c r="AL24" s="738">
        <f>Water!G29</f>
        <v>205.89999999999998</v>
      </c>
      <c r="AM24" s="738">
        <v>0</v>
      </c>
      <c r="AN24" s="827"/>
      <c r="AO24" s="738">
        <f>Gas!C29</f>
        <v>1942.98</v>
      </c>
      <c r="AP24" s="738">
        <f>Gas!E29</f>
        <v>210</v>
      </c>
      <c r="AQ24" s="738">
        <f>Gas!G29</f>
        <v>76</v>
      </c>
      <c r="AR24" s="738">
        <v>0</v>
      </c>
      <c r="AS24" s="745">
        <f>Elect!BT28</f>
        <v>254</v>
      </c>
    </row>
    <row r="25" spans="1:45" ht="12.75" customHeight="1">
      <c r="A25" s="752" t="s">
        <v>11</v>
      </c>
      <c r="B25" s="729">
        <f t="shared" si="0"/>
        <v>24</v>
      </c>
      <c r="C25" s="771">
        <v>2</v>
      </c>
      <c r="D25" s="751">
        <v>2023</v>
      </c>
      <c r="E25" s="827"/>
      <c r="F25" s="738">
        <f>Elect!J29</f>
        <v>6521</v>
      </c>
      <c r="G25" s="738">
        <f>Elect!K29</f>
        <v>3663</v>
      </c>
      <c r="H25" s="738">
        <f>Elect!Q29</f>
        <v>570</v>
      </c>
      <c r="I25" s="738">
        <f>Elect!S29</f>
        <v>143</v>
      </c>
      <c r="J25" s="738">
        <f>Elect!U29</f>
        <v>270</v>
      </c>
      <c r="K25" s="738">
        <f>Elect!W29</f>
        <v>2295.96</v>
      </c>
      <c r="L25" s="738">
        <f>Elect!Y29</f>
        <v>0</v>
      </c>
      <c r="M25" s="738">
        <f>Elect!AA29</f>
        <v>0</v>
      </c>
      <c r="N25" s="738">
        <f>Elect!AC29</f>
        <v>0</v>
      </c>
      <c r="O25" s="738">
        <f>Elect!AE29</f>
        <v>0</v>
      </c>
      <c r="P25" s="738">
        <f>Elect!AG29</f>
        <v>9.5400000000000009</v>
      </c>
      <c r="Q25" s="738">
        <f>Elect!AI29</f>
        <v>210.94</v>
      </c>
      <c r="R25" s="738">
        <f>Elect!AK29</f>
        <v>2047.39</v>
      </c>
      <c r="S25" s="738">
        <f>Elect!AM29</f>
        <v>112.89</v>
      </c>
      <c r="T25" s="738">
        <f>Elect!AP29</f>
        <v>79.875</v>
      </c>
      <c r="U25" s="738">
        <f>Elect!AR29</f>
        <v>204</v>
      </c>
      <c r="V25" s="738">
        <f>Elect!AT29</f>
        <v>146</v>
      </c>
      <c r="W25" s="738">
        <f>Elect!AV29</f>
        <v>36</v>
      </c>
      <c r="X25" s="738">
        <f>Elect!AX29</f>
        <v>881</v>
      </c>
      <c r="Y25" s="738">
        <f>Elect!AZ29</f>
        <v>0</v>
      </c>
      <c r="Z25" s="738">
        <f>Elect!BB29</f>
        <v>4079</v>
      </c>
      <c r="AA25" s="738">
        <f>Elect!BD29</f>
        <v>281</v>
      </c>
      <c r="AB25" s="738">
        <f>Elect!BF29</f>
        <v>45</v>
      </c>
      <c r="AC25" s="738">
        <f>Elect!BH29</f>
        <v>5820.75</v>
      </c>
      <c r="AD25" s="738">
        <f>Elect!BL29</f>
        <v>284</v>
      </c>
      <c r="AE25" s="738">
        <f>Elect!BN29</f>
        <v>988</v>
      </c>
      <c r="AF25" s="738">
        <f>Elect!BP29</f>
        <v>117</v>
      </c>
      <c r="AG25" s="738">
        <f>Elect!BR29</f>
        <v>123</v>
      </c>
      <c r="AH25" s="738" t="e">
        <f>#REF!</f>
        <v>#REF!</v>
      </c>
      <c r="AI25" s="827"/>
      <c r="AJ25" s="738">
        <f>Water!C30</f>
        <v>174</v>
      </c>
      <c r="AK25" s="738">
        <f>Water!E30</f>
        <v>203</v>
      </c>
      <c r="AL25" s="738">
        <f>Water!G30</f>
        <v>0</v>
      </c>
      <c r="AM25" s="738">
        <v>0</v>
      </c>
      <c r="AN25" s="827"/>
      <c r="AO25" s="738">
        <f>Gas!C30</f>
        <v>1054.7</v>
      </c>
      <c r="AP25" s="738">
        <f>Gas!E30</f>
        <v>702.09999999999991</v>
      </c>
      <c r="AQ25" s="738">
        <f>Gas!G30</f>
        <v>80</v>
      </c>
      <c r="AR25" s="738">
        <v>0</v>
      </c>
      <c r="AS25" s="745">
        <f>Elect!BT29</f>
        <v>251</v>
      </c>
    </row>
    <row r="26" spans="1:45" ht="12.75" customHeight="1">
      <c r="A26" s="752" t="s">
        <v>11</v>
      </c>
      <c r="B26" s="729">
        <f>B25+1</f>
        <v>25</v>
      </c>
      <c r="C26" s="771">
        <v>2</v>
      </c>
      <c r="D26" s="751">
        <v>2023</v>
      </c>
      <c r="E26" s="827"/>
      <c r="F26" s="738">
        <f>Elect!J30</f>
        <v>6548</v>
      </c>
      <c r="G26" s="738">
        <f>Elect!K30</f>
        <v>4133</v>
      </c>
      <c r="H26" s="738">
        <f>Elect!Q30</f>
        <v>600</v>
      </c>
      <c r="I26" s="738">
        <f>Elect!S30</f>
        <v>147</v>
      </c>
      <c r="J26" s="738">
        <f>Elect!U30</f>
        <v>273</v>
      </c>
      <c r="K26" s="738">
        <f>Elect!W30</f>
        <v>2708.83</v>
      </c>
      <c r="L26" s="738">
        <f>Elect!Y30</f>
        <v>0</v>
      </c>
      <c r="M26" s="738">
        <f>Elect!AA30</f>
        <v>0</v>
      </c>
      <c r="N26" s="738">
        <f>Elect!AC30</f>
        <v>0</v>
      </c>
      <c r="O26" s="738">
        <f>Elect!AE30</f>
        <v>0</v>
      </c>
      <c r="P26" s="738">
        <f>Elect!AG30</f>
        <v>12.72</v>
      </c>
      <c r="Q26" s="738">
        <f>Elect!AI30</f>
        <v>261.29000000000002</v>
      </c>
      <c r="R26" s="738">
        <f>Elect!AK30</f>
        <v>2568.9100000000003</v>
      </c>
      <c r="S26" s="738">
        <f>Elect!AM30</f>
        <v>129.32</v>
      </c>
      <c r="T26" s="738">
        <f>Elect!AP30</f>
        <v>81.112499999999997</v>
      </c>
      <c r="U26" s="738">
        <f>Elect!AR30</f>
        <v>211</v>
      </c>
      <c r="V26" s="738">
        <f>Elect!AT30</f>
        <v>137</v>
      </c>
      <c r="W26" s="738">
        <f>Elect!AV30</f>
        <v>43</v>
      </c>
      <c r="X26" s="738">
        <f>Elect!AX30</f>
        <v>1039</v>
      </c>
      <c r="Y26" s="738">
        <f>Elect!AZ30</f>
        <v>0</v>
      </c>
      <c r="Z26" s="738">
        <f>Elect!BB30</f>
        <v>4981</v>
      </c>
      <c r="AA26" s="738">
        <f>Elect!BD30</f>
        <v>282</v>
      </c>
      <c r="AB26" s="738">
        <f>Elect!BF30</f>
        <v>51</v>
      </c>
      <c r="AC26" s="738">
        <f>Elect!BH30</f>
        <v>5276.7</v>
      </c>
      <c r="AD26" s="738">
        <f>Elect!BL30</f>
        <v>282</v>
      </c>
      <c r="AE26" s="738">
        <f>Elect!BN30</f>
        <v>978</v>
      </c>
      <c r="AF26" s="738">
        <f>Elect!BP30</f>
        <v>116</v>
      </c>
      <c r="AG26" s="738">
        <f>Elect!BR30</f>
        <v>354</v>
      </c>
      <c r="AH26" s="738" t="e">
        <f>#REF!</f>
        <v>#REF!</v>
      </c>
      <c r="AI26" s="827"/>
      <c r="AJ26" s="738">
        <f>Water!C31</f>
        <v>110.19999999999999</v>
      </c>
      <c r="AK26" s="738">
        <f>Water!E31</f>
        <v>87</v>
      </c>
      <c r="AL26" s="738">
        <f>Water!G31</f>
        <v>159.5</v>
      </c>
      <c r="AM26" s="738">
        <v>0</v>
      </c>
      <c r="AN26" s="827"/>
      <c r="AO26" s="738">
        <f>Gas!C31</f>
        <v>1545.1266666699573</v>
      </c>
      <c r="AP26" s="738">
        <f>Gas!E31</f>
        <v>699.3</v>
      </c>
      <c r="AQ26" s="738">
        <f>Gas!G31</f>
        <v>151</v>
      </c>
      <c r="AR26" s="738">
        <v>0</v>
      </c>
      <c r="AS26" s="745">
        <f>Elect!BT30</f>
        <v>252</v>
      </c>
    </row>
    <row r="27" spans="1:45" ht="12.75" customHeight="1">
      <c r="A27" s="752" t="s">
        <v>11</v>
      </c>
      <c r="B27" s="729">
        <f t="shared" si="0"/>
        <v>26</v>
      </c>
      <c r="C27" s="771">
        <v>2</v>
      </c>
      <c r="D27" s="751">
        <v>2023</v>
      </c>
      <c r="E27" s="827"/>
      <c r="F27" s="738">
        <f>Elect!J31</f>
        <v>10603</v>
      </c>
      <c r="G27" s="738">
        <f>Elect!K31</f>
        <v>3837</v>
      </c>
      <c r="H27" s="738">
        <f>Elect!Q31</f>
        <v>570</v>
      </c>
      <c r="I27" s="738">
        <f>Elect!S31</f>
        <v>146</v>
      </c>
      <c r="J27" s="738">
        <f>Elect!U31</f>
        <v>277</v>
      </c>
      <c r="K27" s="738">
        <f>Elect!W31</f>
        <v>2129.0100000000002</v>
      </c>
      <c r="L27" s="738">
        <f>Elect!Y31</f>
        <v>0</v>
      </c>
      <c r="M27" s="738">
        <f>Elect!AA31</f>
        <v>0</v>
      </c>
      <c r="N27" s="738">
        <f>Elect!AC31</f>
        <v>0</v>
      </c>
      <c r="O27" s="738">
        <f>Elect!AE31</f>
        <v>0</v>
      </c>
      <c r="P27" s="738">
        <f>Elect!AG31</f>
        <v>12.190000000000001</v>
      </c>
      <c r="Q27" s="738">
        <f>Elect!AI31</f>
        <v>216.24</v>
      </c>
      <c r="R27" s="738">
        <f>Elect!AK31</f>
        <v>2066.4700000000003</v>
      </c>
      <c r="S27" s="738">
        <f>Elect!AM31</f>
        <v>118.19000000000001</v>
      </c>
      <c r="T27" s="738">
        <f>Elect!AP31</f>
        <v>84.825000000000003</v>
      </c>
      <c r="U27" s="738">
        <f>Elect!AR31</f>
        <v>211</v>
      </c>
      <c r="V27" s="738">
        <f>Elect!AT31</f>
        <v>128</v>
      </c>
      <c r="W27" s="738">
        <f>Elect!AV31</f>
        <v>41</v>
      </c>
      <c r="X27" s="738">
        <f>Elect!AX31</f>
        <v>995</v>
      </c>
      <c r="Y27" s="738">
        <f>Elect!AZ31</f>
        <v>0</v>
      </c>
      <c r="Z27" s="738">
        <f>Elect!BB31</f>
        <v>4414</v>
      </c>
      <c r="AA27" s="738">
        <f>Elect!BD31</f>
        <v>280</v>
      </c>
      <c r="AB27" s="738">
        <f>Elect!BF31</f>
        <v>46</v>
      </c>
      <c r="AC27" s="738">
        <f>Elect!BH31</f>
        <v>5415.2999999999993</v>
      </c>
      <c r="AD27" s="738">
        <f>Elect!BL31</f>
        <v>276</v>
      </c>
      <c r="AE27" s="738">
        <f>Elect!BN31</f>
        <v>973</v>
      </c>
      <c r="AF27" s="738">
        <f>Elect!BP31</f>
        <v>113</v>
      </c>
      <c r="AG27" s="738">
        <f>Elect!BR31</f>
        <v>30</v>
      </c>
      <c r="AH27" s="738" t="e">
        <f>#REF!</f>
        <v>#REF!</v>
      </c>
      <c r="AI27" s="827"/>
      <c r="AJ27" s="738">
        <f>Water!C32</f>
        <v>92.8</v>
      </c>
      <c r="AK27" s="738">
        <f>Water!E32</f>
        <v>110.19999999999999</v>
      </c>
      <c r="AL27" s="738">
        <f>Water!G32</f>
        <v>209.95999999999998</v>
      </c>
      <c r="AM27" s="738">
        <v>0</v>
      </c>
      <c r="AN27" s="827"/>
      <c r="AO27" s="738">
        <f>Gas!C32</f>
        <v>1523.5733333300427</v>
      </c>
      <c r="AP27" s="738">
        <f>Gas!E32</f>
        <v>430.5</v>
      </c>
      <c r="AQ27" s="738">
        <f>Gas!G32</f>
        <v>125</v>
      </c>
      <c r="AR27" s="738">
        <v>0</v>
      </c>
      <c r="AS27" s="745">
        <f>Elect!BT31</f>
        <v>252</v>
      </c>
    </row>
    <row r="28" spans="1:45" ht="12.75" customHeight="1">
      <c r="A28" s="752" t="s">
        <v>11</v>
      </c>
      <c r="B28" s="729">
        <f t="shared" si="0"/>
        <v>27</v>
      </c>
      <c r="C28" s="771">
        <v>2</v>
      </c>
      <c r="D28" s="751">
        <v>2023</v>
      </c>
      <c r="E28" s="827"/>
      <c r="F28" s="738">
        <f>Elect!J32</f>
        <v>1127</v>
      </c>
      <c r="G28" s="738">
        <f>Elect!K32</f>
        <v>3727</v>
      </c>
      <c r="H28" s="738">
        <f>Elect!Q32</f>
        <v>540</v>
      </c>
      <c r="I28" s="738">
        <f>Elect!S32</f>
        <v>132</v>
      </c>
      <c r="J28" s="738">
        <f>Elect!U32</f>
        <v>239</v>
      </c>
      <c r="K28" s="738">
        <f>Elect!W32</f>
        <v>2332.5300000000002</v>
      </c>
      <c r="L28" s="738">
        <f>Elect!Y32</f>
        <v>0</v>
      </c>
      <c r="M28" s="738">
        <f>Elect!AA32</f>
        <v>0</v>
      </c>
      <c r="N28" s="738">
        <f>Elect!AC32</f>
        <v>0</v>
      </c>
      <c r="O28" s="738">
        <f>Elect!AE32</f>
        <v>0</v>
      </c>
      <c r="P28" s="738">
        <f>Elect!AG32</f>
        <v>11.66</v>
      </c>
      <c r="Q28" s="738">
        <f>Elect!AI32</f>
        <v>253.34</v>
      </c>
      <c r="R28" s="738">
        <f>Elect!AK32</f>
        <v>2035.2</v>
      </c>
      <c r="S28" s="738">
        <f>Elect!AM32</f>
        <v>109.71000000000001</v>
      </c>
      <c r="T28" s="738">
        <f>Elect!AP32</f>
        <v>102.03750000000001</v>
      </c>
      <c r="U28" s="738">
        <f>Elect!AR32</f>
        <v>150</v>
      </c>
      <c r="V28" s="738">
        <f>Elect!AT32</f>
        <v>92</v>
      </c>
      <c r="W28" s="738">
        <f>Elect!AV32</f>
        <v>39</v>
      </c>
      <c r="X28" s="738">
        <f>Elect!AX32</f>
        <v>916</v>
      </c>
      <c r="Y28" s="738">
        <f>Elect!AZ32</f>
        <v>0</v>
      </c>
      <c r="Z28" s="738">
        <f>Elect!BB32</f>
        <v>4323</v>
      </c>
      <c r="AA28" s="738">
        <f>Elect!BD32</f>
        <v>266</v>
      </c>
      <c r="AB28" s="738">
        <f>Elect!BF32</f>
        <v>49.333333333299379</v>
      </c>
      <c r="AC28" s="738">
        <f>Elect!BH32</f>
        <v>5392.45</v>
      </c>
      <c r="AD28" s="738">
        <f>Elect!BL32</f>
        <v>256</v>
      </c>
      <c r="AE28" s="738">
        <f>Elect!BN32</f>
        <v>898</v>
      </c>
      <c r="AF28" s="738">
        <f>Elect!BP32</f>
        <v>101</v>
      </c>
      <c r="AG28" s="738">
        <f>Elect!BR32</f>
        <v>50</v>
      </c>
      <c r="AH28" s="738" t="e">
        <f>#REF!</f>
        <v>#REF!</v>
      </c>
      <c r="AI28" s="827"/>
      <c r="AJ28" s="738">
        <f>Water!C33</f>
        <v>98.6</v>
      </c>
      <c r="AK28" s="738">
        <f>Water!E33</f>
        <v>115.99999999999999</v>
      </c>
      <c r="AL28" s="738">
        <f>Water!G33</f>
        <v>0</v>
      </c>
      <c r="AM28" s="738">
        <v>0</v>
      </c>
      <c r="AN28" s="827"/>
      <c r="AO28" s="738">
        <f>Gas!C33</f>
        <v>1325</v>
      </c>
      <c r="AP28" s="738">
        <f>Gas!E33</f>
        <v>491.4</v>
      </c>
      <c r="AQ28" s="738">
        <f>Gas!G33</f>
        <v>64</v>
      </c>
      <c r="AR28" s="738">
        <v>0</v>
      </c>
      <c r="AS28" s="745">
        <f>Elect!BT32</f>
        <v>236</v>
      </c>
    </row>
    <row r="29" spans="1:45" ht="12.75" customHeight="1">
      <c r="A29" s="752" t="s">
        <v>11</v>
      </c>
      <c r="B29" s="729">
        <f t="shared" si="0"/>
        <v>28</v>
      </c>
      <c r="C29" s="771">
        <v>2</v>
      </c>
      <c r="D29" s="751">
        <v>2023</v>
      </c>
      <c r="E29" s="827"/>
      <c r="F29" s="738">
        <f>Elect!J33</f>
        <v>7444.333333298564</v>
      </c>
      <c r="G29" s="738">
        <f>Elect!K33</f>
        <v>3800.3333333339542</v>
      </c>
      <c r="H29" s="738">
        <f>Elect!Q33</f>
        <v>560.00000001018634</v>
      </c>
      <c r="I29" s="738">
        <f>Elect!S33</f>
        <v>141.33333333299379</v>
      </c>
      <c r="J29" s="738">
        <f>Elect!U33</f>
        <v>264.33333333302289</v>
      </c>
      <c r="K29" s="738">
        <f>Elect!W33</f>
        <v>2196.85</v>
      </c>
      <c r="L29" s="738">
        <f>Elect!Y33</f>
        <v>0</v>
      </c>
      <c r="M29" s="738">
        <f>Elect!AA33</f>
        <v>0</v>
      </c>
      <c r="N29" s="738">
        <f>Elect!AC33</f>
        <v>0</v>
      </c>
      <c r="O29" s="738">
        <f>Elect!AE33</f>
        <v>0</v>
      </c>
      <c r="P29" s="738">
        <f>Elect!AG33</f>
        <v>12.01333333510207</v>
      </c>
      <c r="Q29" s="738">
        <f>Elect!AI33</f>
        <v>228.60666666650215</v>
      </c>
      <c r="R29" s="738">
        <f>Elect!AK33</f>
        <v>2056.0466666665025</v>
      </c>
      <c r="S29" s="738">
        <f>Elect!AM33</f>
        <v>115.36333333349788</v>
      </c>
      <c r="T29" s="738">
        <f>Elect!AP33</f>
        <v>90.5625</v>
      </c>
      <c r="U29" s="738">
        <f>Elect!AR33</f>
        <v>190.66666666697711</v>
      </c>
      <c r="V29" s="738">
        <f>Elect!AT33</f>
        <v>116</v>
      </c>
      <c r="W29" s="738">
        <f>Elect!AV33</f>
        <v>40.333333333022892</v>
      </c>
      <c r="X29" s="738">
        <f>Elect!AX33</f>
        <v>968.66666666977108</v>
      </c>
      <c r="Y29" s="738">
        <f>Elect!AZ33</f>
        <v>0</v>
      </c>
      <c r="Z29" s="738">
        <f>Elect!BB33</f>
        <v>4383.666666701436</v>
      </c>
      <c r="AA29" s="738">
        <f>Elect!BD33</f>
        <v>275.33333333302289</v>
      </c>
      <c r="AB29" s="738">
        <f>Elect!BF33</f>
        <v>48.5</v>
      </c>
      <c r="AC29" s="738">
        <f>Elect!BH33</f>
        <v>5407.6833333330223</v>
      </c>
      <c r="AD29" s="738">
        <f>Elect!BL33</f>
        <v>269.33333332999609</v>
      </c>
      <c r="AE29" s="738">
        <f>Elect!BN33</f>
        <v>948</v>
      </c>
      <c r="AF29" s="738">
        <f>Elect!BP33</f>
        <v>109</v>
      </c>
      <c r="AG29" s="738">
        <f>Elect!BR33</f>
        <v>36.666666666977108</v>
      </c>
      <c r="AH29" s="738" t="e">
        <f>#REF!</f>
        <v>#REF!</v>
      </c>
      <c r="AI29" s="827"/>
      <c r="AJ29" s="738">
        <f>Water!C34</f>
        <v>104.39999999999999</v>
      </c>
      <c r="AK29" s="738">
        <f>Water!E34</f>
        <v>121.8</v>
      </c>
      <c r="AL29" s="738">
        <f>Water!G34</f>
        <v>109.61999999999999</v>
      </c>
      <c r="AM29" s="738">
        <v>0</v>
      </c>
      <c r="AN29" s="827"/>
      <c r="AO29" s="738">
        <f>Gas!C34</f>
        <v>1622.8600000000001</v>
      </c>
      <c r="AP29" s="738">
        <f>Gas!E34</f>
        <v>480.2</v>
      </c>
      <c r="AQ29" s="738">
        <f>Gas!G34</f>
        <v>89</v>
      </c>
      <c r="AR29" s="738">
        <v>0</v>
      </c>
      <c r="AS29" s="745">
        <f>Elect!BT33</f>
        <v>230.666666666667</v>
      </c>
    </row>
    <row r="30" spans="1:45" ht="12.75" customHeight="1">
      <c r="A30" s="752"/>
      <c r="B30" s="729"/>
      <c r="C30" s="771"/>
      <c r="D30" s="751"/>
      <c r="E30" s="827"/>
      <c r="F30" s="738"/>
      <c r="G30" s="738"/>
      <c r="H30" s="738"/>
      <c r="I30" s="738"/>
      <c r="J30" s="738"/>
      <c r="K30" s="738"/>
      <c r="L30" s="738"/>
      <c r="M30" s="738"/>
      <c r="N30" s="738"/>
      <c r="O30" s="738"/>
      <c r="P30" s="738"/>
      <c r="Q30" s="738"/>
      <c r="R30" s="738"/>
      <c r="S30" s="738"/>
      <c r="T30" s="738"/>
      <c r="U30" s="738"/>
      <c r="V30" s="738"/>
      <c r="W30" s="738">
        <f>Elect!AV34</f>
        <v>0</v>
      </c>
      <c r="X30" s="738">
        <f>Elect!AX34</f>
        <v>0</v>
      </c>
      <c r="Y30" s="738">
        <f>Elect!AZ34</f>
        <v>0</v>
      </c>
      <c r="Z30" s="738">
        <f>Elect!BB34</f>
        <v>0</v>
      </c>
      <c r="AA30" s="738">
        <f>Elect!BD34</f>
        <v>0</v>
      </c>
      <c r="AB30" s="738">
        <f>Elect!BF34</f>
        <v>0</v>
      </c>
      <c r="AC30" s="738">
        <f>Elect!BH34</f>
        <v>0</v>
      </c>
      <c r="AD30" s="738">
        <f>Elect!BL34</f>
        <v>0</v>
      </c>
      <c r="AE30" s="738">
        <f>Elect!BN34</f>
        <v>0</v>
      </c>
      <c r="AF30" s="738">
        <f>Elect!BP34</f>
        <v>0</v>
      </c>
      <c r="AG30" s="738">
        <f>Elect!BR34</f>
        <v>0</v>
      </c>
      <c r="AH30" s="738" t="e">
        <f>#REF!</f>
        <v>#REF!</v>
      </c>
      <c r="AI30" s="827"/>
      <c r="AJ30" s="738">
        <f>Water!C35</f>
        <v>0</v>
      </c>
      <c r="AK30" s="738">
        <f>Water!E35</f>
        <v>0</v>
      </c>
      <c r="AL30" s="738">
        <f>Water!G35</f>
        <v>0</v>
      </c>
      <c r="AM30" s="738">
        <v>0</v>
      </c>
      <c r="AN30" s="827"/>
      <c r="AO30" s="738">
        <f>Gas!C35</f>
        <v>0</v>
      </c>
      <c r="AP30" s="738">
        <f>Gas!E35</f>
        <v>0</v>
      </c>
      <c r="AQ30" s="738">
        <f>Gas!G35</f>
        <v>0</v>
      </c>
      <c r="AR30" s="738">
        <v>0</v>
      </c>
      <c r="AS30" s="745">
        <f>Elect!BT34</f>
        <v>0</v>
      </c>
    </row>
    <row r="31" spans="1:45" ht="12.75" customHeight="1">
      <c r="A31" s="752"/>
      <c r="B31" s="729"/>
      <c r="C31" s="771"/>
      <c r="D31" s="751"/>
      <c r="E31" s="827"/>
      <c r="F31" s="738"/>
      <c r="G31" s="738"/>
      <c r="H31" s="738"/>
      <c r="I31" s="738"/>
      <c r="J31" s="738"/>
      <c r="K31" s="738"/>
      <c r="L31" s="738"/>
      <c r="M31" s="738"/>
      <c r="N31" s="738"/>
      <c r="O31" s="738"/>
      <c r="P31" s="738"/>
      <c r="Q31" s="738"/>
      <c r="R31" s="738"/>
      <c r="S31" s="738"/>
      <c r="T31" s="738"/>
      <c r="U31" s="738"/>
      <c r="V31" s="738"/>
      <c r="W31" s="738">
        <f>Elect!AV35</f>
        <v>0</v>
      </c>
      <c r="X31" s="738">
        <f>Elect!AX35</f>
        <v>0</v>
      </c>
      <c r="Y31" s="738">
        <f>Elect!AZ35</f>
        <v>0</v>
      </c>
      <c r="Z31" s="738">
        <f>Elect!BB35</f>
        <v>0</v>
      </c>
      <c r="AA31" s="738">
        <f>Elect!BD35</f>
        <v>0</v>
      </c>
      <c r="AB31" s="738">
        <f>Elect!BF35</f>
        <v>0</v>
      </c>
      <c r="AC31" s="738">
        <f>Elect!BH35</f>
        <v>0</v>
      </c>
      <c r="AD31" s="738">
        <f>Elect!BL35</f>
        <v>0</v>
      </c>
      <c r="AE31" s="738">
        <f>Elect!BN35</f>
        <v>0</v>
      </c>
      <c r="AF31" s="738">
        <f>Elect!BP35</f>
        <v>0</v>
      </c>
      <c r="AG31" s="738">
        <f>Elect!BR35</f>
        <v>0</v>
      </c>
      <c r="AH31" s="738" t="e">
        <f>#REF!</f>
        <v>#REF!</v>
      </c>
      <c r="AI31" s="827"/>
      <c r="AJ31" s="738">
        <f>Water!C36</f>
        <v>0</v>
      </c>
      <c r="AK31" s="738">
        <f>Water!E36</f>
        <v>0</v>
      </c>
      <c r="AL31" s="738">
        <f>Water!G36</f>
        <v>0</v>
      </c>
      <c r="AM31" s="738">
        <v>0</v>
      </c>
      <c r="AN31" s="827"/>
      <c r="AO31" s="738">
        <f>Gas!C36</f>
        <v>0</v>
      </c>
      <c r="AP31" s="738">
        <f>Gas!E36</f>
        <v>0</v>
      </c>
      <c r="AQ31" s="738">
        <f>Gas!G36</f>
        <v>0</v>
      </c>
      <c r="AR31" s="738">
        <v>0</v>
      </c>
      <c r="AS31" s="745">
        <f>Elect!BT35</f>
        <v>0</v>
      </c>
    </row>
    <row r="32" spans="1:45" ht="12.75" customHeight="1">
      <c r="A32" s="753"/>
      <c r="B32" s="754"/>
      <c r="C32" s="829"/>
      <c r="D32" s="830"/>
      <c r="E32" s="828"/>
      <c r="F32" s="738"/>
      <c r="G32" s="738"/>
      <c r="H32" s="738"/>
      <c r="I32" s="738"/>
      <c r="J32" s="738"/>
      <c r="K32" s="738"/>
      <c r="L32" s="738"/>
      <c r="M32" s="738"/>
      <c r="N32" s="738"/>
      <c r="O32" s="738"/>
      <c r="P32" s="738"/>
      <c r="Q32" s="738"/>
      <c r="R32" s="738"/>
      <c r="S32" s="738"/>
      <c r="T32" s="738"/>
      <c r="U32" s="738"/>
      <c r="V32" s="738"/>
      <c r="W32" s="738">
        <f>Elect!AV36</f>
        <v>0</v>
      </c>
      <c r="X32" s="738">
        <f>Elect!AX36</f>
        <v>0</v>
      </c>
      <c r="Y32" s="738">
        <f>Elect!AZ36</f>
        <v>0</v>
      </c>
      <c r="Z32" s="738">
        <f>Elect!BB36</f>
        <v>0</v>
      </c>
      <c r="AA32" s="738">
        <f>Elect!BD36</f>
        <v>0</v>
      </c>
      <c r="AB32" s="738">
        <f>Elect!BF36</f>
        <v>0</v>
      </c>
      <c r="AC32" s="738">
        <f>Elect!BH36</f>
        <v>0</v>
      </c>
      <c r="AD32" s="738">
        <f>Elect!BL36</f>
        <v>0</v>
      </c>
      <c r="AE32" s="738">
        <f>Elect!BN36</f>
        <v>0</v>
      </c>
      <c r="AF32" s="738">
        <f>Elect!BP36</f>
        <v>0</v>
      </c>
      <c r="AG32" s="738">
        <f>Elect!BR36</f>
        <v>0</v>
      </c>
      <c r="AH32" s="738" t="e">
        <f>#REF!</f>
        <v>#REF!</v>
      </c>
      <c r="AI32" s="828"/>
      <c r="AJ32" s="738">
        <f>Water!C37</f>
        <v>0</v>
      </c>
      <c r="AK32" s="738">
        <f>Water!E37</f>
        <v>0</v>
      </c>
      <c r="AL32" s="738">
        <f>Water!G37</f>
        <v>0</v>
      </c>
      <c r="AM32" s="738">
        <v>0</v>
      </c>
      <c r="AN32" s="828"/>
      <c r="AO32" s="738">
        <f>Gas!C37</f>
        <v>0</v>
      </c>
      <c r="AP32" s="738">
        <f>Gas!E37</f>
        <v>0</v>
      </c>
      <c r="AQ32" s="738">
        <f>Gas!G37</f>
        <v>0</v>
      </c>
      <c r="AR32" s="738">
        <v>0</v>
      </c>
      <c r="AS32" s="745">
        <f>Elect!BT36</f>
        <v>0</v>
      </c>
    </row>
    <row r="33" spans="41:44">
      <c r="AO33" s="735"/>
      <c r="AP33" s="735"/>
      <c r="AQ33" s="735"/>
      <c r="AR33" s="735"/>
    </row>
  </sheetData>
  <sheetProtection formatCells="0" formatColumns="0" formatRows="0" insertColumns="0" insertRows="0" insertHyperlinks="0" deleteColumns="0" deleteRows="0" sort="0" autoFilter="0" pivotTables="0"/>
  <mergeCells count="4">
    <mergeCell ref="E1:E32"/>
    <mergeCell ref="AN1:AN32"/>
    <mergeCell ref="AI1:AI32"/>
    <mergeCell ref="C32:D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60" zoomScaleNormal="60" zoomScaleSheetLayoutView="70" workbookViewId="0">
      <pane xSplit="8" ySplit="4" topLeftCell="BI5" activePane="bottomRight" state="frozen"/>
      <selection pane="bottomRight" activeCell="BS6" sqref="BS6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0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18.85546875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53">
        <v>44958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55" t="s">
        <v>14</v>
      </c>
      <c r="N1" s="855"/>
      <c r="O1" s="855"/>
      <c r="Q1" s="855"/>
      <c r="R1" s="530"/>
      <c r="S1" s="530"/>
      <c r="T1" s="530"/>
      <c r="U1" s="530"/>
      <c r="V1" s="786"/>
      <c r="W1" s="786"/>
      <c r="X1" s="786"/>
      <c r="Y1" s="786"/>
      <c r="Z1" s="786"/>
      <c r="AA1" s="786"/>
      <c r="AB1" s="786"/>
      <c r="AC1" s="786"/>
      <c r="AD1" s="786"/>
      <c r="AE1" s="786"/>
      <c r="AF1" s="786"/>
      <c r="AG1" s="786"/>
      <c r="AH1" s="786"/>
      <c r="AI1" s="786"/>
      <c r="AJ1" s="786"/>
      <c r="AK1" s="786"/>
      <c r="AL1" s="786"/>
      <c r="AM1" s="786"/>
      <c r="AN1" s="786"/>
      <c r="AO1" s="786"/>
      <c r="AP1" s="786"/>
      <c r="AQ1" s="786"/>
      <c r="AR1" s="786"/>
      <c r="AS1" s="786"/>
      <c r="AT1" s="786"/>
      <c r="AU1" s="786"/>
      <c r="AV1" s="786"/>
      <c r="AW1" s="786"/>
      <c r="AX1" s="786"/>
      <c r="AY1" s="786"/>
      <c r="AZ1" s="786"/>
      <c r="BA1" s="786"/>
      <c r="BB1" s="786"/>
      <c r="BC1" s="786"/>
      <c r="BD1" s="786"/>
      <c r="BE1" s="786"/>
      <c r="BF1" s="786"/>
      <c r="BG1" s="786"/>
      <c r="BH1" s="786"/>
      <c r="BI1" s="786"/>
      <c r="BJ1" s="786"/>
      <c r="BK1" s="530"/>
      <c r="BL1" s="530"/>
      <c r="BM1" s="786"/>
      <c r="BN1" s="786"/>
      <c r="BO1" s="528"/>
      <c r="BP1" s="831" t="s">
        <v>53</v>
      </c>
      <c r="BQ1" s="832"/>
      <c r="BR1" s="565">
        <v>1.6</v>
      </c>
      <c r="BS1" s="562" t="s">
        <v>54</v>
      </c>
      <c r="BT1" s="563"/>
      <c r="BU1" s="833" t="s">
        <v>55</v>
      </c>
      <c r="BV1" s="834"/>
      <c r="BW1" s="565">
        <v>500</v>
      </c>
      <c r="BX1" s="831" t="s">
        <v>56</v>
      </c>
      <c r="BY1" s="832"/>
      <c r="BZ1" s="565">
        <v>1.1499999999999999</v>
      </c>
    </row>
    <row r="2" spans="1:78" ht="28.5" hidden="1" customHeight="1" thickBot="1">
      <c r="A2" s="854"/>
      <c r="B2" s="114"/>
      <c r="C2" s="28"/>
      <c r="D2" s="28"/>
      <c r="E2" s="189"/>
      <c r="F2" s="189"/>
      <c r="I2" s="190"/>
      <c r="M2" s="856"/>
      <c r="N2" s="856"/>
      <c r="O2" s="856"/>
      <c r="Q2" s="856"/>
      <c r="R2" s="531"/>
      <c r="S2" s="531"/>
      <c r="T2" s="531"/>
      <c r="U2" s="531"/>
      <c r="V2" s="787"/>
      <c r="W2" s="787"/>
      <c r="X2" s="787"/>
      <c r="Y2" s="787"/>
      <c r="Z2" s="787"/>
      <c r="AA2" s="787"/>
      <c r="AB2" s="787"/>
      <c r="AC2" s="787"/>
      <c r="AD2" s="787" t="s">
        <v>12</v>
      </c>
      <c r="AE2" s="787"/>
      <c r="AF2" s="787"/>
      <c r="AG2" s="787"/>
      <c r="AH2" s="787"/>
      <c r="AI2" s="787"/>
      <c r="AJ2" s="787"/>
      <c r="AK2" s="787"/>
      <c r="AL2" s="787"/>
      <c r="AM2" s="787"/>
      <c r="AN2" s="787"/>
      <c r="AO2" s="787"/>
      <c r="AP2" s="787"/>
      <c r="AQ2" s="787"/>
      <c r="AR2" s="787"/>
      <c r="AS2" s="787"/>
      <c r="AT2" s="787"/>
      <c r="AU2" s="787"/>
      <c r="AV2" s="787"/>
      <c r="AW2" s="787"/>
      <c r="AX2" s="787"/>
      <c r="AY2" s="787"/>
      <c r="AZ2" s="787"/>
      <c r="BA2" s="787"/>
      <c r="BB2" s="787"/>
      <c r="BC2" s="787"/>
      <c r="BD2" s="787"/>
      <c r="BE2" s="787"/>
      <c r="BF2" s="787"/>
      <c r="BG2" s="787"/>
      <c r="BH2" s="787"/>
      <c r="BI2" s="787"/>
      <c r="BJ2" s="787"/>
      <c r="BK2" s="531"/>
      <c r="BL2" s="531"/>
      <c r="BM2" s="787"/>
      <c r="BN2" s="787"/>
      <c r="BO2" s="527"/>
      <c r="BP2" s="831"/>
      <c r="BQ2" s="832"/>
      <c r="BR2" s="565"/>
      <c r="BS2" s="567" t="s">
        <v>57</v>
      </c>
      <c r="BT2" s="568"/>
      <c r="BU2" s="833" t="s">
        <v>58</v>
      </c>
      <c r="BV2" s="834"/>
      <c r="BW2" s="569"/>
      <c r="BX2" s="831" t="s">
        <v>59</v>
      </c>
      <c r="BY2" s="832"/>
      <c r="BZ2" s="565">
        <v>30</v>
      </c>
    </row>
    <row r="3" spans="1:78" s="205" customFormat="1" ht="37.5" customHeight="1">
      <c r="A3" s="838" t="s">
        <v>60</v>
      </c>
      <c r="B3" s="840" t="s">
        <v>61</v>
      </c>
      <c r="C3" s="841"/>
      <c r="D3" s="835" t="s">
        <v>62</v>
      </c>
      <c r="E3" s="835"/>
      <c r="F3" s="835" t="s">
        <v>63</v>
      </c>
      <c r="G3" s="835"/>
      <c r="H3" s="857" t="s">
        <v>64</v>
      </c>
      <c r="I3" s="570" t="s">
        <v>65</v>
      </c>
      <c r="J3" s="536"/>
      <c r="K3" s="789"/>
      <c r="L3" s="835"/>
      <c r="M3" s="835"/>
      <c r="N3" s="835"/>
      <c r="O3" s="835"/>
      <c r="P3" s="835"/>
      <c r="Q3" s="835"/>
      <c r="R3" s="844" t="s">
        <v>66</v>
      </c>
      <c r="S3" s="844"/>
      <c r="T3" s="844"/>
      <c r="U3" s="845"/>
      <c r="V3" s="846" t="s">
        <v>67</v>
      </c>
      <c r="W3" s="847"/>
      <c r="X3" s="847"/>
      <c r="Y3" s="847"/>
      <c r="Z3" s="847"/>
      <c r="AA3" s="847"/>
      <c r="AB3" s="847"/>
      <c r="AC3" s="847"/>
      <c r="AD3" s="847"/>
      <c r="AE3" s="847"/>
      <c r="AF3" s="847"/>
      <c r="AG3" s="847"/>
      <c r="AH3" s="847"/>
      <c r="AI3" s="847"/>
      <c r="AJ3" s="847"/>
      <c r="AK3" s="847"/>
      <c r="AL3" s="847"/>
      <c r="AM3" s="847"/>
      <c r="AN3" s="848"/>
      <c r="AO3" s="852" t="s">
        <v>68</v>
      </c>
      <c r="AP3" s="844"/>
      <c r="AQ3" s="844"/>
      <c r="AR3" s="844"/>
      <c r="AS3" s="844"/>
      <c r="AT3" s="844"/>
      <c r="AU3" s="844"/>
      <c r="AV3" s="844"/>
      <c r="AW3" s="844"/>
      <c r="AX3" s="844"/>
      <c r="AY3" s="844"/>
      <c r="AZ3" s="844"/>
      <c r="BA3" s="844"/>
      <c r="BB3" s="844"/>
      <c r="BC3" s="844"/>
      <c r="BD3" s="844"/>
      <c r="BE3" s="844"/>
      <c r="BF3" s="844"/>
      <c r="BG3" s="844"/>
      <c r="BH3" s="844"/>
      <c r="BI3" s="844"/>
      <c r="BJ3" s="845"/>
      <c r="BK3" s="849" t="s">
        <v>69</v>
      </c>
      <c r="BL3" s="850"/>
      <c r="BM3" s="850"/>
      <c r="BN3" s="850"/>
      <c r="BO3" s="850"/>
      <c r="BP3" s="850"/>
      <c r="BQ3" s="850"/>
      <c r="BR3" s="851"/>
      <c r="BS3" s="842" t="s">
        <v>70</v>
      </c>
      <c r="BT3" s="790" t="s">
        <v>71</v>
      </c>
      <c r="BU3" s="790" t="s">
        <v>72</v>
      </c>
      <c r="BV3" s="790" t="s">
        <v>71</v>
      </c>
      <c r="BW3" s="790" t="s">
        <v>72</v>
      </c>
      <c r="BX3" s="835" t="s">
        <v>73</v>
      </c>
      <c r="BY3" s="571" t="s">
        <v>74</v>
      </c>
      <c r="BZ3" s="572" t="s">
        <v>74</v>
      </c>
    </row>
    <row r="4" spans="1:78" s="205" customFormat="1" ht="55.5" customHeight="1" thickBot="1">
      <c r="A4" s="839"/>
      <c r="B4" s="573" t="s">
        <v>75</v>
      </c>
      <c r="C4" s="574" t="s">
        <v>76</v>
      </c>
      <c r="D4" s="537" t="s">
        <v>75</v>
      </c>
      <c r="E4" s="574" t="s">
        <v>77</v>
      </c>
      <c r="F4" s="537" t="s">
        <v>78</v>
      </c>
      <c r="G4" s="574" t="s">
        <v>79</v>
      </c>
      <c r="H4" s="858"/>
      <c r="I4" s="575" t="s">
        <v>80</v>
      </c>
      <c r="J4" s="537" t="s">
        <v>81</v>
      </c>
      <c r="K4" s="537" t="s">
        <v>82</v>
      </c>
      <c r="L4" s="788" t="s">
        <v>83</v>
      </c>
      <c r="M4" s="537" t="s">
        <v>81</v>
      </c>
      <c r="N4" s="537" t="s">
        <v>84</v>
      </c>
      <c r="O4" s="537" t="s">
        <v>81</v>
      </c>
      <c r="P4" s="576" t="s">
        <v>85</v>
      </c>
      <c r="Q4" s="788" t="s">
        <v>86</v>
      </c>
      <c r="R4" s="686" t="s">
        <v>87</v>
      </c>
      <c r="S4" s="537" t="s">
        <v>81</v>
      </c>
      <c r="T4" s="686" t="s">
        <v>88</v>
      </c>
      <c r="U4" s="537" t="s">
        <v>81</v>
      </c>
      <c r="V4" s="548" t="s">
        <v>89</v>
      </c>
      <c r="W4" s="788" t="s">
        <v>90</v>
      </c>
      <c r="X4" s="548" t="s">
        <v>91</v>
      </c>
      <c r="Y4" s="788" t="s">
        <v>90</v>
      </c>
      <c r="Z4" s="713" t="s">
        <v>92</v>
      </c>
      <c r="AA4" s="788" t="s">
        <v>90</v>
      </c>
      <c r="AB4" s="548" t="s">
        <v>93</v>
      </c>
      <c r="AC4" s="788" t="s">
        <v>90</v>
      </c>
      <c r="AD4" s="548" t="s">
        <v>94</v>
      </c>
      <c r="AE4" s="788" t="s">
        <v>90</v>
      </c>
      <c r="AF4" s="548" t="s">
        <v>95</v>
      </c>
      <c r="AG4" s="788" t="s">
        <v>90</v>
      </c>
      <c r="AH4" s="548" t="s">
        <v>96</v>
      </c>
      <c r="AI4" s="788" t="s">
        <v>90</v>
      </c>
      <c r="AJ4" s="548" t="s">
        <v>97</v>
      </c>
      <c r="AK4" s="788" t="s">
        <v>90</v>
      </c>
      <c r="AL4" s="686" t="s">
        <v>98</v>
      </c>
      <c r="AM4" s="788" t="s">
        <v>90</v>
      </c>
      <c r="AN4" s="576" t="s">
        <v>99</v>
      </c>
      <c r="AO4" s="788" t="s">
        <v>100</v>
      </c>
      <c r="AP4" s="537" t="s">
        <v>81</v>
      </c>
      <c r="AQ4" s="788" t="s">
        <v>101</v>
      </c>
      <c r="AR4" s="537" t="s">
        <v>81</v>
      </c>
      <c r="AS4" s="788" t="s">
        <v>102</v>
      </c>
      <c r="AT4" s="537" t="s">
        <v>81</v>
      </c>
      <c r="AU4" s="788" t="s">
        <v>103</v>
      </c>
      <c r="AV4" s="537" t="s">
        <v>81</v>
      </c>
      <c r="AW4" s="537" t="s">
        <v>104</v>
      </c>
      <c r="AX4" s="537" t="s">
        <v>81</v>
      </c>
      <c r="AY4" s="788" t="s">
        <v>105</v>
      </c>
      <c r="AZ4" s="537" t="s">
        <v>81</v>
      </c>
      <c r="BA4" s="537" t="s">
        <v>106</v>
      </c>
      <c r="BB4" s="537" t="s">
        <v>81</v>
      </c>
      <c r="BC4" s="788" t="s">
        <v>107</v>
      </c>
      <c r="BD4" s="537" t="s">
        <v>81</v>
      </c>
      <c r="BE4" s="537" t="s">
        <v>108</v>
      </c>
      <c r="BF4" s="537" t="s">
        <v>81</v>
      </c>
      <c r="BG4" s="537" t="s">
        <v>109</v>
      </c>
      <c r="BH4" s="537" t="s">
        <v>81</v>
      </c>
      <c r="BI4" s="576" t="s">
        <v>110</v>
      </c>
      <c r="BJ4" s="576" t="s">
        <v>111</v>
      </c>
      <c r="BK4" s="788" t="s">
        <v>112</v>
      </c>
      <c r="BL4" s="537" t="s">
        <v>81</v>
      </c>
      <c r="BM4" s="537" t="s">
        <v>113</v>
      </c>
      <c r="BN4" s="537" t="s">
        <v>81</v>
      </c>
      <c r="BO4" s="537" t="s">
        <v>114</v>
      </c>
      <c r="BP4" s="537" t="s">
        <v>81</v>
      </c>
      <c r="BQ4" s="537" t="s">
        <v>115</v>
      </c>
      <c r="BR4" s="537" t="s">
        <v>81</v>
      </c>
      <c r="BS4" s="843"/>
      <c r="BT4" s="537" t="s">
        <v>116</v>
      </c>
      <c r="BU4" s="537" t="s">
        <v>117</v>
      </c>
      <c r="BV4" s="537" t="s">
        <v>118</v>
      </c>
      <c r="BW4" s="537" t="s">
        <v>118</v>
      </c>
      <c r="BX4" s="836"/>
      <c r="BY4" s="577" t="s">
        <v>119</v>
      </c>
      <c r="BZ4" s="578" t="s">
        <v>120</v>
      </c>
    </row>
    <row r="5" spans="1:78" s="385" customFormat="1" ht="39" customHeight="1">
      <c r="A5" s="525" t="s">
        <v>121</v>
      </c>
      <c r="B5" s="431"/>
      <c r="C5" s="432"/>
      <c r="D5" s="432"/>
      <c r="E5" s="432"/>
      <c r="F5" s="432"/>
      <c r="G5" s="432"/>
      <c r="H5" s="433"/>
      <c r="I5" s="769">
        <v>25991237.666666701</v>
      </c>
      <c r="J5" s="636">
        <f>IF(I5&gt;=I4,I5-I4,0)</f>
        <v>0</v>
      </c>
      <c r="K5" s="636">
        <f>M5+O5</f>
        <v>0</v>
      </c>
      <c r="L5" s="769">
        <v>404725.66666666698</v>
      </c>
      <c r="M5" s="636">
        <f>IF(L5&gt;=L4,L5-L4,0)</f>
        <v>0</v>
      </c>
      <c r="N5" s="769">
        <v>426081</v>
      </c>
      <c r="O5" s="636">
        <f t="shared" ref="O5:O36" si="0">IF(N5&gt;=N4,N5-N4,0)</f>
        <v>0</v>
      </c>
      <c r="P5" s="769">
        <v>228195</v>
      </c>
      <c r="Q5" s="636">
        <f>IF(P5&gt;=P4,P5-P4,0)*30</f>
        <v>0</v>
      </c>
      <c r="R5" s="768">
        <v>234971.33333333299</v>
      </c>
      <c r="S5" s="636">
        <f>IF(R5&gt;=R4,R5-R4,0)</f>
        <v>0</v>
      </c>
      <c r="T5" s="768">
        <v>428547.66666666698</v>
      </c>
      <c r="U5" s="636">
        <f t="shared" ref="U5:U27" si="1">IF(T5&gt;=T4,T5-T4,0)</f>
        <v>0</v>
      </c>
      <c r="V5" s="768">
        <v>895229</v>
      </c>
      <c r="W5" s="636">
        <f t="shared" ref="W5:W36" si="2">IF(V5&gt;=V4,V5-V4,0)*0.53</f>
        <v>0</v>
      </c>
      <c r="X5" s="769">
        <v>839916</v>
      </c>
      <c r="Y5" s="636">
        <f t="shared" ref="Y5:Y36" si="3">IF(X5&gt;=X4,X5-X4,0)*0.53</f>
        <v>0</v>
      </c>
      <c r="Z5" s="768">
        <v>871759</v>
      </c>
      <c r="AA5" s="636">
        <f t="shared" ref="AA5:AA36" si="4">IF(Z5&gt;=Z4,Z5-Z4,0)*0.53</f>
        <v>0</v>
      </c>
      <c r="AB5" s="768">
        <v>184962</v>
      </c>
      <c r="AC5" s="636">
        <f>IF(AB5&gt;=AB4,AB5-AB4,0)*0.53</f>
        <v>0</v>
      </c>
      <c r="AD5" s="768">
        <v>863299</v>
      </c>
      <c r="AE5" s="636">
        <f>IF(AD5&gt;=AD4,AD5-AD4,0)*0.53</f>
        <v>0</v>
      </c>
      <c r="AF5" s="768">
        <v>1010940</v>
      </c>
      <c r="AG5" s="636">
        <f t="shared" ref="AG5:AG12" si="5">IF(AF5&gt;=AF4,AF5-AF4,0)*0.53</f>
        <v>0</v>
      </c>
      <c r="AH5" s="768">
        <v>445421.66666666698</v>
      </c>
      <c r="AI5" s="636">
        <f t="shared" ref="AI5:AI36" si="6">IF(AH5&gt;=AH4,AH5-AH4,0)*0.53</f>
        <v>0</v>
      </c>
      <c r="AJ5" s="768">
        <v>774987.33333333302</v>
      </c>
      <c r="AK5" s="636">
        <f t="shared" ref="AK5:AK12" si="7">IF(AJ5&gt;=AJ4,AJ5-AJ4,0)*0.53</f>
        <v>0</v>
      </c>
      <c r="AL5" s="768">
        <v>580792.33333333302</v>
      </c>
      <c r="AM5" s="636">
        <f t="shared" ref="AM5:AM36" si="8">IF(AL5&gt;=AL4,AL5-AL4,0)*0.53</f>
        <v>0</v>
      </c>
      <c r="AN5" s="636">
        <f>W5+Y5+AA5+AC5+AE5+AG5+AI5+AK5+AM5</f>
        <v>0</v>
      </c>
      <c r="AO5" s="768">
        <v>8236771</v>
      </c>
      <c r="AP5" s="636">
        <f>IF(AO5&gt;=AO4,AO5-AO4,0)*0.1125</f>
        <v>0</v>
      </c>
      <c r="AQ5" s="768">
        <v>762289.66666666698</v>
      </c>
      <c r="AR5" s="636">
        <f t="shared" ref="AR5:AR36" si="9">IF(AQ5&gt;=AQ4,AQ5-AQ4,0)</f>
        <v>0</v>
      </c>
      <c r="AS5" s="769">
        <v>23114.333333333299</v>
      </c>
      <c r="AT5" s="636">
        <f>IF(AS5&gt;=AS4,AS5-AS4,0)</f>
        <v>0</v>
      </c>
      <c r="AU5" s="768">
        <v>828493.33333333302</v>
      </c>
      <c r="AV5" s="636">
        <f t="shared" ref="AV5:AV36" si="10">IF(AU5&gt;=AU4,AU5-AU4,0)</f>
        <v>0</v>
      </c>
      <c r="AW5" s="768">
        <v>2932469.6666666698</v>
      </c>
      <c r="AX5" s="636">
        <f t="shared" ref="AX5:AX36" si="11">IF(AW5&gt;=AW4,AW5-AW4,0)</f>
        <v>0</v>
      </c>
      <c r="AY5" s="769">
        <v>234748</v>
      </c>
      <c r="AZ5" s="636">
        <f t="shared" ref="AZ5:AZ18" si="12">IF(AY5&gt;=AY4,AY5-AY4,0)</f>
        <v>0</v>
      </c>
      <c r="BA5" s="768">
        <v>21094071.666666701</v>
      </c>
      <c r="BB5" s="636">
        <f t="shared" ref="BB5:BF36" si="13">IF(BA5&gt;=BA4,BA5-BA4,0)</f>
        <v>0</v>
      </c>
      <c r="BC5" s="768">
        <v>653479</v>
      </c>
      <c r="BD5" s="636">
        <f t="shared" si="13"/>
        <v>0</v>
      </c>
      <c r="BE5" s="768">
        <v>47700</v>
      </c>
      <c r="BF5" s="636">
        <f t="shared" si="13"/>
        <v>0</v>
      </c>
      <c r="BG5" s="769">
        <v>26512695</v>
      </c>
      <c r="BH5" s="636">
        <f>IF(BG5&gt;=BG4,BG5-BG4,0)-(0.45*BN5)-(0.45*BP5)-BR5</f>
        <v>0</v>
      </c>
      <c r="BI5" s="636">
        <f>AP5+AR5+AT5+AV5+AX5+AZ5+BB5+BD5+BF5+BH5</f>
        <v>0</v>
      </c>
      <c r="BJ5" s="636">
        <f>BI5+AN5</f>
        <v>0</v>
      </c>
      <c r="BK5" s="769">
        <v>1508370.66666667</v>
      </c>
      <c r="BL5" s="636">
        <f t="shared" ref="BL5:BL36" si="14">IF(BK5&gt;=BK4,BK5-BK4,0)</f>
        <v>0</v>
      </c>
      <c r="BM5" s="768">
        <v>4369853.3333333302</v>
      </c>
      <c r="BN5" s="636">
        <f t="shared" ref="BN5:BN36" si="15">IF(BM5&gt;=BM4,BM5-BM4,0)</f>
        <v>0</v>
      </c>
      <c r="BO5" s="768">
        <v>457697</v>
      </c>
      <c r="BP5" s="636">
        <f t="shared" ref="BP5:BP36" si="16">IF(BO5&gt;=BO4,BO5-BO4,0)</f>
        <v>0</v>
      </c>
      <c r="BQ5" s="768">
        <v>570578</v>
      </c>
      <c r="BR5" s="636">
        <f t="shared" ref="BR5:BR11" si="17">IF(BQ5&gt;=BQ4,BQ5-BQ4,0)</f>
        <v>0</v>
      </c>
      <c r="BS5" s="768"/>
      <c r="BT5" s="693"/>
      <c r="BU5" s="434"/>
      <c r="BV5" s="709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69">
        <v>25998781</v>
      </c>
      <c r="J6" s="636">
        <f t="shared" ref="J6:J36" si="18">IF(I6&gt;=I5,I6-I5,0)</f>
        <v>7543.333333298564</v>
      </c>
      <c r="K6" s="636">
        <f t="shared" ref="K6:K36" si="19">M6+O6</f>
        <v>3061.3333333330229</v>
      </c>
      <c r="L6" s="769">
        <v>407674</v>
      </c>
      <c r="M6" s="636">
        <f>IF(L6&gt;=L5,L6-L5,0)</f>
        <v>2948.3333333330229</v>
      </c>
      <c r="N6" s="769">
        <v>426194</v>
      </c>
      <c r="O6" s="636">
        <f>IF(N6&gt;=N5,N6-N5,0)</f>
        <v>113</v>
      </c>
      <c r="P6" s="769">
        <v>228209</v>
      </c>
      <c r="Q6" s="636">
        <f>IF(P6&gt;=P5,P6-P5,0)*30</f>
        <v>420</v>
      </c>
      <c r="R6" s="768">
        <v>235116</v>
      </c>
      <c r="S6" s="636">
        <f>IF(R6&gt;=R5,R6-R5,0)</f>
        <v>144.66666666700621</v>
      </c>
      <c r="T6" s="768">
        <v>428793</v>
      </c>
      <c r="U6" s="636">
        <f t="shared" si="1"/>
        <v>245.33333333302289</v>
      </c>
      <c r="V6" s="768">
        <v>898350</v>
      </c>
      <c r="W6" s="636">
        <f t="shared" si="2"/>
        <v>1654.13</v>
      </c>
      <c r="X6" s="769">
        <v>839916</v>
      </c>
      <c r="Y6" s="636">
        <f t="shared" si="3"/>
        <v>0</v>
      </c>
      <c r="Z6" s="768">
        <v>871759</v>
      </c>
      <c r="AA6" s="636">
        <f t="shared" si="4"/>
        <v>0</v>
      </c>
      <c r="AB6" s="768">
        <v>184962</v>
      </c>
      <c r="AC6" s="636">
        <f>IF(AB6&gt;=AB5,AB6-AB5,0)*0.53</f>
        <v>0</v>
      </c>
      <c r="AD6" s="768">
        <v>863349</v>
      </c>
      <c r="AE6" s="636">
        <f t="shared" ref="AE6:AE36" si="20">IF(AD6&gt;=AD5,AD6-AD5,0)*0.53</f>
        <v>26.5</v>
      </c>
      <c r="AF6" s="768">
        <v>1010964</v>
      </c>
      <c r="AG6" s="636">
        <f t="shared" si="5"/>
        <v>12.72</v>
      </c>
      <c r="AH6" s="769">
        <v>445542</v>
      </c>
      <c r="AI6" s="636">
        <f t="shared" si="6"/>
        <v>63.776666666502138</v>
      </c>
      <c r="AJ6" s="769">
        <v>778570</v>
      </c>
      <c r="AK6" s="636">
        <f t="shared" si="7"/>
        <v>1898.8133333334979</v>
      </c>
      <c r="AL6" s="768">
        <v>581017</v>
      </c>
      <c r="AM6" s="636">
        <f t="shared" si="8"/>
        <v>119.07333333349787</v>
      </c>
      <c r="AN6" s="636">
        <f t="shared" ref="AN6:AN36" si="21">W6+Y6+AA6+AC6+AE6+AG6+AI6+AK6+AM6</f>
        <v>3775.0133333334984</v>
      </c>
      <c r="AO6" s="768">
        <v>8238032</v>
      </c>
      <c r="AP6" s="636">
        <f t="shared" ref="AP6:AP36" si="22">IF(AO6&gt;=AO5,AO6-AO5,0)*0.1125</f>
        <v>141.86250000000001</v>
      </c>
      <c r="AQ6" s="768">
        <v>762477</v>
      </c>
      <c r="AR6" s="636">
        <f t="shared" si="9"/>
        <v>187.33333333302289</v>
      </c>
      <c r="AS6" s="768">
        <v>23253</v>
      </c>
      <c r="AT6" s="636">
        <f t="shared" ref="AT6:AT34" si="23">IF(AS6&gt;=AS5,AS6-AS5,0)</f>
        <v>138.66666666670062</v>
      </c>
      <c r="AU6" s="710">
        <v>828537</v>
      </c>
      <c r="AV6" s="636">
        <f t="shared" si="10"/>
        <v>43.666666666977108</v>
      </c>
      <c r="AW6" s="769">
        <v>2932952</v>
      </c>
      <c r="AX6" s="636">
        <f t="shared" si="11"/>
        <v>482.33333333022892</v>
      </c>
      <c r="AY6" s="768">
        <v>235368</v>
      </c>
      <c r="AZ6" s="636">
        <f t="shared" si="12"/>
        <v>620</v>
      </c>
      <c r="BA6" s="769">
        <v>21098398</v>
      </c>
      <c r="BB6" s="636">
        <f t="shared" si="13"/>
        <v>4326.333333298564</v>
      </c>
      <c r="BC6" s="768">
        <v>653711</v>
      </c>
      <c r="BD6" s="636">
        <f t="shared" si="13"/>
        <v>232</v>
      </c>
      <c r="BE6" s="768">
        <v>47737</v>
      </c>
      <c r="BF6" s="636">
        <f t="shared" si="13"/>
        <v>37</v>
      </c>
      <c r="BG6" s="768">
        <v>26518250</v>
      </c>
      <c r="BH6" s="636">
        <f t="shared" ref="BH6:BH36" si="24">IF(BG6&gt;=BG5,BG6-BG5,0)-(0.45*BN6)-(0.45*BP6)-BR6</f>
        <v>4955.7999999986023</v>
      </c>
      <c r="BI6" s="636">
        <f t="shared" ref="BI6:BI36" si="25">AP6+AR6+AT6+AV6+AX6+AZ6+BB6+BD6+BF6+BH6</f>
        <v>11164.995833294095</v>
      </c>
      <c r="BJ6" s="636">
        <f t="shared" ref="BJ6:BJ36" si="26">BI6+AN6</f>
        <v>14940.009166627593</v>
      </c>
      <c r="BK6" s="769">
        <v>1508727</v>
      </c>
      <c r="BL6" s="636">
        <f t="shared" si="14"/>
        <v>356.33333332999609</v>
      </c>
      <c r="BM6" s="769">
        <v>4370783</v>
      </c>
      <c r="BN6" s="636">
        <f t="shared" si="15"/>
        <v>929.66666666977108</v>
      </c>
      <c r="BO6" s="769">
        <v>457830</v>
      </c>
      <c r="BP6" s="636">
        <f t="shared" si="16"/>
        <v>133</v>
      </c>
      <c r="BQ6" s="768">
        <v>570699</v>
      </c>
      <c r="BR6" s="636">
        <f t="shared" si="17"/>
        <v>121</v>
      </c>
      <c r="BS6" s="692">
        <f t="shared" ref="BS6:BS36" si="27">J6+Q6+AN6+BI6</f>
        <v>22903.342499926155</v>
      </c>
      <c r="BT6" s="693">
        <v>97</v>
      </c>
      <c r="BU6" s="692" t="e">
        <f t="shared" ref="BU6:BU12" si="28">IF(BS6&gt;0,BS6/BT5,0)</f>
        <v>#DIV/0!</v>
      </c>
      <c r="BV6" s="693"/>
      <c r="BW6" s="692" t="e">
        <f t="shared" ref="BW6:BW36" si="29">IF(BS6&gt;0,BS6/BV6,0)</f>
        <v>#DIV/0!</v>
      </c>
      <c r="BX6" s="692">
        <f>((BS6-Q6)*$BZ$1)+(Q6*$BR$1)</f>
        <v>26527.843874915077</v>
      </c>
      <c r="BY6" s="692" t="e">
        <f t="shared" ref="BY6:BY15" si="30">IF(BX6&gt;0,BX6/BT5,0)</f>
        <v>#DIV/0!</v>
      </c>
      <c r="BZ6" s="694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69">
        <v>26005990</v>
      </c>
      <c r="J7" s="636">
        <f t="shared" si="18"/>
        <v>7209</v>
      </c>
      <c r="K7" s="636">
        <f t="shared" si="19"/>
        <v>6980</v>
      </c>
      <c r="L7" s="769">
        <v>410354</v>
      </c>
      <c r="M7" s="636">
        <f>IF(L7&gt;=L6,L7-L6,0)</f>
        <v>2680</v>
      </c>
      <c r="N7" s="769">
        <v>430494</v>
      </c>
      <c r="O7" s="636">
        <f>IF(N7&gt;=N6,N7-N6,0)</f>
        <v>4300</v>
      </c>
      <c r="P7" s="769">
        <v>228223</v>
      </c>
      <c r="Q7" s="636">
        <f t="shared" ref="Q7:Q18" si="31">IF(P7&gt;=P6,P7-P6,0)*30</f>
        <v>420</v>
      </c>
      <c r="R7" s="768">
        <v>235264</v>
      </c>
      <c r="S7" s="636">
        <f t="shared" ref="S7:S20" si="32">IF(R7&gt;=R6,R7-R6,0)</f>
        <v>148</v>
      </c>
      <c r="T7" s="768">
        <v>429047</v>
      </c>
      <c r="U7" s="636">
        <f t="shared" si="1"/>
        <v>254</v>
      </c>
      <c r="V7" s="768">
        <v>902401</v>
      </c>
      <c r="W7" s="636">
        <f t="shared" si="2"/>
        <v>2147.0300000000002</v>
      </c>
      <c r="X7" s="769">
        <v>839916</v>
      </c>
      <c r="Y7" s="636">
        <f t="shared" si="3"/>
        <v>0</v>
      </c>
      <c r="Z7" s="768">
        <v>871759</v>
      </c>
      <c r="AA7" s="636">
        <f t="shared" si="4"/>
        <v>0</v>
      </c>
      <c r="AB7" s="768">
        <v>184962</v>
      </c>
      <c r="AC7" s="636">
        <f t="shared" ref="AC7:AC36" si="33">IF(AB7&gt;=AB6,AB7-AB6,0)*0.53</f>
        <v>0</v>
      </c>
      <c r="AD7" s="768">
        <v>863375</v>
      </c>
      <c r="AE7" s="636">
        <f t="shared" si="20"/>
        <v>13.780000000000001</v>
      </c>
      <c r="AF7" s="768">
        <v>1010988</v>
      </c>
      <c r="AG7" s="636">
        <f t="shared" si="5"/>
        <v>12.72</v>
      </c>
      <c r="AH7" s="769">
        <v>445799</v>
      </c>
      <c r="AI7" s="636">
        <f t="shared" si="6"/>
        <v>136.21</v>
      </c>
      <c r="AJ7" s="769">
        <v>782467</v>
      </c>
      <c r="AK7" s="636">
        <f t="shared" si="7"/>
        <v>2065.4100000000003</v>
      </c>
      <c r="AL7" s="768">
        <v>581252</v>
      </c>
      <c r="AM7" s="636">
        <f t="shared" si="8"/>
        <v>124.55000000000001</v>
      </c>
      <c r="AN7" s="636">
        <f t="shared" si="21"/>
        <v>4499.7000000000007</v>
      </c>
      <c r="AO7" s="768">
        <v>8239349</v>
      </c>
      <c r="AP7" s="636">
        <f t="shared" si="22"/>
        <v>148.16249999999999</v>
      </c>
      <c r="AQ7" s="768">
        <v>762672</v>
      </c>
      <c r="AR7" s="636">
        <f t="shared" si="9"/>
        <v>195</v>
      </c>
      <c r="AS7" s="769">
        <v>23383</v>
      </c>
      <c r="AT7" s="636">
        <f t="shared" si="23"/>
        <v>130</v>
      </c>
      <c r="AU7" s="710">
        <v>828581</v>
      </c>
      <c r="AV7" s="636">
        <f t="shared" si="10"/>
        <v>44</v>
      </c>
      <c r="AW7" s="769">
        <v>2933631</v>
      </c>
      <c r="AX7" s="636">
        <f t="shared" si="11"/>
        <v>679</v>
      </c>
      <c r="AY7" s="768">
        <v>236003</v>
      </c>
      <c r="AZ7" s="636">
        <f t="shared" si="12"/>
        <v>635</v>
      </c>
      <c r="BA7" s="769">
        <v>21103140</v>
      </c>
      <c r="BB7" s="636">
        <f t="shared" si="13"/>
        <v>4742</v>
      </c>
      <c r="BC7" s="768">
        <v>653888</v>
      </c>
      <c r="BD7" s="636">
        <f t="shared" si="13"/>
        <v>177</v>
      </c>
      <c r="BE7" s="768">
        <v>47776</v>
      </c>
      <c r="BF7" s="636">
        <f t="shared" si="13"/>
        <v>39</v>
      </c>
      <c r="BG7" s="769">
        <v>26524381</v>
      </c>
      <c r="BH7" s="636">
        <f t="shared" si="24"/>
        <v>5478.75</v>
      </c>
      <c r="BI7" s="636">
        <f t="shared" si="25"/>
        <v>12267.9125</v>
      </c>
      <c r="BJ7" s="636">
        <f t="shared" si="26"/>
        <v>16767.612500000003</v>
      </c>
      <c r="BK7" s="769">
        <v>1509016</v>
      </c>
      <c r="BL7" s="636">
        <f t="shared" si="14"/>
        <v>289</v>
      </c>
      <c r="BM7" s="769">
        <v>4371831</v>
      </c>
      <c r="BN7" s="636">
        <f t="shared" si="15"/>
        <v>1048</v>
      </c>
      <c r="BO7" s="769">
        <v>457947</v>
      </c>
      <c r="BP7" s="636">
        <f t="shared" si="16"/>
        <v>117</v>
      </c>
      <c r="BQ7" s="768">
        <v>570827</v>
      </c>
      <c r="BR7" s="636">
        <f t="shared" si="17"/>
        <v>128</v>
      </c>
      <c r="BS7" s="692">
        <f t="shared" si="27"/>
        <v>24396.612500000003</v>
      </c>
      <c r="BT7" s="693">
        <v>128</v>
      </c>
      <c r="BU7" s="692">
        <f t="shared" si="28"/>
        <v>251.51146907216497</v>
      </c>
      <c r="BV7" s="693"/>
      <c r="BW7" s="692" t="e">
        <f t="shared" si="29"/>
        <v>#DIV/0!</v>
      </c>
      <c r="BX7" s="692">
        <f t="shared" ref="BX7:BX36" si="34">((BS7-Q7)*$BZ$1)+(Q7*$BR$1)</f>
        <v>28245.104375000003</v>
      </c>
      <c r="BY7" s="692">
        <f t="shared" si="30"/>
        <v>291.18664304123712</v>
      </c>
      <c r="BZ7" s="694" t="e">
        <f t="shared" ref="BZ7:BZ36" si="35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6">IF(+B8-B7&gt;0,B8-B7,(B8-B7)&gt;0)*800</f>
        <v>0</v>
      </c>
      <c r="D8" s="432"/>
      <c r="E8" s="432">
        <f t="shared" ref="E8:E29" si="37">IF(+D8-D7&gt;0,D8-D7,(D8-D7)&gt;0)*80</f>
        <v>0</v>
      </c>
      <c r="F8" s="432"/>
      <c r="G8" s="432">
        <f t="shared" ref="G8:G29" si="38">IF(+F8-F7&gt;0,F8-F7,(F8-F7)&gt;0)*10</f>
        <v>0</v>
      </c>
      <c r="H8" s="433">
        <v>57</v>
      </c>
      <c r="I8" s="769">
        <v>26012932</v>
      </c>
      <c r="J8" s="636">
        <f t="shared" si="18"/>
        <v>6942</v>
      </c>
      <c r="K8" s="636">
        <f t="shared" si="19"/>
        <v>4568</v>
      </c>
      <c r="L8" s="769">
        <v>412720</v>
      </c>
      <c r="M8" s="636">
        <f>IF(L8&gt;=L7,L8-L7,0)</f>
        <v>2366</v>
      </c>
      <c r="N8" s="769">
        <v>432696</v>
      </c>
      <c r="O8" s="636">
        <f t="shared" ref="O8:O27" si="39">IF(N8&gt;=N7,N8-N7,0)</f>
        <v>2202</v>
      </c>
      <c r="P8" s="769">
        <v>228237</v>
      </c>
      <c r="Q8" s="636">
        <f t="shared" si="31"/>
        <v>420</v>
      </c>
      <c r="R8" s="769">
        <v>235410</v>
      </c>
      <c r="S8" s="636">
        <f t="shared" si="32"/>
        <v>146</v>
      </c>
      <c r="T8" s="768">
        <v>429310</v>
      </c>
      <c r="U8" s="636">
        <f t="shared" si="1"/>
        <v>263</v>
      </c>
      <c r="V8" s="768">
        <v>906585</v>
      </c>
      <c r="W8" s="636">
        <f t="shared" si="2"/>
        <v>2217.52</v>
      </c>
      <c r="X8" s="769">
        <v>839916</v>
      </c>
      <c r="Y8" s="636">
        <f t="shared" si="3"/>
        <v>0</v>
      </c>
      <c r="Z8" s="768">
        <v>871793</v>
      </c>
      <c r="AA8" s="636">
        <f t="shared" si="4"/>
        <v>18.02</v>
      </c>
      <c r="AB8" s="768">
        <v>184962</v>
      </c>
      <c r="AC8" s="636">
        <f t="shared" si="33"/>
        <v>0</v>
      </c>
      <c r="AD8" s="768">
        <v>863399</v>
      </c>
      <c r="AE8" s="636">
        <f t="shared" si="20"/>
        <v>12.72</v>
      </c>
      <c r="AF8" s="768">
        <v>1011011</v>
      </c>
      <c r="AG8" s="636">
        <f t="shared" si="5"/>
        <v>12.190000000000001</v>
      </c>
      <c r="AH8" s="768">
        <v>446126</v>
      </c>
      <c r="AI8" s="636">
        <f t="shared" si="6"/>
        <v>173.31</v>
      </c>
      <c r="AJ8" s="768">
        <v>786228</v>
      </c>
      <c r="AK8" s="636">
        <f t="shared" si="7"/>
        <v>1993.3300000000002</v>
      </c>
      <c r="AL8" s="768">
        <v>581469</v>
      </c>
      <c r="AM8" s="636">
        <f t="shared" si="8"/>
        <v>115.01</v>
      </c>
      <c r="AN8" s="636">
        <f t="shared" si="21"/>
        <v>4542.1000000000004</v>
      </c>
      <c r="AO8" s="768">
        <v>8240653</v>
      </c>
      <c r="AP8" s="636">
        <f t="shared" si="22"/>
        <v>146.70000000000002</v>
      </c>
      <c r="AQ8" s="769">
        <v>762874</v>
      </c>
      <c r="AR8" s="636">
        <f t="shared" si="9"/>
        <v>202</v>
      </c>
      <c r="AS8" s="768">
        <v>23496</v>
      </c>
      <c r="AT8" s="636">
        <f t="shared" si="23"/>
        <v>113</v>
      </c>
      <c r="AU8" s="768">
        <v>828621</v>
      </c>
      <c r="AV8" s="636">
        <f>IF(AU8&gt;=AU7,AU8-AU7,0)</f>
        <v>40</v>
      </c>
      <c r="AW8" s="768">
        <v>2934274</v>
      </c>
      <c r="AX8" s="636">
        <f t="shared" si="11"/>
        <v>643</v>
      </c>
      <c r="AY8" s="768">
        <v>237043</v>
      </c>
      <c r="AZ8" s="636">
        <f t="shared" si="12"/>
        <v>1040</v>
      </c>
      <c r="BA8" s="768">
        <v>21107948</v>
      </c>
      <c r="BB8" s="636">
        <f t="shared" si="13"/>
        <v>4808</v>
      </c>
      <c r="BC8" s="768">
        <v>654087</v>
      </c>
      <c r="BD8" s="636">
        <f t="shared" si="13"/>
        <v>199</v>
      </c>
      <c r="BE8" s="768">
        <v>47816</v>
      </c>
      <c r="BF8" s="636">
        <f t="shared" si="13"/>
        <v>40</v>
      </c>
      <c r="BG8" s="769">
        <v>26530617</v>
      </c>
      <c r="BH8" s="636">
        <f t="shared" si="24"/>
        <v>5578</v>
      </c>
      <c r="BI8" s="636">
        <f t="shared" si="25"/>
        <v>12809.7</v>
      </c>
      <c r="BJ8" s="636">
        <f t="shared" si="26"/>
        <v>17351.800000000003</v>
      </c>
      <c r="BK8" s="769">
        <v>1509257</v>
      </c>
      <c r="BL8" s="636">
        <f t="shared" si="14"/>
        <v>241</v>
      </c>
      <c r="BM8" s="768">
        <v>4372833</v>
      </c>
      <c r="BN8" s="636">
        <f t="shared" si="15"/>
        <v>1002</v>
      </c>
      <c r="BO8" s="768">
        <v>458065</v>
      </c>
      <c r="BP8" s="636">
        <f t="shared" si="16"/>
        <v>118</v>
      </c>
      <c r="BQ8" s="768">
        <v>570981</v>
      </c>
      <c r="BR8" s="636">
        <f t="shared" si="17"/>
        <v>154</v>
      </c>
      <c r="BS8" s="692">
        <f t="shared" si="27"/>
        <v>24713.800000000003</v>
      </c>
      <c r="BT8" s="693">
        <v>130</v>
      </c>
      <c r="BU8" s="692">
        <f t="shared" si="28"/>
        <v>193.07656250000002</v>
      </c>
      <c r="BV8" s="693"/>
      <c r="BW8" s="692" t="e">
        <f t="shared" si="29"/>
        <v>#DIV/0!</v>
      </c>
      <c r="BX8" s="692">
        <f t="shared" si="34"/>
        <v>28609.870000000003</v>
      </c>
      <c r="BY8" s="692">
        <f t="shared" si="30"/>
        <v>223.51460937500002</v>
      </c>
      <c r="BZ8" s="694" t="e">
        <f t="shared" si="35"/>
        <v>#DIV/0!</v>
      </c>
    </row>
    <row r="9" spans="1:78" s="385" customFormat="1" ht="33.75" customHeight="1">
      <c r="A9" s="430">
        <v>4</v>
      </c>
      <c r="B9" s="431"/>
      <c r="C9" s="432">
        <f t="shared" si="36"/>
        <v>0</v>
      </c>
      <c r="D9" s="432"/>
      <c r="E9" s="432">
        <f t="shared" si="37"/>
        <v>0</v>
      </c>
      <c r="F9" s="432"/>
      <c r="G9" s="432">
        <f t="shared" si="38"/>
        <v>0</v>
      </c>
      <c r="H9" s="433"/>
      <c r="I9" s="769">
        <v>26019851</v>
      </c>
      <c r="J9" s="636">
        <f>IF(I9&gt;=I8,I9-I8,0)</f>
        <v>6919</v>
      </c>
      <c r="K9" s="636">
        <f t="shared" si="19"/>
        <v>4728</v>
      </c>
      <c r="L9" s="769">
        <v>415074</v>
      </c>
      <c r="M9" s="636">
        <f t="shared" ref="M9:M28" si="40">IF(L9&gt;=L8,L9-L8,0)</f>
        <v>2354</v>
      </c>
      <c r="N9" s="769">
        <v>435070</v>
      </c>
      <c r="O9" s="636">
        <f t="shared" si="39"/>
        <v>2374</v>
      </c>
      <c r="P9" s="769">
        <v>228249</v>
      </c>
      <c r="Q9" s="636">
        <f t="shared" si="31"/>
        <v>360</v>
      </c>
      <c r="R9" s="768">
        <v>235552</v>
      </c>
      <c r="S9" s="636">
        <f t="shared" si="32"/>
        <v>142</v>
      </c>
      <c r="T9" s="768">
        <v>429563</v>
      </c>
      <c r="U9" s="636">
        <f t="shared" si="1"/>
        <v>253</v>
      </c>
      <c r="V9" s="768">
        <v>910669</v>
      </c>
      <c r="W9" s="636">
        <f t="shared" si="2"/>
        <v>2164.52</v>
      </c>
      <c r="X9" s="769">
        <v>839916</v>
      </c>
      <c r="Y9" s="636">
        <f t="shared" si="3"/>
        <v>0</v>
      </c>
      <c r="Z9" s="768">
        <v>871793</v>
      </c>
      <c r="AA9" s="636">
        <f t="shared" si="4"/>
        <v>0</v>
      </c>
      <c r="AB9" s="768">
        <v>184962</v>
      </c>
      <c r="AC9" s="636">
        <f t="shared" si="33"/>
        <v>0</v>
      </c>
      <c r="AD9" s="768">
        <v>863424</v>
      </c>
      <c r="AE9" s="636">
        <f t="shared" si="20"/>
        <v>13.25</v>
      </c>
      <c r="AF9" s="768">
        <v>1011035</v>
      </c>
      <c r="AG9" s="636">
        <f t="shared" si="5"/>
        <v>12.72</v>
      </c>
      <c r="AH9" s="769">
        <v>446455</v>
      </c>
      <c r="AI9" s="636">
        <f t="shared" si="6"/>
        <v>174.37</v>
      </c>
      <c r="AJ9" s="769">
        <v>789983</v>
      </c>
      <c r="AK9" s="636">
        <f t="shared" si="7"/>
        <v>1990.15</v>
      </c>
      <c r="AL9" s="768">
        <v>581683</v>
      </c>
      <c r="AM9" s="636">
        <f t="shared" si="8"/>
        <v>113.42</v>
      </c>
      <c r="AN9" s="636">
        <f t="shared" si="21"/>
        <v>4468.43</v>
      </c>
      <c r="AO9" s="768">
        <v>8242035</v>
      </c>
      <c r="AP9" s="636">
        <f t="shared" si="22"/>
        <v>155.47499999999999</v>
      </c>
      <c r="AQ9" s="768">
        <v>763076</v>
      </c>
      <c r="AR9" s="636">
        <f t="shared" si="9"/>
        <v>202</v>
      </c>
      <c r="AS9" s="768">
        <v>23607</v>
      </c>
      <c r="AT9" s="636">
        <f t="shared" si="23"/>
        <v>111</v>
      </c>
      <c r="AU9" s="710">
        <v>828661</v>
      </c>
      <c r="AV9" s="636">
        <f>IF(AU9&gt;=AU8,AU9-AU8,0)</f>
        <v>40</v>
      </c>
      <c r="AW9" s="769">
        <v>2934896</v>
      </c>
      <c r="AX9" s="636">
        <f t="shared" si="11"/>
        <v>622</v>
      </c>
      <c r="AY9" s="768">
        <v>237653</v>
      </c>
      <c r="AZ9" s="636">
        <f t="shared" si="12"/>
        <v>610</v>
      </c>
      <c r="BA9" s="769">
        <v>21112801</v>
      </c>
      <c r="BB9" s="636">
        <f t="shared" si="13"/>
        <v>4853</v>
      </c>
      <c r="BC9" s="768">
        <v>654265</v>
      </c>
      <c r="BD9" s="636">
        <f t="shared" si="13"/>
        <v>178</v>
      </c>
      <c r="BE9" s="768">
        <v>47856</v>
      </c>
      <c r="BF9" s="636">
        <f t="shared" si="13"/>
        <v>40</v>
      </c>
      <c r="BG9" s="769">
        <v>26536642</v>
      </c>
      <c r="BH9" s="636">
        <f t="shared" si="24"/>
        <v>5359.95</v>
      </c>
      <c r="BI9" s="636">
        <f t="shared" si="25"/>
        <v>12171.424999999999</v>
      </c>
      <c r="BJ9" s="636">
        <f t="shared" si="26"/>
        <v>16639.855</v>
      </c>
      <c r="BK9" s="769">
        <v>1509345</v>
      </c>
      <c r="BL9" s="636">
        <f t="shared" si="14"/>
        <v>88</v>
      </c>
      <c r="BM9" s="769">
        <v>4373844</v>
      </c>
      <c r="BN9" s="636">
        <f t="shared" si="15"/>
        <v>1011</v>
      </c>
      <c r="BO9" s="769">
        <v>458183</v>
      </c>
      <c r="BP9" s="636">
        <f t="shared" si="16"/>
        <v>118</v>
      </c>
      <c r="BQ9" s="768">
        <v>571138</v>
      </c>
      <c r="BR9" s="636">
        <f t="shared" si="17"/>
        <v>157</v>
      </c>
      <c r="BS9" s="692">
        <f t="shared" si="27"/>
        <v>23918.855</v>
      </c>
      <c r="BT9" s="693">
        <v>236</v>
      </c>
      <c r="BU9" s="692">
        <f t="shared" si="28"/>
        <v>183.9911923076923</v>
      </c>
      <c r="BV9" s="693"/>
      <c r="BW9" s="692" t="e">
        <f t="shared" si="29"/>
        <v>#DIV/0!</v>
      </c>
      <c r="BX9" s="692">
        <f t="shared" si="34"/>
        <v>27668.683249999998</v>
      </c>
      <c r="BY9" s="692">
        <f t="shared" si="30"/>
        <v>212.83602499999998</v>
      </c>
      <c r="BZ9" s="694" t="e">
        <f t="shared" si="35"/>
        <v>#DIV/0!</v>
      </c>
    </row>
    <row r="10" spans="1:78" s="457" customFormat="1" ht="33.75" customHeight="1">
      <c r="A10" s="430">
        <v>5</v>
      </c>
      <c r="B10" s="455"/>
      <c r="C10" s="768">
        <f t="shared" si="36"/>
        <v>0</v>
      </c>
      <c r="D10" s="768"/>
      <c r="E10" s="768">
        <f t="shared" si="37"/>
        <v>0</v>
      </c>
      <c r="F10" s="768"/>
      <c r="G10" s="768">
        <f t="shared" si="38"/>
        <v>0</v>
      </c>
      <c r="H10" s="456">
        <v>58</v>
      </c>
      <c r="I10" s="769">
        <v>26026518</v>
      </c>
      <c r="J10" s="636">
        <f>IF(I10&gt;=I9,I10-I9,0)</f>
        <v>6667</v>
      </c>
      <c r="K10" s="636">
        <f t="shared" si="19"/>
        <v>4562.3333333330229</v>
      </c>
      <c r="L10" s="769">
        <v>417377</v>
      </c>
      <c r="M10" s="636">
        <f t="shared" si="40"/>
        <v>2303</v>
      </c>
      <c r="N10" s="769">
        <v>437329.33333333302</v>
      </c>
      <c r="O10" s="636">
        <f t="shared" si="39"/>
        <v>2259.3333333330229</v>
      </c>
      <c r="P10" s="769">
        <v>228262</v>
      </c>
      <c r="Q10" s="636">
        <f t="shared" si="31"/>
        <v>390</v>
      </c>
      <c r="R10" s="768">
        <v>235693</v>
      </c>
      <c r="S10" s="636">
        <f t="shared" si="32"/>
        <v>141</v>
      </c>
      <c r="T10" s="768">
        <v>429810</v>
      </c>
      <c r="U10" s="636">
        <f t="shared" si="1"/>
        <v>247</v>
      </c>
      <c r="V10" s="768">
        <v>914309</v>
      </c>
      <c r="W10" s="636">
        <f t="shared" si="2"/>
        <v>1929.2</v>
      </c>
      <c r="X10" s="769">
        <v>839916</v>
      </c>
      <c r="Y10" s="636">
        <f t="shared" si="3"/>
        <v>0</v>
      </c>
      <c r="Z10" s="768">
        <v>871793</v>
      </c>
      <c r="AA10" s="636">
        <f t="shared" si="4"/>
        <v>0</v>
      </c>
      <c r="AB10" s="768">
        <v>184962</v>
      </c>
      <c r="AC10" s="636">
        <f t="shared" si="33"/>
        <v>0</v>
      </c>
      <c r="AD10" s="768">
        <v>863447</v>
      </c>
      <c r="AE10" s="636">
        <f t="shared" si="20"/>
        <v>12.190000000000001</v>
      </c>
      <c r="AF10" s="768">
        <v>1011058.33333333</v>
      </c>
      <c r="AG10" s="636">
        <f t="shared" si="5"/>
        <v>12.366666664897931</v>
      </c>
      <c r="AH10" s="769">
        <v>446749</v>
      </c>
      <c r="AI10" s="636">
        <f t="shared" si="6"/>
        <v>155.82000000000002</v>
      </c>
      <c r="AJ10" s="769">
        <v>793536</v>
      </c>
      <c r="AK10" s="636">
        <f t="shared" si="7"/>
        <v>1883.0900000000001</v>
      </c>
      <c r="AL10" s="768">
        <v>581899</v>
      </c>
      <c r="AM10" s="636">
        <f t="shared" si="8"/>
        <v>114.48</v>
      </c>
      <c r="AN10" s="636">
        <f t="shared" si="21"/>
        <v>4107.1466666648976</v>
      </c>
      <c r="AO10" s="768">
        <v>8243366</v>
      </c>
      <c r="AP10" s="636">
        <f t="shared" si="22"/>
        <v>149.73750000000001</v>
      </c>
      <c r="AQ10" s="768">
        <v>763274</v>
      </c>
      <c r="AR10" s="636">
        <f t="shared" si="9"/>
        <v>198</v>
      </c>
      <c r="AS10" s="769">
        <v>23728</v>
      </c>
      <c r="AT10" s="636">
        <f t="shared" si="23"/>
        <v>121</v>
      </c>
      <c r="AU10" s="710">
        <v>828701</v>
      </c>
      <c r="AV10" s="636">
        <f>IF(AU10&gt;=AU9,AU10-AU9,0)</f>
        <v>40</v>
      </c>
      <c r="AW10" s="769">
        <v>2935551</v>
      </c>
      <c r="AX10" s="636">
        <f t="shared" si="11"/>
        <v>655</v>
      </c>
      <c r="AY10" s="769">
        <v>238252</v>
      </c>
      <c r="AZ10" s="636">
        <f t="shared" si="12"/>
        <v>599</v>
      </c>
      <c r="BA10" s="768">
        <v>21117407</v>
      </c>
      <c r="BB10" s="636">
        <f t="shared" si="13"/>
        <v>4606</v>
      </c>
      <c r="BC10" s="768">
        <v>654451</v>
      </c>
      <c r="BD10" s="636">
        <f t="shared" si="13"/>
        <v>186</v>
      </c>
      <c r="BE10" s="768">
        <v>47896</v>
      </c>
      <c r="BF10" s="636">
        <f t="shared" si="13"/>
        <v>40</v>
      </c>
      <c r="BG10" s="769">
        <v>26542420</v>
      </c>
      <c r="BH10" s="636">
        <f t="shared" si="24"/>
        <v>5121.25</v>
      </c>
      <c r="BI10" s="636">
        <f t="shared" si="25"/>
        <v>11715.987499999999</v>
      </c>
      <c r="BJ10" s="636">
        <f t="shared" si="26"/>
        <v>15823.134166664897</v>
      </c>
      <c r="BK10" s="769">
        <v>1509448</v>
      </c>
      <c r="BL10" s="636">
        <f t="shared" si="14"/>
        <v>103</v>
      </c>
      <c r="BM10" s="769">
        <v>4374852</v>
      </c>
      <c r="BN10" s="636">
        <f t="shared" si="15"/>
        <v>1008</v>
      </c>
      <c r="BO10" s="707">
        <v>458290</v>
      </c>
      <c r="BP10" s="636">
        <f t="shared" si="16"/>
        <v>107</v>
      </c>
      <c r="BQ10" s="768">
        <v>571293</v>
      </c>
      <c r="BR10" s="636">
        <f t="shared" si="17"/>
        <v>155</v>
      </c>
      <c r="BS10" s="692">
        <f t="shared" si="27"/>
        <v>22880.134166664895</v>
      </c>
      <c r="BT10" s="693">
        <v>237</v>
      </c>
      <c r="BU10" s="692">
        <f t="shared" si="28"/>
        <v>96.94972104519023</v>
      </c>
      <c r="BV10" s="693"/>
      <c r="BW10" s="692" t="e">
        <f t="shared" si="29"/>
        <v>#DIV/0!</v>
      </c>
      <c r="BX10" s="692">
        <f t="shared" si="34"/>
        <v>26487.654291664629</v>
      </c>
      <c r="BY10" s="692">
        <f t="shared" si="30"/>
        <v>112.23582326976538</v>
      </c>
      <c r="BZ10" s="694" t="e">
        <f t="shared" si="35"/>
        <v>#DIV/0!</v>
      </c>
    </row>
    <row r="11" spans="1:78" s="385" customFormat="1" ht="33.75" customHeight="1">
      <c r="A11" s="430">
        <v>6</v>
      </c>
      <c r="B11" s="431"/>
      <c r="C11" s="432">
        <f t="shared" si="36"/>
        <v>0</v>
      </c>
      <c r="D11" s="432"/>
      <c r="E11" s="432">
        <f t="shared" si="37"/>
        <v>0</v>
      </c>
      <c r="F11" s="432"/>
      <c r="G11" s="432">
        <f t="shared" si="38"/>
        <v>0</v>
      </c>
      <c r="H11" s="433"/>
      <c r="I11" s="769">
        <v>26033737</v>
      </c>
      <c r="J11" s="636">
        <f>IF(I11&gt;=I10,I11-I10,0)</f>
        <v>7219</v>
      </c>
      <c r="K11" s="636">
        <f t="shared" si="19"/>
        <v>4924</v>
      </c>
      <c r="L11" s="769">
        <v>420013</v>
      </c>
      <c r="M11" s="636">
        <f t="shared" si="40"/>
        <v>2636</v>
      </c>
      <c r="N11" s="769">
        <v>439617.33333333302</v>
      </c>
      <c r="O11" s="636">
        <f t="shared" si="39"/>
        <v>2288</v>
      </c>
      <c r="P11" s="769">
        <v>228277</v>
      </c>
      <c r="Q11" s="636">
        <f t="shared" si="31"/>
        <v>450</v>
      </c>
      <c r="R11" s="768">
        <v>235835</v>
      </c>
      <c r="S11" s="636">
        <f t="shared" si="32"/>
        <v>142</v>
      </c>
      <c r="T11" s="768">
        <v>430058</v>
      </c>
      <c r="U11" s="636">
        <f t="shared" si="1"/>
        <v>248</v>
      </c>
      <c r="V11" s="768">
        <v>916737</v>
      </c>
      <c r="W11" s="636">
        <f t="shared" si="2"/>
        <v>1286.8400000000001</v>
      </c>
      <c r="X11" s="769">
        <v>839916</v>
      </c>
      <c r="Y11" s="636">
        <f t="shared" si="3"/>
        <v>0</v>
      </c>
      <c r="Z11" s="768">
        <v>871835</v>
      </c>
      <c r="AA11" s="636">
        <f t="shared" si="4"/>
        <v>22.26</v>
      </c>
      <c r="AB11" s="768">
        <v>184962</v>
      </c>
      <c r="AC11" s="636">
        <f>IF(AB11&gt;=AB10,AB11-AB10,0)*0.53</f>
        <v>0</v>
      </c>
      <c r="AD11" s="768">
        <v>863473</v>
      </c>
      <c r="AE11" s="636">
        <f t="shared" si="20"/>
        <v>13.780000000000001</v>
      </c>
      <c r="AF11" s="768">
        <v>1011082</v>
      </c>
      <c r="AG11" s="636">
        <f t="shared" si="5"/>
        <v>12.543333335102071</v>
      </c>
      <c r="AH11" s="768">
        <v>447046</v>
      </c>
      <c r="AI11" s="636">
        <f t="shared" si="6"/>
        <v>157.41</v>
      </c>
      <c r="AJ11" s="768">
        <v>796888</v>
      </c>
      <c r="AK11" s="636">
        <f t="shared" si="7"/>
        <v>1776.5600000000002</v>
      </c>
      <c r="AL11" s="768">
        <v>582111</v>
      </c>
      <c r="AM11" s="636">
        <f t="shared" si="8"/>
        <v>112.36</v>
      </c>
      <c r="AN11" s="636">
        <f t="shared" si="21"/>
        <v>3381.7533333351025</v>
      </c>
      <c r="AO11" s="707">
        <v>8244579</v>
      </c>
      <c r="AP11" s="636">
        <f t="shared" si="22"/>
        <v>136.46250000000001</v>
      </c>
      <c r="AQ11" s="768">
        <v>763471</v>
      </c>
      <c r="AR11" s="636">
        <f t="shared" si="9"/>
        <v>197</v>
      </c>
      <c r="AS11" s="769">
        <v>23841</v>
      </c>
      <c r="AT11" s="636">
        <f t="shared" si="23"/>
        <v>113</v>
      </c>
      <c r="AU11" s="769">
        <v>828742</v>
      </c>
      <c r="AV11" s="636">
        <f t="shared" si="10"/>
        <v>41</v>
      </c>
      <c r="AW11" s="768">
        <v>2936270</v>
      </c>
      <c r="AX11" s="636">
        <f t="shared" si="11"/>
        <v>719</v>
      </c>
      <c r="AY11" s="769">
        <v>239198</v>
      </c>
      <c r="AZ11" s="636">
        <f t="shared" si="12"/>
        <v>946</v>
      </c>
      <c r="BA11" s="769">
        <v>21121777</v>
      </c>
      <c r="BB11" s="636">
        <f t="shared" si="13"/>
        <v>4370</v>
      </c>
      <c r="BC11" s="768">
        <v>654643</v>
      </c>
      <c r="BD11" s="636">
        <f t="shared" si="13"/>
        <v>192</v>
      </c>
      <c r="BE11" s="768">
        <v>47936</v>
      </c>
      <c r="BF11" s="636">
        <f t="shared" si="13"/>
        <v>40</v>
      </c>
      <c r="BG11" s="769">
        <v>26548144</v>
      </c>
      <c r="BH11" s="636">
        <f t="shared" si="24"/>
        <v>5079.75</v>
      </c>
      <c r="BI11" s="636">
        <f t="shared" si="25"/>
        <v>11834.2125</v>
      </c>
      <c r="BJ11" s="636">
        <f t="shared" si="26"/>
        <v>15215.965833335102</v>
      </c>
      <c r="BK11" s="769">
        <v>1509538</v>
      </c>
      <c r="BL11" s="636">
        <f t="shared" si="14"/>
        <v>90</v>
      </c>
      <c r="BM11" s="769">
        <v>4375830</v>
      </c>
      <c r="BN11" s="636">
        <f t="shared" si="15"/>
        <v>978</v>
      </c>
      <c r="BO11" s="768">
        <v>458397</v>
      </c>
      <c r="BP11" s="636">
        <f t="shared" si="16"/>
        <v>107</v>
      </c>
      <c r="BQ11" s="769">
        <v>571449</v>
      </c>
      <c r="BR11" s="636">
        <f t="shared" si="17"/>
        <v>156</v>
      </c>
      <c r="BS11" s="692">
        <f t="shared" si="27"/>
        <v>22884.965833335104</v>
      </c>
      <c r="BT11" s="693">
        <v>196</v>
      </c>
      <c r="BU11" s="692">
        <f t="shared" si="28"/>
        <v>96.561037271456129</v>
      </c>
      <c r="BV11" s="693"/>
      <c r="BW11" s="692" t="e">
        <f t="shared" si="29"/>
        <v>#DIV/0!</v>
      </c>
      <c r="BX11" s="692">
        <f t="shared" si="34"/>
        <v>26520.210708335366</v>
      </c>
      <c r="BY11" s="692">
        <f t="shared" si="30"/>
        <v>111.89962324192138</v>
      </c>
      <c r="BZ11" s="694" t="e">
        <f t="shared" si="35"/>
        <v>#DIV/0!</v>
      </c>
    </row>
    <row r="12" spans="1:78" s="385" customFormat="1" ht="33.75" customHeight="1">
      <c r="A12" s="430">
        <v>7</v>
      </c>
      <c r="B12" s="431"/>
      <c r="C12" s="432">
        <f t="shared" si="36"/>
        <v>0</v>
      </c>
      <c r="D12" s="432"/>
      <c r="E12" s="432">
        <f t="shared" si="37"/>
        <v>0</v>
      </c>
      <c r="F12" s="432"/>
      <c r="G12" s="432">
        <f t="shared" si="38"/>
        <v>0</v>
      </c>
      <c r="H12" s="433">
        <v>59</v>
      </c>
      <c r="I12" s="769">
        <v>26041103</v>
      </c>
      <c r="J12" s="636">
        <f>IF(I12&gt;=I11,I12-I11,0)</f>
        <v>7366</v>
      </c>
      <c r="K12" s="636">
        <f t="shared" si="19"/>
        <v>5085</v>
      </c>
      <c r="L12" s="769">
        <v>422810</v>
      </c>
      <c r="M12" s="636">
        <f t="shared" si="40"/>
        <v>2797</v>
      </c>
      <c r="N12" s="769">
        <v>441905.33333333302</v>
      </c>
      <c r="O12" s="636">
        <f t="shared" si="39"/>
        <v>2288</v>
      </c>
      <c r="P12" s="769">
        <v>228295</v>
      </c>
      <c r="Q12" s="636">
        <f t="shared" si="31"/>
        <v>540</v>
      </c>
      <c r="R12" s="768">
        <v>235981</v>
      </c>
      <c r="S12" s="636">
        <f t="shared" si="32"/>
        <v>146</v>
      </c>
      <c r="T12" s="768">
        <v>430314</v>
      </c>
      <c r="U12" s="636">
        <f t="shared" si="1"/>
        <v>256</v>
      </c>
      <c r="V12" s="768">
        <v>919343</v>
      </c>
      <c r="W12" s="636">
        <f t="shared" si="2"/>
        <v>1381.18</v>
      </c>
      <c r="X12" s="769">
        <v>839916</v>
      </c>
      <c r="Y12" s="636">
        <f t="shared" si="3"/>
        <v>0</v>
      </c>
      <c r="Z12" s="768">
        <v>871835</v>
      </c>
      <c r="AA12" s="636">
        <f t="shared" si="4"/>
        <v>0</v>
      </c>
      <c r="AB12" s="768">
        <v>184962</v>
      </c>
      <c r="AC12" s="636">
        <f t="shared" si="33"/>
        <v>0</v>
      </c>
      <c r="AD12" s="768">
        <v>863498</v>
      </c>
      <c r="AE12" s="636">
        <f t="shared" si="20"/>
        <v>13.25</v>
      </c>
      <c r="AF12" s="768">
        <v>1011106</v>
      </c>
      <c r="AG12" s="636">
        <f t="shared" si="5"/>
        <v>12.72</v>
      </c>
      <c r="AH12" s="768">
        <v>447286</v>
      </c>
      <c r="AI12" s="636">
        <f t="shared" si="6"/>
        <v>127.2</v>
      </c>
      <c r="AJ12" s="769">
        <v>800407</v>
      </c>
      <c r="AK12" s="636">
        <f t="shared" si="7"/>
        <v>1865.0700000000002</v>
      </c>
      <c r="AL12" s="768">
        <v>582334</v>
      </c>
      <c r="AM12" s="636">
        <f t="shared" si="8"/>
        <v>118.19000000000001</v>
      </c>
      <c r="AN12" s="636">
        <f t="shared" si="21"/>
        <v>3517.61</v>
      </c>
      <c r="AO12" s="768">
        <v>8245605</v>
      </c>
      <c r="AP12" s="636">
        <f t="shared" si="22"/>
        <v>115.425</v>
      </c>
      <c r="AQ12" s="769">
        <v>763671</v>
      </c>
      <c r="AR12" s="636">
        <f t="shared" si="9"/>
        <v>200</v>
      </c>
      <c r="AS12" s="769">
        <v>23971</v>
      </c>
      <c r="AT12" s="636">
        <f t="shared" si="23"/>
        <v>130</v>
      </c>
      <c r="AU12" s="809">
        <v>828784</v>
      </c>
      <c r="AV12" s="636">
        <f t="shared" si="10"/>
        <v>42</v>
      </c>
      <c r="AW12" s="769">
        <v>2937024</v>
      </c>
      <c r="AX12" s="636">
        <f t="shared" si="11"/>
        <v>754</v>
      </c>
      <c r="AY12" s="768">
        <v>239775</v>
      </c>
      <c r="AZ12" s="636">
        <f t="shared" si="12"/>
        <v>577</v>
      </c>
      <c r="BA12" s="769">
        <v>21126209</v>
      </c>
      <c r="BB12" s="636">
        <f t="shared" si="13"/>
        <v>4432</v>
      </c>
      <c r="BC12" s="768">
        <v>654869</v>
      </c>
      <c r="BD12" s="636">
        <f t="shared" si="13"/>
        <v>226</v>
      </c>
      <c r="BE12" s="768">
        <v>47976</v>
      </c>
      <c r="BF12" s="636">
        <f t="shared" si="13"/>
        <v>40</v>
      </c>
      <c r="BG12" s="769">
        <v>26554102</v>
      </c>
      <c r="BH12" s="636">
        <f t="shared" si="24"/>
        <v>5272.3499999999995</v>
      </c>
      <c r="BI12" s="636">
        <f t="shared" si="25"/>
        <v>11788.775</v>
      </c>
      <c r="BJ12" s="636">
        <f t="shared" si="26"/>
        <v>15306.385</v>
      </c>
      <c r="BK12" s="769">
        <v>1509623</v>
      </c>
      <c r="BL12" s="636">
        <f t="shared" si="14"/>
        <v>85</v>
      </c>
      <c r="BM12" s="769">
        <v>4376873</v>
      </c>
      <c r="BN12" s="636">
        <f t="shared" si="15"/>
        <v>1043</v>
      </c>
      <c r="BO12" s="769">
        <v>458511</v>
      </c>
      <c r="BP12" s="636">
        <f t="shared" si="16"/>
        <v>114</v>
      </c>
      <c r="BQ12" s="768">
        <v>571614</v>
      </c>
      <c r="BR12" s="636">
        <f t="shared" ref="BR12:BR36" si="41">IF(BQ12&gt;=BQ11,BQ12-BQ11,0)</f>
        <v>165</v>
      </c>
      <c r="BS12" s="692">
        <f t="shared" si="27"/>
        <v>23212.385000000002</v>
      </c>
      <c r="BT12" s="693">
        <v>163</v>
      </c>
      <c r="BU12" s="692">
        <f t="shared" si="28"/>
        <v>118.43053571428572</v>
      </c>
      <c r="BV12" s="693"/>
      <c r="BW12" s="692" t="e">
        <f t="shared" si="29"/>
        <v>#DIV/0!</v>
      </c>
      <c r="BX12" s="692">
        <f t="shared" si="34"/>
        <v>26937.242750000001</v>
      </c>
      <c r="BY12" s="692">
        <f t="shared" si="30"/>
        <v>137.43491198979592</v>
      </c>
      <c r="BZ12" s="694" t="e">
        <f t="shared" si="35"/>
        <v>#DIV/0!</v>
      </c>
    </row>
    <row r="13" spans="1:78" s="385" customFormat="1" ht="33.75" customHeight="1">
      <c r="A13" s="430">
        <v>8</v>
      </c>
      <c r="B13" s="431"/>
      <c r="C13" s="432">
        <f t="shared" si="36"/>
        <v>0</v>
      </c>
      <c r="D13" s="432"/>
      <c r="E13" s="432">
        <f t="shared" si="37"/>
        <v>0</v>
      </c>
      <c r="F13" s="432"/>
      <c r="G13" s="432">
        <f t="shared" si="38"/>
        <v>0</v>
      </c>
      <c r="H13" s="433"/>
      <c r="I13" s="769">
        <v>26048469</v>
      </c>
      <c r="J13" s="636">
        <f t="shared" si="18"/>
        <v>7366</v>
      </c>
      <c r="K13" s="636">
        <f t="shared" si="19"/>
        <v>5113</v>
      </c>
      <c r="L13" s="769">
        <v>425635</v>
      </c>
      <c r="M13" s="636">
        <f t="shared" si="40"/>
        <v>2825</v>
      </c>
      <c r="N13" s="769">
        <v>444193.33333333302</v>
      </c>
      <c r="O13" s="636">
        <f t="shared" si="39"/>
        <v>2288</v>
      </c>
      <c r="P13" s="769">
        <v>228310</v>
      </c>
      <c r="Q13" s="636">
        <f t="shared" si="31"/>
        <v>450</v>
      </c>
      <c r="R13" s="768">
        <v>236127</v>
      </c>
      <c r="S13" s="636">
        <f t="shared" si="32"/>
        <v>146</v>
      </c>
      <c r="T13" s="768">
        <v>430566</v>
      </c>
      <c r="U13" s="636">
        <f t="shared" si="1"/>
        <v>252</v>
      </c>
      <c r="V13" s="768">
        <v>921760</v>
      </c>
      <c r="W13" s="636">
        <f t="shared" si="2"/>
        <v>1281.01</v>
      </c>
      <c r="X13" s="769">
        <v>839916</v>
      </c>
      <c r="Y13" s="636">
        <f t="shared" si="3"/>
        <v>0</v>
      </c>
      <c r="Z13" s="768">
        <v>871835</v>
      </c>
      <c r="AA13" s="636">
        <f t="shared" si="4"/>
        <v>0</v>
      </c>
      <c r="AB13" s="768">
        <v>184962</v>
      </c>
      <c r="AC13" s="636">
        <f t="shared" si="33"/>
        <v>0</v>
      </c>
      <c r="AD13" s="768">
        <v>863524</v>
      </c>
      <c r="AE13" s="636">
        <f t="shared" si="20"/>
        <v>13.780000000000001</v>
      </c>
      <c r="AF13" s="768">
        <v>1011131</v>
      </c>
      <c r="AG13" s="636">
        <f t="shared" ref="AG13:AG36" si="42">IF(AF13&gt;=AF12,AF13-AF12,0)*0.53</f>
        <v>13.25</v>
      </c>
      <c r="AH13" s="769">
        <v>447509</v>
      </c>
      <c r="AI13" s="636">
        <f t="shared" si="6"/>
        <v>118.19000000000001</v>
      </c>
      <c r="AJ13" s="769">
        <v>803744</v>
      </c>
      <c r="AK13" s="636">
        <f t="shared" ref="AK13" si="43">IF(AJ13&gt;=AJ12,AJ13-AJ12,0)*0.53</f>
        <v>1768.6100000000001</v>
      </c>
      <c r="AL13" s="768">
        <v>582557</v>
      </c>
      <c r="AM13" s="636">
        <f t="shared" si="8"/>
        <v>118.19000000000001</v>
      </c>
      <c r="AN13" s="636">
        <f t="shared" si="21"/>
        <v>3313.03</v>
      </c>
      <c r="AO13" s="768">
        <v>8246130</v>
      </c>
      <c r="AP13" s="636">
        <f t="shared" si="22"/>
        <v>59.0625</v>
      </c>
      <c r="AQ13" s="768">
        <v>763878</v>
      </c>
      <c r="AR13" s="636">
        <f t="shared" si="9"/>
        <v>207</v>
      </c>
      <c r="AS13" s="769">
        <v>24070</v>
      </c>
      <c r="AT13" s="636">
        <f t="shared" si="23"/>
        <v>99</v>
      </c>
      <c r="AU13" s="769">
        <v>828825</v>
      </c>
      <c r="AV13" s="636">
        <f t="shared" si="10"/>
        <v>41</v>
      </c>
      <c r="AW13" s="769">
        <v>2937759</v>
      </c>
      <c r="AX13" s="636">
        <f t="shared" si="11"/>
        <v>735</v>
      </c>
      <c r="AY13" s="769">
        <v>240400</v>
      </c>
      <c r="AZ13" s="636">
        <f t="shared" si="12"/>
        <v>625</v>
      </c>
      <c r="BA13" s="769">
        <v>21130949</v>
      </c>
      <c r="BB13" s="636">
        <f t="shared" si="13"/>
        <v>4740</v>
      </c>
      <c r="BC13" s="768">
        <v>655056</v>
      </c>
      <c r="BD13" s="636">
        <f t="shared" si="13"/>
        <v>187</v>
      </c>
      <c r="BE13" s="768">
        <v>48016</v>
      </c>
      <c r="BF13" s="636">
        <f t="shared" si="13"/>
        <v>40</v>
      </c>
      <c r="BG13" s="769">
        <v>26560213</v>
      </c>
      <c r="BH13" s="636">
        <f t="shared" si="24"/>
        <v>5438.5</v>
      </c>
      <c r="BI13" s="636">
        <f t="shared" si="25"/>
        <v>12171.5625</v>
      </c>
      <c r="BJ13" s="636">
        <f t="shared" si="26"/>
        <v>15484.592500000001</v>
      </c>
      <c r="BK13" s="769">
        <v>1509920</v>
      </c>
      <c r="BL13" s="636">
        <f t="shared" si="14"/>
        <v>297</v>
      </c>
      <c r="BM13" s="769">
        <v>4377891</v>
      </c>
      <c r="BN13" s="636">
        <f t="shared" si="15"/>
        <v>1018</v>
      </c>
      <c r="BO13" s="769">
        <v>458623</v>
      </c>
      <c r="BP13" s="636">
        <f t="shared" si="16"/>
        <v>112</v>
      </c>
      <c r="BQ13" s="769">
        <v>571778</v>
      </c>
      <c r="BR13" s="636">
        <f t="shared" si="41"/>
        <v>164</v>
      </c>
      <c r="BS13" s="692">
        <f t="shared" si="27"/>
        <v>23300.592499999999</v>
      </c>
      <c r="BT13" s="693">
        <v>149</v>
      </c>
      <c r="BU13" s="692">
        <f t="shared" ref="BU13:BU19" si="44">IF(BS13&gt;0,BS13/BT12,0)</f>
        <v>142.94842024539878</v>
      </c>
      <c r="BV13" s="693"/>
      <c r="BW13" s="692" t="e">
        <f t="shared" si="29"/>
        <v>#DIV/0!</v>
      </c>
      <c r="BX13" s="692">
        <f t="shared" si="34"/>
        <v>26998.181374999996</v>
      </c>
      <c r="BY13" s="692">
        <f t="shared" si="30"/>
        <v>165.63301457055212</v>
      </c>
      <c r="BZ13" s="694" t="e">
        <f t="shared" si="35"/>
        <v>#DIV/0!</v>
      </c>
    </row>
    <row r="14" spans="1:78" s="385" customFormat="1" ht="33.75" customHeight="1">
      <c r="A14" s="430">
        <v>9</v>
      </c>
      <c r="B14" s="431"/>
      <c r="C14" s="432">
        <f t="shared" si="36"/>
        <v>0</v>
      </c>
      <c r="D14" s="432"/>
      <c r="E14" s="432">
        <f t="shared" si="37"/>
        <v>0</v>
      </c>
      <c r="F14" s="432"/>
      <c r="G14" s="432">
        <f t="shared" si="38"/>
        <v>0</v>
      </c>
      <c r="H14" s="433">
        <v>60</v>
      </c>
      <c r="I14" s="769">
        <v>26055788</v>
      </c>
      <c r="J14" s="636">
        <f t="shared" si="18"/>
        <v>7319</v>
      </c>
      <c r="K14" s="636">
        <f t="shared" si="19"/>
        <v>5084</v>
      </c>
      <c r="L14" s="769">
        <v>428431</v>
      </c>
      <c r="M14" s="636">
        <f t="shared" si="40"/>
        <v>2796</v>
      </c>
      <c r="N14" s="769">
        <v>446481.33333333302</v>
      </c>
      <c r="O14" s="636">
        <f t="shared" si="39"/>
        <v>2288</v>
      </c>
      <c r="P14" s="769">
        <v>228324</v>
      </c>
      <c r="Q14" s="636">
        <f t="shared" si="31"/>
        <v>420</v>
      </c>
      <c r="R14" s="768">
        <v>236268</v>
      </c>
      <c r="S14" s="636">
        <f t="shared" si="32"/>
        <v>141</v>
      </c>
      <c r="T14" s="768">
        <v>430818</v>
      </c>
      <c r="U14" s="636">
        <f t="shared" si="1"/>
        <v>252</v>
      </c>
      <c r="V14" s="768">
        <v>924301</v>
      </c>
      <c r="W14" s="636">
        <f t="shared" si="2"/>
        <v>1346.73</v>
      </c>
      <c r="X14" s="769">
        <v>839916</v>
      </c>
      <c r="Y14" s="636">
        <f t="shared" si="3"/>
        <v>0</v>
      </c>
      <c r="Z14" s="769">
        <v>871835</v>
      </c>
      <c r="AA14" s="636">
        <f t="shared" si="4"/>
        <v>0</v>
      </c>
      <c r="AB14" s="768">
        <v>184962</v>
      </c>
      <c r="AC14" s="636">
        <f t="shared" si="33"/>
        <v>0</v>
      </c>
      <c r="AD14" s="768">
        <v>863549</v>
      </c>
      <c r="AE14" s="636">
        <f t="shared" si="20"/>
        <v>13.25</v>
      </c>
      <c r="AF14" s="768">
        <v>1011155</v>
      </c>
      <c r="AG14" s="636">
        <f t="shared" si="42"/>
        <v>12.72</v>
      </c>
      <c r="AH14" s="768">
        <v>447736</v>
      </c>
      <c r="AI14" s="636">
        <f t="shared" si="6"/>
        <v>120.31</v>
      </c>
      <c r="AJ14" s="768">
        <v>807066</v>
      </c>
      <c r="AK14" s="636">
        <f t="shared" ref="AK14:AK36" si="45">IF(AJ14&gt;=AJ13,AJ14-AJ13,0)*0.53</f>
        <v>1760.66</v>
      </c>
      <c r="AL14" s="768">
        <v>582767</v>
      </c>
      <c r="AM14" s="636">
        <f t="shared" si="8"/>
        <v>111.30000000000001</v>
      </c>
      <c r="AN14" s="636">
        <f t="shared" si="21"/>
        <v>3364.9700000000003</v>
      </c>
      <c r="AO14" s="768">
        <v>8247203</v>
      </c>
      <c r="AP14" s="636">
        <f t="shared" si="22"/>
        <v>120.71250000000001</v>
      </c>
      <c r="AQ14" s="769">
        <v>764081</v>
      </c>
      <c r="AR14" s="636">
        <f t="shared" si="9"/>
        <v>203</v>
      </c>
      <c r="AS14" s="769">
        <v>24178</v>
      </c>
      <c r="AT14" s="636">
        <f t="shared" si="23"/>
        <v>108</v>
      </c>
      <c r="AU14" s="769">
        <v>828865</v>
      </c>
      <c r="AV14" s="636">
        <f t="shared" si="10"/>
        <v>40</v>
      </c>
      <c r="AW14" s="768">
        <v>2938499</v>
      </c>
      <c r="AX14" s="636">
        <f t="shared" si="11"/>
        <v>740</v>
      </c>
      <c r="AY14" s="769">
        <v>240982</v>
      </c>
      <c r="AZ14" s="636">
        <f t="shared" si="12"/>
        <v>582</v>
      </c>
      <c r="BA14" s="769">
        <v>21135495</v>
      </c>
      <c r="BB14" s="636">
        <f t="shared" si="13"/>
        <v>4546</v>
      </c>
      <c r="BC14" s="768">
        <v>655224</v>
      </c>
      <c r="BD14" s="636">
        <f t="shared" si="13"/>
        <v>168</v>
      </c>
      <c r="BE14" s="768">
        <v>48051</v>
      </c>
      <c r="BF14" s="636">
        <f t="shared" si="13"/>
        <v>35</v>
      </c>
      <c r="BG14" s="769">
        <v>26566079</v>
      </c>
      <c r="BH14" s="636">
        <f t="shared" si="24"/>
        <v>5260</v>
      </c>
      <c r="BI14" s="636">
        <f t="shared" si="25"/>
        <v>11802.7125</v>
      </c>
      <c r="BJ14" s="636">
        <f t="shared" si="26"/>
        <v>15167.682499999999</v>
      </c>
      <c r="BK14" s="769">
        <v>1510187</v>
      </c>
      <c r="BL14" s="636">
        <f t="shared" si="14"/>
        <v>267</v>
      </c>
      <c r="BM14" s="769">
        <v>4378863</v>
      </c>
      <c r="BN14" s="636">
        <f t="shared" si="15"/>
        <v>972</v>
      </c>
      <c r="BO14" s="769">
        <v>458731</v>
      </c>
      <c r="BP14" s="636">
        <f t="shared" si="16"/>
        <v>108</v>
      </c>
      <c r="BQ14" s="769">
        <v>571898</v>
      </c>
      <c r="BR14" s="636">
        <f t="shared" si="41"/>
        <v>120</v>
      </c>
      <c r="BS14" s="692">
        <f t="shared" si="27"/>
        <v>22906.682500000003</v>
      </c>
      <c r="BT14" s="693">
        <v>162</v>
      </c>
      <c r="BU14" s="692">
        <f t="shared" si="44"/>
        <v>153.73612416107383</v>
      </c>
      <c r="BV14" s="693"/>
      <c r="BW14" s="692" t="e">
        <f t="shared" si="29"/>
        <v>#DIV/0!</v>
      </c>
      <c r="BX14" s="692">
        <f t="shared" si="34"/>
        <v>26531.684875000003</v>
      </c>
      <c r="BY14" s="692">
        <f t="shared" si="30"/>
        <v>178.06499916107384</v>
      </c>
      <c r="BZ14" s="694" t="e">
        <f t="shared" si="35"/>
        <v>#DIV/0!</v>
      </c>
    </row>
    <row r="15" spans="1:78" s="385" customFormat="1" ht="33.75" customHeight="1">
      <c r="A15" s="430">
        <v>10</v>
      </c>
      <c r="B15" s="431"/>
      <c r="C15" s="432">
        <f t="shared" si="36"/>
        <v>0</v>
      </c>
      <c r="D15" s="432"/>
      <c r="E15" s="432">
        <f t="shared" si="37"/>
        <v>0</v>
      </c>
      <c r="F15" s="432"/>
      <c r="G15" s="432">
        <f t="shared" si="38"/>
        <v>0</v>
      </c>
      <c r="H15" s="433"/>
      <c r="I15" s="769">
        <v>26063320</v>
      </c>
      <c r="J15" s="636">
        <f t="shared" si="18"/>
        <v>7532</v>
      </c>
      <c r="K15" s="636">
        <f t="shared" si="19"/>
        <v>4924</v>
      </c>
      <c r="L15" s="769">
        <v>431067</v>
      </c>
      <c r="M15" s="636">
        <f t="shared" si="40"/>
        <v>2636</v>
      </c>
      <c r="N15" s="769">
        <v>448769.33333333302</v>
      </c>
      <c r="O15" s="636">
        <f t="shared" si="39"/>
        <v>2288</v>
      </c>
      <c r="P15" s="769">
        <v>228340</v>
      </c>
      <c r="Q15" s="636">
        <f t="shared" si="31"/>
        <v>480</v>
      </c>
      <c r="R15" s="768">
        <v>236413</v>
      </c>
      <c r="S15" s="636">
        <f t="shared" si="32"/>
        <v>145</v>
      </c>
      <c r="T15" s="768">
        <v>431080</v>
      </c>
      <c r="U15" s="636">
        <f t="shared" si="1"/>
        <v>262</v>
      </c>
      <c r="V15" s="768">
        <v>926812</v>
      </c>
      <c r="W15" s="636">
        <f t="shared" si="2"/>
        <v>1330.8300000000002</v>
      </c>
      <c r="X15" s="769">
        <v>839916</v>
      </c>
      <c r="Y15" s="636">
        <f t="shared" si="3"/>
        <v>0</v>
      </c>
      <c r="Z15" s="768">
        <v>871835</v>
      </c>
      <c r="AA15" s="636">
        <f t="shared" si="4"/>
        <v>0</v>
      </c>
      <c r="AB15" s="768">
        <v>184962</v>
      </c>
      <c r="AC15" s="636">
        <f t="shared" si="33"/>
        <v>0</v>
      </c>
      <c r="AD15" s="768">
        <v>863579</v>
      </c>
      <c r="AE15" s="636">
        <f t="shared" si="20"/>
        <v>15.9</v>
      </c>
      <c r="AF15" s="768">
        <v>1011178</v>
      </c>
      <c r="AG15" s="636">
        <f t="shared" si="42"/>
        <v>12.190000000000001</v>
      </c>
      <c r="AH15" s="768">
        <v>447973</v>
      </c>
      <c r="AI15" s="636">
        <f t="shared" si="6"/>
        <v>125.61</v>
      </c>
      <c r="AJ15" s="769">
        <v>809868</v>
      </c>
      <c r="AK15" s="636">
        <f t="shared" si="45"/>
        <v>1485.0600000000002</v>
      </c>
      <c r="AL15" s="768">
        <v>582975</v>
      </c>
      <c r="AM15" s="636">
        <f t="shared" si="8"/>
        <v>110.24000000000001</v>
      </c>
      <c r="AN15" s="636">
        <f t="shared" si="21"/>
        <v>3079.83</v>
      </c>
      <c r="AO15" s="768">
        <v>8248101</v>
      </c>
      <c r="AP15" s="636">
        <f t="shared" si="22"/>
        <v>101.02500000000001</v>
      </c>
      <c r="AQ15" s="769">
        <v>764255</v>
      </c>
      <c r="AR15" s="636">
        <f t="shared" si="9"/>
        <v>174</v>
      </c>
      <c r="AS15" s="769">
        <v>24318</v>
      </c>
      <c r="AT15" s="636">
        <f t="shared" si="23"/>
        <v>140</v>
      </c>
      <c r="AU15" s="710">
        <v>828905</v>
      </c>
      <c r="AV15" s="636">
        <f t="shared" si="10"/>
        <v>40</v>
      </c>
      <c r="AW15" s="769">
        <v>2939239</v>
      </c>
      <c r="AX15" s="636">
        <f t="shared" si="11"/>
        <v>740</v>
      </c>
      <c r="AY15" s="768">
        <v>240992</v>
      </c>
      <c r="AZ15" s="636">
        <f t="shared" si="12"/>
        <v>10</v>
      </c>
      <c r="BA15" s="769">
        <v>21140199</v>
      </c>
      <c r="BB15" s="636">
        <f t="shared" si="13"/>
        <v>4704</v>
      </c>
      <c r="BC15" s="768">
        <v>655400</v>
      </c>
      <c r="BD15" s="636">
        <f t="shared" si="13"/>
        <v>176</v>
      </c>
      <c r="BE15" s="768">
        <v>48086</v>
      </c>
      <c r="BF15" s="636">
        <f t="shared" si="13"/>
        <v>35</v>
      </c>
      <c r="BG15" s="769">
        <v>26572085</v>
      </c>
      <c r="BH15" s="636">
        <f t="shared" si="24"/>
        <v>5358.0499999999993</v>
      </c>
      <c r="BI15" s="636">
        <f t="shared" si="25"/>
        <v>11478.074999999999</v>
      </c>
      <c r="BJ15" s="636">
        <f t="shared" si="26"/>
        <v>14557.904999999999</v>
      </c>
      <c r="BK15" s="769">
        <v>1510464</v>
      </c>
      <c r="BL15" s="636">
        <f t="shared" si="14"/>
        <v>277</v>
      </c>
      <c r="BM15" s="769">
        <v>4379841</v>
      </c>
      <c r="BN15" s="636">
        <f t="shared" si="15"/>
        <v>978</v>
      </c>
      <c r="BO15" s="769">
        <v>458844</v>
      </c>
      <c r="BP15" s="636">
        <f t="shared" si="16"/>
        <v>113</v>
      </c>
      <c r="BQ15" s="768">
        <v>572055</v>
      </c>
      <c r="BR15" s="636">
        <f t="shared" si="41"/>
        <v>157</v>
      </c>
      <c r="BS15" s="692">
        <f t="shared" si="27"/>
        <v>22569.904999999999</v>
      </c>
      <c r="BT15" s="693">
        <v>176</v>
      </c>
      <c r="BU15" s="692">
        <f t="shared" si="44"/>
        <v>139.3204012345679</v>
      </c>
      <c r="BV15" s="693"/>
      <c r="BW15" s="692" t="e">
        <f t="shared" si="29"/>
        <v>#DIV/0!</v>
      </c>
      <c r="BX15" s="692">
        <f t="shared" si="34"/>
        <v>26171.390749999995</v>
      </c>
      <c r="BY15" s="692">
        <f t="shared" si="30"/>
        <v>161.5517947530864</v>
      </c>
      <c r="BZ15" s="694" t="e">
        <f t="shared" si="35"/>
        <v>#DIV/0!</v>
      </c>
    </row>
    <row r="16" spans="1:78" s="385" customFormat="1" ht="33.75" customHeight="1">
      <c r="A16" s="430">
        <v>11</v>
      </c>
      <c r="B16" s="431"/>
      <c r="C16" s="432">
        <f t="shared" si="36"/>
        <v>0</v>
      </c>
      <c r="D16" s="432"/>
      <c r="E16" s="432">
        <f t="shared" si="37"/>
        <v>0</v>
      </c>
      <c r="F16" s="432"/>
      <c r="G16" s="432">
        <f t="shared" si="38"/>
        <v>0</v>
      </c>
      <c r="H16" s="433">
        <v>61</v>
      </c>
      <c r="I16" s="769">
        <v>26070419</v>
      </c>
      <c r="J16" s="636">
        <f t="shared" si="18"/>
        <v>7099</v>
      </c>
      <c r="K16" s="636">
        <f t="shared" si="19"/>
        <v>4845</v>
      </c>
      <c r="L16" s="769">
        <v>433624</v>
      </c>
      <c r="M16" s="636">
        <f t="shared" si="40"/>
        <v>2557</v>
      </c>
      <c r="N16" s="769">
        <v>451057.33333333302</v>
      </c>
      <c r="O16" s="636">
        <f t="shared" si="39"/>
        <v>2288</v>
      </c>
      <c r="P16" s="769">
        <v>228354</v>
      </c>
      <c r="Q16" s="636">
        <f t="shared" si="31"/>
        <v>420</v>
      </c>
      <c r="R16" s="768">
        <v>236550</v>
      </c>
      <c r="S16" s="636">
        <f t="shared" si="32"/>
        <v>137</v>
      </c>
      <c r="T16" s="768">
        <v>431328</v>
      </c>
      <c r="U16" s="636">
        <f t="shared" si="1"/>
        <v>248</v>
      </c>
      <c r="V16" s="768">
        <v>929828</v>
      </c>
      <c r="W16" s="636">
        <f t="shared" si="2"/>
        <v>1598.48</v>
      </c>
      <c r="X16" s="769">
        <v>839916</v>
      </c>
      <c r="Y16" s="636">
        <f t="shared" si="3"/>
        <v>0</v>
      </c>
      <c r="Z16" s="769">
        <v>871835</v>
      </c>
      <c r="AA16" s="636">
        <f t="shared" si="4"/>
        <v>0</v>
      </c>
      <c r="AB16" s="768">
        <v>184962</v>
      </c>
      <c r="AC16" s="636">
        <f t="shared" si="33"/>
        <v>0</v>
      </c>
      <c r="AD16" s="768">
        <v>863598</v>
      </c>
      <c r="AE16" s="636">
        <f t="shared" si="20"/>
        <v>10.07</v>
      </c>
      <c r="AF16" s="768">
        <v>1011202</v>
      </c>
      <c r="AG16" s="636">
        <f t="shared" si="42"/>
        <v>12.72</v>
      </c>
      <c r="AH16" s="768">
        <v>448260</v>
      </c>
      <c r="AI16" s="636">
        <f t="shared" si="6"/>
        <v>152.11000000000001</v>
      </c>
      <c r="AJ16" s="768">
        <v>813241</v>
      </c>
      <c r="AK16" s="636">
        <f t="shared" si="45"/>
        <v>1787.69</v>
      </c>
      <c r="AL16" s="768">
        <v>583186</v>
      </c>
      <c r="AM16" s="636">
        <f t="shared" si="8"/>
        <v>111.83000000000001</v>
      </c>
      <c r="AN16" s="636">
        <f t="shared" si="21"/>
        <v>3672.9</v>
      </c>
      <c r="AO16" s="768">
        <v>8249117</v>
      </c>
      <c r="AP16" s="636">
        <f t="shared" si="22"/>
        <v>114.3</v>
      </c>
      <c r="AQ16" s="768">
        <v>764442</v>
      </c>
      <c r="AR16" s="636">
        <f t="shared" si="9"/>
        <v>187</v>
      </c>
      <c r="AS16" s="769">
        <v>24450</v>
      </c>
      <c r="AT16" s="636">
        <f t="shared" si="23"/>
        <v>132</v>
      </c>
      <c r="AU16" s="768">
        <v>828946</v>
      </c>
      <c r="AV16" s="636">
        <f t="shared" si="10"/>
        <v>41</v>
      </c>
      <c r="AW16" s="768">
        <v>2939983</v>
      </c>
      <c r="AX16" s="636">
        <f t="shared" si="11"/>
        <v>744</v>
      </c>
      <c r="AY16" s="768">
        <v>241002</v>
      </c>
      <c r="AZ16" s="636">
        <f t="shared" si="12"/>
        <v>10</v>
      </c>
      <c r="BA16" s="768">
        <v>21144793</v>
      </c>
      <c r="BB16" s="636">
        <f t="shared" si="13"/>
        <v>4594</v>
      </c>
      <c r="BC16" s="768">
        <v>655593</v>
      </c>
      <c r="BD16" s="636">
        <f t="shared" si="13"/>
        <v>193</v>
      </c>
      <c r="BE16" s="768">
        <v>48126</v>
      </c>
      <c r="BF16" s="636">
        <f t="shared" si="13"/>
        <v>40</v>
      </c>
      <c r="BG16" s="769">
        <v>26578049</v>
      </c>
      <c r="BH16" s="636">
        <f t="shared" si="24"/>
        <v>5336.8</v>
      </c>
      <c r="BI16" s="636">
        <f t="shared" si="25"/>
        <v>11392.1</v>
      </c>
      <c r="BJ16" s="636">
        <f t="shared" si="26"/>
        <v>15065</v>
      </c>
      <c r="BK16" s="769">
        <v>1510733</v>
      </c>
      <c r="BL16" s="636">
        <f t="shared" si="14"/>
        <v>269</v>
      </c>
      <c r="BM16" s="769">
        <v>4380788</v>
      </c>
      <c r="BN16" s="636">
        <f t="shared" si="15"/>
        <v>947</v>
      </c>
      <c r="BO16" s="768">
        <v>458953</v>
      </c>
      <c r="BP16" s="636">
        <f t="shared" si="16"/>
        <v>109</v>
      </c>
      <c r="BQ16" s="768">
        <v>572207</v>
      </c>
      <c r="BR16" s="636">
        <f t="shared" si="41"/>
        <v>152</v>
      </c>
      <c r="BS16" s="692">
        <f t="shared" si="27"/>
        <v>22584</v>
      </c>
      <c r="BT16" s="693">
        <v>234</v>
      </c>
      <c r="BU16" s="692">
        <f t="shared" si="44"/>
        <v>128.31818181818181</v>
      </c>
      <c r="BV16" s="693"/>
      <c r="BW16" s="692" t="e">
        <f t="shared" si="29"/>
        <v>#DIV/0!</v>
      </c>
      <c r="BX16" s="692">
        <f t="shared" si="34"/>
        <v>26160.6</v>
      </c>
      <c r="BY16" s="692">
        <f>IF(BX16&gt;0,BX16/BT15,0)</f>
        <v>148.63977272727271</v>
      </c>
      <c r="BZ16" s="694" t="e">
        <f t="shared" si="35"/>
        <v>#DIV/0!</v>
      </c>
    </row>
    <row r="17" spans="1:78" s="385" customFormat="1" ht="33.75" customHeight="1">
      <c r="A17" s="430">
        <v>12</v>
      </c>
      <c r="B17" s="431"/>
      <c r="C17" s="432">
        <f t="shared" si="36"/>
        <v>0</v>
      </c>
      <c r="D17" s="432"/>
      <c r="E17" s="432">
        <f t="shared" si="37"/>
        <v>0</v>
      </c>
      <c r="F17" s="432"/>
      <c r="G17" s="432">
        <f t="shared" si="38"/>
        <v>0</v>
      </c>
      <c r="H17" s="433"/>
      <c r="I17" s="769">
        <v>26079439</v>
      </c>
      <c r="J17" s="636">
        <f>IF(I17&gt;=I16,I17-I16,0)</f>
        <v>9020</v>
      </c>
      <c r="K17" s="636">
        <f t="shared" si="19"/>
        <v>4796</v>
      </c>
      <c r="L17" s="769">
        <v>436132</v>
      </c>
      <c r="M17" s="636">
        <f t="shared" si="40"/>
        <v>2508</v>
      </c>
      <c r="N17" s="769">
        <v>453345.33333333302</v>
      </c>
      <c r="O17" s="636">
        <f t="shared" si="39"/>
        <v>2288</v>
      </c>
      <c r="P17" s="769">
        <v>228369</v>
      </c>
      <c r="Q17" s="636">
        <f t="shared" si="31"/>
        <v>450</v>
      </c>
      <c r="R17" s="768">
        <v>236705</v>
      </c>
      <c r="S17" s="636">
        <f t="shared" si="32"/>
        <v>155</v>
      </c>
      <c r="T17" s="768">
        <v>431596</v>
      </c>
      <c r="U17" s="636">
        <f t="shared" si="1"/>
        <v>268</v>
      </c>
      <c r="V17" s="768">
        <v>932736</v>
      </c>
      <c r="W17" s="636">
        <f t="shared" si="2"/>
        <v>1541.24</v>
      </c>
      <c r="X17" s="769">
        <v>839916</v>
      </c>
      <c r="Y17" s="636">
        <f t="shared" si="3"/>
        <v>0</v>
      </c>
      <c r="Z17" s="772">
        <v>871835</v>
      </c>
      <c r="AA17" s="636">
        <f t="shared" si="4"/>
        <v>0</v>
      </c>
      <c r="AB17" s="768">
        <v>184962</v>
      </c>
      <c r="AC17" s="636">
        <f t="shared" si="33"/>
        <v>0</v>
      </c>
      <c r="AD17" s="768">
        <v>863624</v>
      </c>
      <c r="AE17" s="636">
        <f t="shared" si="20"/>
        <v>13.780000000000001</v>
      </c>
      <c r="AF17" s="768">
        <v>1011226</v>
      </c>
      <c r="AG17" s="636">
        <f t="shared" si="42"/>
        <v>12.72</v>
      </c>
      <c r="AH17" s="768">
        <v>448556</v>
      </c>
      <c r="AI17" s="636">
        <f t="shared" si="6"/>
        <v>156.88</v>
      </c>
      <c r="AJ17" s="768">
        <v>816762</v>
      </c>
      <c r="AK17" s="636">
        <f t="shared" si="45"/>
        <v>1866.13</v>
      </c>
      <c r="AL17" s="768">
        <v>583405</v>
      </c>
      <c r="AM17" s="636">
        <f t="shared" si="8"/>
        <v>116.07000000000001</v>
      </c>
      <c r="AN17" s="636">
        <f t="shared" si="21"/>
        <v>3706.82</v>
      </c>
      <c r="AO17" s="707">
        <v>8249636</v>
      </c>
      <c r="AP17" s="636">
        <f t="shared" si="22"/>
        <v>58.387500000000003</v>
      </c>
      <c r="AQ17" s="768">
        <v>764649</v>
      </c>
      <c r="AR17" s="636">
        <f t="shared" si="9"/>
        <v>207</v>
      </c>
      <c r="AS17" s="769">
        <v>24581</v>
      </c>
      <c r="AT17" s="636">
        <f t="shared" si="23"/>
        <v>131</v>
      </c>
      <c r="AU17" s="768">
        <v>828988</v>
      </c>
      <c r="AV17" s="636">
        <f t="shared" si="10"/>
        <v>42</v>
      </c>
      <c r="AW17" s="768">
        <v>2940737</v>
      </c>
      <c r="AX17" s="636">
        <f t="shared" si="11"/>
        <v>754</v>
      </c>
      <c r="AY17" s="768">
        <v>241013</v>
      </c>
      <c r="AZ17" s="636">
        <f t="shared" si="12"/>
        <v>11</v>
      </c>
      <c r="BA17" s="768">
        <v>21149640</v>
      </c>
      <c r="BB17" s="636">
        <f t="shared" si="13"/>
        <v>4847</v>
      </c>
      <c r="BC17" s="768">
        <v>655845</v>
      </c>
      <c r="BD17" s="636">
        <f t="shared" si="13"/>
        <v>252</v>
      </c>
      <c r="BE17" s="768">
        <v>48166</v>
      </c>
      <c r="BF17" s="636">
        <f t="shared" si="13"/>
        <v>40</v>
      </c>
      <c r="BG17" s="769">
        <v>26584458</v>
      </c>
      <c r="BH17" s="636">
        <f t="shared" si="24"/>
        <v>5740.1500000000005</v>
      </c>
      <c r="BI17" s="636">
        <f t="shared" si="25"/>
        <v>12082.5375</v>
      </c>
      <c r="BJ17" s="636">
        <f t="shared" si="26"/>
        <v>15789.3575</v>
      </c>
      <c r="BK17" s="769">
        <v>1510942</v>
      </c>
      <c r="BL17" s="636">
        <f t="shared" si="14"/>
        <v>209</v>
      </c>
      <c r="BM17" s="768">
        <v>4381784</v>
      </c>
      <c r="BN17" s="636">
        <f t="shared" si="15"/>
        <v>996</v>
      </c>
      <c r="BO17" s="707">
        <v>459070</v>
      </c>
      <c r="BP17" s="636">
        <f t="shared" si="16"/>
        <v>117</v>
      </c>
      <c r="BQ17" s="768">
        <v>572375</v>
      </c>
      <c r="BR17" s="636">
        <f t="shared" si="41"/>
        <v>168</v>
      </c>
      <c r="BS17" s="692">
        <f t="shared" si="27"/>
        <v>25259.357499999998</v>
      </c>
      <c r="BT17" s="693">
        <v>240</v>
      </c>
      <c r="BU17" s="692">
        <f t="shared" si="44"/>
        <v>107.94597222222221</v>
      </c>
      <c r="BV17" s="693"/>
      <c r="BW17" s="692" t="e">
        <f t="shared" si="29"/>
        <v>#DIV/0!</v>
      </c>
      <c r="BX17" s="692">
        <f t="shared" si="34"/>
        <v>29250.761124999997</v>
      </c>
      <c r="BY17" s="692">
        <f>IF(BX17&gt;0,BX17/BT16,0)</f>
        <v>125.00325267094016</v>
      </c>
      <c r="BZ17" s="694" t="e">
        <f t="shared" si="35"/>
        <v>#DIV/0!</v>
      </c>
    </row>
    <row r="18" spans="1:78" s="385" customFormat="1" ht="33.75" customHeight="1">
      <c r="A18" s="430">
        <v>13</v>
      </c>
      <c r="B18" s="431"/>
      <c r="C18" s="432">
        <f t="shared" si="36"/>
        <v>0</v>
      </c>
      <c r="D18" s="432"/>
      <c r="E18" s="432">
        <f t="shared" si="37"/>
        <v>0</v>
      </c>
      <c r="F18" s="432"/>
      <c r="G18" s="432">
        <f t="shared" si="38"/>
        <v>0</v>
      </c>
      <c r="H18" s="433">
        <v>62</v>
      </c>
      <c r="I18" s="769">
        <v>26084996</v>
      </c>
      <c r="J18" s="636">
        <f t="shared" si="18"/>
        <v>5557</v>
      </c>
      <c r="K18" s="636">
        <f t="shared" si="19"/>
        <v>2502</v>
      </c>
      <c r="L18" s="769">
        <v>438634</v>
      </c>
      <c r="M18" s="636">
        <f t="shared" si="40"/>
        <v>2502</v>
      </c>
      <c r="N18" s="769">
        <v>436613</v>
      </c>
      <c r="O18" s="636">
        <f t="shared" si="39"/>
        <v>0</v>
      </c>
      <c r="P18" s="769">
        <v>228388</v>
      </c>
      <c r="Q18" s="636">
        <f t="shared" si="31"/>
        <v>570</v>
      </c>
      <c r="R18" s="768">
        <v>236843</v>
      </c>
      <c r="S18" s="636">
        <f t="shared" si="32"/>
        <v>138</v>
      </c>
      <c r="T18" s="768">
        <v>431833</v>
      </c>
      <c r="U18" s="636">
        <f t="shared" si="1"/>
        <v>237</v>
      </c>
      <c r="V18" s="768">
        <v>935595</v>
      </c>
      <c r="W18" s="636">
        <f t="shared" si="2"/>
        <v>1515.27</v>
      </c>
      <c r="X18" s="769">
        <v>839916</v>
      </c>
      <c r="Y18" s="636">
        <f t="shared" si="3"/>
        <v>0</v>
      </c>
      <c r="Z18" s="768">
        <v>871835</v>
      </c>
      <c r="AA18" s="636">
        <f t="shared" si="4"/>
        <v>0</v>
      </c>
      <c r="AB18" s="768">
        <v>184962</v>
      </c>
      <c r="AC18" s="636">
        <f t="shared" si="33"/>
        <v>0</v>
      </c>
      <c r="AD18" s="768">
        <v>863650</v>
      </c>
      <c r="AE18" s="636">
        <f t="shared" si="20"/>
        <v>13.780000000000001</v>
      </c>
      <c r="AF18" s="768">
        <v>1011250</v>
      </c>
      <c r="AG18" s="636">
        <f t="shared" si="42"/>
        <v>12.72</v>
      </c>
      <c r="AH18" s="768">
        <v>448850</v>
      </c>
      <c r="AI18" s="636">
        <f t="shared" si="6"/>
        <v>155.82000000000002</v>
      </c>
      <c r="AJ18" s="768">
        <v>820516</v>
      </c>
      <c r="AK18" s="636">
        <f t="shared" si="45"/>
        <v>1989.6200000000001</v>
      </c>
      <c r="AL18" s="768">
        <v>583613</v>
      </c>
      <c r="AM18" s="636">
        <f t="shared" si="8"/>
        <v>110.24000000000001</v>
      </c>
      <c r="AN18" s="636">
        <f t="shared" si="21"/>
        <v>3797.45</v>
      </c>
      <c r="AO18" s="768">
        <v>8250487</v>
      </c>
      <c r="AP18" s="636">
        <f t="shared" si="22"/>
        <v>95.737499999999997</v>
      </c>
      <c r="AQ18" s="769">
        <v>764835</v>
      </c>
      <c r="AR18" s="636">
        <f t="shared" si="9"/>
        <v>186</v>
      </c>
      <c r="AS18" s="769">
        <v>24724</v>
      </c>
      <c r="AT18" s="636">
        <f t="shared" si="23"/>
        <v>143</v>
      </c>
      <c r="AU18" s="769">
        <v>829028</v>
      </c>
      <c r="AV18" s="636">
        <f t="shared" si="10"/>
        <v>40</v>
      </c>
      <c r="AW18" s="769">
        <v>2941422</v>
      </c>
      <c r="AX18" s="636">
        <f t="shared" si="11"/>
        <v>685</v>
      </c>
      <c r="AY18" s="768">
        <v>241023</v>
      </c>
      <c r="AZ18" s="636">
        <f t="shared" si="12"/>
        <v>10</v>
      </c>
      <c r="BA18" s="768">
        <v>21154504</v>
      </c>
      <c r="BB18" s="636">
        <f t="shared" si="13"/>
        <v>4864</v>
      </c>
      <c r="BC18" s="768">
        <v>656113</v>
      </c>
      <c r="BD18" s="636">
        <f t="shared" si="13"/>
        <v>268</v>
      </c>
      <c r="BE18" s="768">
        <v>48240</v>
      </c>
      <c r="BF18" s="636">
        <f t="shared" si="13"/>
        <v>74</v>
      </c>
      <c r="BG18" s="769">
        <v>26590481</v>
      </c>
      <c r="BH18" s="636">
        <f t="shared" si="24"/>
        <v>5377.3499999999995</v>
      </c>
      <c r="BI18" s="636">
        <f t="shared" si="25"/>
        <v>11743.0875</v>
      </c>
      <c r="BJ18" s="636">
        <f t="shared" si="26"/>
        <v>15540.537499999999</v>
      </c>
      <c r="BK18" s="769">
        <v>1511139</v>
      </c>
      <c r="BL18" s="636">
        <f t="shared" si="14"/>
        <v>197</v>
      </c>
      <c r="BM18" s="768">
        <v>4382753</v>
      </c>
      <c r="BN18" s="636">
        <f t="shared" si="15"/>
        <v>969</v>
      </c>
      <c r="BO18" s="768">
        <v>459178</v>
      </c>
      <c r="BP18" s="636">
        <f t="shared" si="16"/>
        <v>108</v>
      </c>
      <c r="BQ18" s="768">
        <v>572536</v>
      </c>
      <c r="BR18" s="636">
        <f t="shared" si="41"/>
        <v>161</v>
      </c>
      <c r="BS18" s="692">
        <f t="shared" si="27"/>
        <v>21667.537499999999</v>
      </c>
      <c r="BT18" s="693">
        <v>246</v>
      </c>
      <c r="BU18" s="692">
        <f t="shared" si="44"/>
        <v>90.281406249999989</v>
      </c>
      <c r="BV18" s="693"/>
      <c r="BW18" s="692" t="e">
        <f t="shared" si="29"/>
        <v>#DIV/0!</v>
      </c>
      <c r="BX18" s="692">
        <f t="shared" si="34"/>
        <v>25174.168124999997</v>
      </c>
      <c r="BY18" s="692">
        <f>IF(BX18&gt;0,BX18/BT17,0)</f>
        <v>104.89236718749999</v>
      </c>
      <c r="BZ18" s="694" t="e">
        <f t="shared" si="35"/>
        <v>#DIV/0!</v>
      </c>
    </row>
    <row r="19" spans="1:78" s="385" customFormat="1" ht="33.75" customHeight="1">
      <c r="A19" s="430">
        <v>14</v>
      </c>
      <c r="B19" s="431"/>
      <c r="C19" s="432">
        <f t="shared" si="36"/>
        <v>0</v>
      </c>
      <c r="D19" s="432"/>
      <c r="E19" s="432">
        <f t="shared" si="37"/>
        <v>0</v>
      </c>
      <c r="F19" s="432"/>
      <c r="G19" s="432">
        <f t="shared" si="38"/>
        <v>0</v>
      </c>
      <c r="H19" s="433"/>
      <c r="I19" s="769">
        <v>26092740</v>
      </c>
      <c r="J19" s="636">
        <f t="shared" si="18"/>
        <v>7744</v>
      </c>
      <c r="K19" s="636">
        <f t="shared" si="19"/>
        <v>4326</v>
      </c>
      <c r="L19" s="769">
        <v>441232</v>
      </c>
      <c r="M19" s="636">
        <f t="shared" si="40"/>
        <v>2598</v>
      </c>
      <c r="N19" s="769">
        <v>438341</v>
      </c>
      <c r="O19" s="636">
        <f t="shared" si="39"/>
        <v>1728</v>
      </c>
      <c r="P19" s="769">
        <v>228406</v>
      </c>
      <c r="Q19" s="636">
        <f t="shared" ref="Q19:Q35" si="46">IF(P19&gt;=P18,P19-P18,0)*30</f>
        <v>540</v>
      </c>
      <c r="R19" s="768">
        <v>236987</v>
      </c>
      <c r="S19" s="636">
        <f t="shared" si="32"/>
        <v>144</v>
      </c>
      <c r="T19" s="768">
        <v>432084</v>
      </c>
      <c r="U19" s="636">
        <f t="shared" si="1"/>
        <v>251</v>
      </c>
      <c r="V19" s="768">
        <v>938453</v>
      </c>
      <c r="W19" s="636">
        <f t="shared" si="2"/>
        <v>1514.74</v>
      </c>
      <c r="X19" s="769">
        <v>839916</v>
      </c>
      <c r="Y19" s="636">
        <f t="shared" si="3"/>
        <v>0</v>
      </c>
      <c r="Z19" s="768">
        <v>871835</v>
      </c>
      <c r="AA19" s="636">
        <f t="shared" si="4"/>
        <v>0</v>
      </c>
      <c r="AB19" s="768">
        <v>184462</v>
      </c>
      <c r="AC19" s="636">
        <f t="shared" si="33"/>
        <v>0</v>
      </c>
      <c r="AD19" s="768">
        <v>863679</v>
      </c>
      <c r="AE19" s="636">
        <f t="shared" si="20"/>
        <v>15.370000000000001</v>
      </c>
      <c r="AF19" s="768">
        <v>1011277</v>
      </c>
      <c r="AG19" s="636">
        <f t="shared" si="42"/>
        <v>14.31</v>
      </c>
      <c r="AH19" s="769">
        <v>449139</v>
      </c>
      <c r="AI19" s="636">
        <f t="shared" si="6"/>
        <v>153.17000000000002</v>
      </c>
      <c r="AJ19" s="769">
        <v>824228</v>
      </c>
      <c r="AK19" s="636">
        <f t="shared" si="45"/>
        <v>1967.3600000000001</v>
      </c>
      <c r="AL19" s="768">
        <v>583834</v>
      </c>
      <c r="AM19" s="636">
        <f t="shared" si="8"/>
        <v>117.13000000000001</v>
      </c>
      <c r="AN19" s="636">
        <f t="shared" si="21"/>
        <v>3782.08</v>
      </c>
      <c r="AO19" s="768">
        <v>8250897</v>
      </c>
      <c r="AP19" s="636">
        <f t="shared" si="22"/>
        <v>46.125</v>
      </c>
      <c r="AQ19" s="768">
        <v>765028</v>
      </c>
      <c r="AR19" s="636">
        <f t="shared" si="9"/>
        <v>193</v>
      </c>
      <c r="AS19" s="769">
        <v>24845</v>
      </c>
      <c r="AT19" s="636">
        <f t="shared" si="23"/>
        <v>121</v>
      </c>
      <c r="AU19" s="768">
        <v>829069</v>
      </c>
      <c r="AV19" s="636">
        <f t="shared" si="10"/>
        <v>41</v>
      </c>
      <c r="AW19" s="769">
        <v>2942094</v>
      </c>
      <c r="AX19" s="636">
        <f t="shared" si="11"/>
        <v>672</v>
      </c>
      <c r="AY19" s="768">
        <v>241033</v>
      </c>
      <c r="AZ19" s="636">
        <f t="shared" ref="AZ19:AZ36" si="47">IF(AY19&gt;=AY18,AY19-AY18,0)</f>
        <v>10</v>
      </c>
      <c r="BA19" s="769">
        <v>21158900</v>
      </c>
      <c r="BB19" s="636">
        <f t="shared" si="13"/>
        <v>4396</v>
      </c>
      <c r="BC19" s="768">
        <v>656356</v>
      </c>
      <c r="BD19" s="636">
        <f t="shared" si="13"/>
        <v>243</v>
      </c>
      <c r="BE19" s="768">
        <v>48348</v>
      </c>
      <c r="BF19" s="636">
        <f t="shared" si="13"/>
        <v>108</v>
      </c>
      <c r="BG19" s="769">
        <v>26596553</v>
      </c>
      <c r="BH19" s="636">
        <f t="shared" si="24"/>
        <v>5509.35</v>
      </c>
      <c r="BI19" s="636">
        <f t="shared" si="25"/>
        <v>11339.475</v>
      </c>
      <c r="BJ19" s="636">
        <f t="shared" si="26"/>
        <v>15121.555</v>
      </c>
      <c r="BK19" s="769">
        <v>1511337</v>
      </c>
      <c r="BL19" s="636">
        <f t="shared" si="14"/>
        <v>198</v>
      </c>
      <c r="BM19" s="768">
        <v>4383625</v>
      </c>
      <c r="BN19" s="636">
        <f t="shared" si="15"/>
        <v>872</v>
      </c>
      <c r="BO19" s="707">
        <v>459283</v>
      </c>
      <c r="BP19" s="636">
        <f t="shared" si="16"/>
        <v>105</v>
      </c>
      <c r="BQ19" s="769">
        <v>572659</v>
      </c>
      <c r="BR19" s="636">
        <f t="shared" si="41"/>
        <v>123</v>
      </c>
      <c r="BS19" s="692">
        <f t="shared" si="27"/>
        <v>23405.555</v>
      </c>
      <c r="BT19" s="693">
        <v>252</v>
      </c>
      <c r="BU19" s="692">
        <f t="shared" si="44"/>
        <v>95.1445325203252</v>
      </c>
      <c r="BV19" s="693"/>
      <c r="BW19" s="692" t="e">
        <f t="shared" si="29"/>
        <v>#DIV/0!</v>
      </c>
      <c r="BX19" s="692">
        <f t="shared" si="34"/>
        <v>27159.38825</v>
      </c>
      <c r="BY19" s="692">
        <f>IF(BX19&gt;0,BX19/BT18,0)</f>
        <v>110.40401727642276</v>
      </c>
      <c r="BZ19" s="694" t="e">
        <f t="shared" si="35"/>
        <v>#DIV/0!</v>
      </c>
    </row>
    <row r="20" spans="1:78" s="385" customFormat="1" ht="33.75" customHeight="1">
      <c r="A20" s="430">
        <v>15</v>
      </c>
      <c r="B20" s="431"/>
      <c r="C20" s="432">
        <f t="shared" si="36"/>
        <v>0</v>
      </c>
      <c r="D20" s="432"/>
      <c r="E20" s="432">
        <f t="shared" si="37"/>
        <v>0</v>
      </c>
      <c r="F20" s="432"/>
      <c r="G20" s="432">
        <f t="shared" si="38"/>
        <v>0</v>
      </c>
      <c r="H20" s="433">
        <v>63</v>
      </c>
      <c r="I20" s="769">
        <v>26099853</v>
      </c>
      <c r="J20" s="636">
        <f>IF(I20&gt;=I19,I20-I19,0)</f>
        <v>7113</v>
      </c>
      <c r="K20" s="636">
        <f t="shared" si="19"/>
        <v>4164</v>
      </c>
      <c r="L20" s="769">
        <v>443743</v>
      </c>
      <c r="M20" s="636">
        <f t="shared" si="40"/>
        <v>2511</v>
      </c>
      <c r="N20" s="769">
        <v>439994</v>
      </c>
      <c r="O20" s="636">
        <f t="shared" si="39"/>
        <v>1653</v>
      </c>
      <c r="P20" s="769">
        <v>228424</v>
      </c>
      <c r="Q20" s="636">
        <f t="shared" si="46"/>
        <v>540</v>
      </c>
      <c r="R20" s="768">
        <v>237127</v>
      </c>
      <c r="S20" s="636">
        <f t="shared" si="32"/>
        <v>140</v>
      </c>
      <c r="T20" s="768">
        <v>432323</v>
      </c>
      <c r="U20" s="636">
        <f t="shared" si="1"/>
        <v>239</v>
      </c>
      <c r="V20" s="768">
        <v>941264</v>
      </c>
      <c r="W20" s="636">
        <f t="shared" si="2"/>
        <v>1489.8300000000002</v>
      </c>
      <c r="X20" s="769">
        <v>839916</v>
      </c>
      <c r="Y20" s="636">
        <f t="shared" si="3"/>
        <v>0</v>
      </c>
      <c r="Z20" s="769">
        <v>871835</v>
      </c>
      <c r="AA20" s="636">
        <f t="shared" si="4"/>
        <v>0</v>
      </c>
      <c r="AB20" s="768">
        <v>184462</v>
      </c>
      <c r="AC20" s="636">
        <f t="shared" si="33"/>
        <v>0</v>
      </c>
      <c r="AD20" s="768">
        <v>863702</v>
      </c>
      <c r="AE20" s="636">
        <f t="shared" si="20"/>
        <v>12.190000000000001</v>
      </c>
      <c r="AF20" s="768">
        <v>1011299</v>
      </c>
      <c r="AG20" s="636">
        <f t="shared" si="42"/>
        <v>11.66</v>
      </c>
      <c r="AH20" s="768">
        <v>449418</v>
      </c>
      <c r="AI20" s="636">
        <f t="shared" si="6"/>
        <v>147.87</v>
      </c>
      <c r="AJ20" s="768">
        <v>827806</v>
      </c>
      <c r="AK20" s="636">
        <f t="shared" si="45"/>
        <v>1896.3400000000001</v>
      </c>
      <c r="AL20" s="768">
        <v>584044</v>
      </c>
      <c r="AM20" s="636">
        <f t="shared" si="8"/>
        <v>111.30000000000001</v>
      </c>
      <c r="AN20" s="636">
        <f t="shared" si="21"/>
        <v>3669.1900000000005</v>
      </c>
      <c r="AO20" s="768">
        <v>8251266</v>
      </c>
      <c r="AP20" s="636">
        <f t="shared" si="22"/>
        <v>41.512500000000003</v>
      </c>
      <c r="AQ20" s="769">
        <v>765217</v>
      </c>
      <c r="AR20" s="636">
        <f t="shared" si="9"/>
        <v>189</v>
      </c>
      <c r="AS20" s="769">
        <v>24972</v>
      </c>
      <c r="AT20" s="636">
        <f>IF(AS20&gt;=AS19,AS20-AS19,0)</f>
        <v>127</v>
      </c>
      <c r="AU20" s="768">
        <v>829109</v>
      </c>
      <c r="AV20" s="636">
        <f>IF(AU20&gt;=AU19,AU20-AU19,0)</f>
        <v>40</v>
      </c>
      <c r="AW20" s="768">
        <v>2942743</v>
      </c>
      <c r="AX20" s="636">
        <f t="shared" si="11"/>
        <v>649</v>
      </c>
      <c r="AY20" s="768">
        <v>241044</v>
      </c>
      <c r="AZ20" s="636">
        <f t="shared" si="47"/>
        <v>11</v>
      </c>
      <c r="BA20" s="768">
        <v>21164439</v>
      </c>
      <c r="BB20" s="636">
        <f t="shared" si="13"/>
        <v>5539</v>
      </c>
      <c r="BC20" s="768">
        <v>656556</v>
      </c>
      <c r="BD20" s="636">
        <f t="shared" si="13"/>
        <v>200</v>
      </c>
      <c r="BE20" s="768">
        <v>48393</v>
      </c>
      <c r="BF20" s="636">
        <f t="shared" si="13"/>
        <v>45</v>
      </c>
      <c r="BG20" s="769">
        <v>26602589</v>
      </c>
      <c r="BH20" s="636">
        <f t="shared" si="24"/>
        <v>5438.85</v>
      </c>
      <c r="BI20" s="636">
        <f t="shared" si="25"/>
        <v>12280.362499999999</v>
      </c>
      <c r="BJ20" s="636">
        <f t="shared" si="26"/>
        <v>15949.5525</v>
      </c>
      <c r="BK20" s="769">
        <v>1511580</v>
      </c>
      <c r="BL20" s="636">
        <f t="shared" si="14"/>
        <v>243</v>
      </c>
      <c r="BM20" s="768">
        <v>4384561</v>
      </c>
      <c r="BN20" s="636">
        <f t="shared" si="15"/>
        <v>936</v>
      </c>
      <c r="BO20" s="768">
        <v>459394</v>
      </c>
      <c r="BP20" s="636">
        <f t="shared" si="16"/>
        <v>111</v>
      </c>
      <c r="BQ20" s="768">
        <v>572785</v>
      </c>
      <c r="BR20" s="636">
        <f t="shared" si="41"/>
        <v>126</v>
      </c>
      <c r="BS20" s="692">
        <f t="shared" si="27"/>
        <v>23602.552499999998</v>
      </c>
      <c r="BT20" s="693">
        <v>196</v>
      </c>
      <c r="BU20" s="692">
        <f>IF(BS20&gt;0,BS20/BT20,0)</f>
        <v>120.42118622448979</v>
      </c>
      <c r="BV20" s="693"/>
      <c r="BW20" s="692" t="e">
        <f t="shared" si="29"/>
        <v>#DIV/0!</v>
      </c>
      <c r="BX20" s="692">
        <f t="shared" si="34"/>
        <v>27385.935374999997</v>
      </c>
      <c r="BY20" s="692">
        <f t="shared" ref="BY20:BY36" si="48">IF(BX20&gt;0,BX20/BT20,0)</f>
        <v>139.72416007653061</v>
      </c>
      <c r="BZ20" s="694" t="e">
        <f t="shared" si="35"/>
        <v>#DIV/0!</v>
      </c>
    </row>
    <row r="21" spans="1:78" s="385" customFormat="1" ht="33.75" customHeight="1">
      <c r="A21" s="430">
        <v>16</v>
      </c>
      <c r="B21" s="431"/>
      <c r="C21" s="432">
        <f t="shared" si="36"/>
        <v>0</v>
      </c>
      <c r="D21" s="432"/>
      <c r="E21" s="432">
        <f t="shared" si="37"/>
        <v>0</v>
      </c>
      <c r="F21" s="432"/>
      <c r="G21" s="432">
        <f t="shared" si="38"/>
        <v>0</v>
      </c>
      <c r="H21" s="433"/>
      <c r="I21" s="769">
        <v>26107097</v>
      </c>
      <c r="J21" s="636">
        <f>IF(I21&gt;=I20,I21-I20,0)</f>
        <v>7244</v>
      </c>
      <c r="K21" s="636">
        <f t="shared" si="19"/>
        <v>4419</v>
      </c>
      <c r="L21" s="769">
        <v>446303</v>
      </c>
      <c r="M21" s="636">
        <f t="shared" si="40"/>
        <v>2560</v>
      </c>
      <c r="N21" s="769">
        <v>441853</v>
      </c>
      <c r="O21" s="636">
        <f t="shared" si="39"/>
        <v>1859</v>
      </c>
      <c r="P21" s="769">
        <v>228443</v>
      </c>
      <c r="Q21" s="636">
        <f t="shared" si="46"/>
        <v>570</v>
      </c>
      <c r="R21" s="768">
        <v>237268</v>
      </c>
      <c r="S21" s="636">
        <f t="shared" ref="S21:S35" si="49">IF(R21&gt;=R20,R21-R20,0)</f>
        <v>141</v>
      </c>
      <c r="T21" s="768">
        <v>432570</v>
      </c>
      <c r="U21" s="636">
        <f t="shared" si="1"/>
        <v>247</v>
      </c>
      <c r="V21" s="768">
        <v>944520</v>
      </c>
      <c r="W21" s="636">
        <f t="shared" si="2"/>
        <v>1725.68</v>
      </c>
      <c r="X21" s="769">
        <v>839916</v>
      </c>
      <c r="Y21" s="636">
        <f t="shared" si="3"/>
        <v>0</v>
      </c>
      <c r="Z21" s="769">
        <v>871835</v>
      </c>
      <c r="AA21" s="636">
        <f t="shared" si="4"/>
        <v>0</v>
      </c>
      <c r="AB21" s="768">
        <v>184962</v>
      </c>
      <c r="AC21" s="636">
        <f t="shared" si="33"/>
        <v>265</v>
      </c>
      <c r="AD21" s="768">
        <v>863726</v>
      </c>
      <c r="AE21" s="636">
        <f t="shared" si="20"/>
        <v>12.72</v>
      </c>
      <c r="AF21" s="768">
        <v>1011322</v>
      </c>
      <c r="AG21" s="636">
        <f t="shared" si="42"/>
        <v>12.190000000000001</v>
      </c>
      <c r="AH21" s="769">
        <v>449760</v>
      </c>
      <c r="AI21" s="636">
        <f t="shared" si="6"/>
        <v>181.26000000000002</v>
      </c>
      <c r="AJ21" s="769">
        <v>832125</v>
      </c>
      <c r="AK21" s="636">
        <f t="shared" si="45"/>
        <v>2289.0700000000002</v>
      </c>
      <c r="AL21" s="768">
        <v>584264</v>
      </c>
      <c r="AM21" s="636">
        <f t="shared" si="8"/>
        <v>116.60000000000001</v>
      </c>
      <c r="AN21" s="636">
        <f t="shared" si="21"/>
        <v>4602.5200000000004</v>
      </c>
      <c r="AO21" s="768">
        <v>8251880</v>
      </c>
      <c r="AP21" s="636">
        <f t="shared" si="22"/>
        <v>69.075000000000003</v>
      </c>
      <c r="AQ21" s="768">
        <v>765406</v>
      </c>
      <c r="AR21" s="636">
        <f t="shared" si="9"/>
        <v>189</v>
      </c>
      <c r="AS21" s="769">
        <v>25111</v>
      </c>
      <c r="AT21" s="636">
        <f>IF(AS21&gt;=AS20,AS21-AS20,0)</f>
        <v>139</v>
      </c>
      <c r="AU21" s="768">
        <v>829151</v>
      </c>
      <c r="AV21" s="636">
        <f>IF(AU21&gt;=AU20,AU21-AU20,0)</f>
        <v>42</v>
      </c>
      <c r="AW21" s="768">
        <v>2943402</v>
      </c>
      <c r="AX21" s="636">
        <f t="shared" si="11"/>
        <v>659</v>
      </c>
      <c r="AY21" s="769">
        <v>241049</v>
      </c>
      <c r="AZ21" s="636">
        <f t="shared" si="47"/>
        <v>5</v>
      </c>
      <c r="BA21" s="769">
        <v>21168485</v>
      </c>
      <c r="BB21" s="636">
        <f t="shared" si="13"/>
        <v>4046</v>
      </c>
      <c r="BC21" s="768">
        <v>656769</v>
      </c>
      <c r="BD21" s="636">
        <f t="shared" si="13"/>
        <v>213</v>
      </c>
      <c r="BE21" s="768">
        <v>48448</v>
      </c>
      <c r="BF21" s="636">
        <f t="shared" si="13"/>
        <v>55</v>
      </c>
      <c r="BG21" s="769">
        <v>26608881</v>
      </c>
      <c r="BH21" s="636">
        <f t="shared" si="24"/>
        <v>5609</v>
      </c>
      <c r="BI21" s="636">
        <f t="shared" si="25"/>
        <v>11026.075000000001</v>
      </c>
      <c r="BJ21" s="636">
        <f t="shared" si="26"/>
        <v>15628.595000000001</v>
      </c>
      <c r="BK21" s="769">
        <v>1511852</v>
      </c>
      <c r="BL21" s="636">
        <f t="shared" si="14"/>
        <v>272</v>
      </c>
      <c r="BM21" s="768">
        <v>4385476</v>
      </c>
      <c r="BN21" s="636">
        <f t="shared" si="15"/>
        <v>915</v>
      </c>
      <c r="BO21" s="768">
        <v>459499</v>
      </c>
      <c r="BP21" s="636">
        <f t="shared" si="16"/>
        <v>105</v>
      </c>
      <c r="BQ21" s="768">
        <v>573009</v>
      </c>
      <c r="BR21" s="636">
        <f t="shared" si="41"/>
        <v>224</v>
      </c>
      <c r="BS21" s="692">
        <f t="shared" si="27"/>
        <v>23442.595000000001</v>
      </c>
      <c r="BT21" s="693">
        <v>219</v>
      </c>
      <c r="BU21" s="692">
        <f t="shared" ref="BU21:BU36" si="50">IF(BS21&gt;0,BS21/BT21,0)</f>
        <v>107.04381278538813</v>
      </c>
      <c r="BV21" s="693"/>
      <c r="BW21" s="692" t="e">
        <f t="shared" si="29"/>
        <v>#DIV/0!</v>
      </c>
      <c r="BX21" s="692">
        <f t="shared" si="34"/>
        <v>27215.484249999998</v>
      </c>
      <c r="BY21" s="692">
        <f t="shared" si="48"/>
        <v>124.27161757990866</v>
      </c>
      <c r="BZ21" s="694" t="e">
        <f t="shared" si="35"/>
        <v>#DIV/0!</v>
      </c>
    </row>
    <row r="22" spans="1:78" s="385" customFormat="1" ht="33.75" customHeight="1">
      <c r="A22" s="430">
        <v>17</v>
      </c>
      <c r="B22" s="431"/>
      <c r="C22" s="432">
        <f t="shared" si="36"/>
        <v>0</v>
      </c>
      <c r="D22" s="432"/>
      <c r="E22" s="432">
        <f t="shared" si="37"/>
        <v>0</v>
      </c>
      <c r="F22" s="432"/>
      <c r="G22" s="432">
        <f t="shared" si="38"/>
        <v>0</v>
      </c>
      <c r="H22" s="433">
        <v>64</v>
      </c>
      <c r="I22" s="769">
        <v>26114106</v>
      </c>
      <c r="J22" s="636">
        <f t="shared" ref="J22:J31" si="51">IF(I22&gt;=I21,I22-I21,0)</f>
        <v>7009</v>
      </c>
      <c r="K22" s="636">
        <f t="shared" si="19"/>
        <v>4559</v>
      </c>
      <c r="L22" s="769">
        <v>448950</v>
      </c>
      <c r="M22" s="636">
        <f t="shared" si="40"/>
        <v>2647</v>
      </c>
      <c r="N22" s="769">
        <v>443765</v>
      </c>
      <c r="O22" s="636">
        <f t="shared" si="39"/>
        <v>1912</v>
      </c>
      <c r="P22" s="769">
        <v>228467</v>
      </c>
      <c r="Q22" s="636">
        <f t="shared" si="46"/>
        <v>720</v>
      </c>
      <c r="R22" s="768">
        <v>237410</v>
      </c>
      <c r="S22" s="636">
        <f t="shared" si="49"/>
        <v>142</v>
      </c>
      <c r="T22" s="768">
        <v>432822</v>
      </c>
      <c r="U22" s="636">
        <f t="shared" si="1"/>
        <v>252</v>
      </c>
      <c r="V22" s="768">
        <v>948311</v>
      </c>
      <c r="W22" s="636">
        <f t="shared" ref="W22:W28" si="52">IF(V22&gt;=V21,V22-V21,0)*0.53</f>
        <v>2009.23</v>
      </c>
      <c r="X22" s="769">
        <v>839916</v>
      </c>
      <c r="Y22" s="636">
        <f t="shared" si="3"/>
        <v>0</v>
      </c>
      <c r="Z22" s="768">
        <v>871835</v>
      </c>
      <c r="AA22" s="636">
        <f t="shared" si="4"/>
        <v>0</v>
      </c>
      <c r="AB22" s="768">
        <v>184962</v>
      </c>
      <c r="AC22" s="636">
        <f t="shared" si="33"/>
        <v>0</v>
      </c>
      <c r="AD22" s="768">
        <v>863736</v>
      </c>
      <c r="AE22" s="636">
        <f t="shared" si="20"/>
        <v>5.3000000000000007</v>
      </c>
      <c r="AF22" s="768">
        <v>1011352</v>
      </c>
      <c r="AG22" s="636">
        <f t="shared" si="42"/>
        <v>15.9</v>
      </c>
      <c r="AH22" s="769">
        <v>450152</v>
      </c>
      <c r="AI22" s="636">
        <f t="shared" si="6"/>
        <v>207.76000000000002</v>
      </c>
      <c r="AJ22" s="769">
        <v>837081</v>
      </c>
      <c r="AK22" s="636">
        <f t="shared" si="45"/>
        <v>2626.6800000000003</v>
      </c>
      <c r="AL22" s="768">
        <v>584495</v>
      </c>
      <c r="AM22" s="636">
        <f t="shared" si="8"/>
        <v>122.43</v>
      </c>
      <c r="AN22" s="636">
        <f t="shared" si="21"/>
        <v>4987.3000000000011</v>
      </c>
      <c r="AO22" s="768">
        <v>8252502</v>
      </c>
      <c r="AP22" s="636">
        <f t="shared" si="22"/>
        <v>69.975000000000009</v>
      </c>
      <c r="AQ22" s="768">
        <v>765603</v>
      </c>
      <c r="AR22" s="636">
        <f t="shared" si="9"/>
        <v>197</v>
      </c>
      <c r="AS22" s="769">
        <v>25228</v>
      </c>
      <c r="AT22" s="636">
        <f t="shared" si="23"/>
        <v>117</v>
      </c>
      <c r="AU22" s="768">
        <v>829197</v>
      </c>
      <c r="AV22" s="636">
        <f t="shared" si="10"/>
        <v>46</v>
      </c>
      <c r="AW22" s="769">
        <v>2944235</v>
      </c>
      <c r="AX22" s="636">
        <f t="shared" si="11"/>
        <v>833</v>
      </c>
      <c r="AY22" s="769">
        <v>241049</v>
      </c>
      <c r="AZ22" s="636">
        <f t="shared" si="47"/>
        <v>0</v>
      </c>
      <c r="BA22" s="769">
        <v>21173853</v>
      </c>
      <c r="BB22" s="636">
        <f t="shared" si="13"/>
        <v>5368</v>
      </c>
      <c r="BC22" s="768">
        <v>656969</v>
      </c>
      <c r="BD22" s="636">
        <f t="shared" si="13"/>
        <v>200</v>
      </c>
      <c r="BE22" s="768">
        <v>48483</v>
      </c>
      <c r="BF22" s="636">
        <f t="shared" si="13"/>
        <v>35</v>
      </c>
      <c r="BG22" s="769">
        <v>26614817</v>
      </c>
      <c r="BH22" s="636">
        <f t="shared" si="24"/>
        <v>5519.85</v>
      </c>
      <c r="BI22" s="636">
        <f t="shared" si="25"/>
        <v>12385.825000000001</v>
      </c>
      <c r="BJ22" s="636">
        <f t="shared" si="26"/>
        <v>17373.125</v>
      </c>
      <c r="BK22" s="769">
        <v>1512126</v>
      </c>
      <c r="BL22" s="636">
        <f t="shared" si="14"/>
        <v>274</v>
      </c>
      <c r="BM22" s="768">
        <v>4386236</v>
      </c>
      <c r="BN22" s="636">
        <f t="shared" si="15"/>
        <v>760</v>
      </c>
      <c r="BO22" s="707">
        <v>459606</v>
      </c>
      <c r="BP22" s="636">
        <f t="shared" si="16"/>
        <v>107</v>
      </c>
      <c r="BQ22" s="769">
        <v>573035</v>
      </c>
      <c r="BR22" s="636">
        <f t="shared" si="41"/>
        <v>26</v>
      </c>
      <c r="BS22" s="692">
        <f t="shared" si="27"/>
        <v>25102.125</v>
      </c>
      <c r="BT22" s="693">
        <v>240</v>
      </c>
      <c r="BU22" s="692">
        <f t="shared" si="50"/>
        <v>104.59218749999999</v>
      </c>
      <c r="BV22" s="693"/>
      <c r="BW22" s="692" t="e">
        <f t="shared" si="29"/>
        <v>#DIV/0!</v>
      </c>
      <c r="BX22" s="692">
        <f t="shared" si="34"/>
        <v>29191.443749999999</v>
      </c>
      <c r="BY22" s="692">
        <f t="shared" si="48"/>
        <v>121.63101562499999</v>
      </c>
      <c r="BZ22" s="694" t="e">
        <f t="shared" si="35"/>
        <v>#DIV/0!</v>
      </c>
    </row>
    <row r="23" spans="1:78" s="385" customFormat="1" ht="33.75" customHeight="1">
      <c r="A23" s="430">
        <v>18</v>
      </c>
      <c r="B23" s="431"/>
      <c r="C23" s="432">
        <f t="shared" si="36"/>
        <v>0</v>
      </c>
      <c r="D23" s="432"/>
      <c r="E23" s="432">
        <f t="shared" si="37"/>
        <v>0</v>
      </c>
      <c r="F23" s="432"/>
      <c r="G23" s="432">
        <f t="shared" si="38"/>
        <v>0</v>
      </c>
      <c r="H23" s="433"/>
      <c r="I23" s="769">
        <v>26120603</v>
      </c>
      <c r="J23" s="636">
        <f t="shared" si="51"/>
        <v>6497</v>
      </c>
      <c r="K23" s="636">
        <f t="shared" si="19"/>
        <v>3224</v>
      </c>
      <c r="L23" s="769">
        <v>450853</v>
      </c>
      <c r="M23" s="636">
        <f t="shared" si="40"/>
        <v>1903</v>
      </c>
      <c r="N23" s="769">
        <v>445086</v>
      </c>
      <c r="O23" s="636">
        <f t="shared" si="39"/>
        <v>1321</v>
      </c>
      <c r="P23" s="769">
        <v>228485</v>
      </c>
      <c r="Q23" s="636">
        <f t="shared" si="46"/>
        <v>540</v>
      </c>
      <c r="R23" s="768">
        <v>237553</v>
      </c>
      <c r="S23" s="636">
        <f t="shared" si="49"/>
        <v>143</v>
      </c>
      <c r="T23" s="768">
        <v>433076</v>
      </c>
      <c r="U23" s="636">
        <f t="shared" si="1"/>
        <v>254</v>
      </c>
      <c r="V23" s="768">
        <v>951117</v>
      </c>
      <c r="W23" s="636">
        <f t="shared" si="52"/>
        <v>1487.18</v>
      </c>
      <c r="X23" s="769">
        <v>839916</v>
      </c>
      <c r="Y23" s="636">
        <f t="shared" si="3"/>
        <v>0</v>
      </c>
      <c r="Z23" s="772">
        <v>871835</v>
      </c>
      <c r="AA23" s="636">
        <f t="shared" si="4"/>
        <v>0</v>
      </c>
      <c r="AB23" s="768">
        <v>184962</v>
      </c>
      <c r="AC23" s="636">
        <f t="shared" si="33"/>
        <v>0</v>
      </c>
      <c r="AD23" s="768">
        <v>863736</v>
      </c>
      <c r="AE23" s="636">
        <f t="shared" si="20"/>
        <v>0</v>
      </c>
      <c r="AF23" s="768">
        <v>1011370</v>
      </c>
      <c r="AG23" s="636">
        <f t="shared" si="42"/>
        <v>9.5400000000000009</v>
      </c>
      <c r="AH23" s="768">
        <v>450402</v>
      </c>
      <c r="AI23" s="636">
        <f t="shared" si="6"/>
        <v>132.5</v>
      </c>
      <c r="AJ23" s="768">
        <v>840366</v>
      </c>
      <c r="AK23" s="636">
        <f t="shared" si="45"/>
        <v>1741.0500000000002</v>
      </c>
      <c r="AL23" s="768">
        <v>584671</v>
      </c>
      <c r="AM23" s="636">
        <f t="shared" si="8"/>
        <v>93.28</v>
      </c>
      <c r="AN23" s="636">
        <f t="shared" si="21"/>
        <v>3463.5500000000006</v>
      </c>
      <c r="AO23" s="707">
        <v>8252957</v>
      </c>
      <c r="AP23" s="636">
        <f t="shared" si="22"/>
        <v>51.1875</v>
      </c>
      <c r="AQ23" s="768">
        <v>765813</v>
      </c>
      <c r="AR23" s="636">
        <f t="shared" si="9"/>
        <v>210</v>
      </c>
      <c r="AS23" s="768">
        <v>25354</v>
      </c>
      <c r="AT23" s="636">
        <f t="shared" si="23"/>
        <v>126</v>
      </c>
      <c r="AU23" s="768">
        <v>829231</v>
      </c>
      <c r="AV23" s="636">
        <f t="shared" si="10"/>
        <v>34</v>
      </c>
      <c r="AW23" s="768">
        <v>2945089</v>
      </c>
      <c r="AX23" s="636">
        <f t="shared" si="11"/>
        <v>854</v>
      </c>
      <c r="AY23" s="769">
        <v>241049</v>
      </c>
      <c r="AZ23" s="636">
        <f t="shared" si="47"/>
        <v>0</v>
      </c>
      <c r="BA23" s="768">
        <v>21178322</v>
      </c>
      <c r="BB23" s="636">
        <f t="shared" si="13"/>
        <v>4469</v>
      </c>
      <c r="BC23" s="768">
        <v>657180</v>
      </c>
      <c r="BD23" s="636">
        <f t="shared" si="13"/>
        <v>211</v>
      </c>
      <c r="BE23" s="768">
        <v>48528</v>
      </c>
      <c r="BF23" s="636">
        <f t="shared" si="13"/>
        <v>45</v>
      </c>
      <c r="BG23" s="769">
        <v>26620452</v>
      </c>
      <c r="BH23" s="636">
        <f t="shared" si="24"/>
        <v>5103.8500000000004</v>
      </c>
      <c r="BI23" s="636">
        <f t="shared" si="25"/>
        <v>11104.0375</v>
      </c>
      <c r="BJ23" s="636">
        <f t="shared" si="26"/>
        <v>14567.587500000001</v>
      </c>
      <c r="BK23" s="769">
        <v>1512400</v>
      </c>
      <c r="BL23" s="636">
        <f t="shared" si="14"/>
        <v>274</v>
      </c>
      <c r="BM23" s="768">
        <v>4386996</v>
      </c>
      <c r="BN23" s="636">
        <f t="shared" si="15"/>
        <v>760</v>
      </c>
      <c r="BO23" s="768">
        <v>459713</v>
      </c>
      <c r="BP23" s="636">
        <f t="shared" si="16"/>
        <v>107</v>
      </c>
      <c r="BQ23" s="769">
        <v>573176</v>
      </c>
      <c r="BR23" s="636">
        <f t="shared" si="41"/>
        <v>141</v>
      </c>
      <c r="BS23" s="692">
        <f t="shared" si="27"/>
        <v>21604.587500000001</v>
      </c>
      <c r="BT23" s="693">
        <v>256</v>
      </c>
      <c r="BU23" s="692">
        <f t="shared" si="50"/>
        <v>84.392919921875006</v>
      </c>
      <c r="BV23" s="693"/>
      <c r="BW23" s="692" t="e">
        <f t="shared" si="29"/>
        <v>#DIV/0!</v>
      </c>
      <c r="BX23" s="692">
        <f t="shared" si="34"/>
        <v>25088.275624999998</v>
      </c>
      <c r="BY23" s="692">
        <f t="shared" si="48"/>
        <v>98.001076660156244</v>
      </c>
      <c r="BZ23" s="694" t="e">
        <f t="shared" si="35"/>
        <v>#DIV/0!</v>
      </c>
    </row>
    <row r="24" spans="1:78" s="385" customFormat="1" ht="33.75" customHeight="1">
      <c r="A24" s="430">
        <v>19</v>
      </c>
      <c r="B24" s="431"/>
      <c r="C24" s="432">
        <f t="shared" si="36"/>
        <v>0</v>
      </c>
      <c r="D24" s="432"/>
      <c r="E24" s="432">
        <f t="shared" si="37"/>
        <v>0</v>
      </c>
      <c r="F24" s="432"/>
      <c r="G24" s="432">
        <f t="shared" si="38"/>
        <v>0</v>
      </c>
      <c r="H24" s="433">
        <v>65</v>
      </c>
      <c r="I24" s="769">
        <v>26127257</v>
      </c>
      <c r="J24" s="636">
        <f t="shared" si="51"/>
        <v>6654</v>
      </c>
      <c r="K24" s="636">
        <f t="shared" si="19"/>
        <v>3907</v>
      </c>
      <c r="L24" s="769">
        <v>453098</v>
      </c>
      <c r="M24" s="636">
        <f t="shared" si="40"/>
        <v>2245</v>
      </c>
      <c r="N24" s="769">
        <v>446748</v>
      </c>
      <c r="O24" s="636">
        <f t="shared" si="39"/>
        <v>1662</v>
      </c>
      <c r="P24" s="769">
        <v>228503</v>
      </c>
      <c r="Q24" s="636">
        <f>IF(P24&gt;=P23,P24-P23,0)*30</f>
        <v>540</v>
      </c>
      <c r="R24" s="768">
        <v>237696</v>
      </c>
      <c r="S24" s="636">
        <f t="shared" si="49"/>
        <v>143</v>
      </c>
      <c r="T24" s="768">
        <v>433332</v>
      </c>
      <c r="U24" s="636">
        <f t="shared" si="1"/>
        <v>256</v>
      </c>
      <c r="V24" s="768">
        <v>954537</v>
      </c>
      <c r="W24" s="636">
        <f t="shared" si="52"/>
        <v>1812.6000000000001</v>
      </c>
      <c r="X24" s="769">
        <v>839916</v>
      </c>
      <c r="Y24" s="636">
        <f t="shared" si="3"/>
        <v>0</v>
      </c>
      <c r="Z24" s="769">
        <v>871835</v>
      </c>
      <c r="AA24" s="636">
        <f t="shared" si="4"/>
        <v>0</v>
      </c>
      <c r="AB24" s="768">
        <v>184962</v>
      </c>
      <c r="AC24" s="636">
        <f t="shared" si="33"/>
        <v>0</v>
      </c>
      <c r="AD24" s="768">
        <v>863736</v>
      </c>
      <c r="AE24" s="636">
        <f t="shared" si="20"/>
        <v>0</v>
      </c>
      <c r="AF24" s="768">
        <v>1011399</v>
      </c>
      <c r="AG24" s="636">
        <f t="shared" si="42"/>
        <v>15.370000000000001</v>
      </c>
      <c r="AH24" s="769">
        <v>450745</v>
      </c>
      <c r="AI24" s="636">
        <f t="shared" si="6"/>
        <v>181.79000000000002</v>
      </c>
      <c r="AJ24" s="769">
        <v>844482</v>
      </c>
      <c r="AK24" s="636">
        <f t="shared" si="45"/>
        <v>2181.48</v>
      </c>
      <c r="AL24" s="768">
        <v>584885</v>
      </c>
      <c r="AM24" s="636">
        <f t="shared" si="8"/>
        <v>113.42</v>
      </c>
      <c r="AN24" s="636">
        <f t="shared" si="21"/>
        <v>4304.66</v>
      </c>
      <c r="AO24" s="768">
        <v>8253911</v>
      </c>
      <c r="AP24" s="636">
        <f t="shared" si="22"/>
        <v>107.325</v>
      </c>
      <c r="AQ24" s="769">
        <v>766006</v>
      </c>
      <c r="AR24" s="636">
        <f t="shared" si="9"/>
        <v>193</v>
      </c>
      <c r="AS24" s="769">
        <v>25474</v>
      </c>
      <c r="AT24" s="636">
        <f t="shared" si="23"/>
        <v>120</v>
      </c>
      <c r="AU24" s="768">
        <v>829273</v>
      </c>
      <c r="AV24" s="636">
        <f t="shared" si="10"/>
        <v>42</v>
      </c>
      <c r="AW24" s="768">
        <v>2946067</v>
      </c>
      <c r="AX24" s="636">
        <f t="shared" si="11"/>
        <v>978</v>
      </c>
      <c r="AY24" s="769">
        <v>241049</v>
      </c>
      <c r="AZ24" s="636">
        <f t="shared" si="47"/>
        <v>0</v>
      </c>
      <c r="BA24" s="768">
        <v>21182841</v>
      </c>
      <c r="BB24" s="636">
        <f t="shared" si="13"/>
        <v>4519</v>
      </c>
      <c r="BC24" s="768">
        <v>657410</v>
      </c>
      <c r="BD24" s="636">
        <f t="shared" si="13"/>
        <v>230</v>
      </c>
      <c r="BE24" s="768">
        <v>48583</v>
      </c>
      <c r="BF24" s="636">
        <f t="shared" si="13"/>
        <v>55</v>
      </c>
      <c r="BG24" s="769">
        <v>26626180</v>
      </c>
      <c r="BH24" s="636">
        <f t="shared" si="24"/>
        <v>5174.45</v>
      </c>
      <c r="BI24" s="636">
        <f t="shared" si="25"/>
        <v>11418.775</v>
      </c>
      <c r="BJ24" s="636">
        <f t="shared" si="26"/>
        <v>15723.434999999999</v>
      </c>
      <c r="BK24" s="769">
        <v>1512678</v>
      </c>
      <c r="BL24" s="636">
        <f t="shared" si="14"/>
        <v>278</v>
      </c>
      <c r="BM24" s="769">
        <v>4387779</v>
      </c>
      <c r="BN24" s="636">
        <f t="shared" si="15"/>
        <v>783</v>
      </c>
      <c r="BO24" s="768">
        <v>459809</v>
      </c>
      <c r="BP24" s="636">
        <f t="shared" si="16"/>
        <v>96</v>
      </c>
      <c r="BQ24" s="769">
        <v>573334</v>
      </c>
      <c r="BR24" s="636">
        <f t="shared" si="41"/>
        <v>158</v>
      </c>
      <c r="BS24" s="692">
        <f t="shared" si="27"/>
        <v>22917.434999999998</v>
      </c>
      <c r="BT24" s="693">
        <v>254</v>
      </c>
      <c r="BU24" s="692">
        <f t="shared" si="50"/>
        <v>90.22612204724409</v>
      </c>
      <c r="BV24" s="693"/>
      <c r="BW24" s="692" t="e">
        <f t="shared" si="29"/>
        <v>#DIV/0!</v>
      </c>
      <c r="BX24" s="692">
        <f t="shared" si="34"/>
        <v>26598.050249999997</v>
      </c>
      <c r="BY24" s="692">
        <f t="shared" si="48"/>
        <v>104.71673326771652</v>
      </c>
      <c r="BZ24" s="694" t="e">
        <f t="shared" si="35"/>
        <v>#DIV/0!</v>
      </c>
    </row>
    <row r="25" spans="1:78" s="385" customFormat="1" ht="33.75" customHeight="1">
      <c r="A25" s="430">
        <v>20</v>
      </c>
      <c r="B25" s="431"/>
      <c r="C25" s="432">
        <f t="shared" si="36"/>
        <v>0</v>
      </c>
      <c r="D25" s="432"/>
      <c r="E25" s="432">
        <f t="shared" si="37"/>
        <v>0</v>
      </c>
      <c r="F25" s="432"/>
      <c r="G25" s="432">
        <f t="shared" si="38"/>
        <v>0</v>
      </c>
      <c r="H25" s="433"/>
      <c r="I25" s="769">
        <v>26134046</v>
      </c>
      <c r="J25" s="636">
        <f t="shared" si="51"/>
        <v>6789</v>
      </c>
      <c r="K25" s="636">
        <f t="shared" si="19"/>
        <v>4521</v>
      </c>
      <c r="L25" s="769">
        <v>455647</v>
      </c>
      <c r="M25" s="636">
        <f t="shared" si="40"/>
        <v>2549</v>
      </c>
      <c r="N25" s="769">
        <v>448720</v>
      </c>
      <c r="O25" s="636">
        <f t="shared" si="39"/>
        <v>1972</v>
      </c>
      <c r="P25" s="769">
        <v>228522</v>
      </c>
      <c r="Q25" s="636">
        <f t="shared" si="46"/>
        <v>570</v>
      </c>
      <c r="R25" s="768">
        <v>237842</v>
      </c>
      <c r="S25" s="636">
        <f t="shared" si="49"/>
        <v>146</v>
      </c>
      <c r="T25" s="768">
        <v>433588</v>
      </c>
      <c r="U25" s="636">
        <f t="shared" si="1"/>
        <v>256</v>
      </c>
      <c r="V25" s="768">
        <v>958830</v>
      </c>
      <c r="W25" s="636">
        <f t="shared" si="52"/>
        <v>2275.29</v>
      </c>
      <c r="X25" s="769">
        <v>839916</v>
      </c>
      <c r="Y25" s="636">
        <f t="shared" si="3"/>
        <v>0</v>
      </c>
      <c r="Z25" s="772">
        <v>871835</v>
      </c>
      <c r="AA25" s="636">
        <f t="shared" si="4"/>
        <v>0</v>
      </c>
      <c r="AB25" s="768">
        <v>184962</v>
      </c>
      <c r="AC25" s="636">
        <f t="shared" si="33"/>
        <v>0</v>
      </c>
      <c r="AD25" s="768">
        <v>863736</v>
      </c>
      <c r="AE25" s="636">
        <f t="shared" si="20"/>
        <v>0</v>
      </c>
      <c r="AF25" s="768">
        <v>1011423</v>
      </c>
      <c r="AG25" s="636">
        <f t="shared" si="42"/>
        <v>12.72</v>
      </c>
      <c r="AH25" s="769">
        <v>451170</v>
      </c>
      <c r="AI25" s="636">
        <f t="shared" si="6"/>
        <v>225.25</v>
      </c>
      <c r="AJ25" s="769">
        <v>849414</v>
      </c>
      <c r="AK25" s="636">
        <f t="shared" si="45"/>
        <v>2613.96</v>
      </c>
      <c r="AL25" s="768">
        <v>585136</v>
      </c>
      <c r="AM25" s="636">
        <f t="shared" si="8"/>
        <v>133.03</v>
      </c>
      <c r="AN25" s="636">
        <f t="shared" si="21"/>
        <v>5260.2499999999991</v>
      </c>
      <c r="AO25" s="768">
        <v>8254337</v>
      </c>
      <c r="AP25" s="636">
        <f t="shared" si="22"/>
        <v>47.925000000000004</v>
      </c>
      <c r="AQ25" s="768">
        <v>766224</v>
      </c>
      <c r="AR25" s="636">
        <f>IF(AQ25&gt;=AQ24,AQ25-AQ24,0)</f>
        <v>218</v>
      </c>
      <c r="AS25" s="769">
        <v>25548</v>
      </c>
      <c r="AT25" s="636">
        <f t="shared" si="23"/>
        <v>74</v>
      </c>
      <c r="AU25" s="768">
        <v>829321</v>
      </c>
      <c r="AV25" s="636">
        <f t="shared" si="10"/>
        <v>48</v>
      </c>
      <c r="AW25" s="769">
        <v>2947162</v>
      </c>
      <c r="AX25" s="636">
        <f t="shared" si="11"/>
        <v>1095</v>
      </c>
      <c r="AY25" s="769">
        <v>241049</v>
      </c>
      <c r="AZ25" s="636">
        <f t="shared" si="47"/>
        <v>0</v>
      </c>
      <c r="BA25" s="768">
        <v>21188246</v>
      </c>
      <c r="BB25" s="636">
        <f t="shared" si="13"/>
        <v>5405</v>
      </c>
      <c r="BC25" s="768">
        <v>657625</v>
      </c>
      <c r="BD25" s="636">
        <f t="shared" si="13"/>
        <v>215</v>
      </c>
      <c r="BE25" s="768">
        <v>48632</v>
      </c>
      <c r="BF25" s="636">
        <f t="shared" si="13"/>
        <v>49</v>
      </c>
      <c r="BG25" s="769">
        <v>26631997</v>
      </c>
      <c r="BH25" s="636">
        <f t="shared" si="24"/>
        <v>5283.3499999999995</v>
      </c>
      <c r="BI25" s="636">
        <f t="shared" si="25"/>
        <v>12435.275</v>
      </c>
      <c r="BJ25" s="636">
        <f t="shared" si="26"/>
        <v>17695.524999999998</v>
      </c>
      <c r="BK25" s="769">
        <v>1512955</v>
      </c>
      <c r="BL25" s="636">
        <f t="shared" si="14"/>
        <v>277</v>
      </c>
      <c r="BM25" s="769">
        <v>4388567</v>
      </c>
      <c r="BN25" s="636">
        <f t="shared" si="15"/>
        <v>788</v>
      </c>
      <c r="BO25" s="707">
        <v>459898</v>
      </c>
      <c r="BP25" s="636">
        <f t="shared" si="16"/>
        <v>89</v>
      </c>
      <c r="BQ25" s="768">
        <v>573473</v>
      </c>
      <c r="BR25" s="636">
        <f t="shared" si="41"/>
        <v>139</v>
      </c>
      <c r="BS25" s="692">
        <f t="shared" si="27"/>
        <v>25054.525000000001</v>
      </c>
      <c r="BT25" s="693">
        <v>250</v>
      </c>
      <c r="BU25" s="692">
        <f t="shared" si="50"/>
        <v>100.21810000000001</v>
      </c>
      <c r="BV25" s="693"/>
      <c r="BW25" s="692" t="e">
        <f t="shared" si="29"/>
        <v>#DIV/0!</v>
      </c>
      <c r="BX25" s="692">
        <f t="shared" si="34"/>
        <v>29069.203750000001</v>
      </c>
      <c r="BY25" s="692">
        <f t="shared" si="48"/>
        <v>116.276815</v>
      </c>
      <c r="BZ25" s="694" t="e">
        <f t="shared" si="35"/>
        <v>#DIV/0!</v>
      </c>
    </row>
    <row r="26" spans="1:78" s="385" customFormat="1" ht="33.75" customHeight="1">
      <c r="A26" s="430">
        <v>21</v>
      </c>
      <c r="B26" s="431"/>
      <c r="C26" s="432">
        <f t="shared" si="36"/>
        <v>0</v>
      </c>
      <c r="D26" s="432"/>
      <c r="E26" s="432">
        <f t="shared" si="37"/>
        <v>0</v>
      </c>
      <c r="F26" s="432"/>
      <c r="G26" s="432">
        <f t="shared" si="38"/>
        <v>0</v>
      </c>
      <c r="H26" s="433">
        <v>66</v>
      </c>
      <c r="I26" s="769">
        <v>26140923</v>
      </c>
      <c r="J26" s="636">
        <f t="shared" si="51"/>
        <v>6877</v>
      </c>
      <c r="K26" s="636">
        <f t="shared" si="19"/>
        <v>3574</v>
      </c>
      <c r="L26" s="769">
        <v>457585</v>
      </c>
      <c r="M26" s="636">
        <f t="shared" si="40"/>
        <v>1938</v>
      </c>
      <c r="N26" s="769">
        <v>450356</v>
      </c>
      <c r="O26" s="636">
        <f t="shared" si="39"/>
        <v>1636</v>
      </c>
      <c r="P26" s="769">
        <v>228542</v>
      </c>
      <c r="Q26" s="636">
        <f t="shared" si="46"/>
        <v>600</v>
      </c>
      <c r="R26" s="768">
        <v>237983</v>
      </c>
      <c r="S26" s="636">
        <f t="shared" si="49"/>
        <v>141</v>
      </c>
      <c r="T26" s="768">
        <v>433838</v>
      </c>
      <c r="U26" s="636">
        <f t="shared" si="1"/>
        <v>250</v>
      </c>
      <c r="V26" s="768">
        <v>962705</v>
      </c>
      <c r="W26" s="636">
        <f t="shared" si="52"/>
        <v>2053.75</v>
      </c>
      <c r="X26" s="769">
        <v>839916</v>
      </c>
      <c r="Y26" s="636">
        <f t="shared" si="3"/>
        <v>0</v>
      </c>
      <c r="Z26" s="769">
        <v>871835</v>
      </c>
      <c r="AA26" s="636">
        <f t="shared" si="4"/>
        <v>0</v>
      </c>
      <c r="AB26" s="768">
        <v>184962</v>
      </c>
      <c r="AC26" s="636">
        <f t="shared" si="33"/>
        <v>0</v>
      </c>
      <c r="AD26" s="768">
        <v>863736</v>
      </c>
      <c r="AE26" s="636">
        <f t="shared" si="20"/>
        <v>0</v>
      </c>
      <c r="AF26" s="768">
        <v>1011450</v>
      </c>
      <c r="AG26" s="636">
        <f t="shared" si="42"/>
        <v>14.31</v>
      </c>
      <c r="AH26" s="768">
        <v>451505</v>
      </c>
      <c r="AI26" s="636">
        <f t="shared" si="6"/>
        <v>177.55</v>
      </c>
      <c r="AJ26" s="768">
        <v>853387</v>
      </c>
      <c r="AK26" s="636">
        <f t="shared" si="45"/>
        <v>2105.69</v>
      </c>
      <c r="AL26" s="768">
        <v>585331</v>
      </c>
      <c r="AM26" s="636">
        <f t="shared" si="8"/>
        <v>103.35000000000001</v>
      </c>
      <c r="AN26" s="636">
        <f t="shared" si="21"/>
        <v>4454.6500000000005</v>
      </c>
      <c r="AO26" s="707">
        <v>8255048</v>
      </c>
      <c r="AP26" s="636">
        <f t="shared" si="22"/>
        <v>79.987499999999997</v>
      </c>
      <c r="AQ26" s="768">
        <v>766466</v>
      </c>
      <c r="AR26" s="636">
        <f>IF(AQ26&gt;=AQ25,AQ26-AQ25,0)</f>
        <v>242</v>
      </c>
      <c r="AS26" s="768">
        <v>25705</v>
      </c>
      <c r="AT26" s="636">
        <f t="shared" si="23"/>
        <v>157</v>
      </c>
      <c r="AU26" s="768">
        <v>829356</v>
      </c>
      <c r="AV26" s="636">
        <f t="shared" si="10"/>
        <v>35</v>
      </c>
      <c r="AW26" s="768">
        <v>2948013</v>
      </c>
      <c r="AX26" s="636">
        <f t="shared" si="11"/>
        <v>851</v>
      </c>
      <c r="AY26" s="769">
        <v>241044</v>
      </c>
      <c r="AZ26" s="636">
        <f t="shared" si="47"/>
        <v>0</v>
      </c>
      <c r="BA26" s="768">
        <v>21192314</v>
      </c>
      <c r="BB26" s="636">
        <f t="shared" si="13"/>
        <v>4068</v>
      </c>
      <c r="BC26" s="768">
        <v>657862</v>
      </c>
      <c r="BD26" s="636">
        <f t="shared" si="13"/>
        <v>237</v>
      </c>
      <c r="BE26" s="768">
        <v>48677</v>
      </c>
      <c r="BF26" s="636">
        <f t="shared" si="13"/>
        <v>45</v>
      </c>
      <c r="BG26" s="769">
        <v>26638409</v>
      </c>
      <c r="BH26" s="636">
        <f t="shared" si="24"/>
        <v>5801.1</v>
      </c>
      <c r="BI26" s="636">
        <f t="shared" si="25"/>
        <v>11516.087500000001</v>
      </c>
      <c r="BJ26" s="636">
        <f t="shared" si="26"/>
        <v>15970.737500000003</v>
      </c>
      <c r="BK26" s="769">
        <v>1513228</v>
      </c>
      <c r="BL26" s="636">
        <f t="shared" si="14"/>
        <v>273</v>
      </c>
      <c r="BM26" s="768">
        <v>4389374</v>
      </c>
      <c r="BN26" s="636">
        <f t="shared" si="15"/>
        <v>807</v>
      </c>
      <c r="BO26" s="768">
        <v>460033</v>
      </c>
      <c r="BP26" s="636">
        <f t="shared" si="16"/>
        <v>135</v>
      </c>
      <c r="BQ26" s="769">
        <v>573660</v>
      </c>
      <c r="BR26" s="636">
        <f t="shared" si="41"/>
        <v>187</v>
      </c>
      <c r="BS26" s="692">
        <f t="shared" si="27"/>
        <v>23447.737500000003</v>
      </c>
      <c r="BT26" s="693">
        <v>249</v>
      </c>
      <c r="BU26" s="692">
        <f t="shared" si="50"/>
        <v>94.167620481927727</v>
      </c>
      <c r="BV26" s="693"/>
      <c r="BW26" s="692" t="e">
        <f t="shared" si="29"/>
        <v>#DIV/0!</v>
      </c>
      <c r="BX26" s="692">
        <f t="shared" si="34"/>
        <v>27234.898125</v>
      </c>
      <c r="BY26" s="692">
        <f t="shared" si="48"/>
        <v>109.37710090361446</v>
      </c>
      <c r="BZ26" s="694" t="e">
        <f t="shared" si="35"/>
        <v>#DIV/0!</v>
      </c>
    </row>
    <row r="27" spans="1:78" s="385" customFormat="1" ht="33.75" customHeight="1">
      <c r="A27" s="430">
        <v>22</v>
      </c>
      <c r="B27" s="431"/>
      <c r="C27" s="432">
        <f t="shared" si="36"/>
        <v>0</v>
      </c>
      <c r="D27" s="432"/>
      <c r="E27" s="432">
        <f t="shared" si="37"/>
        <v>0</v>
      </c>
      <c r="F27" s="432"/>
      <c r="G27" s="432">
        <f t="shared" si="38"/>
        <v>0</v>
      </c>
      <c r="H27" s="433"/>
      <c r="I27" s="769">
        <v>26147249</v>
      </c>
      <c r="J27" s="636">
        <f t="shared" si="51"/>
        <v>6326</v>
      </c>
      <c r="K27" s="636">
        <f t="shared" si="19"/>
        <v>4048</v>
      </c>
      <c r="L27" s="769">
        <v>459853</v>
      </c>
      <c r="M27" s="636">
        <f t="shared" si="40"/>
        <v>2268</v>
      </c>
      <c r="N27" s="769">
        <v>452136</v>
      </c>
      <c r="O27" s="636">
        <f t="shared" si="39"/>
        <v>1780</v>
      </c>
      <c r="P27" s="769">
        <v>228560</v>
      </c>
      <c r="Q27" s="636">
        <f>IF(P27&gt;=P26,P27-P26,0)*30</f>
        <v>540</v>
      </c>
      <c r="R27" s="768">
        <v>238123</v>
      </c>
      <c r="S27" s="636">
        <f>IF(R27&gt;=R26,R27-R26,0)</f>
        <v>140</v>
      </c>
      <c r="T27" s="768">
        <v>434085</v>
      </c>
      <c r="U27" s="636">
        <f t="shared" si="1"/>
        <v>247</v>
      </c>
      <c r="V27" s="768">
        <v>966324</v>
      </c>
      <c r="W27" s="636">
        <f t="shared" si="52"/>
        <v>1918.0700000000002</v>
      </c>
      <c r="X27" s="769">
        <v>840445</v>
      </c>
      <c r="Y27" s="636">
        <f t="shared" si="3"/>
        <v>280.37</v>
      </c>
      <c r="Z27" s="768">
        <v>871835</v>
      </c>
      <c r="AA27" s="636">
        <f t="shared" si="4"/>
        <v>0</v>
      </c>
      <c r="AB27" s="768">
        <v>184962</v>
      </c>
      <c r="AC27" s="636">
        <f t="shared" si="33"/>
        <v>0</v>
      </c>
      <c r="AD27" s="768">
        <v>863736</v>
      </c>
      <c r="AE27" s="636">
        <f t="shared" si="20"/>
        <v>0</v>
      </c>
      <c r="AF27" s="768">
        <v>1011472</v>
      </c>
      <c r="AG27" s="636">
        <f t="shared" si="42"/>
        <v>11.66</v>
      </c>
      <c r="AH27" s="769">
        <v>451900</v>
      </c>
      <c r="AI27" s="636">
        <f t="shared" si="6"/>
        <v>209.35000000000002</v>
      </c>
      <c r="AJ27" s="768">
        <v>857817</v>
      </c>
      <c r="AK27" s="636">
        <f t="shared" si="45"/>
        <v>2347.9</v>
      </c>
      <c r="AL27" s="768">
        <v>585540</v>
      </c>
      <c r="AM27" s="636">
        <f t="shared" si="8"/>
        <v>110.77000000000001</v>
      </c>
      <c r="AN27" s="636">
        <f t="shared" si="21"/>
        <v>4878.1200000000008</v>
      </c>
      <c r="AO27" s="768">
        <v>8255771</v>
      </c>
      <c r="AP27" s="636">
        <f t="shared" si="22"/>
        <v>81.337500000000006</v>
      </c>
      <c r="AQ27" s="768">
        <v>766670</v>
      </c>
      <c r="AR27" s="636">
        <f>IF(AQ27&gt;=AQ26,AQ27-AQ26,0)</f>
        <v>204</v>
      </c>
      <c r="AS27" s="769">
        <v>25825</v>
      </c>
      <c r="AT27" s="636">
        <f t="shared" si="23"/>
        <v>120</v>
      </c>
      <c r="AU27" s="768">
        <v>829397</v>
      </c>
      <c r="AV27" s="636">
        <f t="shared" si="10"/>
        <v>41</v>
      </c>
      <c r="AW27" s="768">
        <v>2948985</v>
      </c>
      <c r="AX27" s="636">
        <f t="shared" si="11"/>
        <v>972</v>
      </c>
      <c r="AY27" s="769">
        <v>241049</v>
      </c>
      <c r="AZ27" s="636">
        <f t="shared" si="47"/>
        <v>5</v>
      </c>
      <c r="BA27" s="768">
        <v>21197129</v>
      </c>
      <c r="BB27" s="636">
        <f t="shared" si="13"/>
        <v>4815</v>
      </c>
      <c r="BC27" s="768">
        <v>658119</v>
      </c>
      <c r="BD27" s="636">
        <f t="shared" si="13"/>
        <v>257</v>
      </c>
      <c r="BE27" s="768">
        <v>48726</v>
      </c>
      <c r="BF27" s="636">
        <f t="shared" si="13"/>
        <v>49</v>
      </c>
      <c r="BG27" s="769">
        <v>26644342</v>
      </c>
      <c r="BH27" s="636">
        <f t="shared" si="24"/>
        <v>5481.4</v>
      </c>
      <c r="BI27" s="636">
        <f t="shared" si="25"/>
        <v>12025.737499999999</v>
      </c>
      <c r="BJ27" s="636">
        <f t="shared" si="26"/>
        <v>16903.857499999998</v>
      </c>
      <c r="BK27" s="769">
        <v>1513495</v>
      </c>
      <c r="BL27" s="636">
        <f t="shared" si="14"/>
        <v>267</v>
      </c>
      <c r="BM27" s="768">
        <v>4390154</v>
      </c>
      <c r="BN27" s="636">
        <f t="shared" si="15"/>
        <v>780</v>
      </c>
      <c r="BO27" s="768">
        <v>460121</v>
      </c>
      <c r="BP27" s="636">
        <f t="shared" si="16"/>
        <v>88</v>
      </c>
      <c r="BQ27" s="769">
        <v>573721</v>
      </c>
      <c r="BR27" s="636">
        <f t="shared" si="41"/>
        <v>61</v>
      </c>
      <c r="BS27" s="692">
        <f t="shared" si="27"/>
        <v>23769.857499999998</v>
      </c>
      <c r="BT27" s="693">
        <v>240</v>
      </c>
      <c r="BU27" s="692">
        <f t="shared" si="50"/>
        <v>99.041072916666664</v>
      </c>
      <c r="BV27" s="693"/>
      <c r="BW27" s="692" t="e">
        <f t="shared" si="29"/>
        <v>#DIV/0!</v>
      </c>
      <c r="BX27" s="692">
        <f t="shared" si="34"/>
        <v>27578.336124999994</v>
      </c>
      <c r="BY27" s="692">
        <f t="shared" si="48"/>
        <v>114.90973385416665</v>
      </c>
      <c r="BZ27" s="694" t="e">
        <f t="shared" si="35"/>
        <v>#DIV/0!</v>
      </c>
    </row>
    <row r="28" spans="1:78" s="385" customFormat="1" ht="33.75" customHeight="1">
      <c r="A28" s="430">
        <v>23</v>
      </c>
      <c r="B28" s="431"/>
      <c r="C28" s="432">
        <f t="shared" si="36"/>
        <v>0</v>
      </c>
      <c r="D28" s="432"/>
      <c r="E28" s="432">
        <f t="shared" si="37"/>
        <v>0</v>
      </c>
      <c r="F28" s="432"/>
      <c r="G28" s="432">
        <f t="shared" si="38"/>
        <v>0</v>
      </c>
      <c r="H28" s="433">
        <v>67</v>
      </c>
      <c r="I28" s="769">
        <v>26155300</v>
      </c>
      <c r="J28" s="636">
        <f t="shared" si="51"/>
        <v>8051</v>
      </c>
      <c r="K28" s="636">
        <f t="shared" si="19"/>
        <v>4676</v>
      </c>
      <c r="L28" s="769">
        <v>462348</v>
      </c>
      <c r="M28" s="636">
        <f t="shared" si="40"/>
        <v>2495</v>
      </c>
      <c r="N28" s="769">
        <v>454317</v>
      </c>
      <c r="O28" s="636">
        <f t="shared" si="0"/>
        <v>2181</v>
      </c>
      <c r="P28" s="769">
        <v>228582</v>
      </c>
      <c r="Q28" s="636">
        <f t="shared" si="46"/>
        <v>660</v>
      </c>
      <c r="R28" s="768">
        <v>238272</v>
      </c>
      <c r="S28" s="636">
        <f>IF(R28&gt;=R27,R28-R27,0)</f>
        <v>149</v>
      </c>
      <c r="T28" s="768">
        <v>434358</v>
      </c>
      <c r="U28" s="636">
        <f>IF(T28&gt;=T27,T28-T27,0)</f>
        <v>273</v>
      </c>
      <c r="V28" s="768">
        <v>971333</v>
      </c>
      <c r="W28" s="636">
        <f t="shared" si="52"/>
        <v>2654.77</v>
      </c>
      <c r="X28" s="769">
        <v>840445</v>
      </c>
      <c r="Y28" s="636">
        <f t="shared" si="3"/>
        <v>0</v>
      </c>
      <c r="Z28" s="768">
        <v>871835</v>
      </c>
      <c r="AA28" s="636">
        <f t="shared" si="4"/>
        <v>0</v>
      </c>
      <c r="AB28" s="768">
        <v>184962</v>
      </c>
      <c r="AC28" s="636">
        <f t="shared" si="33"/>
        <v>0</v>
      </c>
      <c r="AD28" s="768">
        <v>863736</v>
      </c>
      <c r="AE28" s="636">
        <f t="shared" si="20"/>
        <v>0</v>
      </c>
      <c r="AF28" s="768">
        <v>1011497</v>
      </c>
      <c r="AG28" s="636">
        <f t="shared" si="42"/>
        <v>13.25</v>
      </c>
      <c r="AH28" s="769">
        <v>452390</v>
      </c>
      <c r="AI28" s="636">
        <f t="shared" si="6"/>
        <v>259.7</v>
      </c>
      <c r="AJ28" s="769">
        <v>862668</v>
      </c>
      <c r="AK28" s="636">
        <f t="shared" si="45"/>
        <v>2571.0300000000002</v>
      </c>
      <c r="AL28" s="768">
        <v>585800</v>
      </c>
      <c r="AM28" s="636">
        <f t="shared" si="8"/>
        <v>137.80000000000001</v>
      </c>
      <c r="AN28" s="636">
        <f t="shared" si="21"/>
        <v>5636.55</v>
      </c>
      <c r="AO28" s="807">
        <v>8256455</v>
      </c>
      <c r="AP28" s="636">
        <f t="shared" si="22"/>
        <v>76.95</v>
      </c>
      <c r="AQ28" s="768">
        <v>766885</v>
      </c>
      <c r="AR28" s="636">
        <f>IF(AQ28&gt;=AQ27,AQ28-AQ27,0)</f>
        <v>215</v>
      </c>
      <c r="AS28" s="769">
        <v>25966</v>
      </c>
      <c r="AT28" s="636">
        <f t="shared" si="23"/>
        <v>141</v>
      </c>
      <c r="AU28" s="768">
        <v>829444</v>
      </c>
      <c r="AV28" s="636">
        <f t="shared" si="10"/>
        <v>47</v>
      </c>
      <c r="AW28" s="768">
        <v>2950134</v>
      </c>
      <c r="AX28" s="636">
        <f t="shared" si="11"/>
        <v>1149</v>
      </c>
      <c r="AY28" s="768">
        <v>241049</v>
      </c>
      <c r="AZ28" s="636">
        <f t="shared" si="47"/>
        <v>0</v>
      </c>
      <c r="BA28" s="768">
        <v>21202693</v>
      </c>
      <c r="BB28" s="636">
        <f t="shared" si="13"/>
        <v>5564</v>
      </c>
      <c r="BC28" s="768">
        <v>658392</v>
      </c>
      <c r="BD28" s="636">
        <f t="shared" si="13"/>
        <v>273</v>
      </c>
      <c r="BE28" s="768">
        <v>48769</v>
      </c>
      <c r="BF28" s="636">
        <f t="shared" si="13"/>
        <v>43</v>
      </c>
      <c r="BG28" s="769">
        <v>26650763</v>
      </c>
      <c r="BH28" s="636">
        <f t="shared" si="24"/>
        <v>5792.75</v>
      </c>
      <c r="BI28" s="636">
        <f t="shared" si="25"/>
        <v>13301.7</v>
      </c>
      <c r="BJ28" s="636">
        <f t="shared" si="26"/>
        <v>18938.25</v>
      </c>
      <c r="BK28" s="769">
        <v>1513772</v>
      </c>
      <c r="BL28" s="636">
        <f t="shared" si="14"/>
        <v>277</v>
      </c>
      <c r="BM28" s="768">
        <v>4391124</v>
      </c>
      <c r="BN28" s="636">
        <f t="shared" si="15"/>
        <v>970</v>
      </c>
      <c r="BO28" s="768">
        <v>460236</v>
      </c>
      <c r="BP28" s="636">
        <f t="shared" si="16"/>
        <v>115</v>
      </c>
      <c r="BQ28" s="768">
        <v>573861</v>
      </c>
      <c r="BR28" s="636">
        <f t="shared" si="41"/>
        <v>140</v>
      </c>
      <c r="BS28" s="692">
        <f t="shared" si="27"/>
        <v>27649.25</v>
      </c>
      <c r="BT28" s="693">
        <v>254</v>
      </c>
      <c r="BU28" s="692">
        <f t="shared" si="50"/>
        <v>108.85531496062993</v>
      </c>
      <c r="BV28" s="693"/>
      <c r="BW28" s="692" t="e">
        <f t="shared" si="29"/>
        <v>#DIV/0!</v>
      </c>
      <c r="BX28" s="692">
        <f t="shared" si="34"/>
        <v>32093.637499999997</v>
      </c>
      <c r="BY28" s="692">
        <f t="shared" si="48"/>
        <v>126.35290354330708</v>
      </c>
      <c r="BZ28" s="694" t="e">
        <f t="shared" si="35"/>
        <v>#DIV/0!</v>
      </c>
    </row>
    <row r="29" spans="1:78" s="385" customFormat="1" ht="33.75" customHeight="1">
      <c r="A29" s="430">
        <v>24</v>
      </c>
      <c r="B29" s="431"/>
      <c r="C29" s="432">
        <f t="shared" si="36"/>
        <v>0</v>
      </c>
      <c r="D29" s="432"/>
      <c r="E29" s="432">
        <f t="shared" si="37"/>
        <v>0</v>
      </c>
      <c r="F29" s="432"/>
      <c r="G29" s="432">
        <f t="shared" si="38"/>
        <v>0</v>
      </c>
      <c r="H29" s="433"/>
      <c r="I29" s="769">
        <v>26161821</v>
      </c>
      <c r="J29" s="636">
        <f t="shared" si="51"/>
        <v>6521</v>
      </c>
      <c r="K29" s="636">
        <f t="shared" si="19"/>
        <v>3663</v>
      </c>
      <c r="L29" s="769">
        <v>464232</v>
      </c>
      <c r="M29" s="636">
        <f t="shared" ref="M29:M36" si="53">IF(L29&gt;=L28,L29-L28,0)</f>
        <v>1884</v>
      </c>
      <c r="N29" s="769">
        <v>456096</v>
      </c>
      <c r="O29" s="636">
        <f t="shared" si="0"/>
        <v>1779</v>
      </c>
      <c r="P29" s="769">
        <v>228601</v>
      </c>
      <c r="Q29" s="636">
        <f t="shared" si="46"/>
        <v>570</v>
      </c>
      <c r="R29" s="768">
        <v>238415</v>
      </c>
      <c r="S29" s="636">
        <f>IF(R29&gt;=R28,R29-R28,0)</f>
        <v>143</v>
      </c>
      <c r="T29" s="768">
        <v>434628</v>
      </c>
      <c r="U29" s="636">
        <f t="shared" ref="U29:U36" si="54">IF(T29&gt;=T28,T29-T28,0)</f>
        <v>270</v>
      </c>
      <c r="V29" s="768">
        <v>975665</v>
      </c>
      <c r="W29" s="636">
        <f t="shared" si="2"/>
        <v>2295.96</v>
      </c>
      <c r="X29" s="769">
        <v>840445</v>
      </c>
      <c r="Y29" s="636">
        <f t="shared" si="3"/>
        <v>0</v>
      </c>
      <c r="Z29" s="768">
        <v>871835</v>
      </c>
      <c r="AA29" s="636">
        <f t="shared" si="4"/>
        <v>0</v>
      </c>
      <c r="AB29" s="768">
        <v>184962</v>
      </c>
      <c r="AC29" s="636">
        <f t="shared" si="33"/>
        <v>0</v>
      </c>
      <c r="AD29" s="768">
        <v>863736</v>
      </c>
      <c r="AE29" s="636">
        <f t="shared" si="20"/>
        <v>0</v>
      </c>
      <c r="AF29" s="768">
        <v>1011515</v>
      </c>
      <c r="AG29" s="636">
        <f t="shared" si="42"/>
        <v>9.5400000000000009</v>
      </c>
      <c r="AH29" s="768">
        <v>452788</v>
      </c>
      <c r="AI29" s="636">
        <f t="shared" si="6"/>
        <v>210.94</v>
      </c>
      <c r="AJ29" s="768">
        <v>866531</v>
      </c>
      <c r="AK29" s="636">
        <f t="shared" si="45"/>
        <v>2047.39</v>
      </c>
      <c r="AL29" s="768">
        <v>586013</v>
      </c>
      <c r="AM29" s="636">
        <f t="shared" si="8"/>
        <v>112.89</v>
      </c>
      <c r="AN29" s="805">
        <f t="shared" si="21"/>
        <v>4676.72</v>
      </c>
      <c r="AO29" s="804">
        <v>8257165</v>
      </c>
      <c r="AP29" s="806">
        <f t="shared" si="22"/>
        <v>79.875</v>
      </c>
      <c r="AQ29" s="768">
        <v>767089</v>
      </c>
      <c r="AR29" s="636">
        <f t="shared" si="9"/>
        <v>204</v>
      </c>
      <c r="AS29" s="768">
        <v>26112</v>
      </c>
      <c r="AT29" s="636">
        <f t="shared" si="23"/>
        <v>146</v>
      </c>
      <c r="AU29" s="768">
        <v>829480</v>
      </c>
      <c r="AV29" s="636">
        <f t="shared" si="10"/>
        <v>36</v>
      </c>
      <c r="AW29" s="768">
        <v>2951015</v>
      </c>
      <c r="AX29" s="636">
        <f t="shared" si="11"/>
        <v>881</v>
      </c>
      <c r="AY29" s="768">
        <v>241049</v>
      </c>
      <c r="AZ29" s="636">
        <f t="shared" si="47"/>
        <v>0</v>
      </c>
      <c r="BA29" s="768">
        <v>21206772</v>
      </c>
      <c r="BB29" s="636">
        <f t="shared" si="13"/>
        <v>4079</v>
      </c>
      <c r="BC29" s="768">
        <v>658673</v>
      </c>
      <c r="BD29" s="636">
        <f t="shared" si="13"/>
        <v>281</v>
      </c>
      <c r="BE29" s="768">
        <v>48814</v>
      </c>
      <c r="BF29" s="636">
        <f t="shared" si="13"/>
        <v>45</v>
      </c>
      <c r="BG29" s="769">
        <v>26657204</v>
      </c>
      <c r="BH29" s="636">
        <f t="shared" si="24"/>
        <v>5820.75</v>
      </c>
      <c r="BI29" s="636">
        <f t="shared" si="25"/>
        <v>11572.625</v>
      </c>
      <c r="BJ29" s="636">
        <f t="shared" si="26"/>
        <v>16249.345000000001</v>
      </c>
      <c r="BK29" s="769">
        <v>1514056</v>
      </c>
      <c r="BL29" s="636">
        <f t="shared" si="14"/>
        <v>284</v>
      </c>
      <c r="BM29" s="768">
        <v>4392112</v>
      </c>
      <c r="BN29" s="636">
        <f t="shared" si="15"/>
        <v>988</v>
      </c>
      <c r="BO29" s="807">
        <v>460353</v>
      </c>
      <c r="BP29" s="636">
        <f t="shared" si="16"/>
        <v>117</v>
      </c>
      <c r="BQ29" s="769">
        <v>573984</v>
      </c>
      <c r="BR29" s="636">
        <f t="shared" si="41"/>
        <v>123</v>
      </c>
      <c r="BS29" s="692">
        <f t="shared" si="27"/>
        <v>23340.345000000001</v>
      </c>
      <c r="BT29" s="693">
        <v>251</v>
      </c>
      <c r="BU29" s="692">
        <f t="shared" si="50"/>
        <v>92.989422310756979</v>
      </c>
      <c r="BV29" s="693"/>
      <c r="BW29" s="692" t="e">
        <f t="shared" si="29"/>
        <v>#DIV/0!</v>
      </c>
      <c r="BX29" s="692">
        <f t="shared" si="34"/>
        <v>27097.89675</v>
      </c>
      <c r="BY29" s="692">
        <f t="shared" si="48"/>
        <v>107.95974800796813</v>
      </c>
      <c r="BZ29" s="694" t="e">
        <f t="shared" si="35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5">IF(+B30-B29&gt;0,B30-B29,(B30-B29)&gt;0)*800</f>
        <v>0</v>
      </c>
      <c r="D30" s="432"/>
      <c r="E30" s="432">
        <f t="shared" ref="E30:E35" si="56">IF(+D30-D29&gt;0,D30-D29,(D30-D29)&gt;0)*80</f>
        <v>0</v>
      </c>
      <c r="F30" s="432"/>
      <c r="G30" s="432">
        <f t="shared" ref="G30:G35" si="57">IF(+F30-F29&gt;0,F30-F29,(F30-F29)&gt;0)*10</f>
        <v>0</v>
      </c>
      <c r="H30" s="433">
        <v>68</v>
      </c>
      <c r="I30" s="769">
        <v>26168369</v>
      </c>
      <c r="J30" s="636">
        <f t="shared" si="51"/>
        <v>6548</v>
      </c>
      <c r="K30" s="636">
        <f t="shared" si="19"/>
        <v>4133</v>
      </c>
      <c r="L30" s="769">
        <v>466416</v>
      </c>
      <c r="M30" s="636">
        <f t="shared" si="53"/>
        <v>2184</v>
      </c>
      <c r="N30" s="769">
        <v>458045</v>
      </c>
      <c r="O30" s="636">
        <f t="shared" si="0"/>
        <v>1949</v>
      </c>
      <c r="P30" s="769">
        <v>228621</v>
      </c>
      <c r="Q30" s="636">
        <f t="shared" si="46"/>
        <v>600</v>
      </c>
      <c r="R30" s="768">
        <v>238562</v>
      </c>
      <c r="S30" s="636">
        <f>IF(R30&gt;=R29,R30-R29,0)</f>
        <v>147</v>
      </c>
      <c r="T30" s="768">
        <v>434901</v>
      </c>
      <c r="U30" s="636">
        <f t="shared" si="54"/>
        <v>273</v>
      </c>
      <c r="V30" s="768">
        <v>980776</v>
      </c>
      <c r="W30" s="636">
        <f>IF(V30&gt;=V29,V30-V29,0)*0.53</f>
        <v>2708.83</v>
      </c>
      <c r="X30" s="769">
        <v>840445</v>
      </c>
      <c r="Y30" s="636">
        <f t="shared" si="3"/>
        <v>0</v>
      </c>
      <c r="Z30" s="768">
        <v>871835</v>
      </c>
      <c r="AA30" s="636">
        <f t="shared" si="4"/>
        <v>0</v>
      </c>
      <c r="AB30" s="768">
        <v>184962</v>
      </c>
      <c r="AC30" s="636">
        <f t="shared" si="33"/>
        <v>0</v>
      </c>
      <c r="AD30" s="768">
        <v>863736</v>
      </c>
      <c r="AE30" s="636">
        <f t="shared" si="20"/>
        <v>0</v>
      </c>
      <c r="AF30" s="768">
        <v>1011539</v>
      </c>
      <c r="AG30" s="636">
        <f t="shared" si="42"/>
        <v>12.72</v>
      </c>
      <c r="AH30" s="768">
        <v>453281</v>
      </c>
      <c r="AI30" s="636">
        <f t="shared" si="6"/>
        <v>261.29000000000002</v>
      </c>
      <c r="AJ30" s="768">
        <v>871378</v>
      </c>
      <c r="AK30" s="636">
        <f t="shared" si="45"/>
        <v>2568.9100000000003</v>
      </c>
      <c r="AL30" s="768">
        <v>586257</v>
      </c>
      <c r="AM30" s="636">
        <f t="shared" si="8"/>
        <v>129.32</v>
      </c>
      <c r="AN30" s="805">
        <f t="shared" si="21"/>
        <v>5681.07</v>
      </c>
      <c r="AO30" s="804">
        <v>8257886</v>
      </c>
      <c r="AP30" s="806">
        <f t="shared" si="22"/>
        <v>81.112499999999997</v>
      </c>
      <c r="AQ30" s="769">
        <v>767300</v>
      </c>
      <c r="AR30" s="636">
        <f t="shared" si="9"/>
        <v>211</v>
      </c>
      <c r="AS30" s="768">
        <v>26249</v>
      </c>
      <c r="AT30" s="636">
        <f t="shared" si="23"/>
        <v>137</v>
      </c>
      <c r="AU30" s="768">
        <v>829523</v>
      </c>
      <c r="AV30" s="636">
        <f t="shared" si="10"/>
        <v>43</v>
      </c>
      <c r="AW30" s="768">
        <v>2952054</v>
      </c>
      <c r="AX30" s="636">
        <f t="shared" si="11"/>
        <v>1039</v>
      </c>
      <c r="AY30" s="768">
        <v>241049</v>
      </c>
      <c r="AZ30" s="636">
        <f t="shared" si="47"/>
        <v>0</v>
      </c>
      <c r="BA30" s="768">
        <v>21211753</v>
      </c>
      <c r="BB30" s="636">
        <f t="shared" si="13"/>
        <v>4981</v>
      </c>
      <c r="BC30" s="768">
        <v>658955</v>
      </c>
      <c r="BD30" s="636">
        <f t="shared" si="13"/>
        <v>282</v>
      </c>
      <c r="BE30" s="768">
        <v>48865</v>
      </c>
      <c r="BF30" s="636">
        <f t="shared" si="13"/>
        <v>51</v>
      </c>
      <c r="BG30" s="769">
        <v>26663327</v>
      </c>
      <c r="BH30" s="636">
        <f t="shared" si="24"/>
        <v>5276.7</v>
      </c>
      <c r="BI30" s="636">
        <f t="shared" si="25"/>
        <v>12101.8125</v>
      </c>
      <c r="BJ30" s="636">
        <f t="shared" si="26"/>
        <v>17782.8825</v>
      </c>
      <c r="BK30" s="769">
        <v>1514338</v>
      </c>
      <c r="BL30" s="636">
        <f t="shared" si="14"/>
        <v>282</v>
      </c>
      <c r="BM30" s="768">
        <v>4393090</v>
      </c>
      <c r="BN30" s="805">
        <f t="shared" si="15"/>
        <v>978</v>
      </c>
      <c r="BO30" s="803">
        <v>460469</v>
      </c>
      <c r="BP30" s="806">
        <f t="shared" si="16"/>
        <v>116</v>
      </c>
      <c r="BQ30" s="768">
        <v>574338</v>
      </c>
      <c r="BR30" s="636">
        <f t="shared" si="41"/>
        <v>354</v>
      </c>
      <c r="BS30" s="692">
        <f t="shared" si="27"/>
        <v>24930.8825</v>
      </c>
      <c r="BT30" s="693">
        <v>252</v>
      </c>
      <c r="BU30" s="692">
        <f t="shared" si="50"/>
        <v>98.932073412698415</v>
      </c>
      <c r="BV30" s="693"/>
      <c r="BW30" s="692" t="e">
        <f t="shared" si="29"/>
        <v>#DIV/0!</v>
      </c>
      <c r="BX30" s="692">
        <f t="shared" si="34"/>
        <v>28940.514874999997</v>
      </c>
      <c r="BY30" s="692">
        <f t="shared" si="48"/>
        <v>114.84331299603174</v>
      </c>
      <c r="BZ30" s="694" t="e">
        <f t="shared" si="35"/>
        <v>#DIV/0!</v>
      </c>
    </row>
    <row r="31" spans="1:78" s="385" customFormat="1" ht="33.75" customHeight="1">
      <c r="A31" s="430">
        <v>26</v>
      </c>
      <c r="B31" s="431"/>
      <c r="C31" s="432">
        <f t="shared" si="55"/>
        <v>0</v>
      </c>
      <c r="D31" s="432"/>
      <c r="E31" s="432">
        <f t="shared" si="56"/>
        <v>0</v>
      </c>
      <c r="F31" s="432"/>
      <c r="G31" s="432">
        <f t="shared" si="57"/>
        <v>0</v>
      </c>
      <c r="H31" s="433"/>
      <c r="I31" s="769">
        <v>26178972</v>
      </c>
      <c r="J31" s="636">
        <f t="shared" si="51"/>
        <v>10603</v>
      </c>
      <c r="K31" s="636">
        <f t="shared" si="19"/>
        <v>3837</v>
      </c>
      <c r="L31" s="769">
        <v>468466</v>
      </c>
      <c r="M31" s="636">
        <f t="shared" si="53"/>
        <v>2050</v>
      </c>
      <c r="N31" s="769">
        <v>459832</v>
      </c>
      <c r="O31" s="636">
        <f t="shared" si="0"/>
        <v>1787</v>
      </c>
      <c r="P31" s="769">
        <v>228640</v>
      </c>
      <c r="Q31" s="636">
        <f t="shared" si="46"/>
        <v>570</v>
      </c>
      <c r="R31" s="768">
        <v>238708</v>
      </c>
      <c r="S31" s="636">
        <f t="shared" si="49"/>
        <v>146</v>
      </c>
      <c r="T31" s="768">
        <v>435178</v>
      </c>
      <c r="U31" s="636">
        <f t="shared" si="54"/>
        <v>277</v>
      </c>
      <c r="V31" s="768">
        <v>984793</v>
      </c>
      <c r="W31" s="636">
        <f>IF(V31&gt;=V30,V31-V30,0)*0.53</f>
        <v>2129.0100000000002</v>
      </c>
      <c r="X31" s="769">
        <v>840445</v>
      </c>
      <c r="Y31" s="636">
        <f t="shared" si="3"/>
        <v>0</v>
      </c>
      <c r="Z31" s="768">
        <v>871835</v>
      </c>
      <c r="AA31" s="636">
        <f t="shared" si="4"/>
        <v>0</v>
      </c>
      <c r="AB31" s="768">
        <v>184962</v>
      </c>
      <c r="AC31" s="636">
        <f t="shared" si="33"/>
        <v>0</v>
      </c>
      <c r="AD31" s="768">
        <v>863736</v>
      </c>
      <c r="AE31" s="636">
        <f t="shared" si="20"/>
        <v>0</v>
      </c>
      <c r="AF31" s="768">
        <v>1011562</v>
      </c>
      <c r="AG31" s="636">
        <f t="shared" si="42"/>
        <v>12.190000000000001</v>
      </c>
      <c r="AH31" s="769">
        <v>453689</v>
      </c>
      <c r="AI31" s="636">
        <f t="shared" si="6"/>
        <v>216.24</v>
      </c>
      <c r="AJ31" s="769">
        <v>875277</v>
      </c>
      <c r="AK31" s="636">
        <f t="shared" si="45"/>
        <v>2066.4700000000003</v>
      </c>
      <c r="AL31" s="768">
        <v>586480</v>
      </c>
      <c r="AM31" s="636">
        <f t="shared" si="8"/>
        <v>118.19000000000001</v>
      </c>
      <c r="AN31" s="636">
        <f t="shared" si="21"/>
        <v>4542.1000000000004</v>
      </c>
      <c r="AO31" s="814">
        <v>8258640</v>
      </c>
      <c r="AP31" s="636">
        <f t="shared" si="22"/>
        <v>84.825000000000003</v>
      </c>
      <c r="AQ31" s="768">
        <v>767511</v>
      </c>
      <c r="AR31" s="636">
        <f t="shared" si="9"/>
        <v>211</v>
      </c>
      <c r="AS31" s="768">
        <v>26377</v>
      </c>
      <c r="AT31" s="636">
        <f t="shared" si="23"/>
        <v>128</v>
      </c>
      <c r="AU31" s="768">
        <v>829564</v>
      </c>
      <c r="AV31" s="636">
        <f t="shared" si="10"/>
        <v>41</v>
      </c>
      <c r="AW31" s="768">
        <v>2953049</v>
      </c>
      <c r="AX31" s="636">
        <f t="shared" si="11"/>
        <v>995</v>
      </c>
      <c r="AY31" s="769">
        <v>241049</v>
      </c>
      <c r="AZ31" s="636">
        <f t="shared" si="47"/>
        <v>0</v>
      </c>
      <c r="BA31" s="768">
        <v>21216167</v>
      </c>
      <c r="BB31" s="636">
        <f t="shared" si="13"/>
        <v>4414</v>
      </c>
      <c r="BC31" s="768">
        <v>659235</v>
      </c>
      <c r="BD31" s="636">
        <f t="shared" si="13"/>
        <v>280</v>
      </c>
      <c r="BE31" s="768">
        <v>48911</v>
      </c>
      <c r="BF31" s="636">
        <f t="shared" si="13"/>
        <v>46</v>
      </c>
      <c r="BG31" s="768">
        <v>26669261</v>
      </c>
      <c r="BH31" s="636">
        <f t="shared" si="24"/>
        <v>5415.2999999999993</v>
      </c>
      <c r="BI31" s="636">
        <f t="shared" si="25"/>
        <v>11615.125</v>
      </c>
      <c r="BJ31" s="636">
        <f t="shared" si="26"/>
        <v>16157.225</v>
      </c>
      <c r="BK31" s="769">
        <v>1514614</v>
      </c>
      <c r="BL31" s="636">
        <f t="shared" si="14"/>
        <v>276</v>
      </c>
      <c r="BM31" s="769">
        <v>4394063</v>
      </c>
      <c r="BN31" s="805">
        <f t="shared" si="15"/>
        <v>973</v>
      </c>
      <c r="BO31" s="804">
        <v>460582</v>
      </c>
      <c r="BP31" s="806">
        <f t="shared" si="16"/>
        <v>113</v>
      </c>
      <c r="BQ31" s="768">
        <v>574368</v>
      </c>
      <c r="BR31" s="636">
        <f t="shared" si="41"/>
        <v>30</v>
      </c>
      <c r="BS31" s="692">
        <f t="shared" si="27"/>
        <v>27330.224999999999</v>
      </c>
      <c r="BT31" s="693">
        <v>252</v>
      </c>
      <c r="BU31" s="692">
        <f t="shared" si="50"/>
        <v>108.45327380952381</v>
      </c>
      <c r="BV31" s="693"/>
      <c r="BW31" s="692" t="e">
        <f t="shared" si="29"/>
        <v>#DIV/0!</v>
      </c>
      <c r="BX31" s="692">
        <f t="shared" si="34"/>
        <v>31686.258749999997</v>
      </c>
      <c r="BY31" s="692">
        <f t="shared" si="48"/>
        <v>125.73912202380951</v>
      </c>
      <c r="BZ31" s="694" t="e">
        <f t="shared" si="35"/>
        <v>#DIV/0!</v>
      </c>
    </row>
    <row r="32" spans="1:78" ht="33.75" customHeight="1">
      <c r="A32" s="111">
        <v>27</v>
      </c>
      <c r="B32" s="110"/>
      <c r="C32" s="1">
        <f t="shared" si="55"/>
        <v>0</v>
      </c>
      <c r="D32" s="1"/>
      <c r="E32" s="1">
        <f t="shared" si="56"/>
        <v>0</v>
      </c>
      <c r="F32" s="1"/>
      <c r="G32" s="1">
        <f t="shared" si="57"/>
        <v>0</v>
      </c>
      <c r="H32" s="30">
        <v>69</v>
      </c>
      <c r="I32" s="769">
        <v>26180099</v>
      </c>
      <c r="J32" s="636">
        <f t="shared" si="18"/>
        <v>1127</v>
      </c>
      <c r="K32" s="636">
        <f t="shared" si="19"/>
        <v>3727</v>
      </c>
      <c r="L32" s="769">
        <v>470275</v>
      </c>
      <c r="M32" s="636">
        <f t="shared" si="53"/>
        <v>1809</v>
      </c>
      <c r="N32" s="769">
        <v>461750</v>
      </c>
      <c r="O32" s="636">
        <f t="shared" si="0"/>
        <v>1918</v>
      </c>
      <c r="P32" s="769">
        <v>228658</v>
      </c>
      <c r="Q32" s="636">
        <f t="shared" si="46"/>
        <v>540</v>
      </c>
      <c r="R32" s="768">
        <v>238840</v>
      </c>
      <c r="S32" s="636">
        <f t="shared" si="49"/>
        <v>132</v>
      </c>
      <c r="T32" s="768">
        <v>435417</v>
      </c>
      <c r="U32" s="636">
        <f t="shared" si="54"/>
        <v>239</v>
      </c>
      <c r="V32" s="768">
        <v>989194</v>
      </c>
      <c r="W32" s="636">
        <f>IF(V32&gt;=V31,V32-V31,0)*0.53</f>
        <v>2332.5300000000002</v>
      </c>
      <c r="X32" s="769">
        <v>840445</v>
      </c>
      <c r="Y32" s="636">
        <f t="shared" si="3"/>
        <v>0</v>
      </c>
      <c r="Z32" s="768">
        <v>871835</v>
      </c>
      <c r="AA32" s="636">
        <f t="shared" si="4"/>
        <v>0</v>
      </c>
      <c r="AB32" s="768">
        <v>184962</v>
      </c>
      <c r="AC32" s="636">
        <f t="shared" si="33"/>
        <v>0</v>
      </c>
      <c r="AD32" s="768">
        <v>863736</v>
      </c>
      <c r="AE32" s="636">
        <f t="shared" si="20"/>
        <v>0</v>
      </c>
      <c r="AF32" s="768">
        <v>1011584</v>
      </c>
      <c r="AG32" s="636">
        <f t="shared" si="42"/>
        <v>11.66</v>
      </c>
      <c r="AH32" s="768">
        <v>454167</v>
      </c>
      <c r="AI32" s="636">
        <f t="shared" si="6"/>
        <v>253.34</v>
      </c>
      <c r="AJ32" s="768">
        <v>879117</v>
      </c>
      <c r="AK32" s="636">
        <f t="shared" si="45"/>
        <v>2035.2</v>
      </c>
      <c r="AL32" s="768">
        <v>586687</v>
      </c>
      <c r="AM32" s="636">
        <f t="shared" si="8"/>
        <v>109.71000000000001</v>
      </c>
      <c r="AN32" s="636">
        <f t="shared" si="21"/>
        <v>4742.4400000000005</v>
      </c>
      <c r="AO32" s="768">
        <v>8259547</v>
      </c>
      <c r="AP32" s="636">
        <f t="shared" si="22"/>
        <v>102.03750000000001</v>
      </c>
      <c r="AQ32" s="769">
        <v>767661</v>
      </c>
      <c r="AR32" s="636">
        <f t="shared" si="9"/>
        <v>150</v>
      </c>
      <c r="AS32" s="768">
        <v>26469</v>
      </c>
      <c r="AT32" s="636">
        <f t="shared" si="23"/>
        <v>92</v>
      </c>
      <c r="AU32" s="768">
        <v>829603</v>
      </c>
      <c r="AV32" s="636">
        <f t="shared" si="10"/>
        <v>39</v>
      </c>
      <c r="AW32" s="768">
        <v>2953965</v>
      </c>
      <c r="AX32" s="636">
        <f t="shared" si="11"/>
        <v>916</v>
      </c>
      <c r="AY32" s="769">
        <v>241049</v>
      </c>
      <c r="AZ32" s="636">
        <f t="shared" si="47"/>
        <v>0</v>
      </c>
      <c r="BA32" s="768">
        <v>21220490</v>
      </c>
      <c r="BB32" s="636">
        <f t="shared" si="13"/>
        <v>4323</v>
      </c>
      <c r="BC32" s="768">
        <v>659501</v>
      </c>
      <c r="BD32" s="636">
        <f t="shared" si="13"/>
        <v>266</v>
      </c>
      <c r="BE32" s="768">
        <v>48960.333333333299</v>
      </c>
      <c r="BF32" s="636">
        <f t="shared" si="13"/>
        <v>49.333333333299379</v>
      </c>
      <c r="BG32" s="769">
        <v>26675153</v>
      </c>
      <c r="BH32" s="636">
        <f t="shared" si="24"/>
        <v>5392.45</v>
      </c>
      <c r="BI32" s="636">
        <f t="shared" si="25"/>
        <v>11329.820833333299</v>
      </c>
      <c r="BJ32" s="636">
        <f t="shared" si="26"/>
        <v>16072.260833333299</v>
      </c>
      <c r="BK32" s="769">
        <v>1514870</v>
      </c>
      <c r="BL32" s="636">
        <f t="shared" si="14"/>
        <v>256</v>
      </c>
      <c r="BM32" s="769">
        <v>4394961</v>
      </c>
      <c r="BN32" s="805">
        <f t="shared" si="15"/>
        <v>898</v>
      </c>
      <c r="BO32" s="804">
        <v>460683</v>
      </c>
      <c r="BP32" s="806">
        <f t="shared" si="16"/>
        <v>101</v>
      </c>
      <c r="BQ32" s="768">
        <v>574418</v>
      </c>
      <c r="BR32" s="636">
        <f t="shared" si="41"/>
        <v>50</v>
      </c>
      <c r="BS32" s="692">
        <f t="shared" si="27"/>
        <v>17739.260833333297</v>
      </c>
      <c r="BT32" s="693">
        <v>236</v>
      </c>
      <c r="BU32" s="692">
        <f t="shared" si="50"/>
        <v>75.166359463276677</v>
      </c>
      <c r="BV32" s="695"/>
      <c r="BW32" s="692" t="e">
        <f t="shared" si="29"/>
        <v>#DIV/0!</v>
      </c>
      <c r="BX32" s="692">
        <f t="shared" si="34"/>
        <v>20643.149958333292</v>
      </c>
      <c r="BY32" s="692">
        <f t="shared" si="48"/>
        <v>87.470974399717335</v>
      </c>
      <c r="BZ32" s="694" t="e">
        <f t="shared" si="35"/>
        <v>#DIV/0!</v>
      </c>
    </row>
    <row r="33" spans="1:78" ht="33.75" customHeight="1">
      <c r="A33" s="111">
        <v>28</v>
      </c>
      <c r="B33" s="110"/>
      <c r="C33" s="1">
        <f t="shared" si="55"/>
        <v>0</v>
      </c>
      <c r="D33" s="1"/>
      <c r="E33" s="1">
        <f t="shared" si="56"/>
        <v>0</v>
      </c>
      <c r="F33" s="1"/>
      <c r="G33" s="1">
        <f t="shared" si="57"/>
        <v>0</v>
      </c>
      <c r="H33" s="30"/>
      <c r="I33" s="769">
        <v>26187543.333333299</v>
      </c>
      <c r="J33" s="636">
        <f t="shared" si="18"/>
        <v>7444.333333298564</v>
      </c>
      <c r="K33" s="636">
        <f t="shared" si="19"/>
        <v>3800.3333333339542</v>
      </c>
      <c r="L33" s="769">
        <v>472244.66666666698</v>
      </c>
      <c r="M33" s="636">
        <f t="shared" si="53"/>
        <v>1969.6666666669771</v>
      </c>
      <c r="N33" s="769">
        <v>463580.66666666698</v>
      </c>
      <c r="O33" s="636">
        <f t="shared" si="0"/>
        <v>1830.6666666669771</v>
      </c>
      <c r="P33" s="769">
        <v>228676.66666666701</v>
      </c>
      <c r="Q33" s="636">
        <f t="shared" si="46"/>
        <v>560.00000001018634</v>
      </c>
      <c r="R33" s="768">
        <v>238981.33333333299</v>
      </c>
      <c r="S33" s="636">
        <f t="shared" si="49"/>
        <v>141.33333333299379</v>
      </c>
      <c r="T33" s="768">
        <v>435681.33333333302</v>
      </c>
      <c r="U33" s="636">
        <f t="shared" si="54"/>
        <v>264.33333333302289</v>
      </c>
      <c r="V33" s="768">
        <v>993339</v>
      </c>
      <c r="W33" s="636">
        <f t="shared" si="2"/>
        <v>2196.85</v>
      </c>
      <c r="X33" s="769">
        <v>840445</v>
      </c>
      <c r="Y33" s="636">
        <f t="shared" si="3"/>
        <v>0</v>
      </c>
      <c r="Z33" s="768">
        <v>871835</v>
      </c>
      <c r="AA33" s="636">
        <f t="shared" si="4"/>
        <v>0</v>
      </c>
      <c r="AB33" s="768">
        <v>184962</v>
      </c>
      <c r="AC33" s="636">
        <f t="shared" si="33"/>
        <v>0</v>
      </c>
      <c r="AD33" s="768">
        <v>863736</v>
      </c>
      <c r="AE33" s="636">
        <f t="shared" si="20"/>
        <v>0</v>
      </c>
      <c r="AF33" s="768">
        <v>1011606.66666667</v>
      </c>
      <c r="AG33" s="636">
        <f t="shared" si="42"/>
        <v>12.01333333510207</v>
      </c>
      <c r="AH33" s="768">
        <v>454598.33333333302</v>
      </c>
      <c r="AI33" s="636">
        <f t="shared" si="6"/>
        <v>228.60666666650215</v>
      </c>
      <c r="AJ33" s="768">
        <v>882996.33333333302</v>
      </c>
      <c r="AK33" s="636">
        <f t="shared" si="45"/>
        <v>2056.0466666665025</v>
      </c>
      <c r="AL33" s="768">
        <v>586904.66666666698</v>
      </c>
      <c r="AM33" s="636">
        <f t="shared" si="8"/>
        <v>115.36333333349788</v>
      </c>
      <c r="AN33" s="636">
        <f t="shared" si="21"/>
        <v>4608.8800000016054</v>
      </c>
      <c r="AO33" s="804">
        <v>8260352</v>
      </c>
      <c r="AP33" s="636">
        <f t="shared" si="22"/>
        <v>90.5625</v>
      </c>
      <c r="AQ33" s="769">
        <v>767851.66666666698</v>
      </c>
      <c r="AR33" s="636">
        <f t="shared" si="9"/>
        <v>190.66666666697711</v>
      </c>
      <c r="AS33" s="768">
        <v>26585</v>
      </c>
      <c r="AT33" s="636">
        <f t="shared" si="23"/>
        <v>116</v>
      </c>
      <c r="AU33" s="768">
        <v>829643.33333333302</v>
      </c>
      <c r="AV33" s="636">
        <f t="shared" si="10"/>
        <v>40.333333333022892</v>
      </c>
      <c r="AW33" s="768">
        <v>2954933.6666666698</v>
      </c>
      <c r="AX33" s="636">
        <f t="shared" si="11"/>
        <v>968.66666666977108</v>
      </c>
      <c r="AY33" s="768">
        <v>241049</v>
      </c>
      <c r="AZ33" s="636">
        <f t="shared" si="47"/>
        <v>0</v>
      </c>
      <c r="BA33" s="768">
        <v>21224873.666666701</v>
      </c>
      <c r="BB33" s="636">
        <f t="shared" si="13"/>
        <v>4383.666666701436</v>
      </c>
      <c r="BC33" s="768">
        <v>659776.33333333302</v>
      </c>
      <c r="BD33" s="636">
        <f t="shared" si="13"/>
        <v>275.33333333302289</v>
      </c>
      <c r="BE33" s="768">
        <v>49008.833333333299</v>
      </c>
      <c r="BF33" s="636">
        <f t="shared" si="13"/>
        <v>48.5</v>
      </c>
      <c r="BG33" s="769">
        <v>26681073</v>
      </c>
      <c r="BH33" s="636">
        <f t="shared" si="24"/>
        <v>5407.6833333330223</v>
      </c>
      <c r="BI33" s="636">
        <f t="shared" si="25"/>
        <v>11521.412500037251</v>
      </c>
      <c r="BJ33" s="636">
        <f t="shared" si="26"/>
        <v>16130.292500038857</v>
      </c>
      <c r="BK33" s="769">
        <v>1515139.33333333</v>
      </c>
      <c r="BL33" s="636">
        <f t="shared" si="14"/>
        <v>269.33333332999609</v>
      </c>
      <c r="BM33" s="768">
        <v>4395909</v>
      </c>
      <c r="BN33" s="805">
        <f t="shared" si="15"/>
        <v>948</v>
      </c>
      <c r="BO33" s="803">
        <v>460792</v>
      </c>
      <c r="BP33" s="806">
        <f t="shared" si="16"/>
        <v>109</v>
      </c>
      <c r="BQ33" s="768">
        <v>574454.66666666698</v>
      </c>
      <c r="BR33" s="636">
        <f t="shared" si="41"/>
        <v>36.666666666977108</v>
      </c>
      <c r="BS33" s="692">
        <f t="shared" si="27"/>
        <v>24134.625833347607</v>
      </c>
      <c r="BT33" s="693">
        <v>230.666666666667</v>
      </c>
      <c r="BU33" s="692">
        <f t="shared" si="50"/>
        <v>104.62988078040856</v>
      </c>
      <c r="BV33" s="693"/>
      <c r="BW33" s="692" t="e">
        <f t="shared" si="29"/>
        <v>#DIV/0!</v>
      </c>
      <c r="BX33" s="692">
        <f t="shared" si="34"/>
        <v>28006.819708354331</v>
      </c>
      <c r="BY33" s="692">
        <f t="shared" si="48"/>
        <v>121.41684844662265</v>
      </c>
      <c r="BZ33" s="694" t="e">
        <f t="shared" si="35"/>
        <v>#DIV/0!</v>
      </c>
    </row>
    <row r="34" spans="1:78" ht="33.75" customHeight="1">
      <c r="A34" s="111">
        <v>29</v>
      </c>
      <c r="B34" s="110"/>
      <c r="C34" s="1">
        <f t="shared" si="55"/>
        <v>0</v>
      </c>
      <c r="D34" s="1"/>
      <c r="E34" s="1">
        <f t="shared" si="56"/>
        <v>0</v>
      </c>
      <c r="F34" s="1"/>
      <c r="G34" s="1">
        <f t="shared" si="57"/>
        <v>0</v>
      </c>
      <c r="H34" s="30"/>
      <c r="I34" s="769">
        <v>26187543.333333299</v>
      </c>
      <c r="J34" s="636">
        <f t="shared" si="18"/>
        <v>0</v>
      </c>
      <c r="K34" s="636">
        <f t="shared" si="19"/>
        <v>0</v>
      </c>
      <c r="L34" s="769">
        <v>472244.66666666698</v>
      </c>
      <c r="M34" s="636">
        <f t="shared" si="53"/>
        <v>0</v>
      </c>
      <c r="N34" s="769">
        <v>463580.66666666698</v>
      </c>
      <c r="O34" s="636">
        <f t="shared" si="0"/>
        <v>0</v>
      </c>
      <c r="P34" s="769">
        <v>228676.66666666701</v>
      </c>
      <c r="Q34" s="636">
        <f t="shared" si="46"/>
        <v>0</v>
      </c>
      <c r="R34" s="768">
        <v>238981.33333333299</v>
      </c>
      <c r="S34" s="636">
        <f t="shared" si="49"/>
        <v>0</v>
      </c>
      <c r="T34" s="768">
        <v>435681.33333333302</v>
      </c>
      <c r="U34" s="636">
        <f t="shared" si="54"/>
        <v>0</v>
      </c>
      <c r="V34" s="768">
        <v>993339</v>
      </c>
      <c r="W34" s="636">
        <f t="shared" si="2"/>
        <v>0</v>
      </c>
      <c r="X34" s="769">
        <v>840445</v>
      </c>
      <c r="Y34" s="636">
        <f t="shared" si="3"/>
        <v>0</v>
      </c>
      <c r="Z34" s="768">
        <v>871835</v>
      </c>
      <c r="AA34" s="636">
        <f t="shared" si="4"/>
        <v>0</v>
      </c>
      <c r="AB34" s="768">
        <v>184962</v>
      </c>
      <c r="AC34" s="636">
        <f t="shared" si="33"/>
        <v>0</v>
      </c>
      <c r="AD34" s="768">
        <v>863736</v>
      </c>
      <c r="AE34" s="636">
        <f t="shared" si="20"/>
        <v>0</v>
      </c>
      <c r="AF34" s="768">
        <v>1011606.66666667</v>
      </c>
      <c r="AG34" s="636">
        <f t="shared" si="42"/>
        <v>0</v>
      </c>
      <c r="AH34" s="768">
        <v>454598.33333333302</v>
      </c>
      <c r="AI34" s="636">
        <f t="shared" si="6"/>
        <v>0</v>
      </c>
      <c r="AJ34" s="768">
        <v>882996.33333333302</v>
      </c>
      <c r="AK34" s="636">
        <f t="shared" si="45"/>
        <v>0</v>
      </c>
      <c r="AL34" s="768">
        <v>586904.66666666698</v>
      </c>
      <c r="AM34" s="636">
        <f t="shared" si="8"/>
        <v>0</v>
      </c>
      <c r="AN34" s="636">
        <f t="shared" si="21"/>
        <v>0</v>
      </c>
      <c r="AO34" s="804">
        <v>8260352</v>
      </c>
      <c r="AP34" s="636">
        <f t="shared" si="22"/>
        <v>0</v>
      </c>
      <c r="AQ34" s="769">
        <v>767851.66666666698</v>
      </c>
      <c r="AR34" s="636">
        <f t="shared" si="9"/>
        <v>0</v>
      </c>
      <c r="AS34" s="768">
        <v>26585</v>
      </c>
      <c r="AT34" s="636">
        <f t="shared" si="23"/>
        <v>0</v>
      </c>
      <c r="AU34" s="768">
        <v>829643.33333333302</v>
      </c>
      <c r="AV34" s="636">
        <f t="shared" si="10"/>
        <v>0</v>
      </c>
      <c r="AW34" s="768">
        <v>2954933.6666666698</v>
      </c>
      <c r="AX34" s="636">
        <f t="shared" si="11"/>
        <v>0</v>
      </c>
      <c r="AY34" s="768">
        <v>241049</v>
      </c>
      <c r="AZ34" s="636">
        <f t="shared" si="47"/>
        <v>0</v>
      </c>
      <c r="BA34" s="768">
        <v>21224873.666666701</v>
      </c>
      <c r="BB34" s="636">
        <f t="shared" si="13"/>
        <v>0</v>
      </c>
      <c r="BC34" s="768">
        <v>659776.33333333302</v>
      </c>
      <c r="BD34" s="636">
        <f t="shared" si="13"/>
        <v>0</v>
      </c>
      <c r="BE34" s="768">
        <v>49008.833333333299</v>
      </c>
      <c r="BF34" s="636">
        <f t="shared" si="13"/>
        <v>0</v>
      </c>
      <c r="BG34" s="769">
        <v>26681073</v>
      </c>
      <c r="BH34" s="636">
        <f t="shared" si="24"/>
        <v>0</v>
      </c>
      <c r="BI34" s="636">
        <f t="shared" si="25"/>
        <v>0</v>
      </c>
      <c r="BJ34" s="636">
        <f t="shared" si="26"/>
        <v>0</v>
      </c>
      <c r="BK34" s="769">
        <v>1515139.33333333</v>
      </c>
      <c r="BL34" s="636">
        <f t="shared" si="14"/>
        <v>0</v>
      </c>
      <c r="BM34" s="768">
        <v>4395909</v>
      </c>
      <c r="BN34" s="805">
        <f t="shared" si="15"/>
        <v>0</v>
      </c>
      <c r="BO34" s="803">
        <v>460792</v>
      </c>
      <c r="BP34" s="806">
        <f t="shared" si="16"/>
        <v>0</v>
      </c>
      <c r="BQ34" s="768">
        <v>574454.66666666698</v>
      </c>
      <c r="BR34" s="636">
        <f t="shared" si="41"/>
        <v>0</v>
      </c>
      <c r="BS34" s="692">
        <f t="shared" si="27"/>
        <v>0</v>
      </c>
      <c r="BT34" s="693">
        <v>0</v>
      </c>
      <c r="BU34" s="692">
        <f t="shared" si="50"/>
        <v>0</v>
      </c>
      <c r="BV34" s="693"/>
      <c r="BW34" s="692">
        <f t="shared" si="29"/>
        <v>0</v>
      </c>
      <c r="BX34" s="692">
        <f t="shared" si="34"/>
        <v>0</v>
      </c>
      <c r="BY34" s="692">
        <f t="shared" si="48"/>
        <v>0</v>
      </c>
      <c r="BZ34" s="694">
        <f t="shared" si="35"/>
        <v>0</v>
      </c>
    </row>
    <row r="35" spans="1:78" ht="33.75" customHeight="1">
      <c r="A35" s="111">
        <v>30</v>
      </c>
      <c r="B35" s="110"/>
      <c r="C35" s="1">
        <f t="shared" si="55"/>
        <v>0</v>
      </c>
      <c r="D35" s="1"/>
      <c r="E35" s="1">
        <f t="shared" si="56"/>
        <v>0</v>
      </c>
      <c r="F35" s="1"/>
      <c r="G35" s="1">
        <f t="shared" si="57"/>
        <v>0</v>
      </c>
      <c r="H35" s="30"/>
      <c r="I35" s="769">
        <v>26187543.333333299</v>
      </c>
      <c r="J35" s="636">
        <f t="shared" si="18"/>
        <v>0</v>
      </c>
      <c r="K35" s="636">
        <f t="shared" si="19"/>
        <v>0</v>
      </c>
      <c r="L35" s="769">
        <v>472244.66666666698</v>
      </c>
      <c r="M35" s="636">
        <f t="shared" si="53"/>
        <v>0</v>
      </c>
      <c r="N35" s="769">
        <v>463580.66666666698</v>
      </c>
      <c r="O35" s="636">
        <f t="shared" si="0"/>
        <v>0</v>
      </c>
      <c r="P35" s="769">
        <v>228676.66666666701</v>
      </c>
      <c r="Q35" s="636">
        <f t="shared" si="46"/>
        <v>0</v>
      </c>
      <c r="R35" s="768">
        <v>238981.33333333299</v>
      </c>
      <c r="S35" s="636">
        <f t="shared" si="49"/>
        <v>0</v>
      </c>
      <c r="T35" s="768">
        <v>435681.33333333302</v>
      </c>
      <c r="U35" s="636">
        <f t="shared" si="54"/>
        <v>0</v>
      </c>
      <c r="V35" s="768">
        <v>993339</v>
      </c>
      <c r="W35" s="636">
        <f t="shared" si="2"/>
        <v>0</v>
      </c>
      <c r="X35" s="769">
        <v>840445</v>
      </c>
      <c r="Y35" s="636">
        <f t="shared" si="3"/>
        <v>0</v>
      </c>
      <c r="Z35" s="768">
        <v>871835</v>
      </c>
      <c r="AA35" s="636">
        <f t="shared" si="4"/>
        <v>0</v>
      </c>
      <c r="AB35" s="768">
        <v>184962</v>
      </c>
      <c r="AC35" s="636">
        <f t="shared" si="33"/>
        <v>0</v>
      </c>
      <c r="AD35" s="768">
        <v>863736</v>
      </c>
      <c r="AE35" s="636">
        <f t="shared" si="20"/>
        <v>0</v>
      </c>
      <c r="AF35" s="768">
        <v>1011606.66666667</v>
      </c>
      <c r="AG35" s="636">
        <f t="shared" si="42"/>
        <v>0</v>
      </c>
      <c r="AH35" s="768">
        <v>454598.33333333302</v>
      </c>
      <c r="AI35" s="636">
        <f t="shared" si="6"/>
        <v>0</v>
      </c>
      <c r="AJ35" s="768">
        <v>882996.33333333302</v>
      </c>
      <c r="AK35" s="636">
        <f t="shared" si="45"/>
        <v>0</v>
      </c>
      <c r="AL35" s="768">
        <v>586904.66666666698</v>
      </c>
      <c r="AM35" s="636">
        <f t="shared" si="8"/>
        <v>0</v>
      </c>
      <c r="AN35" s="636">
        <f t="shared" si="21"/>
        <v>0</v>
      </c>
      <c r="AO35" s="804">
        <v>8260352</v>
      </c>
      <c r="AP35" s="636">
        <f t="shared" si="22"/>
        <v>0</v>
      </c>
      <c r="AQ35" s="769">
        <v>767851.66666666698</v>
      </c>
      <c r="AR35" s="636">
        <f t="shared" si="9"/>
        <v>0</v>
      </c>
      <c r="AS35" s="768">
        <v>26585</v>
      </c>
      <c r="AT35" s="636">
        <f>IF(AS35&gt;=AS34,AS35-AS34,0)</f>
        <v>0</v>
      </c>
      <c r="AU35" s="768">
        <v>829643.33333333302</v>
      </c>
      <c r="AV35" s="636">
        <f t="shared" si="10"/>
        <v>0</v>
      </c>
      <c r="AW35" s="768">
        <v>2954933.6666666698</v>
      </c>
      <c r="AX35" s="636">
        <f t="shared" si="11"/>
        <v>0</v>
      </c>
      <c r="AY35" s="768">
        <v>241049</v>
      </c>
      <c r="AZ35" s="636">
        <f t="shared" si="47"/>
        <v>0</v>
      </c>
      <c r="BA35" s="768">
        <v>21224873.666666701</v>
      </c>
      <c r="BB35" s="636">
        <f t="shared" si="13"/>
        <v>0</v>
      </c>
      <c r="BC35" s="768">
        <v>659776.33333333302</v>
      </c>
      <c r="BD35" s="636">
        <f t="shared" si="13"/>
        <v>0</v>
      </c>
      <c r="BE35" s="768">
        <v>49008.833333333299</v>
      </c>
      <c r="BF35" s="636">
        <f t="shared" si="13"/>
        <v>0</v>
      </c>
      <c r="BG35" s="769">
        <v>26681073</v>
      </c>
      <c r="BH35" s="636">
        <f t="shared" si="24"/>
        <v>0</v>
      </c>
      <c r="BI35" s="636">
        <f t="shared" si="25"/>
        <v>0</v>
      </c>
      <c r="BJ35" s="636">
        <f t="shared" si="26"/>
        <v>0</v>
      </c>
      <c r="BK35" s="769">
        <v>1515139.33333333</v>
      </c>
      <c r="BL35" s="636">
        <f t="shared" si="14"/>
        <v>0</v>
      </c>
      <c r="BM35" s="768">
        <v>4395909</v>
      </c>
      <c r="BN35" s="805">
        <f t="shared" si="15"/>
        <v>0</v>
      </c>
      <c r="BO35" s="803">
        <v>460792</v>
      </c>
      <c r="BP35" s="806">
        <f t="shared" si="16"/>
        <v>0</v>
      </c>
      <c r="BQ35" s="768">
        <v>574454.66666666698</v>
      </c>
      <c r="BR35" s="636">
        <f t="shared" si="41"/>
        <v>0</v>
      </c>
      <c r="BS35" s="692">
        <f t="shared" si="27"/>
        <v>0</v>
      </c>
      <c r="BT35" s="693">
        <v>0</v>
      </c>
      <c r="BU35" s="692">
        <f t="shared" si="50"/>
        <v>0</v>
      </c>
      <c r="BV35" s="693"/>
      <c r="BW35" s="692">
        <f t="shared" si="29"/>
        <v>0</v>
      </c>
      <c r="BX35" s="692">
        <f t="shared" si="34"/>
        <v>0</v>
      </c>
      <c r="BY35" s="692">
        <f t="shared" si="48"/>
        <v>0</v>
      </c>
      <c r="BZ35" s="694">
        <f t="shared" si="35"/>
        <v>0</v>
      </c>
    </row>
    <row r="36" spans="1:78" ht="33.75" customHeight="1">
      <c r="A36" s="111">
        <v>31</v>
      </c>
      <c r="B36" s="717"/>
      <c r="C36" s="718"/>
      <c r="D36" s="718"/>
      <c r="E36" s="718"/>
      <c r="F36" s="718"/>
      <c r="G36" s="718"/>
      <c r="H36" s="719"/>
      <c r="I36" s="769">
        <v>26187543.333333299</v>
      </c>
      <c r="J36" s="636">
        <f t="shared" si="18"/>
        <v>0</v>
      </c>
      <c r="K36" s="636">
        <f t="shared" si="19"/>
        <v>0</v>
      </c>
      <c r="L36" s="769">
        <v>472244.66666666698</v>
      </c>
      <c r="M36" s="636">
        <f t="shared" si="53"/>
        <v>0</v>
      </c>
      <c r="N36" s="769">
        <v>463580.66666666698</v>
      </c>
      <c r="O36" s="636">
        <f t="shared" si="0"/>
        <v>0</v>
      </c>
      <c r="P36" s="769">
        <v>228676.66666666701</v>
      </c>
      <c r="Q36" s="636">
        <f>IF(P36&gt;=P35,P36-P35,0)*30</f>
        <v>0</v>
      </c>
      <c r="R36" s="768">
        <v>238981.33333333299</v>
      </c>
      <c r="S36" s="636">
        <f>IF(R36&gt;=R35,R36-R35,0)</f>
        <v>0</v>
      </c>
      <c r="T36" s="768">
        <v>435681.33333333302</v>
      </c>
      <c r="U36" s="636">
        <f t="shared" si="54"/>
        <v>0</v>
      </c>
      <c r="V36" s="768">
        <v>993339</v>
      </c>
      <c r="W36" s="636">
        <f t="shared" si="2"/>
        <v>0</v>
      </c>
      <c r="X36" s="769">
        <v>840445</v>
      </c>
      <c r="Y36" s="636">
        <f t="shared" si="3"/>
        <v>0</v>
      </c>
      <c r="Z36" s="768">
        <v>871835</v>
      </c>
      <c r="AA36" s="636">
        <f t="shared" si="4"/>
        <v>0</v>
      </c>
      <c r="AB36" s="768">
        <v>184962</v>
      </c>
      <c r="AC36" s="636">
        <f t="shared" si="33"/>
        <v>0</v>
      </c>
      <c r="AD36" s="768">
        <v>863736</v>
      </c>
      <c r="AE36" s="636">
        <f t="shared" si="20"/>
        <v>0</v>
      </c>
      <c r="AF36" s="768">
        <v>1011606.66666667</v>
      </c>
      <c r="AG36" s="636">
        <f t="shared" si="42"/>
        <v>0</v>
      </c>
      <c r="AH36" s="768">
        <v>454598.33333333302</v>
      </c>
      <c r="AI36" s="636">
        <f t="shared" si="6"/>
        <v>0</v>
      </c>
      <c r="AJ36" s="768">
        <v>882996.33333333302</v>
      </c>
      <c r="AK36" s="636">
        <f t="shared" si="45"/>
        <v>0</v>
      </c>
      <c r="AL36" s="768">
        <v>586904.66666666698</v>
      </c>
      <c r="AM36" s="636">
        <f t="shared" si="8"/>
        <v>0</v>
      </c>
      <c r="AN36" s="636">
        <f t="shared" si="21"/>
        <v>0</v>
      </c>
      <c r="AO36" s="804">
        <v>8260352</v>
      </c>
      <c r="AP36" s="636">
        <f t="shared" si="22"/>
        <v>0</v>
      </c>
      <c r="AQ36" s="769">
        <v>767851.66666666698</v>
      </c>
      <c r="AR36" s="636">
        <f t="shared" si="9"/>
        <v>0</v>
      </c>
      <c r="AS36" s="768">
        <v>26585</v>
      </c>
      <c r="AT36" s="636">
        <f>IF(AS36&gt;=AS35,AS36-AS35,0)</f>
        <v>0</v>
      </c>
      <c r="AU36" s="768">
        <v>829643.33333333302</v>
      </c>
      <c r="AV36" s="636">
        <f t="shared" si="10"/>
        <v>0</v>
      </c>
      <c r="AW36" s="768">
        <v>2954933.6666666698</v>
      </c>
      <c r="AX36" s="636">
        <f t="shared" si="11"/>
        <v>0</v>
      </c>
      <c r="AY36" s="768">
        <v>241049</v>
      </c>
      <c r="AZ36" s="636">
        <f t="shared" si="47"/>
        <v>0</v>
      </c>
      <c r="BA36" s="768">
        <v>21224873.666666701</v>
      </c>
      <c r="BB36" s="636">
        <f t="shared" si="13"/>
        <v>0</v>
      </c>
      <c r="BC36" s="768">
        <v>659776.33333333302</v>
      </c>
      <c r="BD36" s="636">
        <f t="shared" si="13"/>
        <v>0</v>
      </c>
      <c r="BE36" s="768">
        <v>49008.833333333299</v>
      </c>
      <c r="BF36" s="636">
        <f t="shared" si="13"/>
        <v>0</v>
      </c>
      <c r="BG36" s="769">
        <v>26681073</v>
      </c>
      <c r="BH36" s="636">
        <f t="shared" si="24"/>
        <v>0</v>
      </c>
      <c r="BI36" s="636">
        <f t="shared" si="25"/>
        <v>0</v>
      </c>
      <c r="BJ36" s="636">
        <f t="shared" si="26"/>
        <v>0</v>
      </c>
      <c r="BK36" s="769">
        <v>1515139.33333333</v>
      </c>
      <c r="BL36" s="636">
        <f t="shared" si="14"/>
        <v>0</v>
      </c>
      <c r="BM36" s="768">
        <v>4395909</v>
      </c>
      <c r="BN36" s="805">
        <f t="shared" si="15"/>
        <v>0</v>
      </c>
      <c r="BO36" s="803">
        <v>460792</v>
      </c>
      <c r="BP36" s="806">
        <f t="shared" si="16"/>
        <v>0</v>
      </c>
      <c r="BQ36" s="768">
        <v>574454.66666666698</v>
      </c>
      <c r="BR36" s="636">
        <f t="shared" si="41"/>
        <v>0</v>
      </c>
      <c r="BS36" s="692">
        <f t="shared" si="27"/>
        <v>0</v>
      </c>
      <c r="BT36" s="693">
        <v>0</v>
      </c>
      <c r="BU36" s="692">
        <f t="shared" si="50"/>
        <v>0</v>
      </c>
      <c r="BV36" s="720"/>
      <c r="BW36" s="692">
        <f t="shared" si="29"/>
        <v>0</v>
      </c>
      <c r="BX36" s="692">
        <f t="shared" si="34"/>
        <v>0</v>
      </c>
      <c r="BY36" s="692">
        <f t="shared" si="48"/>
        <v>0</v>
      </c>
      <c r="BZ36" s="694">
        <f t="shared" si="35"/>
        <v>0</v>
      </c>
    </row>
    <row r="37" spans="1:78" s="3" customFormat="1" ht="36.75" customHeight="1">
      <c r="A37" s="541" t="s">
        <v>122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6"/>
      <c r="J37" s="711">
        <f>SUM(J6:J36)</f>
        <v>196305.66666659713</v>
      </c>
      <c r="K37" s="711">
        <f>SUM(K6:K36)</f>
        <v>121751</v>
      </c>
      <c r="L37" s="696"/>
      <c r="M37" s="552">
        <f>SUM(M6:M36)</f>
        <v>67519</v>
      </c>
      <c r="N37" s="696"/>
      <c r="O37" s="552">
        <f>SUM(O6:O36)</f>
        <v>54232</v>
      </c>
      <c r="P37" s="696"/>
      <c r="Q37" s="552">
        <f>SUM(Q6:Q36)</f>
        <v>14450.000000010186</v>
      </c>
      <c r="R37" s="715"/>
      <c r="S37" s="552">
        <f>SUM(S6:S36)</f>
        <v>4010</v>
      </c>
      <c r="T37" s="715"/>
      <c r="U37" s="552">
        <f>SUM(U6:U36)</f>
        <v>7133.6666666660458</v>
      </c>
      <c r="V37" s="696"/>
      <c r="W37" s="552">
        <f>SUM(W6:W36)</f>
        <v>51998.3</v>
      </c>
      <c r="X37" s="768"/>
      <c r="Y37" s="552">
        <f>SUM(Y5:Y36)</f>
        <v>280.37</v>
      </c>
      <c r="Z37" s="712"/>
      <c r="AA37" s="711">
        <f>SUM(AA6:AA36)</f>
        <v>40.28</v>
      </c>
      <c r="AB37" s="696"/>
      <c r="AC37" s="552">
        <f>SUM(AC6:AC36)</f>
        <v>265</v>
      </c>
      <c r="AD37" s="784"/>
      <c r="AE37" s="711">
        <f>SUM(AE6:AE36)</f>
        <v>231.61</v>
      </c>
      <c r="AF37" s="784"/>
      <c r="AG37" s="711">
        <f>SUM(AG6:AG36)</f>
        <v>353.33333333510217</v>
      </c>
      <c r="AH37" s="697"/>
      <c r="AI37" s="552">
        <f>SUM(AI6:AI36)</f>
        <v>4863.6333333330049</v>
      </c>
      <c r="AJ37" s="697"/>
      <c r="AK37" s="552">
        <f>SUM(AK6:AK36)</f>
        <v>57244.770000000011</v>
      </c>
      <c r="AL37" s="813"/>
      <c r="AM37" s="552">
        <f>SUM(AM6:AM36)</f>
        <v>3239.5366666669966</v>
      </c>
      <c r="AN37" s="811">
        <f>SUM(AN6:AN36)</f>
        <v>118516.83333333512</v>
      </c>
      <c r="AO37" s="810"/>
      <c r="AP37" s="784">
        <f>SUM(AP6:AP36)</f>
        <v>2652.8624999999997</v>
      </c>
      <c r="AQ37" s="697"/>
      <c r="AR37" s="552">
        <f>SUM(AR6:AR36)</f>
        <v>5562</v>
      </c>
      <c r="AS37" s="697"/>
      <c r="AT37" s="552">
        <f>SUM(AT6:AT36)</f>
        <v>3470.6666666667006</v>
      </c>
      <c r="AU37" s="697"/>
      <c r="AV37" s="552">
        <f>SUM(AV6:AV36)</f>
        <v>1150</v>
      </c>
      <c r="AW37" s="697"/>
      <c r="AX37" s="552">
        <f>SUM(AX6:AX36)</f>
        <v>22464</v>
      </c>
      <c r="AY37" s="697"/>
      <c r="AZ37" s="552">
        <f>SUM(AZ6:AZ36)</f>
        <v>6306</v>
      </c>
      <c r="BA37" s="697"/>
      <c r="BB37" s="552">
        <f>SUM(BB6:BB36)</f>
        <v>130802</v>
      </c>
      <c r="BC37" s="784"/>
      <c r="BD37" s="552">
        <f>SUM(BD6:BD36)</f>
        <v>6297.3333333330229</v>
      </c>
      <c r="BE37" s="784"/>
      <c r="BF37" s="552">
        <f>SUM(BF6:BF36)</f>
        <v>1308.8333333332994</v>
      </c>
      <c r="BG37" s="697"/>
      <c r="BH37" s="711">
        <f>SUM(BH6:BH36)</f>
        <v>151383.53333333167</v>
      </c>
      <c r="BI37" s="711">
        <f>SUM(BI6:BI36)</f>
        <v>331397.22916666459</v>
      </c>
      <c r="BJ37" s="711">
        <f>SUM(BJ6:BJ36)</f>
        <v>449914.06249999977</v>
      </c>
      <c r="BK37" s="696"/>
      <c r="BL37" s="552">
        <f>SUM(BL6:BL36)</f>
        <v>6768.6666666599922</v>
      </c>
      <c r="BM37" s="697"/>
      <c r="BN37" s="552">
        <f>SUM(BN6:BN36)</f>
        <v>26055.666666669771</v>
      </c>
      <c r="BO37" s="773"/>
      <c r="BP37" s="552">
        <f>SUM(BP6:BP36)</f>
        <v>3095</v>
      </c>
      <c r="BQ37" s="697"/>
      <c r="BR37" s="552">
        <f>SUM(BR6:BR36)</f>
        <v>3876.6666666669771</v>
      </c>
      <c r="BS37" s="552">
        <f>SUM(BS6:BS36)</f>
        <v>660669.72916660679</v>
      </c>
      <c r="BT37" s="698">
        <f>SUM(BT6:BT36)</f>
        <v>6025.666666666667</v>
      </c>
      <c r="BU37" s="699">
        <f>IF(BS37&gt;0,BS37/BT37,0)</f>
        <v>109.64259487192678</v>
      </c>
      <c r="BV37" s="698">
        <f>SUM(BV6:BV35)</f>
        <v>0</v>
      </c>
      <c r="BW37" s="699" t="e">
        <f>IF(BS37&gt;0,BS37/BV37,0)</f>
        <v>#DIV/0!</v>
      </c>
      <c r="BX37" s="544">
        <f>SUM(BX6:BX35)</f>
        <v>766272.68854160258</v>
      </c>
      <c r="BY37" s="699">
        <f>IF(BX37&gt;0,BX37/BT37,0)</f>
        <v>127.1681178085306</v>
      </c>
      <c r="BZ37" s="700" t="e">
        <f>IF(BX37&gt;0,BX37/BV37,0)</f>
        <v>#DIV/0!</v>
      </c>
    </row>
    <row r="38" spans="1:78" s="3" customFormat="1" ht="36.75" customHeight="1">
      <c r="A38" s="545" t="s">
        <v>123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1"/>
      <c r="J38" s="701">
        <f>J37/J39</f>
        <v>6543.5222222199045</v>
      </c>
      <c r="K38" s="701">
        <f>K37/J39</f>
        <v>4058.3666666666668</v>
      </c>
      <c r="L38" s="702"/>
      <c r="M38" s="701">
        <f>M37/J39</f>
        <v>2250.6333333333332</v>
      </c>
      <c r="N38" s="702"/>
      <c r="O38" s="701">
        <f>O37/J39</f>
        <v>1807.7333333333333</v>
      </c>
      <c r="P38" s="702"/>
      <c r="Q38" s="701">
        <f>Q37/J39</f>
        <v>481.66666666700621</v>
      </c>
      <c r="R38" s="716"/>
      <c r="S38" s="701">
        <f>S37/J39</f>
        <v>133.66666666666666</v>
      </c>
      <c r="T38" s="716"/>
      <c r="U38" s="701">
        <f>U37/J39</f>
        <v>237.7888888888682</v>
      </c>
      <c r="V38" s="702"/>
      <c r="W38" s="701">
        <f>W37/J39</f>
        <v>1733.2766666666669</v>
      </c>
      <c r="X38" s="702"/>
      <c r="Y38" s="701">
        <f>Y37/J39</f>
        <v>9.3456666666666663</v>
      </c>
      <c r="Z38" s="703"/>
      <c r="AA38" s="701">
        <f>AA37/J39</f>
        <v>1.3426666666666667</v>
      </c>
      <c r="AB38" s="702"/>
      <c r="AC38" s="701">
        <f>AC37/J39</f>
        <v>8.8333333333333339</v>
      </c>
      <c r="AD38" s="783"/>
      <c r="AE38" s="701">
        <f>AE37/J39</f>
        <v>7.7203333333333335</v>
      </c>
      <c r="AF38" s="783"/>
      <c r="AG38" s="701">
        <f>AG37/J39</f>
        <v>11.777777777836739</v>
      </c>
      <c r="AH38" s="704"/>
      <c r="AI38" s="701">
        <f>AI37/J39</f>
        <v>162.12111111110016</v>
      </c>
      <c r="AJ38" s="704"/>
      <c r="AK38" s="701">
        <f>AK37/J39</f>
        <v>1908.1590000000003</v>
      </c>
      <c r="AL38" s="701"/>
      <c r="AM38" s="701">
        <f>AM37/J39</f>
        <v>107.98455555556656</v>
      </c>
      <c r="AN38" s="701">
        <f>AN37/J39</f>
        <v>3950.5611111111707</v>
      </c>
      <c r="AO38" s="812"/>
      <c r="AP38" s="701">
        <f>AP37/J39</f>
        <v>88.428749999999994</v>
      </c>
      <c r="AQ38" s="704"/>
      <c r="AR38" s="701">
        <f>AR37/J39</f>
        <v>185.4</v>
      </c>
      <c r="AS38" s="704"/>
      <c r="AT38" s="701">
        <f>AT37/J39</f>
        <v>115.68888888889002</v>
      </c>
      <c r="AU38" s="704"/>
      <c r="AV38" s="701">
        <f>AV37/J39</f>
        <v>38.333333333333336</v>
      </c>
      <c r="AW38" s="704"/>
      <c r="AX38" s="701">
        <f>AX37/J39</f>
        <v>748.8</v>
      </c>
      <c r="AY38" s="704"/>
      <c r="AZ38" s="701">
        <f>AZ37/J39</f>
        <v>210.2</v>
      </c>
      <c r="BA38" s="704"/>
      <c r="BB38" s="701">
        <f>BB37/J39</f>
        <v>4360.0666666666666</v>
      </c>
      <c r="BC38" s="783"/>
      <c r="BD38" s="701">
        <f>BD37/J39</f>
        <v>209.91111111110075</v>
      </c>
      <c r="BE38" s="783"/>
      <c r="BF38" s="701">
        <f>BF37/J39</f>
        <v>43.627777777776643</v>
      </c>
      <c r="BG38" s="704"/>
      <c r="BH38" s="701">
        <f>BH37/J39</f>
        <v>5046.117777777722</v>
      </c>
      <c r="BI38" s="701"/>
      <c r="BJ38" s="701"/>
      <c r="BK38" s="702"/>
      <c r="BL38" s="701">
        <f>BL37/J39</f>
        <v>225.62222222199975</v>
      </c>
      <c r="BM38" s="704"/>
      <c r="BN38" s="701">
        <f>BN37/J39</f>
        <v>868.52222222232569</v>
      </c>
      <c r="BO38" s="704"/>
      <c r="BP38" s="701">
        <f>BP37/J39</f>
        <v>103.16666666666667</v>
      </c>
      <c r="BQ38" s="704"/>
      <c r="BR38" s="701">
        <f>BR37/J39</f>
        <v>129.22222222223257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5" t="e">
        <f>BX38/BV38</f>
        <v>#DIV/0!</v>
      </c>
    </row>
    <row r="39" spans="1:78" s="205" customFormat="1" ht="30.75" customHeight="1" thickBot="1">
      <c r="A39" s="556" t="s">
        <v>124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125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837"/>
      <c r="B45" s="837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mD6ePFkkFIsZjKzXUoAhGx+c39UppdjVdXi26qKwwOnmyOjmyUsAWOoJJVDR/bySrPX1f8Mrwo9diJUu5N/PIQ==" saltValue="dGg6WGftpzLnPsDmqZUZLQ==" spinCount="100000" sheet="1" formatCells="0" formatColumns="0" formatRows="0" insertColumns="0" insertRows="0" insertHyperlinks="0" deleteColumns="0" deleteRows="0" sort="0" autoFilter="0" pivotTables="0"/>
  <mergeCells count="24">
    <mergeCell ref="A1:A2"/>
    <mergeCell ref="M1:O2"/>
    <mergeCell ref="Q1:Q2"/>
    <mergeCell ref="P3:Q3"/>
    <mergeCell ref="L3:M3"/>
    <mergeCell ref="N3:O3"/>
    <mergeCell ref="H3:H4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BP1:BQ1"/>
    <mergeCell ref="BP2:BQ2"/>
    <mergeCell ref="BU2:BV2"/>
    <mergeCell ref="BU1:BV1"/>
    <mergeCell ref="BX2:BY2"/>
    <mergeCell ref="BX1:BY1"/>
  </mergeCells>
  <phoneticPr fontId="0" type="noConversion"/>
  <conditionalFormatting sqref="BR5:BR36 BP5:BP36">
    <cfRule type="cellIs" dxfId="40" priority="161" stopIfTrue="1" operator="greaterThan">
      <formula>400</formula>
    </cfRule>
  </conditionalFormatting>
  <conditionalFormatting sqref="BN5:BN36 AI5:AI36">
    <cfRule type="cellIs" dxfId="39" priority="159" stopIfTrue="1" operator="greaterThan">
      <formula>2000</formula>
    </cfRule>
  </conditionalFormatting>
  <conditionalFormatting sqref="AR5:AR36 AX5:AX36 BL5:BL36 AV5:AV36 AT5:AT36">
    <cfRule type="cellIs" dxfId="38" priority="158" stopIfTrue="1" operator="greaterThan">
      <formula>1400</formula>
    </cfRule>
  </conditionalFormatting>
  <conditionalFormatting sqref="BH5:BH36 BB5:BB36 BD5:BD36 BF5:BF36">
    <cfRule type="cellIs" dxfId="37" priority="157" stopIfTrue="1" operator="greaterThan">
      <formula>8000</formula>
    </cfRule>
  </conditionalFormatting>
  <conditionalFormatting sqref="AZ5:AZ36">
    <cfRule type="cellIs" dxfId="36" priority="155" stopIfTrue="1" operator="greaterThan">
      <formula>700</formula>
    </cfRule>
  </conditionalFormatting>
  <conditionalFormatting sqref="AK5:AK12 AK14:AK36">
    <cfRule type="cellIs" dxfId="35" priority="153" stopIfTrue="1" operator="greaterThan">
      <formula>5000</formula>
    </cfRule>
  </conditionalFormatting>
  <conditionalFormatting sqref="Y5:Y36 AA5:AA36 AC5:AC36 AE5:AE36 AG5:AG36 W5:W36">
    <cfRule type="cellIs" dxfId="34" priority="151" stopIfTrue="1" operator="greaterThan">
      <formula>4000</formula>
    </cfRule>
  </conditionalFormatting>
  <conditionalFormatting sqref="S5:S36 U5:U36">
    <cfRule type="cellIs" dxfId="33" priority="147" stopIfTrue="1" operator="greaterThan">
      <formula>300</formula>
    </cfRule>
  </conditionalFormatting>
  <conditionalFormatting sqref="Q5:Q36">
    <cfRule type="cellIs" dxfId="32" priority="145" stopIfTrue="1" operator="greaterThan">
      <formula>1500</formula>
    </cfRule>
  </conditionalFormatting>
  <conditionalFormatting sqref="O5:O36">
    <cfRule type="cellIs" dxfId="31" priority="144" stopIfTrue="1" operator="greaterThan">
      <formula>6000</formula>
    </cfRule>
  </conditionalFormatting>
  <conditionalFormatting sqref="M5:M36">
    <cfRule type="cellIs" dxfId="30" priority="143" stopIfTrue="1" operator="greaterThan">
      <formula>3000</formula>
    </cfRule>
  </conditionalFormatting>
  <conditionalFormatting sqref="J5:J36">
    <cfRule type="cellIs" dxfId="29" priority="142" stopIfTrue="1" operator="greaterThan">
      <formula>12000</formula>
    </cfRule>
  </conditionalFormatting>
  <conditionalFormatting sqref="AP5:AP36">
    <cfRule type="cellIs" dxfId="28" priority="138" stopIfTrue="1" operator="greaterThan">
      <formula>2500</formula>
    </cfRule>
  </conditionalFormatting>
  <conditionalFormatting sqref="BT8:BT36">
    <cfRule type="cellIs" dxfId="27" priority="12" operator="greaterThan">
      <formula>262</formula>
    </cfRule>
  </conditionalFormatting>
  <conditionalFormatting sqref="BT5 BT7:BT36">
    <cfRule type="cellIs" dxfId="26" priority="11" operator="greaterThan">
      <formula>262</formula>
    </cfRule>
  </conditionalFormatting>
  <conditionalFormatting sqref="BT24:BT31 BT33:BT36">
    <cfRule type="cellIs" dxfId="25" priority="10" operator="greaterThan">
      <formula>262</formula>
    </cfRule>
  </conditionalFormatting>
  <conditionalFormatting sqref="BT24:BT31 BT33:BT36">
    <cfRule type="cellIs" dxfId="24" priority="9" operator="greaterThan">
      <formula>262</formula>
    </cfRule>
  </conditionalFormatting>
  <conditionalFormatting sqref="AM5:AM36">
    <cfRule type="cellIs" dxfId="23" priority="5" stopIfTrue="1" operator="greaterThan">
      <formula>4000</formula>
    </cfRule>
  </conditionalFormatting>
  <conditionalFormatting sqref="AK13">
    <cfRule type="cellIs" dxfId="22" priority="6" stopIfTrue="1" operator="greaterThan">
      <formula>4000</formula>
    </cfRule>
  </conditionalFormatting>
  <conditionalFormatting sqref="BT6">
    <cfRule type="cellIs" dxfId="21" priority="4" operator="greaterThan">
      <formula>262</formula>
    </cfRule>
  </conditionalFormatting>
  <conditionalFormatting sqref="BT5">
    <cfRule type="cellIs" dxfId="20" priority="3" operator="greaterThan">
      <formula>262</formula>
    </cfRule>
  </conditionalFormatting>
  <conditionalFormatting sqref="BT5">
    <cfRule type="cellIs" dxfId="19" priority="2" operator="greaterThan">
      <formula>262</formula>
    </cfRule>
  </conditionalFormatting>
  <conditionalFormatting sqref="BT5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  <ignoredErrors>
    <ignoredError sqref="BY25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60" zoomScaleNormal="60" zoomScaleSheetLayoutView="40" workbookViewId="0">
      <pane xSplit="1" ySplit="5" topLeftCell="B33" activePane="bottomRight" state="frozen"/>
      <selection pane="bottomRight" activeCell="H7" sqref="H7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870">
        <f>Elect!A1</f>
        <v>44958</v>
      </c>
      <c r="B1" s="579"/>
      <c r="C1" s="580"/>
      <c r="D1" s="861"/>
      <c r="E1" s="861"/>
      <c r="F1" s="861"/>
      <c r="G1" s="861"/>
      <c r="H1" s="861"/>
      <c r="I1" s="861"/>
      <c r="J1" s="861"/>
      <c r="K1" s="861"/>
      <c r="L1" s="861"/>
      <c r="M1" s="861"/>
      <c r="N1" s="861"/>
      <c r="O1" s="581"/>
      <c r="P1" s="872"/>
      <c r="Q1" s="872"/>
      <c r="R1" s="872"/>
      <c r="S1" s="2"/>
      <c r="T1" s="582" t="s">
        <v>126</v>
      </c>
      <c r="U1" s="566"/>
      <c r="V1" s="565">
        <v>4</v>
      </c>
      <c r="W1" s="564" t="s">
        <v>127</v>
      </c>
      <c r="X1" s="583"/>
      <c r="Y1" s="584"/>
      <c r="Z1" s="566"/>
    </row>
    <row r="2" spans="1:26" ht="39.75" customHeight="1" thickBot="1">
      <c r="A2" s="871"/>
      <c r="B2" s="586"/>
      <c r="C2" s="580"/>
      <c r="O2" s="581"/>
      <c r="P2" s="873"/>
      <c r="Q2" s="873"/>
      <c r="R2" s="873"/>
    </row>
    <row r="3" spans="1:26" s="3" customFormat="1" ht="42" customHeight="1" thickBot="1">
      <c r="A3" s="862" t="s">
        <v>1</v>
      </c>
      <c r="B3" s="587"/>
      <c r="C3" s="588"/>
      <c r="D3" s="588"/>
      <c r="E3" s="589" t="s">
        <v>128</v>
      </c>
      <c r="F3" s="588"/>
      <c r="G3" s="588"/>
      <c r="H3" s="590"/>
      <c r="I3" s="892" t="s">
        <v>129</v>
      </c>
      <c r="J3" s="893"/>
      <c r="K3" s="893"/>
      <c r="L3" s="893"/>
      <c r="M3" s="894"/>
      <c r="N3" s="884" t="s">
        <v>130</v>
      </c>
      <c r="O3" s="885"/>
      <c r="P3" s="865" t="s">
        <v>131</v>
      </c>
      <c r="Q3" s="865"/>
      <c r="R3" s="865" t="s">
        <v>132</v>
      </c>
      <c r="S3" s="865"/>
      <c r="T3" s="880" t="s">
        <v>133</v>
      </c>
      <c r="U3" s="876" t="s">
        <v>134</v>
      </c>
      <c r="V3" s="876" t="s">
        <v>135</v>
      </c>
      <c r="W3" s="876" t="s">
        <v>136</v>
      </c>
      <c r="X3" s="877" t="s">
        <v>137</v>
      </c>
      <c r="Y3" s="591" t="s">
        <v>74</v>
      </c>
      <c r="Z3" s="592" t="s">
        <v>74</v>
      </c>
    </row>
    <row r="4" spans="1:26" s="3" customFormat="1" ht="45" customHeight="1" thickBot="1">
      <c r="A4" s="863"/>
      <c r="B4" s="886" t="s">
        <v>138</v>
      </c>
      <c r="C4" s="887"/>
      <c r="D4" s="888" t="s">
        <v>139</v>
      </c>
      <c r="E4" s="889"/>
      <c r="F4" s="888" t="s">
        <v>140</v>
      </c>
      <c r="G4" s="889"/>
      <c r="H4" s="868" t="s">
        <v>141</v>
      </c>
      <c r="I4" s="890" t="s">
        <v>142</v>
      </c>
      <c r="J4" s="891"/>
      <c r="K4" s="890" t="s">
        <v>143</v>
      </c>
      <c r="L4" s="891"/>
      <c r="M4" s="792"/>
      <c r="N4" s="868" t="s">
        <v>144</v>
      </c>
      <c r="O4" s="868" t="s">
        <v>145</v>
      </c>
      <c r="P4" s="866" t="s">
        <v>146</v>
      </c>
      <c r="Q4" s="866" t="s">
        <v>147</v>
      </c>
      <c r="R4" s="866" t="s">
        <v>146</v>
      </c>
      <c r="S4" s="866" t="s">
        <v>147</v>
      </c>
      <c r="T4" s="881"/>
      <c r="U4" s="866"/>
      <c r="V4" s="866"/>
      <c r="W4" s="866"/>
      <c r="X4" s="878"/>
      <c r="Y4" s="874" t="s">
        <v>119</v>
      </c>
      <c r="Z4" s="859" t="s">
        <v>120</v>
      </c>
    </row>
    <row r="5" spans="1:26" s="3" customFormat="1" ht="48.75" customHeight="1" thickBot="1">
      <c r="A5" s="864"/>
      <c r="B5" s="593" t="s">
        <v>148</v>
      </c>
      <c r="C5" s="791" t="s">
        <v>149</v>
      </c>
      <c r="D5" s="594" t="s">
        <v>148</v>
      </c>
      <c r="E5" s="791" t="s">
        <v>149</v>
      </c>
      <c r="F5" s="594" t="s">
        <v>148</v>
      </c>
      <c r="G5" s="791" t="s">
        <v>149</v>
      </c>
      <c r="H5" s="869"/>
      <c r="I5" s="725" t="s">
        <v>148</v>
      </c>
      <c r="J5" s="726"/>
      <c r="K5" s="725" t="s">
        <v>148</v>
      </c>
      <c r="L5" s="726"/>
      <c r="M5" s="724"/>
      <c r="N5" s="867"/>
      <c r="O5" s="867"/>
      <c r="P5" s="867"/>
      <c r="Q5" s="867"/>
      <c r="R5" s="867"/>
      <c r="S5" s="867"/>
      <c r="T5" s="882"/>
      <c r="U5" s="867"/>
      <c r="V5" s="867"/>
      <c r="W5" s="867"/>
      <c r="X5" s="879"/>
      <c r="Y5" s="875"/>
      <c r="Z5" s="860"/>
    </row>
    <row r="6" spans="1:26" s="3" customFormat="1" ht="36.75" customHeight="1">
      <c r="A6" s="595"/>
      <c r="B6" s="767">
        <v>91217</v>
      </c>
      <c r="C6" s="636">
        <f t="shared" ref="C6:C37" si="0">IF(B6&gt;=B5,B6-B5,0)*10*0.58</f>
        <v>0</v>
      </c>
      <c r="D6" s="770">
        <v>14703</v>
      </c>
      <c r="E6" s="636">
        <f t="shared" ref="E6:E37" si="1">IF(D6&gt;=D5,D6-D5,0)*10*0.58</f>
        <v>0</v>
      </c>
      <c r="F6" s="766">
        <v>74439</v>
      </c>
      <c r="G6" s="636">
        <f>IF(F6&gt;=F5,F6-F5,0)*0.58</f>
        <v>0</v>
      </c>
      <c r="H6" s="708"/>
      <c r="I6" s="3">
        <v>331</v>
      </c>
      <c r="J6" s="723"/>
      <c r="K6" s="3">
        <v>5727</v>
      </c>
      <c r="L6" s="723"/>
      <c r="M6" s="723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7">
        <v>91227</v>
      </c>
      <c r="C7" s="636">
        <f t="shared" si="0"/>
        <v>57.999999999999993</v>
      </c>
      <c r="D7" s="770">
        <v>14713</v>
      </c>
      <c r="E7" s="636">
        <f t="shared" si="1"/>
        <v>57.999999999999993</v>
      </c>
      <c r="F7" s="766">
        <v>74600</v>
      </c>
      <c r="G7" s="636">
        <f t="shared" ref="G7:G31" si="2">IF(F7&gt;=F6,F7-F6,0)*0.58</f>
        <v>93.38</v>
      </c>
      <c r="H7" s="636">
        <f t="shared" ref="H7:H37" si="3">C7+E7+G7</f>
        <v>209.38</v>
      </c>
      <c r="I7" s="766"/>
      <c r="J7" s="636"/>
      <c r="K7" s="808"/>
      <c r="L7" s="636"/>
      <c r="M7" s="636"/>
      <c r="N7" s="109"/>
      <c r="O7" s="535">
        <f>IF(N7&gt;=N6,N7-N6,0)</f>
        <v>0</v>
      </c>
      <c r="P7" s="109"/>
      <c r="Q7" s="436">
        <f>(H7-O7)*0.58</f>
        <v>121.44039999999998</v>
      </c>
      <c r="R7" s="109"/>
      <c r="S7" s="436">
        <f>IF(R7-R6&gt;0,R7-R6,0)</f>
        <v>0</v>
      </c>
      <c r="T7" s="706">
        <f>Elect!BT6</f>
        <v>97</v>
      </c>
      <c r="U7" s="604">
        <f>H7/T7</f>
        <v>2.1585567010309279</v>
      </c>
      <c r="V7" s="706">
        <f>Elect!BV6</f>
        <v>0</v>
      </c>
      <c r="W7" s="604" t="e">
        <f>H7/V7</f>
        <v>#DIV/0!</v>
      </c>
      <c r="X7" s="429">
        <f>H7*V1</f>
        <v>837.52</v>
      </c>
      <c r="Y7" s="604">
        <f>IF(X7&gt;0,X7/T7,0)</f>
        <v>8.6342268041237116</v>
      </c>
      <c r="Z7" s="607">
        <v>0</v>
      </c>
    </row>
    <row r="8" spans="1:26" s="3" customFormat="1" ht="36.75" customHeight="1">
      <c r="A8" s="595">
        <v>2</v>
      </c>
      <c r="B8" s="767">
        <v>91240</v>
      </c>
      <c r="C8" s="636">
        <f t="shared" si="0"/>
        <v>75.399999999999991</v>
      </c>
      <c r="D8" s="770">
        <v>14728</v>
      </c>
      <c r="E8" s="636">
        <f t="shared" si="1"/>
        <v>87</v>
      </c>
      <c r="F8" s="766">
        <v>74762</v>
      </c>
      <c r="G8" s="636">
        <f t="shared" si="2"/>
        <v>93.96</v>
      </c>
      <c r="H8" s="636">
        <f t="shared" si="3"/>
        <v>256.35999999999996</v>
      </c>
      <c r="I8" s="766"/>
      <c r="J8" s="636"/>
      <c r="K8" s="808"/>
      <c r="L8" s="636"/>
      <c r="M8" s="636"/>
      <c r="N8" s="109"/>
      <c r="O8" s="535">
        <f t="shared" ref="O8:O37" si="4">IF(N8&gt;=N7,N8-N7,0)</f>
        <v>0</v>
      </c>
      <c r="P8" s="109"/>
      <c r="Q8" s="436">
        <f t="shared" ref="Q8:Q37" si="5">(H8-O8)*0.58</f>
        <v>148.68879999999996</v>
      </c>
      <c r="R8" s="109"/>
      <c r="S8" s="436">
        <f t="shared" ref="S8:S37" si="6">IF(R8-R7&gt;0,R8-R7,0)</f>
        <v>0</v>
      </c>
      <c r="T8" s="706">
        <f>Elect!BT7</f>
        <v>128</v>
      </c>
      <c r="U8" s="604">
        <f t="shared" ref="U8:U37" si="7">H8/T8</f>
        <v>2.0028124999999997</v>
      </c>
      <c r="V8" s="706">
        <f>Elect!BV7</f>
        <v>0</v>
      </c>
      <c r="W8" s="604" t="e">
        <f t="shared" ref="W8:W37" si="8">H8/V8</f>
        <v>#DIV/0!</v>
      </c>
      <c r="X8" s="429">
        <f>H8*V1</f>
        <v>1025.4399999999998</v>
      </c>
      <c r="Y8" s="604">
        <f>IF(X8&gt;0,X8/T8,0)</f>
        <v>8.0112499999999986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7">
        <v>91257</v>
      </c>
      <c r="C9" s="636">
        <f t="shared" si="0"/>
        <v>98.6</v>
      </c>
      <c r="D9" s="770">
        <v>14747</v>
      </c>
      <c r="E9" s="636">
        <f t="shared" si="1"/>
        <v>110.19999999999999</v>
      </c>
      <c r="F9" s="766">
        <v>74983</v>
      </c>
      <c r="G9" s="636">
        <f t="shared" si="2"/>
        <v>128.17999999999998</v>
      </c>
      <c r="H9" s="636">
        <f t="shared" si="3"/>
        <v>336.97999999999996</v>
      </c>
      <c r="I9" s="766"/>
      <c r="J9" s="636"/>
      <c r="K9" s="808"/>
      <c r="L9" s="636"/>
      <c r="M9" s="636"/>
      <c r="N9" s="109"/>
      <c r="O9" s="535">
        <f t="shared" si="4"/>
        <v>0</v>
      </c>
      <c r="P9" s="109"/>
      <c r="Q9" s="436">
        <f t="shared" si="5"/>
        <v>195.44839999999996</v>
      </c>
      <c r="R9" s="109"/>
      <c r="S9" s="436">
        <f t="shared" si="6"/>
        <v>0</v>
      </c>
      <c r="T9" s="706">
        <f>Elect!BT8</f>
        <v>130</v>
      </c>
      <c r="U9" s="604">
        <f t="shared" si="7"/>
        <v>2.5921538461538458</v>
      </c>
      <c r="V9" s="706">
        <f>Elect!BV8</f>
        <v>0</v>
      </c>
      <c r="W9" s="604" t="e">
        <f t="shared" si="8"/>
        <v>#DIV/0!</v>
      </c>
      <c r="X9" s="429">
        <f>H9*V1</f>
        <v>1347.9199999999998</v>
      </c>
      <c r="Y9" s="604">
        <f t="shared" ref="Y9:Y37" si="9">IF(X9&gt;0,X9/T9,0)</f>
        <v>10.368615384615383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7">
        <v>91276</v>
      </c>
      <c r="C10" s="636">
        <f t="shared" si="0"/>
        <v>110.19999999999999</v>
      </c>
      <c r="D10" s="770">
        <v>14766</v>
      </c>
      <c r="E10" s="636">
        <f t="shared" si="1"/>
        <v>110.19999999999999</v>
      </c>
      <c r="F10" s="766">
        <v>75200</v>
      </c>
      <c r="G10" s="636">
        <f t="shared" si="2"/>
        <v>125.85999999999999</v>
      </c>
      <c r="H10" s="636">
        <f t="shared" si="3"/>
        <v>346.26</v>
      </c>
      <c r="I10" s="766"/>
      <c r="J10" s="636"/>
      <c r="K10" s="808"/>
      <c r="L10" s="636"/>
      <c r="M10" s="636"/>
      <c r="N10" s="109"/>
      <c r="O10" s="535">
        <f t="shared" si="4"/>
        <v>0</v>
      </c>
      <c r="P10" s="109"/>
      <c r="Q10" s="436">
        <f t="shared" si="5"/>
        <v>200.83079999999998</v>
      </c>
      <c r="R10" s="109"/>
      <c r="S10" s="436">
        <f t="shared" si="6"/>
        <v>0</v>
      </c>
      <c r="T10" s="706">
        <f>Elect!BT9</f>
        <v>236</v>
      </c>
      <c r="U10" s="604">
        <f t="shared" si="7"/>
        <v>1.4672033898305084</v>
      </c>
      <c r="V10" s="706">
        <f>Elect!BV9</f>
        <v>0</v>
      </c>
      <c r="W10" s="604" t="e">
        <f t="shared" si="8"/>
        <v>#DIV/0!</v>
      </c>
      <c r="X10" s="429">
        <f>H10*V1</f>
        <v>1385.04</v>
      </c>
      <c r="Y10" s="604">
        <f t="shared" si="9"/>
        <v>5.8688135593220334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7">
        <v>91293.666666666701</v>
      </c>
      <c r="C11" s="636">
        <f t="shared" si="0"/>
        <v>102.4666666668636</v>
      </c>
      <c r="D11" s="770">
        <v>14785</v>
      </c>
      <c r="E11" s="636">
        <f t="shared" si="1"/>
        <v>110.19999999999999</v>
      </c>
      <c r="F11" s="766">
        <v>75419.666666666701</v>
      </c>
      <c r="G11" s="636">
        <f t="shared" si="2"/>
        <v>127.40666666668635</v>
      </c>
      <c r="H11" s="636">
        <f t="shared" si="3"/>
        <v>340.07333333354995</v>
      </c>
      <c r="I11" s="766"/>
      <c r="J11" s="636"/>
      <c r="K11" s="808"/>
      <c r="L11" s="636"/>
      <c r="M11" s="636"/>
      <c r="N11" s="109"/>
      <c r="O11" s="535">
        <f t="shared" si="4"/>
        <v>0</v>
      </c>
      <c r="P11" s="109"/>
      <c r="Q11" s="436">
        <f t="shared" si="5"/>
        <v>197.24253333345897</v>
      </c>
      <c r="R11" s="109"/>
      <c r="S11" s="436">
        <f t="shared" si="6"/>
        <v>0</v>
      </c>
      <c r="T11" s="706">
        <f>Elect!BT10</f>
        <v>237</v>
      </c>
      <c r="U11" s="604">
        <f t="shared" si="7"/>
        <v>1.4349085794664556</v>
      </c>
      <c r="V11" s="706">
        <f>Elect!BV10</f>
        <v>0</v>
      </c>
      <c r="W11" s="604" t="e">
        <f t="shared" si="8"/>
        <v>#DIV/0!</v>
      </c>
      <c r="X11" s="429">
        <f>H11*V1</f>
        <v>1360.2933333341998</v>
      </c>
      <c r="Y11" s="604">
        <f t="shared" si="9"/>
        <v>5.7396343178658222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7">
        <v>91308</v>
      </c>
      <c r="C12" s="636">
        <f t="shared" si="0"/>
        <v>83.133333333136392</v>
      </c>
      <c r="D12" s="770">
        <v>14805</v>
      </c>
      <c r="E12" s="636">
        <f t="shared" si="1"/>
        <v>115.99999999999999</v>
      </c>
      <c r="F12" s="766">
        <v>75565</v>
      </c>
      <c r="G12" s="636">
        <f t="shared" si="2"/>
        <v>84.29333333331364</v>
      </c>
      <c r="H12" s="636">
        <f t="shared" si="3"/>
        <v>283.42666666644999</v>
      </c>
      <c r="I12" s="766"/>
      <c r="J12" s="636"/>
      <c r="K12" s="808"/>
      <c r="L12" s="636"/>
      <c r="M12" s="636"/>
      <c r="N12" s="109"/>
      <c r="O12" s="535">
        <f t="shared" si="4"/>
        <v>0</v>
      </c>
      <c r="P12" s="109"/>
      <c r="Q12" s="436">
        <f t="shared" si="5"/>
        <v>164.38746666654097</v>
      </c>
      <c r="R12" s="109"/>
      <c r="S12" s="436">
        <f t="shared" si="6"/>
        <v>0</v>
      </c>
      <c r="T12" s="706">
        <f>Elect!BT11</f>
        <v>196</v>
      </c>
      <c r="U12" s="604">
        <f t="shared" si="7"/>
        <v>1.4460544217676019</v>
      </c>
      <c r="V12" s="706">
        <f>Elect!BV11</f>
        <v>0</v>
      </c>
      <c r="W12" s="604" t="e">
        <f t="shared" si="8"/>
        <v>#DIV/0!</v>
      </c>
      <c r="X12" s="429">
        <f>H12*V1</f>
        <v>1133.7066666658</v>
      </c>
      <c r="Y12" s="604">
        <f t="shared" si="9"/>
        <v>5.7842176870704076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7">
        <v>91323</v>
      </c>
      <c r="C13" s="636">
        <f t="shared" si="0"/>
        <v>87</v>
      </c>
      <c r="D13" s="770">
        <v>14822</v>
      </c>
      <c r="E13" s="636">
        <f t="shared" si="1"/>
        <v>98.6</v>
      </c>
      <c r="F13" s="766">
        <v>75757</v>
      </c>
      <c r="G13" s="636">
        <f t="shared" si="2"/>
        <v>111.35999999999999</v>
      </c>
      <c r="H13" s="636">
        <f t="shared" si="3"/>
        <v>296.95999999999998</v>
      </c>
      <c r="I13" s="766"/>
      <c r="J13" s="636"/>
      <c r="K13" s="808"/>
      <c r="L13" s="636"/>
      <c r="M13" s="636"/>
      <c r="N13" s="109"/>
      <c r="O13" s="535">
        <f t="shared" si="4"/>
        <v>0</v>
      </c>
      <c r="P13" s="109"/>
      <c r="Q13" s="436">
        <f t="shared" si="5"/>
        <v>172.23679999999999</v>
      </c>
      <c r="R13" s="109"/>
      <c r="S13" s="436">
        <f t="shared" si="6"/>
        <v>0</v>
      </c>
      <c r="T13" s="706">
        <f>Elect!BT12</f>
        <v>163</v>
      </c>
      <c r="U13" s="604">
        <f t="shared" si="7"/>
        <v>1.8218404907975458</v>
      </c>
      <c r="V13" s="706">
        <f>Elect!BV12</f>
        <v>0</v>
      </c>
      <c r="W13" s="604" t="e">
        <f t="shared" si="8"/>
        <v>#DIV/0!</v>
      </c>
      <c r="X13" s="429">
        <f>H13*V1</f>
        <v>1187.8399999999999</v>
      </c>
      <c r="Y13" s="604">
        <f t="shared" si="9"/>
        <v>7.2873619631901834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7">
        <v>91341</v>
      </c>
      <c r="C14" s="636">
        <f>IF(B14&gt;=B13,B14-B13,0)*10*0.58</f>
        <v>104.39999999999999</v>
      </c>
      <c r="D14" s="770">
        <v>14843</v>
      </c>
      <c r="E14" s="636">
        <f t="shared" si="1"/>
        <v>121.8</v>
      </c>
      <c r="F14" s="766">
        <v>75949</v>
      </c>
      <c r="G14" s="636">
        <f t="shared" si="2"/>
        <v>111.35999999999999</v>
      </c>
      <c r="H14" s="636">
        <f t="shared" si="3"/>
        <v>337.55999999999995</v>
      </c>
      <c r="I14" s="766"/>
      <c r="J14" s="636"/>
      <c r="K14" s="808"/>
      <c r="L14" s="636"/>
      <c r="M14" s="636"/>
      <c r="N14" s="109"/>
      <c r="O14" s="535">
        <f t="shared" si="4"/>
        <v>0</v>
      </c>
      <c r="P14" s="109"/>
      <c r="Q14" s="436">
        <f t="shared" si="5"/>
        <v>195.78479999999996</v>
      </c>
      <c r="R14" s="109"/>
      <c r="S14" s="436">
        <f t="shared" si="6"/>
        <v>0</v>
      </c>
      <c r="T14" s="706">
        <f>Elect!BT13</f>
        <v>149</v>
      </c>
      <c r="U14" s="604">
        <f t="shared" si="7"/>
        <v>2.2655033557046975</v>
      </c>
      <c r="V14" s="706">
        <f>Elect!BV13</f>
        <v>0</v>
      </c>
      <c r="W14" s="604" t="e">
        <f t="shared" si="8"/>
        <v>#DIV/0!</v>
      </c>
      <c r="X14" s="429">
        <f>H14*V1</f>
        <v>1350.2399999999998</v>
      </c>
      <c r="Y14" s="604">
        <f t="shared" si="9"/>
        <v>9.0620134228187901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7">
        <v>91356</v>
      </c>
      <c r="C15" s="636">
        <f>IF(B15&gt;=B14,B15-B14,0)*10*0.58</f>
        <v>87</v>
      </c>
      <c r="D15" s="770">
        <v>14860</v>
      </c>
      <c r="E15" s="636">
        <f t="shared" si="1"/>
        <v>98.6</v>
      </c>
      <c r="F15" s="766">
        <v>76136</v>
      </c>
      <c r="G15" s="636">
        <f t="shared" si="2"/>
        <v>108.46</v>
      </c>
      <c r="H15" s="636">
        <f t="shared" si="3"/>
        <v>294.06</v>
      </c>
      <c r="I15" s="766"/>
      <c r="J15" s="636"/>
      <c r="K15" s="808"/>
      <c r="L15" s="636"/>
      <c r="M15" s="636"/>
      <c r="N15" s="109"/>
      <c r="O15" s="535">
        <f t="shared" si="4"/>
        <v>0</v>
      </c>
      <c r="P15" s="109"/>
      <c r="Q15" s="436">
        <f t="shared" si="5"/>
        <v>170.5548</v>
      </c>
      <c r="R15" s="109"/>
      <c r="S15" s="436">
        <f t="shared" si="6"/>
        <v>0</v>
      </c>
      <c r="T15" s="706">
        <f>Elect!BT14</f>
        <v>162</v>
      </c>
      <c r="U15" s="604">
        <f t="shared" si="7"/>
        <v>1.8151851851851852</v>
      </c>
      <c r="V15" s="706">
        <f>Elect!BV14</f>
        <v>0</v>
      </c>
      <c r="W15" s="604" t="e">
        <f t="shared" si="8"/>
        <v>#DIV/0!</v>
      </c>
      <c r="X15" s="429">
        <f>H15*V1</f>
        <v>1176.24</v>
      </c>
      <c r="Y15" s="604">
        <f t="shared" si="9"/>
        <v>7.2607407407407409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7">
        <v>91373</v>
      </c>
      <c r="C16" s="636">
        <f>IF(B16&gt;=B15,B16-B15,0)*10*0.58</f>
        <v>98.6</v>
      </c>
      <c r="D16" s="770">
        <v>14880</v>
      </c>
      <c r="E16" s="636">
        <f t="shared" si="1"/>
        <v>115.99999999999999</v>
      </c>
      <c r="F16" s="766">
        <v>76329</v>
      </c>
      <c r="G16" s="636">
        <f t="shared" si="2"/>
        <v>111.94</v>
      </c>
      <c r="H16" s="636">
        <f t="shared" si="3"/>
        <v>326.53999999999996</v>
      </c>
      <c r="I16" s="766"/>
      <c r="J16" s="636"/>
      <c r="K16" s="808"/>
      <c r="L16" s="636"/>
      <c r="M16" s="636"/>
      <c r="N16" s="109"/>
      <c r="O16" s="535">
        <f t="shared" si="4"/>
        <v>0</v>
      </c>
      <c r="P16" s="109"/>
      <c r="Q16" s="436">
        <f t="shared" si="5"/>
        <v>189.39319999999998</v>
      </c>
      <c r="R16" s="109"/>
      <c r="S16" s="436">
        <f t="shared" si="6"/>
        <v>0</v>
      </c>
      <c r="T16" s="706">
        <f>Elect!BT15</f>
        <v>176</v>
      </c>
      <c r="U16" s="604">
        <f t="shared" si="7"/>
        <v>1.855340909090909</v>
      </c>
      <c r="V16" s="706">
        <f>Elect!BV15</f>
        <v>0</v>
      </c>
      <c r="W16" s="604" t="e">
        <f t="shared" si="8"/>
        <v>#DIV/0!</v>
      </c>
      <c r="X16" s="429">
        <f>H16*V1</f>
        <v>1306.1599999999999</v>
      </c>
      <c r="Y16" s="604">
        <f t="shared" si="9"/>
        <v>7.4213636363636359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7">
        <v>91392</v>
      </c>
      <c r="C17" s="636">
        <f t="shared" si="0"/>
        <v>110.19999999999999</v>
      </c>
      <c r="D17" s="770">
        <v>14901</v>
      </c>
      <c r="E17" s="636">
        <f t="shared" si="1"/>
        <v>121.8</v>
      </c>
      <c r="F17" s="766">
        <v>76525</v>
      </c>
      <c r="G17" s="636">
        <f t="shared" si="2"/>
        <v>113.67999999999999</v>
      </c>
      <c r="H17" s="636">
        <f t="shared" si="3"/>
        <v>345.68</v>
      </c>
      <c r="I17" s="766"/>
      <c r="J17" s="636"/>
      <c r="K17" s="808"/>
      <c r="L17" s="636"/>
      <c r="M17" s="636"/>
      <c r="N17" s="109"/>
      <c r="O17" s="535">
        <f t="shared" si="4"/>
        <v>0</v>
      </c>
      <c r="P17" s="109"/>
      <c r="Q17" s="436">
        <f t="shared" si="5"/>
        <v>200.49439999999998</v>
      </c>
      <c r="R17" s="109"/>
      <c r="S17" s="436">
        <f t="shared" si="6"/>
        <v>0</v>
      </c>
      <c r="T17" s="706">
        <f>Elect!BT16</f>
        <v>234</v>
      </c>
      <c r="U17" s="604">
        <f t="shared" si="7"/>
        <v>1.4772649572649572</v>
      </c>
      <c r="V17" s="706">
        <f>Elect!BV16</f>
        <v>0</v>
      </c>
      <c r="W17" s="604" t="e">
        <f t="shared" si="8"/>
        <v>#DIV/0!</v>
      </c>
      <c r="X17" s="429">
        <f>H17*V1</f>
        <v>1382.72</v>
      </c>
      <c r="Y17" s="604">
        <f t="shared" si="9"/>
        <v>5.9090598290598289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7">
        <v>91410</v>
      </c>
      <c r="C18" s="636">
        <f t="shared" si="0"/>
        <v>104.39999999999999</v>
      </c>
      <c r="D18" s="770">
        <v>14922</v>
      </c>
      <c r="E18" s="636">
        <f t="shared" si="1"/>
        <v>121.8</v>
      </c>
      <c r="F18" s="766">
        <v>76707</v>
      </c>
      <c r="G18" s="636">
        <f t="shared" si="2"/>
        <v>105.55999999999999</v>
      </c>
      <c r="H18" s="636">
        <f t="shared" si="3"/>
        <v>331.76</v>
      </c>
      <c r="I18" s="766"/>
      <c r="J18" s="636"/>
      <c r="K18" s="808"/>
      <c r="L18" s="636"/>
      <c r="M18" s="636"/>
      <c r="N18" s="109"/>
      <c r="O18" s="535">
        <f t="shared" si="4"/>
        <v>0</v>
      </c>
      <c r="P18" s="109"/>
      <c r="Q18" s="436">
        <f t="shared" si="5"/>
        <v>192.42079999999999</v>
      </c>
      <c r="R18" s="109"/>
      <c r="S18" s="436">
        <f t="shared" si="6"/>
        <v>0</v>
      </c>
      <c r="T18" s="706">
        <f>Elect!BT17</f>
        <v>240</v>
      </c>
      <c r="U18" s="604">
        <f t="shared" si="7"/>
        <v>1.3823333333333332</v>
      </c>
      <c r="V18" s="706">
        <f>Elect!BV17</f>
        <v>0</v>
      </c>
      <c r="W18" s="604" t="e">
        <f t="shared" si="8"/>
        <v>#DIV/0!</v>
      </c>
      <c r="X18" s="429">
        <f>H18*V1</f>
        <v>1327.04</v>
      </c>
      <c r="Y18" s="604">
        <f t="shared" si="9"/>
        <v>5.5293333333333328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7">
        <v>91428</v>
      </c>
      <c r="C19" s="636">
        <f t="shared" si="0"/>
        <v>104.39999999999999</v>
      </c>
      <c r="D19" s="770">
        <v>14943</v>
      </c>
      <c r="E19" s="636">
        <f t="shared" si="1"/>
        <v>121.8</v>
      </c>
      <c r="F19" s="766">
        <v>76892</v>
      </c>
      <c r="G19" s="636">
        <f t="shared" si="2"/>
        <v>107.3</v>
      </c>
      <c r="H19" s="636">
        <f t="shared" si="3"/>
        <v>333.5</v>
      </c>
      <c r="I19" s="766"/>
      <c r="J19" s="636"/>
      <c r="K19" s="808"/>
      <c r="L19" s="636"/>
      <c r="M19" s="636"/>
      <c r="N19" s="109"/>
      <c r="O19" s="535">
        <f t="shared" si="4"/>
        <v>0</v>
      </c>
      <c r="P19" s="109"/>
      <c r="Q19" s="436">
        <f t="shared" si="5"/>
        <v>193.42999999999998</v>
      </c>
      <c r="R19" s="109"/>
      <c r="S19" s="436">
        <f t="shared" si="6"/>
        <v>0</v>
      </c>
      <c r="T19" s="706">
        <f>Elect!BT18</f>
        <v>246</v>
      </c>
      <c r="U19" s="604">
        <f t="shared" si="7"/>
        <v>1.3556910569105691</v>
      </c>
      <c r="V19" s="706">
        <f>Elect!BV18</f>
        <v>0</v>
      </c>
      <c r="W19" s="604" t="e">
        <f t="shared" si="8"/>
        <v>#DIV/0!</v>
      </c>
      <c r="X19" s="429">
        <f>H19*V1</f>
        <v>1334</v>
      </c>
      <c r="Y19" s="604">
        <f t="shared" si="9"/>
        <v>5.4227642276422765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7">
        <v>91448</v>
      </c>
      <c r="C20" s="636">
        <f t="shared" si="0"/>
        <v>115.99999999999999</v>
      </c>
      <c r="D20" s="770">
        <v>14966</v>
      </c>
      <c r="E20" s="636">
        <f t="shared" si="1"/>
        <v>133.39999999999998</v>
      </c>
      <c r="F20" s="766">
        <v>77078</v>
      </c>
      <c r="G20" s="636">
        <f t="shared" si="2"/>
        <v>107.88</v>
      </c>
      <c r="H20" s="636">
        <f t="shared" si="3"/>
        <v>357.28</v>
      </c>
      <c r="I20" s="766"/>
      <c r="J20" s="636"/>
      <c r="K20" s="808"/>
      <c r="L20" s="636"/>
      <c r="M20" s="636"/>
      <c r="N20" s="109"/>
      <c r="O20" s="535">
        <f t="shared" si="4"/>
        <v>0</v>
      </c>
      <c r="P20" s="109"/>
      <c r="Q20" s="436">
        <f t="shared" si="5"/>
        <v>207.22239999999996</v>
      </c>
      <c r="R20" s="109"/>
      <c r="S20" s="436">
        <f t="shared" si="6"/>
        <v>0</v>
      </c>
      <c r="T20" s="706">
        <f>Elect!BT19</f>
        <v>252</v>
      </c>
      <c r="U20" s="604">
        <f t="shared" si="7"/>
        <v>1.4177777777777776</v>
      </c>
      <c r="V20" s="706">
        <f>Elect!BV19</f>
        <v>0</v>
      </c>
      <c r="W20" s="604" t="e">
        <f t="shared" si="8"/>
        <v>#DIV/0!</v>
      </c>
      <c r="X20" s="429">
        <f>H20*V1</f>
        <v>1429.12</v>
      </c>
      <c r="Y20" s="604">
        <f t="shared" si="9"/>
        <v>5.6711111111111103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7">
        <v>91465</v>
      </c>
      <c r="C21" s="636">
        <f t="shared" si="0"/>
        <v>98.6</v>
      </c>
      <c r="D21" s="770">
        <v>14985</v>
      </c>
      <c r="E21" s="636">
        <f t="shared" si="1"/>
        <v>110.19999999999999</v>
      </c>
      <c r="F21" s="766">
        <v>77267</v>
      </c>
      <c r="G21" s="636">
        <f t="shared" si="2"/>
        <v>109.61999999999999</v>
      </c>
      <c r="H21" s="636">
        <f t="shared" si="3"/>
        <v>318.41999999999996</v>
      </c>
      <c r="I21" s="766"/>
      <c r="J21" s="636"/>
      <c r="K21" s="808"/>
      <c r="L21" s="636"/>
      <c r="M21" s="636"/>
      <c r="N21" s="109"/>
      <c r="O21" s="535">
        <f t="shared" si="4"/>
        <v>0</v>
      </c>
      <c r="P21" s="109"/>
      <c r="Q21" s="436">
        <f t="shared" si="5"/>
        <v>184.68359999999996</v>
      </c>
      <c r="R21" s="109"/>
      <c r="S21" s="436">
        <f t="shared" si="6"/>
        <v>0</v>
      </c>
      <c r="T21" s="706">
        <f>Elect!BT20</f>
        <v>196</v>
      </c>
      <c r="U21" s="604">
        <f t="shared" si="7"/>
        <v>1.6245918367346937</v>
      </c>
      <c r="V21" s="706">
        <f>Elect!BV20</f>
        <v>0</v>
      </c>
      <c r="W21" s="604" t="e">
        <f t="shared" si="8"/>
        <v>#DIV/0!</v>
      </c>
      <c r="X21" s="429">
        <f>H21*V1</f>
        <v>1273.6799999999998</v>
      </c>
      <c r="Y21" s="604">
        <f t="shared" si="9"/>
        <v>6.4983673469387746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7">
        <v>91483</v>
      </c>
      <c r="C22" s="636">
        <f>IF(B22&gt;=B21,B22-B21,0)*10*0.58</f>
        <v>104.39999999999999</v>
      </c>
      <c r="D22" s="770">
        <v>15006</v>
      </c>
      <c r="E22" s="636">
        <f t="shared" si="1"/>
        <v>121.8</v>
      </c>
      <c r="F22" s="766">
        <v>77448</v>
      </c>
      <c r="G22" s="636">
        <f t="shared" si="2"/>
        <v>104.97999999999999</v>
      </c>
      <c r="H22" s="636">
        <f t="shared" si="3"/>
        <v>331.17999999999995</v>
      </c>
      <c r="I22" s="766"/>
      <c r="J22" s="636"/>
      <c r="K22" s="808"/>
      <c r="L22" s="636"/>
      <c r="M22" s="636"/>
      <c r="N22" s="109"/>
      <c r="O22" s="535">
        <f t="shared" si="4"/>
        <v>0</v>
      </c>
      <c r="P22" s="109"/>
      <c r="Q22" s="436">
        <f t="shared" si="5"/>
        <v>192.08439999999996</v>
      </c>
      <c r="R22" s="109"/>
      <c r="S22" s="436">
        <f t="shared" si="6"/>
        <v>0</v>
      </c>
      <c r="T22" s="706">
        <f>Elect!BT21</f>
        <v>219</v>
      </c>
      <c r="U22" s="604">
        <f t="shared" si="7"/>
        <v>1.5122374429223742</v>
      </c>
      <c r="V22" s="706">
        <f>Elect!BV21</f>
        <v>0</v>
      </c>
      <c r="W22" s="604" t="e">
        <f t="shared" si="8"/>
        <v>#DIV/0!</v>
      </c>
      <c r="X22" s="429">
        <f>H22*V1</f>
        <v>1324.7199999999998</v>
      </c>
      <c r="Y22" s="604">
        <f t="shared" si="9"/>
        <v>6.0489497716894967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7">
        <v>91500.333333333299</v>
      </c>
      <c r="C23" s="636">
        <f>IF(B23&gt;=B22,B23-B22,0)*10*0.58</f>
        <v>100.5333333331364</v>
      </c>
      <c r="D23" s="770">
        <v>15025.666666666701</v>
      </c>
      <c r="E23" s="636">
        <f t="shared" si="1"/>
        <v>114.0666666668636</v>
      </c>
      <c r="F23" s="766">
        <v>77634.333333333299</v>
      </c>
      <c r="G23" s="636">
        <f t="shared" si="2"/>
        <v>108.07333333331363</v>
      </c>
      <c r="H23" s="636">
        <f t="shared" si="3"/>
        <v>322.67333333331362</v>
      </c>
      <c r="I23" s="766"/>
      <c r="J23" s="636"/>
      <c r="K23" s="808"/>
      <c r="L23" s="636"/>
      <c r="M23" s="636"/>
      <c r="N23" s="109"/>
      <c r="O23" s="535">
        <f t="shared" si="4"/>
        <v>0</v>
      </c>
      <c r="P23" s="109"/>
      <c r="Q23" s="436">
        <f t="shared" si="5"/>
        <v>187.15053333332187</v>
      </c>
      <c r="R23" s="109"/>
      <c r="S23" s="436">
        <f t="shared" si="6"/>
        <v>0</v>
      </c>
      <c r="T23" s="706">
        <f>Elect!BT22</f>
        <v>240</v>
      </c>
      <c r="U23" s="604">
        <f t="shared" si="7"/>
        <v>1.3444722222221401</v>
      </c>
      <c r="V23" s="706">
        <f>Elect!BV22</f>
        <v>0</v>
      </c>
      <c r="W23" s="604" t="e">
        <f t="shared" si="8"/>
        <v>#DIV/0!</v>
      </c>
      <c r="X23" s="429">
        <f>H23*V1</f>
        <v>1290.6933333332545</v>
      </c>
      <c r="Y23" s="604">
        <f t="shared" si="9"/>
        <v>5.3778888888885605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7">
        <v>91505</v>
      </c>
      <c r="C24" s="636">
        <f>IF(B24&gt;=B23,B24-B23,0)*10*0.58</f>
        <v>27.0666666668636</v>
      </c>
      <c r="D24" s="770">
        <v>15043</v>
      </c>
      <c r="E24" s="636">
        <f t="shared" si="1"/>
        <v>100.5333333331364</v>
      </c>
      <c r="F24" s="766">
        <v>77967</v>
      </c>
      <c r="G24" s="636">
        <f t="shared" si="2"/>
        <v>192.94666666668635</v>
      </c>
      <c r="H24" s="636">
        <f t="shared" si="3"/>
        <v>320.54666666668635</v>
      </c>
      <c r="I24" s="766"/>
      <c r="J24" s="636"/>
      <c r="K24" s="808"/>
      <c r="L24" s="636"/>
      <c r="M24" s="636"/>
      <c r="N24" s="109"/>
      <c r="O24" s="535">
        <f t="shared" si="4"/>
        <v>0</v>
      </c>
      <c r="P24" s="109"/>
      <c r="Q24" s="436">
        <f t="shared" si="5"/>
        <v>185.91706666667807</v>
      </c>
      <c r="R24" s="109"/>
      <c r="S24" s="436">
        <f t="shared" si="6"/>
        <v>0</v>
      </c>
      <c r="T24" s="706">
        <f>Elect!BT23</f>
        <v>256</v>
      </c>
      <c r="U24" s="604">
        <f t="shared" si="7"/>
        <v>1.2521354166667436</v>
      </c>
      <c r="V24" s="706">
        <f>Elect!BV23</f>
        <v>0</v>
      </c>
      <c r="W24" s="604" t="e">
        <f t="shared" si="8"/>
        <v>#DIV/0!</v>
      </c>
      <c r="X24" s="429">
        <f>H24*V1</f>
        <v>1282.1866666667454</v>
      </c>
      <c r="Y24" s="604">
        <f t="shared" si="9"/>
        <v>5.0085416666669742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7">
        <v>91543</v>
      </c>
      <c r="C25" s="636">
        <f>IF(B25&gt;=B24,B25-B24,0)*10*0.58</f>
        <v>220.39999999999998</v>
      </c>
      <c r="D25" s="770">
        <v>15073</v>
      </c>
      <c r="E25" s="636">
        <f t="shared" si="1"/>
        <v>174</v>
      </c>
      <c r="F25" s="766">
        <v>78038</v>
      </c>
      <c r="G25" s="636">
        <f t="shared" si="2"/>
        <v>41.18</v>
      </c>
      <c r="H25" s="636">
        <f t="shared" si="3"/>
        <v>435.58</v>
      </c>
      <c r="I25" s="766"/>
      <c r="J25" s="636"/>
      <c r="K25" s="808"/>
      <c r="L25" s="636"/>
      <c r="M25" s="636"/>
      <c r="N25" s="109"/>
      <c r="O25" s="535">
        <f t="shared" si="4"/>
        <v>0</v>
      </c>
      <c r="P25" s="109"/>
      <c r="Q25" s="436">
        <f t="shared" si="5"/>
        <v>252.63639999999998</v>
      </c>
      <c r="R25" s="109"/>
      <c r="S25" s="436">
        <f t="shared" si="6"/>
        <v>0</v>
      </c>
      <c r="T25" s="706">
        <f>Elect!BT24</f>
        <v>254</v>
      </c>
      <c r="U25" s="604">
        <f t="shared" si="7"/>
        <v>1.7148818897637794</v>
      </c>
      <c r="V25" s="706">
        <f>Elect!BV24</f>
        <v>0</v>
      </c>
      <c r="W25" s="604" t="e">
        <f t="shared" si="8"/>
        <v>#DIV/0!</v>
      </c>
      <c r="X25" s="429">
        <f>H25*V1</f>
        <v>1742.32</v>
      </c>
      <c r="Y25" s="604">
        <f t="shared" si="9"/>
        <v>6.8595275590551177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7">
        <v>91565</v>
      </c>
      <c r="C26" s="636">
        <f t="shared" si="0"/>
        <v>127.6</v>
      </c>
      <c r="D26" s="770">
        <v>15101</v>
      </c>
      <c r="E26" s="636">
        <f t="shared" si="1"/>
        <v>162.39999999999998</v>
      </c>
      <c r="F26" s="766">
        <v>78257</v>
      </c>
      <c r="G26" s="636">
        <f t="shared" si="2"/>
        <v>127.02</v>
      </c>
      <c r="H26" s="636">
        <f t="shared" si="3"/>
        <v>417.02</v>
      </c>
      <c r="I26" s="766"/>
      <c r="J26" s="636"/>
      <c r="K26" s="808"/>
      <c r="L26" s="636"/>
      <c r="M26" s="636"/>
      <c r="N26" s="109"/>
      <c r="O26" s="535">
        <f t="shared" si="4"/>
        <v>0</v>
      </c>
      <c r="P26" s="109"/>
      <c r="Q26" s="436">
        <f t="shared" si="5"/>
        <v>241.87159999999997</v>
      </c>
      <c r="R26" s="109"/>
      <c r="S26" s="436">
        <f t="shared" si="6"/>
        <v>0</v>
      </c>
      <c r="T26" s="706">
        <f>Elect!BT25</f>
        <v>250</v>
      </c>
      <c r="U26" s="604">
        <f t="shared" si="7"/>
        <v>1.66808</v>
      </c>
      <c r="V26" s="706">
        <f>Elect!BV25</f>
        <v>0</v>
      </c>
      <c r="W26" s="604" t="e">
        <f t="shared" si="8"/>
        <v>#DIV/0!</v>
      </c>
      <c r="X26" s="429">
        <f>H26*V1</f>
        <v>1668.08</v>
      </c>
      <c r="Y26" s="604">
        <f t="shared" si="9"/>
        <v>6.67232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7">
        <v>91581</v>
      </c>
      <c r="C27" s="636">
        <f t="shared" si="0"/>
        <v>92.8</v>
      </c>
      <c r="D27" s="770">
        <v>15120</v>
      </c>
      <c r="E27" s="636">
        <f t="shared" si="1"/>
        <v>110.19999999999999</v>
      </c>
      <c r="F27" s="766">
        <v>78411</v>
      </c>
      <c r="G27" s="636">
        <f t="shared" si="2"/>
        <v>89.32</v>
      </c>
      <c r="H27" s="636">
        <f t="shared" si="3"/>
        <v>292.32</v>
      </c>
      <c r="I27" s="766"/>
      <c r="J27" s="636"/>
      <c r="K27" s="808"/>
      <c r="L27" s="636"/>
      <c r="M27" s="636"/>
      <c r="N27" s="109"/>
      <c r="O27" s="535">
        <f t="shared" si="4"/>
        <v>0</v>
      </c>
      <c r="P27" s="109"/>
      <c r="Q27" s="436">
        <f t="shared" si="5"/>
        <v>169.54559999999998</v>
      </c>
      <c r="R27" s="109"/>
      <c r="S27" s="436">
        <f t="shared" si="6"/>
        <v>0</v>
      </c>
      <c r="T27" s="706">
        <f>Elect!BT26</f>
        <v>249</v>
      </c>
      <c r="U27" s="604">
        <f t="shared" si="7"/>
        <v>1.1739759036144577</v>
      </c>
      <c r="V27" s="706">
        <f>Elect!BV26</f>
        <v>0</v>
      </c>
      <c r="W27" s="604" t="e">
        <f t="shared" si="8"/>
        <v>#DIV/0!</v>
      </c>
      <c r="X27" s="429">
        <f>H27*V1</f>
        <v>1169.28</v>
      </c>
      <c r="Y27" s="604">
        <f t="shared" si="9"/>
        <v>4.6959036144578308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7">
        <v>91600</v>
      </c>
      <c r="C28" s="636">
        <f>IF(B28&gt;=B27,B28-B27,0)*10*0.58</f>
        <v>110.19999999999999</v>
      </c>
      <c r="D28" s="770">
        <v>15141</v>
      </c>
      <c r="E28" s="636">
        <f t="shared" si="1"/>
        <v>121.8</v>
      </c>
      <c r="F28" s="766">
        <v>78600</v>
      </c>
      <c r="G28" s="636">
        <f t="shared" si="2"/>
        <v>109.61999999999999</v>
      </c>
      <c r="H28" s="636">
        <f t="shared" si="3"/>
        <v>341.62</v>
      </c>
      <c r="I28" s="766"/>
      <c r="J28" s="636"/>
      <c r="K28" s="808"/>
      <c r="L28" s="636"/>
      <c r="M28" s="636"/>
      <c r="N28" s="109"/>
      <c r="O28" s="535">
        <f t="shared" si="4"/>
        <v>0</v>
      </c>
      <c r="P28" s="109"/>
      <c r="Q28" s="436">
        <f t="shared" si="5"/>
        <v>198.1396</v>
      </c>
      <c r="R28" s="109"/>
      <c r="S28" s="436">
        <f t="shared" si="6"/>
        <v>0</v>
      </c>
      <c r="T28" s="706">
        <f>Elect!BT27</f>
        <v>240</v>
      </c>
      <c r="U28" s="604">
        <f t="shared" si="7"/>
        <v>1.4234166666666668</v>
      </c>
      <c r="V28" s="706">
        <f>Elect!BV27</f>
        <v>0</v>
      </c>
      <c r="W28" s="604" t="e">
        <f t="shared" si="8"/>
        <v>#DIV/0!</v>
      </c>
      <c r="X28" s="429">
        <f>H28*V1</f>
        <v>1366.48</v>
      </c>
      <c r="Y28" s="604">
        <f t="shared" si="9"/>
        <v>5.6936666666666671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7">
        <v>91610</v>
      </c>
      <c r="C29" s="636">
        <f>IF(B29&gt;=B28,B29-B28,0)*10*0.58</f>
        <v>57.999999999999993</v>
      </c>
      <c r="D29" s="770">
        <v>15160</v>
      </c>
      <c r="E29" s="636">
        <f t="shared" si="1"/>
        <v>110.19999999999999</v>
      </c>
      <c r="F29" s="766">
        <v>78955</v>
      </c>
      <c r="G29" s="636">
        <f t="shared" si="2"/>
        <v>205.89999999999998</v>
      </c>
      <c r="H29" s="636">
        <f t="shared" si="3"/>
        <v>374.09999999999997</v>
      </c>
      <c r="I29" s="766"/>
      <c r="J29" s="636"/>
      <c r="K29" s="808"/>
      <c r="L29" s="636"/>
      <c r="M29" s="636"/>
      <c r="N29" s="109"/>
      <c r="O29" s="535">
        <f t="shared" si="4"/>
        <v>0</v>
      </c>
      <c r="P29" s="109"/>
      <c r="Q29" s="436">
        <f t="shared" si="5"/>
        <v>216.97799999999995</v>
      </c>
      <c r="R29" s="458"/>
      <c r="S29" s="436">
        <f t="shared" si="6"/>
        <v>0</v>
      </c>
      <c r="T29" s="706">
        <f>Elect!BT28</f>
        <v>254</v>
      </c>
      <c r="U29" s="604">
        <f t="shared" si="7"/>
        <v>1.4728346456692911</v>
      </c>
      <c r="V29" s="706">
        <f>Elect!BV28</f>
        <v>0</v>
      </c>
      <c r="W29" s="604" t="e">
        <f t="shared" si="8"/>
        <v>#DIV/0!</v>
      </c>
      <c r="X29" s="429">
        <f>H29*V1</f>
        <v>1496.3999999999999</v>
      </c>
      <c r="Y29" s="604">
        <f t="shared" si="9"/>
        <v>5.8913385826771645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7">
        <v>91640</v>
      </c>
      <c r="C30" s="636">
        <f t="shared" si="0"/>
        <v>174</v>
      </c>
      <c r="D30" s="770">
        <v>15195</v>
      </c>
      <c r="E30" s="636">
        <f t="shared" si="1"/>
        <v>203</v>
      </c>
      <c r="F30" s="766">
        <v>78911</v>
      </c>
      <c r="G30" s="636">
        <f t="shared" si="2"/>
        <v>0</v>
      </c>
      <c r="H30" s="636">
        <f t="shared" si="3"/>
        <v>377</v>
      </c>
      <c r="I30" s="766"/>
      <c r="J30" s="636"/>
      <c r="K30" s="808"/>
      <c r="L30" s="636"/>
      <c r="M30" s="636"/>
      <c r="N30" s="109"/>
      <c r="O30" s="535">
        <f t="shared" si="4"/>
        <v>0</v>
      </c>
      <c r="P30" s="109"/>
      <c r="Q30" s="436">
        <f t="shared" si="5"/>
        <v>218.66</v>
      </c>
      <c r="R30" s="458"/>
      <c r="S30" s="436">
        <f t="shared" si="6"/>
        <v>0</v>
      </c>
      <c r="T30" s="706">
        <f>Elect!BT29</f>
        <v>251</v>
      </c>
      <c r="U30" s="604">
        <f t="shared" si="7"/>
        <v>1.50199203187251</v>
      </c>
      <c r="V30" s="706">
        <f>Elect!BV29</f>
        <v>0</v>
      </c>
      <c r="W30" s="604" t="e">
        <f t="shared" si="8"/>
        <v>#DIV/0!</v>
      </c>
      <c r="X30" s="429">
        <f>H30*V1</f>
        <v>1508</v>
      </c>
      <c r="Y30" s="604">
        <f t="shared" si="9"/>
        <v>6.0079681274900398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7">
        <v>91659</v>
      </c>
      <c r="C31" s="636">
        <f t="shared" si="0"/>
        <v>110.19999999999999</v>
      </c>
      <c r="D31" s="770">
        <v>15210</v>
      </c>
      <c r="E31" s="636">
        <f t="shared" si="1"/>
        <v>87</v>
      </c>
      <c r="F31" s="766">
        <v>79186</v>
      </c>
      <c r="G31" s="636">
        <f t="shared" si="2"/>
        <v>159.5</v>
      </c>
      <c r="H31" s="636">
        <f t="shared" si="3"/>
        <v>356.7</v>
      </c>
      <c r="I31" s="766"/>
      <c r="J31" s="636"/>
      <c r="K31" s="808"/>
      <c r="L31" s="636"/>
      <c r="M31" s="636"/>
      <c r="N31" s="109"/>
      <c r="O31" s="535">
        <f t="shared" si="4"/>
        <v>0</v>
      </c>
      <c r="P31" s="109"/>
      <c r="Q31" s="436">
        <f t="shared" si="5"/>
        <v>206.88599999999997</v>
      </c>
      <c r="R31" s="458"/>
      <c r="S31" s="436">
        <f t="shared" si="6"/>
        <v>0</v>
      </c>
      <c r="T31" s="706">
        <f>Elect!BT30</f>
        <v>252</v>
      </c>
      <c r="U31" s="604">
        <f t="shared" si="7"/>
        <v>1.4154761904761903</v>
      </c>
      <c r="V31" s="706">
        <f>Elect!BV30</f>
        <v>0</v>
      </c>
      <c r="W31" s="604" t="e">
        <f t="shared" si="8"/>
        <v>#DIV/0!</v>
      </c>
      <c r="X31" s="429">
        <f>H31*V1</f>
        <v>1426.8</v>
      </c>
      <c r="Y31" s="604">
        <f t="shared" si="9"/>
        <v>5.6619047619047613</v>
      </c>
      <c r="Z31" s="607" t="e">
        <f t="shared" ref="Z31:Z37" si="11">IF(X31&gt;0,X31/V31,0)</f>
        <v>#DIV/0!</v>
      </c>
    </row>
    <row r="32" spans="1:26" s="3" customFormat="1" ht="36.75" customHeight="1">
      <c r="A32" s="595">
        <v>26</v>
      </c>
      <c r="B32" s="767">
        <v>91675</v>
      </c>
      <c r="C32" s="636">
        <f>IF(B32&gt;=B31,B32-B31,0)*10*0.58</f>
        <v>92.8</v>
      </c>
      <c r="D32" s="770">
        <v>15229</v>
      </c>
      <c r="E32" s="636">
        <f t="shared" si="1"/>
        <v>110.19999999999999</v>
      </c>
      <c r="F32" s="766">
        <v>79548</v>
      </c>
      <c r="G32" s="636">
        <f t="shared" ref="G32:G35" si="12">IF(F32&gt;=F31,F32-F31,0)*0.58</f>
        <v>209.95999999999998</v>
      </c>
      <c r="H32" s="636">
        <f t="shared" si="3"/>
        <v>412.96</v>
      </c>
      <c r="I32" s="766"/>
      <c r="J32" s="636"/>
      <c r="K32" s="808"/>
      <c r="L32" s="636"/>
      <c r="M32" s="636"/>
      <c r="N32" s="109"/>
      <c r="O32" s="535">
        <f t="shared" si="4"/>
        <v>0</v>
      </c>
      <c r="P32" s="109"/>
      <c r="Q32" s="436">
        <f t="shared" si="5"/>
        <v>239.51679999999996</v>
      </c>
      <c r="R32" s="458"/>
      <c r="S32" s="436">
        <f t="shared" si="6"/>
        <v>0</v>
      </c>
      <c r="T32" s="706">
        <f>Elect!BT31</f>
        <v>252</v>
      </c>
      <c r="U32" s="604">
        <f t="shared" si="7"/>
        <v>1.6387301587301586</v>
      </c>
      <c r="V32" s="706">
        <f>Elect!BV31</f>
        <v>0</v>
      </c>
      <c r="W32" s="604" t="e">
        <f t="shared" si="8"/>
        <v>#DIV/0!</v>
      </c>
      <c r="X32" s="429">
        <f>H32*V1</f>
        <v>1651.84</v>
      </c>
      <c r="Y32" s="604">
        <f t="shared" si="9"/>
        <v>6.5549206349206344</v>
      </c>
      <c r="Z32" s="607" t="e">
        <f t="shared" si="11"/>
        <v>#DIV/0!</v>
      </c>
    </row>
    <row r="33" spans="1:26" s="3" customFormat="1" ht="36.75" customHeight="1">
      <c r="A33" s="596">
        <v>27</v>
      </c>
      <c r="B33" s="767">
        <v>91692</v>
      </c>
      <c r="C33" s="636">
        <f t="shared" si="0"/>
        <v>98.6</v>
      </c>
      <c r="D33" s="770">
        <v>15249</v>
      </c>
      <c r="E33" s="636">
        <f t="shared" si="1"/>
        <v>115.99999999999999</v>
      </c>
      <c r="F33" s="766">
        <v>79548</v>
      </c>
      <c r="G33" s="636">
        <f t="shared" si="12"/>
        <v>0</v>
      </c>
      <c r="H33" s="636">
        <f t="shared" si="3"/>
        <v>214.59999999999997</v>
      </c>
      <c r="I33" s="766"/>
      <c r="J33" s="636"/>
      <c r="K33" s="808"/>
      <c r="L33" s="636"/>
      <c r="M33" s="636"/>
      <c r="N33" s="109"/>
      <c r="O33" s="535">
        <f t="shared" si="4"/>
        <v>0</v>
      </c>
      <c r="P33" s="109"/>
      <c r="Q33" s="436">
        <f t="shared" si="5"/>
        <v>124.46799999999998</v>
      </c>
      <c r="R33" s="458"/>
      <c r="S33" s="436">
        <f t="shared" si="6"/>
        <v>0</v>
      </c>
      <c r="T33" s="706">
        <f>Elect!BT32</f>
        <v>236</v>
      </c>
      <c r="U33" s="604">
        <f t="shared" si="7"/>
        <v>0.9093220338983049</v>
      </c>
      <c r="V33" s="706">
        <f>Elect!BV32</f>
        <v>0</v>
      </c>
      <c r="W33" s="604" t="e">
        <f t="shared" si="8"/>
        <v>#DIV/0!</v>
      </c>
      <c r="X33" s="429">
        <f>H33*V1</f>
        <v>858.39999999999986</v>
      </c>
      <c r="Y33" s="604">
        <f t="shared" si="9"/>
        <v>3.6372881355932196</v>
      </c>
      <c r="Z33" s="607" t="e">
        <f t="shared" si="11"/>
        <v>#DIV/0!</v>
      </c>
    </row>
    <row r="34" spans="1:26" s="3" customFormat="1" ht="36.75" customHeight="1">
      <c r="A34" s="595">
        <v>28</v>
      </c>
      <c r="B34" s="767">
        <v>91710</v>
      </c>
      <c r="C34" s="636">
        <f t="shared" si="0"/>
        <v>104.39999999999999</v>
      </c>
      <c r="D34" s="770">
        <v>15270</v>
      </c>
      <c r="E34" s="636">
        <f t="shared" si="1"/>
        <v>121.8</v>
      </c>
      <c r="F34" s="766">
        <v>79737</v>
      </c>
      <c r="G34" s="636">
        <f t="shared" si="12"/>
        <v>109.61999999999999</v>
      </c>
      <c r="H34" s="636">
        <f t="shared" si="3"/>
        <v>335.82</v>
      </c>
      <c r="I34" s="766"/>
      <c r="J34" s="636"/>
      <c r="K34" s="808"/>
      <c r="L34" s="636"/>
      <c r="M34" s="636"/>
      <c r="N34" s="109"/>
      <c r="O34" s="535">
        <f t="shared" si="4"/>
        <v>0</v>
      </c>
      <c r="P34" s="109"/>
      <c r="Q34" s="436">
        <f t="shared" si="5"/>
        <v>194.77559999999997</v>
      </c>
      <c r="R34" s="458"/>
      <c r="S34" s="436">
        <f t="shared" si="6"/>
        <v>0</v>
      </c>
      <c r="T34" s="706">
        <f>Elect!BT33</f>
        <v>230.666666666667</v>
      </c>
      <c r="U34" s="604">
        <f t="shared" si="7"/>
        <v>1.4558670520231192</v>
      </c>
      <c r="V34" s="706">
        <f>Elect!BV33</f>
        <v>0</v>
      </c>
      <c r="W34" s="604" t="e">
        <f t="shared" si="8"/>
        <v>#DIV/0!</v>
      </c>
      <c r="X34" s="429">
        <f>H34*V1</f>
        <v>1343.28</v>
      </c>
      <c r="Y34" s="604">
        <f t="shared" si="9"/>
        <v>5.8234682080924767</v>
      </c>
      <c r="Z34" s="607" t="e">
        <f t="shared" si="11"/>
        <v>#DIV/0!</v>
      </c>
    </row>
    <row r="35" spans="1:26" s="3" customFormat="1" ht="36.75" customHeight="1">
      <c r="A35" s="595">
        <v>29</v>
      </c>
      <c r="B35" s="767">
        <v>91710</v>
      </c>
      <c r="C35" s="636">
        <f t="shared" si="0"/>
        <v>0</v>
      </c>
      <c r="D35" s="770">
        <v>15270</v>
      </c>
      <c r="E35" s="636">
        <f t="shared" si="1"/>
        <v>0</v>
      </c>
      <c r="F35" s="766">
        <v>79737</v>
      </c>
      <c r="G35" s="636">
        <f t="shared" si="12"/>
        <v>0</v>
      </c>
      <c r="H35" s="636">
        <f t="shared" si="3"/>
        <v>0</v>
      </c>
      <c r="I35" s="766"/>
      <c r="J35" s="636"/>
      <c r="K35" s="808"/>
      <c r="L35" s="636"/>
      <c r="M35" s="636"/>
      <c r="N35" s="109"/>
      <c r="O35" s="535">
        <f t="shared" si="4"/>
        <v>0</v>
      </c>
      <c r="P35" s="526"/>
      <c r="Q35" s="436">
        <f t="shared" si="5"/>
        <v>0</v>
      </c>
      <c r="R35" s="458"/>
      <c r="S35" s="436">
        <f t="shared" si="6"/>
        <v>0</v>
      </c>
      <c r="T35" s="706">
        <f>Elect!BT34</f>
        <v>0</v>
      </c>
      <c r="U35" s="604" t="e">
        <f t="shared" si="7"/>
        <v>#DIV/0!</v>
      </c>
      <c r="V35" s="706">
        <f>Elect!BV34</f>
        <v>0</v>
      </c>
      <c r="W35" s="604" t="e">
        <f t="shared" si="8"/>
        <v>#DIV/0!</v>
      </c>
      <c r="X35" s="429">
        <f>H35*V1</f>
        <v>0</v>
      </c>
      <c r="Y35" s="604">
        <f t="shared" si="9"/>
        <v>0</v>
      </c>
      <c r="Z35" s="607">
        <f t="shared" si="11"/>
        <v>0</v>
      </c>
    </row>
    <row r="36" spans="1:26" s="3" customFormat="1" ht="36.75" customHeight="1">
      <c r="A36" s="596">
        <v>30</v>
      </c>
      <c r="B36" s="767">
        <v>91710</v>
      </c>
      <c r="C36" s="636">
        <f t="shared" si="0"/>
        <v>0</v>
      </c>
      <c r="D36" s="770">
        <v>15270</v>
      </c>
      <c r="E36" s="636">
        <f t="shared" si="1"/>
        <v>0</v>
      </c>
      <c r="F36" s="766">
        <v>79737</v>
      </c>
      <c r="G36" s="636">
        <f>IF(F36&gt;=F35,F36-F35,0)*0.58</f>
        <v>0</v>
      </c>
      <c r="H36" s="636">
        <f t="shared" si="3"/>
        <v>0</v>
      </c>
      <c r="I36" s="766"/>
      <c r="J36" s="636"/>
      <c r="K36" s="766"/>
      <c r="L36" s="636"/>
      <c r="M36" s="636"/>
      <c r="N36" s="109"/>
      <c r="O36" s="535">
        <f t="shared" si="4"/>
        <v>0</v>
      </c>
      <c r="P36" s="526"/>
      <c r="Q36" s="436">
        <f t="shared" si="5"/>
        <v>0</v>
      </c>
      <c r="R36" s="458"/>
      <c r="S36" s="436">
        <f t="shared" si="6"/>
        <v>0</v>
      </c>
      <c r="T36" s="706">
        <f>Elect!BT35</f>
        <v>0</v>
      </c>
      <c r="U36" s="604" t="e">
        <f t="shared" si="7"/>
        <v>#DIV/0!</v>
      </c>
      <c r="V36" s="706">
        <f>Elect!BV35</f>
        <v>0</v>
      </c>
      <c r="W36" s="604" t="e">
        <f t="shared" si="8"/>
        <v>#DIV/0!</v>
      </c>
      <c r="X36" s="429">
        <f>H36*V1</f>
        <v>0</v>
      </c>
      <c r="Y36" s="604">
        <f t="shared" si="9"/>
        <v>0</v>
      </c>
      <c r="Z36" s="607">
        <f t="shared" si="11"/>
        <v>0</v>
      </c>
    </row>
    <row r="37" spans="1:26" s="3" customFormat="1" ht="36.75" customHeight="1">
      <c r="A37" s="595">
        <v>31</v>
      </c>
      <c r="B37" s="767">
        <v>91710</v>
      </c>
      <c r="C37" s="636">
        <f t="shared" si="0"/>
        <v>0</v>
      </c>
      <c r="D37" s="770">
        <v>15270</v>
      </c>
      <c r="E37" s="636">
        <f t="shared" si="1"/>
        <v>0</v>
      </c>
      <c r="F37" s="766">
        <v>79737</v>
      </c>
      <c r="G37" s="636">
        <f>IF(F37&gt;=F36,F37-F36,0)*0.58</f>
        <v>0</v>
      </c>
      <c r="H37" s="636">
        <f t="shared" si="3"/>
        <v>0</v>
      </c>
      <c r="I37" s="766">
        <v>339</v>
      </c>
      <c r="J37" s="722"/>
      <c r="K37" s="766">
        <v>5830</v>
      </c>
      <c r="L37" s="722"/>
      <c r="M37" s="722"/>
      <c r="N37" s="526"/>
      <c r="O37" s="535">
        <f t="shared" si="4"/>
        <v>0</v>
      </c>
      <c r="P37" s="526"/>
      <c r="Q37" s="436">
        <f t="shared" si="5"/>
        <v>0</v>
      </c>
      <c r="R37" s="721"/>
      <c r="S37" s="436">
        <f t="shared" si="6"/>
        <v>0</v>
      </c>
      <c r="T37" s="706">
        <f>Elect!BT36</f>
        <v>0</v>
      </c>
      <c r="U37" s="604" t="e">
        <f t="shared" si="7"/>
        <v>#DIV/0!</v>
      </c>
      <c r="V37" s="706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1"/>
        <v>0</v>
      </c>
    </row>
    <row r="38" spans="1:26" s="3" customFormat="1" ht="36.75" customHeight="1">
      <c r="A38" s="541" t="s">
        <v>122</v>
      </c>
      <c r="B38" s="800"/>
      <c r="C38" s="727">
        <f>SUM(C7:C37)</f>
        <v>2859.4</v>
      </c>
      <c r="D38" s="538"/>
      <c r="E38" s="727">
        <f>SUM(E7:E37)</f>
        <v>3288.5999999999995</v>
      </c>
      <c r="F38" s="766"/>
      <c r="G38" s="727">
        <f>SUM(G7:G37)</f>
        <v>3098.3599999999997</v>
      </c>
      <c r="H38" s="727">
        <f>SUM(H7:H37)</f>
        <v>9246.3599999999988</v>
      </c>
      <c r="I38" s="727"/>
      <c r="J38" s="542"/>
      <c r="K38" s="727"/>
      <c r="L38" s="542"/>
      <c r="M38" s="542"/>
      <c r="N38" s="538"/>
      <c r="O38" s="542">
        <f>SUM(O7:O36)</f>
        <v>0</v>
      </c>
      <c r="P38" s="538"/>
      <c r="Q38" s="542">
        <f>SUM(Q7:Q34)</f>
        <v>5362.8887999999997</v>
      </c>
      <c r="R38" s="538"/>
      <c r="S38" s="542">
        <f>SUM(S7:S34)</f>
        <v>0</v>
      </c>
      <c r="T38" s="543">
        <f>SUM(T7:T36)</f>
        <v>6025.666666666667</v>
      </c>
      <c r="U38" s="605">
        <f>IF(H38&gt;0,H38/T38,0)</f>
        <v>1.5344957681031142</v>
      </c>
      <c r="V38" s="659">
        <f>SUM(V7:V36)</f>
        <v>0</v>
      </c>
      <c r="W38" s="605" t="e">
        <f>IF(H38&gt;0,H38/V38,0)</f>
        <v>#DIV/0!</v>
      </c>
      <c r="X38" s="608">
        <f>SUM(X7:X36)</f>
        <v>36985.439999999995</v>
      </c>
      <c r="Y38" s="605">
        <f t="shared" ref="Y38:Y44" si="13">IF(X38&gt;0,X38/T38,0)</f>
        <v>6.1379830724124567</v>
      </c>
      <c r="Z38" s="609" t="e">
        <f t="shared" ref="Z38:Z44" si="14">IF(X38&gt;0,X38/V38,0)</f>
        <v>#DIV/0!</v>
      </c>
    </row>
    <row r="39" spans="1:26" s="3" customFormat="1" ht="36.75" customHeight="1">
      <c r="A39" s="545" t="s">
        <v>123</v>
      </c>
      <c r="B39" s="800"/>
      <c r="C39" s="547">
        <f>C38/B48</f>
        <v>95.313333333333333</v>
      </c>
      <c r="D39" s="539"/>
      <c r="E39" s="547">
        <f>E38/B48</f>
        <v>109.61999999999998</v>
      </c>
      <c r="F39" s="766"/>
      <c r="G39" s="547">
        <f>G38/B48</f>
        <v>103.27866666666665</v>
      </c>
      <c r="H39" s="547">
        <f>H38/B48</f>
        <v>308.21199999999993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178.76295999999999</v>
      </c>
      <c r="R39" s="539"/>
      <c r="S39" s="547" t="e">
        <f>S38/C48</f>
        <v>#DIV/0!</v>
      </c>
      <c r="T39" s="548">
        <f>T38/B48</f>
        <v>200.85555555555555</v>
      </c>
      <c r="U39" s="606">
        <f>IF(H39&gt;0,H39/T39,0)</f>
        <v>1.5344957681031142</v>
      </c>
      <c r="V39" s="619">
        <f>V38/B48</f>
        <v>0</v>
      </c>
      <c r="W39" s="605" t="e">
        <f>IF(H39&gt;0,H39/V39,0)</f>
        <v>#DIV/0!</v>
      </c>
      <c r="X39" s="610">
        <f>X38/B48</f>
        <v>1232.8479999999997</v>
      </c>
      <c r="Y39" s="606">
        <f t="shared" si="13"/>
        <v>6.1379830724124567</v>
      </c>
      <c r="Z39" s="611" t="e">
        <f t="shared" si="14"/>
        <v>#DIV/0!</v>
      </c>
    </row>
    <row r="40" spans="1:26" s="3" customFormat="1" ht="36.75" customHeight="1">
      <c r="A40" s="597" t="s">
        <v>150</v>
      </c>
      <c r="B40" s="801"/>
      <c r="C40" s="612"/>
      <c r="D40" s="612"/>
      <c r="E40" s="613"/>
      <c r="F40" s="766"/>
      <c r="G40" s="613"/>
      <c r="H40" s="613"/>
      <c r="I40" s="613"/>
      <c r="J40" s="613"/>
      <c r="K40" s="613"/>
      <c r="L40" s="613"/>
      <c r="M40" s="613"/>
      <c r="N40" s="538"/>
      <c r="O40" s="613"/>
      <c r="P40" s="538"/>
      <c r="Q40" s="613"/>
      <c r="R40" s="612"/>
      <c r="S40" s="612"/>
      <c r="T40" s="614">
        <f>YTD!Q2341</f>
        <v>0</v>
      </c>
      <c r="U40" s="615" t="e">
        <f>IF(#REF!&gt;0,#REF!/T40,0)</f>
        <v>#REF!</v>
      </c>
      <c r="V40" s="616">
        <f>YTD!Q2342</f>
        <v>0</v>
      </c>
      <c r="W40" s="605" t="e">
        <f>IF(#REF!&gt;0,#REF!/V40,0)</f>
        <v>#REF!</v>
      </c>
      <c r="X40" s="617">
        <f>YTD!Q2346</f>
        <v>0</v>
      </c>
      <c r="Y40" s="605">
        <f t="shared" si="13"/>
        <v>0</v>
      </c>
      <c r="Z40" s="609">
        <f t="shared" si="14"/>
        <v>0</v>
      </c>
    </row>
    <row r="41" spans="1:26" s="3" customFormat="1" ht="36.75" customHeight="1">
      <c r="A41" s="598" t="s">
        <v>151</v>
      </c>
      <c r="B41" s="802"/>
      <c r="C41" s="618"/>
      <c r="D41" s="618"/>
      <c r="E41" s="539"/>
      <c r="F41" s="766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18"/>
      <c r="S41" s="618"/>
      <c r="T41" s="548" t="e">
        <f>T42*C48</f>
        <v>#VALUE!</v>
      </c>
      <c r="U41" s="606" t="e">
        <f>IF(#REF!&gt;0,#REF!/T41,0)</f>
        <v>#REF!</v>
      </c>
      <c r="V41" s="619" t="e">
        <f>V42*C48</f>
        <v>#VALUE!</v>
      </c>
      <c r="W41" s="606" t="e">
        <f>IF(#REF!&gt;0,#REF!/V41,0)</f>
        <v>#REF!</v>
      </c>
      <c r="X41" s="620" t="e">
        <f>#REF!*5.62</f>
        <v>#REF!</v>
      </c>
      <c r="Y41" s="606" t="e">
        <f t="shared" si="13"/>
        <v>#REF!</v>
      </c>
      <c r="Z41" s="611" t="e">
        <f t="shared" si="14"/>
        <v>#REF!</v>
      </c>
    </row>
    <row r="42" spans="1:26" s="628" customFormat="1" ht="42.75" customHeight="1">
      <c r="A42" s="599" t="s">
        <v>152</v>
      </c>
      <c r="B42" s="621"/>
      <c r="C42" s="621"/>
      <c r="D42" s="622"/>
      <c r="E42" s="621"/>
      <c r="F42" s="766"/>
      <c r="G42" s="621"/>
      <c r="H42" s="621"/>
      <c r="I42" s="621"/>
      <c r="J42" s="621"/>
      <c r="K42" s="621"/>
      <c r="L42" s="621"/>
      <c r="M42" s="621"/>
      <c r="N42" s="622"/>
      <c r="O42" s="621"/>
      <c r="P42" s="622"/>
      <c r="Q42" s="621"/>
      <c r="R42" s="623"/>
      <c r="S42" s="621"/>
      <c r="T42" s="624" t="e">
        <f>T40/$A$48</f>
        <v>#VALUE!</v>
      </c>
      <c r="U42" s="624"/>
      <c r="V42" s="624" t="e">
        <f>V40/$A$48</f>
        <v>#VALUE!</v>
      </c>
      <c r="W42" s="625"/>
      <c r="X42" s="626"/>
      <c r="Y42" s="621"/>
      <c r="Z42" s="627"/>
    </row>
    <row r="43" spans="1:26" ht="36" customHeight="1">
      <c r="A43" s="600" t="s">
        <v>153</v>
      </c>
      <c r="B43" s="629"/>
      <c r="C43" s="629"/>
      <c r="D43" s="629"/>
      <c r="E43" s="629"/>
      <c r="F43" s="766"/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30">
        <f>YTD!Q2358</f>
        <v>0</v>
      </c>
      <c r="U43" s="630"/>
      <c r="V43" s="631">
        <f>YTD!Q2359</f>
        <v>0</v>
      </c>
      <c r="W43" s="630"/>
      <c r="X43" s="632">
        <f>YTD!Q2363</f>
        <v>0</v>
      </c>
      <c r="Y43" s="633">
        <f t="shared" si="13"/>
        <v>0</v>
      </c>
      <c r="Z43" s="633">
        <f t="shared" si="14"/>
        <v>0</v>
      </c>
    </row>
    <row r="44" spans="1:26" ht="36" customHeight="1">
      <c r="A44" s="601" t="s">
        <v>154</v>
      </c>
      <c r="B44" s="634"/>
      <c r="C44" s="635"/>
      <c r="D44" s="634"/>
      <c r="E44" s="634"/>
      <c r="F44" s="766"/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6" t="e">
        <f>T43/A48*C48</f>
        <v>#VALUE!</v>
      </c>
      <c r="U44" s="636"/>
      <c r="V44" s="636" t="e">
        <f>V43/A48*C48</f>
        <v>#VALUE!</v>
      </c>
      <c r="W44" s="636"/>
      <c r="X44" s="637" t="e">
        <f>X43/A48*C48</f>
        <v>#VALUE!</v>
      </c>
      <c r="Y44" s="554" t="e">
        <f t="shared" si="13"/>
        <v>#VALUE!</v>
      </c>
      <c r="Z44" s="554" t="e">
        <f t="shared" si="14"/>
        <v>#VALUE!</v>
      </c>
    </row>
    <row r="45" spans="1:26" ht="36" customHeight="1">
      <c r="A45" s="602" t="s">
        <v>155</v>
      </c>
      <c r="B45" s="638"/>
      <c r="C45" s="639"/>
      <c r="D45" s="638"/>
      <c r="E45" s="638"/>
      <c r="F45" s="766"/>
      <c r="G45" s="638"/>
      <c r="H45" s="638"/>
      <c r="I45" s="638"/>
      <c r="J45" s="638"/>
      <c r="K45" s="638"/>
      <c r="L45" s="638"/>
      <c r="M45" s="638"/>
      <c r="N45" s="638"/>
      <c r="O45" s="638"/>
      <c r="P45" s="638"/>
      <c r="Q45" s="638"/>
      <c r="R45" s="638"/>
      <c r="S45" s="638"/>
      <c r="T45" s="640" t="e">
        <f>T43/A48</f>
        <v>#VALUE!</v>
      </c>
      <c r="U45" s="640"/>
      <c r="V45" s="640" t="e">
        <f>V44/A48*C48</f>
        <v>#VALUE!</v>
      </c>
      <c r="W45" s="640"/>
      <c r="X45" s="641" t="e">
        <f>X43/A48</f>
        <v>#VALUE!</v>
      </c>
      <c r="Y45" s="642"/>
      <c r="Z45" s="642"/>
    </row>
    <row r="46" spans="1:26" ht="23.25" customHeight="1">
      <c r="A46" s="541" t="s">
        <v>156</v>
      </c>
      <c r="B46" s="538"/>
      <c r="C46" s="553"/>
      <c r="D46" s="538"/>
      <c r="E46" s="538"/>
      <c r="F46" s="766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3"/>
      <c r="U46" s="643">
        <f>Consp!BH33</f>
        <v>1.151467863064469</v>
      </c>
      <c r="V46" s="644"/>
      <c r="W46" s="643">
        <f>Consp!BI33</f>
        <v>0.57929342492639846</v>
      </c>
      <c r="X46" s="645">
        <f>Consp!BJ33</f>
        <v>140121.30040437225</v>
      </c>
      <c r="Y46" s="643">
        <f>Consp!BK33</f>
        <v>6.8331854288682461</v>
      </c>
      <c r="Z46" s="646">
        <f>Consp!BL33</f>
        <v>3.4377159078599666</v>
      </c>
    </row>
    <row r="47" spans="1:26" ht="23.25" customHeight="1">
      <c r="A47" s="545" t="s">
        <v>157</v>
      </c>
      <c r="B47" s="539"/>
      <c r="C47" s="555"/>
      <c r="D47" s="539"/>
      <c r="E47" s="539"/>
      <c r="F47" s="766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7"/>
      <c r="U47" s="647">
        <f>Consp!BH34</f>
        <v>1.1761372019916823</v>
      </c>
      <c r="V47" s="648"/>
      <c r="W47" s="647">
        <f>Consp!BI34</f>
        <v>0.60007376616126884</v>
      </c>
      <c r="X47" s="649">
        <f>Consp!BJ34</f>
        <v>5004.3321572990089</v>
      </c>
      <c r="Y47" s="647">
        <f>Consp!BK34</f>
        <v>6.8331854288682452</v>
      </c>
      <c r="Z47" s="650">
        <f>Consp!BL34</f>
        <v>3.4377159078599666</v>
      </c>
    </row>
    <row r="48" spans="1:26" ht="23.25" customHeight="1">
      <c r="A48" s="23" t="s">
        <v>124</v>
      </c>
      <c r="B48" s="106">
        <f>COUNTIF(B7:B36,"&gt;0")</f>
        <v>30</v>
      </c>
      <c r="C48" s="106"/>
      <c r="D48" s="651"/>
      <c r="E48" s="651"/>
      <c r="F48" s="766"/>
      <c r="G48" s="651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2"/>
    </row>
    <row r="49" spans="1:24" s="656" customFormat="1" ht="23.25" customHeight="1">
      <c r="A49" s="603"/>
      <c r="B49" s="653"/>
      <c r="C49" s="654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4"/>
      <c r="X49" s="657"/>
    </row>
    <row r="50" spans="1:24" ht="23.25" customHeight="1">
      <c r="A50" s="2"/>
      <c r="S50" s="658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83" t="s">
        <v>128</v>
      </c>
      <c r="B136" s="883"/>
      <c r="C136" s="883"/>
      <c r="D136" s="883"/>
      <c r="E136" s="883"/>
      <c r="F136" s="883"/>
      <c r="G136" s="883"/>
      <c r="H136" s="883"/>
      <c r="I136" s="883"/>
      <c r="J136" s="883"/>
      <c r="K136" s="883"/>
      <c r="L136" s="883"/>
      <c r="M136" s="883"/>
      <c r="N136" s="883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C6:C37 E6:E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C38:C39 E38:E39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21" activePane="bottomRight" state="frozen"/>
      <selection pane="bottomRight" activeCell="K7" sqref="K7:K34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95">
        <f>Elect!A1</f>
        <v>44958</v>
      </c>
      <c r="E1" s="855" t="s">
        <v>49</v>
      </c>
      <c r="H1" s="564" t="s">
        <v>158</v>
      </c>
      <c r="I1" s="667"/>
      <c r="J1" s="565">
        <v>3.9</v>
      </c>
    </row>
    <row r="2" spans="1:13" ht="23.25" customHeight="1">
      <c r="A2" s="895"/>
      <c r="C2" s="27"/>
      <c r="E2" s="855"/>
      <c r="G2" s="27"/>
      <c r="H2" s="27"/>
      <c r="I2" s="27"/>
      <c r="K2" s="529"/>
      <c r="L2" s="528"/>
      <c r="M2" s="385"/>
    </row>
    <row r="3" spans="1:13" ht="21" customHeight="1" thickBot="1">
      <c r="A3" s="896"/>
      <c r="B3" s="27"/>
      <c r="C3" s="27"/>
      <c r="D3" s="27"/>
      <c r="E3" s="856"/>
      <c r="F3" s="27"/>
      <c r="G3" s="27"/>
      <c r="H3" s="27"/>
      <c r="I3" s="27"/>
    </row>
    <row r="4" spans="1:13" ht="53.25" customHeight="1">
      <c r="A4" s="660" t="s">
        <v>159</v>
      </c>
      <c r="B4" s="897" t="s">
        <v>160</v>
      </c>
      <c r="C4" s="898"/>
      <c r="D4" s="897" t="s">
        <v>161</v>
      </c>
      <c r="E4" s="898"/>
      <c r="F4" s="897" t="s">
        <v>162</v>
      </c>
      <c r="G4" s="898"/>
      <c r="H4" s="534" t="s">
        <v>163</v>
      </c>
      <c r="I4" s="534" t="s">
        <v>164</v>
      </c>
      <c r="J4" s="533" t="s">
        <v>165</v>
      </c>
      <c r="K4" s="733" t="s">
        <v>166</v>
      </c>
      <c r="L4" s="23"/>
      <c r="M4" s="23"/>
    </row>
    <row r="5" spans="1:13" ht="26.25" customHeight="1" thickBot="1">
      <c r="A5" s="661"/>
      <c r="B5" s="137" t="s">
        <v>167</v>
      </c>
      <c r="C5" s="138" t="s">
        <v>168</v>
      </c>
      <c r="D5" s="137" t="s">
        <v>167</v>
      </c>
      <c r="E5" s="138" t="s">
        <v>168</v>
      </c>
      <c r="F5" s="137" t="s">
        <v>167</v>
      </c>
      <c r="G5" s="138" t="s">
        <v>168</v>
      </c>
      <c r="H5" s="25" t="s">
        <v>169</v>
      </c>
      <c r="I5" s="25" t="s">
        <v>169</v>
      </c>
      <c r="J5" s="25" t="s">
        <v>169</v>
      </c>
      <c r="K5" s="138" t="s">
        <v>168</v>
      </c>
      <c r="L5" s="23"/>
      <c r="M5" s="23"/>
    </row>
    <row r="6" spans="1:13" s="3" customFormat="1" ht="41.25" customHeight="1">
      <c r="A6" s="662"/>
      <c r="B6" s="763">
        <v>8502573</v>
      </c>
      <c r="C6" s="636">
        <f t="shared" ref="C6:C14" si="0">IF(B6&gt;=B5,B6-B5,0)*1.06</f>
        <v>0</v>
      </c>
      <c r="D6" s="770">
        <v>632460</v>
      </c>
      <c r="E6" s="636">
        <f>IF(D6&gt;=D5,D6-D5,0)*0.7</f>
        <v>0</v>
      </c>
      <c r="F6" s="770">
        <v>635107</v>
      </c>
      <c r="G6" s="636">
        <f t="shared" ref="G6:G17" si="1">IF(F6&gt;=F5,F6-F5,0)</f>
        <v>0</v>
      </c>
      <c r="H6" s="429"/>
      <c r="I6" s="429"/>
      <c r="J6" s="429"/>
      <c r="K6" s="692">
        <f>C6+E6</f>
        <v>0</v>
      </c>
    </row>
    <row r="7" spans="1:13" s="3" customFormat="1" ht="41.25" customHeight="1">
      <c r="A7" s="662">
        <v>1</v>
      </c>
      <c r="B7" s="763">
        <v>8503700</v>
      </c>
      <c r="C7" s="636">
        <f t="shared" si="0"/>
        <v>1194.6200000000001</v>
      </c>
      <c r="D7" s="770">
        <v>632927</v>
      </c>
      <c r="E7" s="636">
        <f t="shared" ref="E7:E35" si="2">IF(D7&gt;=D6,D7-D6,0)*0.7</f>
        <v>326.89999999999998</v>
      </c>
      <c r="F7" s="770">
        <v>635197</v>
      </c>
      <c r="G7" s="636">
        <f t="shared" si="1"/>
        <v>90</v>
      </c>
      <c r="H7" s="636">
        <f>(E7*0.55)*1.61</f>
        <v>289.46995000000004</v>
      </c>
      <c r="I7" s="636">
        <f>C7*J1</f>
        <v>4659.018</v>
      </c>
      <c r="J7" s="636">
        <f>G7*J1</f>
        <v>351</v>
      </c>
      <c r="K7" s="692">
        <f t="shared" ref="K7:K37" si="3">C7+E7</f>
        <v>1521.52</v>
      </c>
    </row>
    <row r="8" spans="1:13" s="3" customFormat="1" ht="41.25" customHeight="1">
      <c r="A8" s="662">
        <v>2</v>
      </c>
      <c r="B8" s="763">
        <v>8504997</v>
      </c>
      <c r="C8" s="636">
        <f t="shared" si="0"/>
        <v>1374.8200000000002</v>
      </c>
      <c r="D8" s="770">
        <v>633490</v>
      </c>
      <c r="E8" s="636">
        <f t="shared" si="2"/>
        <v>394.09999999999997</v>
      </c>
      <c r="F8" s="770">
        <v>635304</v>
      </c>
      <c r="G8" s="636">
        <f t="shared" si="1"/>
        <v>107</v>
      </c>
      <c r="H8" s="636">
        <f t="shared" ref="H8:H37" si="4">(E8*0.55)*1.61</f>
        <v>348.97555</v>
      </c>
      <c r="I8" s="636">
        <f>C8*J1</f>
        <v>5361.7980000000007</v>
      </c>
      <c r="J8" s="636">
        <f>G8*J1</f>
        <v>417.3</v>
      </c>
      <c r="K8" s="692">
        <f t="shared" si="3"/>
        <v>1768.92</v>
      </c>
    </row>
    <row r="9" spans="1:13" s="3" customFormat="1" ht="41.25" customHeight="1">
      <c r="A9" s="662">
        <v>3</v>
      </c>
      <c r="B9" s="763">
        <v>8506397</v>
      </c>
      <c r="C9" s="636">
        <f t="shared" si="0"/>
        <v>1484</v>
      </c>
      <c r="D9" s="770">
        <v>634013</v>
      </c>
      <c r="E9" s="636">
        <f t="shared" si="2"/>
        <v>366.09999999999997</v>
      </c>
      <c r="F9" s="770">
        <v>635412</v>
      </c>
      <c r="G9" s="636">
        <f t="shared" si="1"/>
        <v>108</v>
      </c>
      <c r="H9" s="636">
        <f>(E9*0.55)*1.61</f>
        <v>324.18155000000002</v>
      </c>
      <c r="I9" s="636">
        <f>C9*J1</f>
        <v>5787.5999999999995</v>
      </c>
      <c r="J9" s="636">
        <f>G9*J1</f>
        <v>421.2</v>
      </c>
      <c r="K9" s="692">
        <f>C9+E9</f>
        <v>1850.1</v>
      </c>
    </row>
    <row r="10" spans="1:13" s="3" customFormat="1" ht="41.25" customHeight="1">
      <c r="A10" s="662">
        <v>4</v>
      </c>
      <c r="B10" s="763">
        <v>8508033</v>
      </c>
      <c r="C10" s="636">
        <f>IF(B10&gt;=B9,B10-B9,0)*1.06</f>
        <v>1734.16</v>
      </c>
      <c r="D10" s="770">
        <v>634769</v>
      </c>
      <c r="E10" s="636">
        <f t="shared" si="2"/>
        <v>529.19999999999993</v>
      </c>
      <c r="F10" s="770">
        <v>635521</v>
      </c>
      <c r="G10" s="636">
        <f t="shared" si="1"/>
        <v>109</v>
      </c>
      <c r="H10" s="636">
        <f>(E10*0.55)*1.61</f>
        <v>468.60660000000001</v>
      </c>
      <c r="I10" s="636">
        <f>C10*J1</f>
        <v>6763.2240000000002</v>
      </c>
      <c r="J10" s="636">
        <f>G10*J1</f>
        <v>425.09999999999997</v>
      </c>
      <c r="K10" s="692">
        <f t="shared" si="3"/>
        <v>2263.36</v>
      </c>
    </row>
    <row r="11" spans="1:13" s="3" customFormat="1" ht="41.25" customHeight="1">
      <c r="A11" s="662">
        <v>5</v>
      </c>
      <c r="B11" s="763">
        <v>8509511.6666666698</v>
      </c>
      <c r="C11" s="636">
        <f>IF(B11&gt;=B10,B11-B10,0)*1.06</f>
        <v>1567.3866666699573</v>
      </c>
      <c r="D11" s="770">
        <v>635369.66666666698</v>
      </c>
      <c r="E11" s="636">
        <f t="shared" si="2"/>
        <v>420.46666666688395</v>
      </c>
      <c r="F11" s="770">
        <v>635629.33333333302</v>
      </c>
      <c r="G11" s="636">
        <f t="shared" si="1"/>
        <v>108.33333333302289</v>
      </c>
      <c r="H11" s="636">
        <f t="shared" si="4"/>
        <v>372.32323333352582</v>
      </c>
      <c r="I11" s="636">
        <f>C11*J1</f>
        <v>6112.808000012833</v>
      </c>
      <c r="J11" s="636">
        <f>G11*J1</f>
        <v>422.49999999878929</v>
      </c>
      <c r="K11" s="692">
        <f t="shared" si="3"/>
        <v>1987.8533333368414</v>
      </c>
    </row>
    <row r="12" spans="1:13" s="3" customFormat="1" ht="41.25" customHeight="1">
      <c r="A12" s="662">
        <v>6</v>
      </c>
      <c r="B12" s="763">
        <v>8510777</v>
      </c>
      <c r="C12" s="636">
        <f>IF(B12&gt;=B11,B12-B11,0)*1.06</f>
        <v>1341.2533333300428</v>
      </c>
      <c r="D12" s="770">
        <v>635882</v>
      </c>
      <c r="E12" s="636">
        <f t="shared" si="2"/>
        <v>358.63333333311601</v>
      </c>
      <c r="F12" s="770">
        <v>635688</v>
      </c>
      <c r="G12" s="636">
        <f t="shared" si="1"/>
        <v>58.666666666977108</v>
      </c>
      <c r="H12" s="636">
        <f t="shared" si="4"/>
        <v>317.56981666647425</v>
      </c>
      <c r="I12" s="636">
        <f>C12*J1</f>
        <v>5230.8879999871669</v>
      </c>
      <c r="J12" s="636">
        <f>G12*J1</f>
        <v>228.80000000121072</v>
      </c>
      <c r="K12" s="692">
        <f t="shared" si="3"/>
        <v>1699.8866666631588</v>
      </c>
    </row>
    <row r="13" spans="1:13" s="3" customFormat="1" ht="41.25" customHeight="1">
      <c r="A13" s="662">
        <v>7</v>
      </c>
      <c r="B13" s="763">
        <v>8512163</v>
      </c>
      <c r="C13" s="636">
        <f>IF(B13&gt;=B12,B13-B12,0)*1.06</f>
        <v>1469.16</v>
      </c>
      <c r="D13" s="770">
        <v>636448</v>
      </c>
      <c r="E13" s="636">
        <f t="shared" si="2"/>
        <v>396.2</v>
      </c>
      <c r="F13" s="770">
        <v>635770</v>
      </c>
      <c r="G13" s="636">
        <f t="shared" si="1"/>
        <v>82</v>
      </c>
      <c r="H13" s="636">
        <f t="shared" si="4"/>
        <v>350.83510000000007</v>
      </c>
      <c r="I13" s="636">
        <f>C13*J1</f>
        <v>5729.7240000000002</v>
      </c>
      <c r="J13" s="636">
        <f>G13*J1</f>
        <v>319.8</v>
      </c>
      <c r="K13" s="692">
        <f t="shared" si="3"/>
        <v>1865.3600000000001</v>
      </c>
    </row>
    <row r="14" spans="1:13" s="3" customFormat="1" ht="41.25" customHeight="1">
      <c r="A14" s="662">
        <v>8</v>
      </c>
      <c r="B14" s="763">
        <v>8513647</v>
      </c>
      <c r="C14" s="636">
        <f t="shared" si="0"/>
        <v>1573.0400000000002</v>
      </c>
      <c r="D14" s="770">
        <v>637017</v>
      </c>
      <c r="E14" s="636">
        <f t="shared" si="2"/>
        <v>398.29999999999995</v>
      </c>
      <c r="F14" s="770">
        <v>635864</v>
      </c>
      <c r="G14" s="636">
        <f t="shared" si="1"/>
        <v>94</v>
      </c>
      <c r="H14" s="636">
        <f t="shared" si="4"/>
        <v>352.69465000000002</v>
      </c>
      <c r="I14" s="636">
        <f>C14*J1</f>
        <v>6134.8560000000007</v>
      </c>
      <c r="J14" s="636">
        <f>G14*J1</f>
        <v>366.59999999999997</v>
      </c>
      <c r="K14" s="692">
        <f t="shared" si="3"/>
        <v>1971.3400000000001</v>
      </c>
    </row>
    <row r="15" spans="1:13" s="3" customFormat="1" ht="41.25" customHeight="1">
      <c r="A15" s="662">
        <v>9</v>
      </c>
      <c r="B15" s="763">
        <v>8515031</v>
      </c>
      <c r="C15" s="636">
        <f t="shared" ref="C15:C26" si="5">IF(B15&gt;=B14,B15-B14,0)*1.06</f>
        <v>1467.04</v>
      </c>
      <c r="D15" s="770">
        <v>637597</v>
      </c>
      <c r="E15" s="636">
        <f t="shared" si="2"/>
        <v>406</v>
      </c>
      <c r="F15" s="770">
        <v>635946</v>
      </c>
      <c r="G15" s="636">
        <f t="shared" si="1"/>
        <v>82</v>
      </c>
      <c r="H15" s="636">
        <f t="shared" si="4"/>
        <v>359.51300000000003</v>
      </c>
      <c r="I15" s="636">
        <f>C15*J1</f>
        <v>5721.4560000000001</v>
      </c>
      <c r="J15" s="636">
        <f>G15*J1</f>
        <v>319.8</v>
      </c>
      <c r="K15" s="692">
        <f t="shared" si="3"/>
        <v>1873.04</v>
      </c>
    </row>
    <row r="16" spans="1:13" s="3" customFormat="1" ht="41.25" customHeight="1">
      <c r="A16" s="662">
        <v>10</v>
      </c>
      <c r="B16" s="763">
        <v>8516442</v>
      </c>
      <c r="C16" s="636">
        <f t="shared" si="5"/>
        <v>1495.66</v>
      </c>
      <c r="D16" s="770">
        <v>638231</v>
      </c>
      <c r="E16" s="636">
        <f t="shared" si="2"/>
        <v>443.79999999999995</v>
      </c>
      <c r="F16" s="770">
        <v>636032</v>
      </c>
      <c r="G16" s="636">
        <f t="shared" si="1"/>
        <v>86</v>
      </c>
      <c r="H16" s="636">
        <f t="shared" si="4"/>
        <v>392.98490000000004</v>
      </c>
      <c r="I16" s="636">
        <f>C16*J1</f>
        <v>5833.0740000000005</v>
      </c>
      <c r="J16" s="636">
        <f>G16*J1</f>
        <v>335.4</v>
      </c>
      <c r="K16" s="692">
        <f t="shared" si="3"/>
        <v>1939.46</v>
      </c>
    </row>
    <row r="17" spans="1:11" s="3" customFormat="1" ht="41.25" customHeight="1">
      <c r="A17" s="662">
        <v>11</v>
      </c>
      <c r="B17" s="763">
        <v>8518182</v>
      </c>
      <c r="C17" s="636">
        <f t="shared" si="5"/>
        <v>1844.4</v>
      </c>
      <c r="D17" s="770">
        <v>638957</v>
      </c>
      <c r="E17" s="636">
        <f t="shared" si="2"/>
        <v>508.2</v>
      </c>
      <c r="F17" s="770">
        <v>636142</v>
      </c>
      <c r="G17" s="636">
        <f t="shared" si="1"/>
        <v>110</v>
      </c>
      <c r="H17" s="636">
        <f t="shared" si="4"/>
        <v>450.0111</v>
      </c>
      <c r="I17" s="636">
        <f>C17*J1</f>
        <v>7193.16</v>
      </c>
      <c r="J17" s="636">
        <f>G17*J1</f>
        <v>429</v>
      </c>
      <c r="K17" s="692">
        <f t="shared" si="3"/>
        <v>2352.6</v>
      </c>
    </row>
    <row r="18" spans="1:11" s="3" customFormat="1" ht="41.25" customHeight="1">
      <c r="A18" s="662">
        <v>12</v>
      </c>
      <c r="B18" s="763">
        <v>8519915</v>
      </c>
      <c r="C18" s="636">
        <f t="shared" si="5"/>
        <v>1836.98</v>
      </c>
      <c r="D18" s="770">
        <v>639565</v>
      </c>
      <c r="E18" s="636">
        <f t="shared" si="2"/>
        <v>425.59999999999997</v>
      </c>
      <c r="F18" s="770">
        <v>636250</v>
      </c>
      <c r="G18" s="636">
        <f t="shared" ref="G18:G20" si="6">IF(F18&gt;=F17,F18-F17,0)</f>
        <v>108</v>
      </c>
      <c r="H18" s="636">
        <f t="shared" si="4"/>
        <v>376.86880000000002</v>
      </c>
      <c r="I18" s="636">
        <f>C18*J1</f>
        <v>7164.2219999999998</v>
      </c>
      <c r="J18" s="636">
        <f>G18*J1</f>
        <v>421.2</v>
      </c>
      <c r="K18" s="692">
        <f t="shared" si="3"/>
        <v>2262.58</v>
      </c>
    </row>
    <row r="19" spans="1:11" s="3" customFormat="1" ht="41.25" customHeight="1">
      <c r="A19" s="662">
        <v>13</v>
      </c>
      <c r="B19" s="763">
        <v>8521244</v>
      </c>
      <c r="C19" s="636">
        <f>IF(B19&gt;=B18,B19-B18,0)*1.06</f>
        <v>1408.74</v>
      </c>
      <c r="D19" s="770">
        <v>640225</v>
      </c>
      <c r="E19" s="636">
        <f>IF(D19&gt;=D18,D19-D18,0)*0.7</f>
        <v>461.99999999999994</v>
      </c>
      <c r="F19" s="770">
        <v>636333</v>
      </c>
      <c r="G19" s="636">
        <f t="shared" si="6"/>
        <v>83</v>
      </c>
      <c r="H19" s="636">
        <f t="shared" si="4"/>
        <v>409.101</v>
      </c>
      <c r="I19" s="636">
        <f>C19*J1</f>
        <v>5494.0860000000002</v>
      </c>
      <c r="J19" s="636">
        <f>G19*J1</f>
        <v>323.7</v>
      </c>
      <c r="K19" s="692">
        <f t="shared" si="3"/>
        <v>1870.74</v>
      </c>
    </row>
    <row r="20" spans="1:11" s="3" customFormat="1" ht="41.25" customHeight="1">
      <c r="A20" s="662">
        <v>14</v>
      </c>
      <c r="B20" s="763">
        <v>8522842</v>
      </c>
      <c r="C20" s="636">
        <f>IF(B20&gt;=B19,B20-B19,0)*1.06</f>
        <v>1693.88</v>
      </c>
      <c r="D20" s="770">
        <v>640844</v>
      </c>
      <c r="E20" s="636">
        <f>IF(D20&gt;=D19,D20-D19,0)*0.7</f>
        <v>433.29999999999995</v>
      </c>
      <c r="F20" s="770">
        <v>636422</v>
      </c>
      <c r="G20" s="636">
        <f t="shared" si="6"/>
        <v>89</v>
      </c>
      <c r="H20" s="636">
        <f t="shared" si="4"/>
        <v>383.68715000000003</v>
      </c>
      <c r="I20" s="636">
        <f>C20*J1</f>
        <v>6606.1320000000005</v>
      </c>
      <c r="J20" s="636">
        <f>G20*J1</f>
        <v>347.09999999999997</v>
      </c>
      <c r="K20" s="692">
        <f t="shared" si="3"/>
        <v>2127.1800000000003</v>
      </c>
    </row>
    <row r="21" spans="1:11" s="3" customFormat="1" ht="41.25" customHeight="1">
      <c r="A21" s="662">
        <v>15</v>
      </c>
      <c r="B21" s="763">
        <v>8524625</v>
      </c>
      <c r="C21" s="636">
        <f>IF(B21&gt;=B20,B21-B20,0)*1.06</f>
        <v>1889.98</v>
      </c>
      <c r="D21" s="770">
        <v>641456</v>
      </c>
      <c r="E21" s="636">
        <f>IF(D21&gt;=D20,D21-D20,0)*0.7</f>
        <v>428.4</v>
      </c>
      <c r="F21" s="770">
        <v>636529</v>
      </c>
      <c r="G21" s="636">
        <f t="shared" ref="G21:G37" si="7">IF(F21&gt;=F20,F21-F20,0)</f>
        <v>107</v>
      </c>
      <c r="H21" s="636">
        <f t="shared" si="4"/>
        <v>379.34820000000002</v>
      </c>
      <c r="I21" s="636">
        <f>C21*J1</f>
        <v>7370.9219999999996</v>
      </c>
      <c r="J21" s="636">
        <f>G21*J1</f>
        <v>417.3</v>
      </c>
      <c r="K21" s="692">
        <f t="shared" si="3"/>
        <v>2318.38</v>
      </c>
    </row>
    <row r="22" spans="1:11" s="3" customFormat="1" ht="41.25" customHeight="1">
      <c r="A22" s="662">
        <v>16</v>
      </c>
      <c r="B22" s="763">
        <v>8526117</v>
      </c>
      <c r="C22" s="636">
        <f t="shared" si="5"/>
        <v>1581.52</v>
      </c>
      <c r="D22" s="770">
        <v>642122</v>
      </c>
      <c r="E22" s="636">
        <f t="shared" si="2"/>
        <v>466.2</v>
      </c>
      <c r="F22" s="770">
        <v>636617</v>
      </c>
      <c r="G22" s="636">
        <f t="shared" si="7"/>
        <v>88</v>
      </c>
      <c r="H22" s="636">
        <f t="shared" si="4"/>
        <v>412.82010000000008</v>
      </c>
      <c r="I22" s="636">
        <f>C22*J1</f>
        <v>6167.9279999999999</v>
      </c>
      <c r="J22" s="636">
        <f>G22*J1</f>
        <v>343.2</v>
      </c>
      <c r="K22" s="692">
        <f t="shared" si="3"/>
        <v>2047.72</v>
      </c>
    </row>
    <row r="23" spans="1:11" s="3" customFormat="1" ht="41.25" customHeight="1">
      <c r="A23" s="662">
        <v>17</v>
      </c>
      <c r="B23" s="763">
        <v>8527609</v>
      </c>
      <c r="C23" s="636">
        <f t="shared" si="5"/>
        <v>1581.52</v>
      </c>
      <c r="D23" s="770">
        <v>642752</v>
      </c>
      <c r="E23" s="636">
        <f t="shared" si="2"/>
        <v>441</v>
      </c>
      <c r="F23" s="770">
        <v>636717.66666666698</v>
      </c>
      <c r="G23" s="636">
        <f t="shared" si="7"/>
        <v>100.66666666697711</v>
      </c>
      <c r="H23" s="636">
        <f t="shared" si="4"/>
        <v>390.50550000000004</v>
      </c>
      <c r="I23" s="636">
        <f>C23*J1</f>
        <v>6167.9279999999999</v>
      </c>
      <c r="J23" s="636">
        <f>G23*J1</f>
        <v>392.60000000121073</v>
      </c>
      <c r="K23" s="692">
        <f t="shared" si="3"/>
        <v>2022.52</v>
      </c>
    </row>
    <row r="24" spans="1:11" s="3" customFormat="1" ht="41.25" customHeight="1">
      <c r="A24" s="662">
        <v>18</v>
      </c>
      <c r="B24" s="763">
        <v>8529312</v>
      </c>
      <c r="C24" s="636">
        <f t="shared" si="5"/>
        <v>1805.18</v>
      </c>
      <c r="D24" s="770">
        <v>643335</v>
      </c>
      <c r="E24" s="636">
        <f t="shared" si="2"/>
        <v>408.09999999999997</v>
      </c>
      <c r="F24" s="770">
        <v>636780</v>
      </c>
      <c r="G24" s="636">
        <f t="shared" si="7"/>
        <v>62.333333333022892</v>
      </c>
      <c r="H24" s="636">
        <f t="shared" si="4"/>
        <v>361.37255000000005</v>
      </c>
      <c r="I24" s="636">
        <f>C24*J1</f>
        <v>7040.2020000000002</v>
      </c>
      <c r="J24" s="636">
        <f>G24*J1</f>
        <v>243.09999999878929</v>
      </c>
      <c r="K24" s="692">
        <f t="shared" si="3"/>
        <v>2213.2800000000002</v>
      </c>
    </row>
    <row r="25" spans="1:11" s="3" customFormat="1" ht="41.25" customHeight="1">
      <c r="A25" s="662">
        <v>19</v>
      </c>
      <c r="B25" s="763">
        <v>8531155</v>
      </c>
      <c r="C25" s="636">
        <f t="shared" si="5"/>
        <v>1953.5800000000002</v>
      </c>
      <c r="D25" s="770">
        <v>644736</v>
      </c>
      <c r="E25" s="636">
        <f t="shared" si="2"/>
        <v>980.69999999999993</v>
      </c>
      <c r="F25" s="770">
        <v>636908</v>
      </c>
      <c r="G25" s="636">
        <f t="shared" si="7"/>
        <v>128</v>
      </c>
      <c r="H25" s="636">
        <f t="shared" si="4"/>
        <v>868.40985000000001</v>
      </c>
      <c r="I25" s="636">
        <f>C25*J1</f>
        <v>7618.9620000000004</v>
      </c>
      <c r="J25" s="636">
        <f>G25*J1</f>
        <v>499.2</v>
      </c>
      <c r="K25" s="692">
        <f t="shared" si="3"/>
        <v>2934.28</v>
      </c>
    </row>
    <row r="26" spans="1:11" s="3" customFormat="1" ht="41.25" customHeight="1">
      <c r="A26" s="662">
        <v>20</v>
      </c>
      <c r="B26" s="763">
        <v>8532979</v>
      </c>
      <c r="C26" s="636">
        <f t="shared" si="5"/>
        <v>1933.44</v>
      </c>
      <c r="D26" s="770">
        <v>645350</v>
      </c>
      <c r="E26" s="636">
        <f t="shared" si="2"/>
        <v>429.79999999999995</v>
      </c>
      <c r="F26" s="770">
        <v>636994</v>
      </c>
      <c r="G26" s="636">
        <f t="shared" si="7"/>
        <v>86</v>
      </c>
      <c r="H26" s="636">
        <f t="shared" si="4"/>
        <v>380.58789999999999</v>
      </c>
      <c r="I26" s="636">
        <f>C26*J1</f>
        <v>7540.4160000000002</v>
      </c>
      <c r="J26" s="636">
        <f>G26*J1</f>
        <v>335.4</v>
      </c>
      <c r="K26" s="692">
        <f t="shared" si="3"/>
        <v>2363.2399999999998</v>
      </c>
    </row>
    <row r="27" spans="1:11" s="3" customFormat="1" ht="41.25" customHeight="1">
      <c r="A27" s="662">
        <v>21</v>
      </c>
      <c r="B27" s="763">
        <v>8534500</v>
      </c>
      <c r="C27" s="636">
        <f t="shared" ref="C27:C32" si="8">IF(B27&gt;=B26,B27-B26,0)*1.06</f>
        <v>1612.26</v>
      </c>
      <c r="D27" s="770">
        <v>645993</v>
      </c>
      <c r="E27" s="636">
        <f t="shared" si="2"/>
        <v>450.09999999999997</v>
      </c>
      <c r="F27" s="770">
        <v>637102</v>
      </c>
      <c r="G27" s="636">
        <f t="shared" si="7"/>
        <v>108</v>
      </c>
      <c r="H27" s="636">
        <f t="shared" si="4"/>
        <v>398.56355000000002</v>
      </c>
      <c r="I27" s="636">
        <f>C27*J1</f>
        <v>6287.8139999999994</v>
      </c>
      <c r="J27" s="636">
        <f>G27*J1</f>
        <v>421.2</v>
      </c>
      <c r="K27" s="692">
        <f t="shared" si="3"/>
        <v>2062.36</v>
      </c>
    </row>
    <row r="28" spans="1:11" s="3" customFormat="1" ht="41.25" customHeight="1">
      <c r="A28" s="662">
        <v>22</v>
      </c>
      <c r="B28" s="763">
        <v>8536227</v>
      </c>
      <c r="C28" s="636">
        <f t="shared" si="8"/>
        <v>1830.6200000000001</v>
      </c>
      <c r="D28" s="770">
        <v>646750</v>
      </c>
      <c r="E28" s="636">
        <f t="shared" si="2"/>
        <v>529.9</v>
      </c>
      <c r="F28" s="770">
        <v>637189</v>
      </c>
      <c r="G28" s="636">
        <f t="shared" si="7"/>
        <v>87</v>
      </c>
      <c r="H28" s="636">
        <f>(E28*0.55)*1.61</f>
        <v>469.22645</v>
      </c>
      <c r="I28" s="636">
        <f>C28*J1</f>
        <v>7139.4180000000006</v>
      </c>
      <c r="J28" s="636">
        <f>G28*J1</f>
        <v>339.3</v>
      </c>
      <c r="K28" s="692">
        <f t="shared" si="3"/>
        <v>2360.52</v>
      </c>
    </row>
    <row r="29" spans="1:11" s="3" customFormat="1" ht="41.25" customHeight="1">
      <c r="A29" s="662">
        <v>23</v>
      </c>
      <c r="B29" s="763">
        <v>8538060</v>
      </c>
      <c r="C29" s="636">
        <f t="shared" si="8"/>
        <v>1942.98</v>
      </c>
      <c r="D29" s="770">
        <v>647050</v>
      </c>
      <c r="E29" s="636">
        <f t="shared" si="2"/>
        <v>210</v>
      </c>
      <c r="F29" s="770">
        <v>637265</v>
      </c>
      <c r="G29" s="636">
        <f t="shared" si="7"/>
        <v>76</v>
      </c>
      <c r="H29" s="636">
        <f>(E29*0.55)*1.61</f>
        <v>185.95500000000004</v>
      </c>
      <c r="I29" s="636">
        <f>C29*J1</f>
        <v>7577.6220000000003</v>
      </c>
      <c r="J29" s="636">
        <f>G29*J1</f>
        <v>296.39999999999998</v>
      </c>
      <c r="K29" s="692">
        <f t="shared" si="3"/>
        <v>2152.98</v>
      </c>
    </row>
    <row r="30" spans="1:11" s="3" customFormat="1" ht="41.25" customHeight="1">
      <c r="A30" s="662">
        <v>24</v>
      </c>
      <c r="B30" s="763">
        <v>8539055</v>
      </c>
      <c r="C30" s="636">
        <f t="shared" si="8"/>
        <v>1054.7</v>
      </c>
      <c r="D30" s="770">
        <v>648053</v>
      </c>
      <c r="E30" s="636">
        <f t="shared" si="2"/>
        <v>702.09999999999991</v>
      </c>
      <c r="F30" s="770">
        <v>637345</v>
      </c>
      <c r="G30" s="636">
        <f t="shared" si="7"/>
        <v>80</v>
      </c>
      <c r="H30" s="636">
        <f>(E30*0.55)*1.61</f>
        <v>621.70955000000004</v>
      </c>
      <c r="I30" s="636">
        <f>C30*J1</f>
        <v>4113.33</v>
      </c>
      <c r="J30" s="636">
        <f>G30*J1</f>
        <v>312</v>
      </c>
      <c r="K30" s="692">
        <f t="shared" si="3"/>
        <v>1756.8</v>
      </c>
    </row>
    <row r="31" spans="1:11" s="3" customFormat="1" ht="41.25" customHeight="1">
      <c r="A31" s="662">
        <v>25</v>
      </c>
      <c r="B31" s="763">
        <v>8540512.6666666698</v>
      </c>
      <c r="C31" s="636">
        <f t="shared" si="8"/>
        <v>1545.1266666699573</v>
      </c>
      <c r="D31" s="770">
        <v>649052</v>
      </c>
      <c r="E31" s="636">
        <f t="shared" si="2"/>
        <v>699.3</v>
      </c>
      <c r="F31" s="770">
        <v>637496</v>
      </c>
      <c r="G31" s="636">
        <f t="shared" si="7"/>
        <v>151</v>
      </c>
      <c r="H31" s="636">
        <f t="shared" si="4"/>
        <v>619.23015000000009</v>
      </c>
      <c r="I31" s="636">
        <f>C31*J3</f>
        <v>0</v>
      </c>
      <c r="J31" s="636">
        <f>G31*J1</f>
        <v>588.9</v>
      </c>
      <c r="K31" s="692">
        <f t="shared" si="3"/>
        <v>2244.4266666699573</v>
      </c>
    </row>
    <row r="32" spans="1:11" s="3" customFormat="1" ht="41.25" customHeight="1">
      <c r="A32" s="662">
        <v>26</v>
      </c>
      <c r="B32" s="763">
        <v>8541950</v>
      </c>
      <c r="C32" s="636">
        <f t="shared" si="8"/>
        <v>1523.5733333300427</v>
      </c>
      <c r="D32" s="770">
        <v>649667</v>
      </c>
      <c r="E32" s="636">
        <f t="shared" si="2"/>
        <v>430.5</v>
      </c>
      <c r="F32" s="770">
        <v>637621</v>
      </c>
      <c r="G32" s="636">
        <f t="shared" si="7"/>
        <v>125</v>
      </c>
      <c r="H32" s="636">
        <f t="shared" si="4"/>
        <v>381.20775000000003</v>
      </c>
      <c r="I32" s="636">
        <f>C32*J1</f>
        <v>5941.9359999871667</v>
      </c>
      <c r="J32" s="636">
        <f>G32*J1</f>
        <v>487.5</v>
      </c>
      <c r="K32" s="692">
        <f t="shared" si="3"/>
        <v>1954.0733333300427</v>
      </c>
    </row>
    <row r="33" spans="1:13" s="205" customFormat="1" ht="41.25" customHeight="1">
      <c r="A33" s="663">
        <v>27</v>
      </c>
      <c r="B33" s="763">
        <v>8543200</v>
      </c>
      <c r="C33" s="636">
        <f t="shared" ref="C33:C37" si="9">IF(B33&gt;=B32,B33-B32,0)*1.06</f>
        <v>1325</v>
      </c>
      <c r="D33" s="770">
        <v>650369</v>
      </c>
      <c r="E33" s="636">
        <f t="shared" si="2"/>
        <v>491.4</v>
      </c>
      <c r="F33" s="770">
        <v>637685</v>
      </c>
      <c r="G33" s="636">
        <f t="shared" si="7"/>
        <v>64</v>
      </c>
      <c r="H33" s="636">
        <f t="shared" si="4"/>
        <v>435.13470000000001</v>
      </c>
      <c r="I33" s="636">
        <f>C33*J1</f>
        <v>5167.5</v>
      </c>
      <c r="J33" s="636">
        <f>G33*J1</f>
        <v>249.6</v>
      </c>
      <c r="K33" s="692">
        <f t="shared" si="3"/>
        <v>1816.4</v>
      </c>
    </row>
    <row r="34" spans="1:13" s="205" customFormat="1" ht="41.25" customHeight="1">
      <c r="A34" s="663">
        <v>28</v>
      </c>
      <c r="B34" s="763">
        <v>8544731</v>
      </c>
      <c r="C34" s="636">
        <f t="shared" si="9"/>
        <v>1622.8600000000001</v>
      </c>
      <c r="D34" s="770">
        <v>651055</v>
      </c>
      <c r="E34" s="636">
        <f t="shared" si="2"/>
        <v>480.2</v>
      </c>
      <c r="F34" s="770">
        <v>637774</v>
      </c>
      <c r="G34" s="636">
        <f t="shared" si="7"/>
        <v>89</v>
      </c>
      <c r="H34" s="636">
        <f t="shared" si="4"/>
        <v>425.21710000000007</v>
      </c>
      <c r="I34" s="636">
        <f>C34*J1</f>
        <v>6329.1540000000005</v>
      </c>
      <c r="J34" s="636">
        <f>G34*J1</f>
        <v>347.09999999999997</v>
      </c>
      <c r="K34" s="692">
        <f t="shared" si="3"/>
        <v>2103.06</v>
      </c>
    </row>
    <row r="35" spans="1:13" s="205" customFormat="1" ht="41.25" customHeight="1">
      <c r="A35" s="662">
        <v>29</v>
      </c>
      <c r="B35" s="763">
        <v>8544731</v>
      </c>
      <c r="C35" s="636">
        <f t="shared" si="9"/>
        <v>0</v>
      </c>
      <c r="D35" s="770">
        <v>651055</v>
      </c>
      <c r="E35" s="636">
        <f t="shared" si="2"/>
        <v>0</v>
      </c>
      <c r="F35" s="770">
        <v>637774</v>
      </c>
      <c r="G35" s="636">
        <f t="shared" si="7"/>
        <v>0</v>
      </c>
      <c r="H35" s="636">
        <f t="shared" si="4"/>
        <v>0</v>
      </c>
      <c r="I35" s="636">
        <f>C35*J1</f>
        <v>0</v>
      </c>
      <c r="J35" s="636">
        <f>G35*J1</f>
        <v>0</v>
      </c>
      <c r="K35" s="692">
        <f t="shared" si="3"/>
        <v>0</v>
      </c>
    </row>
    <row r="36" spans="1:13" s="205" customFormat="1" ht="41.25" customHeight="1">
      <c r="A36" s="663">
        <v>30</v>
      </c>
      <c r="B36" s="763">
        <v>8544731</v>
      </c>
      <c r="C36" s="636">
        <f t="shared" si="9"/>
        <v>0</v>
      </c>
      <c r="D36" s="770">
        <v>651055</v>
      </c>
      <c r="E36" s="636">
        <f>IF(D36&gt;=D35,D36-D35,0)*0.7</f>
        <v>0</v>
      </c>
      <c r="F36" s="770">
        <v>637774</v>
      </c>
      <c r="G36" s="636">
        <f t="shared" si="7"/>
        <v>0</v>
      </c>
      <c r="H36" s="636">
        <f t="shared" si="4"/>
        <v>0</v>
      </c>
      <c r="I36" s="636">
        <f>C36*J1</f>
        <v>0</v>
      </c>
      <c r="J36" s="636">
        <f>G36*J1</f>
        <v>0</v>
      </c>
      <c r="K36" s="692">
        <f t="shared" si="3"/>
        <v>0</v>
      </c>
    </row>
    <row r="37" spans="1:13" s="205" customFormat="1" ht="41.25" customHeight="1">
      <c r="A37" s="663">
        <v>31</v>
      </c>
      <c r="B37" s="763">
        <v>8544731</v>
      </c>
      <c r="C37" s="636">
        <f t="shared" si="9"/>
        <v>0</v>
      </c>
      <c r="D37" s="770">
        <v>651055</v>
      </c>
      <c r="E37" s="636">
        <f>IF(D37&gt;=D36,D37-D36,0)*0.7</f>
        <v>0</v>
      </c>
      <c r="F37" s="770">
        <v>637774</v>
      </c>
      <c r="G37" s="636">
        <f t="shared" si="7"/>
        <v>0</v>
      </c>
      <c r="H37" s="636">
        <f t="shared" si="4"/>
        <v>0</v>
      </c>
      <c r="I37" s="636">
        <f>C37*J1</f>
        <v>0</v>
      </c>
      <c r="J37" s="636">
        <f>G37*J1</f>
        <v>0</v>
      </c>
      <c r="K37" s="692">
        <f t="shared" si="3"/>
        <v>0</v>
      </c>
    </row>
    <row r="38" spans="1:13" s="205" customFormat="1" ht="41.25" customHeight="1">
      <c r="A38" s="664" t="s">
        <v>122</v>
      </c>
      <c r="B38" s="687"/>
      <c r="C38" s="688">
        <f>SUM(C7:C37)</f>
        <v>44687.480000000018</v>
      </c>
      <c r="D38" s="687"/>
      <c r="E38" s="688">
        <f>SUM(E7:E37)</f>
        <v>13016.5</v>
      </c>
      <c r="F38" s="687"/>
      <c r="G38" s="688">
        <f>SUM(G7:G37)</f>
        <v>2667</v>
      </c>
      <c r="H38" s="689">
        <f>SUM(H6:H37)</f>
        <v>11526.11075</v>
      </c>
      <c r="I38" s="689">
        <f>SUM(I6:I37)</f>
        <v>168255.17799998718</v>
      </c>
      <c r="J38" s="689">
        <f>SUM(J6:J37)</f>
        <v>10401.299999999999</v>
      </c>
      <c r="K38" s="734">
        <f>SUM(K6:K37)</f>
        <v>57703.979999999996</v>
      </c>
    </row>
    <row r="39" spans="1:13" s="205" customFormat="1" ht="41.25" customHeight="1" thickBot="1">
      <c r="A39" s="665" t="s">
        <v>170</v>
      </c>
      <c r="B39" s="690"/>
      <c r="C39" s="691">
        <f>C38/A42</f>
        <v>1489.5826666666674</v>
      </c>
      <c r="D39" s="690"/>
      <c r="E39" s="691">
        <f>E38/A42</f>
        <v>433.88333333333333</v>
      </c>
      <c r="F39" s="690"/>
      <c r="G39" s="691">
        <f>G38/A42</f>
        <v>88.9</v>
      </c>
      <c r="H39" s="691">
        <f>H38/A42</f>
        <v>384.20369166666666</v>
      </c>
      <c r="I39" s="691">
        <f>I38/A42</f>
        <v>5608.5059333329064</v>
      </c>
      <c r="J39" s="691">
        <f>J38/A42</f>
        <v>346.71</v>
      </c>
    </row>
    <row r="40" spans="1:13" s="205" customFormat="1" ht="28.5" customHeight="1">
      <c r="A40" s="666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124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3BF-C38D-4C51-B9A1-8B72BE24012B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62A-E6DB-4F73-84B4-8EE3895371F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B1" sqref="B1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926">
        <f>Elect!A1</f>
        <v>44958</v>
      </c>
      <c r="B1" s="168"/>
      <c r="C1" s="168"/>
      <c r="H1" s="139"/>
      <c r="I1" s="140"/>
      <c r="J1" s="141"/>
      <c r="K1" s="141"/>
      <c r="L1" s="928" t="s">
        <v>171</v>
      </c>
      <c r="M1" s="928"/>
      <c r="N1" s="928"/>
      <c r="P1" s="929">
        <f>Elect!A1</f>
        <v>44958</v>
      </c>
      <c r="Q1" s="929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927"/>
      <c r="B2" s="913" t="s">
        <v>172</v>
      </c>
      <c r="C2" s="914"/>
      <c r="D2" s="914"/>
      <c r="E2" s="914"/>
      <c r="F2" s="914"/>
      <c r="G2" s="930"/>
      <c r="H2" s="913" t="s">
        <v>128</v>
      </c>
      <c r="I2" s="914"/>
      <c r="J2" s="914"/>
      <c r="K2" s="914"/>
      <c r="L2" s="914"/>
      <c r="M2" s="914"/>
      <c r="N2" s="914"/>
      <c r="O2" s="914"/>
      <c r="P2" s="930"/>
      <c r="Q2" s="147"/>
      <c r="R2" s="793"/>
      <c r="S2" s="148"/>
      <c r="T2" s="149"/>
      <c r="U2" s="150" t="s">
        <v>173</v>
      </c>
      <c r="V2" s="149"/>
      <c r="W2" s="149"/>
      <c r="X2" s="149"/>
      <c r="Y2" s="149"/>
      <c r="Z2" s="796"/>
      <c r="AA2" s="795"/>
      <c r="AB2" s="151"/>
      <c r="AC2" s="169" t="s">
        <v>174</v>
      </c>
      <c r="AD2" s="794"/>
      <c r="AE2" s="797"/>
      <c r="AF2" s="152"/>
      <c r="AG2" s="901" t="s">
        <v>49</v>
      </c>
      <c r="AH2" s="902"/>
      <c r="AI2" s="902"/>
      <c r="AJ2" s="354" t="s">
        <v>175</v>
      </c>
      <c r="AK2" s="907" t="s">
        <v>176</v>
      </c>
      <c r="AL2" s="909" t="s">
        <v>177</v>
      </c>
      <c r="AM2" s="909" t="s">
        <v>178</v>
      </c>
      <c r="AN2" s="899" t="s">
        <v>179</v>
      </c>
      <c r="AO2" s="917" t="s">
        <v>180</v>
      </c>
      <c r="AP2" s="918" t="s">
        <v>181</v>
      </c>
      <c r="AQ2" s="920" t="s">
        <v>182</v>
      </c>
      <c r="AR2" s="922" t="s">
        <v>183</v>
      </c>
      <c r="AS2" s="924" t="s">
        <v>181</v>
      </c>
      <c r="AT2" s="915" t="s">
        <v>184</v>
      </c>
      <c r="AU2" s="916"/>
      <c r="AV2" s="913" t="s">
        <v>185</v>
      </c>
      <c r="AW2" s="914"/>
      <c r="AX2" s="172"/>
      <c r="AY2" s="173"/>
      <c r="AZ2" s="174" t="s">
        <v>186</v>
      </c>
      <c r="BA2" s="174"/>
      <c r="BB2" s="175"/>
      <c r="BC2" s="155"/>
      <c r="BD2" s="153"/>
      <c r="BE2" s="793" t="s">
        <v>187</v>
      </c>
      <c r="BF2" s="793"/>
      <c r="BG2" s="154"/>
      <c r="BH2" s="174"/>
      <c r="BI2" s="174"/>
      <c r="BJ2" s="174" t="s">
        <v>188</v>
      </c>
      <c r="BK2" s="174"/>
      <c r="BL2" s="175"/>
      <c r="BM2" s="793"/>
      <c r="BN2" s="793"/>
      <c r="BO2" s="793" t="s">
        <v>189</v>
      </c>
      <c r="BP2" s="793"/>
      <c r="BQ2" s="154"/>
    </row>
    <row r="3" spans="1:69" ht="174.75" customHeight="1" thickBot="1">
      <c r="A3" s="156" t="s">
        <v>60</v>
      </c>
      <c r="B3" s="931" t="s">
        <v>190</v>
      </c>
      <c r="C3" s="932"/>
      <c r="D3" s="933" t="s">
        <v>62</v>
      </c>
      <c r="E3" s="934"/>
      <c r="F3" s="935" t="s">
        <v>63</v>
      </c>
      <c r="G3" s="936"/>
      <c r="H3" s="935" t="s">
        <v>191</v>
      </c>
      <c r="I3" s="936"/>
      <c r="J3" s="937" t="s">
        <v>192</v>
      </c>
      <c r="K3" s="938"/>
      <c r="L3" s="939" t="s">
        <v>193</v>
      </c>
      <c r="M3" s="940"/>
      <c r="N3" s="152" t="s">
        <v>194</v>
      </c>
      <c r="O3" s="903" t="s">
        <v>141</v>
      </c>
      <c r="P3" s="904"/>
      <c r="Q3" s="903" t="s">
        <v>195</v>
      </c>
      <c r="R3" s="904"/>
      <c r="S3" s="905" t="s">
        <v>196</v>
      </c>
      <c r="T3" s="906"/>
      <c r="U3" s="905" t="s">
        <v>197</v>
      </c>
      <c r="V3" s="906"/>
      <c r="W3" s="911" t="s">
        <v>198</v>
      </c>
      <c r="X3" s="912"/>
      <c r="Y3" s="905" t="s">
        <v>199</v>
      </c>
      <c r="Z3" s="906"/>
      <c r="AA3" s="911" t="s">
        <v>200</v>
      </c>
      <c r="AB3" s="912"/>
      <c r="AC3" s="905" t="s">
        <v>201</v>
      </c>
      <c r="AD3" s="906"/>
      <c r="AE3" s="157" t="s">
        <v>202</v>
      </c>
      <c r="AF3" s="386" t="s">
        <v>203</v>
      </c>
      <c r="AG3" s="181" t="s">
        <v>204</v>
      </c>
      <c r="AH3" s="158" t="s">
        <v>205</v>
      </c>
      <c r="AI3" s="159" t="s">
        <v>147</v>
      </c>
      <c r="AJ3" s="355">
        <v>0</v>
      </c>
      <c r="AK3" s="908"/>
      <c r="AL3" s="910"/>
      <c r="AM3" s="910"/>
      <c r="AN3" s="900"/>
      <c r="AO3" s="974"/>
      <c r="AP3" s="919"/>
      <c r="AQ3" s="921"/>
      <c r="AR3" s="923"/>
      <c r="AS3" s="925"/>
      <c r="AT3" s="161" t="s">
        <v>206</v>
      </c>
      <c r="AU3" s="161" t="s">
        <v>207</v>
      </c>
      <c r="AV3" s="160" t="s">
        <v>133</v>
      </c>
      <c r="AW3" s="162" t="s">
        <v>135</v>
      </c>
      <c r="AX3" s="176" t="s">
        <v>134</v>
      </c>
      <c r="AY3" s="177" t="s">
        <v>136</v>
      </c>
      <c r="AZ3" s="356" t="s">
        <v>137</v>
      </c>
      <c r="BA3" s="178" t="s">
        <v>208</v>
      </c>
      <c r="BB3" s="179" t="s">
        <v>209</v>
      </c>
      <c r="BC3" s="387" t="s">
        <v>134</v>
      </c>
      <c r="BD3" s="388" t="s">
        <v>136</v>
      </c>
      <c r="BE3" s="357" t="s">
        <v>137</v>
      </c>
      <c r="BF3" s="164" t="s">
        <v>208</v>
      </c>
      <c r="BG3" s="165" t="s">
        <v>209</v>
      </c>
      <c r="BH3" s="177" t="s">
        <v>134</v>
      </c>
      <c r="BI3" s="177" t="s">
        <v>136</v>
      </c>
      <c r="BJ3" s="356" t="s">
        <v>137</v>
      </c>
      <c r="BK3" s="178" t="s">
        <v>208</v>
      </c>
      <c r="BL3" s="179" t="s">
        <v>209</v>
      </c>
      <c r="BM3" s="163" t="s">
        <v>134</v>
      </c>
      <c r="BN3" s="163" t="s">
        <v>136</v>
      </c>
      <c r="BO3" s="357" t="s">
        <v>137</v>
      </c>
      <c r="BP3" s="164" t="s">
        <v>208</v>
      </c>
      <c r="BQ3" s="165" t="s">
        <v>209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7543.333333298564</v>
      </c>
      <c r="D5" s="461">
        <v>0</v>
      </c>
      <c r="E5" s="460">
        <f>Elect!M6</f>
        <v>2948.3333333330229</v>
      </c>
      <c r="F5" s="461">
        <v>20</v>
      </c>
      <c r="G5" s="460">
        <f>Elect!O6</f>
        <v>113</v>
      </c>
      <c r="H5" s="461">
        <v>800</v>
      </c>
      <c r="I5" s="460">
        <f>Water!C7</f>
        <v>57.999999999999993</v>
      </c>
      <c r="J5" s="461">
        <v>0</v>
      </c>
      <c r="K5" s="460">
        <f>Water!E7</f>
        <v>57.999999999999993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209.38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121.44039999999998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1194.6200000000001</v>
      </c>
      <c r="AI5" s="465" t="e">
        <f>Gas!#REF!</f>
        <v>#REF!</v>
      </c>
      <c r="AJ5" s="466">
        <f>Gas!J7</f>
        <v>351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121</v>
      </c>
      <c r="AU5" s="460">
        <f>Elect!BP6</f>
        <v>133</v>
      </c>
      <c r="AV5" s="460" t="e">
        <f>Elect!#REF!</f>
        <v>#REF!</v>
      </c>
      <c r="AW5" s="460">
        <f>Elect!BR6</f>
        <v>121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2.1585567010309279</v>
      </c>
      <c r="BN5" s="477" t="e">
        <f>Water!W7</f>
        <v>#DIV/0!</v>
      </c>
      <c r="BO5" s="472">
        <f>Water!X7</f>
        <v>837.52</v>
      </c>
      <c r="BP5" s="477">
        <f>Water!Y7</f>
        <v>8.6342268041237116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7209</v>
      </c>
      <c r="D6" s="461">
        <v>0</v>
      </c>
      <c r="E6" s="460">
        <f>Elect!M7</f>
        <v>2680</v>
      </c>
      <c r="F6" s="461">
        <v>20</v>
      </c>
      <c r="G6" s="460">
        <f>Elect!O7</f>
        <v>4300</v>
      </c>
      <c r="H6" s="461">
        <v>936</v>
      </c>
      <c r="I6" s="460">
        <f>Water!C8</f>
        <v>75.399999999999991</v>
      </c>
      <c r="J6" s="461">
        <v>0</v>
      </c>
      <c r="K6" s="460">
        <f>Water!E8</f>
        <v>87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256.35999999999996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148.68879999999996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8503700</v>
      </c>
      <c r="AH6" s="464">
        <f>Gas!C8</f>
        <v>1374.8200000000002</v>
      </c>
      <c r="AI6" s="465" t="e">
        <f>Gas!#REF!</f>
        <v>#REF!</v>
      </c>
      <c r="AJ6" s="466">
        <f>Gas!J8</f>
        <v>417.3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128</v>
      </c>
      <c r="AU6" s="460">
        <f>Elect!BP7</f>
        <v>117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570827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2.0028124999999997</v>
      </c>
      <c r="BN6" s="477" t="e">
        <f>Water!W8</f>
        <v>#DIV/0!</v>
      </c>
      <c r="BO6" s="472">
        <f>Water!X8</f>
        <v>1025.4399999999998</v>
      </c>
      <c r="BP6" s="477">
        <f>Water!Y8</f>
        <v>8.0112499999999986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6942</v>
      </c>
      <c r="D7" s="461">
        <v>0</v>
      </c>
      <c r="E7" s="460">
        <f>Elect!M8</f>
        <v>2366</v>
      </c>
      <c r="F7" s="461">
        <v>20</v>
      </c>
      <c r="G7" s="460">
        <f>Elect!O8</f>
        <v>2202</v>
      </c>
      <c r="H7" s="461">
        <v>685</v>
      </c>
      <c r="I7" s="460">
        <f>Water!C9</f>
        <v>98.6</v>
      </c>
      <c r="J7" s="461">
        <v>0</v>
      </c>
      <c r="K7" s="460">
        <f>Water!E9</f>
        <v>110.19999999999999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336.97999999999996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195.44839999999996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8506397</v>
      </c>
      <c r="AH7" s="464">
        <f>Gas!C9</f>
        <v>1484</v>
      </c>
      <c r="AI7" s="465" t="e">
        <f>Gas!#REF!</f>
        <v>#REF!</v>
      </c>
      <c r="AJ7" s="466">
        <f>Gas!J9</f>
        <v>421.2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154</v>
      </c>
      <c r="AU7" s="460">
        <f>Elect!BP8</f>
        <v>118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570981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2.5921538461538458</v>
      </c>
      <c r="BN7" s="477" t="e">
        <f>Water!W9</f>
        <v>#DIV/0!</v>
      </c>
      <c r="BO7" s="472">
        <f>Water!X9</f>
        <v>1347.9199999999998</v>
      </c>
      <c r="BP7" s="477">
        <f>Water!Y9</f>
        <v>10.368615384615383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6919</v>
      </c>
      <c r="D8" s="461">
        <v>0</v>
      </c>
      <c r="E8" s="460">
        <f>Elect!M9</f>
        <v>2354</v>
      </c>
      <c r="F8" s="461">
        <v>20</v>
      </c>
      <c r="G8" s="460">
        <f>Elect!O9</f>
        <v>2374</v>
      </c>
      <c r="H8" s="461">
        <v>786</v>
      </c>
      <c r="I8" s="460">
        <f>Water!C10</f>
        <v>110.19999999999999</v>
      </c>
      <c r="J8" s="461">
        <v>0</v>
      </c>
      <c r="K8" s="460">
        <f>Water!E10</f>
        <v>110.19999999999999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346.26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200.83079999999998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8508033</v>
      </c>
      <c r="AH8" s="464">
        <f>Gas!C10</f>
        <v>1734.16</v>
      </c>
      <c r="AI8" s="465" t="e">
        <f>Gas!#REF!</f>
        <v>#REF!</v>
      </c>
      <c r="AJ8" s="466">
        <f>Gas!J10</f>
        <v>425.09999999999997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157</v>
      </c>
      <c r="AU8" s="460">
        <f>Elect!BP9</f>
        <v>118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571138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1.4672033898305084</v>
      </c>
      <c r="BN8" s="477" t="e">
        <f>Water!W10</f>
        <v>#DIV/0!</v>
      </c>
      <c r="BO8" s="472">
        <f>Water!X10</f>
        <v>1385.04</v>
      </c>
      <c r="BP8" s="477">
        <f>Water!Y10</f>
        <v>5.8688135593220334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6667</v>
      </c>
      <c r="D9" s="461">
        <v>0</v>
      </c>
      <c r="E9" s="460">
        <f>Elect!M10</f>
        <v>2303</v>
      </c>
      <c r="F9" s="461">
        <v>20</v>
      </c>
      <c r="G9" s="460">
        <f>Elect!O10</f>
        <v>2259.3333333330229</v>
      </c>
      <c r="H9" s="461">
        <v>789</v>
      </c>
      <c r="I9" s="460">
        <f>Water!C11</f>
        <v>102.4666666668636</v>
      </c>
      <c r="J9" s="461">
        <v>0</v>
      </c>
      <c r="K9" s="460">
        <f>Water!E11</f>
        <v>110.19999999999999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340.07333333354995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197.24253333345897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8509511.6666666698</v>
      </c>
      <c r="AH9" s="464">
        <f>Gas!C11</f>
        <v>1567.3866666699573</v>
      </c>
      <c r="AI9" s="465" t="e">
        <f>Gas!#REF!</f>
        <v>#REF!</v>
      </c>
      <c r="AJ9" s="466">
        <f>Gas!J11</f>
        <v>422.49999999878929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155</v>
      </c>
      <c r="AU9" s="460">
        <f>Elect!BP10</f>
        <v>107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571293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1.4349085794664556</v>
      </c>
      <c r="BN9" s="477" t="e">
        <f>Water!W11</f>
        <v>#DIV/0!</v>
      </c>
      <c r="BO9" s="472">
        <f>Water!X11</f>
        <v>1360.2933333341998</v>
      </c>
      <c r="BP9" s="477">
        <f>Water!Y11</f>
        <v>5.7396343178658222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7219</v>
      </c>
      <c r="D10" s="461">
        <v>0</v>
      </c>
      <c r="E10" s="460">
        <f>Elect!M11</f>
        <v>2636</v>
      </c>
      <c r="F10" s="461">
        <v>20</v>
      </c>
      <c r="G10" s="460">
        <f>Elect!O11</f>
        <v>2288</v>
      </c>
      <c r="H10" s="461">
        <v>805</v>
      </c>
      <c r="I10" s="460">
        <f>Water!C12</f>
        <v>83.133333333136392</v>
      </c>
      <c r="J10" s="461">
        <v>0</v>
      </c>
      <c r="K10" s="460">
        <f>Water!E12</f>
        <v>115.99999999999999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283.42666666644999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164.38746666654097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8510777</v>
      </c>
      <c r="AH10" s="464">
        <f>Gas!C12</f>
        <v>1341.2533333300428</v>
      </c>
      <c r="AI10" s="465" t="e">
        <f>Gas!#REF!</f>
        <v>#REF!</v>
      </c>
      <c r="AJ10" s="466">
        <f>Gas!J12</f>
        <v>228.80000000121072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156</v>
      </c>
      <c r="AU10" s="460">
        <f>Elect!BP11</f>
        <v>107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571449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1.4460544217676019</v>
      </c>
      <c r="BN10" s="477" t="e">
        <f>Water!W12</f>
        <v>#DIV/0!</v>
      </c>
      <c r="BO10" s="472">
        <f>Water!X12</f>
        <v>1133.7066666658</v>
      </c>
      <c r="BP10" s="477">
        <f>Water!Y12</f>
        <v>5.7842176870704076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7366</v>
      </c>
      <c r="D11" s="461">
        <v>0</v>
      </c>
      <c r="E11" s="460">
        <f>Elect!M12</f>
        <v>2797</v>
      </c>
      <c r="F11" s="461">
        <v>20</v>
      </c>
      <c r="G11" s="460">
        <f>Elect!O12</f>
        <v>2288</v>
      </c>
      <c r="H11" s="461">
        <v>871</v>
      </c>
      <c r="I11" s="460">
        <f>Water!C13</f>
        <v>87</v>
      </c>
      <c r="J11" s="461">
        <v>0</v>
      </c>
      <c r="K11" s="460">
        <f>Water!E13</f>
        <v>98.6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296.95999999999998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172.23679999999999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8512163</v>
      </c>
      <c r="AH11" s="464">
        <f>Gas!C13</f>
        <v>1469.16</v>
      </c>
      <c r="AI11" s="465" t="e">
        <f>Gas!#REF!</f>
        <v>#REF!</v>
      </c>
      <c r="AJ11" s="466">
        <f>Gas!J13</f>
        <v>319.8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165</v>
      </c>
      <c r="AU11" s="460">
        <f>Elect!BP12</f>
        <v>114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571614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1.8218404907975458</v>
      </c>
      <c r="BN11" s="477" t="e">
        <f>Water!W13</f>
        <v>#DIV/0!</v>
      </c>
      <c r="BO11" s="472">
        <f>Water!X13</f>
        <v>1187.8399999999999</v>
      </c>
      <c r="BP11" s="477">
        <f>Water!Y13</f>
        <v>7.2873619631901834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7366</v>
      </c>
      <c r="D12" s="461">
        <v>0</v>
      </c>
      <c r="E12" s="460">
        <f>Elect!M13</f>
        <v>2825</v>
      </c>
      <c r="F12" s="461">
        <v>20</v>
      </c>
      <c r="G12" s="460">
        <f>Elect!O13</f>
        <v>2288</v>
      </c>
      <c r="H12" s="461">
        <v>963</v>
      </c>
      <c r="I12" s="460">
        <f>Water!C14</f>
        <v>104.39999999999999</v>
      </c>
      <c r="J12" s="461">
        <v>0</v>
      </c>
      <c r="K12" s="460">
        <f>Water!E14</f>
        <v>121.8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337.55999999999995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195.78479999999996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8513647</v>
      </c>
      <c r="AH12" s="464">
        <f>Gas!C14</f>
        <v>1573.0400000000002</v>
      </c>
      <c r="AI12" s="465" t="e">
        <f>Gas!#REF!</f>
        <v>#REF!</v>
      </c>
      <c r="AJ12" s="466">
        <f>Gas!J14</f>
        <v>366.59999999999997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164</v>
      </c>
      <c r="AU12" s="460">
        <f>Elect!BP13</f>
        <v>112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571778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2.2655033557046975</v>
      </c>
      <c r="BN12" s="477" t="e">
        <f>Water!W14</f>
        <v>#DIV/0!</v>
      </c>
      <c r="BO12" s="472">
        <f>Water!X14</f>
        <v>1350.2399999999998</v>
      </c>
      <c r="BP12" s="477">
        <f>Water!Y14</f>
        <v>9.0620134228187901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7319</v>
      </c>
      <c r="D13" s="461">
        <v>0</v>
      </c>
      <c r="E13" s="460">
        <f>Elect!M14</f>
        <v>2796</v>
      </c>
      <c r="F13" s="461">
        <v>20</v>
      </c>
      <c r="G13" s="460">
        <f>Elect!O14</f>
        <v>2288</v>
      </c>
      <c r="H13" s="461">
        <v>790</v>
      </c>
      <c r="I13" s="460">
        <f>Water!C15</f>
        <v>87</v>
      </c>
      <c r="J13" s="461">
        <v>0</v>
      </c>
      <c r="K13" s="460">
        <f>Water!E15</f>
        <v>98.6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294.06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170.5548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8515031</v>
      </c>
      <c r="AH13" s="464">
        <f>Gas!C15</f>
        <v>1467.04</v>
      </c>
      <c r="AI13" s="465" t="e">
        <f>Gas!#REF!</f>
        <v>#REF!</v>
      </c>
      <c r="AJ13" s="466">
        <f>Gas!J15</f>
        <v>319.8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120</v>
      </c>
      <c r="AU13" s="460">
        <f>Elect!BP14</f>
        <v>108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571898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1.8151851851851852</v>
      </c>
      <c r="BN13" s="477" t="e">
        <f>Water!W15</f>
        <v>#DIV/0!</v>
      </c>
      <c r="BO13" s="472">
        <f>Water!X15</f>
        <v>1176.24</v>
      </c>
      <c r="BP13" s="477">
        <f>Water!Y15</f>
        <v>7.2607407407407409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7532</v>
      </c>
      <c r="D14" s="461">
        <v>0</v>
      </c>
      <c r="E14" s="460">
        <f>Elect!M15</f>
        <v>2636</v>
      </c>
      <c r="F14" s="461">
        <v>20</v>
      </c>
      <c r="G14" s="460">
        <f>Elect!O15</f>
        <v>2288</v>
      </c>
      <c r="H14" s="461">
        <v>792</v>
      </c>
      <c r="I14" s="460">
        <f>Water!C16</f>
        <v>98.6</v>
      </c>
      <c r="J14" s="461">
        <v>0</v>
      </c>
      <c r="K14" s="460">
        <f>Water!E16</f>
        <v>115.99999999999999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326.53999999999996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189.39319999999998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8516442</v>
      </c>
      <c r="AH14" s="464">
        <f>Gas!C16</f>
        <v>1495.66</v>
      </c>
      <c r="AI14" s="465" t="e">
        <f>Gas!#REF!</f>
        <v>#REF!</v>
      </c>
      <c r="AJ14" s="466">
        <f>Gas!J16</f>
        <v>335.4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157</v>
      </c>
      <c r="AU14" s="460">
        <f>Elect!BP15</f>
        <v>113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572055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1.855340909090909</v>
      </c>
      <c r="BN14" s="477" t="e">
        <f>Water!W16</f>
        <v>#DIV/0!</v>
      </c>
      <c r="BO14" s="472">
        <f>Water!X16</f>
        <v>1306.1599999999999</v>
      </c>
      <c r="BP14" s="477">
        <f>Water!Y16</f>
        <v>7.4213636363636359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7099</v>
      </c>
      <c r="D15" s="461">
        <v>0</v>
      </c>
      <c r="E15" s="460">
        <f>Elect!M16</f>
        <v>2557</v>
      </c>
      <c r="F15" s="461">
        <v>20</v>
      </c>
      <c r="G15" s="460">
        <f>Elect!O16</f>
        <v>2288</v>
      </c>
      <c r="H15" s="461">
        <v>817</v>
      </c>
      <c r="I15" s="460">
        <f>Water!C17</f>
        <v>110.19999999999999</v>
      </c>
      <c r="J15" s="461">
        <v>0</v>
      </c>
      <c r="K15" s="460">
        <f>Water!E17</f>
        <v>121.8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345.68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200.49439999999998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1844.4</v>
      </c>
      <c r="AI15" s="465" t="e">
        <f>Gas!#REF!</f>
        <v>#REF!</v>
      </c>
      <c r="AJ15" s="466">
        <f>Gas!J17</f>
        <v>429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152</v>
      </c>
      <c r="AU15" s="460">
        <f>Elect!BP16</f>
        <v>109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572207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1.4772649572649572</v>
      </c>
      <c r="BN15" s="477" t="e">
        <f>Water!W17</f>
        <v>#DIV/0!</v>
      </c>
      <c r="BO15" s="472">
        <f>Water!X17</f>
        <v>1382.72</v>
      </c>
      <c r="BP15" s="477">
        <f>Water!Y17</f>
        <v>5.9090598290598289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9020</v>
      </c>
      <c r="D16" s="461">
        <v>0</v>
      </c>
      <c r="E16" s="460">
        <f>Elect!M17</f>
        <v>2508</v>
      </c>
      <c r="F16" s="461">
        <v>20</v>
      </c>
      <c r="G16" s="460">
        <f>Elect!O17</f>
        <v>2288</v>
      </c>
      <c r="H16" s="461">
        <v>907</v>
      </c>
      <c r="I16" s="460">
        <f>Water!C18</f>
        <v>104.39999999999999</v>
      </c>
      <c r="J16" s="461">
        <v>0</v>
      </c>
      <c r="K16" s="460">
        <f>Water!E18</f>
        <v>121.8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331.76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192.42079999999999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8519915</v>
      </c>
      <c r="AH16" s="464">
        <f>Gas!C18</f>
        <v>1836.98</v>
      </c>
      <c r="AI16" s="465" t="e">
        <f>Gas!#REF!</f>
        <v>#REF!</v>
      </c>
      <c r="AJ16" s="466">
        <f>Gas!J18</f>
        <v>421.2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168</v>
      </c>
      <c r="AU16" s="460">
        <f>Elect!BP17</f>
        <v>117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572375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1.3823333333333332</v>
      </c>
      <c r="BN16" s="477" t="e">
        <f>Water!W18</f>
        <v>#DIV/0!</v>
      </c>
      <c r="BO16" s="472">
        <f>Water!X18</f>
        <v>1327.04</v>
      </c>
      <c r="BP16" s="477">
        <f>Water!Y18</f>
        <v>5.5293333333333328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5557</v>
      </c>
      <c r="D17" s="461">
        <v>0</v>
      </c>
      <c r="E17" s="460">
        <f>Elect!M18</f>
        <v>2502</v>
      </c>
      <c r="F17" s="461">
        <v>20</v>
      </c>
      <c r="G17" s="460">
        <f>Elect!O18</f>
        <v>0</v>
      </c>
      <c r="H17" s="461">
        <v>812</v>
      </c>
      <c r="I17" s="460">
        <f>Water!C19</f>
        <v>104.39999999999999</v>
      </c>
      <c r="J17" s="461">
        <v>0</v>
      </c>
      <c r="K17" s="460">
        <f>Water!E19</f>
        <v>121.8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333.5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193.42999999999998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8521244</v>
      </c>
      <c r="AH17" s="464">
        <f>Gas!C19</f>
        <v>1408.74</v>
      </c>
      <c r="AI17" s="465" t="e">
        <f>Gas!#REF!</f>
        <v>#REF!</v>
      </c>
      <c r="AJ17" s="466">
        <f>Gas!J19</f>
        <v>323.7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161</v>
      </c>
      <c r="AU17" s="460">
        <f>Elect!BP18</f>
        <v>108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572536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1.3556910569105691</v>
      </c>
      <c r="BN17" s="477" t="e">
        <f>Water!W19</f>
        <v>#DIV/0!</v>
      </c>
      <c r="BO17" s="472">
        <f>Water!X19</f>
        <v>1334</v>
      </c>
      <c r="BP17" s="477">
        <f>Water!Y19</f>
        <v>5.4227642276422765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7744</v>
      </c>
      <c r="D18" s="461">
        <v>0</v>
      </c>
      <c r="E18" s="460">
        <f>Elect!M19</f>
        <v>2598</v>
      </c>
      <c r="F18" s="461">
        <v>30</v>
      </c>
      <c r="G18" s="460">
        <f>Elect!O19</f>
        <v>1728</v>
      </c>
      <c r="H18" s="461">
        <v>810</v>
      </c>
      <c r="I18" s="460">
        <f>Water!C20</f>
        <v>115.99999999999999</v>
      </c>
      <c r="J18" s="461">
        <v>0</v>
      </c>
      <c r="K18" s="460">
        <f>Water!E20</f>
        <v>133.39999999999998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357.28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207.22239999999996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8522842</v>
      </c>
      <c r="AH18" s="464">
        <f>Gas!C20</f>
        <v>1693.88</v>
      </c>
      <c r="AI18" s="465" t="e">
        <f>Gas!#REF!</f>
        <v>#REF!</v>
      </c>
      <c r="AJ18" s="466">
        <f>Gas!J20</f>
        <v>347.09999999999997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123</v>
      </c>
      <c r="AU18" s="460">
        <f>Elect!BP19</f>
        <v>105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570699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1.4177777777777776</v>
      </c>
      <c r="BN18" s="477" t="e">
        <f>Water!W20</f>
        <v>#DIV/0!</v>
      </c>
      <c r="BO18" s="472">
        <f>Water!X20</f>
        <v>1429.12</v>
      </c>
      <c r="BP18" s="477">
        <f>Water!Y20</f>
        <v>5.6711111111111103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7113</v>
      </c>
      <c r="D19" s="461">
        <v>0</v>
      </c>
      <c r="E19" s="460">
        <f>Elect!M20</f>
        <v>2511</v>
      </c>
      <c r="F19" s="461">
        <v>20</v>
      </c>
      <c r="G19" s="460">
        <f>Elect!O20</f>
        <v>1653</v>
      </c>
      <c r="H19" s="461">
        <v>841</v>
      </c>
      <c r="I19" s="460">
        <f>Water!C21</f>
        <v>98.6</v>
      </c>
      <c r="J19" s="461">
        <v>0</v>
      </c>
      <c r="K19" s="460">
        <f>Water!E21</f>
        <v>110.19999999999999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318.41999999999996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184.68359999999996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8524625</v>
      </c>
      <c r="AH19" s="464">
        <f>Gas!C21</f>
        <v>1889.98</v>
      </c>
      <c r="AI19" s="465" t="e">
        <f>Gas!#REF!</f>
        <v>#REF!</v>
      </c>
      <c r="AJ19" s="466">
        <f>Gas!J21</f>
        <v>417.3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126</v>
      </c>
      <c r="AU19" s="460">
        <f>Elect!BP20</f>
        <v>111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572785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1.6245918367346937</v>
      </c>
      <c r="BN19" s="477" t="e">
        <f>Water!W21</f>
        <v>#DIV/0!</v>
      </c>
      <c r="BO19" s="472">
        <f>Water!X21</f>
        <v>1273.6799999999998</v>
      </c>
      <c r="BP19" s="477">
        <f>Water!Y21</f>
        <v>6.4983673469387746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7244</v>
      </c>
      <c r="D20" s="461">
        <v>0</v>
      </c>
      <c r="E20" s="460">
        <f>Elect!M21</f>
        <v>2560</v>
      </c>
      <c r="F20" s="461">
        <v>20</v>
      </c>
      <c r="G20" s="460">
        <f>Elect!O21</f>
        <v>1859</v>
      </c>
      <c r="H20" s="461">
        <v>932</v>
      </c>
      <c r="I20" s="460">
        <f>Water!C22</f>
        <v>104.39999999999999</v>
      </c>
      <c r="J20" s="461">
        <v>0</v>
      </c>
      <c r="K20" s="460">
        <f>Water!E22</f>
        <v>121.8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331.17999999999995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192.08439999999996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8526117</v>
      </c>
      <c r="AH20" s="464">
        <f>Gas!C22</f>
        <v>1581.52</v>
      </c>
      <c r="AI20" s="465" t="e">
        <f>Gas!#REF!</f>
        <v>#REF!</v>
      </c>
      <c r="AJ20" s="466">
        <f>Gas!J22</f>
        <v>343.2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224</v>
      </c>
      <c r="AU20" s="460">
        <f>Elect!BP21</f>
        <v>105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573009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1.5122374429223742</v>
      </c>
      <c r="BN20" s="477" t="e">
        <f>Water!W22</f>
        <v>#DIV/0!</v>
      </c>
      <c r="BO20" s="472">
        <f>Water!X22</f>
        <v>1324.7199999999998</v>
      </c>
      <c r="BP20" s="477">
        <f>Water!Y22</f>
        <v>6.0489497716894967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7009</v>
      </c>
      <c r="D21" s="461">
        <v>0</v>
      </c>
      <c r="E21" s="460">
        <f>Elect!M22</f>
        <v>2647</v>
      </c>
      <c r="F21" s="461">
        <v>20</v>
      </c>
      <c r="G21" s="460">
        <f>Elect!O22</f>
        <v>1912</v>
      </c>
      <c r="H21" s="461">
        <v>972</v>
      </c>
      <c r="I21" s="460">
        <f>Water!C23</f>
        <v>100.5333333331364</v>
      </c>
      <c r="J21" s="461">
        <v>0</v>
      </c>
      <c r="K21" s="460">
        <f>Water!E23</f>
        <v>114.0666666668636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322.67333333331362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187.15053333332187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8527609</v>
      </c>
      <c r="AH21" s="464">
        <f>Gas!C23</f>
        <v>1581.52</v>
      </c>
      <c r="AI21" s="465" t="e">
        <f>Gas!#REF!</f>
        <v>#REF!</v>
      </c>
      <c r="AJ21" s="466">
        <f>Gas!J23</f>
        <v>392.60000000121073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26</v>
      </c>
      <c r="AU21" s="460">
        <f>Elect!BP22</f>
        <v>107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1.3444722222221401</v>
      </c>
      <c r="BN21" s="477" t="e">
        <f>Water!W23</f>
        <v>#DIV/0!</v>
      </c>
      <c r="BO21" s="472">
        <f>Water!X23</f>
        <v>1290.6933333332545</v>
      </c>
      <c r="BP21" s="477">
        <f>Water!Y23</f>
        <v>5.3778888888885605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6497</v>
      </c>
      <c r="D22" s="461">
        <v>0</v>
      </c>
      <c r="E22" s="460">
        <f>Elect!M23</f>
        <v>1903</v>
      </c>
      <c r="F22" s="461">
        <v>20</v>
      </c>
      <c r="G22" s="460">
        <f>Elect!O23</f>
        <v>1321</v>
      </c>
      <c r="H22" s="461">
        <v>864</v>
      </c>
      <c r="I22" s="460">
        <f>Water!C24</f>
        <v>27.0666666668636</v>
      </c>
      <c r="J22" s="461">
        <v>0</v>
      </c>
      <c r="K22" s="460">
        <f>Water!E24</f>
        <v>100.5333333331364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320.54666666668635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185.91706666667807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8529312</v>
      </c>
      <c r="AH22" s="464">
        <f>Gas!C24</f>
        <v>1805.18</v>
      </c>
      <c r="AI22" s="465" t="e">
        <f>Gas!#REF!</f>
        <v>#REF!</v>
      </c>
      <c r="AJ22" s="466">
        <f>Gas!J24</f>
        <v>243.09999999878929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141</v>
      </c>
      <c r="AU22" s="460">
        <f>Elect!BP23</f>
        <v>107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573176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1.2521354166667436</v>
      </c>
      <c r="BN22" s="477" t="e">
        <f>Water!W24</f>
        <v>#DIV/0!</v>
      </c>
      <c r="BO22" s="472">
        <f>Water!X24</f>
        <v>1282.1866666667454</v>
      </c>
      <c r="BP22" s="477">
        <f>Water!Y24</f>
        <v>5.0085416666669742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6654</v>
      </c>
      <c r="D23" s="461">
        <v>0</v>
      </c>
      <c r="E23" s="460">
        <f>Elect!M24</f>
        <v>2245</v>
      </c>
      <c r="F23" s="461">
        <v>30</v>
      </c>
      <c r="G23" s="460">
        <f>Elect!O24</f>
        <v>1662</v>
      </c>
      <c r="H23" s="461">
        <v>894</v>
      </c>
      <c r="I23" s="460">
        <f>Water!C25</f>
        <v>220.39999999999998</v>
      </c>
      <c r="J23" s="461">
        <v>0</v>
      </c>
      <c r="K23" s="460">
        <f>Water!E25</f>
        <v>174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435.58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252.63639999999998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8531155</v>
      </c>
      <c r="AH23" s="464">
        <f>Gas!C25</f>
        <v>1953.5800000000002</v>
      </c>
      <c r="AI23" s="465" t="e">
        <f>Gas!#REF!</f>
        <v>#REF!</v>
      </c>
      <c r="AJ23" s="466">
        <f>Gas!J25</f>
        <v>499.2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158</v>
      </c>
      <c r="AU23" s="460">
        <f>Elect!BP24</f>
        <v>96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573334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1.7148818897637794</v>
      </c>
      <c r="BN23" s="477" t="e">
        <f>Water!W25</f>
        <v>#DIV/0!</v>
      </c>
      <c r="BO23" s="472">
        <f>Water!X25</f>
        <v>1742.32</v>
      </c>
      <c r="BP23" s="477">
        <f>Water!Y25</f>
        <v>6.8595275590551177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6789</v>
      </c>
      <c r="D24" s="461">
        <v>0</v>
      </c>
      <c r="E24" s="460">
        <f>Elect!M25</f>
        <v>2549</v>
      </c>
      <c r="F24" s="461">
        <v>20</v>
      </c>
      <c r="G24" s="460">
        <f>Elect!O25</f>
        <v>1972</v>
      </c>
      <c r="H24" s="461">
        <v>944</v>
      </c>
      <c r="I24" s="460">
        <f>Water!C26</f>
        <v>127.6</v>
      </c>
      <c r="J24" s="461">
        <v>0</v>
      </c>
      <c r="K24" s="460">
        <f>Water!E26</f>
        <v>162.39999999999998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417.02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241.87159999999997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8532979</v>
      </c>
      <c r="AH24" s="464">
        <f>Gas!C26</f>
        <v>1933.44</v>
      </c>
      <c r="AI24" s="465" t="e">
        <f>Gas!#REF!</f>
        <v>#REF!</v>
      </c>
      <c r="AJ24" s="466">
        <f>Gas!J26</f>
        <v>335.4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139</v>
      </c>
      <c r="AU24" s="460">
        <f>Elect!BP25</f>
        <v>89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573473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1.66808</v>
      </c>
      <c r="BN24" s="477" t="e">
        <f>Water!W26</f>
        <v>#DIV/0!</v>
      </c>
      <c r="BO24" s="472">
        <f>Water!X26</f>
        <v>1668.08</v>
      </c>
      <c r="BP24" s="477">
        <f>Water!Y26</f>
        <v>6.67232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6877</v>
      </c>
      <c r="D25" s="461">
        <v>0</v>
      </c>
      <c r="E25" s="460">
        <f>Elect!M26</f>
        <v>1938</v>
      </c>
      <c r="F25" s="461">
        <v>20</v>
      </c>
      <c r="G25" s="460">
        <f>Elect!O26</f>
        <v>1636</v>
      </c>
      <c r="H25" s="461">
        <v>916</v>
      </c>
      <c r="I25" s="460">
        <f>Water!C27</f>
        <v>92.8</v>
      </c>
      <c r="J25" s="461">
        <v>0</v>
      </c>
      <c r="K25" s="460">
        <f>Water!E27</f>
        <v>110.19999999999999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292.32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169.54559999999998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8534500</v>
      </c>
      <c r="AH25" s="464">
        <f>Gas!C27</f>
        <v>1612.26</v>
      </c>
      <c r="AI25" s="465" t="e">
        <f>Gas!#REF!</f>
        <v>#REF!</v>
      </c>
      <c r="AJ25" s="466">
        <f>Gas!J27</f>
        <v>421.2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187</v>
      </c>
      <c r="AU25" s="460">
        <f>Elect!BP26</f>
        <v>135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573660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1.1739759036144577</v>
      </c>
      <c r="BN25" s="477" t="e">
        <f>Water!W27</f>
        <v>#DIV/0!</v>
      </c>
      <c r="BO25" s="472">
        <f>Water!X27</f>
        <v>1169.28</v>
      </c>
      <c r="BP25" s="477">
        <f>Water!Y27</f>
        <v>4.6959036144578308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6326</v>
      </c>
      <c r="D26" s="461">
        <v>0</v>
      </c>
      <c r="E26" s="460">
        <f>Elect!M27</f>
        <v>2268</v>
      </c>
      <c r="F26" s="461">
        <v>20</v>
      </c>
      <c r="G26" s="460">
        <f>Elect!O27</f>
        <v>1780</v>
      </c>
      <c r="H26" s="461">
        <v>931</v>
      </c>
      <c r="I26" s="460">
        <f>Water!C28</f>
        <v>110.19999999999999</v>
      </c>
      <c r="J26" s="461">
        <v>0</v>
      </c>
      <c r="K26" s="460">
        <f>Water!E28</f>
        <v>121.8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341.62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198.1396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8536227</v>
      </c>
      <c r="AH26" s="464">
        <f>Gas!C28</f>
        <v>1830.6200000000001</v>
      </c>
      <c r="AI26" s="465" t="e">
        <f>Gas!#REF!</f>
        <v>#REF!</v>
      </c>
      <c r="AJ26" s="466">
        <f>Gas!J28</f>
        <v>339.3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61</v>
      </c>
      <c r="AU26" s="460">
        <f>Elect!BP27</f>
        <v>88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573721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1.4234166666666668</v>
      </c>
      <c r="BN26" s="477" t="e">
        <f>Water!W28</f>
        <v>#DIV/0!</v>
      </c>
      <c r="BO26" s="472">
        <f>Water!X28</f>
        <v>1366.48</v>
      </c>
      <c r="BP26" s="477">
        <f>Water!Y28</f>
        <v>5.6936666666666671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8051</v>
      </c>
      <c r="D27" s="461">
        <v>0</v>
      </c>
      <c r="E27" s="460">
        <f>Elect!M28</f>
        <v>2495</v>
      </c>
      <c r="F27" s="461">
        <v>30</v>
      </c>
      <c r="G27" s="460">
        <f>Elect!O28</f>
        <v>2181</v>
      </c>
      <c r="H27" s="461">
        <v>1009</v>
      </c>
      <c r="I27" s="460">
        <f>Water!C29</f>
        <v>57.999999999999993</v>
      </c>
      <c r="J27" s="461">
        <v>0</v>
      </c>
      <c r="K27" s="460">
        <f>Water!E29</f>
        <v>110.19999999999999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374.09999999999997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216.97799999999995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8538060</v>
      </c>
      <c r="AH27" s="464">
        <f>Gas!C29</f>
        <v>1942.98</v>
      </c>
      <c r="AI27" s="465" t="e">
        <f>Gas!#REF!</f>
        <v>#REF!</v>
      </c>
      <c r="AJ27" s="466">
        <f>Gas!J29</f>
        <v>296.39999999999998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140</v>
      </c>
      <c r="AU27" s="460">
        <f>Elect!BP28</f>
        <v>115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573861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1.4728346456692911</v>
      </c>
      <c r="BN27" s="477" t="e">
        <f>Water!W29</f>
        <v>#DIV/0!</v>
      </c>
      <c r="BO27" s="472">
        <f>Water!X29</f>
        <v>1496.3999999999999</v>
      </c>
      <c r="BP27" s="477">
        <f>Water!Y29</f>
        <v>5.8913385826771645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6521</v>
      </c>
      <c r="D28" s="461">
        <v>0</v>
      </c>
      <c r="E28" s="460">
        <f>Elect!M29</f>
        <v>1884</v>
      </c>
      <c r="F28" s="461">
        <v>20</v>
      </c>
      <c r="G28" s="460">
        <f>Elect!O29</f>
        <v>1779</v>
      </c>
      <c r="H28" s="461">
        <v>891</v>
      </c>
      <c r="I28" s="460">
        <f>Water!C30</f>
        <v>174</v>
      </c>
      <c r="J28" s="461">
        <v>0</v>
      </c>
      <c r="K28" s="460">
        <f>Water!E30</f>
        <v>203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377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218.66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8539055</v>
      </c>
      <c r="AH28" s="464">
        <f>Gas!C30</f>
        <v>1054.7</v>
      </c>
      <c r="AI28" s="465" t="e">
        <f>Gas!#REF!</f>
        <v>#REF!</v>
      </c>
      <c r="AJ28" s="466">
        <f>Gas!J30</f>
        <v>312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123</v>
      </c>
      <c r="AU28" s="460">
        <f>Elect!BP29</f>
        <v>117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573984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1.50199203187251</v>
      </c>
      <c r="BN28" s="477" t="e">
        <f>Water!W30</f>
        <v>#DIV/0!</v>
      </c>
      <c r="BO28" s="472">
        <f>Water!X30</f>
        <v>1508</v>
      </c>
      <c r="BP28" s="477">
        <f>Water!Y30</f>
        <v>6.0079681274900398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6548</v>
      </c>
      <c r="D29" s="461">
        <v>0</v>
      </c>
      <c r="E29" s="460">
        <f>Elect!M30</f>
        <v>2184</v>
      </c>
      <c r="F29" s="461">
        <v>20</v>
      </c>
      <c r="G29" s="460">
        <f>Elect!O30</f>
        <v>1949</v>
      </c>
      <c r="H29" s="461">
        <v>1008</v>
      </c>
      <c r="I29" s="460">
        <f>Water!C31</f>
        <v>110.19999999999999</v>
      </c>
      <c r="J29" s="461">
        <v>0</v>
      </c>
      <c r="K29" s="460">
        <f>Water!E31</f>
        <v>87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356.7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206.88599999999997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8540512.6666666698</v>
      </c>
      <c r="AH29" s="464">
        <f>Gas!C31</f>
        <v>1545.1266666699573</v>
      </c>
      <c r="AI29" s="465" t="e">
        <f>Gas!#REF!</f>
        <v>#REF!</v>
      </c>
      <c r="AJ29" s="466">
        <f>Gas!J31</f>
        <v>588.9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354</v>
      </c>
      <c r="AU29" s="460">
        <f>Elect!BP30</f>
        <v>116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574338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1.4154761904761903</v>
      </c>
      <c r="BN29" s="477" t="e">
        <f>Water!W31</f>
        <v>#DIV/0!</v>
      </c>
      <c r="BO29" s="472">
        <f>Water!X31</f>
        <v>1426.8</v>
      </c>
      <c r="BP29" s="477">
        <f>Water!Y31</f>
        <v>5.6619047619047613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10603</v>
      </c>
      <c r="D30" s="461">
        <v>0</v>
      </c>
      <c r="E30" s="460">
        <f>Elect!M31</f>
        <v>2050</v>
      </c>
      <c r="F30" s="461">
        <v>20</v>
      </c>
      <c r="G30" s="460">
        <f>Elect!O31</f>
        <v>1787</v>
      </c>
      <c r="H30" s="461">
        <v>760</v>
      </c>
      <c r="I30" s="460">
        <f>Water!C32</f>
        <v>92.8</v>
      </c>
      <c r="J30" s="461">
        <v>0</v>
      </c>
      <c r="K30" s="460">
        <f>Water!E32</f>
        <v>110.19999999999999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412.96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239.51679999999996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8541950</v>
      </c>
      <c r="AH30" s="464">
        <f>Gas!C32</f>
        <v>1523.5733333300427</v>
      </c>
      <c r="AI30" s="465" t="e">
        <f>Gas!#REF!</f>
        <v>#REF!</v>
      </c>
      <c r="AJ30" s="466">
        <f>Gas!J32</f>
        <v>487.5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30</v>
      </c>
      <c r="AU30" s="460">
        <f>Elect!BP31</f>
        <v>113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574368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1.6387301587301586</v>
      </c>
      <c r="BN30" s="477" t="e">
        <f>Water!W32</f>
        <v>#DIV/0!</v>
      </c>
      <c r="BO30" s="472">
        <f>Water!X32</f>
        <v>1651.84</v>
      </c>
      <c r="BP30" s="477">
        <f>Water!Y32</f>
        <v>6.5549206349206344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1127</v>
      </c>
      <c r="D31" s="461">
        <v>0</v>
      </c>
      <c r="E31" s="460">
        <f>Elect!M32</f>
        <v>1809</v>
      </c>
      <c r="F31" s="461">
        <v>30</v>
      </c>
      <c r="G31" s="460">
        <f>Elect!O32</f>
        <v>1918</v>
      </c>
      <c r="H31" s="461">
        <v>1010</v>
      </c>
      <c r="I31" s="460">
        <f>Water!C33</f>
        <v>98.6</v>
      </c>
      <c r="J31" s="461">
        <v>0</v>
      </c>
      <c r="K31" s="460">
        <f>Water!E33</f>
        <v>115.99999999999999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214.59999999999997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124.46799999999998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8543200</v>
      </c>
      <c r="AH31" s="464">
        <f>Gas!C33</f>
        <v>1325</v>
      </c>
      <c r="AI31" s="465" t="e">
        <f>Gas!#REF!</f>
        <v>#REF!</v>
      </c>
      <c r="AJ31" s="466">
        <f>Gas!J33</f>
        <v>249.6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50</v>
      </c>
      <c r="AU31" s="460">
        <f>Elect!BP32</f>
        <v>101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574418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0.9093220338983049</v>
      </c>
      <c r="BN31" s="477" t="e">
        <f>Water!W33</f>
        <v>#DIV/0!</v>
      </c>
      <c r="BO31" s="472">
        <f>Water!X33</f>
        <v>858.39999999999986</v>
      </c>
      <c r="BP31" s="477">
        <f>Water!Y33</f>
        <v>3.6372881355932196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7444.333333298564</v>
      </c>
      <c r="D32" s="482">
        <v>0</v>
      </c>
      <c r="E32" s="481">
        <f>Elect!M33</f>
        <v>1969.6666666669771</v>
      </c>
      <c r="F32" s="482">
        <v>20</v>
      </c>
      <c r="G32" s="481">
        <f>Elect!O33</f>
        <v>1830.6666666669771</v>
      </c>
      <c r="H32" s="482">
        <v>1008</v>
      </c>
      <c r="I32" s="481">
        <f>Water!C34</f>
        <v>104.39999999999999</v>
      </c>
      <c r="J32" s="482">
        <v>0</v>
      </c>
      <c r="K32" s="481">
        <f>Water!E34</f>
        <v>121.8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335.82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194.77559999999997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8544731</v>
      </c>
      <c r="AH32" s="485">
        <f>Gas!C34</f>
        <v>1622.8600000000001</v>
      </c>
      <c r="AI32" s="486" t="e">
        <f>Gas!#REF!</f>
        <v>#REF!</v>
      </c>
      <c r="AJ32" s="487">
        <f>Gas!J34</f>
        <v>347.09999999999997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36.666666666977108</v>
      </c>
      <c r="AU32" s="481">
        <f>Elect!BP33</f>
        <v>109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574454.66666666698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1.4558670520231192</v>
      </c>
      <c r="BN32" s="498" t="e">
        <f>Water!W34</f>
        <v>#DIV/0!</v>
      </c>
      <c r="BO32" s="493">
        <f>Water!X34</f>
        <v>1343.28</v>
      </c>
      <c r="BP32" s="498">
        <f>Water!Y34</f>
        <v>5.8234682080924767</v>
      </c>
      <c r="BQ32" s="499" t="e">
        <f>Water!Z34</f>
        <v>#DIV/0!</v>
      </c>
    </row>
    <row r="33" spans="1:98" s="521" customFormat="1" ht="72" customHeight="1">
      <c r="A33" s="443" t="s">
        <v>122</v>
      </c>
      <c r="B33" s="500">
        <v>931200</v>
      </c>
      <c r="C33" s="501">
        <f>Elect!J34</f>
        <v>0</v>
      </c>
      <c r="D33" s="502">
        <v>0</v>
      </c>
      <c r="E33" s="501">
        <f>Elect!M34</f>
        <v>0</v>
      </c>
      <c r="F33" s="502">
        <v>600</v>
      </c>
      <c r="G33" s="501">
        <f>Elect!O34</f>
        <v>0</v>
      </c>
      <c r="H33" s="502">
        <v>24543</v>
      </c>
      <c r="I33" s="501">
        <f>Water!C38</f>
        <v>2859.4</v>
      </c>
      <c r="J33" s="502">
        <v>0</v>
      </c>
      <c r="K33" s="501">
        <f>Water!E39</f>
        <v>109.61999999999998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9246.3599999999988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5362.8887999999997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44687.480000000018</v>
      </c>
      <c r="AI33" s="506" t="e">
        <f>Gas!#REF!</f>
        <v>#REF!</v>
      </c>
      <c r="AJ33" s="507">
        <f>Gas!J38</f>
        <v>10401.299999999999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0</v>
      </c>
      <c r="AU33" s="506">
        <f>Elect!BP34</f>
        <v>0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574454.66666666698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1.5344957681031142</v>
      </c>
      <c r="BN33" s="518" t="e">
        <f>Water!W38</f>
        <v>#DIV/0!</v>
      </c>
      <c r="BO33" s="513">
        <f>Water!X38</f>
        <v>36985.439999999995</v>
      </c>
      <c r="BP33" s="518">
        <f>Water!Y38</f>
        <v>6.1379830724124567</v>
      </c>
      <c r="BQ33" s="519" t="e">
        <f>Water!Z38</f>
        <v>#DIV/0!</v>
      </c>
    </row>
    <row r="34" spans="1:98" s="523" customFormat="1" ht="72" customHeight="1" thickBot="1">
      <c r="A34" s="444" t="s">
        <v>123</v>
      </c>
      <c r="B34" s="500">
        <v>33257.142857142855</v>
      </c>
      <c r="C34" s="501">
        <f>Elect!J35</f>
        <v>0</v>
      </c>
      <c r="D34" s="502">
        <v>0</v>
      </c>
      <c r="E34" s="501">
        <f>Elect!M35</f>
        <v>0</v>
      </c>
      <c r="F34" s="502">
        <v>21.428571428571427</v>
      </c>
      <c r="G34" s="501">
        <f>Elect!O35</f>
        <v>0</v>
      </c>
      <c r="H34" s="502">
        <v>876.53571428571433</v>
      </c>
      <c r="I34" s="501">
        <f>Water!C39</f>
        <v>95.313333333333333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308.21199999999993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178.76295999999999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1489.5826666666674</v>
      </c>
      <c r="AI34" s="506" t="e">
        <f>Gas!#REF!</f>
        <v>#REF!</v>
      </c>
      <c r="AJ34" s="507">
        <f>Gas!J39</f>
        <v>346.71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0</v>
      </c>
      <c r="AU34" s="506">
        <f>Elect!BP35</f>
        <v>0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574454.66666666698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1.5344957681031142</v>
      </c>
      <c r="BN34" s="518" t="e">
        <f>Water!W39</f>
        <v>#DIV/0!</v>
      </c>
      <c r="BO34" s="513">
        <f>Water!X39</f>
        <v>1232.8479999999997</v>
      </c>
      <c r="BP34" s="518">
        <f>Water!Y39</f>
        <v>6.1379830724124567</v>
      </c>
      <c r="BQ34" s="519" t="e">
        <f>Water!Z39</f>
        <v>#DIV/0!</v>
      </c>
    </row>
    <row r="35" spans="1:98" s="523" customFormat="1" ht="72" customHeight="1">
      <c r="A35" s="445" t="s">
        <v>150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570578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151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152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153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154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155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210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211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41" t="s">
        <v>212</v>
      </c>
      <c r="B4" s="941"/>
      <c r="C4" s="941"/>
      <c r="D4" s="941"/>
      <c r="E4" s="941"/>
      <c r="F4" s="941"/>
      <c r="G4" s="108">
        <f>Elect!A1</f>
        <v>44958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213</v>
      </c>
      <c r="B7" s="99" t="s">
        <v>214</v>
      </c>
      <c r="C7" s="99" t="s">
        <v>215</v>
      </c>
      <c r="D7" s="99" t="s">
        <v>214</v>
      </c>
      <c r="E7" s="99" t="s">
        <v>215</v>
      </c>
      <c r="F7" s="99" t="s">
        <v>216</v>
      </c>
      <c r="G7" s="100" t="s">
        <v>217</v>
      </c>
      <c r="H7" s="100" t="s">
        <v>218</v>
      </c>
      <c r="I7" s="99" t="s">
        <v>122</v>
      </c>
      <c r="J7" s="101" t="s">
        <v>122</v>
      </c>
    </row>
    <row r="8" spans="1:10" ht="13.5" thickBot="1">
      <c r="A8" s="102"/>
      <c r="B8" s="103" t="s">
        <v>219</v>
      </c>
      <c r="C8" s="103" t="s">
        <v>219</v>
      </c>
      <c r="D8" s="103" t="s">
        <v>220</v>
      </c>
      <c r="E8" s="103" t="s">
        <v>220</v>
      </c>
      <c r="F8" s="104" t="s">
        <v>221</v>
      </c>
      <c r="G8" s="103" t="s">
        <v>12</v>
      </c>
      <c r="H8" s="103"/>
      <c r="I8" s="104" t="s">
        <v>222</v>
      </c>
      <c r="J8" s="105" t="s">
        <v>223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224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224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42"/>
      <c r="B3" s="944">
        <f>Elect!A1</f>
        <v>44958</v>
      </c>
      <c r="C3" s="945"/>
      <c r="D3" s="945"/>
      <c r="E3" s="946"/>
    </row>
    <row r="4" spans="1:5" ht="14.25" customHeight="1" thickBot="1">
      <c r="A4" s="943"/>
      <c r="B4" s="947" t="s">
        <v>12</v>
      </c>
      <c r="C4" s="948"/>
      <c r="D4" s="949" t="s">
        <v>225</v>
      </c>
      <c r="E4" s="950"/>
    </row>
    <row r="5" spans="1:5" ht="13.5" thickBot="1">
      <c r="A5" s="34" t="s">
        <v>226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227</v>
      </c>
      <c r="B6" s="38"/>
      <c r="C6" s="39"/>
      <c r="D6" s="40"/>
      <c r="E6" s="41"/>
    </row>
    <row r="7" spans="1:5" ht="13.5" thickBot="1">
      <c r="A7" s="117" t="s">
        <v>228</v>
      </c>
      <c r="B7" s="42"/>
      <c r="C7" s="43" t="s">
        <v>229</v>
      </c>
      <c r="D7" s="42" t="s">
        <v>229</v>
      </c>
      <c r="E7" s="43" t="s">
        <v>229</v>
      </c>
    </row>
    <row r="8" spans="1:5">
      <c r="A8" s="118" t="s">
        <v>230</v>
      </c>
      <c r="B8" s="42"/>
      <c r="C8" s="43" t="s">
        <v>229</v>
      </c>
      <c r="D8" s="44" t="s">
        <v>229</v>
      </c>
      <c r="E8" s="45" t="s">
        <v>229</v>
      </c>
    </row>
    <row r="9" spans="1:5" ht="13.5" thickBot="1">
      <c r="A9" s="118" t="s">
        <v>231</v>
      </c>
      <c r="B9" s="359"/>
      <c r="C9" s="360" t="s">
        <v>229</v>
      </c>
      <c r="D9" s="44" t="s">
        <v>229</v>
      </c>
      <c r="E9" s="45" t="s">
        <v>229</v>
      </c>
    </row>
    <row r="10" spans="1:5" ht="13.5" thickBot="1">
      <c r="A10" s="119" t="s">
        <v>232</v>
      </c>
      <c r="B10" s="76"/>
      <c r="C10" s="361"/>
      <c r="D10" s="48"/>
      <c r="E10" s="47"/>
    </row>
    <row r="11" spans="1:5" ht="13.5" thickBot="1">
      <c r="A11" s="362" t="s">
        <v>233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234</v>
      </c>
      <c r="B12" s="366"/>
      <c r="C12" s="366" t="s">
        <v>229</v>
      </c>
      <c r="D12" s="52">
        <v>0</v>
      </c>
      <c r="E12" s="53" t="e">
        <v>#REF!</v>
      </c>
    </row>
    <row r="13" spans="1:5" ht="13.5" thickBot="1">
      <c r="A13" s="120" t="s">
        <v>235</v>
      </c>
      <c r="B13" s="76"/>
      <c r="C13" s="77"/>
      <c r="D13" s="42" t="s">
        <v>229</v>
      </c>
      <c r="E13" s="43" t="s">
        <v>229</v>
      </c>
    </row>
    <row r="14" spans="1:5">
      <c r="A14" s="117" t="s">
        <v>236</v>
      </c>
      <c r="B14" s="42"/>
      <c r="C14" s="63" t="s">
        <v>229</v>
      </c>
      <c r="D14" s="55"/>
      <c r="E14" s="56"/>
    </row>
    <row r="15" spans="1:5" ht="13.5" thickBot="1">
      <c r="A15" s="118" t="s">
        <v>237</v>
      </c>
      <c r="B15" s="44"/>
      <c r="C15" s="54" t="s">
        <v>229</v>
      </c>
      <c r="D15" s="58"/>
      <c r="E15" s="59"/>
    </row>
    <row r="16" spans="1:5" ht="13.5" thickBot="1">
      <c r="A16" s="118" t="s">
        <v>238</v>
      </c>
      <c r="B16" s="44"/>
      <c r="C16" s="54" t="s">
        <v>229</v>
      </c>
      <c r="D16" s="61"/>
      <c r="E16" s="62"/>
    </row>
    <row r="17" spans="1:5">
      <c r="A17" s="118" t="s">
        <v>239</v>
      </c>
      <c r="B17" s="44"/>
      <c r="C17" s="54" t="s">
        <v>229</v>
      </c>
      <c r="D17" s="44" t="s">
        <v>229</v>
      </c>
      <c r="E17" s="54" t="s">
        <v>229</v>
      </c>
    </row>
    <row r="18" spans="1:5">
      <c r="A18" s="118" t="s">
        <v>240</v>
      </c>
      <c r="B18" s="44"/>
      <c r="C18" s="54" t="s">
        <v>229</v>
      </c>
      <c r="D18" s="44" t="s">
        <v>229</v>
      </c>
      <c r="E18" s="54" t="s">
        <v>229</v>
      </c>
    </row>
    <row r="19" spans="1:5">
      <c r="A19" s="118" t="s">
        <v>241</v>
      </c>
      <c r="B19" s="44"/>
      <c r="C19" s="54" t="s">
        <v>229</v>
      </c>
      <c r="D19" s="44" t="s">
        <v>229</v>
      </c>
      <c r="E19" s="54" t="s">
        <v>229</v>
      </c>
    </row>
    <row r="20" spans="1:5">
      <c r="A20" s="118" t="s">
        <v>242</v>
      </c>
      <c r="B20" s="44"/>
      <c r="C20" s="64" t="e">
        <f>#REF!</f>
        <v>#REF!</v>
      </c>
      <c r="D20" s="44" t="s">
        <v>229</v>
      </c>
      <c r="E20" s="54" t="s">
        <v>229</v>
      </c>
    </row>
    <row r="21" spans="1:5">
      <c r="A21" s="118" t="s">
        <v>243</v>
      </c>
      <c r="B21" s="44"/>
      <c r="C21" s="54" t="s">
        <v>229</v>
      </c>
      <c r="D21" s="44" t="s">
        <v>229</v>
      </c>
      <c r="E21" s="54" t="s">
        <v>229</v>
      </c>
    </row>
    <row r="22" spans="1:5">
      <c r="A22" s="118" t="s">
        <v>244</v>
      </c>
      <c r="B22" s="44"/>
      <c r="C22" s="54">
        <f>Water!S38</f>
        <v>0</v>
      </c>
      <c r="D22" s="44" t="s">
        <v>229</v>
      </c>
      <c r="E22" s="54" t="s">
        <v>229</v>
      </c>
    </row>
    <row r="23" spans="1:5" ht="13.5" thickBot="1">
      <c r="A23" s="121" t="s">
        <v>245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246</v>
      </c>
      <c r="B24" s="49"/>
      <c r="C24" s="60"/>
      <c r="D24" s="55" t="s">
        <v>229</v>
      </c>
      <c r="E24" s="56" t="s">
        <v>229</v>
      </c>
    </row>
    <row r="25" spans="1:5">
      <c r="A25" s="123" t="s">
        <v>247</v>
      </c>
      <c r="B25" s="42"/>
      <c r="C25" s="67">
        <f>Elect!J34</f>
        <v>0</v>
      </c>
      <c r="D25" s="55">
        <v>12266</v>
      </c>
      <c r="E25" s="66">
        <v>814</v>
      </c>
    </row>
    <row r="26" spans="1:5" ht="13.5" thickBot="1">
      <c r="A26" s="128" t="s">
        <v>248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249</v>
      </c>
      <c r="B27" s="44"/>
      <c r="C27" s="69">
        <f>Water!H38</f>
        <v>9246.3599999999988</v>
      </c>
      <c r="D27" s="61"/>
      <c r="E27" s="62"/>
    </row>
    <row r="28" spans="1:5">
      <c r="A28" s="124" t="s">
        <v>250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251</v>
      </c>
      <c r="B29" s="44"/>
      <c r="C29" s="45" t="s">
        <v>229</v>
      </c>
      <c r="D29" s="70">
        <v>28880</v>
      </c>
      <c r="E29" s="66">
        <v>32980</v>
      </c>
    </row>
    <row r="30" spans="1:5" ht="13.5" thickBot="1">
      <c r="A30" s="125" t="s">
        <v>252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253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254</v>
      </c>
      <c r="B32" s="76"/>
      <c r="C32" s="77"/>
      <c r="D32" s="71" t="e">
        <v>#REF!</v>
      </c>
      <c r="E32" s="56" t="s">
        <v>229</v>
      </c>
    </row>
    <row r="33" spans="1:6" ht="13.5" thickBot="1">
      <c r="A33" s="123" t="s">
        <v>255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256</v>
      </c>
      <c r="B34" s="44"/>
      <c r="C34" s="69">
        <f>YTD!Q5</f>
        <v>0</v>
      </c>
      <c r="D34" s="74"/>
      <c r="E34" s="75"/>
    </row>
    <row r="35" spans="1:6" ht="13.5" thickBot="1">
      <c r="A35" s="124" t="s">
        <v>257</v>
      </c>
      <c r="B35" s="44"/>
      <c r="C35" s="69">
        <f>YTD!Q6</f>
        <v>0</v>
      </c>
      <c r="D35" s="61"/>
      <c r="E35" s="62"/>
    </row>
    <row r="36" spans="1:6">
      <c r="A36" s="128" t="s">
        <v>258</v>
      </c>
      <c r="B36" s="44"/>
      <c r="C36" s="82"/>
      <c r="D36" s="78" t="e">
        <v>#REF!</v>
      </c>
      <c r="E36" s="66" t="e">
        <v>#REF!</v>
      </c>
    </row>
    <row r="37" spans="1:6">
      <c r="A37" s="128" t="s">
        <v>259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260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261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262</v>
      </c>
      <c r="B40" s="76"/>
      <c r="C40" s="77"/>
      <c r="D40" s="55">
        <v>1583714</v>
      </c>
      <c r="E40" s="66">
        <v>1940567</v>
      </c>
    </row>
    <row r="41" spans="1:6">
      <c r="A41" s="367" t="s">
        <v>263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264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265</v>
      </c>
      <c r="B43" s="130"/>
      <c r="C43" s="64">
        <f>Water!X38</f>
        <v>36985.439999999995</v>
      </c>
      <c r="D43" s="58">
        <v>112</v>
      </c>
      <c r="E43" s="66">
        <v>97.529999999999944</v>
      </c>
    </row>
    <row r="44" spans="1:6" ht="13.5" thickBot="1">
      <c r="A44" s="129" t="s">
        <v>266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267</v>
      </c>
      <c r="B45" s="131"/>
      <c r="C45" s="54" t="s">
        <v>229</v>
      </c>
      <c r="D45" s="78">
        <v>2138156.84</v>
      </c>
      <c r="E45" s="66" t="e">
        <v>#REF!</v>
      </c>
    </row>
    <row r="46" spans="1:6" ht="13.5" thickBot="1">
      <c r="A46" s="132" t="s">
        <v>268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269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270</v>
      </c>
      <c r="B48" s="197"/>
      <c r="C48" s="89"/>
      <c r="D48" s="65">
        <v>330278</v>
      </c>
      <c r="E48" s="66" t="e">
        <v>#REF!</v>
      </c>
    </row>
    <row r="49" spans="1:6">
      <c r="A49" s="202" t="s">
        <v>271</v>
      </c>
      <c r="B49" s="195"/>
      <c r="C49" s="203">
        <v>6</v>
      </c>
      <c r="D49" s="44" t="s">
        <v>229</v>
      </c>
      <c r="E49" s="54" t="s">
        <v>229</v>
      </c>
    </row>
    <row r="50" spans="1:6" ht="13.5" thickBot="1">
      <c r="A50" s="222" t="s">
        <v>133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272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273</v>
      </c>
      <c r="B52" s="131"/>
      <c r="C52" s="54">
        <v>75064</v>
      </c>
      <c r="D52" s="61"/>
      <c r="E52" s="62"/>
    </row>
    <row r="53" spans="1:6" ht="13.5" thickBot="1">
      <c r="A53" s="204" t="s">
        <v>274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275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276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277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278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>
        <f>Elect!A1</f>
        <v>44958</v>
      </c>
      <c r="C1" s="774"/>
      <c r="D1" s="774"/>
      <c r="E1" s="774"/>
      <c r="F1" s="774"/>
      <c r="G1" s="774"/>
      <c r="H1" s="211" t="s">
        <v>279</v>
      </c>
      <c r="I1" s="774"/>
      <c r="J1" s="774"/>
      <c r="K1" s="774"/>
      <c r="L1" s="774"/>
      <c r="M1" s="774"/>
      <c r="N1" s="774"/>
      <c r="Q1" s="732"/>
      <c r="R1" s="732"/>
      <c r="S1" s="732"/>
      <c r="T1" s="732"/>
      <c r="U1" s="732"/>
      <c r="V1" s="732"/>
      <c r="W1" s="732"/>
      <c r="X1" s="732"/>
      <c r="Y1" s="732"/>
      <c r="Z1" s="732"/>
      <c r="AA1" s="732"/>
      <c r="AB1" s="732"/>
      <c r="AC1" s="732"/>
      <c r="AD1" s="732"/>
      <c r="AE1" s="732"/>
      <c r="AF1" s="732"/>
      <c r="AG1" s="732"/>
      <c r="AH1" s="732"/>
      <c r="AI1" s="732"/>
      <c r="AJ1" s="732"/>
      <c r="AK1" s="732"/>
      <c r="AL1" s="732"/>
      <c r="AM1" s="732"/>
      <c r="AN1" s="732"/>
      <c r="AO1" s="732"/>
      <c r="AP1" s="732"/>
      <c r="AQ1" s="732"/>
      <c r="AR1" s="732"/>
      <c r="AS1" s="732"/>
      <c r="AT1" s="732"/>
      <c r="AU1" s="732"/>
      <c r="AV1" s="732"/>
      <c r="AW1" s="732"/>
      <c r="AX1" s="732"/>
      <c r="AY1" s="732"/>
      <c r="AZ1" s="732"/>
      <c r="BA1" s="732"/>
      <c r="BB1" s="732"/>
      <c r="BC1" s="732"/>
      <c r="BD1" s="732"/>
      <c r="BE1" s="732"/>
      <c r="BF1" s="732"/>
      <c r="BG1" s="732"/>
      <c r="BH1" s="732"/>
      <c r="BI1" s="732"/>
      <c r="BJ1" s="732"/>
      <c r="BK1" s="732"/>
      <c r="BL1" s="732"/>
      <c r="BM1" s="732"/>
      <c r="BN1" s="732"/>
      <c r="BO1" s="732"/>
      <c r="BP1" s="732"/>
      <c r="BQ1" s="732"/>
      <c r="BR1" s="732"/>
      <c r="BS1" s="732"/>
      <c r="BT1" s="732"/>
      <c r="BU1" s="732"/>
      <c r="BV1" s="732"/>
      <c r="BW1" s="732"/>
      <c r="BX1" s="732"/>
      <c r="BY1" s="732"/>
      <c r="BZ1" s="732"/>
      <c r="CA1" s="732"/>
      <c r="CB1" s="732"/>
      <c r="CC1" s="732"/>
      <c r="CD1" s="732"/>
      <c r="CE1" s="732"/>
      <c r="CF1" s="732"/>
      <c r="CG1" s="732"/>
      <c r="CH1" s="732"/>
      <c r="CI1" s="732"/>
      <c r="CJ1" s="732"/>
      <c r="CK1" s="732"/>
      <c r="CL1" s="732"/>
      <c r="CM1" s="732"/>
      <c r="CN1" s="732"/>
      <c r="CO1" s="732"/>
      <c r="CP1" s="732"/>
      <c r="CQ1" s="732"/>
      <c r="CR1" s="732"/>
      <c r="CS1" s="732"/>
      <c r="CT1" s="732"/>
      <c r="CU1" s="732"/>
      <c r="CV1" s="732"/>
      <c r="CW1" s="732"/>
      <c r="CX1" s="732"/>
      <c r="CY1" s="732"/>
      <c r="CZ1" s="732"/>
      <c r="DA1" s="732"/>
      <c r="DB1" s="732"/>
      <c r="DC1" s="732"/>
      <c r="DD1" s="732"/>
      <c r="DE1" s="732"/>
      <c r="DF1" s="732"/>
    </row>
    <row r="2" spans="1:110" ht="6.75" customHeight="1" thickBot="1">
      <c r="C2" s="774"/>
      <c r="D2" s="774"/>
      <c r="E2" s="774"/>
      <c r="F2" s="774"/>
      <c r="G2" s="212"/>
      <c r="H2" s="774"/>
      <c r="I2" s="774"/>
      <c r="J2" s="774"/>
      <c r="K2" s="774"/>
      <c r="L2" s="774"/>
      <c r="M2" s="774"/>
      <c r="N2" s="774"/>
      <c r="Q2" s="732"/>
      <c r="R2" s="732"/>
      <c r="S2" s="732"/>
      <c r="T2" s="732"/>
      <c r="U2" s="732"/>
      <c r="V2" s="732"/>
      <c r="W2" s="732"/>
      <c r="X2" s="732"/>
      <c r="Y2" s="732"/>
      <c r="Z2" s="732"/>
      <c r="AA2" s="732"/>
      <c r="AB2" s="732"/>
      <c r="AC2" s="732"/>
      <c r="AD2" s="732"/>
      <c r="AE2" s="732"/>
      <c r="AF2" s="732"/>
      <c r="AG2" s="732"/>
      <c r="AH2" s="732"/>
      <c r="AI2" s="732"/>
      <c r="AJ2" s="732"/>
      <c r="AK2" s="732"/>
      <c r="AL2" s="732"/>
      <c r="AM2" s="732"/>
      <c r="AN2" s="732"/>
      <c r="AO2" s="732"/>
      <c r="AP2" s="732"/>
      <c r="AQ2" s="732"/>
      <c r="AR2" s="732"/>
      <c r="AS2" s="732"/>
      <c r="AT2" s="732"/>
      <c r="AU2" s="732"/>
      <c r="AV2" s="732"/>
      <c r="AW2" s="732"/>
      <c r="AX2" s="732"/>
      <c r="AY2" s="732"/>
      <c r="AZ2" s="732"/>
      <c r="BA2" s="732"/>
      <c r="BB2" s="732"/>
      <c r="BC2" s="732"/>
      <c r="BD2" s="732"/>
      <c r="BE2" s="732"/>
      <c r="BF2" s="732"/>
      <c r="BG2" s="732"/>
      <c r="BH2" s="732"/>
      <c r="BI2" s="732"/>
      <c r="BJ2" s="732"/>
      <c r="BK2" s="732"/>
      <c r="BL2" s="732"/>
      <c r="BM2" s="732"/>
      <c r="BN2" s="732"/>
      <c r="BO2" s="732"/>
      <c r="BP2" s="732"/>
      <c r="BQ2" s="732"/>
      <c r="BR2" s="732"/>
      <c r="BS2" s="732"/>
      <c r="BT2" s="732"/>
      <c r="BU2" s="732"/>
      <c r="BV2" s="732"/>
      <c r="BW2" s="732"/>
      <c r="BX2" s="732"/>
      <c r="BY2" s="732"/>
      <c r="BZ2" s="732"/>
      <c r="CA2" s="732"/>
      <c r="CB2" s="732"/>
      <c r="CC2" s="732"/>
      <c r="CD2" s="732"/>
      <c r="CE2" s="732"/>
      <c r="CF2" s="732"/>
      <c r="CG2" s="732"/>
      <c r="CH2" s="732"/>
      <c r="CI2" s="732"/>
      <c r="CJ2" s="732"/>
      <c r="CK2" s="732"/>
      <c r="CL2" s="732"/>
      <c r="CM2" s="732"/>
      <c r="CN2" s="732"/>
      <c r="CO2" s="732"/>
      <c r="CP2" s="732"/>
      <c r="CQ2" s="732"/>
      <c r="CR2" s="732"/>
      <c r="CS2" s="732"/>
      <c r="CT2" s="732"/>
      <c r="CU2" s="732"/>
      <c r="CV2" s="732"/>
      <c r="CW2" s="732"/>
      <c r="CX2" s="732"/>
      <c r="CY2" s="732"/>
      <c r="CZ2" s="732"/>
      <c r="DA2" s="732"/>
      <c r="DB2" s="732"/>
      <c r="DC2" s="732"/>
      <c r="DD2" s="732"/>
      <c r="DE2" s="732"/>
      <c r="DF2" s="732"/>
    </row>
    <row r="3" spans="1:110" ht="24" customHeight="1" thickTop="1" thickBot="1">
      <c r="A3" s="292"/>
      <c r="B3" s="293"/>
      <c r="C3" s="227" t="s">
        <v>280</v>
      </c>
      <c r="D3" s="227" t="s">
        <v>281</v>
      </c>
      <c r="E3" s="227" t="s">
        <v>282</v>
      </c>
      <c r="F3" s="227" t="s">
        <v>283</v>
      </c>
      <c r="G3" s="227" t="s">
        <v>284</v>
      </c>
      <c r="H3" s="227" t="s">
        <v>285</v>
      </c>
      <c r="I3" s="227" t="s">
        <v>286</v>
      </c>
      <c r="J3" s="227" t="s">
        <v>287</v>
      </c>
      <c r="K3" s="227" t="s">
        <v>288</v>
      </c>
      <c r="L3" s="227" t="s">
        <v>289</v>
      </c>
      <c r="M3" s="227" t="s">
        <v>290</v>
      </c>
      <c r="N3" s="227" t="s">
        <v>291</v>
      </c>
      <c r="O3" s="228" t="s">
        <v>292</v>
      </c>
      <c r="P3" s="229" t="s">
        <v>293</v>
      </c>
      <c r="Q3" s="230" t="s">
        <v>294</v>
      </c>
      <c r="R3" s="218"/>
      <c r="S3" s="218"/>
      <c r="T3" s="218"/>
      <c r="U3" s="218"/>
      <c r="V3" s="218"/>
      <c r="W3" s="218"/>
      <c r="X3" s="218"/>
      <c r="Y3" s="732"/>
      <c r="Z3" s="732"/>
      <c r="AA3" s="732"/>
      <c r="AB3" s="732"/>
      <c r="AC3" s="732"/>
      <c r="AD3" s="732"/>
      <c r="AE3" s="732"/>
      <c r="AF3" s="732"/>
      <c r="AG3" s="732"/>
      <c r="AH3" s="732"/>
      <c r="AI3" s="732"/>
      <c r="AJ3" s="732"/>
      <c r="AK3" s="732"/>
      <c r="AL3" s="732"/>
      <c r="AM3" s="732"/>
      <c r="AN3" s="732"/>
      <c r="AO3" s="732"/>
      <c r="AP3" s="732"/>
      <c r="AQ3" s="732"/>
      <c r="AR3" s="732"/>
      <c r="AS3" s="732"/>
      <c r="AT3" s="732"/>
      <c r="AU3" s="732"/>
      <c r="AV3" s="732"/>
      <c r="AW3" s="732"/>
      <c r="AX3" s="732"/>
      <c r="AY3" s="732"/>
      <c r="AZ3" s="732"/>
      <c r="BA3" s="732"/>
      <c r="BB3" s="732"/>
      <c r="BC3" s="732"/>
      <c r="BD3" s="732"/>
      <c r="BE3" s="732"/>
      <c r="BF3" s="732"/>
      <c r="BG3" s="732"/>
      <c r="BH3" s="732"/>
      <c r="BI3" s="732"/>
      <c r="BJ3" s="732"/>
      <c r="BK3" s="732"/>
      <c r="BL3" s="732"/>
      <c r="BM3" s="732"/>
      <c r="BN3" s="732"/>
      <c r="BO3" s="732"/>
      <c r="BP3" s="732"/>
      <c r="BQ3" s="732"/>
      <c r="BR3" s="732"/>
      <c r="BS3" s="732"/>
      <c r="BT3" s="732"/>
      <c r="BU3" s="732"/>
      <c r="BV3" s="732"/>
      <c r="BW3" s="732"/>
      <c r="BX3" s="732"/>
      <c r="BY3" s="732"/>
      <c r="BZ3" s="732"/>
      <c r="CA3" s="732"/>
      <c r="CB3" s="732"/>
      <c r="CC3" s="732"/>
      <c r="CD3" s="732"/>
      <c r="CE3" s="732"/>
      <c r="CF3" s="732"/>
      <c r="CG3" s="732"/>
      <c r="CH3" s="732"/>
      <c r="CI3" s="732"/>
      <c r="CJ3" s="732"/>
      <c r="CK3" s="732"/>
      <c r="CL3" s="732"/>
      <c r="CM3" s="732"/>
      <c r="CN3" s="732"/>
      <c r="CO3" s="732"/>
      <c r="CP3" s="732"/>
      <c r="CQ3" s="732"/>
      <c r="CR3" s="732"/>
      <c r="CS3" s="732"/>
      <c r="CT3" s="732"/>
      <c r="CU3" s="732"/>
      <c r="CV3" s="732"/>
      <c r="CW3" s="732"/>
      <c r="CX3" s="732"/>
      <c r="CY3" s="732"/>
      <c r="CZ3" s="732"/>
      <c r="DA3" s="732"/>
      <c r="DB3" s="732"/>
      <c r="DC3" s="732"/>
      <c r="DD3" s="732"/>
      <c r="DE3" s="732"/>
      <c r="DF3" s="732"/>
    </row>
    <row r="4" spans="1:110" ht="23.25">
      <c r="A4" s="294" t="s">
        <v>295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296</v>
      </c>
      <c r="B5" s="296"/>
      <c r="C5" s="234">
        <v>25072</v>
      </c>
      <c r="D5" s="380">
        <f>Elect!BP34</f>
        <v>0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25072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297</v>
      </c>
      <c r="B6" s="298"/>
      <c r="C6" s="235">
        <v>50662</v>
      </c>
      <c r="D6" s="235">
        <f>Elect!BR34</f>
        <v>0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50662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298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299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300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301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302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303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304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305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306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307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308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309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310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311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312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313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314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315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316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317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318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319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320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321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322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323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324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325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326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327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328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329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330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331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332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333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334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335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336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337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338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339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340</v>
      </c>
      <c r="B51" s="312" t="s">
        <v>341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342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343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344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345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346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347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348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349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350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351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352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353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354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355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356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2"/>
      <c r="Z66" s="732"/>
    </row>
    <row r="67" spans="1:110" s="10" customFormat="1" ht="15.75" hidden="1">
      <c r="A67" s="319" t="s">
        <v>357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2"/>
      <c r="Z67" s="732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2"/>
      <c r="Z68" s="732"/>
      <c r="AA68" s="732"/>
      <c r="AB68" s="732"/>
      <c r="AC68" s="732"/>
      <c r="AD68" s="732"/>
      <c r="AE68" s="732"/>
      <c r="AF68" s="732"/>
      <c r="AG68" s="732"/>
      <c r="AH68" s="732"/>
      <c r="AI68" s="732"/>
      <c r="AJ68" s="732"/>
      <c r="AK68" s="732"/>
      <c r="AL68" s="732"/>
      <c r="AM68" s="732"/>
      <c r="AN68" s="732"/>
      <c r="AO68" s="732"/>
      <c r="AP68" s="732"/>
      <c r="AQ68" s="732"/>
      <c r="AR68" s="732"/>
      <c r="AS68" s="732"/>
      <c r="AT68" s="732"/>
      <c r="AU68" s="732"/>
      <c r="AV68" s="732"/>
      <c r="AW68" s="732"/>
      <c r="AX68" s="732"/>
      <c r="AY68" s="732"/>
      <c r="AZ68" s="732"/>
      <c r="BA68" s="732"/>
      <c r="BB68" s="732"/>
      <c r="BC68" s="732"/>
      <c r="BD68" s="732"/>
      <c r="BE68" s="732"/>
      <c r="BF68" s="732"/>
      <c r="BG68" s="732"/>
      <c r="BH68" s="732"/>
      <c r="BI68" s="732"/>
      <c r="BJ68" s="732"/>
      <c r="BK68" s="732"/>
      <c r="BL68" s="732"/>
      <c r="BM68" s="732"/>
      <c r="BN68" s="732"/>
      <c r="BO68" s="732"/>
      <c r="BP68" s="732"/>
      <c r="BQ68" s="732"/>
      <c r="BR68" s="732"/>
      <c r="BS68" s="732"/>
      <c r="BT68" s="732"/>
      <c r="BU68" s="732"/>
      <c r="BV68" s="732"/>
      <c r="BW68" s="732"/>
      <c r="BX68" s="732"/>
      <c r="BY68" s="732"/>
      <c r="BZ68" s="732"/>
      <c r="CA68" s="732"/>
      <c r="CB68" s="732"/>
      <c r="CC68" s="732"/>
      <c r="CD68" s="732"/>
      <c r="CE68" s="732"/>
      <c r="CF68" s="732"/>
      <c r="CG68" s="732"/>
      <c r="CH68" s="732"/>
      <c r="CI68" s="732"/>
      <c r="CJ68" s="732"/>
      <c r="CK68" s="732"/>
      <c r="CL68" s="732"/>
      <c r="CM68" s="732"/>
      <c r="CN68" s="732"/>
      <c r="CO68" s="732"/>
      <c r="CP68" s="732"/>
      <c r="CQ68" s="732"/>
      <c r="CR68" s="732"/>
      <c r="CS68" s="732"/>
      <c r="CT68" s="732"/>
      <c r="CU68" s="732"/>
      <c r="CV68" s="732"/>
      <c r="CW68" s="732"/>
      <c r="CX68" s="732"/>
      <c r="CY68" s="732"/>
      <c r="CZ68" s="732"/>
      <c r="DA68" s="732"/>
      <c r="DB68" s="732"/>
      <c r="DC68" s="732"/>
      <c r="DD68" s="732"/>
      <c r="DE68" s="732"/>
      <c r="DF68" s="732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2"/>
      <c r="Z69" s="732"/>
      <c r="AA69" s="732"/>
      <c r="AB69" s="732"/>
      <c r="AC69" s="732"/>
      <c r="AD69" s="732"/>
      <c r="AE69" s="732"/>
      <c r="AF69" s="732"/>
      <c r="AG69" s="732"/>
      <c r="AH69" s="732"/>
      <c r="AI69" s="732"/>
      <c r="AJ69" s="732"/>
      <c r="AK69" s="732"/>
      <c r="AL69" s="732"/>
      <c r="AM69" s="732"/>
      <c r="AN69" s="732"/>
      <c r="AO69" s="732"/>
      <c r="AP69" s="732"/>
      <c r="AQ69" s="732"/>
      <c r="AR69" s="732"/>
      <c r="AS69" s="732"/>
      <c r="AT69" s="732"/>
      <c r="AU69" s="732"/>
      <c r="AV69" s="732"/>
      <c r="AW69" s="732"/>
      <c r="AX69" s="732"/>
      <c r="AY69" s="732"/>
      <c r="AZ69" s="732"/>
      <c r="BA69" s="732"/>
      <c r="BB69" s="732"/>
      <c r="BC69" s="732"/>
      <c r="BD69" s="732"/>
      <c r="BE69" s="732"/>
      <c r="BF69" s="732"/>
      <c r="BG69" s="732"/>
      <c r="BH69" s="732"/>
      <c r="BI69" s="732"/>
      <c r="BJ69" s="732"/>
      <c r="BK69" s="732"/>
      <c r="BL69" s="732"/>
      <c r="BM69" s="732"/>
      <c r="BN69" s="732"/>
      <c r="BO69" s="732"/>
      <c r="BP69" s="732"/>
      <c r="BQ69" s="732"/>
      <c r="BR69" s="732"/>
      <c r="BS69" s="732"/>
      <c r="BT69" s="732"/>
      <c r="BU69" s="732"/>
      <c r="BV69" s="732"/>
      <c r="BW69" s="732"/>
      <c r="BX69" s="732"/>
      <c r="BY69" s="732"/>
      <c r="BZ69" s="732"/>
      <c r="CA69" s="732"/>
      <c r="CB69" s="732"/>
      <c r="CC69" s="732"/>
      <c r="CD69" s="732"/>
      <c r="CE69" s="732"/>
      <c r="CF69" s="732"/>
      <c r="CG69" s="732"/>
      <c r="CH69" s="732"/>
      <c r="CI69" s="732"/>
      <c r="CJ69" s="732"/>
      <c r="CK69" s="732"/>
      <c r="CL69" s="732"/>
      <c r="CM69" s="732"/>
      <c r="CN69" s="732"/>
      <c r="CO69" s="732"/>
      <c r="CP69" s="732"/>
      <c r="CQ69" s="732"/>
      <c r="CR69" s="732"/>
      <c r="CS69" s="732"/>
      <c r="CT69" s="732"/>
      <c r="CU69" s="732"/>
      <c r="CV69" s="732"/>
      <c r="CW69" s="732"/>
      <c r="CX69" s="732"/>
      <c r="CY69" s="732"/>
      <c r="CZ69" s="732"/>
      <c r="DA69" s="732"/>
      <c r="DB69" s="732"/>
      <c r="DC69" s="732"/>
      <c r="DD69" s="732"/>
      <c r="DE69" s="732"/>
      <c r="DF69" s="732"/>
    </row>
    <row r="70" spans="1:110" s="10" customFormat="1" ht="15.75" hidden="1">
      <c r="A70" s="320" t="s">
        <v>358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2"/>
      <c r="Z70" s="732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2"/>
      <c r="Z71" s="732"/>
      <c r="AA71" s="732"/>
      <c r="AB71" s="732"/>
      <c r="AC71" s="732"/>
      <c r="AD71" s="732"/>
      <c r="AE71" s="732"/>
      <c r="AF71" s="732"/>
      <c r="AG71" s="732"/>
      <c r="AH71" s="732"/>
      <c r="AI71" s="732"/>
      <c r="AJ71" s="732"/>
      <c r="AK71" s="732"/>
      <c r="AL71" s="732"/>
      <c r="AM71" s="732"/>
      <c r="AN71" s="732"/>
      <c r="AO71" s="732"/>
      <c r="AP71" s="732"/>
      <c r="AQ71" s="732"/>
      <c r="AR71" s="732"/>
      <c r="AS71" s="732"/>
      <c r="AT71" s="732"/>
      <c r="AU71" s="732"/>
      <c r="AV71" s="732"/>
      <c r="AW71" s="732"/>
      <c r="AX71" s="732"/>
      <c r="AY71" s="732"/>
      <c r="AZ71" s="732"/>
      <c r="BA71" s="732"/>
      <c r="BB71" s="732"/>
      <c r="BC71" s="732"/>
      <c r="BD71" s="732"/>
      <c r="BE71" s="732"/>
      <c r="BF71" s="732"/>
      <c r="BG71" s="732"/>
      <c r="BH71" s="732"/>
      <c r="BI71" s="732"/>
      <c r="BJ71" s="732"/>
      <c r="BK71" s="732"/>
      <c r="BL71" s="732"/>
      <c r="BM71" s="732"/>
      <c r="BN71" s="732"/>
      <c r="BO71" s="732"/>
      <c r="BP71" s="732"/>
      <c r="BQ71" s="732"/>
      <c r="BR71" s="732"/>
      <c r="BS71" s="732"/>
      <c r="BT71" s="732"/>
      <c r="BU71" s="732"/>
      <c r="BV71" s="732"/>
      <c r="BW71" s="732"/>
      <c r="BX71" s="732"/>
      <c r="BY71" s="732"/>
      <c r="BZ71" s="732"/>
      <c r="CA71" s="732"/>
      <c r="CB71" s="732"/>
      <c r="CC71" s="732"/>
      <c r="CD71" s="732"/>
      <c r="CE71" s="732"/>
      <c r="CF71" s="732"/>
      <c r="CG71" s="732"/>
      <c r="CH71" s="732"/>
      <c r="CI71" s="732"/>
      <c r="CJ71" s="732"/>
      <c r="CK71" s="732"/>
      <c r="CL71" s="732"/>
      <c r="CM71" s="732"/>
      <c r="CN71" s="732"/>
      <c r="CO71" s="732"/>
      <c r="CP71" s="732"/>
      <c r="CQ71" s="732"/>
      <c r="CR71" s="732"/>
      <c r="CS71" s="732"/>
      <c r="CT71" s="732"/>
      <c r="CU71" s="732"/>
      <c r="CV71" s="732"/>
      <c r="CW71" s="732"/>
      <c r="CX71" s="732"/>
      <c r="CY71" s="732"/>
      <c r="CZ71" s="732"/>
      <c r="DA71" s="732"/>
      <c r="DB71" s="732"/>
      <c r="DC71" s="732"/>
      <c r="DD71" s="732"/>
      <c r="DE71" s="732"/>
      <c r="DF71" s="732"/>
    </row>
    <row r="72" spans="1:110" s="10" customFormat="1" ht="16.5" hidden="1" thickBot="1">
      <c r="A72" s="321" t="s">
        <v>359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2"/>
      <c r="Z72" s="732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2"/>
      <c r="Z73" s="732"/>
      <c r="AA73" s="732"/>
      <c r="AB73" s="732"/>
      <c r="AC73" s="732"/>
      <c r="AD73" s="732"/>
      <c r="AE73" s="732"/>
      <c r="AF73" s="732"/>
      <c r="AG73" s="732"/>
      <c r="AH73" s="732"/>
      <c r="AI73" s="732"/>
      <c r="AJ73" s="732"/>
      <c r="AK73" s="732"/>
      <c r="AL73" s="732"/>
      <c r="AM73" s="732"/>
      <c r="AN73" s="732"/>
      <c r="AO73" s="732"/>
      <c r="AP73" s="732"/>
      <c r="AQ73" s="732"/>
      <c r="AR73" s="732"/>
      <c r="AS73" s="732"/>
      <c r="AT73" s="732"/>
      <c r="AU73" s="732"/>
      <c r="AV73" s="732"/>
      <c r="AW73" s="732"/>
      <c r="AX73" s="732"/>
      <c r="AY73" s="732"/>
      <c r="AZ73" s="732"/>
      <c r="BA73" s="732"/>
      <c r="BB73" s="732"/>
      <c r="BC73" s="732"/>
      <c r="BD73" s="732"/>
      <c r="BE73" s="732"/>
      <c r="BF73" s="732"/>
      <c r="BG73" s="732"/>
      <c r="BH73" s="732"/>
      <c r="BI73" s="732"/>
      <c r="BJ73" s="732"/>
      <c r="BK73" s="732"/>
      <c r="BL73" s="732"/>
      <c r="BM73" s="732"/>
      <c r="BN73" s="732"/>
      <c r="BO73" s="732"/>
      <c r="BP73" s="732"/>
      <c r="BQ73" s="732"/>
      <c r="BR73" s="732"/>
      <c r="BS73" s="732"/>
      <c r="BT73" s="732"/>
      <c r="BU73" s="732"/>
      <c r="BV73" s="732"/>
      <c r="BW73" s="732"/>
      <c r="BX73" s="732"/>
      <c r="BY73" s="732"/>
      <c r="BZ73" s="732"/>
      <c r="CA73" s="732"/>
      <c r="CB73" s="732"/>
      <c r="CC73" s="732"/>
      <c r="CD73" s="732"/>
      <c r="CE73" s="732"/>
      <c r="CF73" s="732"/>
      <c r="CG73" s="732"/>
      <c r="CH73" s="732"/>
      <c r="CI73" s="732"/>
      <c r="CJ73" s="732"/>
      <c r="CK73" s="732"/>
      <c r="CL73" s="732"/>
      <c r="CM73" s="732"/>
      <c r="CN73" s="732"/>
      <c r="CO73" s="732"/>
      <c r="CP73" s="732"/>
      <c r="CQ73" s="732"/>
      <c r="CR73" s="732"/>
      <c r="CS73" s="732"/>
      <c r="CT73" s="732"/>
      <c r="CU73" s="732"/>
      <c r="CV73" s="732"/>
      <c r="CW73" s="732"/>
      <c r="CX73" s="732"/>
      <c r="CY73" s="732"/>
      <c r="CZ73" s="732"/>
      <c r="DA73" s="732"/>
      <c r="DB73" s="732"/>
      <c r="DC73" s="732"/>
      <c r="DD73" s="732"/>
      <c r="DE73" s="732"/>
      <c r="DF73" s="732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2"/>
      <c r="Z74" s="732"/>
      <c r="AA74" s="732"/>
      <c r="AB74" s="732"/>
      <c r="AC74" s="732"/>
      <c r="AD74" s="732"/>
      <c r="AE74" s="732"/>
      <c r="AF74" s="732"/>
      <c r="AG74" s="732"/>
      <c r="AH74" s="732"/>
      <c r="AI74" s="732"/>
      <c r="AJ74" s="732"/>
      <c r="AK74" s="732"/>
      <c r="AL74" s="732"/>
      <c r="AM74" s="732"/>
      <c r="AN74" s="732"/>
      <c r="AO74" s="732"/>
      <c r="AP74" s="732"/>
      <c r="AQ74" s="732"/>
      <c r="AR74" s="732"/>
      <c r="AS74" s="732"/>
      <c r="AT74" s="732"/>
      <c r="AU74" s="732"/>
      <c r="AV74" s="732"/>
      <c r="AW74" s="732"/>
      <c r="AX74" s="732"/>
      <c r="AY74" s="732"/>
      <c r="AZ74" s="732"/>
      <c r="BA74" s="732"/>
      <c r="BB74" s="732"/>
      <c r="BC74" s="732"/>
      <c r="BD74" s="732"/>
      <c r="BE74" s="732"/>
      <c r="BF74" s="732"/>
      <c r="BG74" s="732"/>
      <c r="BH74" s="732"/>
      <c r="BI74" s="732"/>
      <c r="BJ74" s="732"/>
      <c r="BK74" s="732"/>
      <c r="BL74" s="732"/>
      <c r="BM74" s="732"/>
      <c r="BN74" s="732"/>
      <c r="BO74" s="732"/>
      <c r="BP74" s="732"/>
      <c r="BQ74" s="732"/>
      <c r="BR74" s="732"/>
      <c r="BS74" s="732"/>
      <c r="BT74" s="732"/>
      <c r="BU74" s="732"/>
      <c r="BV74" s="732"/>
      <c r="BW74" s="732"/>
      <c r="BX74" s="732"/>
      <c r="BY74" s="732"/>
      <c r="BZ74" s="732"/>
      <c r="CA74" s="732"/>
      <c r="CB74" s="732"/>
      <c r="CC74" s="732"/>
      <c r="CD74" s="732"/>
      <c r="CE74" s="732"/>
      <c r="CF74" s="732"/>
      <c r="CG74" s="732"/>
      <c r="CH74" s="732"/>
      <c r="CI74" s="732"/>
      <c r="CJ74" s="732"/>
      <c r="CK74" s="732"/>
      <c r="CL74" s="732"/>
      <c r="CM74" s="732"/>
      <c r="CN74" s="732"/>
      <c r="CO74" s="732"/>
      <c r="CP74" s="732"/>
      <c r="CQ74" s="732"/>
      <c r="CR74" s="732"/>
      <c r="CS74" s="732"/>
      <c r="CT74" s="732"/>
      <c r="CU74" s="732"/>
      <c r="CV74" s="732"/>
      <c r="CW74" s="732"/>
      <c r="CX74" s="732"/>
      <c r="CY74" s="732"/>
      <c r="CZ74" s="732"/>
      <c r="DA74" s="732"/>
      <c r="DB74" s="732"/>
      <c r="DC74" s="732"/>
      <c r="DD74" s="732"/>
      <c r="DE74" s="732"/>
      <c r="DF74" s="732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2"/>
      <c r="Z75" s="732"/>
      <c r="AA75" s="732"/>
      <c r="AB75" s="732"/>
      <c r="AC75" s="732"/>
      <c r="AD75" s="732"/>
      <c r="AE75" s="732"/>
      <c r="AF75" s="732"/>
      <c r="AG75" s="732"/>
      <c r="AH75" s="732"/>
      <c r="AI75" s="732"/>
      <c r="AJ75" s="732"/>
      <c r="AK75" s="732"/>
      <c r="AL75" s="732"/>
      <c r="AM75" s="732"/>
      <c r="AN75" s="732"/>
      <c r="AO75" s="732"/>
      <c r="AP75" s="732"/>
      <c r="AQ75" s="732"/>
      <c r="AR75" s="732"/>
      <c r="AS75" s="732"/>
      <c r="AT75" s="732"/>
      <c r="AU75" s="732"/>
      <c r="AV75" s="732"/>
      <c r="AW75" s="732"/>
      <c r="AX75" s="732"/>
      <c r="AY75" s="732"/>
      <c r="AZ75" s="732"/>
      <c r="BA75" s="732"/>
      <c r="BB75" s="732"/>
      <c r="BC75" s="732"/>
      <c r="BD75" s="732"/>
      <c r="BE75" s="732"/>
      <c r="BF75" s="732"/>
      <c r="BG75" s="732"/>
      <c r="BH75" s="732"/>
      <c r="BI75" s="732"/>
      <c r="BJ75" s="732"/>
      <c r="BK75" s="732"/>
      <c r="BL75" s="732"/>
      <c r="BM75" s="732"/>
      <c r="BN75" s="732"/>
      <c r="BO75" s="732"/>
      <c r="BP75" s="732"/>
      <c r="BQ75" s="732"/>
      <c r="BR75" s="732"/>
      <c r="BS75" s="732"/>
      <c r="BT75" s="732"/>
      <c r="BU75" s="732"/>
      <c r="BV75" s="732"/>
      <c r="BW75" s="732"/>
      <c r="BX75" s="732"/>
      <c r="BY75" s="732"/>
      <c r="BZ75" s="732"/>
      <c r="CA75" s="732"/>
      <c r="CB75" s="732"/>
      <c r="CC75" s="732"/>
      <c r="CD75" s="732"/>
      <c r="CE75" s="732"/>
      <c r="CF75" s="732"/>
      <c r="CG75" s="732"/>
      <c r="CH75" s="732"/>
      <c r="CI75" s="732"/>
      <c r="CJ75" s="732"/>
      <c r="CK75" s="732"/>
      <c r="CL75" s="732"/>
      <c r="CM75" s="732"/>
      <c r="CN75" s="732"/>
      <c r="CO75" s="732"/>
      <c r="CP75" s="732"/>
      <c r="CQ75" s="732"/>
      <c r="CR75" s="732"/>
      <c r="CS75" s="732"/>
      <c r="CT75" s="732"/>
      <c r="CU75" s="732"/>
      <c r="CV75" s="732"/>
      <c r="CW75" s="732"/>
      <c r="CX75" s="732"/>
      <c r="CY75" s="732"/>
      <c r="CZ75" s="732"/>
      <c r="DA75" s="732"/>
      <c r="DB75" s="732"/>
      <c r="DC75" s="732"/>
      <c r="DD75" s="732"/>
      <c r="DE75" s="732"/>
      <c r="DF75" s="732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2"/>
      <c r="Z76" s="732"/>
      <c r="AA76" s="732"/>
      <c r="AB76" s="732"/>
      <c r="AC76" s="732"/>
      <c r="AD76" s="732"/>
      <c r="AE76" s="732"/>
      <c r="AF76" s="732"/>
      <c r="AG76" s="732"/>
      <c r="AH76" s="732"/>
      <c r="AI76" s="732"/>
      <c r="AJ76" s="732"/>
      <c r="AK76" s="732"/>
      <c r="AL76" s="732"/>
      <c r="AM76" s="732"/>
      <c r="AN76" s="732"/>
      <c r="AO76" s="732"/>
      <c r="AP76" s="732"/>
      <c r="AQ76" s="732"/>
      <c r="AR76" s="732"/>
      <c r="AS76" s="732"/>
      <c r="AT76" s="732"/>
      <c r="AU76" s="732"/>
      <c r="AV76" s="732"/>
      <c r="AW76" s="732"/>
      <c r="AX76" s="732"/>
      <c r="AY76" s="732"/>
      <c r="AZ76" s="732"/>
      <c r="BA76" s="732"/>
      <c r="BB76" s="732"/>
      <c r="BC76" s="732"/>
      <c r="BD76" s="732"/>
      <c r="BE76" s="732"/>
      <c r="BF76" s="732"/>
      <c r="BG76" s="732"/>
      <c r="BH76" s="732"/>
      <c r="BI76" s="732"/>
      <c r="BJ76" s="732"/>
      <c r="BK76" s="732"/>
      <c r="BL76" s="732"/>
      <c r="BM76" s="732"/>
      <c r="BN76" s="732"/>
      <c r="BO76" s="732"/>
      <c r="BP76" s="732"/>
      <c r="BQ76" s="732"/>
      <c r="BR76" s="732"/>
      <c r="BS76" s="732"/>
      <c r="BT76" s="732"/>
      <c r="BU76" s="732"/>
      <c r="BV76" s="732"/>
      <c r="BW76" s="732"/>
      <c r="BX76" s="732"/>
      <c r="BY76" s="732"/>
      <c r="BZ76" s="732"/>
      <c r="CA76" s="732"/>
      <c r="CB76" s="732"/>
      <c r="CC76" s="732"/>
      <c r="CD76" s="732"/>
      <c r="CE76" s="732"/>
      <c r="CF76" s="732"/>
      <c r="CG76" s="732"/>
      <c r="CH76" s="732"/>
      <c r="CI76" s="732"/>
      <c r="CJ76" s="732"/>
      <c r="CK76" s="732"/>
      <c r="CL76" s="732"/>
      <c r="CM76" s="732"/>
      <c r="CN76" s="732"/>
      <c r="CO76" s="732"/>
      <c r="CP76" s="732"/>
      <c r="CQ76" s="732"/>
      <c r="CR76" s="732"/>
      <c r="CS76" s="732"/>
      <c r="CT76" s="732"/>
      <c r="CU76" s="732"/>
      <c r="CV76" s="732"/>
      <c r="CW76" s="732"/>
      <c r="CX76" s="732"/>
      <c r="CY76" s="732"/>
      <c r="CZ76" s="732"/>
      <c r="DA76" s="732"/>
      <c r="DB76" s="732"/>
      <c r="DC76" s="732"/>
      <c r="DD76" s="732"/>
      <c r="DE76" s="732"/>
      <c r="DF76" s="732"/>
    </row>
    <row r="77" spans="1:110" ht="15.75" hidden="1">
      <c r="A77" s="320" t="s">
        <v>360</v>
      </c>
      <c r="B77" s="320" t="s">
        <v>361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2"/>
      <c r="Z77" s="732"/>
      <c r="AA77" s="732"/>
      <c r="AB77" s="732"/>
      <c r="AC77" s="732"/>
      <c r="AD77" s="732"/>
      <c r="AE77" s="732"/>
      <c r="AF77" s="732"/>
      <c r="AG77" s="732"/>
      <c r="AH77" s="732"/>
      <c r="AI77" s="732"/>
      <c r="AJ77" s="732"/>
      <c r="AK77" s="732"/>
      <c r="AL77" s="732"/>
      <c r="AM77" s="732"/>
      <c r="AN77" s="732"/>
      <c r="AO77" s="732"/>
      <c r="AP77" s="732"/>
      <c r="AQ77" s="732"/>
      <c r="AR77" s="732"/>
      <c r="AS77" s="732"/>
      <c r="AT77" s="732"/>
      <c r="AU77" s="732"/>
      <c r="AV77" s="732"/>
      <c r="AW77" s="732"/>
      <c r="AX77" s="732"/>
      <c r="AY77" s="732"/>
      <c r="AZ77" s="732"/>
      <c r="BA77" s="732"/>
      <c r="BB77" s="732"/>
      <c r="BC77" s="732"/>
      <c r="BD77" s="732"/>
      <c r="BE77" s="732"/>
      <c r="BF77" s="732"/>
      <c r="BG77" s="732"/>
      <c r="BH77" s="732"/>
      <c r="BI77" s="732"/>
      <c r="BJ77" s="732"/>
      <c r="BK77" s="732"/>
      <c r="BL77" s="732"/>
      <c r="BM77" s="732"/>
      <c r="BN77" s="732"/>
      <c r="BO77" s="732"/>
      <c r="BP77" s="732"/>
      <c r="BQ77" s="732"/>
      <c r="BR77" s="732"/>
      <c r="BS77" s="732"/>
      <c r="BT77" s="732"/>
      <c r="BU77" s="732"/>
      <c r="BV77" s="732"/>
      <c r="BW77" s="732"/>
      <c r="BX77" s="732"/>
      <c r="BY77" s="732"/>
      <c r="BZ77" s="732"/>
      <c r="CA77" s="732"/>
      <c r="CB77" s="732"/>
      <c r="CC77" s="732"/>
      <c r="CD77" s="732"/>
      <c r="CE77" s="732"/>
      <c r="CF77" s="732"/>
      <c r="CG77" s="732"/>
      <c r="CH77" s="732"/>
      <c r="CI77" s="732"/>
      <c r="CJ77" s="732"/>
      <c r="CK77" s="732"/>
      <c r="CL77" s="732"/>
      <c r="CM77" s="732"/>
      <c r="CN77" s="732"/>
      <c r="CO77" s="732"/>
      <c r="CP77" s="732"/>
      <c r="CQ77" s="732"/>
      <c r="CR77" s="732"/>
      <c r="CS77" s="732"/>
      <c r="CT77" s="732"/>
      <c r="CU77" s="732"/>
      <c r="CV77" s="732"/>
      <c r="CW77" s="732"/>
      <c r="CX77" s="732"/>
      <c r="CY77" s="732"/>
      <c r="CZ77" s="732"/>
      <c r="DA77" s="732"/>
      <c r="DB77" s="732"/>
      <c r="DC77" s="732"/>
      <c r="DD77" s="732"/>
      <c r="DE77" s="732"/>
      <c r="DF77" s="732"/>
    </row>
    <row r="78" spans="1:110" ht="15.75" hidden="1">
      <c r="A78" s="320" t="s">
        <v>362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2"/>
      <c r="Z78" s="732"/>
      <c r="AA78" s="732"/>
      <c r="AB78" s="732"/>
      <c r="AC78" s="732"/>
      <c r="AD78" s="732"/>
      <c r="AE78" s="732"/>
      <c r="AF78" s="732"/>
      <c r="AG78" s="732"/>
      <c r="AH78" s="732"/>
      <c r="AI78" s="732"/>
      <c r="AJ78" s="732"/>
      <c r="AK78" s="732"/>
      <c r="AL78" s="732"/>
      <c r="AM78" s="732"/>
      <c r="AN78" s="732"/>
      <c r="AO78" s="732"/>
      <c r="AP78" s="732"/>
      <c r="AQ78" s="732"/>
      <c r="AR78" s="732"/>
      <c r="AS78" s="732"/>
      <c r="AT78" s="732"/>
      <c r="AU78" s="732"/>
      <c r="AV78" s="732"/>
      <c r="AW78" s="732"/>
      <c r="AX78" s="732"/>
      <c r="AY78" s="732"/>
      <c r="AZ78" s="732"/>
      <c r="BA78" s="732"/>
      <c r="BB78" s="732"/>
      <c r="BC78" s="732"/>
      <c r="BD78" s="732"/>
      <c r="BE78" s="732"/>
      <c r="BF78" s="732"/>
      <c r="BG78" s="732"/>
      <c r="BH78" s="732"/>
      <c r="BI78" s="732"/>
      <c r="BJ78" s="732"/>
      <c r="BK78" s="732"/>
      <c r="BL78" s="732"/>
      <c r="BM78" s="732"/>
      <c r="BN78" s="732"/>
      <c r="BO78" s="732"/>
      <c r="BP78" s="732"/>
      <c r="BQ78" s="732"/>
      <c r="BR78" s="732"/>
      <c r="BS78" s="732"/>
      <c r="BT78" s="732"/>
      <c r="BU78" s="732"/>
      <c r="BV78" s="732"/>
      <c r="BW78" s="732"/>
      <c r="BX78" s="732"/>
      <c r="BY78" s="732"/>
      <c r="BZ78" s="732"/>
      <c r="CA78" s="732"/>
      <c r="CB78" s="732"/>
      <c r="CC78" s="732"/>
      <c r="CD78" s="732"/>
      <c r="CE78" s="732"/>
      <c r="CF78" s="732"/>
      <c r="CG78" s="732"/>
      <c r="CH78" s="732"/>
      <c r="CI78" s="732"/>
      <c r="CJ78" s="732"/>
      <c r="CK78" s="732"/>
      <c r="CL78" s="732"/>
      <c r="CM78" s="732"/>
      <c r="CN78" s="732"/>
      <c r="CO78" s="732"/>
      <c r="CP78" s="732"/>
      <c r="CQ78" s="732"/>
      <c r="CR78" s="732"/>
      <c r="CS78" s="732"/>
      <c r="CT78" s="732"/>
      <c r="CU78" s="732"/>
      <c r="CV78" s="732"/>
      <c r="CW78" s="732"/>
      <c r="CX78" s="732"/>
      <c r="CY78" s="732"/>
      <c r="CZ78" s="732"/>
      <c r="DA78" s="732"/>
      <c r="DB78" s="732"/>
      <c r="DC78" s="732"/>
      <c r="DD78" s="732"/>
      <c r="DE78" s="732"/>
      <c r="DF78" s="732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2"/>
      <c r="Z79" s="732"/>
      <c r="AA79" s="732"/>
      <c r="AB79" s="732"/>
      <c r="AC79" s="732"/>
      <c r="AD79" s="732"/>
      <c r="AE79" s="732"/>
      <c r="AF79" s="732"/>
      <c r="AG79" s="732"/>
      <c r="AH79" s="732"/>
      <c r="AI79" s="732"/>
      <c r="AJ79" s="732"/>
      <c r="AK79" s="732"/>
      <c r="AL79" s="732"/>
      <c r="AM79" s="732"/>
      <c r="AN79" s="732"/>
      <c r="AO79" s="732"/>
      <c r="AP79" s="732"/>
      <c r="AQ79" s="732"/>
      <c r="AR79" s="732"/>
      <c r="AS79" s="732"/>
      <c r="AT79" s="732"/>
      <c r="AU79" s="732"/>
      <c r="AV79" s="732"/>
      <c r="AW79" s="732"/>
      <c r="AX79" s="732"/>
      <c r="AY79" s="732"/>
      <c r="AZ79" s="732"/>
      <c r="BA79" s="732"/>
      <c r="BB79" s="732"/>
      <c r="BC79" s="732"/>
      <c r="BD79" s="732"/>
      <c r="BE79" s="732"/>
      <c r="BF79" s="732"/>
      <c r="BG79" s="732"/>
      <c r="BH79" s="732"/>
      <c r="BI79" s="732"/>
      <c r="BJ79" s="732"/>
      <c r="BK79" s="732"/>
      <c r="BL79" s="732"/>
      <c r="BM79" s="732"/>
      <c r="BN79" s="732"/>
      <c r="BO79" s="732"/>
      <c r="BP79" s="732"/>
      <c r="BQ79" s="732"/>
      <c r="BR79" s="732"/>
      <c r="BS79" s="732"/>
      <c r="BT79" s="732"/>
      <c r="BU79" s="732"/>
      <c r="BV79" s="732"/>
      <c r="BW79" s="732"/>
      <c r="BX79" s="732"/>
      <c r="BY79" s="732"/>
      <c r="BZ79" s="732"/>
      <c r="CA79" s="732"/>
      <c r="CB79" s="732"/>
      <c r="CC79" s="732"/>
      <c r="CD79" s="732"/>
      <c r="CE79" s="732"/>
      <c r="CF79" s="732"/>
      <c r="CG79" s="732"/>
      <c r="CH79" s="732"/>
      <c r="CI79" s="732"/>
      <c r="CJ79" s="732"/>
      <c r="CK79" s="732"/>
      <c r="CL79" s="732"/>
      <c r="CM79" s="732"/>
      <c r="CN79" s="732"/>
      <c r="CO79" s="732"/>
      <c r="CP79" s="732"/>
      <c r="CQ79" s="732"/>
      <c r="CR79" s="732"/>
      <c r="CS79" s="732"/>
      <c r="CT79" s="732"/>
      <c r="CU79" s="732"/>
      <c r="CV79" s="732"/>
      <c r="CW79" s="732"/>
      <c r="CX79" s="732"/>
      <c r="CY79" s="732"/>
      <c r="CZ79" s="732"/>
      <c r="DA79" s="732"/>
      <c r="DB79" s="732"/>
      <c r="DC79" s="732"/>
      <c r="DD79" s="732"/>
      <c r="DE79" s="732"/>
      <c r="DF79" s="732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2"/>
      <c r="Z80" s="732"/>
      <c r="AA80" s="732"/>
      <c r="AB80" s="732"/>
      <c r="AC80" s="732"/>
      <c r="AD80" s="732"/>
      <c r="AE80" s="732"/>
      <c r="AF80" s="732"/>
      <c r="AG80" s="732"/>
      <c r="AH80" s="732"/>
      <c r="AI80" s="732"/>
      <c r="AJ80" s="732"/>
      <c r="AK80" s="732"/>
      <c r="AL80" s="732"/>
      <c r="AM80" s="732"/>
      <c r="AN80" s="732"/>
      <c r="AO80" s="732"/>
      <c r="AP80" s="732"/>
      <c r="AQ80" s="732"/>
      <c r="AR80" s="732"/>
      <c r="AS80" s="732"/>
      <c r="AT80" s="732"/>
      <c r="AU80" s="732"/>
      <c r="AV80" s="732"/>
      <c r="AW80" s="732"/>
      <c r="AX80" s="732"/>
      <c r="AY80" s="732"/>
      <c r="AZ80" s="732"/>
      <c r="BA80" s="732"/>
      <c r="BB80" s="732"/>
      <c r="BC80" s="732"/>
      <c r="BD80" s="732"/>
      <c r="BE80" s="732"/>
      <c r="BF80" s="732"/>
      <c r="BG80" s="732"/>
      <c r="BH80" s="732"/>
      <c r="BI80" s="732"/>
      <c r="BJ80" s="732"/>
      <c r="BK80" s="732"/>
      <c r="BL80" s="732"/>
      <c r="BM80" s="732"/>
      <c r="BN80" s="732"/>
      <c r="BO80" s="732"/>
      <c r="BP80" s="732"/>
      <c r="BQ80" s="732"/>
      <c r="BR80" s="732"/>
      <c r="BS80" s="732"/>
      <c r="BT80" s="732"/>
      <c r="BU80" s="732"/>
      <c r="BV80" s="732"/>
      <c r="BW80" s="732"/>
      <c r="BX80" s="732"/>
      <c r="BY80" s="732"/>
      <c r="BZ80" s="732"/>
      <c r="CA80" s="732"/>
      <c r="CB80" s="732"/>
      <c r="CC80" s="732"/>
      <c r="CD80" s="732"/>
      <c r="CE80" s="732"/>
      <c r="CF80" s="732"/>
      <c r="CG80" s="732"/>
      <c r="CH80" s="732"/>
      <c r="CI80" s="732"/>
      <c r="CJ80" s="732"/>
      <c r="CK80" s="732"/>
      <c r="CL80" s="732"/>
      <c r="CM80" s="732"/>
      <c r="CN80" s="732"/>
      <c r="CO80" s="732"/>
      <c r="CP80" s="732"/>
      <c r="CQ80" s="732"/>
      <c r="CR80" s="732"/>
      <c r="CS80" s="732"/>
      <c r="CT80" s="732"/>
      <c r="CU80" s="732"/>
      <c r="CV80" s="732"/>
      <c r="CW80" s="732"/>
      <c r="CX80" s="732"/>
      <c r="CY80" s="732"/>
      <c r="CZ80" s="732"/>
      <c r="DA80" s="732"/>
      <c r="DB80" s="732"/>
      <c r="DC80" s="732"/>
      <c r="DD80" s="732"/>
      <c r="DE80" s="732"/>
      <c r="DF80" s="732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360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362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360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362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363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364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365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305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306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307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308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309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310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311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312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313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314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315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316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317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318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319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320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366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322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323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324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325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326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327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328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329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330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331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332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333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334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335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336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337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338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339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340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342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343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344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345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346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367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348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349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350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354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355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368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365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305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306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307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308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309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310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311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312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313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314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315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316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317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318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319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320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366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322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323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324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325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326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327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328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329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330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331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332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333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334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335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336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337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338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339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340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342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343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344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345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346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367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348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349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350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354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355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369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370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371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372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373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374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375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376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377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378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379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380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381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348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382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311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312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313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314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315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316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317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318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319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320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366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322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323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324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325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326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327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328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329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330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331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332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333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334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335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336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337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338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339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340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342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343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344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345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346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367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348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349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350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351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352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354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383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311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312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313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314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315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316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317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318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319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320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366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322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323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324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325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326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327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328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329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330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331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332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333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334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335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336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337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338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339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340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342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343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344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345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346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367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348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349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350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351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352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354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5"/>
      <c r="D2336" s="775"/>
      <c r="E2336" s="775"/>
      <c r="F2336" s="775"/>
      <c r="G2336" s="775"/>
      <c r="H2336" s="775"/>
      <c r="I2336" s="775"/>
      <c r="J2336" s="775"/>
      <c r="K2336" s="775"/>
      <c r="L2336" s="775"/>
      <c r="M2336" s="775"/>
      <c r="N2336" s="775"/>
      <c r="O2336" s="266"/>
      <c r="P2336" s="266"/>
      <c r="Q2336" s="776"/>
      <c r="R2336" s="732"/>
      <c r="S2336" s="732"/>
      <c r="T2336" s="732"/>
      <c r="U2336" s="732"/>
      <c r="V2336" s="732"/>
      <c r="W2336" s="732"/>
      <c r="X2336" s="732"/>
    </row>
    <row r="2337" spans="1:26">
      <c r="B2337" s="323"/>
      <c r="C2337" s="775">
        <v>39814</v>
      </c>
      <c r="D2337" s="775">
        <v>39845</v>
      </c>
      <c r="E2337" s="775">
        <v>39873</v>
      </c>
      <c r="F2337" s="775">
        <v>39904</v>
      </c>
      <c r="G2337" s="775">
        <v>39934</v>
      </c>
      <c r="H2337" s="775">
        <v>39965</v>
      </c>
      <c r="I2337" s="775">
        <v>39995</v>
      </c>
      <c r="J2337" s="775">
        <v>40026</v>
      </c>
      <c r="K2337" s="775">
        <v>40057</v>
      </c>
      <c r="L2337" s="775">
        <v>40087</v>
      </c>
      <c r="M2337" s="775">
        <v>40118</v>
      </c>
      <c r="N2337" s="775">
        <v>40148</v>
      </c>
      <c r="O2337" s="267"/>
      <c r="P2337" s="267"/>
      <c r="Q2337" s="777"/>
      <c r="R2337" s="732"/>
      <c r="S2337" s="732"/>
      <c r="T2337" s="732"/>
      <c r="U2337" s="732"/>
      <c r="V2337" s="732"/>
      <c r="W2337" s="732"/>
      <c r="X2337" s="732"/>
      <c r="Y2337" s="732"/>
      <c r="Z2337" s="732"/>
    </row>
    <row r="2338" spans="1:26" ht="21.75" customHeight="1">
      <c r="A2338" s="323"/>
      <c r="B2338" s="323"/>
      <c r="C2338" s="774"/>
      <c r="D2338" s="774"/>
      <c r="E2338" s="774"/>
      <c r="F2338" s="774"/>
      <c r="G2338" s="774"/>
      <c r="H2338" s="211" t="s">
        <v>384</v>
      </c>
      <c r="I2338" s="214"/>
      <c r="J2338" s="774"/>
      <c r="K2338" s="774"/>
      <c r="L2338" s="774"/>
      <c r="M2338" s="774"/>
      <c r="N2338" s="774"/>
      <c r="Q2338" s="732"/>
      <c r="R2338" s="732"/>
      <c r="S2338" s="732"/>
      <c r="T2338" s="732"/>
      <c r="U2338" s="732"/>
      <c r="V2338" s="732"/>
      <c r="W2338" s="732"/>
      <c r="X2338" s="732"/>
      <c r="Y2338" s="732"/>
      <c r="Z2338" s="732"/>
    </row>
    <row r="2339" spans="1:26" ht="13.5" thickBot="1">
      <c r="A2339" s="323"/>
      <c r="B2339" s="323"/>
      <c r="C2339" s="774"/>
      <c r="D2339" s="774"/>
      <c r="E2339" s="774"/>
      <c r="F2339" s="774"/>
      <c r="G2339" s="774"/>
      <c r="H2339" s="774"/>
      <c r="I2339" s="774"/>
      <c r="J2339" s="774"/>
      <c r="K2339" s="774"/>
      <c r="L2339" s="774"/>
      <c r="M2339" s="774"/>
      <c r="N2339" s="774"/>
      <c r="Q2339" s="732"/>
      <c r="R2339" s="732"/>
      <c r="S2339" s="732"/>
      <c r="T2339" s="732"/>
      <c r="U2339" s="732"/>
      <c r="V2339" s="732"/>
      <c r="W2339" s="732"/>
      <c r="X2339" s="732"/>
      <c r="Y2339" s="732"/>
      <c r="Z2339" s="732"/>
    </row>
    <row r="2340" spans="1:26" s="219" customFormat="1" ht="27.75" customHeight="1" thickTop="1" thickBot="1">
      <c r="A2340" s="324"/>
      <c r="B2340" s="325"/>
      <c r="C2340" s="268" t="s">
        <v>280</v>
      </c>
      <c r="D2340" s="268" t="s">
        <v>281</v>
      </c>
      <c r="E2340" s="268" t="s">
        <v>282</v>
      </c>
      <c r="F2340" s="268" t="s">
        <v>283</v>
      </c>
      <c r="G2340" s="268" t="s">
        <v>284</v>
      </c>
      <c r="H2340" s="268" t="s">
        <v>285</v>
      </c>
      <c r="I2340" s="268" t="s">
        <v>286</v>
      </c>
      <c r="J2340" s="268" t="s">
        <v>287</v>
      </c>
      <c r="K2340" s="268" t="s">
        <v>288</v>
      </c>
      <c r="L2340" s="268" t="s">
        <v>289</v>
      </c>
      <c r="M2340" s="268" t="s">
        <v>290</v>
      </c>
      <c r="N2340" s="269" t="s">
        <v>291</v>
      </c>
      <c r="O2340" s="226" t="s">
        <v>385</v>
      </c>
      <c r="P2340" s="270" t="s">
        <v>293</v>
      </c>
      <c r="Q2340" s="230" t="s">
        <v>386</v>
      </c>
      <c r="R2340" s="778"/>
      <c r="S2340" s="778"/>
      <c r="T2340" s="778"/>
      <c r="U2340" s="778"/>
      <c r="V2340" s="778"/>
      <c r="W2340" s="778"/>
      <c r="X2340" s="778"/>
      <c r="Y2340" s="778"/>
      <c r="Z2340" s="778"/>
    </row>
    <row r="2341" spans="1:26" s="213" customFormat="1" ht="16.5" thickTop="1">
      <c r="A2341" s="326" t="s">
        <v>296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297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304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2"/>
      <c r="Z2343" s="732"/>
    </row>
    <row r="2344" spans="1:26" s="219" customFormat="1" ht="15.75">
      <c r="A2344" s="330" t="s">
        <v>365</v>
      </c>
      <c r="B2344" s="331"/>
      <c r="C2344" s="779"/>
      <c r="D2344" s="779"/>
      <c r="E2344" s="779"/>
      <c r="F2344" s="779"/>
      <c r="G2344" s="779"/>
      <c r="H2344" s="779"/>
      <c r="I2344" s="779"/>
      <c r="J2344" s="779"/>
      <c r="K2344" s="779"/>
      <c r="L2344" s="779"/>
      <c r="M2344" s="779"/>
      <c r="N2344" s="780"/>
      <c r="O2344" s="273"/>
      <c r="P2344" s="274">
        <f t="shared" si="44"/>
        <v>0</v>
      </c>
      <c r="Q2344" s="275">
        <f t="shared" si="45"/>
        <v>0</v>
      </c>
      <c r="R2344" s="778"/>
      <c r="S2344" s="778"/>
      <c r="T2344" s="778"/>
      <c r="U2344" s="778"/>
      <c r="V2344" s="778"/>
      <c r="W2344" s="778"/>
      <c r="X2344" s="778"/>
      <c r="Y2344" s="778"/>
      <c r="Z2344" s="778"/>
    </row>
    <row r="2345" spans="1:26" s="219" customFormat="1" ht="18.75" customHeight="1">
      <c r="A2345" s="781" t="s">
        <v>387</v>
      </c>
      <c r="B2345" s="782" t="s">
        <v>388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78"/>
      <c r="S2345" s="778"/>
      <c r="T2345" s="778"/>
      <c r="U2345" s="778"/>
      <c r="V2345" s="778"/>
      <c r="W2345" s="778"/>
      <c r="X2345" s="778"/>
      <c r="Y2345" s="778"/>
      <c r="Z2345" s="778"/>
    </row>
    <row r="2346" spans="1:26" s="219" customFormat="1" ht="18.75" customHeight="1">
      <c r="A2346" s="781" t="s">
        <v>389</v>
      </c>
      <c r="B2346" s="782" t="s">
        <v>388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78"/>
      <c r="S2346" s="778"/>
      <c r="T2346" s="778"/>
      <c r="U2346" s="778"/>
      <c r="V2346" s="778"/>
      <c r="W2346" s="778"/>
      <c r="X2346" s="778"/>
      <c r="Y2346" s="778"/>
      <c r="Z2346" s="778"/>
    </row>
    <row r="2347" spans="1:26" s="219" customFormat="1" ht="18.75" customHeight="1">
      <c r="A2347" s="781" t="s">
        <v>390</v>
      </c>
      <c r="B2347" s="782" t="s">
        <v>388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78"/>
      <c r="S2347" s="778"/>
      <c r="T2347" s="778"/>
      <c r="U2347" s="778"/>
      <c r="V2347" s="778"/>
      <c r="W2347" s="778"/>
      <c r="X2347" s="778"/>
      <c r="Y2347" s="778"/>
      <c r="Z2347" s="778"/>
    </row>
    <row r="2348" spans="1:26" s="219" customFormat="1" ht="18.75" customHeight="1" thickBot="1">
      <c r="A2348" s="781" t="s">
        <v>391</v>
      </c>
      <c r="B2348" s="782" t="s">
        <v>388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78"/>
      <c r="S2348" s="778"/>
      <c r="T2348" s="778"/>
      <c r="U2348" s="778"/>
      <c r="V2348" s="778"/>
      <c r="W2348" s="778"/>
      <c r="X2348" s="778"/>
      <c r="Y2348" s="778"/>
      <c r="Z2348" s="778"/>
    </row>
    <row r="2349" spans="1:26" s="220" customFormat="1" ht="21.75" customHeight="1" thickTop="1" thickBot="1">
      <c r="A2349" s="379" t="s">
        <v>309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5"/>
      <c r="D2350" s="775"/>
      <c r="E2350" s="775"/>
      <c r="F2350" s="775"/>
      <c r="G2350" s="775"/>
      <c r="H2350" s="775"/>
      <c r="I2350" s="775"/>
      <c r="J2350" s="775"/>
      <c r="K2350" s="775"/>
      <c r="L2350" s="775"/>
      <c r="M2350" s="775"/>
      <c r="N2350" s="775"/>
      <c r="O2350" s="267"/>
      <c r="P2350" s="274">
        <f t="shared" si="44"/>
        <v>0</v>
      </c>
      <c r="Q2350" s="275">
        <f t="shared" si="45"/>
        <v>0</v>
      </c>
      <c r="R2350" s="732"/>
      <c r="S2350" s="732"/>
      <c r="T2350" s="732"/>
      <c r="U2350" s="732"/>
      <c r="V2350" s="732"/>
      <c r="W2350" s="732"/>
      <c r="X2350" s="732"/>
      <c r="Y2350" s="732"/>
      <c r="Z2350" s="732"/>
    </row>
    <row r="2351" spans="1:26" s="10" customFormat="1" ht="17.25" thickTop="1" thickBot="1">
      <c r="A2351" s="334" t="s">
        <v>354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2"/>
      <c r="Z2351" s="732"/>
    </row>
    <row r="2352" spans="1:26" s="10" customFormat="1" ht="17.25" thickTop="1" thickBot="1">
      <c r="A2352" s="336" t="s">
        <v>355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2"/>
      <c r="Z2352" s="732"/>
    </row>
    <row r="2353" spans="1:26" s="10" customFormat="1" ht="19.5" customHeight="1" thickBot="1">
      <c r="A2353" s="337" t="s">
        <v>356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2"/>
      <c r="Z2353" s="732"/>
    </row>
    <row r="2354" spans="1:26" ht="13.5" thickTop="1">
      <c r="A2354" s="323"/>
      <c r="B2354" s="323"/>
      <c r="C2354" s="774"/>
      <c r="D2354" s="774"/>
      <c r="E2354" s="774"/>
      <c r="F2354" s="774"/>
      <c r="G2354" s="774"/>
      <c r="H2354" s="774"/>
      <c r="I2354" s="774"/>
      <c r="J2354" s="774"/>
      <c r="K2354" s="774"/>
      <c r="L2354" s="774"/>
      <c r="M2354" s="774"/>
      <c r="N2354" s="774"/>
      <c r="O2354" s="774"/>
      <c r="P2354" s="774"/>
      <c r="Q2354" s="774"/>
      <c r="R2354" s="774"/>
      <c r="S2354" s="774"/>
      <c r="T2354" s="10"/>
      <c r="U2354" s="732"/>
      <c r="V2354" s="732"/>
      <c r="W2354" s="732"/>
      <c r="X2354" s="732"/>
      <c r="Y2354" s="732"/>
      <c r="Z2354" s="732"/>
    </row>
    <row r="2355" spans="1:26" ht="21.75" customHeight="1">
      <c r="A2355" s="323"/>
      <c r="B2355" s="323"/>
      <c r="C2355" s="774"/>
      <c r="D2355" s="774"/>
      <c r="E2355" s="774"/>
      <c r="F2355" s="774"/>
      <c r="G2355" s="774"/>
      <c r="H2355" s="211" t="s">
        <v>392</v>
      </c>
      <c r="I2355" s="214"/>
      <c r="J2355" s="774"/>
      <c r="K2355" s="774"/>
      <c r="L2355" s="774"/>
      <c r="M2355" s="774"/>
      <c r="N2355" s="774"/>
      <c r="Q2355" s="732"/>
      <c r="R2355" s="732"/>
      <c r="S2355" s="732"/>
      <c r="T2355" s="732"/>
      <c r="U2355" s="732"/>
      <c r="V2355" s="732"/>
      <c r="W2355" s="732"/>
      <c r="X2355" s="732"/>
      <c r="Y2355" s="732"/>
      <c r="Z2355" s="732"/>
    </row>
    <row r="2356" spans="1:26" ht="13.5" thickBot="1">
      <c r="A2356" s="323"/>
      <c r="B2356" s="323"/>
      <c r="C2356" s="774"/>
      <c r="D2356" s="774"/>
      <c r="E2356" s="774"/>
      <c r="F2356" s="774"/>
      <c r="G2356" s="774"/>
      <c r="H2356" s="774"/>
      <c r="I2356" s="774"/>
      <c r="J2356" s="774"/>
      <c r="K2356" s="774"/>
      <c r="L2356" s="774"/>
      <c r="M2356" s="774"/>
      <c r="N2356" s="774"/>
      <c r="Q2356" s="732"/>
      <c r="R2356" s="732"/>
      <c r="S2356" s="732"/>
      <c r="T2356" s="732"/>
      <c r="U2356" s="732"/>
      <c r="V2356" s="732"/>
      <c r="W2356" s="732"/>
      <c r="X2356" s="732"/>
      <c r="Y2356" s="732"/>
      <c r="Z2356" s="732"/>
    </row>
    <row r="2357" spans="1:26" s="219" customFormat="1" ht="27.75" customHeight="1" thickTop="1" thickBot="1">
      <c r="A2357" s="324"/>
      <c r="B2357" s="325"/>
      <c r="C2357" s="268" t="s">
        <v>280</v>
      </c>
      <c r="D2357" s="268" t="s">
        <v>281</v>
      </c>
      <c r="E2357" s="268" t="s">
        <v>282</v>
      </c>
      <c r="F2357" s="268" t="s">
        <v>283</v>
      </c>
      <c r="G2357" s="268" t="s">
        <v>284</v>
      </c>
      <c r="H2357" s="268" t="s">
        <v>285</v>
      </c>
      <c r="I2357" s="268" t="s">
        <v>286</v>
      </c>
      <c r="J2357" s="268" t="s">
        <v>287</v>
      </c>
      <c r="K2357" s="268" t="s">
        <v>288</v>
      </c>
      <c r="L2357" s="268" t="s">
        <v>289</v>
      </c>
      <c r="M2357" s="268" t="s">
        <v>290</v>
      </c>
      <c r="N2357" s="269" t="s">
        <v>291</v>
      </c>
      <c r="O2357" s="226" t="s">
        <v>385</v>
      </c>
      <c r="P2357" s="270" t="s">
        <v>293</v>
      </c>
      <c r="Q2357" s="230" t="s">
        <v>386</v>
      </c>
      <c r="R2357" s="778"/>
      <c r="S2357" s="778"/>
      <c r="T2357" s="778"/>
      <c r="U2357" s="778"/>
      <c r="V2357" s="778"/>
      <c r="W2357" s="778"/>
      <c r="X2357" s="778"/>
      <c r="Y2357" s="778"/>
      <c r="Z2357" s="778"/>
    </row>
    <row r="2358" spans="1:26" s="213" customFormat="1" ht="16.5" thickTop="1">
      <c r="A2358" s="326" t="s">
        <v>296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297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304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2"/>
      <c r="Z2360" s="732"/>
    </row>
    <row r="2361" spans="1:26" s="219" customFormat="1" ht="15.75">
      <c r="A2361" s="330" t="s">
        <v>365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78"/>
      <c r="S2361" s="778"/>
      <c r="T2361" s="778"/>
      <c r="U2361" s="778"/>
      <c r="V2361" s="778"/>
      <c r="W2361" s="778"/>
      <c r="X2361" s="778"/>
      <c r="Y2361" s="778"/>
      <c r="Z2361" s="778"/>
    </row>
    <row r="2362" spans="1:26" s="219" customFormat="1" ht="18.75" customHeight="1">
      <c r="A2362" s="781" t="s">
        <v>387</v>
      </c>
      <c r="B2362" s="782" t="s">
        <v>388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78"/>
      <c r="S2362" s="778"/>
      <c r="T2362" s="778"/>
      <c r="U2362" s="778"/>
      <c r="V2362" s="778"/>
      <c r="W2362" s="778"/>
      <c r="X2362" s="778"/>
      <c r="Y2362" s="778"/>
      <c r="Z2362" s="778"/>
    </row>
    <row r="2363" spans="1:26" s="219" customFormat="1" ht="18.75" customHeight="1">
      <c r="A2363" s="781" t="s">
        <v>389</v>
      </c>
      <c r="B2363" s="782" t="s">
        <v>388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78"/>
      <c r="S2363" s="778"/>
      <c r="T2363" s="778"/>
      <c r="U2363" s="778"/>
      <c r="V2363" s="778"/>
      <c r="W2363" s="778"/>
      <c r="X2363" s="778"/>
      <c r="Y2363" s="778"/>
      <c r="Z2363" s="778"/>
    </row>
    <row r="2364" spans="1:26" s="219" customFormat="1" ht="18.75" customHeight="1">
      <c r="A2364" s="781" t="s">
        <v>390</v>
      </c>
      <c r="B2364" s="782" t="s">
        <v>388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78"/>
      <c r="S2364" s="778"/>
      <c r="T2364" s="778"/>
      <c r="U2364" s="778"/>
      <c r="V2364" s="778"/>
      <c r="W2364" s="778"/>
      <c r="X2364" s="778"/>
      <c r="Y2364" s="778"/>
      <c r="Z2364" s="778"/>
    </row>
    <row r="2365" spans="1:26" s="219" customFormat="1" ht="18.75" customHeight="1" thickBot="1">
      <c r="A2365" s="781" t="s">
        <v>391</v>
      </c>
      <c r="B2365" s="782" t="s">
        <v>388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78"/>
      <c r="S2365" s="778"/>
      <c r="T2365" s="778"/>
      <c r="U2365" s="778"/>
      <c r="V2365" s="778"/>
      <c r="W2365" s="778"/>
      <c r="X2365" s="778"/>
      <c r="Y2365" s="778"/>
      <c r="Z2365" s="778"/>
    </row>
    <row r="2366" spans="1:26" s="220" customFormat="1" ht="21.75" customHeight="1" thickTop="1" thickBot="1">
      <c r="A2366" s="332" t="s">
        <v>309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5"/>
      <c r="D2367" s="775"/>
      <c r="E2367" s="775"/>
      <c r="F2367" s="775"/>
      <c r="G2367" s="775"/>
      <c r="H2367" s="775"/>
      <c r="I2367" s="775"/>
      <c r="J2367" s="775"/>
      <c r="K2367" s="775"/>
      <c r="L2367" s="775"/>
      <c r="M2367" s="775"/>
      <c r="N2367" s="775"/>
      <c r="O2367" s="267"/>
      <c r="P2367" s="274">
        <f t="shared" si="49"/>
        <v>0</v>
      </c>
      <c r="Q2367" s="275">
        <f t="shared" si="50"/>
        <v>0</v>
      </c>
      <c r="R2367" s="732"/>
      <c r="S2367" s="732"/>
      <c r="T2367" s="732"/>
      <c r="U2367" s="732"/>
      <c r="V2367" s="732"/>
      <c r="W2367" s="732"/>
      <c r="X2367" s="732"/>
      <c r="Y2367" s="732"/>
      <c r="Z2367" s="732"/>
    </row>
    <row r="2368" spans="1:26" s="10" customFormat="1" ht="17.25" thickTop="1" thickBot="1">
      <c r="A2368" s="334" t="s">
        <v>354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2"/>
      <c r="Z2368" s="732"/>
    </row>
    <row r="2369" spans="1:26" s="10" customFormat="1" ht="17.25" thickTop="1" thickBot="1">
      <c r="A2369" s="336" t="s">
        <v>355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2"/>
      <c r="Z2369" s="732"/>
    </row>
    <row r="2370" spans="1:26" s="10" customFormat="1" ht="19.5" customHeight="1" thickBot="1">
      <c r="A2370" s="337" t="s">
        <v>356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2"/>
      <c r="Z2370" s="732"/>
    </row>
    <row r="2371" spans="1:26" ht="13.5" thickTop="1">
      <c r="C2371" s="774"/>
      <c r="D2371" s="774"/>
      <c r="E2371" s="774"/>
      <c r="F2371" s="774"/>
      <c r="G2371" s="774"/>
      <c r="H2371" s="774"/>
      <c r="I2371" s="774"/>
      <c r="J2371" s="774"/>
      <c r="K2371" s="774"/>
      <c r="L2371" s="774"/>
      <c r="M2371" s="774"/>
      <c r="N2371" s="774"/>
      <c r="Q2371" s="732"/>
      <c r="R2371" s="732"/>
      <c r="S2371" s="732"/>
      <c r="T2371" s="732"/>
      <c r="U2371" s="732"/>
      <c r="V2371" s="732"/>
      <c r="W2371" s="732"/>
      <c r="X2371" s="732"/>
      <c r="Y2371" s="732"/>
      <c r="Z2371" s="732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zoomScaleSheetLayoutView="100" workbookViewId="0">
      <selection activeCell="C13" sqref="C13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68"/>
      <c r="C5" s="668"/>
      <c r="D5" s="668"/>
      <c r="E5" s="668"/>
      <c r="F5" s="668"/>
      <c r="G5" s="668"/>
      <c r="H5" s="668"/>
      <c r="I5" s="668"/>
      <c r="J5" s="668"/>
      <c r="K5" s="668"/>
    </row>
    <row r="6" spans="2:13" ht="27">
      <c r="B6" s="668"/>
      <c r="C6" s="668"/>
      <c r="D6" s="668"/>
      <c r="E6" s="668" t="s">
        <v>393</v>
      </c>
      <c r="F6" s="669"/>
      <c r="G6" s="668"/>
      <c r="H6" s="670">
        <f>Elect!A1</f>
        <v>44958</v>
      </c>
      <c r="I6" s="668"/>
      <c r="J6" s="668"/>
      <c r="K6" s="668"/>
    </row>
    <row r="9" spans="2:13" ht="13.5" customHeight="1">
      <c r="B9" s="951" t="s">
        <v>394</v>
      </c>
      <c r="C9" s="952"/>
      <c r="D9" s="952"/>
      <c r="E9" s="952"/>
      <c r="F9" s="952"/>
      <c r="G9" s="952"/>
      <c r="H9" s="952"/>
      <c r="I9" s="952"/>
      <c r="J9" s="952"/>
      <c r="K9" s="952"/>
      <c r="L9" s="952"/>
      <c r="M9" s="952"/>
    </row>
    <row r="10" spans="2:13" ht="13.5" customHeight="1" thickBot="1">
      <c r="B10" s="953"/>
      <c r="C10" s="954"/>
      <c r="D10" s="954"/>
      <c r="E10" s="954"/>
      <c r="F10" s="954"/>
      <c r="G10" s="954"/>
      <c r="H10" s="954"/>
      <c r="I10" s="954"/>
      <c r="J10" s="954"/>
      <c r="K10" s="954"/>
      <c r="L10" s="954"/>
      <c r="M10" s="954"/>
    </row>
    <row r="11" spans="2:13" ht="16.5" thickBot="1">
      <c r="B11" s="964" t="s">
        <v>395</v>
      </c>
      <c r="C11" s="964"/>
      <c r="D11" s="964" t="s">
        <v>396</v>
      </c>
      <c r="E11" s="964"/>
      <c r="F11" s="964" t="s">
        <v>397</v>
      </c>
      <c r="G11" s="964"/>
      <c r="H11" s="962" t="s">
        <v>398</v>
      </c>
      <c r="I11" s="963"/>
      <c r="J11" s="962" t="s">
        <v>399</v>
      </c>
      <c r="K11" s="963"/>
      <c r="L11" s="962" t="s">
        <v>400</v>
      </c>
      <c r="M11" s="963"/>
    </row>
    <row r="12" spans="2:13" ht="16.5" thickBot="1">
      <c r="B12" s="671" t="s">
        <v>401</v>
      </c>
      <c r="C12" s="671" t="s">
        <v>402</v>
      </c>
      <c r="D12" s="671" t="s">
        <v>401</v>
      </c>
      <c r="E12" s="671" t="s">
        <v>402</v>
      </c>
      <c r="F12" s="671" t="s">
        <v>401</v>
      </c>
      <c r="G12" s="671" t="s">
        <v>402</v>
      </c>
      <c r="H12" s="671" t="s">
        <v>401</v>
      </c>
      <c r="I12" s="671" t="s">
        <v>402</v>
      </c>
      <c r="J12" s="671" t="s">
        <v>401</v>
      </c>
      <c r="K12" s="671" t="s">
        <v>402</v>
      </c>
      <c r="L12" s="671" t="s">
        <v>401</v>
      </c>
      <c r="M12" s="671" t="s">
        <v>402</v>
      </c>
    </row>
    <row r="13" spans="2:13">
      <c r="B13" s="672">
        <f>Elect!AN37</f>
        <v>118516.83333333512</v>
      </c>
      <c r="C13" s="758">
        <f>(B13*1.15)+(2879*60*0.72)</f>
        <v>260667.15833333536</v>
      </c>
      <c r="D13" s="672">
        <f>Elect!J37</f>
        <v>196305.66666659713</v>
      </c>
      <c r="E13" s="758">
        <f>(D13*1.15)+(573*60)+10000</f>
        <v>270131.51666658669</v>
      </c>
      <c r="F13" s="672">
        <f>Elect!BI37</f>
        <v>331397.22916666459</v>
      </c>
      <c r="G13" s="758">
        <f>(F13*1.15)</f>
        <v>381106.81354166428</v>
      </c>
      <c r="H13" s="672">
        <f>Elect!Q37</f>
        <v>14450.000000010186</v>
      </c>
      <c r="I13" s="758">
        <f>H13*1.6+1500</f>
        <v>24620.000000016298</v>
      </c>
      <c r="J13" s="799">
        <f>B13+D13+F13+H13</f>
        <v>660669.72916660714</v>
      </c>
      <c r="K13" s="759">
        <f>G13+E13+C13+I13</f>
        <v>936525.48854160262</v>
      </c>
      <c r="L13" s="799">
        <f>B13+F13</f>
        <v>449914.06249999971</v>
      </c>
      <c r="M13" s="760">
        <f>C13+G13</f>
        <v>641773.97187499958</v>
      </c>
    </row>
    <row r="16" spans="2:13" ht="0.75" customHeight="1" thickBot="1">
      <c r="K16">
        <f>K18</f>
        <v>1254034.6105416028</v>
      </c>
    </row>
    <row r="17" spans="4:11" ht="13.5" customHeight="1">
      <c r="E17" s="955" t="s">
        <v>403</v>
      </c>
      <c r="F17" s="956"/>
      <c r="J17" s="756" t="s">
        <v>404</v>
      </c>
      <c r="K17" s="757">
        <f>K13/J13</f>
        <v>1.4175395771847608</v>
      </c>
    </row>
    <row r="18" spans="4:11" ht="34.5" customHeight="1" thickBot="1">
      <c r="E18" s="957"/>
      <c r="F18" s="958"/>
      <c r="J18" s="756" t="s">
        <v>405</v>
      </c>
      <c r="K18" s="761">
        <f>K13+F20+F27+G35</f>
        <v>1254034.6105416028</v>
      </c>
    </row>
    <row r="19" spans="4:11" ht="13.5" thickBot="1">
      <c r="E19" s="674" t="s">
        <v>406</v>
      </c>
      <c r="F19" s="674" t="s">
        <v>402</v>
      </c>
    </row>
    <row r="20" spans="4:11" ht="13.5" thickBot="1">
      <c r="E20" s="959">
        <f>Water!H38</f>
        <v>9246.3599999999988</v>
      </c>
      <c r="F20" s="961">
        <f>E20*10</f>
        <v>92463.599999999991</v>
      </c>
    </row>
    <row r="21" spans="4:11" ht="13.5" thickBot="1">
      <c r="E21" s="960"/>
      <c r="F21" s="961"/>
    </row>
    <row r="23" spans="4:11" ht="13.5" thickBot="1"/>
    <row r="24" spans="4:11" ht="13.5" thickBot="1">
      <c r="E24" s="965" t="s">
        <v>407</v>
      </c>
      <c r="F24" s="965"/>
    </row>
    <row r="25" spans="4:11" ht="11.25" customHeight="1" thickBot="1">
      <c r="E25" s="965"/>
      <c r="F25" s="965"/>
      <c r="H25" s="83"/>
    </row>
    <row r="26" spans="4:11" ht="13.5" thickBot="1">
      <c r="E26" s="674" t="s">
        <v>406</v>
      </c>
      <c r="F26" s="674" t="s">
        <v>402</v>
      </c>
    </row>
    <row r="27" spans="4:11" ht="13.5" thickBot="1">
      <c r="E27" s="959">
        <f>Gas!C38</f>
        <v>44687.480000000018</v>
      </c>
      <c r="F27" s="961">
        <f>E27*3.9</f>
        <v>174281.17200000008</v>
      </c>
    </row>
    <row r="28" spans="4:11" ht="13.5" thickBot="1">
      <c r="E28" s="960"/>
      <c r="F28" s="961"/>
    </row>
    <row r="30" spans="4:11" ht="13.5" thickBot="1"/>
    <row r="31" spans="4:11" ht="20.25">
      <c r="D31" s="966" t="s">
        <v>408</v>
      </c>
      <c r="E31" s="967"/>
      <c r="F31" s="967"/>
      <c r="G31" s="968"/>
      <c r="H31" s="676"/>
      <c r="I31" s="676"/>
    </row>
    <row r="32" spans="4:11" ht="20.25">
      <c r="D32" s="951"/>
      <c r="E32" s="952"/>
      <c r="F32" s="952"/>
      <c r="G32" s="969"/>
      <c r="H32" s="676"/>
      <c r="I32" s="676"/>
    </row>
    <row r="33" spans="3:9">
      <c r="D33" s="677" t="s">
        <v>409</v>
      </c>
      <c r="E33" s="677" t="s">
        <v>410</v>
      </c>
      <c r="F33" s="677" t="s">
        <v>411</v>
      </c>
      <c r="G33" s="677" t="s">
        <v>402</v>
      </c>
      <c r="H33" s="678"/>
      <c r="I33" s="678"/>
    </row>
    <row r="34" spans="3:9">
      <c r="C34" s="739"/>
      <c r="D34" s="682">
        <f>Gas!D6</f>
        <v>632460</v>
      </c>
      <c r="E34" s="682">
        <f>Gas!D36</f>
        <v>651055</v>
      </c>
      <c r="F34" s="714">
        <f>Gas!E38</f>
        <v>13016.5</v>
      </c>
      <c r="G34" s="798">
        <f>F34*3.9</f>
        <v>50764.35</v>
      </c>
      <c r="H34" s="680"/>
      <c r="I34" s="680"/>
    </row>
    <row r="35" spans="3:9" ht="18">
      <c r="D35" s="973" t="s">
        <v>412</v>
      </c>
      <c r="E35" s="973"/>
      <c r="F35" s="973"/>
      <c r="G35" s="798">
        <f>G34</f>
        <v>50764.35</v>
      </c>
      <c r="H35" s="33"/>
      <c r="I35" s="33"/>
    </row>
    <row r="37" spans="3:9" ht="13.5" thickBot="1"/>
    <row r="38" spans="3:9" ht="20.25">
      <c r="D38" s="966" t="s">
        <v>413</v>
      </c>
      <c r="E38" s="967"/>
      <c r="F38" s="967"/>
      <c r="G38" s="968"/>
      <c r="H38" s="676"/>
      <c r="I38" s="676"/>
    </row>
    <row r="39" spans="3:9" ht="20.25">
      <c r="D39" s="951"/>
      <c r="E39" s="952"/>
      <c r="F39" s="952"/>
      <c r="G39" s="969"/>
      <c r="H39" s="676"/>
      <c r="I39" s="676"/>
    </row>
    <row r="40" spans="3:9" ht="18.75" customHeight="1">
      <c r="D40" s="677" t="s">
        <v>409</v>
      </c>
      <c r="E40" s="677" t="s">
        <v>410</v>
      </c>
      <c r="F40" s="677" t="s">
        <v>401</v>
      </c>
      <c r="G40" s="677" t="s">
        <v>402</v>
      </c>
      <c r="H40" s="678"/>
      <c r="I40" s="678"/>
    </row>
    <row r="41" spans="3:9">
      <c r="C41" s="679" t="s">
        <v>87</v>
      </c>
      <c r="D41" s="683">
        <f>Elect!R5</f>
        <v>234971.33333333299</v>
      </c>
      <c r="E41" s="762">
        <f>Elect!R36</f>
        <v>238981.33333333299</v>
      </c>
      <c r="F41" s="684">
        <f>E41-D41</f>
        <v>4010</v>
      </c>
      <c r="G41" s="764">
        <f>F41*1.15</f>
        <v>4611.5</v>
      </c>
      <c r="H41" s="685"/>
      <c r="I41" s="685"/>
    </row>
    <row r="42" spans="3:9">
      <c r="C42" s="679" t="s">
        <v>88</v>
      </c>
      <c r="D42" s="683">
        <f>Elect!T5</f>
        <v>428547.66666666698</v>
      </c>
      <c r="E42" s="683">
        <f>Elect!T36</f>
        <v>435681.33333333302</v>
      </c>
      <c r="F42" s="684">
        <f>E42-D42</f>
        <v>7133.6666666660458</v>
      </c>
      <c r="G42" s="764">
        <f>F42*1.15</f>
        <v>8203.7166666659523</v>
      </c>
      <c r="H42" s="685"/>
      <c r="I42" s="685"/>
    </row>
    <row r="43" spans="3:9" ht="18">
      <c r="D43" s="970" t="s">
        <v>412</v>
      </c>
      <c r="E43" s="971"/>
      <c r="F43" s="972"/>
      <c r="G43" s="765">
        <f>G42+G41</f>
        <v>12815.216666665952</v>
      </c>
      <c r="H43" s="33"/>
      <c r="I43" s="33"/>
    </row>
    <row r="44" spans="3:9">
      <c r="F44" s="225"/>
    </row>
    <row r="48" spans="3:9" ht="13.5" thickBot="1"/>
    <row r="49" spans="3:7">
      <c r="D49" s="966" t="s">
        <v>414</v>
      </c>
      <c r="E49" s="967"/>
      <c r="F49" s="967"/>
      <c r="G49" s="968"/>
    </row>
    <row r="50" spans="3:7" ht="13.5" thickBot="1">
      <c r="D50" s="951"/>
      <c r="E50" s="952"/>
      <c r="F50" s="952"/>
      <c r="G50" s="969"/>
    </row>
    <row r="51" spans="3:7" ht="13.5" thickBot="1">
      <c r="D51" s="677" t="s">
        <v>409</v>
      </c>
      <c r="E51" s="677" t="s">
        <v>410</v>
      </c>
      <c r="F51" s="677" t="s">
        <v>406</v>
      </c>
      <c r="G51" s="677" t="s">
        <v>402</v>
      </c>
    </row>
    <row r="52" spans="3:7" ht="13.5" thickBot="1">
      <c r="C52" s="679" t="s">
        <v>415</v>
      </c>
      <c r="D52" s="682">
        <v>331</v>
      </c>
      <c r="E52" s="683">
        <v>339</v>
      </c>
      <c r="F52" s="799">
        <f>SUM(E52-D52)</f>
        <v>8</v>
      </c>
      <c r="G52" s="675">
        <f>F52*10</f>
        <v>80</v>
      </c>
    </row>
    <row r="53" spans="3:7" ht="13.5" thickBot="1">
      <c r="C53" s="679" t="s">
        <v>416</v>
      </c>
      <c r="D53" s="683">
        <v>5727</v>
      </c>
      <c r="E53" s="683">
        <v>5830</v>
      </c>
      <c r="F53" s="684">
        <f>SUM(E53-D53)</f>
        <v>103</v>
      </c>
      <c r="G53" s="673">
        <f>F53*10</f>
        <v>1030</v>
      </c>
    </row>
    <row r="54" spans="3:7" ht="18.75" thickBot="1">
      <c r="D54" s="970" t="s">
        <v>412</v>
      </c>
      <c r="E54" s="971"/>
      <c r="F54" s="972"/>
      <c r="G54" s="681">
        <f>G52+G53</f>
        <v>1110</v>
      </c>
    </row>
  </sheetData>
  <sheetProtection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/>
        <AccountId xsi:nil="true"/>
        <AccountType/>
      </UserInfo>
    </SharedWithUsers>
    <MediaLengthInSeconds xmlns="eff43ebd-2a19-4bb7-a86e-e6d7ee257b8d" xsi:nil="true"/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CDCC65-FA18-4236-BA43-DA774CC164A7}"/>
</file>

<file path=customXml/itemProps2.xml><?xml version="1.0" encoding="utf-8"?>
<ds:datastoreItem xmlns:ds="http://schemas.openxmlformats.org/officeDocument/2006/customXml" ds:itemID="{C84BCC85-6B82-491C-B493-C004743EA634}"/>
</file>

<file path=customXml/itemProps3.xml><?xml version="1.0" encoding="utf-8"?>
<ds:datastoreItem xmlns:ds="http://schemas.openxmlformats.org/officeDocument/2006/customXml" ds:itemID="{4D3130CD-D410-4CE4-A243-9F17F1661C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Atef A.Allah A.Maksoud</cp:lastModifiedBy>
  <cp:revision/>
  <dcterms:created xsi:type="dcterms:W3CDTF">2007-10-20T05:06:40Z</dcterms:created>
  <dcterms:modified xsi:type="dcterms:W3CDTF">2023-03-13T12:17:22Z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Order">
    <vt:r8>8423900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