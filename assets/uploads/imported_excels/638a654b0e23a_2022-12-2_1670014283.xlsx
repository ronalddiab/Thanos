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ymond.linares\Document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P11" i="1" l="1"/>
  <c r="P10" i="1"/>
  <c r="P9" i="1"/>
  <c r="P8" i="1"/>
  <c r="P7" i="1"/>
  <c r="P6" i="1"/>
  <c r="P5" i="1"/>
  <c r="P4" i="1"/>
  <c r="P3" i="1"/>
  <c r="N10" i="1"/>
  <c r="N9" i="1"/>
  <c r="N8" i="1"/>
  <c r="N7" i="1"/>
  <c r="N6" i="1"/>
  <c r="N5" i="1"/>
  <c r="N4" i="1"/>
  <c r="N3" i="1"/>
  <c r="N2" i="1"/>
  <c r="O10" i="1"/>
  <c r="O9" i="1"/>
  <c r="O8" i="1"/>
  <c r="O7" i="1"/>
  <c r="O6" i="1"/>
  <c r="O5" i="1"/>
  <c r="O4" i="1"/>
  <c r="O3" i="1"/>
  <c r="O2" i="1"/>
  <c r="I6" i="1"/>
  <c r="I4" i="1"/>
  <c r="H10" i="1"/>
  <c r="H9" i="1"/>
  <c r="H8" i="1"/>
  <c r="H7" i="1"/>
  <c r="H6" i="1"/>
  <c r="H5" i="1"/>
  <c r="H4" i="1"/>
  <c r="H3" i="1"/>
  <c r="H2" i="1"/>
  <c r="G10" i="1"/>
  <c r="G9" i="1"/>
  <c r="G8" i="1"/>
  <c r="G7" i="1"/>
  <c r="G6" i="1"/>
  <c r="G5" i="1"/>
  <c r="G4" i="1"/>
  <c r="G3" i="1"/>
  <c r="G2" i="1"/>
  <c r="E10" i="1"/>
  <c r="I10" i="1" s="1"/>
  <c r="E9" i="1"/>
  <c r="I9" i="1" s="1"/>
  <c r="E8" i="1"/>
  <c r="I8" i="1" s="1"/>
  <c r="E7" i="1"/>
  <c r="I7" i="1" s="1"/>
  <c r="E6" i="1"/>
  <c r="E5" i="1"/>
  <c r="I5" i="1" s="1"/>
  <c r="E4" i="1"/>
  <c r="E3" i="1"/>
  <c r="I3" i="1" s="1"/>
</calcChain>
</file>

<file path=xl/sharedStrings.xml><?xml version="1.0" encoding="utf-8"?>
<sst xmlns="http://schemas.openxmlformats.org/spreadsheetml/2006/main" count="32" uniqueCount="21">
  <si>
    <t>Site Name</t>
  </si>
  <si>
    <t>Month</t>
  </si>
  <si>
    <t>Year</t>
  </si>
  <si>
    <t>Total (per Unit) bath amenity bottles</t>
  </si>
  <si>
    <t>Total cost bath amenity bottles</t>
  </si>
  <si>
    <t>Total (per Unit) soap bars</t>
  </si>
  <si>
    <t>Total cost soap bars</t>
  </si>
  <si>
    <t>Total (per Unit) durable goods</t>
  </si>
  <si>
    <t>Total cost durable goods</t>
  </si>
  <si>
    <t>Total (per Unit) recyclable</t>
  </si>
  <si>
    <t>Total cost recyclable</t>
  </si>
  <si>
    <t>Total (per Unit) commingled recyclables</t>
  </si>
  <si>
    <t>Total cost commingled recyclables</t>
  </si>
  <si>
    <t>Total (per Unit) bath toiletries</t>
  </si>
  <si>
    <t>Total cost bath toiletries</t>
  </si>
  <si>
    <t>Total (per Unit) general municipal solid waste</t>
  </si>
  <si>
    <t>Total cost general municipal solid waste</t>
  </si>
  <si>
    <t>Miami</t>
  </si>
  <si>
    <t>soap bars .48 cents</t>
  </si>
  <si>
    <t>bath amenities $.50 p/unit</t>
  </si>
  <si>
    <t xml:space="preserve">We have moved to large containers in guestrooms eliminating plastic in the guestrooms that explains the 0 for the month of october and moving forward.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</si>
</sst>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1" fillId="2" borderId="0" xfId="0" applyFont="1" applyFill="1"/>
    <xf numFmtId="164" fontId="0" fillId="0" borderId="0" xfId="0" applyNumberFormat="1" applyFill="1"/>
    <xf numFmtId="164" fontId="1" fillId="0" borderId="0" xfId="0" applyNumberFormat="1" applyFont="1" applyFill="1"/>
    <xf numFmtId="0" fontId="2" fillId="0" borderId="0" xfId="0" applyFont="1" applyFill="1"/>
    <xf numFmtId="0" fontId="1" fillId="2" borderId="0" xfId="0" applyNumberFormat="1" applyFont="1" applyFill="1"/>
    <xf numFmtId="0" fontId="0" fillId="0" borderId="0" xfId="0" applyNumberFormat="1" applyFill="1"/>
    <xf numFmtId="1" fontId="0" fillId="0" borderId="0" xfId="0" applyNumberFormat="1" applyFill="1"/>
    <xf numFmtId="2" fontId="1" fillId="2" borderId="0" xfId="0" applyNumberFormat="1" applyFont="1" applyFill="1"/>
    <xf numFmtId="2" fontId="0" fillId="0" borderId="0" xfId="0" applyNumberForma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topLeftCell="I1" workbookViewId="0">
      <selection activeCell="O32" sqref="O32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8.85546875" style="7" customWidth="1"/>
    <col min="6" max="6" width="25.7109375" style="5" customWidth="1"/>
    <col min="7" max="7" width="25.7109375" style="7" customWidth="1"/>
    <col min="8" max="8" width="29.7109375" style="5" customWidth="1"/>
    <col min="9" max="13" width="25.7109375" style="5" customWidth="1"/>
    <col min="14" max="14" width="36.28515625" style="5" customWidth="1"/>
    <col min="15" max="15" width="25.7109375" style="5" customWidth="1"/>
    <col min="16" max="16" width="49.85546875" style="7" customWidth="1"/>
    <col min="17" max="17" width="25.7109375" style="7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6" t="s">
        <v>3</v>
      </c>
      <c r="E1" s="10" t="s">
        <v>4</v>
      </c>
      <c r="F1" s="6" t="s">
        <v>5</v>
      </c>
      <c r="G1" s="13" t="s">
        <v>6</v>
      </c>
      <c r="H1" s="6" t="s">
        <v>7</v>
      </c>
      <c r="I1" s="1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8" t="s">
        <v>15</v>
      </c>
      <c r="Q1" s="8" t="s">
        <v>16</v>
      </c>
    </row>
    <row r="2" spans="1:17" x14ac:dyDescent="0.25">
      <c r="A2" t="s">
        <v>17</v>
      </c>
      <c r="B2" s="1">
        <v>1</v>
      </c>
      <c r="C2" s="1">
        <v>2022</v>
      </c>
      <c r="D2" s="5">
        <v>4</v>
      </c>
      <c r="E2" s="11">
        <v>2995</v>
      </c>
      <c r="F2" s="5">
        <v>2</v>
      </c>
      <c r="G2" s="12">
        <f>3744*0.8*0.48</f>
        <v>1437.6960000000001</v>
      </c>
      <c r="H2" s="12">
        <f>3744*2.4</f>
        <v>8985.6</v>
      </c>
      <c r="I2" s="12">
        <f>E2+G2</f>
        <v>4432.6959999999999</v>
      </c>
      <c r="J2" s="5">
        <v>140</v>
      </c>
      <c r="K2" s="12">
        <v>932.37</v>
      </c>
      <c r="L2" s="5">
        <v>1.8</v>
      </c>
      <c r="M2" s="12">
        <v>932.37</v>
      </c>
      <c r="N2" s="12">
        <f>3744*2.4</f>
        <v>8985.6</v>
      </c>
      <c r="O2" s="14">
        <f>K2+M2</f>
        <v>1864.74</v>
      </c>
    </row>
    <row r="3" spans="1:17" x14ac:dyDescent="0.25">
      <c r="A3" t="s">
        <v>17</v>
      </c>
      <c r="B3" s="1">
        <v>2</v>
      </c>
      <c r="C3" s="1">
        <v>2022</v>
      </c>
      <c r="D3" s="5">
        <v>4</v>
      </c>
      <c r="E3" s="11">
        <f>4735*1.6*0.5</f>
        <v>3788</v>
      </c>
      <c r="F3" s="5">
        <v>2</v>
      </c>
      <c r="G3" s="12">
        <f>4735*0.8*0.48</f>
        <v>1818.24</v>
      </c>
      <c r="H3" s="5">
        <f>4735*2.4</f>
        <v>11364</v>
      </c>
      <c r="I3" s="12">
        <f>E3+G3</f>
        <v>5606.24</v>
      </c>
      <c r="J3" s="5">
        <v>240</v>
      </c>
      <c r="K3" s="12">
        <v>932.37</v>
      </c>
      <c r="L3" s="5">
        <v>1.8</v>
      </c>
      <c r="M3" s="12">
        <v>932.37</v>
      </c>
      <c r="N3" s="12">
        <f>4735*2.4</f>
        <v>11364</v>
      </c>
      <c r="O3" s="14">
        <f>K3+M3</f>
        <v>1864.74</v>
      </c>
      <c r="P3" s="12">
        <f>5665.37/221</f>
        <v>25.635158371040724</v>
      </c>
      <c r="Q3" s="12">
        <v>5665.37</v>
      </c>
    </row>
    <row r="4" spans="1:17" x14ac:dyDescent="0.25">
      <c r="A4" t="s">
        <v>17</v>
      </c>
      <c r="B4" s="1">
        <v>3</v>
      </c>
      <c r="C4" s="1">
        <v>2022</v>
      </c>
      <c r="D4" s="5">
        <v>4</v>
      </c>
      <c r="E4" s="12">
        <f>5577*1.6*0.5</f>
        <v>4461.6000000000004</v>
      </c>
      <c r="F4" s="5">
        <v>2</v>
      </c>
      <c r="G4" s="12">
        <f>5577*0.8*0.48</f>
        <v>2141.5680000000002</v>
      </c>
      <c r="H4" s="12">
        <f>5577*2.4</f>
        <v>13384.8</v>
      </c>
      <c r="I4" s="12">
        <f>E4+G4</f>
        <v>6603.1680000000006</v>
      </c>
      <c r="J4" s="5">
        <v>0</v>
      </c>
      <c r="K4" s="12">
        <v>932.37</v>
      </c>
      <c r="L4" s="5">
        <v>1.9</v>
      </c>
      <c r="M4" s="12">
        <v>932.37</v>
      </c>
      <c r="N4" s="12">
        <f>5577*2.4</f>
        <v>13384.8</v>
      </c>
      <c r="O4" s="14">
        <f>K4+M4</f>
        <v>1864.74</v>
      </c>
      <c r="P4" s="12">
        <f t="shared" ref="P4:P11" si="0">Q4/221</f>
        <v>25.47950226244344</v>
      </c>
      <c r="Q4" s="12">
        <v>5630.97</v>
      </c>
    </row>
    <row r="5" spans="1:17" x14ac:dyDescent="0.25">
      <c r="A5" t="s">
        <v>17</v>
      </c>
      <c r="B5" s="2">
        <v>4</v>
      </c>
      <c r="C5" s="1">
        <v>2022</v>
      </c>
      <c r="D5" s="5">
        <v>4</v>
      </c>
      <c r="E5" s="12">
        <f>4524*1.6*0.5</f>
        <v>3619.2000000000003</v>
      </c>
      <c r="F5" s="5">
        <v>2</v>
      </c>
      <c r="G5" s="12">
        <f>4524*0.8*0.5</f>
        <v>1809.6000000000001</v>
      </c>
      <c r="H5" s="12">
        <f>4524*2.4</f>
        <v>10857.6</v>
      </c>
      <c r="I5" s="12">
        <f>E5+G5</f>
        <v>5428.8</v>
      </c>
      <c r="J5" s="5">
        <v>0</v>
      </c>
      <c r="K5" s="12">
        <v>932.37</v>
      </c>
      <c r="L5" s="5">
        <v>1.6</v>
      </c>
      <c r="M5" s="12">
        <v>932.37</v>
      </c>
      <c r="N5" s="12">
        <f>4524*2.4</f>
        <v>10857.6</v>
      </c>
      <c r="O5" s="14">
        <f>K5+M5</f>
        <v>1864.74</v>
      </c>
      <c r="P5" s="12">
        <f t="shared" si="0"/>
        <v>25.47950226244344</v>
      </c>
      <c r="Q5" s="12">
        <v>5630.97</v>
      </c>
    </row>
    <row r="6" spans="1:17" x14ac:dyDescent="0.25">
      <c r="A6" t="s">
        <v>17</v>
      </c>
      <c r="B6" s="1">
        <v>5</v>
      </c>
      <c r="C6" s="1">
        <v>2022</v>
      </c>
      <c r="D6" s="5">
        <v>4</v>
      </c>
      <c r="E6" s="11">
        <f>4365*1.6*0.5</f>
        <v>3492</v>
      </c>
      <c r="F6" s="5">
        <v>2</v>
      </c>
      <c r="G6" s="12">
        <f>4365*0.8*0.5</f>
        <v>1746</v>
      </c>
      <c r="H6" s="5">
        <f>4365*2.4</f>
        <v>10476</v>
      </c>
      <c r="I6" s="12">
        <f>E6+G6</f>
        <v>5238</v>
      </c>
      <c r="J6" s="5">
        <v>0</v>
      </c>
      <c r="K6" s="12">
        <v>932.37</v>
      </c>
      <c r="L6" s="5">
        <v>1.7</v>
      </c>
      <c r="M6" s="12">
        <v>932.37</v>
      </c>
      <c r="N6" s="12">
        <f>4365*2.4</f>
        <v>10476</v>
      </c>
      <c r="O6" s="14">
        <f>K6+M6</f>
        <v>1864.74</v>
      </c>
      <c r="P6" s="12">
        <f t="shared" si="0"/>
        <v>27.062262443438915</v>
      </c>
      <c r="Q6" s="12">
        <v>5980.76</v>
      </c>
    </row>
    <row r="7" spans="1:17" x14ac:dyDescent="0.25">
      <c r="A7" t="s">
        <v>17</v>
      </c>
      <c r="B7" s="1">
        <v>6</v>
      </c>
      <c r="C7" s="1">
        <v>2022</v>
      </c>
      <c r="D7" s="5">
        <v>4</v>
      </c>
      <c r="E7" s="12">
        <f>4524*1.6*0.5</f>
        <v>3619.2000000000003</v>
      </c>
      <c r="F7" s="5">
        <v>2</v>
      </c>
      <c r="G7" s="12">
        <f>4524*0.8*0.5</f>
        <v>1809.6000000000001</v>
      </c>
      <c r="H7" s="12">
        <f>4524*2.4</f>
        <v>10857.6</v>
      </c>
      <c r="I7" s="12">
        <f t="shared" ref="I7" si="1">E7+G7</f>
        <v>5428.8</v>
      </c>
      <c r="J7" s="5">
        <v>134</v>
      </c>
      <c r="K7" s="12">
        <v>932.37</v>
      </c>
      <c r="L7" s="5">
        <v>1.8</v>
      </c>
      <c r="M7" s="12">
        <v>932.37</v>
      </c>
      <c r="N7" s="12">
        <f>4524*2.4</f>
        <v>10857.6</v>
      </c>
      <c r="O7" s="14">
        <f t="shared" ref="O7" si="2">K7+M7</f>
        <v>1864.74</v>
      </c>
      <c r="P7" s="12">
        <f t="shared" si="0"/>
        <v>22.723393665158369</v>
      </c>
      <c r="Q7" s="12">
        <v>5021.87</v>
      </c>
    </row>
    <row r="8" spans="1:17" x14ac:dyDescent="0.25">
      <c r="A8" t="s">
        <v>17</v>
      </c>
      <c r="B8" s="1">
        <v>7</v>
      </c>
      <c r="C8" s="1">
        <v>2022</v>
      </c>
      <c r="D8" s="5">
        <v>4</v>
      </c>
      <c r="E8" s="12">
        <f>4365*1.6*0.5</f>
        <v>3492</v>
      </c>
      <c r="F8" s="5">
        <v>2</v>
      </c>
      <c r="G8" s="12">
        <f>4365*0.8*0.5</f>
        <v>1746</v>
      </c>
      <c r="H8" s="5">
        <f>4365*2.4</f>
        <v>10476</v>
      </c>
      <c r="I8" s="12">
        <f>E8+G8</f>
        <v>5238</v>
      </c>
      <c r="J8" s="5">
        <v>134</v>
      </c>
      <c r="K8" s="12">
        <v>932.37</v>
      </c>
      <c r="L8" s="5">
        <v>1.85</v>
      </c>
      <c r="M8" s="12">
        <v>932.37</v>
      </c>
      <c r="N8" s="12">
        <f>4365*2.4</f>
        <v>10476</v>
      </c>
      <c r="O8" s="14">
        <f>K8+M8</f>
        <v>1864.74</v>
      </c>
      <c r="P8" s="12">
        <f t="shared" si="0"/>
        <v>18.633212669683257</v>
      </c>
      <c r="Q8" s="12">
        <v>4117.9399999999996</v>
      </c>
    </row>
    <row r="9" spans="1:17" x14ac:dyDescent="0.25">
      <c r="A9" t="s">
        <v>17</v>
      </c>
      <c r="B9" s="1">
        <v>8</v>
      </c>
      <c r="C9" s="1">
        <v>2022</v>
      </c>
      <c r="D9" s="5">
        <v>4</v>
      </c>
      <c r="E9" s="12">
        <f>2292*1.6*0.5</f>
        <v>1833.6000000000001</v>
      </c>
      <c r="F9" s="5">
        <v>2</v>
      </c>
      <c r="G9" s="12">
        <f>2292*0.8*0.5</f>
        <v>916.80000000000007</v>
      </c>
      <c r="H9" s="12">
        <f>2292*2.4</f>
        <v>5500.8</v>
      </c>
      <c r="I9" s="12">
        <f>E9+G9</f>
        <v>2750.4</v>
      </c>
      <c r="J9" s="5">
        <v>0</v>
      </c>
      <c r="K9" s="12">
        <v>932.37</v>
      </c>
      <c r="L9" s="5">
        <v>1.71</v>
      </c>
      <c r="M9" s="12">
        <v>932.37</v>
      </c>
      <c r="N9" s="12">
        <f>2292*2.4</f>
        <v>5500.8</v>
      </c>
      <c r="O9" s="14">
        <f>K9+M9</f>
        <v>1864.74</v>
      </c>
      <c r="P9" s="12">
        <f t="shared" si="0"/>
        <v>28.251764705882355</v>
      </c>
      <c r="Q9" s="12">
        <v>6243.64</v>
      </c>
    </row>
    <row r="10" spans="1:17" x14ac:dyDescent="0.25">
      <c r="A10" t="s">
        <v>17</v>
      </c>
      <c r="B10" s="1">
        <v>9</v>
      </c>
      <c r="C10" s="1">
        <v>2022</v>
      </c>
      <c r="D10" s="5">
        <v>4</v>
      </c>
      <c r="E10" s="11">
        <f>3095*1.6*0.5</f>
        <v>2476</v>
      </c>
      <c r="F10" s="5">
        <v>2</v>
      </c>
      <c r="G10" s="12">
        <f>3095*0.8*0.5</f>
        <v>1238</v>
      </c>
      <c r="H10" s="5">
        <f>3095*2.4</f>
        <v>7428</v>
      </c>
      <c r="I10" s="12">
        <f>E10+G10</f>
        <v>3714</v>
      </c>
      <c r="J10" s="5">
        <v>0</v>
      </c>
      <c r="K10" s="12">
        <v>932.37</v>
      </c>
      <c r="L10" s="5">
        <v>1.8</v>
      </c>
      <c r="M10" s="12">
        <v>932.37</v>
      </c>
      <c r="N10" s="12">
        <f>3095*2.4</f>
        <v>7428</v>
      </c>
      <c r="O10" s="14">
        <f>K10+M10</f>
        <v>1864.74</v>
      </c>
      <c r="P10" s="12">
        <f t="shared" si="0"/>
        <v>18.717782805429866</v>
      </c>
      <c r="Q10" s="12">
        <v>4136.63</v>
      </c>
    </row>
    <row r="11" spans="1:17" x14ac:dyDescent="0.25">
      <c r="A11" t="s">
        <v>17</v>
      </c>
      <c r="B11" s="1">
        <v>10</v>
      </c>
      <c r="C11" s="1">
        <v>2022</v>
      </c>
      <c r="D11" s="5">
        <v>4</v>
      </c>
      <c r="E11" s="11">
        <v>0</v>
      </c>
      <c r="F11" s="5">
        <v>2</v>
      </c>
      <c r="G11" s="14">
        <v>0</v>
      </c>
      <c r="H11" s="5">
        <v>0</v>
      </c>
      <c r="I11" s="12">
        <v>0</v>
      </c>
      <c r="J11" s="5">
        <v>0</v>
      </c>
      <c r="K11" s="12">
        <v>932.37</v>
      </c>
      <c r="L11" s="5">
        <v>1.8</v>
      </c>
      <c r="M11" s="12">
        <v>932.37</v>
      </c>
      <c r="N11" s="12">
        <v>0</v>
      </c>
      <c r="O11" s="5">
        <v>0</v>
      </c>
      <c r="P11" s="12">
        <f t="shared" si="0"/>
        <v>30.442443438914026</v>
      </c>
      <c r="Q11" s="12">
        <v>6727.78</v>
      </c>
    </row>
    <row r="12" spans="1:17" x14ac:dyDescent="0.25">
      <c r="A12" t="s">
        <v>17</v>
      </c>
      <c r="B12" s="1">
        <v>11</v>
      </c>
      <c r="C12" s="1">
        <v>2022</v>
      </c>
      <c r="D12" s="5">
        <v>4</v>
      </c>
      <c r="E12" s="11">
        <v>0</v>
      </c>
      <c r="F12" s="5">
        <v>2</v>
      </c>
      <c r="G12" s="14">
        <v>0</v>
      </c>
      <c r="H12" s="5">
        <v>0</v>
      </c>
      <c r="I12" s="12">
        <v>0</v>
      </c>
      <c r="J12" s="5">
        <v>0</v>
      </c>
      <c r="K12" s="12">
        <v>932.37</v>
      </c>
      <c r="L12" s="5">
        <v>1.6</v>
      </c>
      <c r="M12" s="12">
        <v>932.37</v>
      </c>
    </row>
    <row r="13" spans="1:17" x14ac:dyDescent="0.25">
      <c r="A13" t="s">
        <v>17</v>
      </c>
      <c r="B13" s="1">
        <v>12</v>
      </c>
      <c r="C13" s="1">
        <v>2022</v>
      </c>
      <c r="D13" s="5">
        <v>4</v>
      </c>
      <c r="E13" s="11"/>
      <c r="F13" s="5">
        <v>2</v>
      </c>
      <c r="G13" s="14"/>
      <c r="I13" s="12"/>
    </row>
    <row r="32" spans="4:4" x14ac:dyDescent="0.25">
      <c r="D32" s="9" t="s">
        <v>20</v>
      </c>
    </row>
    <row r="34" spans="4:4" x14ac:dyDescent="0.25">
      <c r="D34" s="5" t="s">
        <v>18</v>
      </c>
    </row>
    <row r="35" spans="4:4" x14ac:dyDescent="0.25">
      <c r="D35" s="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Raymond Linares</cp:lastModifiedBy>
  <dcterms:created xsi:type="dcterms:W3CDTF">2022-01-28T13:49:17Z</dcterms:created>
  <dcterms:modified xsi:type="dcterms:W3CDTF">2022-12-01T00:10:58Z</dcterms:modified>
</cp:coreProperties>
</file>