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H23" i="6" s="1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AW18" i="6"/>
  <c r="H19" i="6"/>
  <c r="AW19" i="6"/>
  <c r="AW20" i="6"/>
  <c r="AW21" i="6"/>
  <c r="AW22" i="6"/>
  <c r="G23" i="6"/>
  <c r="AW23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<sst xmlns="http://schemas.openxmlformats.org/spreadsheetml/2006/main" count="296" uniqueCount="138">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</sst>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9660.0000000001673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>
        <f>Submetering!E17+Submetering!F17+Submetering!G17+Submetering!H17-Submetering!AV17</f>
        <v>10830.000000000015</v>
      </c>
      <c r="F17" s="11">
        <f t="shared" si="1"/>
        <v>0.58765030286592534</v>
      </c>
      <c r="G17" s="12">
        <f>(Submetering!AX17+Submetering!AY17+Submetering!AZ17+Submetering!BA17+Submetering!BB17)</f>
        <v>27.472499999999997</v>
      </c>
      <c r="H17" s="11">
        <f t="shared" si="2"/>
        <v>0.99</v>
      </c>
      <c r="I17" s="12">
        <f>'FS Desroches Daily'!CM19</f>
        <v>95</v>
      </c>
      <c r="J17" s="11">
        <f t="shared" si="3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10390.000000000495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97</v>
      </c>
      <c r="J18" s="11">
        <f t="shared" si="3"/>
        <v>10.487297712684205</v>
      </c>
      <c r="K18" s="13">
        <f>'FS Desroches Daily'!CN20</f>
        <v>37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9529.9999999996471</v>
      </c>
      <c r="F19" s="11">
        <f t="shared" si="1"/>
        <v>0.58765030286592534</v>
      </c>
      <c r="G19" s="12">
        <f>(Submetering!AX19+Submetering!AY19+Submetering!AZ19+Submetering!BA19+Submetering!BB19)</f>
        <v>31.135499999999997</v>
      </c>
      <c r="H19" s="11">
        <f t="shared" si="2"/>
        <v>0.99</v>
      </c>
      <c r="I19" s="12">
        <f>'FS Desroches Daily'!CM21</f>
        <v>88</v>
      </c>
      <c r="J19" s="11">
        <f t="shared" si="3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9999.9999999997963</v>
      </c>
      <c r="F20" s="11">
        <f t="shared" si="1"/>
        <v>0.58765030286592534</v>
      </c>
      <c r="G20" s="12">
        <f>(Submetering!AX20+Submetering!AY20+Submetering!AZ20+Submetering!BA20+Submetering!BB20)</f>
        <v>40.292999999999999</v>
      </c>
      <c r="H20" s="11">
        <f t="shared" si="2"/>
        <v>0.99</v>
      </c>
      <c r="I20" s="12">
        <f>'FS Desroches Daily'!CM22</f>
        <v>92</v>
      </c>
      <c r="J20" s="11">
        <f t="shared" si="3"/>
        <v>10.487297712684205</v>
      </c>
      <c r="K20" s="13">
        <f>'FS Desroches Daily'!CN22</f>
        <v>34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10910.000000000244</v>
      </c>
      <c r="F21" s="11">
        <f t="shared" si="1"/>
        <v>0.58765030286592534</v>
      </c>
      <c r="G21" s="12">
        <f>(Submetering!AX21+Submetering!AY21+Submetering!AZ21+Submetering!BA21+Submetering!BB21)</f>
        <v>42.124499999999998</v>
      </c>
      <c r="H21" s="11">
        <f t="shared" si="2"/>
        <v>0.99</v>
      </c>
      <c r="I21" s="12">
        <f>'FS Desroches Daily'!CM23</f>
        <v>86</v>
      </c>
      <c r="J21" s="11">
        <f t="shared" si="3"/>
        <v>10.487297712684205</v>
      </c>
      <c r="K21" s="13">
        <f>'FS Desroches Daily'!CN23</f>
        <v>42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11479.999999999753</v>
      </c>
      <c r="F22" s="11">
        <f t="shared" si="1"/>
        <v>0.58765030286592534</v>
      </c>
      <c r="G22" s="12">
        <f>(Submetering!AX22+Submetering!AY22+Submetering!AZ22+Submetering!BA22+Submetering!BB22)</f>
        <v>34.798499999999997</v>
      </c>
      <c r="H22" s="11">
        <f t="shared" si="2"/>
        <v>0.99</v>
      </c>
      <c r="I22" s="12">
        <f>'FS Desroches Daily'!CM24</f>
        <v>103</v>
      </c>
      <c r="J22" s="11">
        <f t="shared" si="3"/>
        <v>10.487297712684205</v>
      </c>
      <c r="K22" s="13">
        <f>'FS Desroches Daily'!CN24</f>
        <v>45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11870.000000000113</v>
      </c>
      <c r="F23" s="11">
        <f t="shared" si="1"/>
        <v>0.58765030286592534</v>
      </c>
      <c r="G23" s="12">
        <f>(Submetering!AX23+Submetering!AY23+Submetering!AZ23+Submetering!BA23+Submetering!BB23)</f>
        <v>32.966999999999999</v>
      </c>
      <c r="H23" s="11">
        <f t="shared" si="2"/>
        <v>0.99</v>
      </c>
      <c r="I23" s="12">
        <f>'FS Desroches Daily'!CM25</f>
        <v>101</v>
      </c>
      <c r="J23" s="11">
        <f t="shared" si="3"/>
        <v>10.487297712684205</v>
      </c>
      <c r="K23" s="13">
        <f>'FS Desroches Daily'!CN25</f>
        <v>48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11969.999999999891</v>
      </c>
      <c r="F24" s="11">
        <f t="shared" si="1"/>
        <v>0.58765030286592534</v>
      </c>
      <c r="G24" s="12">
        <f>(Submetering!AX24+Submetering!AY24+Submetering!AZ24+Submetering!BA24+Submetering!BB24)</f>
        <v>34.798499999999997</v>
      </c>
      <c r="H24" s="11">
        <f t="shared" si="2"/>
        <v>0.99</v>
      </c>
      <c r="I24" s="12">
        <f>'FS Desroches Daily'!CM26</f>
        <v>105.2</v>
      </c>
      <c r="J24" s="11">
        <f t="shared" si="3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11970.00000000008</v>
      </c>
      <c r="F25" s="11">
        <f t="shared" si="1"/>
        <v>0.58765030286592534</v>
      </c>
      <c r="G25" s="12">
        <f>(Submetering!AX25+Submetering!AY25+Submetering!AZ25+Submetering!BA25+Submetering!BB25)</f>
        <v>32.966999999999999</v>
      </c>
      <c r="H25" s="11">
        <f t="shared" si="2"/>
        <v>0.99</v>
      </c>
      <c r="I25" s="12">
        <f>'FS Desroches Daily'!CM27</f>
        <v>102.9</v>
      </c>
      <c r="J25" s="11">
        <f t="shared" si="3"/>
        <v>10.487297712684205</v>
      </c>
      <c r="K25" s="13">
        <f>'FS Desroches Daily'!CN27</f>
        <v>42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 t="e">
        <f>Submetering!E26+Submetering!F26+Submetering!G26+Submetering!H26-Submetering!AV26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>
        <f>'FS Desroches Daily'!D19</f>
        <v>2800.0000000001355</v>
      </c>
      <c r="F17" s="36">
        <f>'FS Desroches Daily'!F19</f>
        <v>3600.0000000000477</v>
      </c>
      <c r="G17" s="35">
        <f>'FS Desroches Daily'!H19</f>
        <v>3699.9999999998145</v>
      </c>
      <c r="H17" s="36">
        <f>'FS Desroches Daily'!J19</f>
        <v>1610.0000000000136</v>
      </c>
      <c r="I17" s="35">
        <f>'FS Desroches Daily'!L19</f>
        <v>2599.9999999999359</v>
      </c>
      <c r="J17" s="36">
        <f>'FS Desroches Daily'!N19</f>
        <v>1950.0000000000455</v>
      </c>
      <c r="K17" s="13">
        <f>'FS Desroches Daily'!P19</f>
        <v>18</v>
      </c>
      <c r="L17" s="35">
        <f>'FS Desroches Daily'!R19</f>
        <v>7</v>
      </c>
      <c r="M17" s="35">
        <f>'FS Desroches Daily'!T19</f>
        <v>991</v>
      </c>
      <c r="N17" s="35">
        <f>'FS Desroches Daily'!V19</f>
        <v>518</v>
      </c>
      <c r="O17" s="35">
        <f>'FS Desroches Daily'!X19</f>
        <v>470.00000000002728</v>
      </c>
      <c r="P17" s="35">
        <f>'FS Desroches Daily'!Z19</f>
        <v>3099.9999999998809</v>
      </c>
      <c r="Q17" s="35">
        <f>'FS Desroches Daily'!AB19</f>
        <v>560.00000000000227</v>
      </c>
      <c r="R17" s="35">
        <f>'FS Desroches Daily'!AD19</f>
        <v>469.99999999999886</v>
      </c>
      <c r="S17" s="35">
        <f>'FS Desroches Daily'!AF19</f>
        <v>790.00000000002046</v>
      </c>
      <c r="T17" s="35">
        <f>'FS Desroches Daily'!AH19</f>
        <v>2.9000000000000909</v>
      </c>
      <c r="U17" s="39">
        <f>'FS Desroches Daily'!AJ19</f>
        <v>410.00000000002501</v>
      </c>
      <c r="V17" s="39">
        <f>'FS Desroches Daily'!AL19</f>
        <v>0.28999999999999204</v>
      </c>
      <c r="W17" s="39">
        <f>'FS Desroches Daily'!AN19</f>
        <v>0.22999999999998977</v>
      </c>
      <c r="X17" s="39">
        <f>'FS Desroches Daily'!AP19</f>
        <v>0.14000000000000057</v>
      </c>
      <c r="Y17" s="39">
        <f>'FS Desroches Daily'!AR19</f>
        <v>99.999999999994316</v>
      </c>
      <c r="Z17" s="39">
        <f>'FS Desroches Daily'!AT19</f>
        <v>60.000000000002274</v>
      </c>
      <c r="AA17" s="39">
        <f>'FS Desroches Daily'!AT19</f>
        <v>60.000000000002274</v>
      </c>
      <c r="AB17" s="39">
        <f>'FS Desroches Daily'!AV19</f>
        <v>219.99999999999886</v>
      </c>
      <c r="AC17" s="39">
        <f>'FS Desroches Daily'!AZ19</f>
        <v>219.99999999997044</v>
      </c>
      <c r="AD17" s="39">
        <f>'FS Desroches Daily'!BB19</f>
        <v>290.00000000002046</v>
      </c>
      <c r="AE17" s="39">
        <f>'FS Desroches Daily'!BD19</f>
        <v>99.999999999994316</v>
      </c>
      <c r="AF17" s="35">
        <f>'FS Desroches Daily'!BF19</f>
        <v>40</v>
      </c>
      <c r="AG17" s="36">
        <f>'FS Desroches Daily'!BH19</f>
        <v>30.000000000001137</v>
      </c>
      <c r="AH17" s="36">
        <f>'FS Desroches Daily'!BJ19</f>
        <v>40.000000000020464</v>
      </c>
      <c r="AI17" s="36">
        <f>'FS Desroches Daily'!BL19</f>
        <v>40.000000000020464</v>
      </c>
      <c r="AJ17" s="36">
        <f>'FS Desroches Daily'!BN19</f>
        <v>40.000000000020464</v>
      </c>
      <c r="AK17" s="36">
        <f>'FS Desroches Daily'!BP19</f>
        <v>60.000000000002274</v>
      </c>
      <c r="AL17" s="36">
        <f>'FS Desroches Daily'!BR19</f>
        <v>39</v>
      </c>
      <c r="AM17" s="36">
        <f>'FS Desroches Daily'!BT19</f>
        <v>50.000000000011369</v>
      </c>
      <c r="AN17" s="36">
        <f>'FS Desroches Daily'!BV19</f>
        <v>38</v>
      </c>
      <c r="AO17" s="36">
        <f>'FS Desroches Daily'!BX19</f>
        <v>40.000000000020464</v>
      </c>
      <c r="AP17" s="36">
        <f>'FS Desroches Daily'!BZ19</f>
        <v>79</v>
      </c>
      <c r="AQ17" s="35">
        <f>'FS Desroches Daily'!CB19</f>
        <v>21.200000000000728</v>
      </c>
      <c r="AR17" s="35">
        <f>'FS Desroches Daily'!CD19</f>
        <v>13.399999999999636</v>
      </c>
      <c r="AS17" s="35">
        <f>'FS Desroches Daily'!CF19</f>
        <v>11.699999999999818</v>
      </c>
      <c r="AT17" s="35">
        <f>'FS Desroches Daily'!CH19</f>
        <v>64.200000000004366</v>
      </c>
      <c r="AU17" s="35">
        <f>'FS Desroches Daily'!CJ19</f>
        <v>360</v>
      </c>
      <c r="AV17" s="35">
        <f>'FS Desroches Daily'!CL19</f>
        <v>879.99999999999545</v>
      </c>
      <c r="AW17" s="35">
        <f>'FS Desroches Daily'!CM19</f>
        <v>95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3.6629999999999998</v>
      </c>
      <c r="BC17" s="13">
        <f>'FS Desroches Daily'!CN19</f>
        <v>37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2499.9999999999468</v>
      </c>
      <c r="F18" s="36">
        <f>'FS Desroches Daily'!F20</f>
        <v>3500.0000000002806</v>
      </c>
      <c r="G18" s="35">
        <f>'FS Desroches Daily'!H20</f>
        <v>3500.0000000002806</v>
      </c>
      <c r="H18" s="36">
        <f>'FS Desroches Daily'!J20</f>
        <v>1529.9999999999727</v>
      </c>
      <c r="I18" s="35">
        <f>'FS Desroches Daily'!L20</f>
        <v>2599.9999999999359</v>
      </c>
      <c r="J18" s="36">
        <f>'FS Desroches Daily'!N20</f>
        <v>1669.9999999999591</v>
      </c>
      <c r="K18" s="13">
        <f>'FS Desroches Daily'!P20</f>
        <v>19</v>
      </c>
      <c r="L18" s="35">
        <f>'FS Desroches Daily'!R20</f>
        <v>9</v>
      </c>
      <c r="M18" s="35">
        <f>'FS Desroches Daily'!T20</f>
        <v>1904</v>
      </c>
      <c r="N18" s="35">
        <f>'FS Desroches Daily'!V20</f>
        <v>684</v>
      </c>
      <c r="O18" s="35">
        <f>'FS Desroches Daily'!X20</f>
        <v>359.9999999999568</v>
      </c>
      <c r="P18" s="35">
        <f>'FS Desroches Daily'!Z20</f>
        <v>3200.0000000000919</v>
      </c>
      <c r="Q18" s="35">
        <f>'FS Desroches Daily'!AB20</f>
        <v>480.00000000001819</v>
      </c>
      <c r="R18" s="35">
        <f>'FS Desroches Daily'!AD20</f>
        <v>379.99999999999545</v>
      </c>
      <c r="S18" s="35">
        <f>'FS Desroches Daily'!AF20</f>
        <v>740.00000000000909</v>
      </c>
      <c r="T18" s="35">
        <f>'FS Desroches Daily'!AH20</f>
        <v>2.2999999999999545</v>
      </c>
      <c r="U18" s="39">
        <f>'FS Desroches Daily'!AJ20</f>
        <v>609.9999999999568</v>
      </c>
      <c r="V18" s="39">
        <f>'FS Desroches Daily'!AL20</f>
        <v>0.29000000000000625</v>
      </c>
      <c r="W18" s="39">
        <f>'FS Desroches Daily'!AN20</f>
        <v>9.0000000000003411E-2</v>
      </c>
      <c r="X18" s="39">
        <f>'FS Desroches Daily'!AP20</f>
        <v>0.15000000000000568</v>
      </c>
      <c r="Y18" s="39">
        <f>'FS Desroches Daily'!AR20</f>
        <v>90.000000000003411</v>
      </c>
      <c r="Z18" s="39">
        <f>'FS Desroches Daily'!AT20</f>
        <v>60.000000000002274</v>
      </c>
      <c r="AA18" s="39">
        <f>'FS Desroches Daily'!AT20</f>
        <v>60.000000000002274</v>
      </c>
      <c r="AB18" s="39">
        <f>'FS Desroches Daily'!AV20</f>
        <v>219.99999999999886</v>
      </c>
      <c r="AC18" s="39">
        <f>'FS Desroches Daily'!AZ20</f>
        <v>160.00000000002501</v>
      </c>
      <c r="AD18" s="39">
        <f>'FS Desroches Daily'!BB20</f>
        <v>209.99999999997954</v>
      </c>
      <c r="AE18" s="39">
        <f>'FS Desroches Daily'!BD20</f>
        <v>90.000000000003411</v>
      </c>
      <c r="AF18" s="35">
        <f>'FS Desroches Daily'!BF20</f>
        <v>56</v>
      </c>
      <c r="AG18" s="36">
        <f>'FS Desroches Daily'!BH20</f>
        <v>30.000000000001137</v>
      </c>
      <c r="AH18" s="36">
        <f>'FS Desroches Daily'!BJ20</f>
        <v>40.000000000020464</v>
      </c>
      <c r="AI18" s="36">
        <f>'FS Desroches Daily'!BL20</f>
        <v>39.999999999992042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39.999999999992042</v>
      </c>
      <c r="AN18" s="36">
        <f>'FS Desroches Daily'!BV20</f>
        <v>32</v>
      </c>
      <c r="AO18" s="36">
        <f>'FS Desroches Daily'!BX20</f>
        <v>39.999999999992042</v>
      </c>
      <c r="AP18" s="36">
        <f>'FS Desroches Daily'!BZ20</f>
        <v>49</v>
      </c>
      <c r="AQ18" s="35">
        <f>'FS Desroches Daily'!CB20</f>
        <v>38.100000000002183</v>
      </c>
      <c r="AR18" s="35">
        <f>'FS Desroches Daily'!CD20</f>
        <v>12.5</v>
      </c>
      <c r="AS18" s="35">
        <f>'FS Desroches Daily'!CF20</f>
        <v>12.600000000000364</v>
      </c>
      <c r="AT18" s="35">
        <f>'FS Desroches Daily'!CH20</f>
        <v>51</v>
      </c>
      <c r="AU18" s="35">
        <f>'FS Desroches Daily'!CJ20</f>
        <v>368</v>
      </c>
      <c r="AV18" s="35">
        <f>'FS Desroches Daily'!CL20</f>
        <v>639.99999999998636</v>
      </c>
      <c r="AW18" s="35">
        <f>'FS Desroches Daily'!CM20</f>
        <v>97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0</v>
      </c>
      <c r="BA18" s="35">
        <f>IF(LPG!M25-LPG!M24&lt;0,"0",(LPG!M25-LPG!M24)*1.8315)</f>
        <v>5.4944999999999995</v>
      </c>
      <c r="BB18" s="35">
        <f>IF(LPG!Q25-LPG!Q24&lt;0,"0",(LPG!Q25-LPG!Q24)*1.8315)</f>
        <v>5.4944999999999995</v>
      </c>
      <c r="BC18" s="13">
        <f>'FS Desroches Daily'!CN20</f>
        <v>37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2000.0000000000018</v>
      </c>
      <c r="F19" s="36">
        <f>'FS Desroches Daily'!F21</f>
        <v>3599.9999999996035</v>
      </c>
      <c r="G19" s="35">
        <f>'FS Desroches Daily'!H21</f>
        <v>3400.0000000000696</v>
      </c>
      <c r="H19" s="36">
        <f>'FS Desroches Daily'!J21</f>
        <v>1399.9999999999773</v>
      </c>
      <c r="I19" s="35">
        <f>'FS Desroches Daily'!L21</f>
        <v>2500.0000000001687</v>
      </c>
      <c r="J19" s="36">
        <f>'FS Desroches Daily'!N21</f>
        <v>1370.0000000000045</v>
      </c>
      <c r="K19" s="13">
        <f>'FS Desroches Daily'!P21</f>
        <v>18</v>
      </c>
      <c r="L19" s="35">
        <f>'FS Desroches Daily'!R21</f>
        <v>6</v>
      </c>
      <c r="M19" s="35">
        <f>'FS Desroches Daily'!T21</f>
        <v>1385</v>
      </c>
      <c r="N19" s="35">
        <f>'FS Desroches Daily'!V21</f>
        <v>520</v>
      </c>
      <c r="O19" s="35">
        <f>'FS Desroches Daily'!X21</f>
        <v>439.99999999999773</v>
      </c>
      <c r="P19" s="35">
        <f>'FS Desroches Daily'!Z21</f>
        <v>3099.9999999998809</v>
      </c>
      <c r="Q19" s="35">
        <f>'FS Desroches Daily'!AB21</f>
        <v>459.99999999997954</v>
      </c>
      <c r="R19" s="35">
        <f>'FS Desroches Daily'!AD21</f>
        <v>300.00000000001137</v>
      </c>
      <c r="S19" s="35">
        <f>'FS Desroches Daily'!AF21</f>
        <v>490.00000000000909</v>
      </c>
      <c r="T19" s="35">
        <f>'FS Desroches Daily'!AH21</f>
        <v>2.7000000000000455</v>
      </c>
      <c r="U19" s="39">
        <f>'FS Desroches Daily'!AJ21</f>
        <v>379.99999999999545</v>
      </c>
      <c r="V19" s="39">
        <f>'FS Desroches Daily'!AL21</f>
        <v>0.18999999999999773</v>
      </c>
      <c r="W19" s="39">
        <f>'FS Desroches Daily'!AN21</f>
        <v>7.9999999999998295E-2</v>
      </c>
      <c r="X19" s="39">
        <f>'FS Desroches Daily'!AP21</f>
        <v>0.14000000000000057</v>
      </c>
      <c r="Y19" s="39">
        <f>'FS Desroches Daily'!AR21</f>
        <v>99.999999999994316</v>
      </c>
      <c r="Z19" s="39">
        <f>'FS Desroches Daily'!AT21</f>
        <v>60.000000000002274</v>
      </c>
      <c r="AA19" s="39">
        <f>'FS Desroches Daily'!AT21</f>
        <v>60.000000000002274</v>
      </c>
      <c r="AB19" s="39">
        <f>'FS Desroches Daily'!AV21</f>
        <v>180.00000000000682</v>
      </c>
      <c r="AC19" s="39">
        <f>'FS Desroches Daily'!AZ21</f>
        <v>149.99999999997726</v>
      </c>
      <c r="AD19" s="39">
        <f>'FS Desroches Daily'!BB21</f>
        <v>170.00000000001592</v>
      </c>
      <c r="AE19" s="39">
        <f>'FS Desroches Daily'!BD21</f>
        <v>20.000000000010232</v>
      </c>
      <c r="AF19" s="35">
        <f>'FS Desroches Daily'!BF21</f>
        <v>38</v>
      </c>
      <c r="AG19" s="36">
        <f>'FS Desroches Daily'!BH21</f>
        <v>19.99999999998181</v>
      </c>
      <c r="AH19" s="36">
        <f>'FS Desroches Daily'!BJ21</f>
        <v>29.999999999972715</v>
      </c>
      <c r="AI19" s="36">
        <f>'FS Desroches Daily'!BL21</f>
        <v>30.000000000001137</v>
      </c>
      <c r="AJ19" s="36">
        <f>'FS Desroches Daily'!BN21</f>
        <v>30.000000000001137</v>
      </c>
      <c r="AK19" s="36">
        <f>'FS Desroches Daily'!BP21</f>
        <v>29.999999999972715</v>
      </c>
      <c r="AL19" s="36">
        <f>'FS Desroches Daily'!BR21</f>
        <v>33</v>
      </c>
      <c r="AM19" s="36">
        <f>'FS Desroches Daily'!BT21</f>
        <v>30.000000000001137</v>
      </c>
      <c r="AN19" s="36">
        <f>'FS Desroches Daily'!BV21</f>
        <v>23</v>
      </c>
      <c r="AO19" s="36">
        <f>'FS Desroches Daily'!BX21</f>
        <v>30.000000000001137</v>
      </c>
      <c r="AP19" s="36">
        <f>'FS Desroches Daily'!BZ21</f>
        <v>37</v>
      </c>
      <c r="AQ19" s="35">
        <f>'FS Desroches Daily'!CB21</f>
        <v>67.19999999999709</v>
      </c>
      <c r="AR19" s="35">
        <f>'FS Desroches Daily'!CD21</f>
        <v>17.200000000000728</v>
      </c>
      <c r="AS19" s="35">
        <f>'FS Desroches Daily'!CF21</f>
        <v>15.800000000000182</v>
      </c>
      <c r="AT19" s="35">
        <f>'FS Desroches Daily'!CH21</f>
        <v>41.599999999998545</v>
      </c>
      <c r="AU19" s="35">
        <f>'FS Desroches Daily'!CJ21</f>
        <v>355</v>
      </c>
      <c r="AV19" s="35">
        <f>'FS Desroches Daily'!CL21</f>
        <v>870.00000000000455</v>
      </c>
      <c r="AW19" s="35">
        <f>'FS Desroches Daily'!CM21</f>
        <v>88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0</v>
      </c>
      <c r="BA19" s="35">
        <f>IF(LPG!M26-LPG!M25&lt;0,"0",(LPG!M26-LPG!M25)*1.8315)</f>
        <v>5.4944999999999995</v>
      </c>
      <c r="BB19" s="35">
        <f>IF(LPG!Q26-LPG!Q25&lt;0,"0",(LPG!Q26-LPG!Q25)*1.8315)</f>
        <v>5.4944999999999995</v>
      </c>
      <c r="BC19" s="13">
        <f>'FS Desroches Daily'!CN21</f>
        <v>28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2199.9999999999795</v>
      </c>
      <c r="F20" s="36">
        <f>'FS Desroches Daily'!F22</f>
        <v>3600.0000000000477</v>
      </c>
      <c r="G20" s="35">
        <f>'FS Desroches Daily'!H22</f>
        <v>3499.9999999998367</v>
      </c>
      <c r="H20" s="36">
        <f>'FS Desroches Daily'!J22</f>
        <v>1529.9999999999727</v>
      </c>
      <c r="I20" s="35">
        <f>'FS Desroches Daily'!L22</f>
        <v>2899.9999999999027</v>
      </c>
      <c r="J20" s="36">
        <f>'FS Desroches Daily'!N22</f>
        <v>1519.9999999999818</v>
      </c>
      <c r="K20" s="13">
        <f>'FS Desroches Daily'!P22</f>
        <v>20</v>
      </c>
      <c r="L20" s="35">
        <f>'FS Desroches Daily'!R22</f>
        <v>7</v>
      </c>
      <c r="M20" s="35">
        <f>'FS Desroches Daily'!T22</f>
        <v>1146</v>
      </c>
      <c r="N20" s="35">
        <f>'FS Desroches Daily'!V22</f>
        <v>353</v>
      </c>
      <c r="O20" s="35">
        <f>'FS Desroches Daily'!X22</f>
        <v>450.00000000004547</v>
      </c>
      <c r="P20" s="35">
        <f>'FS Desroches Daily'!Z22</f>
        <v>3200.0000000000919</v>
      </c>
      <c r="Q20" s="35">
        <f>'FS Desroches Daily'!AB22</f>
        <v>560.00000000000227</v>
      </c>
      <c r="R20" s="35">
        <f>'FS Desroches Daily'!AD22</f>
        <v>329.99999999998408</v>
      </c>
      <c r="S20" s="35">
        <f>'FS Desroches Daily'!AF22</f>
        <v>529.99999999997272</v>
      </c>
      <c r="T20" s="35">
        <f>'FS Desroches Daily'!AH22</f>
        <v>1.5999999999999091</v>
      </c>
      <c r="U20" s="39">
        <f>'FS Desroches Daily'!AJ22</f>
        <v>420.00000000001592</v>
      </c>
      <c r="V20" s="39">
        <f>'FS Desroches Daily'!AL22</f>
        <v>0.21999999999999886</v>
      </c>
      <c r="W20" s="39">
        <f>'FS Desroches Daily'!AN22</f>
        <v>0.17000000000000171</v>
      </c>
      <c r="X20" s="39">
        <f>'FS Desroches Daily'!AP22</f>
        <v>0.17000000000000171</v>
      </c>
      <c r="Y20" s="39">
        <f>'FS Desroches Daily'!AR22</f>
        <v>90.000000000003411</v>
      </c>
      <c r="Z20" s="39">
        <f>'FS Desroches Daily'!AT22</f>
        <v>89.999999999974989</v>
      </c>
      <c r="AA20" s="39">
        <f>'FS Desroches Daily'!AT22</f>
        <v>89.999999999974989</v>
      </c>
      <c r="AB20" s="39">
        <f>'FS Desroches Daily'!AV22</f>
        <v>159.99999999999659</v>
      </c>
      <c r="AC20" s="39">
        <f>'FS Desroches Daily'!AZ22</f>
        <v>160.00000000002501</v>
      </c>
      <c r="AD20" s="39">
        <f>'FS Desroches Daily'!BB22</f>
        <v>209.99999999997954</v>
      </c>
      <c r="AE20" s="39">
        <f>'FS Desroches Daily'!BD22</f>
        <v>19.99999999998181</v>
      </c>
      <c r="AF20" s="35">
        <f>'FS Desroches Daily'!BF22</f>
        <v>46</v>
      </c>
      <c r="AG20" s="36">
        <f>'FS Desroches Daily'!BH22</f>
        <v>30.000000000001137</v>
      </c>
      <c r="AH20" s="36">
        <f>'FS Desroches Daily'!BJ22</f>
        <v>50.000000000011369</v>
      </c>
      <c r="AI20" s="36">
        <f>'FS Desroches Daily'!BL22</f>
        <v>39.999999999992042</v>
      </c>
      <c r="AJ20" s="36">
        <f>'FS Desroches Daily'!BN22</f>
        <v>30.000000000001137</v>
      </c>
      <c r="AK20" s="36">
        <f>'FS Desroches Daily'!BP22</f>
        <v>40.000000000020464</v>
      </c>
      <c r="AL20" s="36">
        <f>'FS Desroches Daily'!BR22</f>
        <v>37</v>
      </c>
      <c r="AM20" s="36">
        <f>'FS Desroches Daily'!BT22</f>
        <v>30.000000000001137</v>
      </c>
      <c r="AN20" s="36">
        <f>'FS Desroches Daily'!BV22</f>
        <v>23</v>
      </c>
      <c r="AO20" s="36">
        <f>'FS Desroches Daily'!BX22</f>
        <v>30.000000000001137</v>
      </c>
      <c r="AP20" s="36">
        <f>'FS Desroches Daily'!BZ22</f>
        <v>59</v>
      </c>
      <c r="AQ20" s="35">
        <f>'FS Desroches Daily'!CB22</f>
        <v>52.400000000001455</v>
      </c>
      <c r="AR20" s="35">
        <f>'FS Desroches Daily'!CD22</f>
        <v>25.599999999998545</v>
      </c>
      <c r="AS20" s="35">
        <f>'FS Desroches Daily'!CF22</f>
        <v>0</v>
      </c>
      <c r="AT20" s="35">
        <f>'FS Desroches Daily'!CH22</f>
        <v>50</v>
      </c>
      <c r="AU20" s="35">
        <f>'FS Desroches Daily'!CJ22</f>
        <v>334</v>
      </c>
      <c r="AV20" s="35">
        <f>'FS Desroches Daily'!CL22</f>
        <v>830.00000000004093</v>
      </c>
      <c r="AW20" s="35">
        <f>'FS Desroches Daily'!CM22</f>
        <v>92</v>
      </c>
      <c r="AX20" s="35">
        <f>IF(LPG!F27-LPG!F26&lt;0,"0",(LPG!F27-LPG!F26)*1.8315)</f>
        <v>20.1465</v>
      </c>
      <c r="AY20" s="35">
        <f>IF(LPG!H27-LPG!H26&lt;0,"0",(LPG!H27-LPG!H26)*1.8315)</f>
        <v>5.4944999999999995</v>
      </c>
      <c r="AZ20" s="35">
        <f>IF(LPG!J27-LPG!J26&lt;0,"0",(LPG!J27-LPG!J26)*1.8315)</f>
        <v>1.8314999999999999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34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2800.0000000001355</v>
      </c>
      <c r="F21" s="36">
        <f>'FS Desroches Daily'!F23</f>
        <v>3700.0000000002588</v>
      </c>
      <c r="G21" s="35">
        <f>'FS Desroches Daily'!H23</f>
        <v>3699.9999999998145</v>
      </c>
      <c r="H21" s="36">
        <f>'FS Desroches Daily'!J23</f>
        <v>1610.0000000000136</v>
      </c>
      <c r="I21" s="35">
        <f>'FS Desroches Daily'!L23</f>
        <v>2800.0000000001355</v>
      </c>
      <c r="J21" s="36">
        <f>'FS Desroches Daily'!N23</f>
        <v>1860.0000000000136</v>
      </c>
      <c r="K21" s="13">
        <f>'FS Desroches Daily'!P23</f>
        <v>21</v>
      </c>
      <c r="L21" s="35">
        <f>'FS Desroches Daily'!R23</f>
        <v>8</v>
      </c>
      <c r="M21" s="35">
        <f>'FS Desroches Daily'!T23</f>
        <v>1285</v>
      </c>
      <c r="N21" s="35">
        <f>'FS Desroches Daily'!V23</f>
        <v>509</v>
      </c>
      <c r="O21" s="35">
        <f>'FS Desroches Daily'!X23</f>
        <v>439.99999999999773</v>
      </c>
      <c r="P21" s="35">
        <f>'FS Desroches Daily'!Z23</f>
        <v>3099.9999999998809</v>
      </c>
      <c r="Q21" s="35">
        <f>'FS Desroches Daily'!AB23</f>
        <v>480.00000000001819</v>
      </c>
      <c r="R21" s="35">
        <f>'FS Desroches Daily'!AD23</f>
        <v>500</v>
      </c>
      <c r="S21" s="35">
        <f>'FS Desroches Daily'!AF23</f>
        <v>670.00000000001592</v>
      </c>
      <c r="T21" s="35">
        <f>'FS Desroches Daily'!AH23</f>
        <v>1.8000000000000682</v>
      </c>
      <c r="U21" s="39">
        <f>'FS Desroches Daily'!AJ23</f>
        <v>650.00000000003411</v>
      </c>
      <c r="V21" s="39">
        <f>'FS Desroches Daily'!AL23</f>
        <v>0</v>
      </c>
      <c r="W21" s="39">
        <f>'FS Desroches Daily'!AN23</f>
        <v>0.18999999999999773</v>
      </c>
      <c r="X21" s="39">
        <f>'FS Desroches Daily'!AP23</f>
        <v>0.17000000000000171</v>
      </c>
      <c r="Y21" s="39">
        <f>'FS Desroches Daily'!AR23</f>
        <v>49.999999999982947</v>
      </c>
      <c r="Z21" s="39">
        <f>'FS Desroches Daily'!AT23</f>
        <v>60.000000000002274</v>
      </c>
      <c r="AA21" s="39">
        <f>'FS Desroches Daily'!AT23</f>
        <v>60.000000000002274</v>
      </c>
      <c r="AB21" s="39">
        <f>'FS Desroches Daily'!AV23</f>
        <v>180.00000000000682</v>
      </c>
      <c r="AC21" s="39">
        <f>'FS Desroches Daily'!AZ23</f>
        <v>170.00000000001592</v>
      </c>
      <c r="AD21" s="39">
        <f>'FS Desroches Daily'!BB23</f>
        <v>300.00000000001137</v>
      </c>
      <c r="AE21" s="39">
        <f>'FS Desroches Daily'!BD23</f>
        <v>10.000000000019327</v>
      </c>
      <c r="AF21" s="35">
        <f>'FS Desroches Daily'!BF23</f>
        <v>50</v>
      </c>
      <c r="AG21" s="36">
        <f>'FS Desroches Daily'!BH23</f>
        <v>39.999999999992042</v>
      </c>
      <c r="AH21" s="36">
        <f>'FS Desroches Daily'!BJ23</f>
        <v>40.000000000020464</v>
      </c>
      <c r="AI21" s="36">
        <f>'FS Desroches Daily'!BL23</f>
        <v>60.000000000002274</v>
      </c>
      <c r="AJ21" s="36">
        <f>'FS Desroches Daily'!BN23</f>
        <v>39.999999999992042</v>
      </c>
      <c r="AK21" s="36">
        <f>'FS Desroches Daily'!BP23</f>
        <v>49.999999999954525</v>
      </c>
      <c r="AL21" s="36">
        <f>'FS Desroches Daily'!BR23</f>
        <v>38</v>
      </c>
      <c r="AM21" s="36">
        <f>'FS Desroches Daily'!BT23</f>
        <v>39.999999999992042</v>
      </c>
      <c r="AN21" s="36">
        <f>'FS Desroches Daily'!BV23</f>
        <v>36</v>
      </c>
      <c r="AO21" s="36">
        <f>'FS Desroches Daily'!BX23</f>
        <v>49.999999999982947</v>
      </c>
      <c r="AP21" s="36">
        <f>'FS Desroches Daily'!BZ23</f>
        <v>63</v>
      </c>
      <c r="AQ21" s="35">
        <f>'FS Desroches Daily'!CB23</f>
        <v>49.5</v>
      </c>
      <c r="AR21" s="35">
        <f>'FS Desroches Daily'!CD23</f>
        <v>17.400000000001455</v>
      </c>
      <c r="AS21" s="35">
        <f>'FS Desroches Daily'!CF23</f>
        <v>12.099999999999454</v>
      </c>
      <c r="AT21" s="35">
        <f>'FS Desroches Daily'!CH23</f>
        <v>30.900000000001455</v>
      </c>
      <c r="AU21" s="35">
        <f>'FS Desroches Daily'!CJ23</f>
        <v>339</v>
      </c>
      <c r="AV21" s="35">
        <f>'FS Desroches Daily'!CL23</f>
        <v>899.99999999997726</v>
      </c>
      <c r="AW21" s="35">
        <f>'FS Desroches Daily'!CM23</f>
        <v>86</v>
      </c>
      <c r="AX21" s="35">
        <f>IF(LPG!F28-LPG!F27&lt;0,"0",(LPG!F28-LPG!F27)*1.8315)</f>
        <v>20.1465</v>
      </c>
      <c r="AY21" s="35">
        <f>IF(LPG!H28-LPG!H27&lt;0,"0",(LPG!H28-LPG!H27)*1.8315)</f>
        <v>3.6629999999999998</v>
      </c>
      <c r="AZ21" s="35">
        <f>IF(LPG!J28-LPG!J27&lt;0,"0",(LPG!J28-LPG!J27)*1.8315)</f>
        <v>5.4944999999999995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42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2999.9999999998918</v>
      </c>
      <c r="F22" s="36">
        <f>'FS Desroches Daily'!F24</f>
        <v>4099.9999999997708</v>
      </c>
      <c r="G22" s="35">
        <f>'FS Desroches Daily'!H24</f>
        <v>3400.0000000000696</v>
      </c>
      <c r="H22" s="36">
        <f>'FS Desroches Daily'!J24</f>
        <v>1600.0000000000227</v>
      </c>
      <c r="I22" s="35">
        <f>'FS Desroches Daily'!L24</f>
        <v>2799.9999999999136</v>
      </c>
      <c r="J22" s="36">
        <f>'FS Desroches Daily'!N24</f>
        <v>1919.9999999999591</v>
      </c>
      <c r="K22" s="13">
        <f>'FS Desroches Daily'!P24</f>
        <v>21</v>
      </c>
      <c r="L22" s="35">
        <f>'FS Desroches Daily'!R24</f>
        <v>8</v>
      </c>
      <c r="M22" s="35">
        <f>'FS Desroches Daily'!T24</f>
        <v>1210</v>
      </c>
      <c r="N22" s="35">
        <f>'FS Desroches Daily'!V24</f>
        <v>466</v>
      </c>
      <c r="O22" s="35">
        <f>'FS Desroches Daily'!X24</f>
        <v>519.99999999998181</v>
      </c>
      <c r="P22" s="35">
        <f>'FS Desroches Daily'!Z24</f>
        <v>3600.0000000000477</v>
      </c>
      <c r="Q22" s="35">
        <f>'FS Desroches Daily'!AB24</f>
        <v>519.99999999998181</v>
      </c>
      <c r="R22" s="35">
        <f>'FS Desroches Daily'!AD24</f>
        <v>480.00000000001819</v>
      </c>
      <c r="S22" s="35">
        <f>'FS Desroches Daily'!AF24</f>
        <v>819.99999999999318</v>
      </c>
      <c r="T22" s="35">
        <f>'FS Desroches Daily'!AH24</f>
        <v>1.8999999999999773</v>
      </c>
      <c r="U22" s="39">
        <f>'FS Desroches Daily'!AJ24</f>
        <v>449.99999999998863</v>
      </c>
      <c r="V22" s="39">
        <f>'FS Desroches Daily'!AL24</f>
        <v>0.25999999999999091</v>
      </c>
      <c r="W22" s="39">
        <f>'FS Desroches Daily'!AN24</f>
        <v>0.26000000000000512</v>
      </c>
      <c r="X22" s="39">
        <f>'FS Desroches Daily'!AP24</f>
        <v>0.18999999999999773</v>
      </c>
      <c r="Y22" s="39">
        <f>'FS Desroches Daily'!AR24</f>
        <v>170.00000000001592</v>
      </c>
      <c r="Z22" s="39">
        <f>'FS Desroches Daily'!AT24</f>
        <v>100.00000000002274</v>
      </c>
      <c r="AA22" s="39">
        <f>'FS Desroches Daily'!AT24</f>
        <v>100.00000000002274</v>
      </c>
      <c r="AB22" s="39">
        <f>'FS Desroches Daily'!AV24</f>
        <v>210.00000000000796</v>
      </c>
      <c r="AC22" s="39">
        <f>'FS Desroches Daily'!AZ24</f>
        <v>199.99999999998863</v>
      </c>
      <c r="AD22" s="39">
        <f>'FS Desroches Daily'!BB24</f>
        <v>319.99999999999318</v>
      </c>
      <c r="AE22" s="39">
        <f>'FS Desroches Daily'!BD24</f>
        <v>139.99999999998636</v>
      </c>
      <c r="AF22" s="35">
        <f>'FS Desroches Daily'!BF24</f>
        <v>54</v>
      </c>
      <c r="AG22" s="36">
        <f>'FS Desroches Daily'!BH24</f>
        <v>40.000000000020464</v>
      </c>
      <c r="AH22" s="36">
        <f>'FS Desroches Daily'!BJ24</f>
        <v>39.99999999996362</v>
      </c>
      <c r="AI22" s="36">
        <f>'FS Desroches Daily'!BL24</f>
        <v>50.000000000011369</v>
      </c>
      <c r="AJ22" s="36">
        <f>'FS Desroches Daily'!BN24</f>
        <v>39.999999999992042</v>
      </c>
      <c r="AK22" s="36">
        <f>'FS Desroches Daily'!BP24</f>
        <v>40.000000000020464</v>
      </c>
      <c r="AL22" s="36">
        <f>'FS Desroches Daily'!BR24</f>
        <v>40</v>
      </c>
      <c r="AM22" s="36">
        <f>'FS Desroches Daily'!BT24</f>
        <v>50.000000000011369</v>
      </c>
      <c r="AN22" s="36">
        <f>'FS Desroches Daily'!BV24</f>
        <v>39</v>
      </c>
      <c r="AO22" s="36">
        <f>'FS Desroches Daily'!BX24</f>
        <v>50.000000000011369</v>
      </c>
      <c r="AP22" s="36">
        <f>'FS Desroches Daily'!BZ24</f>
        <v>69</v>
      </c>
      <c r="AQ22" s="35">
        <f>'FS Desroches Daily'!CB24</f>
        <v>72.700000000000728</v>
      </c>
      <c r="AR22" s="35">
        <f>'FS Desroches Daily'!CD24</f>
        <v>17.299999999999272</v>
      </c>
      <c r="AS22" s="35">
        <f>'FS Desroches Daily'!CF24</f>
        <v>7.9000000000005457</v>
      </c>
      <c r="AT22" s="35">
        <f>'FS Desroches Daily'!CH24</f>
        <v>62</v>
      </c>
      <c r="AU22" s="35">
        <f>'FS Desroches Daily'!CJ24</f>
        <v>313</v>
      </c>
      <c r="AV22" s="35">
        <f>'FS Desroches Daily'!CL24</f>
        <v>620.00000000000455</v>
      </c>
      <c r="AW22" s="35">
        <f>'FS Desroches Daily'!CM24</f>
        <v>103</v>
      </c>
      <c r="AX22" s="35">
        <f>IF(LPG!F29-LPG!F28&lt;0,"0",(LPG!F29-LPG!F28)*1.8315)</f>
        <v>18.314999999999998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5.4944999999999995</v>
      </c>
      <c r="BB22" s="35">
        <f>IF(LPG!Q29-LPG!Q28&lt;0,"0",(LPG!Q29-LPG!Q28)*1.8315)</f>
        <v>7.3259999999999996</v>
      </c>
      <c r="BC22" s="13">
        <f>'FS Desroches Daily'!CN24</f>
        <v>45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3100.0000000001028</v>
      </c>
      <c r="F23" s="36">
        <f>'FS Desroches Daily'!F25</f>
        <v>4000.0000000000036</v>
      </c>
      <c r="G23" s="35">
        <f>'FS Desroches Daily'!H25</f>
        <v>3600.0000000000477</v>
      </c>
      <c r="H23" s="36">
        <f>'FS Desroches Daily'!J25</f>
        <v>1769.9999999999818</v>
      </c>
      <c r="I23" s="35">
        <f>'FS Desroches Daily'!L25</f>
        <v>2799.9999999999136</v>
      </c>
      <c r="J23" s="36">
        <f>'FS Desroches Daily'!N25</f>
        <v>2120.0000000000045</v>
      </c>
      <c r="K23" s="13">
        <f>'FS Desroches Daily'!P25</f>
        <v>22</v>
      </c>
      <c r="L23" s="35">
        <f>'FS Desroches Daily'!R25</f>
        <v>10</v>
      </c>
      <c r="M23" s="35">
        <f>'FS Desroches Daily'!T25</f>
        <v>1530</v>
      </c>
      <c r="N23" s="35">
        <f>'FS Desroches Daily'!V25</f>
        <v>690</v>
      </c>
      <c r="O23" s="35">
        <f>'FS Desroches Daily'!X25</f>
        <v>610.00000000001364</v>
      </c>
      <c r="P23" s="35">
        <f>'FS Desroches Daily'!Z25</f>
        <v>3499.9999999998367</v>
      </c>
      <c r="Q23" s="35">
        <f>'FS Desroches Daily'!AB25</f>
        <v>560.00000000000227</v>
      </c>
      <c r="R23" s="35">
        <f>'FS Desroches Daily'!AD25</f>
        <v>419.99999999998749</v>
      </c>
      <c r="S23" s="35">
        <f>'FS Desroches Daily'!AF25</f>
        <v>1040.0000000000205</v>
      </c>
      <c r="T23" s="35">
        <f>'FS Desroches Daily'!AH25</f>
        <v>2.3999999999999773</v>
      </c>
      <c r="U23" s="39">
        <f>'FS Desroches Daily'!AJ25</f>
        <v>509.99999999999091</v>
      </c>
      <c r="V23" s="39">
        <f>'FS Desroches Daily'!AL25</f>
        <v>0.32000000000000739</v>
      </c>
      <c r="W23" s="39">
        <f>'FS Desroches Daily'!AN25</f>
        <v>0.28000000000000114</v>
      </c>
      <c r="X23" s="39">
        <f>'FS Desroches Daily'!AP25</f>
        <v>0.20999999999999375</v>
      </c>
      <c r="Y23" s="39">
        <f>'FS Desroches Daily'!AR25</f>
        <v>210.00000000000796</v>
      </c>
      <c r="Z23" s="39">
        <f>'FS Desroches Daily'!AT25</f>
        <v>79.999999999984084</v>
      </c>
      <c r="AA23" s="39">
        <f>'FS Desroches Daily'!AT25</f>
        <v>79.999999999984084</v>
      </c>
      <c r="AB23" s="39">
        <f>'FS Desroches Daily'!AV25</f>
        <v>169.99999999998749</v>
      </c>
      <c r="AC23" s="39">
        <f>'FS Desroches Daily'!AZ25</f>
        <v>180.00000000000682</v>
      </c>
      <c r="AD23" s="39">
        <f>'FS Desroches Daily'!BB25</f>
        <v>370.00000000000455</v>
      </c>
      <c r="AE23" s="39">
        <f>'FS Desroches Daily'!BD25</f>
        <v>219.99999999999886</v>
      </c>
      <c r="AF23" s="35">
        <f>'FS Desroches Daily'!BF25</f>
        <v>44</v>
      </c>
      <c r="AG23" s="36">
        <f>'FS Desroches Daily'!BH25</f>
        <v>49.999999999982947</v>
      </c>
      <c r="AH23" s="36">
        <f>'FS Desroches Daily'!BJ25</f>
        <v>60.000000000002274</v>
      </c>
      <c r="AI23" s="36">
        <f>'FS Desroches Daily'!BL25</f>
        <v>59.999999999973852</v>
      </c>
      <c r="AJ23" s="36">
        <f>'FS Desroches Daily'!BN25</f>
        <v>50.000000000011369</v>
      </c>
      <c r="AK23" s="36">
        <f>'FS Desroches Daily'!BP25</f>
        <v>60.000000000002274</v>
      </c>
      <c r="AL23" s="36">
        <f>'FS Desroches Daily'!BR25</f>
        <v>52</v>
      </c>
      <c r="AM23" s="36">
        <f>'FS Desroches Daily'!BT25</f>
        <v>60.000000000002274</v>
      </c>
      <c r="AN23" s="36">
        <f>'FS Desroches Daily'!BV25</f>
        <v>48</v>
      </c>
      <c r="AO23" s="36">
        <f>'FS Desroches Daily'!BX25</f>
        <v>50.000000000011369</v>
      </c>
      <c r="AP23" s="36">
        <f>'FS Desroches Daily'!BZ25</f>
        <v>62</v>
      </c>
      <c r="AQ23" s="35">
        <f>'FS Desroches Daily'!CB25</f>
        <v>40.799999999999272</v>
      </c>
      <c r="AR23" s="35">
        <f>'FS Desroches Daily'!CD25</f>
        <v>20.399999999999636</v>
      </c>
      <c r="AS23" s="35">
        <f>'FS Desroches Daily'!CF25</f>
        <v>10.599999999999454</v>
      </c>
      <c r="AT23" s="35">
        <f>'FS Desroches Daily'!CH25</f>
        <v>96.69999999999709</v>
      </c>
      <c r="AU23" s="35">
        <f>'FS Desroches Daily'!CJ25</f>
        <v>350</v>
      </c>
      <c r="AV23" s="35">
        <f>'FS Desroches Daily'!CL25</f>
        <v>600.00000000002274</v>
      </c>
      <c r="AW23" s="35">
        <f>'FS Desroches Daily'!CM25</f>
        <v>101</v>
      </c>
      <c r="AX23" s="35">
        <f>IF(LPG!F30-LPG!F29&lt;0,"0",(LPG!F30-LPG!F29)*1.8315)</f>
        <v>16.483499999999999</v>
      </c>
      <c r="AY23" s="35">
        <f>IF(LPG!H30-LPG!H29&lt;0,"0",(LPG!H30-LPG!H29)*1.8315)</f>
        <v>3.6629999999999998</v>
      </c>
      <c r="AZ23" s="35">
        <f>IF(LPG!J30-LPG!J29&lt;0,"0",(LPG!J30-LPG!J29)*1.8315)</f>
        <v>0</v>
      </c>
      <c r="BA23" s="35">
        <f>IF(LPG!M30-LPG!M29&lt;0,"0",(LPG!M30-LPG!M29)*1.8315)</f>
        <v>5.4944999999999995</v>
      </c>
      <c r="BB23" s="35">
        <f>IF(LPG!Q30-LPG!Q29&lt;0,"0",(LPG!Q30-LPG!Q29)*1.8315)</f>
        <v>7.3259999999999996</v>
      </c>
      <c r="BC23" s="13">
        <f>'FS Desroches Daily'!CN25</f>
        <v>48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3699.9999999998145</v>
      </c>
      <c r="F24" s="36">
        <f>'FS Desroches Daily'!F26</f>
        <v>4000.0000000000036</v>
      </c>
      <c r="G24" s="35">
        <f>'FS Desroches Daily'!H26</f>
        <v>3400.0000000000696</v>
      </c>
      <c r="H24" s="36">
        <f>'FS Desroches Daily'!J26</f>
        <v>1539.9999999999636</v>
      </c>
      <c r="I24" s="35">
        <f>'FS Desroches Daily'!L26</f>
        <v>2700.0000000001469</v>
      </c>
      <c r="J24" s="36">
        <f>'FS Desroches Daily'!N26</f>
        <v>1980.0000000000182</v>
      </c>
      <c r="K24" s="13">
        <f>'FS Desroches Daily'!P26</f>
        <v>22</v>
      </c>
      <c r="L24" s="35">
        <f>'FS Desroches Daily'!R26</f>
        <v>8</v>
      </c>
      <c r="M24" s="35">
        <f>'FS Desroches Daily'!T26</f>
        <v>1722</v>
      </c>
      <c r="N24" s="35">
        <f>'FS Desroches Daily'!V26</f>
        <v>648</v>
      </c>
      <c r="O24" s="35">
        <f>'FS Desroches Daily'!X26</f>
        <v>479.99999999996135</v>
      </c>
      <c r="P24" s="35">
        <f>'FS Desroches Daily'!Z26</f>
        <v>3600.0000000000477</v>
      </c>
      <c r="Q24" s="35">
        <f>'FS Desroches Daily'!AB26</f>
        <v>569.99999999999318</v>
      </c>
      <c r="R24" s="35">
        <f>'FS Desroches Daily'!AD26</f>
        <v>490.00000000000909</v>
      </c>
      <c r="S24" s="35">
        <f>'FS Desroches Daily'!AF26</f>
        <v>1009.9999999999909</v>
      </c>
      <c r="T24" s="35">
        <f>'FS Desroches Daily'!AH26</f>
        <v>2.1000000000000227</v>
      </c>
      <c r="U24" s="39">
        <f>'FS Desroches Daily'!AJ26</f>
        <v>1300.0000000000114</v>
      </c>
      <c r="V24" s="39">
        <f>'FS Desroches Daily'!AL26</f>
        <v>0.25</v>
      </c>
      <c r="W24" s="39">
        <f>'FS Desroches Daily'!AN26</f>
        <v>0.21999999999999886</v>
      </c>
      <c r="X24" s="39">
        <f>'FS Desroches Daily'!AP26</f>
        <v>0.23000000000000398</v>
      </c>
      <c r="Y24" s="39">
        <f>'FS Desroches Daily'!AR26</f>
        <v>149.99999999997726</v>
      </c>
      <c r="Z24" s="39">
        <f>'FS Desroches Daily'!AT26</f>
        <v>60.000000000002274</v>
      </c>
      <c r="AA24" s="39">
        <f>'FS Desroches Daily'!AT26</f>
        <v>60.000000000002274</v>
      </c>
      <c r="AB24" s="39">
        <f>'FS Desroches Daily'!AV26</f>
        <v>120.00000000000455</v>
      </c>
      <c r="AC24" s="39">
        <f>'FS Desroches Daily'!AZ26</f>
        <v>189.99999999999773</v>
      </c>
      <c r="AD24" s="39">
        <f>'FS Desroches Daily'!BB26</f>
        <v>330.00000000004093</v>
      </c>
      <c r="AE24" s="39">
        <f>'FS Desroches Daily'!BD26</f>
        <v>189.99999999999773</v>
      </c>
      <c r="AF24" s="35">
        <f>'FS Desroches Daily'!BF26</f>
        <v>52</v>
      </c>
      <c r="AG24" s="36">
        <f>'FS Desroches Daily'!BH26</f>
        <v>30.000000000001137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39.999999999992042</v>
      </c>
      <c r="AK24" s="36">
        <f>'FS Desroches Daily'!BP26</f>
        <v>50.000000000011369</v>
      </c>
      <c r="AL24" s="36">
        <f>'FS Desroches Daily'!BR26</f>
        <v>43</v>
      </c>
      <c r="AM24" s="36">
        <f>'FS Desroches Daily'!BT26</f>
        <v>49.999999999982947</v>
      </c>
      <c r="AN24" s="36">
        <f>'FS Desroches Daily'!BV26</f>
        <v>45</v>
      </c>
      <c r="AO24" s="36">
        <f>'FS Desroches Daily'!BX26</f>
        <v>49.999999999982947</v>
      </c>
      <c r="AP24" s="36">
        <f>'FS Desroches Daily'!BZ26</f>
        <v>62</v>
      </c>
      <c r="AQ24" s="35">
        <f>'FS Desroches Daily'!CB26</f>
        <v>46</v>
      </c>
      <c r="AR24" s="35">
        <f>'FS Desroches Daily'!CD26</f>
        <v>23.899999999999636</v>
      </c>
      <c r="AS24" s="35">
        <f>'FS Desroches Daily'!CF26</f>
        <v>6.6000000000003638</v>
      </c>
      <c r="AT24" s="35">
        <f>'FS Desroches Daily'!CH26</f>
        <v>22.599999999998545</v>
      </c>
      <c r="AU24" s="35">
        <f>'FS Desroches Daily'!CJ26</f>
        <v>330</v>
      </c>
      <c r="AV24" s="35">
        <f>'FS Desroches Daily'!CL26</f>
        <v>669.99999999995907</v>
      </c>
      <c r="AW24" s="35">
        <f>'FS Desroches Daily'!CM26</f>
        <v>105.2</v>
      </c>
      <c r="AX24" s="35">
        <f>IF(LPG!F31-LPG!F30&lt;0,"0",(LPG!F31-LPG!F30)*1.8315)</f>
        <v>16.483499999999999</v>
      </c>
      <c r="AY24" s="35">
        <f>IF(LPG!H31-LPG!H30&lt;0,"0",(LPG!H31-LPG!H30)*1.8315)</f>
        <v>5.4944999999999995</v>
      </c>
      <c r="AZ24" s="35">
        <f>IF(LPG!J31-LPG!J30&lt;0,"0",(LPG!J31-LPG!J30)*1.8315)</f>
        <v>1.8314999999999999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41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3400.0000000000696</v>
      </c>
      <c r="F25" s="36">
        <f>'FS Desroches Daily'!F27</f>
        <v>3800.0000000000255</v>
      </c>
      <c r="G25" s="35">
        <f>'FS Desroches Daily'!H27</f>
        <v>4000.0000000000036</v>
      </c>
      <c r="H25" s="36">
        <f>'FS Desroches Daily'!J27</f>
        <v>1480.0000000000182</v>
      </c>
      <c r="I25" s="35">
        <f>'FS Desroches Daily'!L27</f>
        <v>2899.9999999999027</v>
      </c>
      <c r="J25" s="36">
        <f>'FS Desroches Daily'!N27</f>
        <v>1769.9999999999818</v>
      </c>
      <c r="K25" s="13">
        <f>'FS Desroches Daily'!P27</f>
        <v>20</v>
      </c>
      <c r="L25" s="35">
        <f>'FS Desroches Daily'!R27</f>
        <v>7</v>
      </c>
      <c r="M25" s="35">
        <f>'FS Desroches Daily'!T27</f>
        <v>1399</v>
      </c>
      <c r="N25" s="35">
        <f>'FS Desroches Daily'!V27</f>
        <v>584</v>
      </c>
      <c r="O25" s="35">
        <f>'FS Desroches Daily'!X27</f>
        <v>570.00000000005002</v>
      </c>
      <c r="P25" s="35">
        <f>'FS Desroches Daily'!Z27</f>
        <v>3300.0000000003029</v>
      </c>
      <c r="Q25" s="35">
        <f>'FS Desroches Daily'!AB27</f>
        <v>509.99999999999091</v>
      </c>
      <c r="R25" s="35">
        <f>'FS Desroches Daily'!AD27</f>
        <v>359.99999999998522</v>
      </c>
      <c r="S25" s="35">
        <f>'FS Desroches Daily'!AF27</f>
        <v>750</v>
      </c>
      <c r="T25" s="35">
        <f>'FS Desroches Daily'!AH27</f>
        <v>2.2000000000000455</v>
      </c>
      <c r="U25" s="39">
        <f>'FS Desroches Daily'!AJ27</f>
        <v>1060.0000000000023</v>
      </c>
      <c r="V25" s="39">
        <f>'FS Desroches Daily'!AL27</f>
        <v>0.23999999999999488</v>
      </c>
      <c r="W25" s="39">
        <f>'FS Desroches Daily'!AN27</f>
        <v>0.17000000000000171</v>
      </c>
      <c r="X25" s="39">
        <f>'FS Desroches Daily'!AP27</f>
        <v>0.17999999999999261</v>
      </c>
      <c r="Y25" s="39">
        <f>'FS Desroches Daily'!AR27</f>
        <v>140.00000000001478</v>
      </c>
      <c r="Z25" s="39">
        <f>'FS Desroches Daily'!AT27</f>
        <v>50.000000000011369</v>
      </c>
      <c r="AA25" s="39">
        <f>'FS Desroches Daily'!AT27</f>
        <v>50.000000000011369</v>
      </c>
      <c r="AB25" s="39">
        <f>'FS Desroches Daily'!AV27</f>
        <v>150.00000000000568</v>
      </c>
      <c r="AC25" s="39">
        <f>'FS Desroches Daily'!AZ27</f>
        <v>159.99999999996817</v>
      </c>
      <c r="AD25" s="39">
        <f>'FS Desroches Daily'!BB27</f>
        <v>319.99999999999318</v>
      </c>
      <c r="AE25" s="39">
        <f>'FS Desroches Daily'!BD27</f>
        <v>159.99999999999659</v>
      </c>
      <c r="AF25" s="35">
        <f>'FS Desroches Daily'!BF27</f>
        <v>49</v>
      </c>
      <c r="AG25" s="36">
        <f>'FS Desroches Daily'!BH27</f>
        <v>40.000000000020464</v>
      </c>
      <c r="AH25" s="36">
        <f>'FS Desroches Daily'!BJ27</f>
        <v>40.000000000020464</v>
      </c>
      <c r="AI25" s="36">
        <f>'FS Desroches Daily'!BL27</f>
        <v>40.000000000020464</v>
      </c>
      <c r="AJ25" s="36">
        <f>'FS Desroches Daily'!BN27</f>
        <v>30.000000000001137</v>
      </c>
      <c r="AK25" s="36">
        <f>'FS Desroches Daily'!BP27</f>
        <v>39.99999999996362</v>
      </c>
      <c r="AL25" s="36">
        <f>'FS Desroches Daily'!BR27</f>
        <v>37</v>
      </c>
      <c r="AM25" s="36">
        <f>'FS Desroches Daily'!BT27</f>
        <v>30.000000000001137</v>
      </c>
      <c r="AN25" s="36">
        <f>'FS Desroches Daily'!BV27</f>
        <v>31</v>
      </c>
      <c r="AO25" s="36">
        <f>'FS Desroches Daily'!BX27</f>
        <v>40.000000000020464</v>
      </c>
      <c r="AP25" s="36">
        <f>'FS Desroches Daily'!BZ27</f>
        <v>54</v>
      </c>
      <c r="AQ25" s="35">
        <f>'FS Desroches Daily'!CB27</f>
        <v>39.700000000000728</v>
      </c>
      <c r="AR25" s="35">
        <f>'FS Desroches Daily'!CD27</f>
        <v>18.200000000000728</v>
      </c>
      <c r="AS25" s="35">
        <f>'FS Desroches Daily'!CF27</f>
        <v>8.5</v>
      </c>
      <c r="AT25" s="35">
        <f>'FS Desroches Daily'!CH27</f>
        <v>31</v>
      </c>
      <c r="AU25" s="35">
        <f>'FS Desroches Daily'!CJ27</f>
        <v>309</v>
      </c>
      <c r="AV25" s="35">
        <f>'FS Desroches Daily'!CL27</f>
        <v>710.00000000003638</v>
      </c>
      <c r="AW25" s="35">
        <f>'FS Desroches Daily'!CM27</f>
        <v>102.9</v>
      </c>
      <c r="AX25" s="35">
        <f>IF(LPG!F32-LPG!F31&lt;0,"0",(LPG!F32-LPG!F31)*1.8315)</f>
        <v>12.820499999999999</v>
      </c>
      <c r="AY25" s="35">
        <f>IF(LPG!H32-LPG!H31&lt;0,"0",(LPG!H32-LPG!H31)*1.8315)</f>
        <v>3.6629999999999998</v>
      </c>
      <c r="AZ25" s="35">
        <f>IF(LPG!J32-LPG!J31&lt;0,"0",(LPG!J32-LPG!J31)*1.8315)</f>
        <v>5.4944999999999995</v>
      </c>
      <c r="BA25" s="35">
        <f>IF(LPG!M32-LPG!M31&lt;0,"0",(LPG!M32-LPG!M31)*1.8315)</f>
        <v>3.6629999999999998</v>
      </c>
      <c r="BB25" s="35">
        <f>IF(LPG!Q32-LPG!Q31&lt;0,"0",(LPG!Q32-LPG!Q31)*1.8315)</f>
        <v>7.3259999999999996</v>
      </c>
      <c r="BC25" s="13">
        <f>'FS Desroches Daily'!CN27</f>
        <v>42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 t="str">
        <f>'FS Desroches Daily'!D28</f>
        <v>0</v>
      </c>
      <c r="F26" s="36" t="str">
        <f>'FS Desroches Daily'!F28</f>
        <v>0</v>
      </c>
      <c r="G26" s="35" t="str">
        <f>'FS Desroches Daily'!H28</f>
        <v>0</v>
      </c>
      <c r="H26" s="36" t="str">
        <f>'FS Desroches Daily'!J28</f>
        <v>0</v>
      </c>
      <c r="I26" s="35" t="str">
        <f>'FS Desroches Daily'!L28</f>
        <v>0</v>
      </c>
      <c r="J26" s="36" t="str">
        <f>'FS Desroches Daily'!N28</f>
        <v/>
      </c>
      <c r="K26" s="13" t="str">
        <f>'FS Desroches Daily'!P28</f>
        <v/>
      </c>
      <c r="L26" s="35" t="str">
        <f>'FS Desroches Daily'!R28</f>
        <v/>
      </c>
      <c r="M26" s="35" t="str">
        <f>'FS Desroches Daily'!T28</f>
        <v/>
      </c>
      <c r="N26" s="35" t="str">
        <f>'FS Desroches Daily'!V28</f>
        <v/>
      </c>
      <c r="O26" s="35" t="str">
        <f>'FS Desroches Daily'!X28</f>
        <v/>
      </c>
      <c r="P26" s="35" t="str">
        <f>'FS Desroches Daily'!Z28</f>
        <v/>
      </c>
      <c r="Q26" s="35" t="str">
        <f>'FS Desroches Daily'!AB28</f>
        <v/>
      </c>
      <c r="R26" s="35" t="str">
        <f>'FS Desroches Daily'!AD28</f>
        <v/>
      </c>
      <c r="S26" s="35" t="str">
        <f>'FS Desroches Daily'!AF28</f>
        <v/>
      </c>
      <c r="T26" s="35" t="str">
        <f>'FS Desroches Daily'!AH28</f>
        <v/>
      </c>
      <c r="U26" s="39" t="str">
        <f>'FS Desroches Daily'!AJ28</f>
        <v/>
      </c>
      <c r="V26" s="39" t="str">
        <f>'FS Desroches Daily'!AL28</f>
        <v/>
      </c>
      <c r="W26" s="39" t="str">
        <f>'FS Desroches Daily'!AN28</f>
        <v/>
      </c>
      <c r="X26" s="39" t="str">
        <f>'FS Desroches Daily'!AP28</f>
        <v/>
      </c>
      <c r="Y26" s="39" t="str">
        <f>'FS Desroches Daily'!AR28</f>
        <v/>
      </c>
      <c r="Z26" s="39" t="str">
        <f>'FS Desroches Daily'!AT28</f>
        <v/>
      </c>
      <c r="AA26" s="39" t="str">
        <f>'FS Desroches Daily'!AT28</f>
        <v/>
      </c>
      <c r="AB26" s="39" t="str">
        <f>'FS Desroches Daily'!AV28</f>
        <v/>
      </c>
      <c r="AC26" s="39" t="str">
        <f>'FS Desroches Daily'!AZ28</f>
        <v/>
      </c>
      <c r="AD26" s="39" t="str">
        <f>'FS Desroches Daily'!BB28</f>
        <v/>
      </c>
      <c r="AE26" s="39" t="str">
        <f>'FS Desroches Daily'!BD28</f>
        <v/>
      </c>
      <c r="AF26" s="35" t="str">
        <f>'FS Desroches Daily'!BF28</f>
        <v/>
      </c>
      <c r="AG26" s="36" t="str">
        <f>'FS Desroches Daily'!BH28</f>
        <v/>
      </c>
      <c r="AH26" s="36" t="str">
        <f>'FS Desroches Daily'!BJ28</f>
        <v/>
      </c>
      <c r="AI26" s="36" t="str">
        <f>'FS Desroches Daily'!BL28</f>
        <v/>
      </c>
      <c r="AJ26" s="36" t="str">
        <f>'FS Desroches Daily'!BN28</f>
        <v/>
      </c>
      <c r="AK26" s="36" t="str">
        <f>'FS Desroches Daily'!BP28</f>
        <v/>
      </c>
      <c r="AL26" s="36" t="str">
        <f>'FS Desroches Daily'!BR28</f>
        <v/>
      </c>
      <c r="AM26" s="36" t="str">
        <f>'FS Desroches Daily'!BT28</f>
        <v/>
      </c>
      <c r="AN26" s="36" t="str">
        <f>'FS Desroches Daily'!BV28</f>
        <v/>
      </c>
      <c r="AO26" s="36" t="str">
        <f>'FS Desroches Daily'!BX28</f>
        <v/>
      </c>
      <c r="AP26" s="36" t="str">
        <f>'FS Desroches Daily'!BZ28</f>
        <v/>
      </c>
      <c r="AQ26" s="35" t="str">
        <f>'FS Desroches Daily'!CB28</f>
        <v/>
      </c>
      <c r="AR26" s="35" t="str">
        <f>'FS Desroches Daily'!CD28</f>
        <v/>
      </c>
      <c r="AS26" s="35" t="str">
        <f>'FS Desroches Daily'!CF28</f>
        <v/>
      </c>
      <c r="AT26" s="35" t="str">
        <f>'FS Desroches Daily'!CH28</f>
        <v/>
      </c>
      <c r="AU26" s="35" t="str">
        <f>'FS Desroches Daily'!CJ28</f>
        <v/>
      </c>
      <c r="AV26" s="35" t="str">
        <f>'FS Desroches Daily'!CL28</f>
        <v/>
      </c>
      <c r="AW26" s="35">
        <f>'FS Desroches Daily'!CM28</f>
        <v>0</v>
      </c>
      <c r="AX26" s="35" t="str">
        <f>IF(LPG!F33-LPG!F32&lt;0,"0",(LPG!F33-LPG!F32)*1.8315)</f>
        <v>0</v>
      </c>
      <c r="AY26" s="35" t="str">
        <f>IF(LPG!H33-LPG!H32&lt;0,"0",(LPG!H33-LPG!H32)*1.8315)</f>
        <v>0</v>
      </c>
      <c r="AZ26" s="35" t="str">
        <f>IF(LPG!J33-LPG!J32&lt;0,"0",(LPG!J33-LPG!J32)*1.8315)</f>
        <v>0</v>
      </c>
      <c r="BA26" s="35" t="str">
        <f>IF(LPG!M33-LPG!M32&lt;0,"0",(LPG!M33-LPG!M32)*1.8315)</f>
        <v>0</v>
      </c>
      <c r="BB26" s="35" t="str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50799.999999999956</v>
      </c>
      <c r="F33" s="17">
        <f t="shared" ref="F33:BC33" si="1">SUM(F2:F32)</f>
        <v>77500.000000000131</v>
      </c>
      <c r="G33" s="17">
        <f t="shared" si="1"/>
        <v>76900.000000000204</v>
      </c>
      <c r="H33" s="17">
        <f t="shared" si="1"/>
        <v>34759.999999999985</v>
      </c>
      <c r="I33" s="17">
        <f t="shared" si="1"/>
        <v>58999.999999999935</v>
      </c>
      <c r="J33" s="17">
        <f t="shared" si="1"/>
        <v>38299.999999999956</v>
      </c>
      <c r="K33" s="17">
        <f t="shared" si="1"/>
        <v>451</v>
      </c>
      <c r="L33" s="17">
        <f t="shared" si="1"/>
        <v>179</v>
      </c>
      <c r="M33" s="17">
        <f t="shared" si="1"/>
        <v>27186</v>
      </c>
      <c r="N33" s="17">
        <f t="shared" si="1"/>
        <v>11151</v>
      </c>
      <c r="O33" s="17">
        <f t="shared" si="1"/>
        <v>8960.0000000000364</v>
      </c>
      <c r="P33" s="17">
        <f t="shared" si="1"/>
        <v>68100.000000000291</v>
      </c>
      <c r="Q33" s="17">
        <f t="shared" si="1"/>
        <v>10519.99999999998</v>
      </c>
      <c r="R33" s="17">
        <f t="shared" si="1"/>
        <v>8959.9999999999782</v>
      </c>
      <c r="S33" s="17">
        <f t="shared" si="1"/>
        <v>16240.000000000009</v>
      </c>
      <c r="T33" s="17">
        <f t="shared" si="1"/>
        <v>46.400000000000091</v>
      </c>
      <c r="U33" s="39">
        <f t="shared" si="1"/>
        <v>11000</v>
      </c>
      <c r="V33" s="39">
        <f t="shared" si="1"/>
        <v>4.5599999999999881</v>
      </c>
      <c r="W33" s="39">
        <f t="shared" si="1"/>
        <v>4.460000000000008</v>
      </c>
      <c r="X33" s="39">
        <f t="shared" si="1"/>
        <v>3.8499999999999943</v>
      </c>
      <c r="Y33" s="39">
        <f t="shared" si="1"/>
        <v>1860.0000000000136</v>
      </c>
      <c r="Z33" s="39">
        <f t="shared" si="1"/>
        <v>1699.9999999999886</v>
      </c>
      <c r="AA33" s="39">
        <f t="shared" si="1"/>
        <v>1699.9999999999886</v>
      </c>
      <c r="AB33" s="39">
        <f t="shared" si="1"/>
        <v>3610.0000000000136</v>
      </c>
      <c r="AC33" s="39">
        <f t="shared" si="1"/>
        <v>2990.0000000000091</v>
      </c>
      <c r="AD33" s="39">
        <f t="shared" si="1"/>
        <v>3770.0000000000387</v>
      </c>
      <c r="AE33" s="39">
        <f t="shared" si="1"/>
        <v>1239.9999999999807</v>
      </c>
      <c r="AF33" s="17">
        <f t="shared" si="1"/>
        <v>1109</v>
      </c>
      <c r="AG33" s="36">
        <f t="shared" si="1"/>
        <v>700.00000000001705</v>
      </c>
      <c r="AH33" s="36">
        <f t="shared" si="1"/>
        <v>970.00000000002728</v>
      </c>
      <c r="AI33" s="36">
        <f t="shared" si="1"/>
        <v>980.00000000001819</v>
      </c>
      <c r="AJ33" s="36">
        <f t="shared" si="1"/>
        <v>859.99999999998522</v>
      </c>
      <c r="AK33" s="36">
        <f t="shared" si="1"/>
        <v>1009.9999999999909</v>
      </c>
      <c r="AL33" s="36">
        <f t="shared" si="1"/>
        <v>929</v>
      </c>
      <c r="AM33" s="36">
        <f t="shared" si="1"/>
        <v>899.99999999997726</v>
      </c>
      <c r="AN33" s="36">
        <f t="shared" si="1"/>
        <v>774</v>
      </c>
      <c r="AO33" s="36">
        <f t="shared" si="1"/>
        <v>930.00000000000682</v>
      </c>
      <c r="AP33" s="36">
        <f t="shared" si="1"/>
        <v>1435</v>
      </c>
      <c r="AQ33" s="17">
        <f t="shared" si="1"/>
        <v>892.40000000000146</v>
      </c>
      <c r="AR33" s="17">
        <f t="shared" si="1"/>
        <v>331.70000000000073</v>
      </c>
      <c r="AS33" s="17">
        <f t="shared" si="1"/>
        <v>210.40000000000055</v>
      </c>
      <c r="AT33" s="17">
        <f t="shared" si="1"/>
        <v>1357.3999999999942</v>
      </c>
      <c r="AU33" s="17">
        <f t="shared" si="1"/>
        <v>7383</v>
      </c>
      <c r="AV33" s="17">
        <f t="shared" si="1"/>
        <v>17009.999999999989</v>
      </c>
      <c r="AW33" s="17">
        <f t="shared" si="1"/>
        <v>2154.5</v>
      </c>
      <c r="AX33" s="17">
        <f t="shared" si="1"/>
        <v>336.99599999999998</v>
      </c>
      <c r="AY33" s="17">
        <f t="shared" si="1"/>
        <v>84.248999999999967</v>
      </c>
      <c r="AZ33" s="17">
        <f t="shared" si="1"/>
        <v>29.303999999999995</v>
      </c>
      <c r="BA33" s="17">
        <f t="shared" si="1"/>
        <v>97.069500000000005</v>
      </c>
      <c r="BB33" s="17">
        <f t="shared" si="1"/>
        <v>141.02549999999997</v>
      </c>
      <c r="BC33" s="17">
        <f t="shared" si="1"/>
        <v>626</v>
      </c>
    </row>
    <row r="35" spans="5:55" x14ac:dyDescent="0.25">
      <c r="E35" s="42">
        <f>E33/E37</f>
        <v>0.18856858625527997</v>
      </c>
      <c r="G35" s="33">
        <f>G33-M36</f>
        <v>38563.000000000204</v>
      </c>
      <c r="AE35" s="39">
        <f>SUM(U33:AE33)</f>
        <v>27882.870000000039</v>
      </c>
      <c r="AG35" s="36">
        <f>SUM(AG33:AP33)</f>
        <v>9488.0000000000236</v>
      </c>
    </row>
    <row r="36" spans="5:55" x14ac:dyDescent="0.25">
      <c r="G36" s="33">
        <f>G35-633*14</f>
        <v>29701.000000000204</v>
      </c>
      <c r="M36" s="33">
        <f>M33+N33</f>
        <v>38337</v>
      </c>
    </row>
    <row r="37" spans="5:55" x14ac:dyDescent="0.25">
      <c r="E37" s="17">
        <f>E33+F33+G33+H33+J33-633*14</f>
        <v>269398.00000000023</v>
      </c>
      <c r="G37" s="41">
        <f>M36/E37</f>
        <v>0.14230617896198178</v>
      </c>
      <c r="M37" s="39">
        <f>AE35</f>
        <v>27882.870000000039</v>
      </c>
    </row>
    <row r="38" spans="5:55" x14ac:dyDescent="0.25">
      <c r="L38" s="31">
        <f>M38/E37</f>
        <v>3.5219266661222486E-2</v>
      </c>
      <c r="M38" s="33">
        <f>AG35</f>
        <v>9488.0000000000236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8" activePane="bottomLeft" state="frozen"/>
      <selection pane="bottomLeft" activeCell="A27" sqref="A27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7" customWidth="1"/>
    <col min="5" max="5" width="13.7109375" style="63" customWidth="1"/>
    <col min="6" max="6" width="13.85546875" style="88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9" customWidth="1"/>
    <col min="17" max="17" width="13.42578125" style="63" customWidth="1"/>
    <col min="18" max="18" width="13.42578125" style="89" customWidth="1"/>
    <col min="19" max="19" width="13.42578125" style="63" customWidth="1"/>
    <col min="20" max="20" width="13.42578125" style="89" customWidth="1"/>
    <col min="21" max="21" width="13.42578125" style="63" customWidth="1"/>
    <col min="22" max="22" width="13.42578125" style="89" customWidth="1"/>
    <col min="23" max="23" width="13.42578125" style="63" customWidth="1"/>
    <col min="24" max="24" width="13.42578125" style="89" customWidth="1"/>
    <col min="25" max="25" width="13.42578125" style="63" customWidth="1"/>
    <col min="26" max="26" width="13.42578125" style="89" customWidth="1"/>
    <col min="27" max="27" width="14.42578125" style="63" customWidth="1"/>
    <col min="28" max="28" width="10.5703125" style="89" customWidth="1"/>
    <col min="29" max="29" width="13.42578125" style="63" customWidth="1"/>
    <col min="30" max="30" width="11" style="89" customWidth="1"/>
    <col min="31" max="31" width="13.42578125" style="63" customWidth="1"/>
    <col min="32" max="32" width="13.42578125" style="89" customWidth="1"/>
    <col min="33" max="33" width="11.85546875" style="63" customWidth="1"/>
    <col min="34" max="34" width="9.5703125" style="89" customWidth="1"/>
    <col min="35" max="35" width="13.140625" style="63" customWidth="1"/>
    <col min="36" max="36" width="12.5703125" style="89" customWidth="1"/>
    <col min="37" max="37" width="13.42578125" style="63" customWidth="1"/>
    <col min="38" max="38" width="16" style="89" customWidth="1"/>
    <col min="39" max="39" width="13.42578125" style="74" customWidth="1"/>
    <col min="40" max="40" width="13.42578125" style="89" customWidth="1"/>
    <col min="41" max="41" width="13.42578125" style="74" customWidth="1"/>
    <col min="42" max="42" width="13.42578125" style="89" customWidth="1"/>
    <col min="43" max="43" width="13.42578125" style="74" customWidth="1"/>
    <col min="44" max="44" width="13.42578125" style="89" customWidth="1"/>
    <col min="45" max="45" width="13.42578125" style="74" customWidth="1"/>
    <col min="46" max="46" width="13.42578125" style="89" customWidth="1"/>
    <col min="47" max="47" width="13.42578125" style="74" customWidth="1"/>
    <col min="48" max="48" width="13.42578125" style="89" customWidth="1"/>
    <col min="49" max="49" width="13.42578125" style="74" customWidth="1"/>
    <col min="50" max="50" width="13.42578125" style="89" customWidth="1"/>
    <col min="51" max="51" width="13.42578125" style="74" customWidth="1"/>
    <col min="52" max="52" width="13.42578125" style="89" customWidth="1"/>
    <col min="53" max="53" width="13.42578125" style="74" customWidth="1"/>
    <col min="54" max="54" width="13.42578125" style="89" customWidth="1"/>
    <col min="55" max="55" width="13.42578125" style="74" customWidth="1"/>
    <col min="56" max="56" width="13.42578125" style="89" customWidth="1"/>
    <col min="57" max="57" width="13.42578125" style="74" customWidth="1"/>
    <col min="58" max="58" width="13.42578125" style="89" customWidth="1"/>
    <col min="59" max="59" width="13.42578125" style="74" customWidth="1"/>
    <col min="60" max="60" width="13.42578125" style="89" customWidth="1"/>
    <col min="61" max="61" width="13.42578125" style="74" customWidth="1"/>
    <col min="62" max="62" width="13.42578125" style="89" customWidth="1"/>
    <col min="63" max="63" width="13.42578125" style="74" customWidth="1"/>
    <col min="64" max="64" width="13.42578125" style="89" customWidth="1"/>
    <col min="65" max="65" width="13.42578125" style="74" customWidth="1"/>
    <col min="66" max="66" width="13.42578125" style="89" customWidth="1"/>
    <col min="67" max="67" width="13.42578125" style="74" customWidth="1"/>
    <col min="68" max="68" width="13.42578125" style="89" customWidth="1"/>
    <col min="69" max="69" width="13.42578125" style="74" customWidth="1"/>
    <col min="70" max="70" width="13.42578125" style="89" customWidth="1"/>
    <col min="71" max="71" width="13.42578125" style="74" customWidth="1"/>
    <col min="72" max="72" width="13.42578125" style="89" customWidth="1"/>
    <col min="73" max="73" width="13.42578125" style="74" customWidth="1"/>
    <col min="74" max="74" width="13.42578125" style="89" customWidth="1"/>
    <col min="75" max="75" width="13.42578125" style="74" customWidth="1"/>
    <col min="76" max="76" width="13.42578125" style="89" customWidth="1"/>
    <col min="77" max="77" width="13.42578125" style="74" customWidth="1"/>
    <col min="78" max="78" width="13.42578125" style="89" customWidth="1"/>
    <col min="79" max="79" width="13.42578125" style="74" customWidth="1"/>
    <col min="80" max="80" width="13.42578125" style="89" customWidth="1"/>
    <col min="81" max="81" width="13.42578125" style="74" customWidth="1"/>
    <col min="82" max="82" width="13.42578125" style="89" customWidth="1"/>
    <col min="83" max="83" width="13.42578125" style="74" customWidth="1"/>
    <col min="84" max="84" width="13.42578125" style="89" customWidth="1"/>
    <col min="85" max="85" width="13.42578125" style="74" customWidth="1"/>
    <col min="86" max="86" width="13.42578125" style="89" customWidth="1"/>
    <col min="87" max="87" width="13.42578125" style="74" customWidth="1"/>
    <col min="88" max="88" width="13.42578125" style="89" customWidth="1"/>
    <col min="89" max="89" width="13.7109375" style="74" customWidth="1"/>
    <col min="90" max="91" width="13" style="74" customWidth="1"/>
    <col min="92" max="93" width="13" style="90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1" t="s">
        <v>14</v>
      </c>
      <c r="D1" s="92"/>
      <c r="E1" s="91" t="s">
        <v>15</v>
      </c>
      <c r="F1" s="92"/>
      <c r="G1" s="91" t="s">
        <v>16</v>
      </c>
      <c r="H1" s="92"/>
      <c r="I1" s="91" t="s">
        <v>17</v>
      </c>
      <c r="J1" s="92"/>
      <c r="K1" s="91" t="s">
        <v>18</v>
      </c>
      <c r="L1" s="92"/>
      <c r="M1" s="91" t="s">
        <v>19</v>
      </c>
      <c r="N1" s="92"/>
      <c r="O1" s="91" t="s">
        <v>20</v>
      </c>
      <c r="P1" s="92"/>
      <c r="Q1" s="91" t="s">
        <v>21</v>
      </c>
      <c r="R1" s="92"/>
      <c r="S1" s="91" t="s">
        <v>119</v>
      </c>
      <c r="T1" s="92"/>
      <c r="U1" s="91" t="s">
        <v>120</v>
      </c>
      <c r="V1" s="92"/>
      <c r="W1" s="93" t="s">
        <v>121</v>
      </c>
      <c r="X1" s="94"/>
      <c r="Y1" s="91" t="s">
        <v>122</v>
      </c>
      <c r="Z1" s="92"/>
      <c r="AA1" s="91" t="s">
        <v>123</v>
      </c>
      <c r="AB1" s="92"/>
      <c r="AC1" s="91" t="s">
        <v>124</v>
      </c>
      <c r="AD1" s="92"/>
      <c r="AE1" s="91" t="s">
        <v>125</v>
      </c>
      <c r="AF1" s="92"/>
      <c r="AG1" s="91" t="s">
        <v>22</v>
      </c>
      <c r="AH1" s="92"/>
      <c r="AI1" s="91" t="s">
        <v>126</v>
      </c>
      <c r="AJ1" s="92"/>
      <c r="AK1" s="91" t="s">
        <v>127</v>
      </c>
      <c r="AL1" s="92"/>
      <c r="AM1" s="91" t="s">
        <v>128</v>
      </c>
      <c r="AN1" s="92"/>
      <c r="AO1" s="91" t="s">
        <v>129</v>
      </c>
      <c r="AP1" s="92"/>
      <c r="AQ1" s="91" t="s">
        <v>130</v>
      </c>
      <c r="AR1" s="92"/>
      <c r="AS1" s="91" t="s">
        <v>131</v>
      </c>
      <c r="AT1" s="92"/>
      <c r="AU1" s="91" t="s">
        <v>137</v>
      </c>
      <c r="AV1" s="92"/>
      <c r="AW1" s="91" t="s">
        <v>136</v>
      </c>
      <c r="AX1" s="92"/>
      <c r="AY1" s="91" t="s">
        <v>135</v>
      </c>
      <c r="AZ1" s="92"/>
      <c r="BA1" s="91" t="s">
        <v>134</v>
      </c>
      <c r="BB1" s="92"/>
      <c r="BC1" s="91" t="s">
        <v>23</v>
      </c>
      <c r="BD1" s="92"/>
      <c r="BE1" s="91" t="s">
        <v>132</v>
      </c>
      <c r="BF1" s="92"/>
      <c r="BG1" s="91" t="s">
        <v>24</v>
      </c>
      <c r="BH1" s="92"/>
      <c r="BI1" s="91" t="s">
        <v>25</v>
      </c>
      <c r="BJ1" s="92"/>
      <c r="BK1" s="91" t="s">
        <v>26</v>
      </c>
      <c r="BL1" s="92"/>
      <c r="BM1" s="91" t="s">
        <v>27</v>
      </c>
      <c r="BN1" s="92"/>
      <c r="BO1" s="91" t="s">
        <v>28</v>
      </c>
      <c r="BP1" s="92"/>
      <c r="BQ1" s="91" t="s">
        <v>29</v>
      </c>
      <c r="BR1" s="92"/>
      <c r="BS1" s="91" t="s">
        <v>30</v>
      </c>
      <c r="BT1" s="92"/>
      <c r="BU1" s="91" t="s">
        <v>31</v>
      </c>
      <c r="BV1" s="92"/>
      <c r="BW1" s="91" t="s">
        <v>32</v>
      </c>
      <c r="BX1" s="92"/>
      <c r="BY1" s="91" t="s">
        <v>33</v>
      </c>
      <c r="BZ1" s="92"/>
      <c r="CA1" s="91" t="s">
        <v>133</v>
      </c>
      <c r="CB1" s="92"/>
      <c r="CC1" s="91" t="s">
        <v>34</v>
      </c>
      <c r="CD1" s="92"/>
      <c r="CE1" s="91" t="s">
        <v>35</v>
      </c>
      <c r="CF1" s="92"/>
      <c r="CG1" s="91" t="s">
        <v>36</v>
      </c>
      <c r="CH1" s="92"/>
      <c r="CI1" s="91" t="s">
        <v>50</v>
      </c>
      <c r="CJ1" s="92"/>
      <c r="CK1" s="91" t="s">
        <v>38</v>
      </c>
      <c r="CL1" s="92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-3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45">
      <c r="A19" s="76">
        <v>43815</v>
      </c>
      <c r="B19" s="49"/>
      <c r="C19" s="65">
        <v>1.3444</v>
      </c>
      <c r="D19" s="77">
        <f t="shared" si="2"/>
        <v>2800.0000000001355</v>
      </c>
      <c r="E19" s="65">
        <v>2.2646999999999999</v>
      </c>
      <c r="F19" s="77">
        <f t="shared" si="3"/>
        <v>3600.0000000000477</v>
      </c>
      <c r="G19" s="65">
        <v>2.1042999999999998</v>
      </c>
      <c r="H19" s="77">
        <f t="shared" si="4"/>
        <v>3699.9999999998145</v>
      </c>
      <c r="I19" s="65">
        <v>981.44</v>
      </c>
      <c r="J19" s="77">
        <f t="shared" si="5"/>
        <v>1610.0000000000136</v>
      </c>
      <c r="K19" s="65">
        <v>1.5044</v>
      </c>
      <c r="L19" s="77">
        <f t="shared" si="0"/>
        <v>2599.9999999999359</v>
      </c>
      <c r="M19" s="65">
        <v>944.32</v>
      </c>
      <c r="N19" s="78">
        <f t="shared" si="23"/>
        <v>1950.0000000000455</v>
      </c>
      <c r="O19" s="65">
        <v>10550</v>
      </c>
      <c r="P19" s="78">
        <f t="shared" si="6"/>
        <v>18</v>
      </c>
      <c r="Q19" s="65">
        <v>4196</v>
      </c>
      <c r="R19" s="78">
        <f t="shared" si="7"/>
        <v>7</v>
      </c>
      <c r="S19" s="80">
        <v>687100</v>
      </c>
      <c r="T19" s="78">
        <f t="shared" si="8"/>
        <v>991</v>
      </c>
      <c r="U19" s="80">
        <v>278700</v>
      </c>
      <c r="V19" s="78">
        <f t="shared" si="9"/>
        <v>518</v>
      </c>
      <c r="W19" s="80">
        <v>273.04000000000002</v>
      </c>
      <c r="X19" s="78">
        <f t="shared" si="43"/>
        <v>470.00000000002728</v>
      </c>
      <c r="Y19" s="80">
        <v>2.0122</v>
      </c>
      <c r="Z19" s="78">
        <f t="shared" si="24"/>
        <v>3099.9999999998809</v>
      </c>
      <c r="AA19" s="80">
        <v>270.56</v>
      </c>
      <c r="AB19" s="78">
        <f t="shared" si="25"/>
        <v>560.00000000000227</v>
      </c>
      <c r="AC19" s="80">
        <v>247.25</v>
      </c>
      <c r="AD19" s="78">
        <f t="shared" si="26"/>
        <v>469.99999999999886</v>
      </c>
      <c r="AE19" s="74">
        <v>361.93</v>
      </c>
      <c r="AF19" s="78">
        <f t="shared" si="27"/>
        <v>790.00000000002046</v>
      </c>
      <c r="AG19" s="74">
        <v>958.7</v>
      </c>
      <c r="AH19" s="78">
        <f t="shared" si="10"/>
        <v>2.9000000000000909</v>
      </c>
      <c r="AI19" s="80">
        <v>339.41</v>
      </c>
      <c r="AJ19" s="78">
        <f t="shared" si="28"/>
        <v>410.00000000002501</v>
      </c>
      <c r="AK19" s="80">
        <v>116.85</v>
      </c>
      <c r="AL19" s="78">
        <f t="shared" si="11"/>
        <v>0.28999999999999204</v>
      </c>
      <c r="AM19" s="80">
        <v>118.96</v>
      </c>
      <c r="AN19" s="78">
        <f t="shared" si="12"/>
        <v>0.22999999999998977</v>
      </c>
      <c r="AO19" s="80">
        <v>117.63</v>
      </c>
      <c r="AP19" s="78">
        <f t="shared" si="13"/>
        <v>0.14000000000000057</v>
      </c>
      <c r="AQ19" s="80">
        <v>193.4</v>
      </c>
      <c r="AR19" s="78">
        <f t="shared" si="29"/>
        <v>99.999999999994316</v>
      </c>
      <c r="AS19" s="80">
        <v>315.82</v>
      </c>
      <c r="AT19" s="78">
        <f t="shared" si="30"/>
        <v>60.000000000002274</v>
      </c>
      <c r="AU19" s="80">
        <v>241.67</v>
      </c>
      <c r="AV19" s="78">
        <f t="shared" si="31"/>
        <v>219.99999999999886</v>
      </c>
      <c r="AW19" s="80">
        <v>272.95999999999998</v>
      </c>
      <c r="AX19" s="78">
        <f t="shared" si="32"/>
        <v>159.99999999996817</v>
      </c>
      <c r="AY19" s="80">
        <v>325.83</v>
      </c>
      <c r="AZ19" s="78">
        <f t="shared" si="33"/>
        <v>219.99999999997044</v>
      </c>
      <c r="BA19" s="80">
        <v>343.19</v>
      </c>
      <c r="BB19" s="78">
        <f t="shared" si="34"/>
        <v>290.00000000002046</v>
      </c>
      <c r="BC19" s="80">
        <v>196.29</v>
      </c>
      <c r="BD19" s="78">
        <f t="shared" si="35"/>
        <v>99.999999999994316</v>
      </c>
      <c r="BE19" s="70">
        <v>21317</v>
      </c>
      <c r="BF19" s="78">
        <f t="shared" si="14"/>
        <v>40</v>
      </c>
      <c r="BG19" s="70">
        <v>218.77</v>
      </c>
      <c r="BH19" s="78">
        <f t="shared" si="36"/>
        <v>30.000000000001137</v>
      </c>
      <c r="BI19" s="70">
        <v>275</v>
      </c>
      <c r="BJ19" s="78">
        <f t="shared" si="37"/>
        <v>40.000000000020464</v>
      </c>
      <c r="BK19" s="70">
        <v>222.86</v>
      </c>
      <c r="BL19" s="78">
        <f t="shared" si="38"/>
        <v>40.000000000020464</v>
      </c>
      <c r="BM19" s="70">
        <v>206.08</v>
      </c>
      <c r="BN19" s="78">
        <f t="shared" si="39"/>
        <v>40.000000000020464</v>
      </c>
      <c r="BO19" s="70">
        <v>269.68</v>
      </c>
      <c r="BP19" s="78">
        <f t="shared" si="40"/>
        <v>60.000000000002274</v>
      </c>
      <c r="BQ19" s="70">
        <v>33042</v>
      </c>
      <c r="BR19" s="78">
        <f t="shared" si="15"/>
        <v>39</v>
      </c>
      <c r="BS19" s="70">
        <v>187.15</v>
      </c>
      <c r="BT19" s="78">
        <f t="shared" si="41"/>
        <v>50.000000000011369</v>
      </c>
      <c r="BU19" s="70">
        <v>23937</v>
      </c>
      <c r="BV19" s="78">
        <f t="shared" si="16"/>
        <v>38</v>
      </c>
      <c r="BW19" s="70">
        <v>216.49</v>
      </c>
      <c r="BX19" s="78">
        <f t="shared" si="42"/>
        <v>40.000000000020464</v>
      </c>
      <c r="BY19" s="72">
        <v>39547</v>
      </c>
      <c r="BZ19" s="78">
        <f t="shared" si="17"/>
        <v>79</v>
      </c>
      <c r="CA19" s="65">
        <v>23416.3</v>
      </c>
      <c r="CB19" s="78">
        <f t="shared" si="18"/>
        <v>21.200000000000728</v>
      </c>
      <c r="CC19" s="65">
        <v>9993.5</v>
      </c>
      <c r="CD19" s="78">
        <f t="shared" si="19"/>
        <v>13.399999999999636</v>
      </c>
      <c r="CE19" s="65">
        <v>4739.2</v>
      </c>
      <c r="CF19" s="78">
        <f t="shared" si="20"/>
        <v>11.699999999999818</v>
      </c>
      <c r="CG19" s="65">
        <v>35711.9</v>
      </c>
      <c r="CH19" s="78">
        <f t="shared" si="21"/>
        <v>64.200000000004366</v>
      </c>
      <c r="CI19" s="65">
        <v>809694</v>
      </c>
      <c r="CJ19" s="78">
        <f t="shared" si="1"/>
        <v>360</v>
      </c>
      <c r="CK19" s="65">
        <v>478.64</v>
      </c>
      <c r="CL19" s="77">
        <f t="shared" si="22"/>
        <v>879.99999999999545</v>
      </c>
      <c r="CM19" s="78">
        <v>95</v>
      </c>
      <c r="CN19" s="79">
        <v>37</v>
      </c>
      <c r="CO19" s="79">
        <v>102</v>
      </c>
    </row>
    <row r="20" spans="1:93" ht="25.5" customHeight="1" thickBot="1" x14ac:dyDescent="0.45">
      <c r="A20" s="76">
        <v>43816</v>
      </c>
      <c r="B20" s="49"/>
      <c r="C20" s="65">
        <v>1.3469</v>
      </c>
      <c r="D20" s="77">
        <f t="shared" si="2"/>
        <v>2499.9999999999468</v>
      </c>
      <c r="E20" s="65">
        <v>2.2682000000000002</v>
      </c>
      <c r="F20" s="77">
        <f t="shared" si="3"/>
        <v>3500.0000000002806</v>
      </c>
      <c r="G20" s="65">
        <v>2.1078000000000001</v>
      </c>
      <c r="H20" s="77">
        <f t="shared" si="4"/>
        <v>3500.0000000002806</v>
      </c>
      <c r="I20" s="65">
        <v>982.97</v>
      </c>
      <c r="J20" s="77">
        <f t="shared" si="5"/>
        <v>1529.9999999999727</v>
      </c>
      <c r="K20" s="65">
        <v>1.5069999999999999</v>
      </c>
      <c r="L20" s="77">
        <f t="shared" si="0"/>
        <v>2599.9999999999359</v>
      </c>
      <c r="M20" s="65">
        <v>945.99</v>
      </c>
      <c r="N20" s="78">
        <f t="shared" si="23"/>
        <v>1669.9999999999591</v>
      </c>
      <c r="O20" s="65">
        <v>10569</v>
      </c>
      <c r="P20" s="78">
        <f t="shared" si="6"/>
        <v>19</v>
      </c>
      <c r="Q20" s="65">
        <v>4205</v>
      </c>
      <c r="R20" s="78">
        <f t="shared" si="7"/>
        <v>9</v>
      </c>
      <c r="S20" s="80">
        <v>689004</v>
      </c>
      <c r="T20" s="78">
        <f t="shared" si="8"/>
        <v>1904</v>
      </c>
      <c r="U20" s="80">
        <v>279384</v>
      </c>
      <c r="V20" s="78">
        <f t="shared" si="9"/>
        <v>684</v>
      </c>
      <c r="W20" s="80">
        <v>273.39999999999998</v>
      </c>
      <c r="X20" s="78">
        <f t="shared" si="43"/>
        <v>359.9999999999568</v>
      </c>
      <c r="Y20" s="80">
        <v>2.0154000000000001</v>
      </c>
      <c r="Z20" s="78">
        <f t="shared" si="24"/>
        <v>3200.0000000000919</v>
      </c>
      <c r="AA20" s="80">
        <v>271.04000000000002</v>
      </c>
      <c r="AB20" s="78">
        <f t="shared" si="25"/>
        <v>480.00000000001819</v>
      </c>
      <c r="AC20" s="80">
        <v>247.63</v>
      </c>
      <c r="AD20" s="78">
        <f t="shared" si="26"/>
        <v>379.99999999999545</v>
      </c>
      <c r="AE20" s="74">
        <v>362.67</v>
      </c>
      <c r="AF20" s="78">
        <f t="shared" si="27"/>
        <v>740.00000000000909</v>
      </c>
      <c r="AG20" s="74">
        <v>961</v>
      </c>
      <c r="AH20" s="78">
        <f t="shared" si="10"/>
        <v>2.2999999999999545</v>
      </c>
      <c r="AI20" s="80">
        <v>340.02</v>
      </c>
      <c r="AJ20" s="78">
        <f t="shared" si="28"/>
        <v>609.9999999999568</v>
      </c>
      <c r="AK20" s="80">
        <v>117.14</v>
      </c>
      <c r="AL20" s="78">
        <f t="shared" si="11"/>
        <v>0.29000000000000625</v>
      </c>
      <c r="AM20" s="80">
        <v>119.05</v>
      </c>
      <c r="AN20" s="78">
        <f t="shared" si="12"/>
        <v>9.0000000000003411E-2</v>
      </c>
      <c r="AO20" s="80">
        <v>117.78</v>
      </c>
      <c r="AP20" s="78">
        <f t="shared" si="13"/>
        <v>0.15000000000000568</v>
      </c>
      <c r="AQ20" s="80">
        <v>193.49</v>
      </c>
      <c r="AR20" s="78">
        <f t="shared" si="29"/>
        <v>90.000000000003411</v>
      </c>
      <c r="AS20" s="80">
        <v>315.88</v>
      </c>
      <c r="AT20" s="78">
        <f t="shared" si="30"/>
        <v>60.000000000002274</v>
      </c>
      <c r="AU20" s="80">
        <v>241.89</v>
      </c>
      <c r="AV20" s="78">
        <f t="shared" si="31"/>
        <v>219.99999999999886</v>
      </c>
      <c r="AW20" s="80">
        <v>273.08999999999997</v>
      </c>
      <c r="AX20" s="78">
        <f t="shared" si="32"/>
        <v>129.99999999999545</v>
      </c>
      <c r="AY20" s="80">
        <v>325.99</v>
      </c>
      <c r="AZ20" s="78">
        <f t="shared" si="33"/>
        <v>160.00000000002501</v>
      </c>
      <c r="BA20" s="80">
        <v>343.4</v>
      </c>
      <c r="BB20" s="78">
        <f t="shared" si="34"/>
        <v>209.99999999997954</v>
      </c>
      <c r="BC20" s="80">
        <v>196.38</v>
      </c>
      <c r="BD20" s="78">
        <f t="shared" si="35"/>
        <v>90.000000000003411</v>
      </c>
      <c r="BE20" s="70">
        <v>21373</v>
      </c>
      <c r="BF20" s="78">
        <f t="shared" si="14"/>
        <v>56</v>
      </c>
      <c r="BG20" s="70">
        <v>218.8</v>
      </c>
      <c r="BH20" s="78">
        <f t="shared" si="36"/>
        <v>30.000000000001137</v>
      </c>
      <c r="BI20" s="70">
        <v>275.04000000000002</v>
      </c>
      <c r="BJ20" s="78">
        <f t="shared" si="37"/>
        <v>40.000000000020464</v>
      </c>
      <c r="BK20" s="70">
        <v>222.9</v>
      </c>
      <c r="BL20" s="78">
        <f t="shared" si="38"/>
        <v>39.999999999992042</v>
      </c>
      <c r="BM20" s="70">
        <v>206.12</v>
      </c>
      <c r="BN20" s="78">
        <f t="shared" si="39"/>
        <v>39.999999999992042</v>
      </c>
      <c r="BO20" s="70">
        <v>269.72000000000003</v>
      </c>
      <c r="BP20" s="78">
        <f t="shared" si="40"/>
        <v>40.000000000020464</v>
      </c>
      <c r="BQ20" s="70">
        <v>33076</v>
      </c>
      <c r="BR20" s="78">
        <f t="shared" si="15"/>
        <v>34</v>
      </c>
      <c r="BS20" s="70">
        <v>187.19</v>
      </c>
      <c r="BT20" s="78">
        <f t="shared" si="41"/>
        <v>39.999999999992042</v>
      </c>
      <c r="BU20" s="70">
        <v>23969</v>
      </c>
      <c r="BV20" s="78">
        <f t="shared" si="16"/>
        <v>32</v>
      </c>
      <c r="BW20" s="70">
        <v>216.53</v>
      </c>
      <c r="BX20" s="78">
        <f t="shared" si="42"/>
        <v>39.999999999992042</v>
      </c>
      <c r="BY20" s="72">
        <v>39596</v>
      </c>
      <c r="BZ20" s="78">
        <f t="shared" si="17"/>
        <v>49</v>
      </c>
      <c r="CA20" s="65">
        <v>23454.400000000001</v>
      </c>
      <c r="CB20" s="78">
        <f t="shared" si="18"/>
        <v>38.100000000002183</v>
      </c>
      <c r="CC20" s="65">
        <v>10006</v>
      </c>
      <c r="CD20" s="78">
        <f t="shared" si="19"/>
        <v>12.5</v>
      </c>
      <c r="CE20" s="65">
        <v>4751.8</v>
      </c>
      <c r="CF20" s="78">
        <f t="shared" si="20"/>
        <v>12.600000000000364</v>
      </c>
      <c r="CG20" s="65">
        <v>35762.9</v>
      </c>
      <c r="CH20" s="78">
        <f t="shared" si="21"/>
        <v>51</v>
      </c>
      <c r="CI20" s="65">
        <v>810062</v>
      </c>
      <c r="CJ20" s="78">
        <f t="shared" si="1"/>
        <v>368</v>
      </c>
      <c r="CK20" s="65">
        <v>479.28</v>
      </c>
      <c r="CL20" s="77">
        <f t="shared" si="22"/>
        <v>639.99999999998636</v>
      </c>
      <c r="CM20" s="78">
        <v>97</v>
      </c>
      <c r="CN20" s="79">
        <v>37</v>
      </c>
      <c r="CO20" s="79">
        <v>95</v>
      </c>
    </row>
    <row r="21" spans="1:93" ht="25.5" customHeight="1" thickBot="1" x14ac:dyDescent="0.45">
      <c r="A21" s="76">
        <v>43817</v>
      </c>
      <c r="B21" s="49"/>
      <c r="C21" s="65">
        <v>1.3489</v>
      </c>
      <c r="D21" s="77">
        <f t="shared" si="2"/>
        <v>2000.0000000000018</v>
      </c>
      <c r="E21" s="65">
        <v>2.2717999999999998</v>
      </c>
      <c r="F21" s="77">
        <f t="shared" si="3"/>
        <v>3599.9999999996035</v>
      </c>
      <c r="G21" s="65">
        <v>2.1112000000000002</v>
      </c>
      <c r="H21" s="77">
        <f t="shared" si="4"/>
        <v>3400.0000000000696</v>
      </c>
      <c r="I21" s="65">
        <v>984.37</v>
      </c>
      <c r="J21" s="77">
        <f t="shared" si="5"/>
        <v>1399.9999999999773</v>
      </c>
      <c r="K21" s="65">
        <v>1.5095000000000001</v>
      </c>
      <c r="L21" s="77">
        <f t="shared" si="0"/>
        <v>2500.0000000001687</v>
      </c>
      <c r="M21" s="65">
        <v>947.36</v>
      </c>
      <c r="N21" s="78">
        <f t="shared" si="23"/>
        <v>1370.0000000000045</v>
      </c>
      <c r="O21" s="65">
        <v>10587</v>
      </c>
      <c r="P21" s="78">
        <f t="shared" si="6"/>
        <v>18</v>
      </c>
      <c r="Q21" s="65">
        <v>4211</v>
      </c>
      <c r="R21" s="78">
        <f t="shared" si="7"/>
        <v>6</v>
      </c>
      <c r="S21" s="80">
        <v>690389</v>
      </c>
      <c r="T21" s="78">
        <f t="shared" si="8"/>
        <v>1385</v>
      </c>
      <c r="U21" s="80">
        <v>279904</v>
      </c>
      <c r="V21" s="78">
        <f t="shared" si="9"/>
        <v>520</v>
      </c>
      <c r="W21" s="65">
        <v>273.83999999999997</v>
      </c>
      <c r="X21" s="78">
        <f t="shared" si="43"/>
        <v>439.99999999999773</v>
      </c>
      <c r="Y21" s="65">
        <v>2.0185</v>
      </c>
      <c r="Z21" s="78">
        <f t="shared" si="24"/>
        <v>3099.9999999998809</v>
      </c>
      <c r="AA21" s="65">
        <v>271.5</v>
      </c>
      <c r="AB21" s="78">
        <f t="shared" si="25"/>
        <v>459.99999999997954</v>
      </c>
      <c r="AC21" s="65">
        <v>247.93</v>
      </c>
      <c r="AD21" s="78">
        <f t="shared" si="26"/>
        <v>300.00000000001137</v>
      </c>
      <c r="AE21" s="65">
        <v>363.16</v>
      </c>
      <c r="AF21" s="78">
        <f t="shared" si="27"/>
        <v>490.00000000000909</v>
      </c>
      <c r="AG21" s="65">
        <v>963.7</v>
      </c>
      <c r="AH21" s="78">
        <f t="shared" si="10"/>
        <v>2.7000000000000455</v>
      </c>
      <c r="AI21" s="65">
        <v>340.4</v>
      </c>
      <c r="AJ21" s="78">
        <f t="shared" si="28"/>
        <v>379.99999999999545</v>
      </c>
      <c r="AK21" s="65">
        <v>117.33</v>
      </c>
      <c r="AL21" s="78">
        <f t="shared" si="11"/>
        <v>0.18999999999999773</v>
      </c>
      <c r="AM21" s="65">
        <v>119.13</v>
      </c>
      <c r="AN21" s="78">
        <f t="shared" si="12"/>
        <v>7.9999999999998295E-2</v>
      </c>
      <c r="AO21" s="65">
        <v>117.92</v>
      </c>
      <c r="AP21" s="78">
        <f t="shared" si="13"/>
        <v>0.14000000000000057</v>
      </c>
      <c r="AQ21" s="65">
        <v>193.59</v>
      </c>
      <c r="AR21" s="78">
        <f t="shared" si="29"/>
        <v>99.999999999994316</v>
      </c>
      <c r="AS21" s="65">
        <v>315.94</v>
      </c>
      <c r="AT21" s="78">
        <f t="shared" si="30"/>
        <v>60.000000000002274</v>
      </c>
      <c r="AU21" s="65">
        <v>242.07</v>
      </c>
      <c r="AV21" s="78">
        <f t="shared" si="31"/>
        <v>180.00000000000682</v>
      </c>
      <c r="AW21" s="65">
        <v>273.2</v>
      </c>
      <c r="AX21" s="78">
        <f t="shared" si="32"/>
        <v>110.00000000001364</v>
      </c>
      <c r="AY21" s="65">
        <v>326.14</v>
      </c>
      <c r="AZ21" s="78">
        <f t="shared" si="33"/>
        <v>149.99999999997726</v>
      </c>
      <c r="BA21" s="65">
        <v>343.57</v>
      </c>
      <c r="BB21" s="78">
        <f t="shared" si="34"/>
        <v>170.00000000001592</v>
      </c>
      <c r="BC21" s="65">
        <v>196.4</v>
      </c>
      <c r="BD21" s="78">
        <f t="shared" si="35"/>
        <v>20.000000000010232</v>
      </c>
      <c r="BE21" s="70">
        <v>21411</v>
      </c>
      <c r="BF21" s="78">
        <f t="shared" si="14"/>
        <v>38</v>
      </c>
      <c r="BG21" s="70">
        <v>218.82</v>
      </c>
      <c r="BH21" s="78">
        <f t="shared" si="36"/>
        <v>19.99999999998181</v>
      </c>
      <c r="BI21" s="70">
        <v>275.07</v>
      </c>
      <c r="BJ21" s="78">
        <f t="shared" si="37"/>
        <v>29.999999999972715</v>
      </c>
      <c r="BK21" s="70">
        <v>222.93</v>
      </c>
      <c r="BL21" s="78">
        <f t="shared" si="38"/>
        <v>30.000000000001137</v>
      </c>
      <c r="BM21" s="70">
        <v>206.15</v>
      </c>
      <c r="BN21" s="78">
        <f t="shared" si="39"/>
        <v>30.000000000001137</v>
      </c>
      <c r="BO21" s="70">
        <v>269.75</v>
      </c>
      <c r="BP21" s="78">
        <f t="shared" si="40"/>
        <v>29.999999999972715</v>
      </c>
      <c r="BQ21" s="70">
        <v>33109</v>
      </c>
      <c r="BR21" s="78">
        <f t="shared" si="15"/>
        <v>33</v>
      </c>
      <c r="BS21" s="70">
        <v>187.22</v>
      </c>
      <c r="BT21" s="78">
        <f t="shared" si="41"/>
        <v>30.000000000001137</v>
      </c>
      <c r="BU21" s="70">
        <v>23992</v>
      </c>
      <c r="BV21" s="78">
        <f t="shared" si="16"/>
        <v>23</v>
      </c>
      <c r="BW21" s="70">
        <v>216.56</v>
      </c>
      <c r="BX21" s="78">
        <f t="shared" si="42"/>
        <v>30.000000000001137</v>
      </c>
      <c r="BY21" s="72">
        <v>39633</v>
      </c>
      <c r="BZ21" s="78">
        <f t="shared" si="17"/>
        <v>37</v>
      </c>
      <c r="CA21" s="65">
        <v>23521.599999999999</v>
      </c>
      <c r="CB21" s="78">
        <f t="shared" si="18"/>
        <v>67.19999999999709</v>
      </c>
      <c r="CC21" s="65">
        <v>10023.200000000001</v>
      </c>
      <c r="CD21" s="78">
        <f t="shared" si="19"/>
        <v>17.200000000000728</v>
      </c>
      <c r="CE21" s="65">
        <v>4767.6000000000004</v>
      </c>
      <c r="CF21" s="78">
        <f t="shared" si="20"/>
        <v>15.800000000000182</v>
      </c>
      <c r="CG21" s="65">
        <v>35804.5</v>
      </c>
      <c r="CH21" s="78">
        <f t="shared" si="21"/>
        <v>41.599999999998545</v>
      </c>
      <c r="CI21" s="65">
        <v>810417</v>
      </c>
      <c r="CJ21" s="78">
        <f t="shared" si="1"/>
        <v>355</v>
      </c>
      <c r="CK21" s="65">
        <v>480.15</v>
      </c>
      <c r="CL21" s="77">
        <f t="shared" si="22"/>
        <v>870.00000000000455</v>
      </c>
      <c r="CM21" s="78">
        <v>88</v>
      </c>
      <c r="CN21" s="79">
        <v>28</v>
      </c>
      <c r="CO21" s="79">
        <v>91</v>
      </c>
    </row>
    <row r="22" spans="1:93" ht="25.5" customHeight="1" thickBot="1" x14ac:dyDescent="0.45">
      <c r="A22" s="76">
        <v>43818</v>
      </c>
      <c r="B22" s="49"/>
      <c r="C22" s="65">
        <v>1.3511</v>
      </c>
      <c r="D22" s="77">
        <f t="shared" si="2"/>
        <v>2199.9999999999795</v>
      </c>
      <c r="E22" s="65">
        <v>2.2753999999999999</v>
      </c>
      <c r="F22" s="77">
        <f t="shared" si="3"/>
        <v>3600.0000000000477</v>
      </c>
      <c r="G22" s="65">
        <v>2.1147</v>
      </c>
      <c r="H22" s="77">
        <f t="shared" si="4"/>
        <v>3499.9999999998367</v>
      </c>
      <c r="I22" s="65">
        <v>985.9</v>
      </c>
      <c r="J22" s="77">
        <f t="shared" si="5"/>
        <v>1529.9999999999727</v>
      </c>
      <c r="K22" s="65">
        <v>1.5124</v>
      </c>
      <c r="L22" s="77">
        <f t="shared" si="0"/>
        <v>2899.9999999999027</v>
      </c>
      <c r="M22" s="65">
        <v>948.88</v>
      </c>
      <c r="N22" s="78">
        <f t="shared" si="23"/>
        <v>1519.9999999999818</v>
      </c>
      <c r="O22" s="65">
        <v>10607</v>
      </c>
      <c r="P22" s="78">
        <f t="shared" si="6"/>
        <v>20</v>
      </c>
      <c r="Q22" s="65">
        <v>4218</v>
      </c>
      <c r="R22" s="78">
        <f t="shared" si="7"/>
        <v>7</v>
      </c>
      <c r="S22" s="80">
        <v>691535</v>
      </c>
      <c r="T22" s="78">
        <f t="shared" si="8"/>
        <v>1146</v>
      </c>
      <c r="U22" s="80">
        <v>280257</v>
      </c>
      <c r="V22" s="78">
        <f t="shared" si="9"/>
        <v>353</v>
      </c>
      <c r="W22" s="80">
        <v>274.29000000000002</v>
      </c>
      <c r="X22" s="78">
        <f t="shared" si="43"/>
        <v>450.00000000004547</v>
      </c>
      <c r="Y22" s="80">
        <v>2.0217000000000001</v>
      </c>
      <c r="Z22" s="78">
        <f t="shared" si="24"/>
        <v>3200.0000000000919</v>
      </c>
      <c r="AA22" s="80">
        <v>272.06</v>
      </c>
      <c r="AB22" s="78">
        <f t="shared" si="25"/>
        <v>560.00000000000227</v>
      </c>
      <c r="AC22" s="80">
        <v>248.26</v>
      </c>
      <c r="AD22" s="78">
        <f t="shared" si="26"/>
        <v>329.99999999998408</v>
      </c>
      <c r="AE22" s="74">
        <v>363.69</v>
      </c>
      <c r="AF22" s="78">
        <f t="shared" si="27"/>
        <v>529.99999999997272</v>
      </c>
      <c r="AG22" s="74">
        <v>965.3</v>
      </c>
      <c r="AH22" s="78">
        <f t="shared" si="10"/>
        <v>1.5999999999999091</v>
      </c>
      <c r="AI22" s="80">
        <v>340.82</v>
      </c>
      <c r="AJ22" s="78">
        <f t="shared" si="28"/>
        <v>420.00000000001592</v>
      </c>
      <c r="AK22" s="80">
        <v>117.55</v>
      </c>
      <c r="AL22" s="78">
        <f t="shared" si="11"/>
        <v>0.21999999999999886</v>
      </c>
      <c r="AM22" s="80">
        <v>119.3</v>
      </c>
      <c r="AN22" s="78">
        <f t="shared" si="12"/>
        <v>0.17000000000000171</v>
      </c>
      <c r="AO22" s="65">
        <v>118.09</v>
      </c>
      <c r="AP22" s="78">
        <f t="shared" si="13"/>
        <v>0.17000000000000171</v>
      </c>
      <c r="AQ22" s="65">
        <v>193.68</v>
      </c>
      <c r="AR22" s="78">
        <f t="shared" si="29"/>
        <v>90.000000000003411</v>
      </c>
      <c r="AS22" s="65">
        <v>316.02999999999997</v>
      </c>
      <c r="AT22" s="78">
        <f t="shared" si="30"/>
        <v>89.999999999974989</v>
      </c>
      <c r="AU22" s="65">
        <v>242.23</v>
      </c>
      <c r="AV22" s="78">
        <f t="shared" si="31"/>
        <v>159.99999999999659</v>
      </c>
      <c r="AW22" s="65">
        <v>273.33</v>
      </c>
      <c r="AX22" s="78">
        <f t="shared" si="32"/>
        <v>129.99999999999545</v>
      </c>
      <c r="AY22" s="65">
        <v>326.3</v>
      </c>
      <c r="AZ22" s="78">
        <f t="shared" si="33"/>
        <v>160.00000000002501</v>
      </c>
      <c r="BA22" s="65">
        <v>343.78</v>
      </c>
      <c r="BB22" s="78">
        <f t="shared" si="34"/>
        <v>209.99999999997954</v>
      </c>
      <c r="BC22" s="65">
        <v>196.42</v>
      </c>
      <c r="BD22" s="78">
        <f t="shared" si="35"/>
        <v>19.99999999998181</v>
      </c>
      <c r="BE22" s="70">
        <v>21457</v>
      </c>
      <c r="BF22" s="78">
        <f t="shared" si="14"/>
        <v>46</v>
      </c>
      <c r="BG22" s="70">
        <v>218.85</v>
      </c>
      <c r="BH22" s="78">
        <f t="shared" si="36"/>
        <v>30.000000000001137</v>
      </c>
      <c r="BI22" s="70">
        <v>275.12</v>
      </c>
      <c r="BJ22" s="78">
        <f t="shared" si="37"/>
        <v>50.000000000011369</v>
      </c>
      <c r="BK22" s="70">
        <v>222.97</v>
      </c>
      <c r="BL22" s="78">
        <f t="shared" si="38"/>
        <v>39.999999999992042</v>
      </c>
      <c r="BM22" s="70">
        <v>206.18</v>
      </c>
      <c r="BN22" s="78">
        <f t="shared" si="39"/>
        <v>30.000000000001137</v>
      </c>
      <c r="BO22" s="70">
        <v>269.79000000000002</v>
      </c>
      <c r="BP22" s="78">
        <f t="shared" si="40"/>
        <v>40.000000000020464</v>
      </c>
      <c r="BQ22" s="70">
        <v>33146</v>
      </c>
      <c r="BR22" s="78">
        <f t="shared" si="15"/>
        <v>37</v>
      </c>
      <c r="BS22" s="70">
        <v>187.25</v>
      </c>
      <c r="BT22" s="78">
        <f t="shared" si="41"/>
        <v>30.000000000001137</v>
      </c>
      <c r="BU22" s="70">
        <v>24015</v>
      </c>
      <c r="BV22" s="78">
        <f t="shared" si="16"/>
        <v>23</v>
      </c>
      <c r="BW22" s="70">
        <v>216.59</v>
      </c>
      <c r="BX22" s="78">
        <f t="shared" si="42"/>
        <v>30.000000000001137</v>
      </c>
      <c r="BY22" s="72">
        <v>39692</v>
      </c>
      <c r="BZ22" s="78">
        <f t="shared" si="17"/>
        <v>59</v>
      </c>
      <c r="CA22" s="65">
        <v>23574</v>
      </c>
      <c r="CB22" s="78">
        <f t="shared" si="18"/>
        <v>52.400000000001455</v>
      </c>
      <c r="CC22" s="65">
        <v>10048.799999999999</v>
      </c>
      <c r="CD22" s="78">
        <f t="shared" si="19"/>
        <v>25.599999999998545</v>
      </c>
      <c r="CE22" s="65">
        <v>4767.6000000000004</v>
      </c>
      <c r="CF22" s="78">
        <f t="shared" si="20"/>
        <v>0</v>
      </c>
      <c r="CG22" s="65">
        <v>35854.5</v>
      </c>
      <c r="CH22" s="78">
        <f t="shared" si="21"/>
        <v>50</v>
      </c>
      <c r="CI22" s="65">
        <v>810751</v>
      </c>
      <c r="CJ22" s="78">
        <f t="shared" si="1"/>
        <v>334</v>
      </c>
      <c r="CK22" s="65">
        <v>480.98</v>
      </c>
      <c r="CL22" s="77">
        <f t="shared" si="22"/>
        <v>830.00000000004093</v>
      </c>
      <c r="CM22" s="78">
        <v>92</v>
      </c>
      <c r="CN22" s="79">
        <v>34</v>
      </c>
      <c r="CO22" s="79">
        <v>97</v>
      </c>
    </row>
    <row r="23" spans="1:93" ht="25.5" customHeight="1" thickBot="1" x14ac:dyDescent="0.45">
      <c r="A23" s="76">
        <v>43819</v>
      </c>
      <c r="B23" s="49"/>
      <c r="C23" s="65">
        <v>1.3539000000000001</v>
      </c>
      <c r="D23" s="77">
        <f t="shared" si="2"/>
        <v>2800.0000000001355</v>
      </c>
      <c r="E23" s="65">
        <v>2.2791000000000001</v>
      </c>
      <c r="F23" s="77">
        <f t="shared" si="3"/>
        <v>3700.0000000002588</v>
      </c>
      <c r="G23" s="65">
        <v>2.1183999999999998</v>
      </c>
      <c r="H23" s="77">
        <f t="shared" si="4"/>
        <v>3699.9999999998145</v>
      </c>
      <c r="I23" s="65">
        <v>987.51</v>
      </c>
      <c r="J23" s="77">
        <f t="shared" si="5"/>
        <v>1610.0000000000136</v>
      </c>
      <c r="K23" s="65">
        <v>1.5152000000000001</v>
      </c>
      <c r="L23" s="77">
        <f t="shared" si="0"/>
        <v>2800.0000000001355</v>
      </c>
      <c r="M23" s="65">
        <v>950.74</v>
      </c>
      <c r="N23" s="78">
        <f t="shared" si="23"/>
        <v>1860.0000000000136</v>
      </c>
      <c r="O23" s="65">
        <v>10628</v>
      </c>
      <c r="P23" s="78">
        <f t="shared" si="6"/>
        <v>21</v>
      </c>
      <c r="Q23" s="65">
        <v>4226</v>
      </c>
      <c r="R23" s="78">
        <f t="shared" si="7"/>
        <v>8</v>
      </c>
      <c r="S23" s="80">
        <v>692820</v>
      </c>
      <c r="T23" s="78">
        <f t="shared" si="8"/>
        <v>1285</v>
      </c>
      <c r="U23" s="80">
        <v>280766</v>
      </c>
      <c r="V23" s="78">
        <f t="shared" si="9"/>
        <v>509</v>
      </c>
      <c r="W23" s="80">
        <v>274.73</v>
      </c>
      <c r="X23" s="78">
        <f t="shared" si="43"/>
        <v>439.99999999999773</v>
      </c>
      <c r="Y23" s="80">
        <v>2.0247999999999999</v>
      </c>
      <c r="Z23" s="78">
        <f t="shared" si="24"/>
        <v>3099.9999999998809</v>
      </c>
      <c r="AA23" s="80">
        <v>272.54000000000002</v>
      </c>
      <c r="AB23" s="78">
        <f t="shared" si="25"/>
        <v>480.00000000001819</v>
      </c>
      <c r="AC23" s="80">
        <v>248.76</v>
      </c>
      <c r="AD23" s="78">
        <f t="shared" si="26"/>
        <v>500</v>
      </c>
      <c r="AE23" s="74">
        <v>364.36</v>
      </c>
      <c r="AF23" s="78">
        <f t="shared" si="27"/>
        <v>670.00000000001592</v>
      </c>
      <c r="AG23" s="74">
        <v>967.1</v>
      </c>
      <c r="AH23" s="78">
        <f t="shared" si="10"/>
        <v>1.8000000000000682</v>
      </c>
      <c r="AI23" s="80">
        <v>341.47</v>
      </c>
      <c r="AJ23" s="78">
        <f t="shared" si="28"/>
        <v>650.00000000003411</v>
      </c>
      <c r="AK23" s="80">
        <v>117.79</v>
      </c>
      <c r="AL23" s="78"/>
      <c r="AM23" s="80">
        <v>119.49</v>
      </c>
      <c r="AN23" s="78">
        <f t="shared" si="12"/>
        <v>0.18999999999999773</v>
      </c>
      <c r="AO23" s="80">
        <v>118.26</v>
      </c>
      <c r="AP23" s="78">
        <f t="shared" si="13"/>
        <v>0.17000000000000171</v>
      </c>
      <c r="AQ23" s="80">
        <v>193.73</v>
      </c>
      <c r="AR23" s="78">
        <f t="shared" si="29"/>
        <v>49.999999999982947</v>
      </c>
      <c r="AS23" s="80">
        <v>316.08999999999997</v>
      </c>
      <c r="AT23" s="78">
        <f t="shared" si="30"/>
        <v>60.000000000002274</v>
      </c>
      <c r="AU23" s="80">
        <v>242.41</v>
      </c>
      <c r="AV23" s="78">
        <f t="shared" si="31"/>
        <v>180.00000000000682</v>
      </c>
      <c r="AW23" s="80">
        <v>273.47000000000003</v>
      </c>
      <c r="AX23" s="78">
        <f t="shared" si="32"/>
        <v>140.0000000000432</v>
      </c>
      <c r="AY23" s="80">
        <v>326.47000000000003</v>
      </c>
      <c r="AZ23" s="78">
        <f t="shared" si="33"/>
        <v>170.00000000001592</v>
      </c>
      <c r="BA23" s="80">
        <v>344.08</v>
      </c>
      <c r="BB23" s="78">
        <f t="shared" si="34"/>
        <v>300.00000000001137</v>
      </c>
      <c r="BC23" s="80">
        <v>196.43</v>
      </c>
      <c r="BD23" s="78">
        <f t="shared" si="35"/>
        <v>10.000000000019327</v>
      </c>
      <c r="BE23" s="80">
        <v>21507</v>
      </c>
      <c r="BF23" s="78">
        <f t="shared" si="14"/>
        <v>50</v>
      </c>
      <c r="BG23" s="80">
        <v>218.89</v>
      </c>
      <c r="BH23" s="78">
        <f t="shared" si="36"/>
        <v>39.999999999992042</v>
      </c>
      <c r="BI23" s="80">
        <v>275.16000000000003</v>
      </c>
      <c r="BJ23" s="78">
        <f t="shared" si="37"/>
        <v>40.000000000020464</v>
      </c>
      <c r="BK23" s="80">
        <v>223.03</v>
      </c>
      <c r="BL23" s="78">
        <f t="shared" si="38"/>
        <v>60.000000000002274</v>
      </c>
      <c r="BM23" s="80">
        <v>206.22</v>
      </c>
      <c r="BN23" s="78">
        <f t="shared" si="39"/>
        <v>39.999999999992042</v>
      </c>
      <c r="BO23" s="80">
        <v>269.83999999999997</v>
      </c>
      <c r="BP23" s="78">
        <f t="shared" si="40"/>
        <v>49.999999999954525</v>
      </c>
      <c r="BQ23" s="80">
        <v>33184</v>
      </c>
      <c r="BR23" s="78">
        <f t="shared" si="15"/>
        <v>38</v>
      </c>
      <c r="BS23" s="80">
        <v>187.29</v>
      </c>
      <c r="BT23" s="78">
        <f t="shared" si="41"/>
        <v>39.999999999992042</v>
      </c>
      <c r="BU23" s="80">
        <v>24051</v>
      </c>
      <c r="BV23" s="78">
        <f t="shared" si="16"/>
        <v>36</v>
      </c>
      <c r="BW23" s="80">
        <v>216.64</v>
      </c>
      <c r="BX23" s="78">
        <f t="shared" si="42"/>
        <v>49.999999999982947</v>
      </c>
      <c r="BY23" s="80">
        <v>39755</v>
      </c>
      <c r="BZ23" s="78">
        <f t="shared" si="17"/>
        <v>63</v>
      </c>
      <c r="CA23" s="80">
        <v>23623.5</v>
      </c>
      <c r="CB23" s="78">
        <f t="shared" si="18"/>
        <v>49.5</v>
      </c>
      <c r="CC23" s="80">
        <v>10066.200000000001</v>
      </c>
      <c r="CD23" s="78">
        <f t="shared" si="19"/>
        <v>17.400000000001455</v>
      </c>
      <c r="CE23" s="80">
        <v>4779.7</v>
      </c>
      <c r="CF23" s="78">
        <f t="shared" si="20"/>
        <v>12.099999999999454</v>
      </c>
      <c r="CG23" s="80">
        <v>35885.4</v>
      </c>
      <c r="CH23" s="78">
        <f t="shared" si="21"/>
        <v>30.900000000001455</v>
      </c>
      <c r="CI23" s="80">
        <v>811090</v>
      </c>
      <c r="CJ23" s="78">
        <f t="shared" si="1"/>
        <v>339</v>
      </c>
      <c r="CK23" s="80">
        <v>481.88</v>
      </c>
      <c r="CL23" s="77">
        <f t="shared" si="22"/>
        <v>899.99999999997726</v>
      </c>
      <c r="CM23" s="78">
        <v>86</v>
      </c>
      <c r="CN23" s="79">
        <v>42</v>
      </c>
      <c r="CO23" s="79">
        <v>119</v>
      </c>
    </row>
    <row r="24" spans="1:93" ht="25.5" customHeight="1" thickBot="1" x14ac:dyDescent="0.45">
      <c r="A24" s="76">
        <v>43820</v>
      </c>
      <c r="B24" s="49"/>
      <c r="C24" s="65">
        <v>1.3569</v>
      </c>
      <c r="D24" s="77">
        <f t="shared" si="2"/>
        <v>2999.9999999998918</v>
      </c>
      <c r="E24" s="65">
        <v>2.2831999999999999</v>
      </c>
      <c r="F24" s="77">
        <f t="shared" si="3"/>
        <v>4099.9999999997708</v>
      </c>
      <c r="G24" s="65">
        <v>2.1217999999999999</v>
      </c>
      <c r="H24" s="77">
        <f t="shared" si="4"/>
        <v>3400.0000000000696</v>
      </c>
      <c r="I24" s="65">
        <v>989.11</v>
      </c>
      <c r="J24" s="77">
        <f t="shared" si="5"/>
        <v>1600.0000000000227</v>
      </c>
      <c r="K24" s="65">
        <v>1.518</v>
      </c>
      <c r="L24" s="77">
        <f t="shared" si="0"/>
        <v>2799.9999999999136</v>
      </c>
      <c r="M24" s="65">
        <v>952.66</v>
      </c>
      <c r="N24" s="78">
        <f t="shared" si="23"/>
        <v>1919.9999999999591</v>
      </c>
      <c r="O24" s="65">
        <v>10649</v>
      </c>
      <c r="P24" s="78">
        <f t="shared" si="6"/>
        <v>21</v>
      </c>
      <c r="Q24" s="65">
        <v>4234</v>
      </c>
      <c r="R24" s="78">
        <f t="shared" si="7"/>
        <v>8</v>
      </c>
      <c r="S24" s="80">
        <v>694030</v>
      </c>
      <c r="T24" s="78">
        <f t="shared" si="8"/>
        <v>1210</v>
      </c>
      <c r="U24" s="80">
        <v>281232</v>
      </c>
      <c r="V24" s="78">
        <f t="shared" si="9"/>
        <v>466</v>
      </c>
      <c r="W24" s="80">
        <v>275.25</v>
      </c>
      <c r="X24" s="78">
        <f t="shared" si="43"/>
        <v>519.99999999998181</v>
      </c>
      <c r="Y24" s="80">
        <v>2.0284</v>
      </c>
      <c r="Z24" s="78">
        <f t="shared" si="24"/>
        <v>3600.0000000000477</v>
      </c>
      <c r="AA24" s="80">
        <v>273.06</v>
      </c>
      <c r="AB24" s="78">
        <f t="shared" si="25"/>
        <v>519.99999999998181</v>
      </c>
      <c r="AC24" s="80">
        <v>249.24</v>
      </c>
      <c r="AD24" s="78">
        <f t="shared" si="26"/>
        <v>480.00000000001819</v>
      </c>
      <c r="AE24" s="74">
        <v>365.18</v>
      </c>
      <c r="AF24" s="78">
        <f t="shared" si="27"/>
        <v>819.99999999999318</v>
      </c>
      <c r="AG24" s="74">
        <v>969</v>
      </c>
      <c r="AH24" s="78">
        <f t="shared" si="10"/>
        <v>1.8999999999999773</v>
      </c>
      <c r="AI24" s="80">
        <v>341.92</v>
      </c>
      <c r="AJ24" s="78">
        <f t="shared" si="28"/>
        <v>449.99999999998863</v>
      </c>
      <c r="AK24" s="80">
        <v>118.05</v>
      </c>
      <c r="AL24" s="78">
        <f t="shared" si="11"/>
        <v>0.25999999999999091</v>
      </c>
      <c r="AM24" s="80">
        <v>119.75</v>
      </c>
      <c r="AN24" s="78">
        <f t="shared" si="12"/>
        <v>0.26000000000000512</v>
      </c>
      <c r="AO24" s="80">
        <v>118.45</v>
      </c>
      <c r="AP24" s="78">
        <f t="shared" si="13"/>
        <v>0.18999999999999773</v>
      </c>
      <c r="AQ24" s="80">
        <v>193.9</v>
      </c>
      <c r="AR24" s="78">
        <f t="shared" si="29"/>
        <v>170.00000000001592</v>
      </c>
      <c r="AS24" s="80">
        <v>316.19</v>
      </c>
      <c r="AT24" s="78">
        <f t="shared" si="30"/>
        <v>100.00000000002274</v>
      </c>
      <c r="AU24" s="80">
        <v>242.62</v>
      </c>
      <c r="AV24" s="78">
        <f t="shared" si="31"/>
        <v>210.00000000000796</v>
      </c>
      <c r="AW24" s="80">
        <v>273.64</v>
      </c>
      <c r="AX24" s="78">
        <f t="shared" si="32"/>
        <v>169.99999999995907</v>
      </c>
      <c r="AY24" s="80">
        <v>326.67</v>
      </c>
      <c r="AZ24" s="78">
        <f t="shared" si="33"/>
        <v>199.99999999998863</v>
      </c>
      <c r="BA24" s="80">
        <v>344.4</v>
      </c>
      <c r="BB24" s="78">
        <f t="shared" si="34"/>
        <v>319.99999999999318</v>
      </c>
      <c r="BC24" s="80">
        <v>196.57</v>
      </c>
      <c r="BD24" s="78">
        <f t="shared" si="35"/>
        <v>139.99999999998636</v>
      </c>
      <c r="BE24" s="80">
        <v>21561</v>
      </c>
      <c r="BF24" s="78">
        <f t="shared" si="14"/>
        <v>54</v>
      </c>
      <c r="BG24" s="80">
        <v>218.93</v>
      </c>
      <c r="BH24" s="78">
        <f t="shared" si="36"/>
        <v>40.000000000020464</v>
      </c>
      <c r="BI24" s="80">
        <v>275.2</v>
      </c>
      <c r="BJ24" s="78">
        <f t="shared" si="37"/>
        <v>39.99999999996362</v>
      </c>
      <c r="BK24" s="80">
        <v>223.08</v>
      </c>
      <c r="BL24" s="78">
        <f t="shared" si="38"/>
        <v>50.000000000011369</v>
      </c>
      <c r="BM24" s="80">
        <v>206.26</v>
      </c>
      <c r="BN24" s="78">
        <f t="shared" si="39"/>
        <v>39.999999999992042</v>
      </c>
      <c r="BO24" s="80">
        <v>269.88</v>
      </c>
      <c r="BP24" s="78">
        <f t="shared" si="40"/>
        <v>40.000000000020464</v>
      </c>
      <c r="BQ24" s="80">
        <v>33224</v>
      </c>
      <c r="BR24" s="78">
        <f t="shared" si="15"/>
        <v>40</v>
      </c>
      <c r="BS24" s="80">
        <v>187.34</v>
      </c>
      <c r="BT24" s="78">
        <f t="shared" si="41"/>
        <v>50.000000000011369</v>
      </c>
      <c r="BU24" s="80">
        <v>24090</v>
      </c>
      <c r="BV24" s="78">
        <f t="shared" si="16"/>
        <v>39</v>
      </c>
      <c r="BW24" s="80">
        <v>216.69</v>
      </c>
      <c r="BX24" s="78">
        <f t="shared" si="42"/>
        <v>50.000000000011369</v>
      </c>
      <c r="BY24" s="80">
        <v>39824</v>
      </c>
      <c r="BZ24" s="78">
        <f t="shared" si="17"/>
        <v>69</v>
      </c>
      <c r="CA24" s="80">
        <v>23696.2</v>
      </c>
      <c r="CB24" s="78">
        <f t="shared" si="18"/>
        <v>72.700000000000728</v>
      </c>
      <c r="CC24" s="80">
        <v>10083.5</v>
      </c>
      <c r="CD24" s="78">
        <f t="shared" si="19"/>
        <v>17.299999999999272</v>
      </c>
      <c r="CE24" s="80">
        <v>4787.6000000000004</v>
      </c>
      <c r="CF24" s="78">
        <f t="shared" si="20"/>
        <v>7.9000000000005457</v>
      </c>
      <c r="CG24" s="80">
        <v>35947.4</v>
      </c>
      <c r="CH24" s="78">
        <f t="shared" si="21"/>
        <v>62</v>
      </c>
      <c r="CI24" s="80">
        <v>811403</v>
      </c>
      <c r="CJ24" s="78">
        <f t="shared" si="1"/>
        <v>313</v>
      </c>
      <c r="CK24" s="80">
        <v>482.5</v>
      </c>
      <c r="CL24" s="77">
        <f t="shared" si="22"/>
        <v>620.00000000000455</v>
      </c>
      <c r="CM24" s="78">
        <v>103</v>
      </c>
      <c r="CN24" s="79">
        <v>45</v>
      </c>
      <c r="CO24" s="79">
        <v>127</v>
      </c>
    </row>
    <row r="25" spans="1:93" ht="25.5" customHeight="1" thickBot="1" x14ac:dyDescent="0.45">
      <c r="A25" s="76">
        <v>43821</v>
      </c>
      <c r="B25" s="49"/>
      <c r="C25" s="65">
        <v>1.36</v>
      </c>
      <c r="D25" s="77">
        <f t="shared" si="2"/>
        <v>3100.0000000001028</v>
      </c>
      <c r="E25" s="65">
        <v>2.2871999999999999</v>
      </c>
      <c r="F25" s="77">
        <f t="shared" si="3"/>
        <v>4000.0000000000036</v>
      </c>
      <c r="G25" s="65">
        <v>2.1254</v>
      </c>
      <c r="H25" s="77">
        <f t="shared" si="4"/>
        <v>3600.0000000000477</v>
      </c>
      <c r="I25" s="65">
        <v>990.88</v>
      </c>
      <c r="J25" s="77">
        <f t="shared" si="5"/>
        <v>1769.9999999999818</v>
      </c>
      <c r="K25" s="65">
        <v>1.5207999999999999</v>
      </c>
      <c r="L25" s="77">
        <f t="shared" si="0"/>
        <v>2799.9999999999136</v>
      </c>
      <c r="M25" s="65">
        <v>954.78</v>
      </c>
      <c r="N25" s="78">
        <f t="shared" si="23"/>
        <v>2120.0000000000045</v>
      </c>
      <c r="O25" s="65">
        <v>10671</v>
      </c>
      <c r="P25" s="78">
        <f t="shared" si="6"/>
        <v>22</v>
      </c>
      <c r="Q25" s="65">
        <v>4244</v>
      </c>
      <c r="R25" s="78">
        <f t="shared" si="7"/>
        <v>10</v>
      </c>
      <c r="S25" s="80">
        <v>695560</v>
      </c>
      <c r="T25" s="78">
        <f t="shared" si="8"/>
        <v>1530</v>
      </c>
      <c r="U25" s="80">
        <v>281922</v>
      </c>
      <c r="V25" s="78">
        <f t="shared" si="9"/>
        <v>690</v>
      </c>
      <c r="W25" s="80">
        <v>275.86</v>
      </c>
      <c r="X25" s="78">
        <f t="shared" si="43"/>
        <v>610.00000000001364</v>
      </c>
      <c r="Y25" s="80">
        <v>2.0318999999999998</v>
      </c>
      <c r="Z25" s="78">
        <f t="shared" si="24"/>
        <v>3499.9999999998367</v>
      </c>
      <c r="AA25" s="80">
        <v>273.62</v>
      </c>
      <c r="AB25" s="78">
        <f t="shared" si="25"/>
        <v>560.00000000000227</v>
      </c>
      <c r="AC25" s="80">
        <v>249.66</v>
      </c>
      <c r="AD25" s="78">
        <f t="shared" si="26"/>
        <v>419.99999999998749</v>
      </c>
      <c r="AE25" s="74">
        <v>366.22</v>
      </c>
      <c r="AF25" s="78">
        <f t="shared" si="27"/>
        <v>1040.0000000000205</v>
      </c>
      <c r="AG25" s="74">
        <v>971.4</v>
      </c>
      <c r="AH25" s="78">
        <f t="shared" si="10"/>
        <v>2.3999999999999773</v>
      </c>
      <c r="AI25" s="80">
        <v>342.43</v>
      </c>
      <c r="AJ25" s="78">
        <f t="shared" si="28"/>
        <v>509.99999999999091</v>
      </c>
      <c r="AK25" s="80">
        <v>118.37</v>
      </c>
      <c r="AL25" s="78">
        <f t="shared" si="11"/>
        <v>0.32000000000000739</v>
      </c>
      <c r="AM25" s="80">
        <v>120.03</v>
      </c>
      <c r="AN25" s="78">
        <f t="shared" si="12"/>
        <v>0.28000000000000114</v>
      </c>
      <c r="AO25" s="80">
        <v>118.66</v>
      </c>
      <c r="AP25" s="78">
        <f t="shared" si="13"/>
        <v>0.20999999999999375</v>
      </c>
      <c r="AQ25" s="80">
        <v>194.11</v>
      </c>
      <c r="AR25" s="78">
        <f t="shared" si="29"/>
        <v>210.00000000000796</v>
      </c>
      <c r="AS25" s="80">
        <v>316.27</v>
      </c>
      <c r="AT25" s="78">
        <f t="shared" si="30"/>
        <v>79.999999999984084</v>
      </c>
      <c r="AU25" s="80">
        <v>242.79</v>
      </c>
      <c r="AV25" s="78">
        <f t="shared" si="31"/>
        <v>169.99999999998749</v>
      </c>
      <c r="AW25" s="80">
        <v>273.85000000000002</v>
      </c>
      <c r="AX25" s="78">
        <f t="shared" si="32"/>
        <v>210.00000000003638</v>
      </c>
      <c r="AY25" s="80">
        <v>326.85000000000002</v>
      </c>
      <c r="AZ25" s="78">
        <f t="shared" si="33"/>
        <v>180.00000000000682</v>
      </c>
      <c r="BA25" s="80">
        <v>344.77</v>
      </c>
      <c r="BB25" s="78">
        <f t="shared" si="34"/>
        <v>370.00000000000455</v>
      </c>
      <c r="BC25" s="80">
        <v>196.79</v>
      </c>
      <c r="BD25" s="78">
        <f t="shared" si="35"/>
        <v>219.99999999999886</v>
      </c>
      <c r="BE25" s="80">
        <v>21605</v>
      </c>
      <c r="BF25" s="78">
        <f t="shared" si="14"/>
        <v>44</v>
      </c>
      <c r="BG25" s="80">
        <v>218.98</v>
      </c>
      <c r="BH25" s="78">
        <f t="shared" si="36"/>
        <v>49.999999999982947</v>
      </c>
      <c r="BI25" s="80">
        <v>275.26</v>
      </c>
      <c r="BJ25" s="78">
        <f t="shared" si="37"/>
        <v>60.000000000002274</v>
      </c>
      <c r="BK25" s="80">
        <v>223.14</v>
      </c>
      <c r="BL25" s="78">
        <f t="shared" si="38"/>
        <v>59.999999999973852</v>
      </c>
      <c r="BM25" s="80">
        <v>206.31</v>
      </c>
      <c r="BN25" s="78">
        <f t="shared" si="39"/>
        <v>50.000000000011369</v>
      </c>
      <c r="BO25" s="80">
        <v>269.94</v>
      </c>
      <c r="BP25" s="78">
        <f t="shared" si="40"/>
        <v>60.000000000002274</v>
      </c>
      <c r="BQ25" s="80">
        <v>33276</v>
      </c>
      <c r="BR25" s="78">
        <f t="shared" si="15"/>
        <v>52</v>
      </c>
      <c r="BS25" s="80">
        <v>187.4</v>
      </c>
      <c r="BT25" s="78">
        <f t="shared" si="41"/>
        <v>60.000000000002274</v>
      </c>
      <c r="BU25" s="80">
        <v>24138</v>
      </c>
      <c r="BV25" s="78">
        <f t="shared" si="16"/>
        <v>48</v>
      </c>
      <c r="BW25" s="80">
        <v>216.74</v>
      </c>
      <c r="BX25" s="78">
        <f t="shared" si="42"/>
        <v>50.000000000011369</v>
      </c>
      <c r="BY25" s="80">
        <v>39886</v>
      </c>
      <c r="BZ25" s="78">
        <f t="shared" si="17"/>
        <v>62</v>
      </c>
      <c r="CA25" s="80">
        <v>23737</v>
      </c>
      <c r="CB25" s="78">
        <f t="shared" si="18"/>
        <v>40.799999999999272</v>
      </c>
      <c r="CC25" s="80">
        <v>10103.9</v>
      </c>
      <c r="CD25" s="78">
        <f t="shared" si="19"/>
        <v>20.399999999999636</v>
      </c>
      <c r="CE25" s="80">
        <v>4798.2</v>
      </c>
      <c r="CF25" s="78">
        <f t="shared" si="20"/>
        <v>10.599999999999454</v>
      </c>
      <c r="CG25" s="80">
        <v>36044.1</v>
      </c>
      <c r="CH25" s="78">
        <f t="shared" si="21"/>
        <v>96.69999999999709</v>
      </c>
      <c r="CI25" s="80">
        <v>811753</v>
      </c>
      <c r="CJ25" s="78">
        <f t="shared" si="1"/>
        <v>350</v>
      </c>
      <c r="CK25" s="80">
        <v>483.1</v>
      </c>
      <c r="CL25" s="77">
        <f t="shared" si="22"/>
        <v>600.00000000002274</v>
      </c>
      <c r="CM25" s="78">
        <v>101</v>
      </c>
      <c r="CN25" s="79">
        <v>48</v>
      </c>
      <c r="CO25" s="79">
        <v>150</v>
      </c>
    </row>
    <row r="26" spans="1:93" ht="25.5" customHeight="1" thickBot="1" x14ac:dyDescent="0.45">
      <c r="A26" s="76">
        <v>43822</v>
      </c>
      <c r="B26" s="49"/>
      <c r="C26" s="65">
        <v>1.3636999999999999</v>
      </c>
      <c r="D26" s="77">
        <f t="shared" si="2"/>
        <v>3699.9999999998145</v>
      </c>
      <c r="E26" s="65">
        <v>2.2911999999999999</v>
      </c>
      <c r="F26" s="77">
        <f t="shared" si="3"/>
        <v>4000.0000000000036</v>
      </c>
      <c r="G26" s="65">
        <v>2.1288</v>
      </c>
      <c r="H26" s="77">
        <f t="shared" si="4"/>
        <v>3400.0000000000696</v>
      </c>
      <c r="I26" s="65">
        <v>992.42</v>
      </c>
      <c r="J26" s="77">
        <f t="shared" si="5"/>
        <v>1539.9999999999636</v>
      </c>
      <c r="K26" s="65">
        <v>1.5235000000000001</v>
      </c>
      <c r="L26" s="77">
        <f t="shared" si="0"/>
        <v>2700.0000000001469</v>
      </c>
      <c r="M26" s="80">
        <v>956.76</v>
      </c>
      <c r="N26" s="78">
        <f t="shared" si="23"/>
        <v>1980.0000000000182</v>
      </c>
      <c r="O26" s="65">
        <v>10693</v>
      </c>
      <c r="P26" s="78">
        <f t="shared" si="6"/>
        <v>22</v>
      </c>
      <c r="Q26" s="65">
        <v>4252</v>
      </c>
      <c r="R26" s="78">
        <f t="shared" si="7"/>
        <v>8</v>
      </c>
      <c r="S26" s="80">
        <v>697282</v>
      </c>
      <c r="T26" s="78">
        <f t="shared" si="8"/>
        <v>1722</v>
      </c>
      <c r="U26" s="80">
        <v>282570</v>
      </c>
      <c r="V26" s="78">
        <f t="shared" si="9"/>
        <v>648</v>
      </c>
      <c r="W26" s="80">
        <v>276.33999999999997</v>
      </c>
      <c r="X26" s="78">
        <f t="shared" si="43"/>
        <v>479.99999999996135</v>
      </c>
      <c r="Y26" s="80">
        <v>2.0354999999999999</v>
      </c>
      <c r="Z26" s="78">
        <f t="shared" si="24"/>
        <v>3600.0000000000477</v>
      </c>
      <c r="AA26" s="80">
        <v>274.19</v>
      </c>
      <c r="AB26" s="78">
        <f t="shared" si="25"/>
        <v>569.99999999999318</v>
      </c>
      <c r="AC26" s="80">
        <v>250.15</v>
      </c>
      <c r="AD26" s="78">
        <f t="shared" si="26"/>
        <v>490.00000000000909</v>
      </c>
      <c r="AE26" s="74">
        <v>367.23</v>
      </c>
      <c r="AF26" s="78">
        <f t="shared" si="27"/>
        <v>1009.9999999999909</v>
      </c>
      <c r="AG26" s="74">
        <v>973.5</v>
      </c>
      <c r="AH26" s="78">
        <f t="shared" si="10"/>
        <v>2.1000000000000227</v>
      </c>
      <c r="AI26" s="80">
        <v>343.73</v>
      </c>
      <c r="AJ26" s="78">
        <f t="shared" si="28"/>
        <v>1300.0000000000114</v>
      </c>
      <c r="AK26" s="80">
        <v>118.62</v>
      </c>
      <c r="AL26" s="78">
        <f t="shared" si="11"/>
        <v>0.25</v>
      </c>
      <c r="AM26" s="80">
        <v>120.25</v>
      </c>
      <c r="AN26" s="78">
        <f t="shared" si="12"/>
        <v>0.21999999999999886</v>
      </c>
      <c r="AO26" s="80">
        <v>118.89</v>
      </c>
      <c r="AP26" s="78">
        <f t="shared" si="13"/>
        <v>0.23000000000000398</v>
      </c>
      <c r="AQ26" s="80">
        <v>194.26</v>
      </c>
      <c r="AR26" s="78">
        <f t="shared" si="29"/>
        <v>149.99999999997726</v>
      </c>
      <c r="AS26" s="80">
        <v>316.33</v>
      </c>
      <c r="AT26" s="78">
        <f t="shared" si="30"/>
        <v>60.000000000002274</v>
      </c>
      <c r="AU26" s="80">
        <v>242.91</v>
      </c>
      <c r="AV26" s="78">
        <f t="shared" si="31"/>
        <v>120.00000000000455</v>
      </c>
      <c r="AW26" s="80">
        <v>274.08</v>
      </c>
      <c r="AX26" s="78">
        <f t="shared" si="32"/>
        <v>229.99999999996135</v>
      </c>
      <c r="AY26" s="80">
        <v>327.04000000000002</v>
      </c>
      <c r="AZ26" s="78">
        <f t="shared" si="33"/>
        <v>189.99999999999773</v>
      </c>
      <c r="BA26" s="80">
        <v>345.1</v>
      </c>
      <c r="BB26" s="78">
        <f t="shared" si="34"/>
        <v>330.00000000004093</v>
      </c>
      <c r="BC26" s="80">
        <v>196.98</v>
      </c>
      <c r="BD26" s="78">
        <f t="shared" si="35"/>
        <v>189.99999999999773</v>
      </c>
      <c r="BE26" s="80">
        <v>21657</v>
      </c>
      <c r="BF26" s="78">
        <f t="shared" si="14"/>
        <v>52</v>
      </c>
      <c r="BG26" s="80">
        <v>219.01</v>
      </c>
      <c r="BH26" s="78">
        <f t="shared" si="36"/>
        <v>30.000000000001137</v>
      </c>
      <c r="BI26" s="80">
        <v>275.31</v>
      </c>
      <c r="BJ26" s="78">
        <f t="shared" si="37"/>
        <v>50.000000000011369</v>
      </c>
      <c r="BK26" s="80">
        <v>223.2</v>
      </c>
      <c r="BL26" s="78">
        <f t="shared" si="38"/>
        <v>60.000000000002274</v>
      </c>
      <c r="BM26" s="80">
        <v>206.35</v>
      </c>
      <c r="BN26" s="78">
        <f t="shared" si="39"/>
        <v>39.999999999992042</v>
      </c>
      <c r="BO26" s="80">
        <v>269.99</v>
      </c>
      <c r="BP26" s="78">
        <f t="shared" si="40"/>
        <v>50.000000000011369</v>
      </c>
      <c r="BQ26" s="80">
        <v>33319</v>
      </c>
      <c r="BR26" s="78">
        <f t="shared" si="15"/>
        <v>43</v>
      </c>
      <c r="BS26" s="80">
        <v>187.45</v>
      </c>
      <c r="BT26" s="78">
        <f t="shared" si="41"/>
        <v>49.999999999982947</v>
      </c>
      <c r="BU26" s="80">
        <v>24183</v>
      </c>
      <c r="BV26" s="78">
        <f t="shared" si="16"/>
        <v>45</v>
      </c>
      <c r="BW26" s="80">
        <v>216.79</v>
      </c>
      <c r="BX26" s="78">
        <f t="shared" si="42"/>
        <v>49.999999999982947</v>
      </c>
      <c r="BY26" s="80">
        <v>39948</v>
      </c>
      <c r="BZ26" s="78">
        <f t="shared" si="17"/>
        <v>62</v>
      </c>
      <c r="CA26" s="80">
        <v>23783</v>
      </c>
      <c r="CB26" s="78">
        <f t="shared" si="18"/>
        <v>46</v>
      </c>
      <c r="CC26" s="80">
        <v>10127.799999999999</v>
      </c>
      <c r="CD26" s="78">
        <f t="shared" si="19"/>
        <v>23.899999999999636</v>
      </c>
      <c r="CE26" s="80">
        <v>4804.8</v>
      </c>
      <c r="CF26" s="78">
        <f t="shared" si="20"/>
        <v>6.6000000000003638</v>
      </c>
      <c r="CG26" s="80">
        <v>36066.699999999997</v>
      </c>
      <c r="CH26" s="78">
        <f t="shared" si="21"/>
        <v>22.599999999998545</v>
      </c>
      <c r="CI26" s="80">
        <v>812083</v>
      </c>
      <c r="CJ26" s="78">
        <f t="shared" si="1"/>
        <v>330</v>
      </c>
      <c r="CK26" s="80">
        <v>483.77</v>
      </c>
      <c r="CL26" s="77">
        <f t="shared" si="22"/>
        <v>669.99999999995907</v>
      </c>
      <c r="CM26" s="78">
        <v>105.2</v>
      </c>
      <c r="CN26" s="79">
        <v>41</v>
      </c>
      <c r="CO26" s="79">
        <v>132</v>
      </c>
    </row>
    <row r="27" spans="1:93" ht="25.5" customHeight="1" thickBot="1" x14ac:dyDescent="0.45">
      <c r="A27" s="76">
        <v>43823</v>
      </c>
      <c r="B27" s="49"/>
      <c r="C27" s="65">
        <v>1.3671</v>
      </c>
      <c r="D27" s="77">
        <f t="shared" si="2"/>
        <v>3400.0000000000696</v>
      </c>
      <c r="E27" s="65">
        <v>2.2949999999999999</v>
      </c>
      <c r="F27" s="77">
        <f t="shared" si="3"/>
        <v>3800.0000000000255</v>
      </c>
      <c r="G27" s="65">
        <v>2.1328</v>
      </c>
      <c r="H27" s="77">
        <f t="shared" si="4"/>
        <v>4000.0000000000036</v>
      </c>
      <c r="I27" s="80">
        <v>993.9</v>
      </c>
      <c r="J27" s="77">
        <f t="shared" si="5"/>
        <v>1480.0000000000182</v>
      </c>
      <c r="K27" s="80">
        <v>1.5264</v>
      </c>
      <c r="L27" s="77">
        <f t="shared" si="0"/>
        <v>2899.9999999999027</v>
      </c>
      <c r="M27" s="80">
        <v>958.53</v>
      </c>
      <c r="N27" s="78">
        <f t="shared" si="23"/>
        <v>1769.9999999999818</v>
      </c>
      <c r="O27" s="65">
        <v>10713</v>
      </c>
      <c r="P27" s="78">
        <f t="shared" si="6"/>
        <v>20</v>
      </c>
      <c r="Q27" s="80">
        <v>4259</v>
      </c>
      <c r="R27" s="78">
        <f t="shared" si="7"/>
        <v>7</v>
      </c>
      <c r="S27" s="80">
        <v>698681</v>
      </c>
      <c r="T27" s="78">
        <f t="shared" si="8"/>
        <v>1399</v>
      </c>
      <c r="U27" s="80">
        <v>283154</v>
      </c>
      <c r="V27" s="78">
        <f t="shared" si="9"/>
        <v>584</v>
      </c>
      <c r="W27" s="80">
        <v>276.91000000000003</v>
      </c>
      <c r="X27" s="78">
        <f t="shared" si="43"/>
        <v>570.00000000005002</v>
      </c>
      <c r="Y27" s="80">
        <v>2.0388000000000002</v>
      </c>
      <c r="Z27" s="78">
        <f t="shared" si="24"/>
        <v>3300.0000000003029</v>
      </c>
      <c r="AA27" s="80">
        <v>274.7</v>
      </c>
      <c r="AB27" s="78">
        <f t="shared" si="25"/>
        <v>509.99999999999091</v>
      </c>
      <c r="AC27" s="80">
        <v>250.51</v>
      </c>
      <c r="AD27" s="78">
        <f t="shared" si="26"/>
        <v>359.99999999998522</v>
      </c>
      <c r="AE27" s="74">
        <v>367.98</v>
      </c>
      <c r="AF27" s="78">
        <f t="shared" si="27"/>
        <v>750</v>
      </c>
      <c r="AG27" s="74">
        <v>975.7</v>
      </c>
      <c r="AH27" s="78">
        <f t="shared" si="10"/>
        <v>2.2000000000000455</v>
      </c>
      <c r="AI27" s="80">
        <v>344.79</v>
      </c>
      <c r="AJ27" s="78">
        <f t="shared" si="28"/>
        <v>1060.0000000000023</v>
      </c>
      <c r="AK27" s="80">
        <v>118.86</v>
      </c>
      <c r="AL27" s="78">
        <f t="shared" si="11"/>
        <v>0.23999999999999488</v>
      </c>
      <c r="AM27" s="80">
        <v>120.42</v>
      </c>
      <c r="AN27" s="78">
        <f t="shared" si="12"/>
        <v>0.17000000000000171</v>
      </c>
      <c r="AO27" s="80">
        <v>119.07</v>
      </c>
      <c r="AP27" s="78">
        <f t="shared" si="13"/>
        <v>0.17999999999999261</v>
      </c>
      <c r="AQ27" s="80">
        <v>194.4</v>
      </c>
      <c r="AR27" s="78">
        <f t="shared" si="29"/>
        <v>140.00000000001478</v>
      </c>
      <c r="AS27" s="80">
        <v>316.38</v>
      </c>
      <c r="AT27" s="78">
        <f t="shared" si="30"/>
        <v>50.000000000011369</v>
      </c>
      <c r="AU27" s="80">
        <v>243.06</v>
      </c>
      <c r="AV27" s="78">
        <f t="shared" si="31"/>
        <v>150.00000000000568</v>
      </c>
      <c r="AW27" s="80">
        <v>274.24</v>
      </c>
      <c r="AX27" s="78">
        <f t="shared" si="32"/>
        <v>160.00000000002501</v>
      </c>
      <c r="AY27" s="80">
        <v>327.2</v>
      </c>
      <c r="AZ27" s="78">
        <f t="shared" si="33"/>
        <v>159.99999999996817</v>
      </c>
      <c r="BA27" s="80">
        <v>345.42</v>
      </c>
      <c r="BB27" s="78">
        <f t="shared" si="34"/>
        <v>319.99999999999318</v>
      </c>
      <c r="BC27" s="80">
        <v>197.14</v>
      </c>
      <c r="BD27" s="78">
        <f t="shared" si="35"/>
        <v>159.99999999999659</v>
      </c>
      <c r="BE27" s="80">
        <v>21706</v>
      </c>
      <c r="BF27" s="78">
        <f t="shared" si="14"/>
        <v>49</v>
      </c>
      <c r="BG27" s="80">
        <v>219.05</v>
      </c>
      <c r="BH27" s="78">
        <f t="shared" si="36"/>
        <v>40.000000000020464</v>
      </c>
      <c r="BI27" s="80">
        <v>275.35000000000002</v>
      </c>
      <c r="BJ27" s="78">
        <f t="shared" si="37"/>
        <v>40.000000000020464</v>
      </c>
      <c r="BK27" s="80">
        <v>223.24</v>
      </c>
      <c r="BL27" s="78">
        <f t="shared" si="38"/>
        <v>40.000000000020464</v>
      </c>
      <c r="BM27" s="80">
        <v>206.38</v>
      </c>
      <c r="BN27" s="78">
        <f t="shared" si="39"/>
        <v>30.000000000001137</v>
      </c>
      <c r="BO27" s="80">
        <v>270.02999999999997</v>
      </c>
      <c r="BP27" s="78">
        <f t="shared" si="40"/>
        <v>39.99999999996362</v>
      </c>
      <c r="BQ27" s="80">
        <v>33356</v>
      </c>
      <c r="BR27" s="78">
        <f t="shared" si="15"/>
        <v>37</v>
      </c>
      <c r="BS27" s="80">
        <v>187.48</v>
      </c>
      <c r="BT27" s="78">
        <f t="shared" si="41"/>
        <v>30.000000000001137</v>
      </c>
      <c r="BU27" s="80">
        <v>24214</v>
      </c>
      <c r="BV27" s="78">
        <f t="shared" si="16"/>
        <v>31</v>
      </c>
      <c r="BW27" s="80">
        <v>216.83</v>
      </c>
      <c r="BX27" s="78">
        <f t="shared" si="42"/>
        <v>40.000000000020464</v>
      </c>
      <c r="BY27" s="80">
        <v>40002</v>
      </c>
      <c r="BZ27" s="78">
        <f t="shared" si="17"/>
        <v>54</v>
      </c>
      <c r="CA27" s="80">
        <v>23822.7</v>
      </c>
      <c r="CB27" s="78">
        <f t="shared" si="18"/>
        <v>39.700000000000728</v>
      </c>
      <c r="CC27" s="80">
        <v>10146</v>
      </c>
      <c r="CD27" s="78">
        <f t="shared" si="19"/>
        <v>18.200000000000728</v>
      </c>
      <c r="CE27" s="80">
        <v>4813.3</v>
      </c>
      <c r="CF27" s="78">
        <f t="shared" si="20"/>
        <v>8.5</v>
      </c>
      <c r="CG27" s="80">
        <v>36097.699999999997</v>
      </c>
      <c r="CH27" s="78">
        <f t="shared" si="21"/>
        <v>31</v>
      </c>
      <c r="CI27" s="80">
        <v>812392</v>
      </c>
      <c r="CJ27" s="78">
        <f t="shared" si="1"/>
        <v>309</v>
      </c>
      <c r="CK27" s="80">
        <v>484.48</v>
      </c>
      <c r="CL27" s="77">
        <f t="shared" si="22"/>
        <v>710.00000000003638</v>
      </c>
      <c r="CM27" s="78">
        <v>102.9</v>
      </c>
      <c r="CN27" s="79">
        <v>42</v>
      </c>
      <c r="CO27" s="79">
        <v>136</v>
      </c>
    </row>
    <row r="28" spans="1:93" ht="25.5" customHeight="1" thickBot="1" x14ac:dyDescent="0.45">
      <c r="A28" s="76">
        <v>43824</v>
      </c>
      <c r="B28" s="49"/>
      <c r="C28" s="65"/>
      <c r="D28" s="77" t="str">
        <f t="shared" si="2"/>
        <v>0</v>
      </c>
      <c r="E28" s="80"/>
      <c r="F28" s="77" t="str">
        <f t="shared" si="3"/>
        <v>0</v>
      </c>
      <c r="G28" s="65"/>
      <c r="H28" s="77" t="str">
        <f t="shared" si="4"/>
        <v>0</v>
      </c>
      <c r="I28" s="80"/>
      <c r="J28" s="77" t="str">
        <f t="shared" si="5"/>
        <v>0</v>
      </c>
      <c r="K28" s="80"/>
      <c r="L28" s="77" t="str">
        <f t="shared" si="0"/>
        <v>0</v>
      </c>
      <c r="M28" s="80"/>
      <c r="N28" s="78" t="str">
        <f t="shared" si="23"/>
        <v/>
      </c>
      <c r="O28" s="80"/>
      <c r="P28" s="78" t="str">
        <f t="shared" si="6"/>
        <v/>
      </c>
      <c r="Q28" s="80"/>
      <c r="R28" s="78" t="str">
        <f t="shared" si="7"/>
        <v/>
      </c>
      <c r="S28" s="80"/>
      <c r="T28" s="78" t="str">
        <f t="shared" si="8"/>
        <v/>
      </c>
      <c r="U28" s="80"/>
      <c r="V28" s="78" t="str">
        <f t="shared" si="9"/>
        <v/>
      </c>
      <c r="W28" s="80"/>
      <c r="X28" s="78" t="str">
        <f t="shared" si="43"/>
        <v/>
      </c>
      <c r="Y28" s="80"/>
      <c r="Z28" s="78" t="str">
        <f t="shared" si="24"/>
        <v/>
      </c>
      <c r="AA28" s="80"/>
      <c r="AB28" s="78" t="str">
        <f t="shared" si="25"/>
        <v/>
      </c>
      <c r="AC28" s="80"/>
      <c r="AD28" s="78" t="str">
        <f t="shared" si="26"/>
        <v/>
      </c>
      <c r="AE28" s="74"/>
      <c r="AF28" s="78" t="str">
        <f t="shared" si="27"/>
        <v/>
      </c>
      <c r="AG28" s="74"/>
      <c r="AH28" s="78" t="str">
        <f t="shared" si="10"/>
        <v/>
      </c>
      <c r="AI28" s="80"/>
      <c r="AJ28" s="78" t="str">
        <f t="shared" si="28"/>
        <v/>
      </c>
      <c r="AK28" s="80"/>
      <c r="AL28" s="78" t="str">
        <f t="shared" si="11"/>
        <v/>
      </c>
      <c r="AM28" s="80"/>
      <c r="AN28" s="78" t="str">
        <f t="shared" si="12"/>
        <v/>
      </c>
      <c r="AO28" s="80"/>
      <c r="AP28" s="78" t="str">
        <f t="shared" si="13"/>
        <v/>
      </c>
      <c r="AQ28" s="80"/>
      <c r="AR28" s="78" t="str">
        <f t="shared" si="29"/>
        <v/>
      </c>
      <c r="AS28" s="80"/>
      <c r="AT28" s="78" t="str">
        <f t="shared" si="30"/>
        <v/>
      </c>
      <c r="AU28" s="80"/>
      <c r="AV28" s="78" t="str">
        <f t="shared" si="31"/>
        <v/>
      </c>
      <c r="AW28" s="80"/>
      <c r="AX28" s="78" t="str">
        <f t="shared" si="32"/>
        <v/>
      </c>
      <c r="AY28" s="80"/>
      <c r="AZ28" s="78" t="str">
        <f t="shared" si="33"/>
        <v/>
      </c>
      <c r="BA28" s="80"/>
      <c r="BB28" s="78" t="str">
        <f t="shared" si="34"/>
        <v/>
      </c>
      <c r="BC28" s="80"/>
      <c r="BD28" s="78" t="str">
        <f t="shared" si="35"/>
        <v/>
      </c>
      <c r="BE28" s="80"/>
      <c r="BF28" s="78" t="str">
        <f t="shared" si="14"/>
        <v/>
      </c>
      <c r="BG28" s="80"/>
      <c r="BH28" s="78" t="str">
        <f t="shared" si="36"/>
        <v/>
      </c>
      <c r="BI28" s="80"/>
      <c r="BJ28" s="78" t="str">
        <f t="shared" si="37"/>
        <v/>
      </c>
      <c r="BK28" s="80"/>
      <c r="BL28" s="78" t="str">
        <f t="shared" si="38"/>
        <v/>
      </c>
      <c r="BM28" s="80"/>
      <c r="BN28" s="78" t="str">
        <f t="shared" si="39"/>
        <v/>
      </c>
      <c r="BO28" s="80"/>
      <c r="BP28" s="78" t="str">
        <f t="shared" si="40"/>
        <v/>
      </c>
      <c r="BQ28" s="80"/>
      <c r="BR28" s="78" t="str">
        <f t="shared" si="15"/>
        <v/>
      </c>
      <c r="BS28" s="80"/>
      <c r="BT28" s="78" t="str">
        <f t="shared" si="41"/>
        <v/>
      </c>
      <c r="BU28" s="80"/>
      <c r="BV28" s="78" t="str">
        <f t="shared" si="16"/>
        <v/>
      </c>
      <c r="BW28" s="80"/>
      <c r="BX28" s="78" t="str">
        <f t="shared" si="42"/>
        <v/>
      </c>
      <c r="BY28" s="80"/>
      <c r="BZ28" s="78" t="str">
        <f t="shared" si="17"/>
        <v/>
      </c>
      <c r="CA28" s="80"/>
      <c r="CB28" s="78" t="str">
        <f t="shared" si="18"/>
        <v/>
      </c>
      <c r="CC28" s="80"/>
      <c r="CD28" s="78" t="str">
        <f t="shared" si="19"/>
        <v/>
      </c>
      <c r="CE28" s="80"/>
      <c r="CF28" s="78" t="str">
        <f t="shared" si="20"/>
        <v/>
      </c>
      <c r="CG28" s="80"/>
      <c r="CH28" s="78" t="str">
        <f t="shared" si="21"/>
        <v/>
      </c>
      <c r="CI28" s="80"/>
      <c r="CJ28" s="78" t="str">
        <f t="shared" si="1"/>
        <v/>
      </c>
      <c r="CK28" s="80"/>
      <c r="CL28" s="77" t="str">
        <f t="shared" si="22"/>
        <v/>
      </c>
      <c r="CM28" s="78"/>
      <c r="CN28" s="79"/>
      <c r="CO28" s="79"/>
    </row>
    <row r="29" spans="1:93" ht="25.5" customHeight="1" thickBot="1" x14ac:dyDescent="0.45">
      <c r="A29" s="76">
        <v>43825</v>
      </c>
      <c r="B29" s="49"/>
      <c r="C29" s="65"/>
      <c r="D29" s="77">
        <f t="shared" si="2"/>
        <v>0</v>
      </c>
      <c r="E29" s="80"/>
      <c r="F29" s="77">
        <f t="shared" si="3"/>
        <v>0</v>
      </c>
      <c r="G29" s="65"/>
      <c r="H29" s="77">
        <f t="shared" si="4"/>
        <v>0</v>
      </c>
      <c r="I29" s="80"/>
      <c r="J29" s="77">
        <f t="shared" si="5"/>
        <v>0</v>
      </c>
      <c r="K29" s="80"/>
      <c r="L29" s="77">
        <f t="shared" si="0"/>
        <v>0</v>
      </c>
      <c r="M29" s="80"/>
      <c r="N29" s="78">
        <f t="shared" si="23"/>
        <v>0</v>
      </c>
      <c r="O29" s="80"/>
      <c r="P29" s="78">
        <f t="shared" si="6"/>
        <v>0</v>
      </c>
      <c r="Q29" s="80"/>
      <c r="R29" s="78">
        <f t="shared" si="7"/>
        <v>0</v>
      </c>
      <c r="S29" s="80"/>
      <c r="T29" s="78">
        <f t="shared" si="8"/>
        <v>0</v>
      </c>
      <c r="U29" s="80"/>
      <c r="V29" s="78">
        <f t="shared" si="9"/>
        <v>0</v>
      </c>
      <c r="W29" s="80"/>
      <c r="X29" s="78">
        <f t="shared" si="43"/>
        <v>0</v>
      </c>
      <c r="Y29" s="80"/>
      <c r="Z29" s="78">
        <f t="shared" si="24"/>
        <v>0</v>
      </c>
      <c r="AA29" s="80"/>
      <c r="AB29" s="78">
        <f t="shared" si="25"/>
        <v>0</v>
      </c>
      <c r="AC29" s="80"/>
      <c r="AD29" s="78">
        <f t="shared" si="26"/>
        <v>0</v>
      </c>
      <c r="AE29" s="74"/>
      <c r="AF29" s="78">
        <f t="shared" si="27"/>
        <v>0</v>
      </c>
      <c r="AG29" s="74"/>
      <c r="AH29" s="78">
        <f t="shared" si="10"/>
        <v>0</v>
      </c>
      <c r="AI29" s="80"/>
      <c r="AJ29" s="78">
        <f t="shared" si="28"/>
        <v>0</v>
      </c>
      <c r="AK29" s="80"/>
      <c r="AL29" s="78">
        <f t="shared" si="11"/>
        <v>0</v>
      </c>
      <c r="AM29" s="80"/>
      <c r="AN29" s="78">
        <f t="shared" si="12"/>
        <v>0</v>
      </c>
      <c r="AO29" s="80"/>
      <c r="AP29" s="78">
        <f t="shared" si="13"/>
        <v>0</v>
      </c>
      <c r="AQ29" s="80"/>
      <c r="AR29" s="78">
        <f t="shared" si="29"/>
        <v>0</v>
      </c>
      <c r="AS29" s="80"/>
      <c r="AT29" s="78">
        <f t="shared" si="30"/>
        <v>0</v>
      </c>
      <c r="AU29" s="80"/>
      <c r="AV29" s="78">
        <f t="shared" si="31"/>
        <v>0</v>
      </c>
      <c r="AW29" s="80"/>
      <c r="AX29" s="78">
        <f t="shared" si="32"/>
        <v>0</v>
      </c>
      <c r="AY29" s="80"/>
      <c r="AZ29" s="78">
        <f t="shared" si="33"/>
        <v>0</v>
      </c>
      <c r="BA29" s="80"/>
      <c r="BB29" s="78">
        <f t="shared" si="34"/>
        <v>0</v>
      </c>
      <c r="BC29" s="80"/>
      <c r="BD29" s="78">
        <f t="shared" si="35"/>
        <v>0</v>
      </c>
      <c r="BE29" s="80"/>
      <c r="BF29" s="78">
        <f t="shared" si="14"/>
        <v>0</v>
      </c>
      <c r="BG29" s="80"/>
      <c r="BH29" s="78">
        <f t="shared" si="36"/>
        <v>0</v>
      </c>
      <c r="BI29" s="80"/>
      <c r="BJ29" s="78">
        <f t="shared" si="37"/>
        <v>0</v>
      </c>
      <c r="BK29" s="80"/>
      <c r="BL29" s="78">
        <f t="shared" si="38"/>
        <v>0</v>
      </c>
      <c r="BM29" s="80"/>
      <c r="BN29" s="78">
        <f t="shared" si="39"/>
        <v>0</v>
      </c>
      <c r="BO29" s="80"/>
      <c r="BP29" s="78">
        <f t="shared" si="40"/>
        <v>0</v>
      </c>
      <c r="BQ29" s="80"/>
      <c r="BR29" s="78">
        <f t="shared" si="15"/>
        <v>0</v>
      </c>
      <c r="BS29" s="80"/>
      <c r="BT29" s="78">
        <f t="shared" si="41"/>
        <v>0</v>
      </c>
      <c r="BU29" s="80"/>
      <c r="BV29" s="78">
        <f t="shared" si="16"/>
        <v>0</v>
      </c>
      <c r="BW29" s="80"/>
      <c r="BX29" s="78">
        <f t="shared" si="42"/>
        <v>0</v>
      </c>
      <c r="BY29" s="80"/>
      <c r="BZ29" s="78">
        <f t="shared" si="17"/>
        <v>0</v>
      </c>
      <c r="CA29" s="80"/>
      <c r="CB29" s="78">
        <f t="shared" si="18"/>
        <v>0</v>
      </c>
      <c r="CC29" s="80"/>
      <c r="CD29" s="78">
        <f t="shared" si="19"/>
        <v>0</v>
      </c>
      <c r="CE29" s="80"/>
      <c r="CF29" s="78">
        <f t="shared" si="20"/>
        <v>0</v>
      </c>
      <c r="CG29" s="80"/>
      <c r="CH29" s="78">
        <f t="shared" si="21"/>
        <v>0</v>
      </c>
      <c r="CI29" s="80"/>
      <c r="CJ29" s="78">
        <f t="shared" si="1"/>
        <v>0</v>
      </c>
      <c r="CK29" s="80"/>
      <c r="CL29" s="77">
        <f t="shared" si="22"/>
        <v>0</v>
      </c>
      <c r="CM29" s="78"/>
      <c r="CN29" s="79"/>
      <c r="CO29" s="79"/>
    </row>
    <row r="30" spans="1:93" ht="25.5" customHeight="1" thickBot="1" x14ac:dyDescent="0.45">
      <c r="A30" s="76">
        <v>43826</v>
      </c>
      <c r="B30" s="49"/>
      <c r="C30" s="65"/>
      <c r="D30" s="77">
        <f t="shared" si="2"/>
        <v>0</v>
      </c>
      <c r="E30" s="80"/>
      <c r="F30" s="77">
        <f t="shared" si="3"/>
        <v>0</v>
      </c>
      <c r="G30" s="65"/>
      <c r="H30" s="77">
        <f t="shared" si="4"/>
        <v>0</v>
      </c>
      <c r="I30" s="80"/>
      <c r="J30" s="77">
        <f t="shared" si="5"/>
        <v>0</v>
      </c>
      <c r="K30" s="80"/>
      <c r="L30" s="77">
        <f t="shared" si="0"/>
        <v>0</v>
      </c>
      <c r="M30" s="80"/>
      <c r="N30" s="78">
        <f t="shared" si="23"/>
        <v>0</v>
      </c>
      <c r="O30" s="80"/>
      <c r="P30" s="78">
        <f t="shared" si="6"/>
        <v>0</v>
      </c>
      <c r="Q30" s="80"/>
      <c r="R30" s="78">
        <f t="shared" si="7"/>
        <v>0</v>
      </c>
      <c r="S30" s="80"/>
      <c r="T30" s="78">
        <f t="shared" si="8"/>
        <v>0</v>
      </c>
      <c r="U30" s="80"/>
      <c r="V30" s="78">
        <f t="shared" si="9"/>
        <v>0</v>
      </c>
      <c r="W30" s="80"/>
      <c r="X30" s="78">
        <f t="shared" si="43"/>
        <v>0</v>
      </c>
      <c r="Y30" s="80"/>
      <c r="Z30" s="78">
        <f t="shared" si="24"/>
        <v>0</v>
      </c>
      <c r="AA30" s="80"/>
      <c r="AB30" s="78">
        <f t="shared" si="25"/>
        <v>0</v>
      </c>
      <c r="AC30" s="80"/>
      <c r="AD30" s="78">
        <f t="shared" si="26"/>
        <v>0</v>
      </c>
      <c r="AE30" s="74"/>
      <c r="AF30" s="78">
        <f t="shared" si="27"/>
        <v>0</v>
      </c>
      <c r="AG30" s="74"/>
      <c r="AH30" s="78">
        <f t="shared" si="10"/>
        <v>0</v>
      </c>
      <c r="AI30" s="80"/>
      <c r="AJ30" s="78">
        <f t="shared" si="28"/>
        <v>0</v>
      </c>
      <c r="AK30" s="80"/>
      <c r="AL30" s="78">
        <f t="shared" si="11"/>
        <v>0</v>
      </c>
      <c r="AM30" s="80"/>
      <c r="AN30" s="78">
        <f t="shared" si="12"/>
        <v>0</v>
      </c>
      <c r="AO30" s="80"/>
      <c r="AP30" s="78">
        <f t="shared" si="13"/>
        <v>0</v>
      </c>
      <c r="AQ30" s="80"/>
      <c r="AR30" s="78">
        <f t="shared" si="29"/>
        <v>0</v>
      </c>
      <c r="AS30" s="80"/>
      <c r="AT30" s="78">
        <f t="shared" si="30"/>
        <v>0</v>
      </c>
      <c r="AU30" s="80"/>
      <c r="AV30" s="78">
        <f t="shared" si="31"/>
        <v>0</v>
      </c>
      <c r="AW30" s="80"/>
      <c r="AX30" s="78">
        <f t="shared" si="32"/>
        <v>0</v>
      </c>
      <c r="AY30" s="80"/>
      <c r="AZ30" s="78">
        <f t="shared" si="33"/>
        <v>0</v>
      </c>
      <c r="BA30" s="80"/>
      <c r="BB30" s="78">
        <f t="shared" si="34"/>
        <v>0</v>
      </c>
      <c r="BC30" s="80"/>
      <c r="BD30" s="78">
        <f t="shared" si="35"/>
        <v>0</v>
      </c>
      <c r="BE30" s="80"/>
      <c r="BF30" s="78">
        <f t="shared" si="14"/>
        <v>0</v>
      </c>
      <c r="BG30" s="80"/>
      <c r="BH30" s="78">
        <f t="shared" si="36"/>
        <v>0</v>
      </c>
      <c r="BI30" s="80"/>
      <c r="BJ30" s="78">
        <f t="shared" si="37"/>
        <v>0</v>
      </c>
      <c r="BK30" s="80"/>
      <c r="BL30" s="78">
        <f t="shared" si="38"/>
        <v>0</v>
      </c>
      <c r="BM30" s="80"/>
      <c r="BN30" s="78">
        <f t="shared" si="39"/>
        <v>0</v>
      </c>
      <c r="BO30" s="80"/>
      <c r="BP30" s="78">
        <f t="shared" si="40"/>
        <v>0</v>
      </c>
      <c r="BQ30" s="80"/>
      <c r="BR30" s="78">
        <f t="shared" si="15"/>
        <v>0</v>
      </c>
      <c r="BS30" s="80"/>
      <c r="BT30" s="78">
        <f t="shared" si="41"/>
        <v>0</v>
      </c>
      <c r="BU30" s="80"/>
      <c r="BV30" s="78">
        <f t="shared" si="16"/>
        <v>0</v>
      </c>
      <c r="BW30" s="80"/>
      <c r="BX30" s="78">
        <f t="shared" si="42"/>
        <v>0</v>
      </c>
      <c r="BY30" s="80"/>
      <c r="BZ30" s="78">
        <f t="shared" si="17"/>
        <v>0</v>
      </c>
      <c r="CA30" s="80"/>
      <c r="CB30" s="78">
        <f t="shared" si="18"/>
        <v>0</v>
      </c>
      <c r="CC30" s="80"/>
      <c r="CD30" s="78">
        <f t="shared" si="19"/>
        <v>0</v>
      </c>
      <c r="CE30" s="80"/>
      <c r="CF30" s="78">
        <f t="shared" si="20"/>
        <v>0</v>
      </c>
      <c r="CG30" s="80"/>
      <c r="CH30" s="78">
        <f t="shared" si="21"/>
        <v>0</v>
      </c>
      <c r="CI30" s="80"/>
      <c r="CJ30" s="78">
        <f t="shared" si="1"/>
        <v>0</v>
      </c>
      <c r="CK30" s="80"/>
      <c r="CL30" s="77">
        <f t="shared" si="22"/>
        <v>0</v>
      </c>
      <c r="CM30" s="78"/>
      <c r="CN30" s="79"/>
      <c r="CO30" s="79"/>
    </row>
    <row r="31" spans="1:93" ht="25.5" customHeight="1" thickBot="1" x14ac:dyDescent="0.45">
      <c r="A31" s="76">
        <v>43827</v>
      </c>
      <c r="B31" s="81"/>
      <c r="C31" s="65"/>
      <c r="D31" s="77">
        <f t="shared" si="2"/>
        <v>0</v>
      </c>
      <c r="E31" s="82"/>
      <c r="F31" s="77">
        <f t="shared" si="3"/>
        <v>0</v>
      </c>
      <c r="G31" s="65"/>
      <c r="H31" s="77">
        <f t="shared" si="4"/>
        <v>0</v>
      </c>
      <c r="I31" s="82"/>
      <c r="J31" s="77">
        <f t="shared" si="5"/>
        <v>0</v>
      </c>
      <c r="K31" s="82"/>
      <c r="L31" s="77">
        <f t="shared" si="0"/>
        <v>0</v>
      </c>
      <c r="M31" s="82"/>
      <c r="N31" s="78">
        <f t="shared" si="23"/>
        <v>0</v>
      </c>
      <c r="O31" s="82"/>
      <c r="P31" s="83">
        <f t="shared" si="6"/>
        <v>0</v>
      </c>
      <c r="Q31" s="82"/>
      <c r="R31" s="83">
        <f t="shared" si="7"/>
        <v>0</v>
      </c>
      <c r="S31" s="82"/>
      <c r="T31" s="83">
        <f t="shared" si="8"/>
        <v>0</v>
      </c>
      <c r="U31" s="82"/>
      <c r="V31" s="83">
        <f t="shared" si="9"/>
        <v>0</v>
      </c>
      <c r="W31" s="82"/>
      <c r="X31" s="78">
        <f t="shared" si="43"/>
        <v>0</v>
      </c>
      <c r="Y31" s="82"/>
      <c r="Z31" s="78">
        <f t="shared" si="24"/>
        <v>0</v>
      </c>
      <c r="AA31" s="82"/>
      <c r="AB31" s="78">
        <f t="shared" si="25"/>
        <v>0</v>
      </c>
      <c r="AC31" s="82"/>
      <c r="AD31" s="78">
        <f t="shared" si="26"/>
        <v>0</v>
      </c>
      <c r="AE31" s="74"/>
      <c r="AF31" s="78">
        <f t="shared" si="27"/>
        <v>0</v>
      </c>
      <c r="AG31" s="74"/>
      <c r="AH31" s="83">
        <f t="shared" si="10"/>
        <v>0</v>
      </c>
      <c r="AI31" s="82"/>
      <c r="AJ31" s="78">
        <f t="shared" si="28"/>
        <v>0</v>
      </c>
      <c r="AK31" s="82"/>
      <c r="AL31" s="78">
        <f t="shared" si="11"/>
        <v>0</v>
      </c>
      <c r="AM31" s="82"/>
      <c r="AN31" s="78">
        <f t="shared" si="12"/>
        <v>0</v>
      </c>
      <c r="AO31" s="82"/>
      <c r="AP31" s="78">
        <f t="shared" si="13"/>
        <v>0</v>
      </c>
      <c r="AQ31" s="82"/>
      <c r="AR31" s="78">
        <f t="shared" si="29"/>
        <v>0</v>
      </c>
      <c r="AS31" s="82"/>
      <c r="AT31" s="78">
        <f t="shared" si="30"/>
        <v>0</v>
      </c>
      <c r="AU31" s="82"/>
      <c r="AV31" s="78">
        <f t="shared" si="31"/>
        <v>0</v>
      </c>
      <c r="AW31" s="82"/>
      <c r="AX31" s="78">
        <f t="shared" si="32"/>
        <v>0</v>
      </c>
      <c r="AY31" s="82"/>
      <c r="AZ31" s="78">
        <f t="shared" si="33"/>
        <v>0</v>
      </c>
      <c r="BA31" s="82"/>
      <c r="BB31" s="78">
        <f t="shared" si="34"/>
        <v>0</v>
      </c>
      <c r="BC31" s="82"/>
      <c r="BD31" s="78">
        <f t="shared" si="35"/>
        <v>0</v>
      </c>
      <c r="BE31" s="82"/>
      <c r="BF31" s="83">
        <f t="shared" si="14"/>
        <v>0</v>
      </c>
      <c r="BG31" s="82"/>
      <c r="BH31" s="78">
        <f t="shared" si="36"/>
        <v>0</v>
      </c>
      <c r="BI31" s="82"/>
      <c r="BJ31" s="78">
        <f t="shared" si="37"/>
        <v>0</v>
      </c>
      <c r="BK31" s="82"/>
      <c r="BL31" s="78">
        <f t="shared" si="38"/>
        <v>0</v>
      </c>
      <c r="BM31" s="82"/>
      <c r="BN31" s="78">
        <f t="shared" si="39"/>
        <v>0</v>
      </c>
      <c r="BO31" s="82"/>
      <c r="BP31" s="78">
        <f t="shared" si="40"/>
        <v>0</v>
      </c>
      <c r="BQ31" s="82"/>
      <c r="BR31" s="78">
        <f t="shared" si="15"/>
        <v>0</v>
      </c>
      <c r="BS31" s="82"/>
      <c r="BT31" s="78">
        <f t="shared" si="41"/>
        <v>0</v>
      </c>
      <c r="BU31" s="82"/>
      <c r="BV31" s="78">
        <f t="shared" si="16"/>
        <v>0</v>
      </c>
      <c r="BW31" s="82"/>
      <c r="BX31" s="78">
        <f t="shared" si="42"/>
        <v>0</v>
      </c>
      <c r="BY31" s="82"/>
      <c r="BZ31" s="78">
        <f t="shared" si="17"/>
        <v>0</v>
      </c>
      <c r="CA31" s="82"/>
      <c r="CB31" s="83">
        <f t="shared" si="18"/>
        <v>0</v>
      </c>
      <c r="CC31" s="82"/>
      <c r="CD31" s="83">
        <f t="shared" si="19"/>
        <v>0</v>
      </c>
      <c r="CE31" s="80"/>
      <c r="CF31" s="83">
        <f t="shared" si="20"/>
        <v>0</v>
      </c>
      <c r="CG31" s="82"/>
      <c r="CH31" s="83">
        <f t="shared" si="21"/>
        <v>0</v>
      </c>
      <c r="CI31" s="82"/>
      <c r="CJ31" s="83">
        <f t="shared" si="1"/>
        <v>0</v>
      </c>
      <c r="CK31" s="82"/>
      <c r="CL31" s="77">
        <f t="shared" si="22"/>
        <v>0</v>
      </c>
      <c r="CM31" s="83"/>
      <c r="CN31" s="84"/>
      <c r="CO31" s="84"/>
    </row>
    <row r="32" spans="1:93" ht="25.5" customHeight="1" thickBot="1" x14ac:dyDescent="0.45">
      <c r="A32" s="76">
        <v>43828</v>
      </c>
      <c r="B32" s="85"/>
      <c r="C32" s="65"/>
      <c r="D32" s="77">
        <f t="shared" si="2"/>
        <v>0</v>
      </c>
      <c r="E32" s="85"/>
      <c r="F32" s="77">
        <f t="shared" si="3"/>
        <v>0</v>
      </c>
      <c r="G32" s="65"/>
      <c r="H32" s="77">
        <f t="shared" si="4"/>
        <v>0</v>
      </c>
      <c r="I32" s="80"/>
      <c r="J32" s="77">
        <f t="shared" si="5"/>
        <v>0</v>
      </c>
      <c r="K32" s="85"/>
      <c r="L32" s="77">
        <f t="shared" si="0"/>
        <v>0</v>
      </c>
      <c r="M32" s="85"/>
      <c r="N32" s="78">
        <f t="shared" si="23"/>
        <v>0</v>
      </c>
      <c r="O32" s="86"/>
      <c r="P32" s="83">
        <f t="shared" si="6"/>
        <v>0</v>
      </c>
      <c r="Q32" s="80"/>
      <c r="R32" s="83">
        <f t="shared" si="7"/>
        <v>0</v>
      </c>
      <c r="S32" s="80"/>
      <c r="T32" s="83">
        <f t="shared" si="8"/>
        <v>0</v>
      </c>
      <c r="U32" s="80"/>
      <c r="V32" s="83">
        <f t="shared" si="9"/>
        <v>0</v>
      </c>
      <c r="W32" s="80"/>
      <c r="X32" s="78">
        <f t="shared" si="43"/>
        <v>0</v>
      </c>
      <c r="Y32" s="85"/>
      <c r="Z32" s="78">
        <f t="shared" si="24"/>
        <v>0</v>
      </c>
      <c r="AA32" s="85"/>
      <c r="AB32" s="78">
        <f t="shared" si="25"/>
        <v>0</v>
      </c>
      <c r="AC32" s="85"/>
      <c r="AD32" s="78">
        <f t="shared" si="26"/>
        <v>0</v>
      </c>
      <c r="AE32" s="80"/>
      <c r="AF32" s="78">
        <f t="shared" si="27"/>
        <v>0</v>
      </c>
      <c r="AG32" s="80"/>
      <c r="AH32" s="83">
        <f t="shared" si="10"/>
        <v>0</v>
      </c>
      <c r="AI32" s="80"/>
      <c r="AJ32" s="78">
        <f t="shared" si="28"/>
        <v>0</v>
      </c>
      <c r="AK32" s="80"/>
      <c r="AL32" s="78">
        <f t="shared" si="11"/>
        <v>0</v>
      </c>
      <c r="AM32" s="80"/>
      <c r="AN32" s="78">
        <f t="shared" si="12"/>
        <v>0</v>
      </c>
      <c r="AO32" s="80"/>
      <c r="AP32" s="78">
        <f t="shared" si="13"/>
        <v>0</v>
      </c>
      <c r="AQ32" s="80"/>
      <c r="AR32" s="78">
        <f t="shared" si="29"/>
        <v>0</v>
      </c>
      <c r="AS32" s="80"/>
      <c r="AT32" s="78">
        <f t="shared" si="30"/>
        <v>0</v>
      </c>
      <c r="AU32" s="80"/>
      <c r="AV32" s="78">
        <f t="shared" si="31"/>
        <v>0</v>
      </c>
      <c r="AW32" s="80"/>
      <c r="AX32" s="78">
        <f t="shared" si="32"/>
        <v>0</v>
      </c>
      <c r="AY32" s="80"/>
      <c r="AZ32" s="78">
        <f t="shared" si="33"/>
        <v>0</v>
      </c>
      <c r="BA32" s="80"/>
      <c r="BB32" s="78">
        <f t="shared" si="34"/>
        <v>0</v>
      </c>
      <c r="BC32" s="80"/>
      <c r="BD32" s="78">
        <f t="shared" si="35"/>
        <v>0</v>
      </c>
      <c r="BE32" s="80"/>
      <c r="BF32" s="83">
        <f t="shared" si="14"/>
        <v>0</v>
      </c>
      <c r="BG32" s="80"/>
      <c r="BH32" s="78">
        <f t="shared" si="36"/>
        <v>0</v>
      </c>
      <c r="BI32" s="80"/>
      <c r="BJ32" s="78">
        <f t="shared" si="37"/>
        <v>0</v>
      </c>
      <c r="BK32" s="80"/>
      <c r="BL32" s="78">
        <f t="shared" si="38"/>
        <v>0</v>
      </c>
      <c r="BM32" s="80"/>
      <c r="BN32" s="78">
        <f t="shared" si="39"/>
        <v>0</v>
      </c>
      <c r="BO32" s="80"/>
      <c r="BP32" s="78">
        <f t="shared" si="40"/>
        <v>0</v>
      </c>
      <c r="BQ32" s="80"/>
      <c r="BR32" s="78">
        <f t="shared" si="15"/>
        <v>0</v>
      </c>
      <c r="BS32" s="80"/>
      <c r="BT32" s="78">
        <f t="shared" si="41"/>
        <v>0</v>
      </c>
      <c r="BU32" s="80"/>
      <c r="BV32" s="78">
        <f t="shared" si="16"/>
        <v>0</v>
      </c>
      <c r="BW32" s="80"/>
      <c r="BX32" s="78">
        <f t="shared" si="42"/>
        <v>0</v>
      </c>
      <c r="BY32" s="80"/>
      <c r="BZ32" s="78">
        <f t="shared" si="17"/>
        <v>0</v>
      </c>
      <c r="CA32" s="80"/>
      <c r="CB32" s="83">
        <f t="shared" si="18"/>
        <v>0</v>
      </c>
      <c r="CC32" s="80"/>
      <c r="CD32" s="83">
        <f t="shared" si="19"/>
        <v>0</v>
      </c>
      <c r="CE32" s="80"/>
      <c r="CF32" s="83">
        <f t="shared" si="20"/>
        <v>0</v>
      </c>
      <c r="CG32" s="80"/>
      <c r="CH32" s="83">
        <f t="shared" si="21"/>
        <v>0</v>
      </c>
      <c r="CI32" s="80"/>
      <c r="CJ32" s="83">
        <f t="shared" si="1"/>
        <v>0</v>
      </c>
      <c r="CK32" s="80"/>
      <c r="CL32" s="77">
        <f t="shared" si="22"/>
        <v>0</v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65"/>
      <c r="D33" s="77">
        <f t="shared" si="2"/>
        <v>0</v>
      </c>
      <c r="E33" s="85"/>
      <c r="F33" s="77">
        <f t="shared" si="3"/>
        <v>0</v>
      </c>
      <c r="G33" s="65"/>
      <c r="H33" s="77">
        <f t="shared" si="4"/>
        <v>0</v>
      </c>
      <c r="I33" s="80"/>
      <c r="J33" s="77">
        <f t="shared" si="5"/>
        <v>0</v>
      </c>
      <c r="K33" s="85"/>
      <c r="L33" s="77">
        <f t="shared" si="0"/>
        <v>0</v>
      </c>
      <c r="M33" s="85"/>
      <c r="N33" s="78">
        <f t="shared" si="23"/>
        <v>0</v>
      </c>
      <c r="O33" s="86"/>
      <c r="P33" s="83">
        <f>IF((O33-O32&lt;0), "",O33-O32)</f>
        <v>0</v>
      </c>
      <c r="Q33" s="85"/>
      <c r="R33" s="83">
        <f t="shared" si="7"/>
        <v>0</v>
      </c>
      <c r="S33" s="85"/>
      <c r="T33" s="83">
        <f t="shared" si="8"/>
        <v>0</v>
      </c>
      <c r="U33" s="85"/>
      <c r="V33" s="83">
        <f t="shared" si="9"/>
        <v>0</v>
      </c>
      <c r="W33" s="85"/>
      <c r="X33" s="78">
        <f t="shared" si="43"/>
        <v>0</v>
      </c>
      <c r="Y33" s="85"/>
      <c r="Z33" s="78">
        <f t="shared" si="24"/>
        <v>0</v>
      </c>
      <c r="AA33" s="85"/>
      <c r="AB33" s="78">
        <f t="shared" si="25"/>
        <v>0</v>
      </c>
      <c r="AC33" s="85"/>
      <c r="AD33" s="78">
        <f t="shared" si="26"/>
        <v>0</v>
      </c>
      <c r="AE33" s="8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80"/>
      <c r="AR33" s="78">
        <f t="shared" si="29"/>
        <v>0</v>
      </c>
      <c r="AS33" s="80"/>
      <c r="AT33" s="78">
        <f t="shared" si="30"/>
        <v>0</v>
      </c>
      <c r="AU33" s="80"/>
      <c r="AV33" s="78">
        <f t="shared" si="31"/>
        <v>0</v>
      </c>
      <c r="AW33" s="80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80"/>
      <c r="BH33" s="78">
        <f t="shared" si="36"/>
        <v>0</v>
      </c>
      <c r="BI33" s="80"/>
      <c r="BJ33" s="78">
        <f t="shared" si="37"/>
        <v>0</v>
      </c>
      <c r="BK33" s="80"/>
      <c r="BL33" s="78">
        <f t="shared" si="38"/>
        <v>0</v>
      </c>
      <c r="BM33" s="80"/>
      <c r="BN33" s="78">
        <f t="shared" si="39"/>
        <v>0</v>
      </c>
      <c r="BO33" s="80"/>
      <c r="BP33" s="78">
        <f t="shared" si="40"/>
        <v>0</v>
      </c>
      <c r="BQ33" s="80"/>
      <c r="BR33" s="78">
        <f t="shared" si="15"/>
        <v>0</v>
      </c>
      <c r="BS33" s="80"/>
      <c r="BT33" s="78">
        <f t="shared" si="41"/>
        <v>0</v>
      </c>
      <c r="BU33" s="80"/>
      <c r="BV33" s="78">
        <f t="shared" si="16"/>
        <v>0</v>
      </c>
      <c r="BW33" s="80"/>
      <c r="BX33" s="78">
        <f t="shared" si="42"/>
        <v>0</v>
      </c>
      <c r="BY33" s="80"/>
      <c r="BZ33" s="78">
        <f t="shared" si="17"/>
        <v>0</v>
      </c>
      <c r="CA33" s="80"/>
      <c r="CB33" s="83">
        <f t="shared" si="18"/>
        <v>0</v>
      </c>
      <c r="CC33" s="80"/>
      <c r="CD33" s="83">
        <f t="shared" si="19"/>
        <v>0</v>
      </c>
      <c r="CE33" s="80"/>
      <c r="CF33" s="83">
        <f t="shared" si="20"/>
        <v>0</v>
      </c>
      <c r="CG33" s="80"/>
      <c r="CH33" s="83">
        <f t="shared" si="21"/>
        <v>0</v>
      </c>
      <c r="CI33" s="80"/>
      <c r="CJ33" s="83">
        <f t="shared" si="1"/>
        <v>0</v>
      </c>
      <c r="CK33" s="80"/>
      <c r="CL33" s="77">
        <f t="shared" si="22"/>
        <v>0</v>
      </c>
      <c r="CM33" s="83"/>
      <c r="CN33" s="79"/>
      <c r="CO33" s="79"/>
    </row>
    <row r="34" spans="1:93" ht="25.5" customHeight="1" x14ac:dyDescent="0.4">
      <c r="A34" s="76">
        <v>43830</v>
      </c>
      <c r="B34" s="85"/>
      <c r="C34" s="80">
        <v>0</v>
      </c>
      <c r="D34" s="77">
        <f t="shared" si="2"/>
        <v>0</v>
      </c>
      <c r="E34" s="85"/>
      <c r="F34" s="77">
        <f t="shared" si="3"/>
        <v>0</v>
      </c>
      <c r="G34" s="80"/>
      <c r="H34" s="77">
        <f t="shared" si="4"/>
        <v>0</v>
      </c>
      <c r="I34" s="85"/>
      <c r="J34" s="77">
        <f t="shared" si="5"/>
        <v>0</v>
      </c>
      <c r="K34" s="85"/>
      <c r="L34" s="77">
        <f t="shared" si="0"/>
        <v>0</v>
      </c>
      <c r="M34" s="85"/>
      <c r="N34" s="78">
        <f t="shared" si="23"/>
        <v>0</v>
      </c>
      <c r="O34" s="86"/>
      <c r="P34" s="83">
        <f>IF((O34-O33&lt;0), "",O34-O33)</f>
        <v>0</v>
      </c>
      <c r="Q34" s="85"/>
      <c r="R34" s="83">
        <f t="shared" si="7"/>
        <v>0</v>
      </c>
      <c r="S34" s="85"/>
      <c r="T34" s="83">
        <f t="shared" si="8"/>
        <v>0</v>
      </c>
      <c r="U34" s="85"/>
      <c r="V34" s="83">
        <f t="shared" si="9"/>
        <v>0</v>
      </c>
      <c r="W34" s="85"/>
      <c r="X34" s="78">
        <f t="shared" si="43"/>
        <v>0</v>
      </c>
      <c r="Y34" s="85"/>
      <c r="Z34" s="78">
        <f t="shared" si="24"/>
        <v>0</v>
      </c>
      <c r="AA34" s="85"/>
      <c r="AB34" s="78">
        <f t="shared" si="25"/>
        <v>0</v>
      </c>
      <c r="AC34" s="85"/>
      <c r="AD34" s="78">
        <f t="shared" si="26"/>
        <v>0</v>
      </c>
      <c r="AE34" s="8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80"/>
      <c r="AR34" s="78">
        <f t="shared" si="29"/>
        <v>0</v>
      </c>
      <c r="AS34" s="80"/>
      <c r="AT34" s="78">
        <f t="shared" si="30"/>
        <v>0</v>
      </c>
      <c r="AU34" s="80"/>
      <c r="AV34" s="78">
        <f t="shared" si="31"/>
        <v>0</v>
      </c>
      <c r="AW34" s="80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80"/>
      <c r="BH34" s="78">
        <f t="shared" si="36"/>
        <v>0</v>
      </c>
      <c r="BI34" s="80"/>
      <c r="BJ34" s="78">
        <f t="shared" si="37"/>
        <v>0</v>
      </c>
      <c r="BK34" s="80"/>
      <c r="BL34" s="78">
        <f t="shared" si="38"/>
        <v>0</v>
      </c>
      <c r="BM34" s="80"/>
      <c r="BN34" s="78">
        <f t="shared" si="39"/>
        <v>0</v>
      </c>
      <c r="BO34" s="80"/>
      <c r="BP34" s="78">
        <f t="shared" si="40"/>
        <v>0</v>
      </c>
      <c r="BQ34" s="80"/>
      <c r="BR34" s="78">
        <f t="shared" si="15"/>
        <v>0</v>
      </c>
      <c r="BS34" s="80"/>
      <c r="BT34" s="78">
        <f t="shared" si="41"/>
        <v>0</v>
      </c>
      <c r="BU34" s="80"/>
      <c r="BV34" s="78">
        <f t="shared" si="16"/>
        <v>0</v>
      </c>
      <c r="BW34" s="80"/>
      <c r="BX34" s="78">
        <f t="shared" si="42"/>
        <v>0</v>
      </c>
      <c r="BY34" s="80"/>
      <c r="BZ34" s="83">
        <f t="shared" si="17"/>
        <v>0</v>
      </c>
      <c r="CA34" s="80"/>
      <c r="CB34" s="83">
        <f t="shared" si="18"/>
        <v>0</v>
      </c>
      <c r="CC34" s="80"/>
      <c r="CD34" s="83">
        <f t="shared" si="19"/>
        <v>0</v>
      </c>
      <c r="CE34" s="80"/>
      <c r="CF34" s="83">
        <f t="shared" si="20"/>
        <v>0</v>
      </c>
      <c r="CG34" s="80"/>
      <c r="CH34" s="83">
        <f t="shared" si="21"/>
        <v>0</v>
      </c>
      <c r="CI34" s="80"/>
      <c r="CJ34" s="83">
        <f t="shared" si="1"/>
        <v>0</v>
      </c>
      <c r="CK34" s="80"/>
      <c r="CL34" s="77">
        <f t="shared" si="22"/>
        <v>0</v>
      </c>
      <c r="CM34" s="83"/>
      <c r="CN34" s="79"/>
      <c r="CO34" s="79"/>
    </row>
    <row r="35" spans="1:93" ht="21.75" x14ac:dyDescent="0.4">
      <c r="P35" s="87">
        <f>SUM(P4:P33)</f>
        <v>451</v>
      </c>
      <c r="R35" s="87">
        <f>SUM(R4:R33)</f>
        <v>179</v>
      </c>
      <c r="AX35" s="78">
        <f t="shared" si="32"/>
        <v>0</v>
      </c>
      <c r="BF35" s="87">
        <f>SUM(BF4:BF33)</f>
        <v>1109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D32" sqref="D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107" t="s">
        <v>0</v>
      </c>
      <c r="B4" s="110" t="s">
        <v>54</v>
      </c>
      <c r="C4" s="110" t="s">
        <v>55</v>
      </c>
      <c r="D4" s="113" t="s">
        <v>56</v>
      </c>
      <c r="E4" s="96" t="s">
        <v>57</v>
      </c>
      <c r="F4" s="116"/>
      <c r="G4" s="116"/>
      <c r="H4" s="116"/>
      <c r="I4" s="116"/>
      <c r="J4" s="97"/>
      <c r="K4" s="104" t="s">
        <v>58</v>
      </c>
      <c r="L4" s="105"/>
      <c r="M4" s="106"/>
      <c r="N4" s="95" t="s">
        <v>37</v>
      </c>
      <c r="O4" s="95"/>
      <c r="P4" s="95"/>
      <c r="Q4" s="95"/>
    </row>
    <row r="5" spans="1:17" ht="33.75" customHeight="1" x14ac:dyDescent="0.25">
      <c r="A5" s="108"/>
      <c r="B5" s="111"/>
      <c r="C5" s="111"/>
      <c r="D5" s="114"/>
      <c r="E5" s="96" t="s">
        <v>59</v>
      </c>
      <c r="F5" s="97"/>
      <c r="G5" s="96" t="s">
        <v>60</v>
      </c>
      <c r="H5" s="97"/>
      <c r="I5" s="96" t="s">
        <v>61</v>
      </c>
      <c r="J5" s="97"/>
      <c r="K5" s="98" t="s">
        <v>62</v>
      </c>
      <c r="L5" s="99"/>
      <c r="M5" s="100"/>
      <c r="N5" s="101" t="s">
        <v>63</v>
      </c>
      <c r="O5" s="102"/>
      <c r="P5" s="102"/>
      <c r="Q5" s="103"/>
    </row>
    <row r="6" spans="1:17" x14ac:dyDescent="0.25">
      <c r="A6" s="109"/>
      <c r="B6" s="112"/>
      <c r="C6" s="112"/>
      <c r="D6" s="115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25">
      <c r="A24" s="47">
        <v>43815</v>
      </c>
      <c r="B24" s="20">
        <v>35</v>
      </c>
      <c r="C24" s="20">
        <v>37</v>
      </c>
      <c r="D24" s="20">
        <v>102</v>
      </c>
      <c r="E24" s="28">
        <v>0</v>
      </c>
      <c r="F24" s="28">
        <v>3987</v>
      </c>
      <c r="G24" s="28">
        <v>5</v>
      </c>
      <c r="H24" s="28">
        <v>1172</v>
      </c>
      <c r="I24" s="28">
        <v>10</v>
      </c>
      <c r="J24" s="28">
        <v>209</v>
      </c>
      <c r="K24" s="29">
        <v>0</v>
      </c>
      <c r="L24" s="29">
        <v>85</v>
      </c>
      <c r="M24" s="29">
        <v>911</v>
      </c>
      <c r="N24" s="30">
        <v>0</v>
      </c>
      <c r="O24" s="30">
        <v>60</v>
      </c>
      <c r="P24" s="30">
        <v>80</v>
      </c>
      <c r="Q24" s="30">
        <v>1968</v>
      </c>
    </row>
    <row r="25" spans="1:17" x14ac:dyDescent="0.25">
      <c r="A25" s="47">
        <v>43816</v>
      </c>
      <c r="B25" s="20">
        <v>37</v>
      </c>
      <c r="C25" s="20">
        <v>30</v>
      </c>
      <c r="D25" s="20">
        <v>95</v>
      </c>
      <c r="E25" s="28">
        <v>0</v>
      </c>
      <c r="F25" s="28">
        <v>3996</v>
      </c>
      <c r="G25" s="28">
        <v>0</v>
      </c>
      <c r="H25" s="28">
        <v>1174</v>
      </c>
      <c r="I25" s="28">
        <v>10</v>
      </c>
      <c r="J25" s="28">
        <v>209</v>
      </c>
      <c r="K25" s="29">
        <v>0</v>
      </c>
      <c r="L25" s="29">
        <v>85</v>
      </c>
      <c r="M25" s="29">
        <v>914</v>
      </c>
      <c r="N25" s="30">
        <v>0</v>
      </c>
      <c r="O25" s="30">
        <v>60</v>
      </c>
      <c r="P25" s="30">
        <v>80</v>
      </c>
      <c r="Q25" s="30">
        <v>1971</v>
      </c>
    </row>
    <row r="26" spans="1:17" x14ac:dyDescent="0.25">
      <c r="A26" s="47">
        <v>43817</v>
      </c>
      <c r="B26" s="20">
        <v>28</v>
      </c>
      <c r="C26" s="20">
        <v>29</v>
      </c>
      <c r="D26" s="20">
        <v>91</v>
      </c>
      <c r="E26" s="28">
        <v>85</v>
      </c>
      <c r="F26" s="28">
        <v>4005</v>
      </c>
      <c r="G26" s="28">
        <v>80</v>
      </c>
      <c r="H26" s="28">
        <v>1176</v>
      </c>
      <c r="I26" s="28">
        <v>85</v>
      </c>
      <c r="J26" s="28">
        <v>209</v>
      </c>
      <c r="K26" s="29">
        <v>0</v>
      </c>
      <c r="L26" s="29">
        <v>80</v>
      </c>
      <c r="M26" s="29">
        <v>917</v>
      </c>
      <c r="N26" s="30">
        <v>0</v>
      </c>
      <c r="O26" s="30">
        <v>55</v>
      </c>
      <c r="P26" s="30">
        <v>80</v>
      </c>
      <c r="Q26" s="30">
        <v>1974</v>
      </c>
    </row>
    <row r="27" spans="1:17" x14ac:dyDescent="0.25">
      <c r="A27" s="47">
        <v>43818</v>
      </c>
      <c r="B27" s="20">
        <v>34</v>
      </c>
      <c r="C27" s="20">
        <v>32</v>
      </c>
      <c r="D27" s="20">
        <v>97</v>
      </c>
      <c r="E27" s="28">
        <v>85</v>
      </c>
      <c r="F27" s="28">
        <v>4016</v>
      </c>
      <c r="G27" s="28">
        <v>60</v>
      </c>
      <c r="H27" s="28">
        <v>1179</v>
      </c>
      <c r="I27" s="28">
        <v>85</v>
      </c>
      <c r="J27" s="28">
        <v>210</v>
      </c>
      <c r="K27" s="29">
        <v>0</v>
      </c>
      <c r="L27" s="29">
        <v>80</v>
      </c>
      <c r="M27" s="29">
        <v>920</v>
      </c>
      <c r="N27" s="30">
        <v>0</v>
      </c>
      <c r="O27" s="30">
        <v>50</v>
      </c>
      <c r="P27" s="30">
        <v>80</v>
      </c>
      <c r="Q27" s="30">
        <v>1978</v>
      </c>
    </row>
    <row r="28" spans="1:17" x14ac:dyDescent="0.25">
      <c r="A28" s="47">
        <v>43819</v>
      </c>
      <c r="B28" s="20">
        <v>42</v>
      </c>
      <c r="C28" s="20">
        <v>38</v>
      </c>
      <c r="D28" s="20">
        <v>119</v>
      </c>
      <c r="E28" s="28">
        <v>85</v>
      </c>
      <c r="F28" s="28">
        <v>4027</v>
      </c>
      <c r="G28" s="28">
        <v>45</v>
      </c>
      <c r="H28" s="28">
        <v>1181</v>
      </c>
      <c r="I28" s="28">
        <v>85</v>
      </c>
      <c r="J28" s="28">
        <v>213</v>
      </c>
      <c r="K28" s="29">
        <v>0</v>
      </c>
      <c r="L28" s="29">
        <v>80</v>
      </c>
      <c r="M28" s="29">
        <v>923</v>
      </c>
      <c r="N28" s="30">
        <v>0</v>
      </c>
      <c r="O28" s="30">
        <v>45</v>
      </c>
      <c r="P28" s="30">
        <v>80</v>
      </c>
      <c r="Q28" s="30">
        <v>1982</v>
      </c>
    </row>
    <row r="29" spans="1:17" x14ac:dyDescent="0.25">
      <c r="A29" s="47">
        <v>43820</v>
      </c>
      <c r="B29" s="44">
        <v>45</v>
      </c>
      <c r="C29" s="44">
        <v>40</v>
      </c>
      <c r="D29" s="44">
        <v>127</v>
      </c>
      <c r="E29" s="45">
        <v>85</v>
      </c>
      <c r="F29" s="45">
        <v>4037</v>
      </c>
      <c r="G29" s="45">
        <v>30</v>
      </c>
      <c r="H29" s="45">
        <v>1183</v>
      </c>
      <c r="I29" s="45">
        <v>85</v>
      </c>
      <c r="J29" s="45">
        <v>213</v>
      </c>
      <c r="K29" s="46">
        <v>0</v>
      </c>
      <c r="L29" s="46">
        <v>75</v>
      </c>
      <c r="M29" s="46">
        <v>926</v>
      </c>
      <c r="N29" s="43">
        <v>0</v>
      </c>
      <c r="O29" s="43">
        <v>43</v>
      </c>
      <c r="P29" s="43">
        <v>80</v>
      </c>
      <c r="Q29" s="43">
        <v>1986</v>
      </c>
    </row>
    <row r="30" spans="1:17" x14ac:dyDescent="0.25">
      <c r="A30" s="47">
        <v>43821</v>
      </c>
      <c r="B30" s="20">
        <v>62</v>
      </c>
      <c r="C30" s="20">
        <v>48</v>
      </c>
      <c r="D30" s="20">
        <v>150</v>
      </c>
      <c r="E30" s="28">
        <v>85</v>
      </c>
      <c r="F30" s="28">
        <v>4046</v>
      </c>
      <c r="G30" s="28">
        <v>20</v>
      </c>
      <c r="H30" s="28">
        <v>1185</v>
      </c>
      <c r="I30" s="28">
        <v>85</v>
      </c>
      <c r="J30" s="28">
        <v>213</v>
      </c>
      <c r="K30" s="29">
        <v>0</v>
      </c>
      <c r="L30" s="29">
        <v>70</v>
      </c>
      <c r="M30" s="29">
        <v>929</v>
      </c>
      <c r="N30" s="30">
        <v>0</v>
      </c>
      <c r="O30" s="30">
        <v>35</v>
      </c>
      <c r="P30" s="30">
        <v>85</v>
      </c>
      <c r="Q30" s="30">
        <v>1990</v>
      </c>
    </row>
    <row r="31" spans="1:17" x14ac:dyDescent="0.25">
      <c r="A31" s="47">
        <v>43822</v>
      </c>
      <c r="B31" s="20">
        <v>52</v>
      </c>
      <c r="C31" s="20">
        <v>41</v>
      </c>
      <c r="D31" s="20">
        <v>132</v>
      </c>
      <c r="E31" s="28">
        <v>85</v>
      </c>
      <c r="F31" s="28">
        <v>4055</v>
      </c>
      <c r="G31" s="28">
        <v>5</v>
      </c>
      <c r="H31" s="28">
        <v>1188</v>
      </c>
      <c r="I31" s="28">
        <v>85</v>
      </c>
      <c r="J31" s="28">
        <v>214</v>
      </c>
      <c r="K31" s="29">
        <v>0</v>
      </c>
      <c r="L31" s="29">
        <v>67</v>
      </c>
      <c r="M31" s="29">
        <v>933</v>
      </c>
      <c r="N31" s="30">
        <v>0</v>
      </c>
      <c r="O31" s="30">
        <v>35</v>
      </c>
      <c r="P31" s="30">
        <v>80</v>
      </c>
      <c r="Q31" s="30">
        <v>1992</v>
      </c>
    </row>
    <row r="32" spans="1:17" x14ac:dyDescent="0.25">
      <c r="A32" s="47">
        <v>43823</v>
      </c>
      <c r="B32" s="20">
        <v>54</v>
      </c>
      <c r="C32" s="20">
        <v>42</v>
      </c>
      <c r="D32" s="20">
        <v>136</v>
      </c>
      <c r="E32" s="28">
        <v>85</v>
      </c>
      <c r="F32" s="28">
        <v>4062</v>
      </c>
      <c r="G32" s="28">
        <v>5</v>
      </c>
      <c r="H32" s="28">
        <v>1190</v>
      </c>
      <c r="I32" s="28">
        <v>85</v>
      </c>
      <c r="J32" s="28">
        <v>217</v>
      </c>
      <c r="K32" s="29">
        <v>0</v>
      </c>
      <c r="L32" s="29">
        <v>65</v>
      </c>
      <c r="M32" s="29">
        <v>935</v>
      </c>
      <c r="N32" s="30">
        <v>0</v>
      </c>
      <c r="O32" s="30">
        <v>30</v>
      </c>
      <c r="P32" s="30">
        <v>80</v>
      </c>
      <c r="Q32" s="30">
        <v>1996</v>
      </c>
    </row>
    <row r="33" spans="1:17" x14ac:dyDescent="0.25">
      <c r="A33" s="47">
        <v>43824</v>
      </c>
      <c r="B33" s="20"/>
      <c r="C33" s="20"/>
      <c r="D33" s="20"/>
      <c r="E33" s="28"/>
      <c r="F33" s="28"/>
      <c r="G33" s="28"/>
      <c r="H33" s="28"/>
      <c r="I33" s="28"/>
      <c r="J33" s="28"/>
      <c r="K33" s="29"/>
      <c r="L33" s="29"/>
      <c r="M33" s="29"/>
      <c r="N33" s="30"/>
      <c r="O33" s="30"/>
      <c r="P33" s="30"/>
      <c r="Q33" s="30"/>
    </row>
    <row r="34" spans="1:17" x14ac:dyDescent="0.25">
      <c r="A34" s="47">
        <v>43825</v>
      </c>
      <c r="B34" s="20"/>
      <c r="C34" s="20"/>
      <c r="D34" s="20"/>
      <c r="E34" s="28"/>
      <c r="F34" s="28"/>
      <c r="G34" s="28"/>
      <c r="H34" s="28"/>
      <c r="I34" s="28"/>
      <c r="J34" s="28"/>
      <c r="K34" s="29"/>
      <c r="L34" s="29"/>
      <c r="M34" s="29"/>
      <c r="N34" s="30"/>
      <c r="O34" s="30"/>
      <c r="P34" s="30"/>
      <c r="Q34" s="30"/>
    </row>
    <row r="35" spans="1:17" x14ac:dyDescent="0.25">
      <c r="A35" s="47">
        <v>43826</v>
      </c>
      <c r="B35" s="20"/>
      <c r="C35" s="20"/>
      <c r="D35" s="20"/>
      <c r="E35" s="28"/>
      <c r="F35" s="28"/>
      <c r="G35" s="28"/>
      <c r="H35" s="28"/>
      <c r="I35" s="28"/>
      <c r="J35" s="28"/>
      <c r="K35" s="29"/>
      <c r="L35" s="29"/>
      <c r="M35" s="29"/>
      <c r="N35" s="30"/>
      <c r="O35" s="30"/>
      <c r="P35" s="30"/>
      <c r="Q35" s="30"/>
    </row>
    <row r="36" spans="1:17" x14ac:dyDescent="0.25">
      <c r="A36" s="47">
        <v>43827</v>
      </c>
      <c r="B36" s="20"/>
      <c r="C36" s="20"/>
      <c r="D36" s="20"/>
      <c r="E36" s="28"/>
      <c r="F36" s="28"/>
      <c r="G36" s="28"/>
      <c r="H36" s="28"/>
      <c r="I36" s="28"/>
      <c r="J36" s="28"/>
      <c r="K36" s="29"/>
      <c r="L36" s="29"/>
      <c r="M36" s="29"/>
      <c r="N36" s="30"/>
      <c r="O36" s="30"/>
      <c r="P36" s="30"/>
      <c r="Q36" s="30"/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2019-12-25T03:16:30Z</dcterms:modified>
</cp:coreProperties>
</file>