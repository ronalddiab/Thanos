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87F1862-235C-44AE-9ACB-CB9A9913A06A}" xr6:coauthVersionLast="47" xr6:coauthVersionMax="47" xr10:uidLastSave="{00000000-0000-0000-0000-000000000000}"/>
  <bookViews>
    <workbookView xWindow="10779" yWindow="228" windowWidth="20530" windowHeight="10793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U18" i="2" s="1"/>
  <c r="G18" i="3" s="1"/>
  <c r="K18" i="2"/>
  <c r="G18" i="2"/>
  <c r="E18" i="2"/>
  <c r="C18" i="2"/>
  <c r="Y17" i="2"/>
  <c r="S17" i="2"/>
  <c r="K17" i="2"/>
  <c r="G17" i="2"/>
  <c r="E17" i="2"/>
  <c r="C17" i="2"/>
  <c r="Y16" i="2"/>
  <c r="S16" i="2"/>
  <c r="U16" i="2" s="1"/>
  <c r="G16" i="3" s="1"/>
  <c r="K16" i="2"/>
  <c r="G16" i="2"/>
  <c r="E16" i="2"/>
  <c r="C16" i="2"/>
  <c r="Y15" i="2"/>
  <c r="S15" i="2"/>
  <c r="K15" i="2"/>
  <c r="G15" i="2"/>
  <c r="E15" i="2"/>
  <c r="C15" i="2"/>
  <c r="Y14" i="2"/>
  <c r="S14" i="2"/>
  <c r="U14" i="2" s="1"/>
  <c r="G14" i="3" s="1"/>
  <c r="K14" i="2"/>
  <c r="G14" i="2"/>
  <c r="E14" i="2"/>
  <c r="C14" i="2"/>
  <c r="Y13" i="2"/>
  <c r="S13" i="2"/>
  <c r="K13" i="2"/>
  <c r="G13" i="2"/>
  <c r="E13" i="2"/>
  <c r="C13" i="2"/>
  <c r="Y12" i="2"/>
  <c r="S12" i="2"/>
  <c r="U12" i="2" s="1"/>
  <c r="G12" i="3" s="1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10" i="2" l="1"/>
  <c r="G10" i="3" s="1"/>
  <c r="U8" i="2"/>
  <c r="G8" i="3" s="1"/>
  <c r="U6" i="2"/>
  <c r="G6" i="3" s="1"/>
  <c r="U2" i="2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29" i="2"/>
  <c r="I20" i="2"/>
  <c r="I15" i="2"/>
  <c r="I13" i="2"/>
  <c r="I10" i="2"/>
  <c r="I6" i="2"/>
  <c r="I5" i="2"/>
  <c r="C34" i="2"/>
  <c r="J10" i="2" l="1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<sst xmlns="http://schemas.openxmlformats.org/spreadsheetml/2006/main" count="77" uniqueCount="40">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</sst>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237</v>
      </c>
      <c r="P6" s="107">
        <f>October!AD6</f>
        <v>413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167</v>
      </c>
      <c r="P7" s="107">
        <f>October!AD7</f>
        <v>314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181</v>
      </c>
      <c r="P8" s="107">
        <f>October!AD8</f>
        <v>342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8346</v>
      </c>
      <c r="F9" s="117">
        <f>(October!C9*0.27)/(October!C9+October!E9)</f>
        <v>-4.05206098716637E-3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172</v>
      </c>
      <c r="P9" s="107">
        <f>October!AD9</f>
        <v>331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0</v>
      </c>
      <c r="F10" s="117">
        <f>(October!C10*0.27)/(October!C10+October!E10)</f>
        <v>0.27</v>
      </c>
      <c r="G10" s="104">
        <f>October!U10</f>
        <v>4640</v>
      </c>
      <c r="H10" s="120">
        <v>0.62</v>
      </c>
      <c r="I10" s="105" t="str">
        <f>October!W10</f>
        <v>0</v>
      </c>
      <c r="J10" s="106">
        <v>2.42</v>
      </c>
      <c r="K10" s="113">
        <f>October!AB10*5.04</f>
        <v>0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0</v>
      </c>
      <c r="P10" s="107">
        <f>October!AD10</f>
        <v>0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0</v>
      </c>
      <c r="F11" s="117" t="e">
        <f>(October!C11*0.27)/(October!C11+October!E11)</f>
        <v>#DIV/0!</v>
      </c>
      <c r="G11" s="104">
        <f>October!U11</f>
        <v>0</v>
      </c>
      <c r="H11" s="120">
        <v>0.62</v>
      </c>
      <c r="I11" s="105">
        <f>October!W11</f>
        <v>0</v>
      </c>
      <c r="J11" s="106">
        <v>2.42</v>
      </c>
      <c r="K11" s="113">
        <f>October!AB11*5.04</f>
        <v>0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0</v>
      </c>
      <c r="P11" s="107">
        <f>October!AD11</f>
        <v>0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0</v>
      </c>
      <c r="F12" s="117" t="e">
        <f>(October!C12*0.27)/(October!C12+October!E12)</f>
        <v>#DIV/0!</v>
      </c>
      <c r="G12" s="104">
        <f>October!U12</f>
        <v>0</v>
      </c>
      <c r="H12" s="120">
        <v>0.62</v>
      </c>
      <c r="I12" s="105">
        <f>October!W12</f>
        <v>0</v>
      </c>
      <c r="J12" s="106">
        <v>2.42</v>
      </c>
      <c r="K12" s="113">
        <f>October!AB12*5.04</f>
        <v>0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0</v>
      </c>
      <c r="P12" s="107">
        <f>October!AD12</f>
        <v>0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0</v>
      </c>
      <c r="F13" s="117" t="e">
        <f>(October!C13*0.27)/(October!C13+October!E13)</f>
        <v>#DIV/0!</v>
      </c>
      <c r="G13" s="104">
        <f>October!U13</f>
        <v>0</v>
      </c>
      <c r="H13" s="120">
        <v>0.62</v>
      </c>
      <c r="I13" s="105">
        <f>October!W13</f>
        <v>0</v>
      </c>
      <c r="J13" s="106">
        <v>2.42</v>
      </c>
      <c r="K13" s="113">
        <f>October!AB13*5.04</f>
        <v>0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0</v>
      </c>
      <c r="P13" s="107">
        <f>October!AD13</f>
        <v>0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0</v>
      </c>
      <c r="F14" s="117" t="e">
        <f>(October!C14*0.27)/(October!C14+October!E14)</f>
        <v>#DIV/0!</v>
      </c>
      <c r="G14" s="104">
        <f>October!U14</f>
        <v>0</v>
      </c>
      <c r="H14" s="120">
        <v>0.62</v>
      </c>
      <c r="I14" s="105">
        <f>October!W14</f>
        <v>0</v>
      </c>
      <c r="J14" s="106">
        <v>2.42</v>
      </c>
      <c r="K14" s="113">
        <f>October!AB14*5.04</f>
        <v>0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0</v>
      </c>
      <c r="P14" s="107">
        <f>October!AD14</f>
        <v>0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0</v>
      </c>
      <c r="F15" s="117" t="e">
        <f>(October!C15*0.27)/(October!C15+October!E15)</f>
        <v>#DIV/0!</v>
      </c>
      <c r="G15" s="104">
        <f>October!U15</f>
        <v>0</v>
      </c>
      <c r="H15" s="120">
        <v>0.62</v>
      </c>
      <c r="I15" s="105">
        <f>October!W15</f>
        <v>0</v>
      </c>
      <c r="J15" s="106">
        <v>2.42</v>
      </c>
      <c r="K15" s="113">
        <f>October!AB15*5.04</f>
        <v>0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0</v>
      </c>
      <c r="P15" s="107">
        <f>October!AD15</f>
        <v>0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0</v>
      </c>
      <c r="F16" s="117" t="e">
        <f>(October!C16*0.27)/(October!C16+October!E16)</f>
        <v>#DIV/0!</v>
      </c>
      <c r="G16" s="104">
        <f>October!U16</f>
        <v>0</v>
      </c>
      <c r="H16" s="120">
        <v>0.62</v>
      </c>
      <c r="I16" s="105">
        <f>October!W16</f>
        <v>0</v>
      </c>
      <c r="J16" s="106">
        <v>2.42</v>
      </c>
      <c r="K16" s="113">
        <f>October!AB16*5.04</f>
        <v>0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0</v>
      </c>
      <c r="P16" s="107">
        <f>October!AD16</f>
        <v>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0</v>
      </c>
      <c r="F17" s="117" t="e">
        <f>(October!C17*0.27)/(October!C17+October!E17)</f>
        <v>#DIV/0!</v>
      </c>
      <c r="G17" s="104">
        <f>October!U17</f>
        <v>0</v>
      </c>
      <c r="H17" s="120">
        <v>0.62</v>
      </c>
      <c r="I17" s="105">
        <f>October!W17</f>
        <v>0</v>
      </c>
      <c r="J17" s="106">
        <v>2.42</v>
      </c>
      <c r="K17" s="113">
        <f>October!AB17*5.04</f>
        <v>0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0</v>
      </c>
      <c r="P17" s="107">
        <f>October!AD17</f>
        <v>0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0</v>
      </c>
      <c r="F18" s="117" t="e">
        <f>(October!C18*0.27)/(October!C18+October!E18)</f>
        <v>#DIV/0!</v>
      </c>
      <c r="G18" s="104">
        <f>October!U18</f>
        <v>0</v>
      </c>
      <c r="H18" s="120">
        <v>0.62</v>
      </c>
      <c r="I18" s="105">
        <f>October!W18</f>
        <v>0</v>
      </c>
      <c r="J18" s="106">
        <v>2.42</v>
      </c>
      <c r="K18" s="113">
        <f>October!AB18*5.04</f>
        <v>0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0</v>
      </c>
      <c r="P18" s="107">
        <f>October!AD18</f>
        <v>0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0</v>
      </c>
      <c r="F19" s="117" t="e">
        <f>(October!C19*0.27)/(October!C19+October!E19)</f>
        <v>#DIV/0!</v>
      </c>
      <c r="G19" s="104">
        <f>October!U19</f>
        <v>0</v>
      </c>
      <c r="H19" s="120">
        <v>0.62</v>
      </c>
      <c r="I19" s="105">
        <f>October!W19</f>
        <v>0</v>
      </c>
      <c r="J19" s="106">
        <v>2.42</v>
      </c>
      <c r="K19" s="113">
        <f>October!AB19*5.04</f>
        <v>0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0</v>
      </c>
      <c r="P19" s="107">
        <f>October!AD19</f>
        <v>0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0</v>
      </c>
      <c r="F20" s="117" t="e">
        <f>(October!C20*0.27)/(October!C20+October!E20)</f>
        <v>#DIV/0!</v>
      </c>
      <c r="G20" s="104">
        <f>October!U20</f>
        <v>0</v>
      </c>
      <c r="H20" s="120">
        <v>0.62</v>
      </c>
      <c r="I20" s="105">
        <f>October!W20</f>
        <v>0</v>
      </c>
      <c r="J20" s="106">
        <v>2.42</v>
      </c>
      <c r="K20" s="113">
        <f>October!AB20*5.04</f>
        <v>0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0</v>
      </c>
      <c r="P20" s="107">
        <f>October!AD20</f>
        <v>0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0</v>
      </c>
      <c r="F21" s="117" t="e">
        <f>(October!C21*0.27)/(October!C21+October!E21)</f>
        <v>#DIV/0!</v>
      </c>
      <c r="G21" s="104">
        <f>October!U21</f>
        <v>0</v>
      </c>
      <c r="H21" s="120">
        <v>0.62</v>
      </c>
      <c r="I21" s="105">
        <f>October!W21</f>
        <v>0</v>
      </c>
      <c r="J21" s="106">
        <v>2.42</v>
      </c>
      <c r="K21" s="113">
        <f>October!AB21*5.04</f>
        <v>0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0</v>
      </c>
      <c r="P21" s="107">
        <f>October!AD21</f>
        <v>0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 t="e">
        <f>(October!C22*0.27)/(October!C22+October!E22)</f>
        <v>#DIV/0!</v>
      </c>
      <c r="G22" s="104">
        <f>October!U22</f>
        <v>0</v>
      </c>
      <c r="H22" s="120">
        <v>0.62</v>
      </c>
      <c r="I22" s="105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" zoomScale="85" zoomScaleNormal="85" workbookViewId="0">
      <selection activeCell="AD10" sqref="AD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38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38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38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237</v>
      </c>
      <c r="AD6" s="18">
        <v>413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38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167</v>
      </c>
      <c r="AD7" s="18">
        <v>314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-564417.45000000007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38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181</v>
      </c>
      <c r="AD8" s="18">
        <v>342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-564463</v>
      </c>
      <c r="F9" s="27">
        <v>1704</v>
      </c>
      <c r="G9" s="74">
        <f t="shared" si="5"/>
        <v>0</v>
      </c>
      <c r="H9" s="76">
        <f t="shared" si="6"/>
        <v>-556117</v>
      </c>
      <c r="I9" s="80">
        <f t="shared" si="7"/>
        <v>-601691.65</v>
      </c>
      <c r="J9" s="32">
        <f t="shared" si="0"/>
        <v>-12443300.93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38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172</v>
      </c>
      <c r="AD9" s="18">
        <v>331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-12999417</v>
      </c>
      <c r="D10" s="11"/>
      <c r="E10" s="14">
        <f t="shared" si="4"/>
        <v>0</v>
      </c>
      <c r="F10" s="27">
        <v>1704</v>
      </c>
      <c r="G10" s="74">
        <f t="shared" si="5"/>
        <v>0</v>
      </c>
      <c r="H10" s="76">
        <f t="shared" si="6"/>
        <v>-12999417</v>
      </c>
      <c r="I10" s="80">
        <f t="shared" si="7"/>
        <v>-13044992.58</v>
      </c>
      <c r="J10" s="32">
        <f t="shared" si="0"/>
        <v>12999417.58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38"/>
      <c r="U10" s="32">
        <f t="shared" si="2"/>
        <v>4640</v>
      </c>
      <c r="V10" s="44">
        <v>118364</v>
      </c>
      <c r="W10" s="32" t="str">
        <f t="shared" si="9"/>
        <v>0</v>
      </c>
      <c r="X10" s="47">
        <v>60948</v>
      </c>
      <c r="Y10" s="32">
        <f t="shared" si="10"/>
        <v>-60948</v>
      </c>
      <c r="Z10" s="50">
        <v>820</v>
      </c>
      <c r="AA10" s="56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45575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4">
        <f t="shared" si="5"/>
        <v>0</v>
      </c>
      <c r="H11" s="76">
        <f t="shared" si="6"/>
        <v>0</v>
      </c>
      <c r="I11" s="80">
        <f t="shared" si="7"/>
        <v>-45575</v>
      </c>
      <c r="J11" s="32">
        <f t="shared" si="0"/>
        <v>-1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/>
      <c r="P11" s="93"/>
      <c r="Q11" s="92"/>
      <c r="R11" s="93"/>
      <c r="S11" s="39">
        <f t="shared" si="8"/>
        <v>0</v>
      </c>
      <c r="T11" s="38"/>
      <c r="U11" s="32">
        <f t="shared" si="2"/>
        <v>0</v>
      </c>
      <c r="V11" s="44"/>
      <c r="W11" s="32">
        <f t="shared" si="9"/>
        <v>0</v>
      </c>
      <c r="X11" s="47"/>
      <c r="Y11" s="32">
        <f t="shared" si="10"/>
        <v>0</v>
      </c>
      <c r="Z11" s="50"/>
      <c r="AA11" s="56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20">
        <v>45576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4">
        <f t="shared" si="5"/>
        <v>0</v>
      </c>
      <c r="H12" s="76">
        <f t="shared" si="6"/>
        <v>0</v>
      </c>
      <c r="I12" s="80">
        <f t="shared" si="7"/>
        <v>-45576</v>
      </c>
      <c r="J12" s="32">
        <f t="shared" si="0"/>
        <v>-1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/>
      <c r="P12" s="93"/>
      <c r="Q12" s="92"/>
      <c r="R12" s="93"/>
      <c r="S12" s="39">
        <f t="shared" si="8"/>
        <v>0</v>
      </c>
      <c r="T12" s="38"/>
      <c r="U12" s="32">
        <f t="shared" si="2"/>
        <v>0</v>
      </c>
      <c r="V12" s="44"/>
      <c r="W12" s="32">
        <f t="shared" si="9"/>
        <v>0</v>
      </c>
      <c r="X12" s="47"/>
      <c r="Y12" s="32">
        <f t="shared" si="10"/>
        <v>0</v>
      </c>
      <c r="Z12" s="50"/>
      <c r="AA12" s="56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45577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4">
        <f t="shared" si="5"/>
        <v>0</v>
      </c>
      <c r="H13" s="76">
        <f t="shared" si="6"/>
        <v>0</v>
      </c>
      <c r="I13" s="80">
        <f t="shared" si="7"/>
        <v>-45577</v>
      </c>
      <c r="J13" s="32">
        <f t="shared" si="0"/>
        <v>-1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/>
      <c r="P13" s="93"/>
      <c r="Q13" s="92"/>
      <c r="R13" s="93"/>
      <c r="S13" s="39">
        <f t="shared" si="8"/>
        <v>0</v>
      </c>
      <c r="T13" s="38"/>
      <c r="U13" s="32">
        <f t="shared" si="2"/>
        <v>0</v>
      </c>
      <c r="V13" s="44"/>
      <c r="W13" s="32">
        <f t="shared" si="9"/>
        <v>0</v>
      </c>
      <c r="X13" s="47"/>
      <c r="Y13" s="32">
        <f t="shared" si="10"/>
        <v>0</v>
      </c>
      <c r="Z13" s="50"/>
      <c r="AA13" s="56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20">
        <v>45578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4">
        <f t="shared" si="5"/>
        <v>0</v>
      </c>
      <c r="H14" s="76">
        <f t="shared" si="6"/>
        <v>0</v>
      </c>
      <c r="I14" s="80">
        <f t="shared" si="7"/>
        <v>-45578</v>
      </c>
      <c r="J14" s="32">
        <f t="shared" si="0"/>
        <v>-1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/>
      <c r="P14" s="93"/>
      <c r="Q14" s="92"/>
      <c r="R14" s="93"/>
      <c r="S14" s="39">
        <f t="shared" si="8"/>
        <v>0</v>
      </c>
      <c r="T14" s="38"/>
      <c r="U14" s="32">
        <f t="shared" si="2"/>
        <v>0</v>
      </c>
      <c r="V14" s="44"/>
      <c r="W14" s="32">
        <f t="shared" si="9"/>
        <v>0</v>
      </c>
      <c r="X14" s="47"/>
      <c r="Y14" s="32">
        <f t="shared" si="10"/>
        <v>0</v>
      </c>
      <c r="Z14" s="50"/>
      <c r="AA14" s="56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45579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4">
        <f t="shared" si="5"/>
        <v>0</v>
      </c>
      <c r="H15" s="76">
        <f t="shared" si="6"/>
        <v>0</v>
      </c>
      <c r="I15" s="80">
        <f t="shared" si="7"/>
        <v>-45579</v>
      </c>
      <c r="J15" s="32">
        <f t="shared" si="0"/>
        <v>-1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/>
      <c r="P15" s="93"/>
      <c r="Q15" s="92"/>
      <c r="R15" s="93"/>
      <c r="S15" s="39">
        <f t="shared" si="8"/>
        <v>0</v>
      </c>
      <c r="T15" s="38"/>
      <c r="U15" s="32">
        <f t="shared" si="2"/>
        <v>0</v>
      </c>
      <c r="V15" s="44"/>
      <c r="W15" s="32">
        <f t="shared" si="9"/>
        <v>0</v>
      </c>
      <c r="X15" s="47"/>
      <c r="Y15" s="32">
        <f t="shared" si="10"/>
        <v>0</v>
      </c>
      <c r="Z15" s="50"/>
      <c r="AA15" s="56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20">
        <v>45580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4">
        <f t="shared" si="5"/>
        <v>0</v>
      </c>
      <c r="H16" s="76">
        <f t="shared" si="6"/>
        <v>0</v>
      </c>
      <c r="I16" s="80">
        <f t="shared" si="7"/>
        <v>-45580</v>
      </c>
      <c r="J16" s="32">
        <f t="shared" si="0"/>
        <v>-1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/>
      <c r="P16" s="93"/>
      <c r="Q16" s="92"/>
      <c r="R16" s="93"/>
      <c r="S16" s="39">
        <f t="shared" si="8"/>
        <v>0</v>
      </c>
      <c r="T16" s="38"/>
      <c r="U16" s="32">
        <f t="shared" si="2"/>
        <v>0</v>
      </c>
      <c r="V16" s="44"/>
      <c r="W16" s="32">
        <f t="shared" si="9"/>
        <v>0</v>
      </c>
      <c r="X16" s="47"/>
      <c r="Y16" s="32">
        <f t="shared" si="10"/>
        <v>0</v>
      </c>
      <c r="Z16" s="50"/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45581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4">
        <f t="shared" si="5"/>
        <v>0</v>
      </c>
      <c r="H17" s="76">
        <f t="shared" si="6"/>
        <v>0</v>
      </c>
      <c r="I17" s="80">
        <f t="shared" si="7"/>
        <v>-45581</v>
      </c>
      <c r="J17" s="32">
        <f t="shared" si="0"/>
        <v>-1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/>
      <c r="P17" s="93"/>
      <c r="Q17" s="92"/>
      <c r="R17" s="93"/>
      <c r="S17" s="39">
        <f t="shared" si="8"/>
        <v>0</v>
      </c>
      <c r="T17" s="38"/>
      <c r="U17" s="32">
        <f t="shared" ref="U17:U20" si="12">IF(OR((S17+T17-S18)&lt;0,S17&gt;S16),"0",(S17+T17-S18))</f>
        <v>0</v>
      </c>
      <c r="V17" s="44"/>
      <c r="W17" s="32">
        <f t="shared" si="9"/>
        <v>0</v>
      </c>
      <c r="X17" s="47"/>
      <c r="Y17" s="32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45582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4">
        <f t="shared" si="5"/>
        <v>0</v>
      </c>
      <c r="H18" s="76">
        <f t="shared" si="6"/>
        <v>0</v>
      </c>
      <c r="I18" s="80">
        <f t="shared" si="7"/>
        <v>-45582</v>
      </c>
      <c r="J18" s="32">
        <f t="shared" si="0"/>
        <v>-1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/>
      <c r="P18" s="93"/>
      <c r="Q18" s="92"/>
      <c r="R18" s="93"/>
      <c r="S18" s="39">
        <f t="shared" si="8"/>
        <v>0</v>
      </c>
      <c r="T18" s="38"/>
      <c r="U18" s="32">
        <f t="shared" si="12"/>
        <v>0</v>
      </c>
      <c r="V18" s="44"/>
      <c r="W18" s="32">
        <f t="shared" si="9"/>
        <v>0</v>
      </c>
      <c r="X18" s="47"/>
      <c r="Y18" s="32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45583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4">
        <f t="shared" si="5"/>
        <v>0</v>
      </c>
      <c r="H19" s="76">
        <f t="shared" si="6"/>
        <v>0</v>
      </c>
      <c r="I19" s="80">
        <f t="shared" si="7"/>
        <v>-45583</v>
      </c>
      <c r="J19" s="32">
        <f t="shared" si="0"/>
        <v>-1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/>
      <c r="P19" s="93"/>
      <c r="Q19" s="92"/>
      <c r="R19" s="93"/>
      <c r="S19" s="39">
        <f t="shared" si="8"/>
        <v>0</v>
      </c>
      <c r="T19" s="38"/>
      <c r="U19" s="32">
        <f t="shared" si="12"/>
        <v>0</v>
      </c>
      <c r="V19" s="44"/>
      <c r="W19" s="32">
        <f t="shared" si="9"/>
        <v>0</v>
      </c>
      <c r="X19" s="47"/>
      <c r="Y19" s="32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45584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4">
        <f t="shared" si="5"/>
        <v>0</v>
      </c>
      <c r="H20" s="76">
        <f t="shared" si="6"/>
        <v>0</v>
      </c>
      <c r="I20" s="80">
        <f t="shared" si="7"/>
        <v>-45584</v>
      </c>
      <c r="J20" s="32">
        <f t="shared" si="0"/>
        <v>-1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/>
      <c r="P20" s="93"/>
      <c r="Q20" s="92"/>
      <c r="R20" s="93"/>
      <c r="S20" s="39">
        <f t="shared" si="8"/>
        <v>0</v>
      </c>
      <c r="T20" s="38"/>
      <c r="U20" s="32">
        <f t="shared" si="12"/>
        <v>0</v>
      </c>
      <c r="V20" s="44"/>
      <c r="W20" s="32">
        <f t="shared" si="9"/>
        <v>0</v>
      </c>
      <c r="X20" s="47"/>
      <c r="Y20" s="32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45585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4">
        <f t="shared" si="5"/>
        <v>0</v>
      </c>
      <c r="H21" s="76">
        <f t="shared" si="6"/>
        <v>0</v>
      </c>
      <c r="I21" s="80">
        <f t="shared" si="7"/>
        <v>-45585</v>
      </c>
      <c r="J21" s="32">
        <f t="shared" si="0"/>
        <v>-1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/>
      <c r="P21" s="93"/>
      <c r="Q21" s="92"/>
      <c r="R21" s="93"/>
      <c r="S21" s="40">
        <f t="shared" si="8"/>
        <v>0</v>
      </c>
      <c r="T21" s="38"/>
      <c r="U21" s="32">
        <f>IF(OR((S21+T21-S22)&lt;0,S21&gt;S20),"0",(S21+T21-S22))</f>
        <v>0</v>
      </c>
      <c r="V21" s="44"/>
      <c r="W21" s="32">
        <f t="shared" si="9"/>
        <v>0</v>
      </c>
      <c r="X21" s="47"/>
      <c r="Y21" s="32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45586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4">
        <f t="shared" si="5"/>
        <v>0</v>
      </c>
      <c r="H22" s="76">
        <f t="shared" si="6"/>
        <v>0</v>
      </c>
      <c r="I22" s="80">
        <f t="shared" si="7"/>
        <v>-45586</v>
      </c>
      <c r="J22" s="32">
        <f t="shared" si="0"/>
        <v>-1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/>
      <c r="P22" s="93"/>
      <c r="Q22" s="92"/>
      <c r="R22" s="93"/>
      <c r="S22" s="40">
        <f t="shared" si="8"/>
        <v>0</v>
      </c>
      <c r="T22" s="38"/>
      <c r="U22" s="32">
        <f t="shared" ref="U22:U32" si="13">IF((S22+T22-S23)&lt;0,"0",(S22+T22-S23))</f>
        <v>0</v>
      </c>
      <c r="V22" s="44"/>
      <c r="W22" s="32">
        <f t="shared" si="9"/>
        <v>0</v>
      </c>
      <c r="X22" s="47"/>
      <c r="Y22" s="32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-14910619.380000001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796</v>
      </c>
      <c r="U34" s="83">
        <f>SUM(U2:U33)</f>
        <v>5470</v>
      </c>
      <c r="V34" s="82"/>
      <c r="W34" s="83">
        <f>SUM(W2:W33)</f>
        <v>939</v>
      </c>
      <c r="X34" s="82"/>
      <c r="Y34" s="83">
        <f>SUM(Y2:Y33)</f>
        <v>-60866</v>
      </c>
      <c r="Z34" s="82"/>
      <c r="AA34" s="82">
        <f>SUM(AA2:AA33)</f>
        <v>0</v>
      </c>
      <c r="AB34" s="83">
        <f>SUM(AB2:AB33)</f>
        <v>2015</v>
      </c>
      <c r="AC34" s="86">
        <f>SUM(AC2:AC33)</f>
        <v>1862</v>
      </c>
      <c r="AD34" s="87">
        <f>SUM(AD2:AD33)</f>
        <v>3403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2024-10-09T07:36:32Z</dcterms:modified>
  <cp:category/>
  <cp:contentStatus/>
</cp:coreProperties>
</file>