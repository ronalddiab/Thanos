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8" i="2" s="1"/>
  <c r="P29" i="2" s="1"/>
  <c r="P30" i="2" s="1"/>
  <c r="P32" i="2" s="1"/>
  <c r="P33" i="2" s="1"/>
  <c r="P14" i="2"/>
  <c r="T5" i="2" l="1"/>
  <c r="T7" i="2" s="1"/>
  <c r="T8" i="2" s="1"/>
  <c r="T13" i="2" s="1"/>
  <c r="T22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R33" i="2" s="1"/>
  <c r="R5" i="2"/>
  <c r="P5" i="2"/>
  <c r="P6" i="2" s="1"/>
  <c r="P13" i="2" s="1"/>
  <c r="N13" i="2"/>
  <c r="N32" i="2" s="1"/>
  <c r="N33" i="2" s="1"/>
  <c r="L13" i="2"/>
  <c r="L32" i="2" s="1"/>
  <c r="L33" i="2" s="1"/>
  <c r="J13" i="2"/>
  <c r="J32" i="2" s="1"/>
  <c r="J33" i="2" s="1"/>
  <c r="H13" i="2"/>
  <c r="H32" i="2" s="1"/>
  <c r="H33" i="2" s="1"/>
  <c r="F13" i="2"/>
  <c r="F32" i="2" s="1"/>
  <c r="F33" i="2" s="1"/>
  <c r="D13" i="2"/>
  <c r="D32" i="2" s="1"/>
  <c r="D33" i="2" s="1"/>
  <c r="B13" i="2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AA25" i="4" s="1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<sst xmlns="http://schemas.openxmlformats.org/spreadsheetml/2006/main" count="514" uniqueCount="151">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</sst>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8" activePane="bottomLeft" state="frozen"/>
      <selection pane="bottomLeft" activeCell="J34" sqref="J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38">
        <v>1.27</v>
      </c>
      <c r="G24" s="36">
        <f>Gas!C25*0.9147</f>
        <v>1434.2495999999999</v>
      </c>
      <c r="H24" s="139">
        <v>3.65</v>
      </c>
      <c r="I24" s="141">
        <f>Submetering!H24+Submetering!AD24+Submetering!AE24</f>
        <v>1106</v>
      </c>
      <c r="J24" s="141">
        <v>10.029999999999999</v>
      </c>
      <c r="K24" s="36">
        <f>ELECT.!B25</f>
        <v>175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38">
        <v>1.27</v>
      </c>
      <c r="G25" s="36">
        <f>Gas!C26*0.9147</f>
        <v>1477.2404999999999</v>
      </c>
      <c r="H25" s="139">
        <v>3.65</v>
      </c>
      <c r="I25" s="141">
        <f>Submetering!H25+Submetering!AD25+Submetering!AE25</f>
        <v>816</v>
      </c>
      <c r="J25" s="141">
        <v>10.029999999999999</v>
      </c>
      <c r="K25" s="36">
        <f>ELECT.!B26</f>
        <v>177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75821.706216000006</v>
      </c>
      <c r="F26" s="138">
        <v>1.27</v>
      </c>
      <c r="G26" s="36">
        <f>Gas!C27*0.9147</f>
        <v>2541.0365999999999</v>
      </c>
      <c r="H26" s="139">
        <v>3.65</v>
      </c>
      <c r="I26" s="141">
        <f>Submetering!H26+Submetering!AD26+Submetering!AE26</f>
        <v>866</v>
      </c>
      <c r="J26" s="141">
        <v>10.029999999999999</v>
      </c>
      <c r="K26" s="36">
        <f>ELECT.!B27</f>
        <v>180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88873.032107999999</v>
      </c>
      <c r="F27" s="138">
        <v>1.27</v>
      </c>
      <c r="G27" s="36">
        <f>Gas!C28*0.9147</f>
        <v>1826.6559</v>
      </c>
      <c r="H27" s="139">
        <v>3.65</v>
      </c>
      <c r="I27" s="141">
        <f>Submetering!H27+Submetering!AD27+Submetering!AE27</f>
        <v>746</v>
      </c>
      <c r="J27" s="141">
        <v>10.029999999999999</v>
      </c>
      <c r="K27" s="36">
        <f>ELECT.!B28</f>
        <v>188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66711.950572000002</v>
      </c>
      <c r="F28" s="138">
        <v>1.27</v>
      </c>
      <c r="G28" s="36">
        <f>Gas!C29*0.9147</f>
        <v>1727.8682999999999</v>
      </c>
      <c r="H28" s="139">
        <v>3.65</v>
      </c>
      <c r="I28" s="141">
        <f>Submetering!H28+Submetering!AD28+Submetering!AE28</f>
        <v>866</v>
      </c>
      <c r="J28" s="141">
        <v>10.029999999999999</v>
      </c>
      <c r="K28" s="36">
        <f>ELECT.!B29</f>
        <v>154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81168.070768000005</v>
      </c>
      <c r="F29" s="139">
        <v>1.27</v>
      </c>
      <c r="G29" s="36">
        <f>Gas!C30*0.9147</f>
        <v>648.52229999999997</v>
      </c>
      <c r="H29" s="139">
        <v>3.65</v>
      </c>
      <c r="I29" s="141">
        <f>Submetering!H29+Submetering!AD29+Submetering!AE29</f>
        <v>806</v>
      </c>
      <c r="J29" s="141">
        <v>10.029999999999999</v>
      </c>
      <c r="K29" s="36">
        <f>ELECT.!B30</f>
        <v>212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87558.192036000008</v>
      </c>
      <c r="F30" s="139">
        <v>1.27</v>
      </c>
      <c r="G30" s="36">
        <f>Gas!C31*0.9147</f>
        <v>1765.3709999999999</v>
      </c>
      <c r="H30" s="139">
        <v>3.65</v>
      </c>
      <c r="I30" s="141">
        <f>Submetering!H30+Submetering!AD30+Submetering!AE30</f>
        <v>786</v>
      </c>
      <c r="J30" s="141">
        <v>10.029999999999999</v>
      </c>
      <c r="K30" s="36">
        <f>ELECT.!B31</f>
        <v>197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8" sqref="B2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1300</v>
      </c>
      <c r="F24" s="36">
        <f>Water!E25</f>
        <v>490</v>
      </c>
      <c r="G24" s="36">
        <f>Water!G25</f>
        <v>669.6</v>
      </c>
      <c r="H24" s="36">
        <f>Water!I25</f>
        <v>4.266</v>
      </c>
      <c r="I24" s="36">
        <f>ELECT.!F25</f>
        <v>19302</v>
      </c>
      <c r="J24" s="36">
        <f>ELECT.!H25</f>
        <v>45236</v>
      </c>
      <c r="K24" s="36">
        <f>ELECT.!K25</f>
        <v>9660</v>
      </c>
      <c r="L24" s="36">
        <f>ELECT.!M25</f>
        <v>5418</v>
      </c>
      <c r="M24" s="36">
        <f>ELECT.!O25</f>
        <v>13696</v>
      </c>
      <c r="N24" s="36">
        <f>ELECT.!Q25</f>
        <v>11741</v>
      </c>
      <c r="O24" s="36">
        <f>ELECT.!S25</f>
        <v>8761</v>
      </c>
      <c r="P24" s="36">
        <f>ELECT.!W25*2</f>
        <v>18822</v>
      </c>
      <c r="Q24" s="36">
        <f>ELECT.!D25</f>
        <v>640</v>
      </c>
      <c r="R24" s="141">
        <f>BTU!C25</f>
        <v>15.349999999998545</v>
      </c>
      <c r="S24" s="141">
        <f>BTU!F25</f>
        <v>3.6659999999992579</v>
      </c>
      <c r="T24" s="141">
        <f>BTU!I25</f>
        <v>9</v>
      </c>
      <c r="U24" s="141">
        <f>BTU!O25</f>
        <v>2.0990000000001601</v>
      </c>
      <c r="V24" s="141">
        <f>BTU!L25</f>
        <v>2.7799999999988358</v>
      </c>
      <c r="W24" s="141">
        <f>BTU!R25</f>
        <v>1.1599999999998545</v>
      </c>
      <c r="X24" s="34">
        <f>ELECT.!B25</f>
        <v>175</v>
      </c>
      <c r="Y24" s="34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145.20854119999998</v>
      </c>
      <c r="AE24" s="34">
        <f t="shared" si="2"/>
        <v>956.52545880000002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1010</v>
      </c>
      <c r="F25" s="36">
        <f>Water!E26</f>
        <v>420</v>
      </c>
      <c r="G25" s="36">
        <f>Water!G26</f>
        <v>658.8</v>
      </c>
      <c r="H25" s="36">
        <f>Water!I26</f>
        <v>3.3479999999999999</v>
      </c>
      <c r="I25" s="36">
        <f>ELECT.!F26</f>
        <v>24617</v>
      </c>
      <c r="J25" s="36">
        <f>ELECT.!H26</f>
        <v>60394</v>
      </c>
      <c r="K25" s="36">
        <f>ELECT.!K26</f>
        <v>12068</v>
      </c>
      <c r="L25" s="36">
        <f>ELECT.!M26</f>
        <v>7082</v>
      </c>
      <c r="M25" s="36">
        <f>ELECT.!O26</f>
        <v>17326</v>
      </c>
      <c r="N25" s="36">
        <f>ELECT.!Q26</f>
        <v>14642</v>
      </c>
      <c r="O25" s="36">
        <f>ELECT.!S26</f>
        <v>12056</v>
      </c>
      <c r="P25" s="36">
        <f>ELECT.!W26*2</f>
        <v>25804</v>
      </c>
      <c r="Q25" s="36">
        <f>ELECT.!D26</f>
        <v>800</v>
      </c>
      <c r="R25" s="141">
        <f>BTU!C26</f>
        <v>13.691000000002532</v>
      </c>
      <c r="S25" s="141">
        <f>BTU!F26</f>
        <v>3.3170000000000073</v>
      </c>
      <c r="T25" s="141">
        <f>BTU!I26</f>
        <v>8</v>
      </c>
      <c r="U25" s="141">
        <f>BTU!O26</f>
        <v>2.2669999999998254</v>
      </c>
      <c r="V25" s="141">
        <f>BTU!L26</f>
        <v>2.3999999999996362</v>
      </c>
      <c r="W25" s="141">
        <f>BTU!R26</f>
        <v>1.2000000000007276</v>
      </c>
      <c r="X25" s="34">
        <f>ELECT.!B26</f>
        <v>177</v>
      </c>
      <c r="Y25" s="34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4">
        <f t="shared" si="1"/>
        <v>107.10753360000001</v>
      </c>
      <c r="AE25" s="34">
        <f t="shared" si="2"/>
        <v>705.54446640000003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1060</v>
      </c>
      <c r="F26" s="36">
        <f>Water!E27</f>
        <v>440</v>
      </c>
      <c r="G26" s="36">
        <f>Water!G27</f>
        <v>653.4</v>
      </c>
      <c r="H26" s="36">
        <f>Water!I27</f>
        <v>3.5369999999999999</v>
      </c>
      <c r="I26" s="36">
        <f>ELECT.!F27</f>
        <v>23563</v>
      </c>
      <c r="J26" s="36">
        <f>ELECT.!H27</f>
        <v>54947</v>
      </c>
      <c r="K26" s="36">
        <f>ELECT.!K27</f>
        <v>11044</v>
      </c>
      <c r="L26" s="36">
        <f>ELECT.!M27</f>
        <v>6279</v>
      </c>
      <c r="M26" s="36">
        <f>ELECT.!O27</f>
        <v>17088</v>
      </c>
      <c r="N26" s="36">
        <f>ELECT.!Q27</f>
        <v>14386</v>
      </c>
      <c r="O26" s="36">
        <f>ELECT.!S27</f>
        <v>10712</v>
      </c>
      <c r="P26" s="36">
        <f>ELECT.!W27*2</f>
        <v>22762</v>
      </c>
      <c r="Q26" s="36">
        <f>ELECT.!D27</f>
        <v>640</v>
      </c>
      <c r="R26" s="141">
        <f>BTU!C27</f>
        <v>13.325999999997293</v>
      </c>
      <c r="S26" s="141">
        <f>BTU!F27</f>
        <v>3.0020000000004075</v>
      </c>
      <c r="T26" s="141">
        <f>BTU!I27</f>
        <v>7</v>
      </c>
      <c r="U26" s="141">
        <f>BTU!O27</f>
        <v>2.0740000000000691</v>
      </c>
      <c r="V26" s="141">
        <f>BTU!L27</f>
        <v>2.1700000000000728</v>
      </c>
      <c r="W26" s="141">
        <f>BTU!R27</f>
        <v>0.98999999999978172</v>
      </c>
      <c r="X26" s="34">
        <f>ELECT.!B27</f>
        <v>180</v>
      </c>
      <c r="Y26" s="34">
        <f t="shared" si="0"/>
        <v>-3761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4">
        <f t="shared" si="1"/>
        <v>113.67262339999999</v>
      </c>
      <c r="AE26" s="34">
        <f t="shared" si="2"/>
        <v>748.79037659999995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940</v>
      </c>
      <c r="F27" s="36">
        <f>Water!E28</f>
        <v>410</v>
      </c>
      <c r="G27" s="36">
        <f>Water!G28</f>
        <v>604.79999999999995</v>
      </c>
      <c r="H27" s="36">
        <f>Water!I28</f>
        <v>3.645</v>
      </c>
      <c r="I27" s="36">
        <f>ELECT.!F28</f>
        <v>27425</v>
      </c>
      <c r="J27" s="36">
        <f>ELECT.!H28</f>
        <v>65537</v>
      </c>
      <c r="K27" s="36">
        <f>ELECT.!K28</f>
        <v>12284</v>
      </c>
      <c r="L27" s="36">
        <f>ELECT.!M28</f>
        <v>7209</v>
      </c>
      <c r="M27" s="36">
        <f>ELECT.!O28</f>
        <v>19682</v>
      </c>
      <c r="N27" s="36">
        <f>ELECT.!Q28</f>
        <v>16405</v>
      </c>
      <c r="O27" s="36">
        <f>ELECT.!S28</f>
        <v>13631</v>
      </c>
      <c r="P27" s="36">
        <f>ELECT.!W28*2</f>
        <v>27506</v>
      </c>
      <c r="Q27" s="36">
        <f>ELECT.!D28</f>
        <v>640</v>
      </c>
      <c r="R27" s="141">
        <f>BTU!C28</f>
        <v>20.503000000000611</v>
      </c>
      <c r="S27" s="141">
        <f>BTU!F28</f>
        <v>2.805000000000291</v>
      </c>
      <c r="T27" s="141">
        <f>BTU!I28</f>
        <v>12</v>
      </c>
      <c r="U27" s="141">
        <f>BTU!O28</f>
        <v>3.6599999999998545</v>
      </c>
      <c r="V27" s="141">
        <f>BTU!L28</f>
        <v>4.2100000000009459</v>
      </c>
      <c r="W27" s="141">
        <f>BTU!R28</f>
        <v>1.1400000000003274</v>
      </c>
      <c r="X27" s="34">
        <f>ELECT.!B28</f>
        <v>188</v>
      </c>
      <c r="Y27" s="34">
        <f t="shared" si="0"/>
        <v>-3755</v>
      </c>
      <c r="Z27">
        <f>'Mall, Citadel, Rotana'!C28+'Mall, Citadel, Rotana'!E28+'Mall, Citadel, Rotana'!G28+'Mall, Citadel, Rotana'!I28</f>
        <v>2506</v>
      </c>
      <c r="AA27">
        <f>'Mall, Citadel, Rotana'!K28+'Mall, Citadel, Rotana'!M28</f>
        <v>234</v>
      </c>
      <c r="AB27">
        <f>'Mall, Citadel, Rotana'!O28</f>
        <v>4</v>
      </c>
      <c r="AC27">
        <f>'Mall, Citadel, Rotana'!Q28+'Mall, Citadel, Rotana'!S28</f>
        <v>0</v>
      </c>
      <c r="AD27" s="34">
        <f t="shared" si="1"/>
        <v>97.842388999999997</v>
      </c>
      <c r="AE27" s="34">
        <f t="shared" si="2"/>
        <v>644.51261099999999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1060</v>
      </c>
      <c r="F28" s="36">
        <f>Water!E29</f>
        <v>430</v>
      </c>
      <c r="G28" s="36">
        <f>Water!G29</f>
        <v>691.2</v>
      </c>
      <c r="H28" s="36">
        <f>Water!I29</f>
        <v>4.32</v>
      </c>
      <c r="I28" s="36">
        <f>ELECT.!F29</f>
        <v>19895</v>
      </c>
      <c r="J28" s="36">
        <f>ELECT.!H29</f>
        <v>49228</v>
      </c>
      <c r="K28" s="36">
        <f>ELECT.!K29</f>
        <v>9948</v>
      </c>
      <c r="L28" s="36">
        <f>ELECT.!M29</f>
        <v>5224</v>
      </c>
      <c r="M28" s="36">
        <f>ELECT.!O29</f>
        <v>14700</v>
      </c>
      <c r="N28" s="36">
        <f>ELECT.!Q29</f>
        <v>12221</v>
      </c>
      <c r="O28" s="36">
        <f>ELECT.!S29</f>
        <v>10007</v>
      </c>
      <c r="P28" s="36">
        <f>ELECT.!W29*2</f>
        <v>20626</v>
      </c>
      <c r="Q28" s="36">
        <f>ELECT.!D29</f>
        <v>640</v>
      </c>
      <c r="R28" s="141">
        <f>BTU!C29</f>
        <v>11.096000000001368</v>
      </c>
      <c r="S28" s="141">
        <f>BTU!F29</f>
        <v>1.8519999999998618</v>
      </c>
      <c r="T28" s="141">
        <f>BTU!I29</f>
        <v>6</v>
      </c>
      <c r="U28" s="141">
        <f>BTU!O29</f>
        <v>1.4400000000000546</v>
      </c>
      <c r="V28" s="141">
        <f>BTU!L29</f>
        <v>1.430000000000291</v>
      </c>
      <c r="W28" s="141">
        <f>BTU!R29</f>
        <v>1.0299999999997453</v>
      </c>
      <c r="X28" s="34">
        <f>ELECT.!B29</f>
        <v>154</v>
      </c>
      <c r="Y28" s="34">
        <f t="shared" si="0"/>
        <v>-3603</v>
      </c>
      <c r="Z28">
        <f>'Mall, Citadel, Rotana'!C29+'Mall, Citadel, Rotana'!E29+'Mall, Citadel, Rotana'!G29+'Mall, Citadel, Rotana'!I29</f>
        <v>1201</v>
      </c>
      <c r="AA28">
        <f>'Mall, Citadel, Rotana'!K29+'Mall, Citadel, Rotana'!M29</f>
        <v>255</v>
      </c>
      <c r="AB28">
        <f>'Mall, Citadel, Rotana'!O29</f>
        <v>3</v>
      </c>
      <c r="AC28">
        <f>'Mall, Citadel, Rotana'!Q29+'Mall, Citadel, Rotana'!S29</f>
        <v>0</v>
      </c>
      <c r="AD28" s="34">
        <f t="shared" si="1"/>
        <v>113.56942400000001</v>
      </c>
      <c r="AE28" s="34">
        <f t="shared" si="2"/>
        <v>748.11057600000004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1000</v>
      </c>
      <c r="F29" s="36">
        <f>Water!E30</f>
        <v>410</v>
      </c>
      <c r="G29" s="36">
        <f>Water!G30</f>
        <v>637.20000000000005</v>
      </c>
      <c r="H29" s="36">
        <f>Water!I30</f>
        <v>4.3739999999999997</v>
      </c>
      <c r="I29" s="36">
        <f>ELECT.!F30</f>
        <v>25014</v>
      </c>
      <c r="J29" s="36">
        <f>ELECT.!H30</f>
        <v>58710</v>
      </c>
      <c r="K29" s="36">
        <f>ELECT.!K30</f>
        <v>12604</v>
      </c>
      <c r="L29" s="36">
        <f>ELECT.!M30</f>
        <v>6809</v>
      </c>
      <c r="M29" s="36">
        <f>ELECT.!O30</f>
        <v>18084</v>
      </c>
      <c r="N29" s="36">
        <f>ELECT.!Q30</f>
        <v>15278</v>
      </c>
      <c r="O29" s="36">
        <f>ELECT.!S30</f>
        <v>11786</v>
      </c>
      <c r="P29" s="36">
        <f>ELECT.!W30*2</f>
        <v>24566</v>
      </c>
      <c r="Q29" s="36">
        <f>ELECT.!D30</f>
        <v>480</v>
      </c>
      <c r="R29" s="141">
        <f>BTU!C30</f>
        <v>16.585999999999331</v>
      </c>
      <c r="S29" s="141">
        <f>BTU!F30</f>
        <v>4.1279999999997017</v>
      </c>
      <c r="T29" s="141">
        <f>BTU!I30</f>
        <v>11</v>
      </c>
      <c r="U29" s="141">
        <f>BTU!O30</f>
        <v>2.680000000000291</v>
      </c>
      <c r="V29" s="141">
        <f>BTU!L30</f>
        <v>3.3799999999991996</v>
      </c>
      <c r="W29" s="141">
        <f>BTU!R30</f>
        <v>1.6649999999999636</v>
      </c>
      <c r="X29" s="34">
        <f>ELECT.!B30</f>
        <v>212</v>
      </c>
      <c r="Y29" s="34">
        <f t="shared" si="0"/>
        <v>-5403</v>
      </c>
      <c r="Z29">
        <f>'Mall, Citadel, Rotana'!C30+'Mall, Citadel, Rotana'!E30+'Mall, Citadel, Rotana'!G30+'Mall, Citadel, Rotana'!I30</f>
        <v>1039</v>
      </c>
      <c r="AA29">
        <f>'Mall, Citadel, Rotana'!K30+'Mall, Citadel, Rotana'!M30</f>
        <v>333</v>
      </c>
      <c r="AB29">
        <f>'Mall, Citadel, Rotana'!O30</f>
        <v>3</v>
      </c>
      <c r="AC29">
        <f>'Mall, Citadel, Rotana'!Q30+'Mall, Citadel, Rotana'!S30</f>
        <v>0</v>
      </c>
      <c r="AD29" s="34">
        <f t="shared" si="1"/>
        <v>105.6543068</v>
      </c>
      <c r="AE29" s="34">
        <f t="shared" si="2"/>
        <v>695.9716932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980</v>
      </c>
      <c r="F30" s="36">
        <f>Water!E31</f>
        <v>430</v>
      </c>
      <c r="G30" s="36">
        <f>Water!G31</f>
        <v>599.4</v>
      </c>
      <c r="H30" s="36">
        <f>Water!I31</f>
        <v>4.2119999999999997</v>
      </c>
      <c r="I30" s="36">
        <f>ELECT.!F31</f>
        <v>27358</v>
      </c>
      <c r="J30" s="36">
        <f>ELECT.!H31</f>
        <v>64100</v>
      </c>
      <c r="K30" s="36">
        <f>ELECT.!K31</f>
        <v>13184</v>
      </c>
      <c r="L30" s="36">
        <f>ELECT.!M31</f>
        <v>7629</v>
      </c>
      <c r="M30" s="36">
        <f>ELECT.!O31</f>
        <v>19526</v>
      </c>
      <c r="N30" s="36">
        <f>ELECT.!Q31</f>
        <v>15883</v>
      </c>
      <c r="O30" s="36">
        <f>ELECT.!S31</f>
        <v>12779</v>
      </c>
      <c r="P30" s="36">
        <f>ELECT.!W31*2</f>
        <v>26200</v>
      </c>
      <c r="Q30" s="36">
        <f>ELECT.!D31</f>
        <v>800</v>
      </c>
      <c r="R30" s="141">
        <f>BTU!C31</f>
        <v>11.528000000002066</v>
      </c>
      <c r="S30" s="141">
        <f>BTU!F31</f>
        <v>2.5060000000003129</v>
      </c>
      <c r="T30" s="141">
        <f>BTU!I31</f>
        <v>8</v>
      </c>
      <c r="U30" s="141">
        <f>BTU!O31</f>
        <v>1.1799999999998363</v>
      </c>
      <c r="V30" s="141">
        <f>BTU!L31</f>
        <v>1.6399999999994179</v>
      </c>
      <c r="W30" s="141">
        <f>BTU!R31</f>
        <v>0.35499999999956344</v>
      </c>
      <c r="X30" s="34">
        <f>ELECT.!B31</f>
        <v>197</v>
      </c>
      <c r="Y30" s="34">
        <f t="shared" si="0"/>
        <v>-3743</v>
      </c>
      <c r="Z30">
        <f>'Mall, Citadel, Rotana'!C31+'Mall, Citadel, Rotana'!E31+'Mall, Citadel, Rotana'!G31+'Mall, Citadel, Rotana'!I31</f>
        <v>1555</v>
      </c>
      <c r="AA30">
        <f>'Mall, Citadel, Rotana'!K31+'Mall, Citadel, Rotana'!M31</f>
        <v>408</v>
      </c>
      <c r="AB30">
        <f>'Mall, Citadel, Rotana'!O31</f>
        <v>3</v>
      </c>
      <c r="AC30">
        <f>'Mall, Citadel, Rotana'!Q31+'Mall, Citadel, Rotana'!S31</f>
        <v>654</v>
      </c>
      <c r="AD30" s="34">
        <f t="shared" si="1"/>
        <v>103.03965840000001</v>
      </c>
      <c r="AE30" s="34">
        <f t="shared" si="2"/>
        <v>678.7483416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 t="str">
        <f>ELECT.!F32</f>
        <v>0</v>
      </c>
      <c r="J31" s="36" t="str">
        <f>ELECT.!H32</f>
        <v>0</v>
      </c>
      <c r="K31" s="36">
        <f>ELECT.!K32</f>
        <v>0</v>
      </c>
      <c r="L31" s="36" t="str">
        <f>ELECT.!M32</f>
        <v>0</v>
      </c>
      <c r="M31" s="36">
        <f>ELECT.!O32</f>
        <v>0</v>
      </c>
      <c r="N31" s="36" t="str">
        <f>ELECT.!Q32</f>
        <v>0</v>
      </c>
      <c r="O31" s="36" t="str">
        <f>ELECT.!S32</f>
        <v>0</v>
      </c>
      <c r="P31" s="36">
        <f>ELECT.!W32*2</f>
        <v>0</v>
      </c>
      <c r="Q31" s="36">
        <f>ELECT.!D32</f>
        <v>0</v>
      </c>
      <c r="R31" s="141" t="str">
        <f>BTU!C32</f>
        <v>0</v>
      </c>
      <c r="S31" s="141" t="str">
        <f>BTU!F32</f>
        <v>0</v>
      </c>
      <c r="T31" s="141" t="str">
        <f>BTU!I32</f>
        <v>0</v>
      </c>
      <c r="U31" s="141" t="str">
        <f>BTU!O32</f>
        <v>0</v>
      </c>
      <c r="V31" s="141" t="str">
        <f>BTU!L32</f>
        <v>0</v>
      </c>
      <c r="W31" s="141" t="str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K29" sqref="K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47467</v>
      </c>
      <c r="C24" s="14">
        <f t="shared" si="3"/>
        <v>320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257820</v>
      </c>
      <c r="I24" s="14">
        <f t="shared" si="6"/>
        <v>10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v>47469</v>
      </c>
      <c r="C25" s="14">
        <f t="shared" si="3"/>
        <v>320</v>
      </c>
      <c r="D25" s="32">
        <v>40900</v>
      </c>
      <c r="E25" s="14">
        <f t="shared" si="4"/>
        <v>480</v>
      </c>
      <c r="F25" s="32">
        <v>21989</v>
      </c>
      <c r="G25" s="14">
        <f t="shared" si="5"/>
        <v>100</v>
      </c>
      <c r="H25" s="32">
        <v>257830</v>
      </c>
      <c r="I25" s="14">
        <f t="shared" si="6"/>
        <v>10</v>
      </c>
      <c r="J25" s="32">
        <v>329347</v>
      </c>
      <c r="K25" s="14">
        <f t="shared" si="7"/>
        <v>175</v>
      </c>
      <c r="L25" s="32">
        <v>26424</v>
      </c>
      <c r="M25" s="14">
        <f t="shared" si="8"/>
        <v>240</v>
      </c>
      <c r="N25" s="32"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v>4040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44797</v>
      </c>
      <c r="B26" s="32">
        <v>47472</v>
      </c>
      <c r="C26" s="14">
        <f t="shared" si="3"/>
        <v>480</v>
      </c>
      <c r="D26" s="32">
        <v>40903</v>
      </c>
      <c r="E26" s="14">
        <f t="shared" si="4"/>
        <v>480</v>
      </c>
      <c r="F26" s="32">
        <v>21992</v>
      </c>
      <c r="G26" s="14">
        <f t="shared" si="5"/>
        <v>60</v>
      </c>
      <c r="H26" s="32">
        <v>257840</v>
      </c>
      <c r="I26" s="14">
        <f t="shared" si="6"/>
        <v>10</v>
      </c>
      <c r="J26" s="32">
        <v>329521</v>
      </c>
      <c r="K26" s="14">
        <f t="shared" si="7"/>
        <v>174</v>
      </c>
      <c r="L26" s="32">
        <v>26427</v>
      </c>
      <c r="M26" s="14">
        <f t="shared" si="8"/>
        <v>180</v>
      </c>
      <c r="N26" s="32">
        <v>226307</v>
      </c>
      <c r="O26" s="14">
        <f t="shared" si="9"/>
        <v>6</v>
      </c>
      <c r="P26" s="32">
        <v>166701</v>
      </c>
      <c r="Q26" s="14">
        <f t="shared" si="2"/>
        <v>338</v>
      </c>
      <c r="R26" s="1">
        <f t="shared" si="13"/>
        <v>55047</v>
      </c>
      <c r="S26" s="14">
        <f t="shared" si="11"/>
        <v>0</v>
      </c>
      <c r="T26" s="32">
        <v>4041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44798</v>
      </c>
      <c r="B27" s="32">
        <v>47475</v>
      </c>
      <c r="C27" s="14">
        <f t="shared" si="3"/>
        <v>480</v>
      </c>
      <c r="D27" s="32">
        <v>40906</v>
      </c>
      <c r="E27" s="14">
        <f t="shared" si="4"/>
        <v>480</v>
      </c>
      <c r="F27" s="32">
        <v>21995</v>
      </c>
      <c r="G27" s="14">
        <f t="shared" si="5"/>
        <v>60</v>
      </c>
      <c r="H27" s="32">
        <v>257851</v>
      </c>
      <c r="I27" s="14">
        <f t="shared" si="6"/>
        <v>11</v>
      </c>
      <c r="J27" s="32">
        <v>329692</v>
      </c>
      <c r="K27" s="14">
        <f t="shared" si="7"/>
        <v>171</v>
      </c>
      <c r="L27" s="32">
        <v>26431</v>
      </c>
      <c r="M27" s="14">
        <f t="shared" si="8"/>
        <v>240</v>
      </c>
      <c r="N27" s="32">
        <v>226310</v>
      </c>
      <c r="O27" s="14">
        <f t="shared" si="9"/>
        <v>3</v>
      </c>
      <c r="P27" s="32">
        <v>166821</v>
      </c>
      <c r="Q27" s="14">
        <f t="shared" si="2"/>
        <v>120</v>
      </c>
      <c r="R27" s="1">
        <f t="shared" si="13"/>
        <v>55047</v>
      </c>
      <c r="S27" s="14">
        <f t="shared" si="11"/>
        <v>0</v>
      </c>
      <c r="T27" s="32">
        <v>4042</v>
      </c>
      <c r="U27" s="14">
        <f t="shared" si="10"/>
        <v>160</v>
      </c>
    </row>
    <row r="28" spans="1:23" ht="13.5" thickBot="1" x14ac:dyDescent="0.25">
      <c r="A28" s="9">
        <v>44799</v>
      </c>
      <c r="B28" s="32">
        <v>47487</v>
      </c>
      <c r="C28" s="14">
        <f t="shared" si="3"/>
        <v>1920</v>
      </c>
      <c r="D28" s="32">
        <v>40909</v>
      </c>
      <c r="E28" s="14">
        <f t="shared" si="4"/>
        <v>480</v>
      </c>
      <c r="F28" s="32">
        <v>22000</v>
      </c>
      <c r="G28" s="14">
        <f t="shared" si="5"/>
        <v>100</v>
      </c>
      <c r="H28" s="32">
        <v>257857</v>
      </c>
      <c r="I28" s="14">
        <f t="shared" si="6"/>
        <v>6</v>
      </c>
      <c r="J28" s="32">
        <v>329806</v>
      </c>
      <c r="K28" s="14">
        <f t="shared" si="7"/>
        <v>114</v>
      </c>
      <c r="L28" s="32">
        <v>26433</v>
      </c>
      <c r="M28" s="14">
        <f t="shared" si="8"/>
        <v>120</v>
      </c>
      <c r="N28" s="32">
        <v>226314</v>
      </c>
      <c r="O28" s="14">
        <f t="shared" si="9"/>
        <v>4</v>
      </c>
      <c r="P28" s="32">
        <f t="shared" si="22"/>
        <v>166821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v>4042</v>
      </c>
      <c r="U28" s="14">
        <f t="shared" si="10"/>
        <v>0</v>
      </c>
    </row>
    <row r="29" spans="1:23" ht="13.5" thickBot="1" x14ac:dyDescent="0.25">
      <c r="A29" s="9">
        <v>44800</v>
      </c>
      <c r="B29" s="32">
        <v>47491</v>
      </c>
      <c r="C29" s="14">
        <f t="shared" si="3"/>
        <v>640</v>
      </c>
      <c r="D29" s="32">
        <v>40912</v>
      </c>
      <c r="E29" s="14">
        <f t="shared" si="4"/>
        <v>480</v>
      </c>
      <c r="F29" s="32">
        <v>22003</v>
      </c>
      <c r="G29" s="14">
        <f t="shared" si="5"/>
        <v>60</v>
      </c>
      <c r="H29" s="32">
        <v>257878</v>
      </c>
      <c r="I29" s="14">
        <f t="shared" si="6"/>
        <v>21</v>
      </c>
      <c r="J29" s="32">
        <v>329941</v>
      </c>
      <c r="K29" s="14">
        <f t="shared" si="7"/>
        <v>135</v>
      </c>
      <c r="L29" s="32">
        <v>26435</v>
      </c>
      <c r="M29" s="14">
        <f t="shared" si="8"/>
        <v>120</v>
      </c>
      <c r="N29" s="32">
        <v>226317</v>
      </c>
      <c r="O29" s="14">
        <f t="shared" si="9"/>
        <v>3</v>
      </c>
      <c r="P29" s="32">
        <f t="shared" si="22"/>
        <v>166821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v>4043</v>
      </c>
      <c r="U29" s="14">
        <f t="shared" si="10"/>
        <v>160</v>
      </c>
    </row>
    <row r="30" spans="1:23" ht="13.5" thickBot="1" x14ac:dyDescent="0.25">
      <c r="A30" s="9">
        <v>44801</v>
      </c>
      <c r="B30" s="32">
        <v>47495</v>
      </c>
      <c r="C30" s="14">
        <f t="shared" si="3"/>
        <v>640</v>
      </c>
      <c r="D30" s="32">
        <v>40914</v>
      </c>
      <c r="E30" s="14">
        <f t="shared" si="4"/>
        <v>320</v>
      </c>
      <c r="F30" s="32">
        <v>22006</v>
      </c>
      <c r="G30" s="14">
        <f t="shared" si="5"/>
        <v>60</v>
      </c>
      <c r="H30" s="32">
        <v>257897</v>
      </c>
      <c r="I30" s="14">
        <f t="shared" si="6"/>
        <v>19</v>
      </c>
      <c r="J30" s="32">
        <v>330094</v>
      </c>
      <c r="K30" s="14">
        <f t="shared" si="7"/>
        <v>153</v>
      </c>
      <c r="L30" s="32">
        <v>26438</v>
      </c>
      <c r="M30" s="14">
        <f t="shared" si="8"/>
        <v>180</v>
      </c>
      <c r="N30" s="32">
        <v>226320</v>
      </c>
      <c r="O30" s="14">
        <f t="shared" si="9"/>
        <v>3</v>
      </c>
      <c r="P30" s="32">
        <f t="shared" si="22"/>
        <v>166821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v>4043</v>
      </c>
      <c r="U30" s="14">
        <f t="shared" si="10"/>
        <v>0</v>
      </c>
    </row>
    <row r="31" spans="1:23" ht="13.5" thickBot="1" x14ac:dyDescent="0.25">
      <c r="A31" s="9">
        <v>44802</v>
      </c>
      <c r="B31" s="32">
        <v>47500</v>
      </c>
      <c r="C31" s="14">
        <f t="shared" si="3"/>
        <v>800</v>
      </c>
      <c r="D31" s="32">
        <v>40918</v>
      </c>
      <c r="E31" s="14">
        <f t="shared" si="4"/>
        <v>640</v>
      </c>
      <c r="F31" s="32">
        <v>22011</v>
      </c>
      <c r="G31" s="14">
        <f t="shared" si="5"/>
        <v>100</v>
      </c>
      <c r="H31" s="32">
        <v>257912</v>
      </c>
      <c r="I31" s="14">
        <f t="shared" si="6"/>
        <v>15</v>
      </c>
      <c r="J31" s="32">
        <v>330262</v>
      </c>
      <c r="K31" s="14">
        <f t="shared" si="7"/>
        <v>168</v>
      </c>
      <c r="L31" s="32">
        <v>26442</v>
      </c>
      <c r="M31" s="14">
        <f t="shared" si="8"/>
        <v>240</v>
      </c>
      <c r="N31" s="32">
        <v>226323</v>
      </c>
      <c r="O31" s="14">
        <f t="shared" si="9"/>
        <v>3</v>
      </c>
      <c r="P31" s="32">
        <v>167475</v>
      </c>
      <c r="Q31" s="14">
        <f t="shared" si="2"/>
        <v>654</v>
      </c>
      <c r="R31" s="1">
        <v>55047</v>
      </c>
      <c r="S31" s="14">
        <v>0</v>
      </c>
      <c r="T31" s="32">
        <v>4044</v>
      </c>
      <c r="U31" s="14">
        <f t="shared" si="10"/>
        <v>160</v>
      </c>
    </row>
    <row r="32" spans="1:23" ht="13.5" thickBot="1" x14ac:dyDescent="0.25">
      <c r="A32" s="9">
        <v>44803</v>
      </c>
      <c r="B32" s="32">
        <f t="shared" si="15"/>
        <v>47500</v>
      </c>
      <c r="C32" s="14">
        <f t="shared" si="3"/>
        <v>0</v>
      </c>
      <c r="D32" s="32">
        <f t="shared" si="16"/>
        <v>40918</v>
      </c>
      <c r="E32" s="14">
        <f t="shared" si="4"/>
        <v>0</v>
      </c>
      <c r="F32" s="32">
        <f t="shared" si="17"/>
        <v>22011</v>
      </c>
      <c r="G32" s="14">
        <f t="shared" si="5"/>
        <v>0</v>
      </c>
      <c r="H32" s="32">
        <f t="shared" si="18"/>
        <v>257912</v>
      </c>
      <c r="I32" s="14">
        <f t="shared" si="6"/>
        <v>0</v>
      </c>
      <c r="J32" s="32">
        <f t="shared" si="19"/>
        <v>330262</v>
      </c>
      <c r="K32" s="14">
        <f t="shared" si="7"/>
        <v>0</v>
      </c>
      <c r="L32" s="32">
        <f t="shared" si="20"/>
        <v>26442</v>
      </c>
      <c r="M32" s="14">
        <f t="shared" si="8"/>
        <v>0</v>
      </c>
      <c r="N32" s="32">
        <f t="shared" si="21"/>
        <v>226323</v>
      </c>
      <c r="O32" s="14">
        <f t="shared" si="9"/>
        <v>0</v>
      </c>
      <c r="P32" s="32">
        <f t="shared" si="22"/>
        <v>167475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4044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47500</v>
      </c>
      <c r="C33" s="14">
        <f t="shared" si="3"/>
        <v>0</v>
      </c>
      <c r="D33" s="32">
        <f t="shared" si="16"/>
        <v>40918</v>
      </c>
      <c r="E33" s="14">
        <f t="shared" si="4"/>
        <v>0</v>
      </c>
      <c r="F33" s="32">
        <f t="shared" si="17"/>
        <v>22011</v>
      </c>
      <c r="G33" s="14">
        <f t="shared" si="5"/>
        <v>0</v>
      </c>
      <c r="H33" s="32">
        <f t="shared" si="18"/>
        <v>257912</v>
      </c>
      <c r="I33" s="14">
        <f t="shared" si="6"/>
        <v>0</v>
      </c>
      <c r="J33" s="32">
        <f t="shared" si="19"/>
        <v>330262</v>
      </c>
      <c r="K33" s="14">
        <f t="shared" si="7"/>
        <v>0</v>
      </c>
      <c r="L33" s="32">
        <f t="shared" si="20"/>
        <v>26442</v>
      </c>
      <c r="M33" s="14">
        <f t="shared" si="8"/>
        <v>0</v>
      </c>
      <c r="N33" s="32">
        <f t="shared" si="21"/>
        <v>226323</v>
      </c>
      <c r="O33" s="14">
        <f t="shared" si="9"/>
        <v>0</v>
      </c>
      <c r="P33" s="32">
        <f t="shared" si="22"/>
        <v>167475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4044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20800</v>
      </c>
      <c r="D34" s="14"/>
      <c r="E34" s="14">
        <f>SUM(E3:E33)</f>
        <v>13760</v>
      </c>
      <c r="F34" s="14"/>
      <c r="G34" s="14">
        <f>SUM(G3:G33)</f>
        <v>2180</v>
      </c>
      <c r="H34" s="14"/>
      <c r="I34" s="14">
        <f>SUM(I3:I33)</f>
        <v>876</v>
      </c>
      <c r="J34" s="14"/>
      <c r="K34" s="14">
        <f>SUM(K3:K33)</f>
        <v>4547</v>
      </c>
      <c r="L34" s="14"/>
      <c r="M34" s="14">
        <f>SUM(M3:M33)</f>
        <v>5280</v>
      </c>
      <c r="N34" s="14"/>
      <c r="O34" s="14">
        <f>SUM(O3:O33)</f>
        <v>93</v>
      </c>
      <c r="P34" s="14"/>
      <c r="Q34" s="14">
        <f>SUM(Q3:Q33)</f>
        <v>4864</v>
      </c>
      <c r="R34" s="14"/>
      <c r="S34" s="14">
        <f>SUM(S3:S33)</f>
        <v>0</v>
      </c>
      <c r="T34" s="14"/>
      <c r="U34" s="14">
        <f>SUM(U3:U33)</f>
        <v>2400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H39" sqref="H3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>
        <v>175</v>
      </c>
      <c r="C25" s="144">
        <v>20026</v>
      </c>
      <c r="D25" s="38">
        <f t="shared" si="4"/>
        <v>640</v>
      </c>
      <c r="E25" s="145">
        <v>33005699</v>
      </c>
      <c r="F25" s="38">
        <f t="shared" si="5"/>
        <v>19302</v>
      </c>
      <c r="G25" s="146">
        <v>4206838</v>
      </c>
      <c r="H25" s="38">
        <f t="shared" si="6"/>
        <v>45236</v>
      </c>
      <c r="I25" s="147">
        <f t="shared" si="7"/>
        <v>64538</v>
      </c>
      <c r="J25" s="145">
        <v>376000</v>
      </c>
      <c r="K25" s="129">
        <f t="shared" si="15"/>
        <v>9660</v>
      </c>
      <c r="L25" s="148">
        <v>648654</v>
      </c>
      <c r="M25" s="38">
        <f t="shared" si="8"/>
        <v>5418</v>
      </c>
      <c r="N25" s="145">
        <v>7315969</v>
      </c>
      <c r="O25" s="38">
        <f t="shared" si="16"/>
        <v>13696</v>
      </c>
      <c r="P25" s="148">
        <v>7793658</v>
      </c>
      <c r="Q25" s="38">
        <f t="shared" si="9"/>
        <v>11741</v>
      </c>
      <c r="R25" s="145">
        <v>22119960</v>
      </c>
      <c r="S25" s="38">
        <f t="shared" si="10"/>
        <v>8761</v>
      </c>
      <c r="T25" s="145">
        <v>0</v>
      </c>
      <c r="U25" s="149"/>
      <c r="V25" s="145">
        <v>139313</v>
      </c>
      <c r="W25" s="38">
        <f t="shared" si="11"/>
        <v>9411</v>
      </c>
      <c r="X25" s="19">
        <f t="shared" si="12"/>
        <v>58687</v>
      </c>
      <c r="Y25" s="165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5" thickBot="1" x14ac:dyDescent="0.3">
      <c r="A26" s="9">
        <v>44797</v>
      </c>
      <c r="B26" s="38">
        <v>177</v>
      </c>
      <c r="C26" s="144">
        <v>20031</v>
      </c>
      <c r="D26" s="38">
        <f t="shared" si="4"/>
        <v>800</v>
      </c>
      <c r="E26" s="145">
        <v>33030316</v>
      </c>
      <c r="F26" s="38">
        <f t="shared" si="5"/>
        <v>24617</v>
      </c>
      <c r="G26" s="146">
        <v>4267232</v>
      </c>
      <c r="H26" s="38">
        <f t="shared" si="6"/>
        <v>60394</v>
      </c>
      <c r="I26" s="147">
        <f t="shared" si="7"/>
        <v>85011</v>
      </c>
      <c r="J26" s="145">
        <v>382034</v>
      </c>
      <c r="K26" s="129">
        <f t="shared" si="15"/>
        <v>12068</v>
      </c>
      <c r="L26" s="148">
        <v>655736</v>
      </c>
      <c r="M26" s="38">
        <f t="shared" si="8"/>
        <v>7082</v>
      </c>
      <c r="N26" s="145">
        <v>7324632</v>
      </c>
      <c r="O26" s="38">
        <f t="shared" si="16"/>
        <v>17326</v>
      </c>
      <c r="P26" s="148">
        <v>7808300</v>
      </c>
      <c r="Q26" s="38">
        <f t="shared" si="9"/>
        <v>14642</v>
      </c>
      <c r="R26" s="145">
        <v>22132016</v>
      </c>
      <c r="S26" s="38">
        <f t="shared" si="10"/>
        <v>12056</v>
      </c>
      <c r="T26" s="145">
        <v>0</v>
      </c>
      <c r="U26" s="149"/>
      <c r="V26" s="145">
        <v>152215</v>
      </c>
      <c r="W26" s="38">
        <f t="shared" si="11"/>
        <v>12902</v>
      </c>
      <c r="X26" s="19">
        <f t="shared" si="12"/>
        <v>76076</v>
      </c>
      <c r="Y26" s="165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5" thickBot="1" x14ac:dyDescent="0.3">
      <c r="A27" s="9">
        <v>44798</v>
      </c>
      <c r="B27" s="38">
        <v>180</v>
      </c>
      <c r="C27" s="144">
        <v>20035</v>
      </c>
      <c r="D27" s="38">
        <f t="shared" si="4"/>
        <v>640</v>
      </c>
      <c r="E27" s="145">
        <v>33053879</v>
      </c>
      <c r="F27" s="38">
        <f t="shared" si="5"/>
        <v>23563</v>
      </c>
      <c r="G27" s="146">
        <v>4322179</v>
      </c>
      <c r="H27" s="38">
        <f t="shared" si="6"/>
        <v>54947</v>
      </c>
      <c r="I27" s="147">
        <f t="shared" si="7"/>
        <v>78510</v>
      </c>
      <c r="J27" s="145">
        <v>387556</v>
      </c>
      <c r="K27" s="129">
        <f t="shared" si="15"/>
        <v>11044</v>
      </c>
      <c r="L27" s="148">
        <v>662015</v>
      </c>
      <c r="M27" s="38">
        <f t="shared" si="8"/>
        <v>6279</v>
      </c>
      <c r="N27" s="145">
        <v>7333176</v>
      </c>
      <c r="O27" s="38">
        <f t="shared" si="16"/>
        <v>17088</v>
      </c>
      <c r="P27" s="148">
        <v>7822686</v>
      </c>
      <c r="Q27" s="38">
        <f t="shared" si="9"/>
        <v>14386</v>
      </c>
      <c r="R27" s="145">
        <v>22142728</v>
      </c>
      <c r="S27" s="38">
        <f t="shared" si="10"/>
        <v>10712</v>
      </c>
      <c r="T27" s="145">
        <v>0</v>
      </c>
      <c r="U27" s="149"/>
      <c r="V27" s="145">
        <v>163596</v>
      </c>
      <c r="W27" s="38">
        <f t="shared" si="11"/>
        <v>11381</v>
      </c>
      <c r="X27" s="19">
        <f t="shared" si="12"/>
        <v>70890</v>
      </c>
      <c r="Y27" s="165">
        <f t="shared" si="13"/>
        <v>7620</v>
      </c>
      <c r="Z27" s="3">
        <f t="shared" si="14"/>
        <v>9918.7349455999993</v>
      </c>
      <c r="AA27" s="3">
        <f>SUM(Z1:Z27)</f>
        <v>252935.69974400004</v>
      </c>
    </row>
    <row r="28" spans="1:27" ht="16.5" thickBot="1" x14ac:dyDescent="0.3">
      <c r="A28" s="9">
        <v>44799</v>
      </c>
      <c r="B28" s="38">
        <v>188</v>
      </c>
      <c r="C28" s="144">
        <v>20039</v>
      </c>
      <c r="D28" s="38">
        <f t="shared" si="4"/>
        <v>640</v>
      </c>
      <c r="E28" s="145">
        <v>33081304</v>
      </c>
      <c r="F28" s="38">
        <f t="shared" si="5"/>
        <v>27425</v>
      </c>
      <c r="G28" s="146">
        <v>4387716</v>
      </c>
      <c r="H28" s="38">
        <f t="shared" si="6"/>
        <v>65537</v>
      </c>
      <c r="I28" s="147">
        <f t="shared" si="7"/>
        <v>92962</v>
      </c>
      <c r="J28" s="145">
        <v>393698</v>
      </c>
      <c r="K28" s="129">
        <f t="shared" si="15"/>
        <v>12284</v>
      </c>
      <c r="L28" s="148">
        <v>669224</v>
      </c>
      <c r="M28" s="38">
        <f t="shared" si="8"/>
        <v>7209</v>
      </c>
      <c r="N28" s="145">
        <v>7343017</v>
      </c>
      <c r="O28" s="38">
        <f t="shared" si="16"/>
        <v>19682</v>
      </c>
      <c r="P28" s="148">
        <v>7839091</v>
      </c>
      <c r="Q28" s="38">
        <f t="shared" si="9"/>
        <v>16405</v>
      </c>
      <c r="R28" s="145">
        <v>22156359</v>
      </c>
      <c r="S28" s="38">
        <f t="shared" si="10"/>
        <v>13631</v>
      </c>
      <c r="T28" s="145">
        <v>0</v>
      </c>
      <c r="U28" s="149"/>
      <c r="V28" s="145">
        <v>177349</v>
      </c>
      <c r="W28" s="38">
        <f t="shared" si="11"/>
        <v>13753</v>
      </c>
      <c r="X28" s="19">
        <f t="shared" si="12"/>
        <v>82964</v>
      </c>
      <c r="Y28" s="165">
        <f t="shared" si="13"/>
        <v>9998</v>
      </c>
      <c r="Z28" s="3">
        <f t="shared" si="14"/>
        <v>11870.755852799999</v>
      </c>
      <c r="AA28" s="3">
        <f>SUM(Z1:Z28)</f>
        <v>264806.45559680002</v>
      </c>
    </row>
    <row r="29" spans="1:27" ht="16.5" thickBot="1" x14ac:dyDescent="0.3">
      <c r="A29" s="9">
        <v>44800</v>
      </c>
      <c r="B29" s="38">
        <v>154</v>
      </c>
      <c r="C29" s="144">
        <v>20043</v>
      </c>
      <c r="D29" s="38">
        <f t="shared" si="4"/>
        <v>640</v>
      </c>
      <c r="E29" s="145">
        <v>33101199</v>
      </c>
      <c r="F29" s="38">
        <f t="shared" si="5"/>
        <v>19895</v>
      </c>
      <c r="G29" s="146">
        <v>4436944</v>
      </c>
      <c r="H29" s="38">
        <f t="shared" si="6"/>
        <v>49228</v>
      </c>
      <c r="I29" s="147">
        <f t="shared" si="7"/>
        <v>69123</v>
      </c>
      <c r="J29" s="145">
        <v>398672</v>
      </c>
      <c r="K29" s="129">
        <f t="shared" si="15"/>
        <v>9948</v>
      </c>
      <c r="L29" s="148">
        <v>674448</v>
      </c>
      <c r="M29" s="38">
        <f t="shared" si="8"/>
        <v>5224</v>
      </c>
      <c r="N29" s="145">
        <v>7350367</v>
      </c>
      <c r="O29" s="38">
        <f t="shared" si="16"/>
        <v>14700</v>
      </c>
      <c r="P29" s="148">
        <v>7851312</v>
      </c>
      <c r="Q29" s="38">
        <f t="shared" si="9"/>
        <v>12221</v>
      </c>
      <c r="R29" s="145">
        <v>22166366</v>
      </c>
      <c r="S29" s="38">
        <f t="shared" si="10"/>
        <v>10007</v>
      </c>
      <c r="T29" s="145">
        <v>0</v>
      </c>
      <c r="U29" s="149"/>
      <c r="V29" s="145">
        <v>187662</v>
      </c>
      <c r="W29" s="38">
        <f t="shared" si="11"/>
        <v>10313</v>
      </c>
      <c r="X29" s="19">
        <f t="shared" si="12"/>
        <v>62413</v>
      </c>
      <c r="Y29" s="165">
        <f t="shared" si="13"/>
        <v>6710</v>
      </c>
      <c r="Z29" s="3">
        <f t="shared" si="14"/>
        <v>8829.2721919999985</v>
      </c>
      <c r="AA29" s="3">
        <f>SUM(Z1:Z29)</f>
        <v>273635.72778880002</v>
      </c>
    </row>
    <row r="30" spans="1:27" ht="16.5" thickBot="1" x14ac:dyDescent="0.3">
      <c r="A30" s="9">
        <v>44801</v>
      </c>
      <c r="B30" s="38">
        <v>212</v>
      </c>
      <c r="C30" s="144">
        <v>20046</v>
      </c>
      <c r="D30" s="38">
        <f>IF((C30-C29)&lt;0,"0",(C30-C29))*160</f>
        <v>480</v>
      </c>
      <c r="E30" s="145">
        <v>33126213</v>
      </c>
      <c r="F30" s="38">
        <f>IF((E30-E29)&lt;0,"0",(E30-E29))</f>
        <v>25014</v>
      </c>
      <c r="G30" s="146">
        <v>4495654</v>
      </c>
      <c r="H30" s="38">
        <f t="shared" si="6"/>
        <v>58710</v>
      </c>
      <c r="I30" s="147">
        <f t="shared" si="7"/>
        <v>83724</v>
      </c>
      <c r="J30" s="145">
        <v>404974</v>
      </c>
      <c r="K30" s="129">
        <f t="shared" si="15"/>
        <v>12604</v>
      </c>
      <c r="L30" s="148">
        <v>681257</v>
      </c>
      <c r="M30" s="38">
        <f>IF((L30-L29)&lt;0,"0",(L30-L29))</f>
        <v>6809</v>
      </c>
      <c r="N30" s="145">
        <v>7359409</v>
      </c>
      <c r="O30" s="38">
        <f>(IF((N30-N29)&lt;0,"0",(N30-N29)))*2</f>
        <v>18084</v>
      </c>
      <c r="P30" s="148">
        <v>7866590</v>
      </c>
      <c r="Q30" s="38">
        <f>IF((P30-P29)&lt;0,"0",(P30-P29))</f>
        <v>15278</v>
      </c>
      <c r="R30" s="145">
        <v>22178152</v>
      </c>
      <c r="S30" s="38">
        <f>IF((R30-R29)&lt;0,"0",(R30-R29))</f>
        <v>11786</v>
      </c>
      <c r="T30" s="145">
        <v>0</v>
      </c>
      <c r="U30" s="149"/>
      <c r="V30" s="145">
        <v>199945</v>
      </c>
      <c r="W30" s="38">
        <f>IF((V30-V29)&lt;0,"0",(V30-V29))</f>
        <v>12283</v>
      </c>
      <c r="X30" s="19">
        <f t="shared" si="12"/>
        <v>76844</v>
      </c>
      <c r="Y30" s="165">
        <f t="shared" si="13"/>
        <v>6880</v>
      </c>
      <c r="Z30" s="3">
        <f t="shared" si="14"/>
        <v>10671.662164799998</v>
      </c>
      <c r="AA30" s="3">
        <f>SUM(Z1:Z30)</f>
        <v>284307.38995360001</v>
      </c>
    </row>
    <row r="31" spans="1:27" ht="16.5" thickBot="1" x14ac:dyDescent="0.3">
      <c r="A31" s="9">
        <v>44802</v>
      </c>
      <c r="B31" s="38">
        <v>197</v>
      </c>
      <c r="C31" s="144">
        <v>20051</v>
      </c>
      <c r="D31" s="38">
        <f t="shared" ref="D31:D33" si="27">IF((C31-C30)&lt;0,"0",(C31-C30))*160</f>
        <v>800</v>
      </c>
      <c r="E31" s="145">
        <v>33153571</v>
      </c>
      <c r="F31" s="38">
        <f t="shared" ref="F31:F33" si="28">IF((E31-E30)&lt;0,"0",(E31-E30))</f>
        <v>27358</v>
      </c>
      <c r="G31" s="146">
        <v>4559754</v>
      </c>
      <c r="H31" s="38">
        <f t="shared" si="6"/>
        <v>64100</v>
      </c>
      <c r="I31" s="147">
        <f t="shared" ref="I31:I33" si="29">F31+H31</f>
        <v>91458</v>
      </c>
      <c r="J31" s="145">
        <v>411566</v>
      </c>
      <c r="K31" s="129">
        <f t="shared" si="15"/>
        <v>13184</v>
      </c>
      <c r="L31" s="148">
        <v>688886</v>
      </c>
      <c r="M31" s="38">
        <f t="shared" ref="M31:M33" si="30">IF((L31-L30)&lt;0,"0",(L31-L30))</f>
        <v>7629</v>
      </c>
      <c r="N31" s="145">
        <v>7369172</v>
      </c>
      <c r="O31" s="38">
        <f t="shared" ref="O31:O33" si="31">(IF((N31-N30)&lt;0,"0",(N31-N30)))*2</f>
        <v>19526</v>
      </c>
      <c r="P31" s="148">
        <v>7882473</v>
      </c>
      <c r="Q31" s="38">
        <f t="shared" ref="Q31:Q33" si="32">IF((P31-P30)&lt;0,"0",(P31-P30))</f>
        <v>15883</v>
      </c>
      <c r="R31" s="145">
        <v>22190931</v>
      </c>
      <c r="S31" s="38">
        <f t="shared" ref="S31:S33" si="33">IF((R31-R30)&lt;0,"0",(R31-R30))</f>
        <v>12779</v>
      </c>
      <c r="T31" s="145">
        <v>0</v>
      </c>
      <c r="U31" s="149"/>
      <c r="V31" s="145">
        <v>213045</v>
      </c>
      <c r="W31" s="38">
        <f t="shared" ref="W31:W33" si="34">IF((V31-V30)&lt;0,"0",(V31-V30))</f>
        <v>13100</v>
      </c>
      <c r="X31" s="19">
        <f t="shared" ref="X31:X33" si="35">K31+M31+O31+Q31+S31+U31+W31</f>
        <v>82101</v>
      </c>
      <c r="Y31" s="165">
        <f t="shared" ref="Y31:Y33" si="36">I31-X31</f>
        <v>9357</v>
      </c>
      <c r="Z31" s="3">
        <f t="shared" ref="Z31:Z33" si="37">(0.93352*(W31+S31)+0.5568*(Q31+O31))*0.26</f>
        <v>11407.316772800001</v>
      </c>
      <c r="AA31" s="3">
        <f>SUM(Z1:Z31)</f>
        <v>295714.70672640001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 t="str">
        <f t="shared" si="28"/>
        <v>0</v>
      </c>
      <c r="G32" s="146"/>
      <c r="H32" s="38" t="str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 t="str">
        <f t="shared" si="30"/>
        <v>0</v>
      </c>
      <c r="N32" s="145"/>
      <c r="O32" s="38">
        <f t="shared" si="31"/>
        <v>0</v>
      </c>
      <c r="P32" s="148"/>
      <c r="Q32" s="38" t="str">
        <f t="shared" si="32"/>
        <v>0</v>
      </c>
      <c r="R32" s="145"/>
      <c r="S32" s="38" t="str">
        <f t="shared" si="33"/>
        <v>0</v>
      </c>
      <c r="T32" s="145">
        <v>0</v>
      </c>
      <c r="U32" s="149"/>
      <c r="V32" s="145"/>
      <c r="W32" s="38" t="str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295714.70672640001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65">
        <f t="shared" si="36"/>
        <v>0</v>
      </c>
      <c r="Z33" s="3">
        <f t="shared" si="37"/>
        <v>0</v>
      </c>
      <c r="AA33" s="3">
        <f>SUM(Z2:Z33)</f>
        <v>295714.70672640001</v>
      </c>
    </row>
    <row r="34" spans="1:27" ht="16.5" thickBot="1" x14ac:dyDescent="0.3">
      <c r="A34" s="136" t="s">
        <v>23</v>
      </c>
      <c r="B34" s="136">
        <f>SUM(B3:B33)</f>
        <v>5426</v>
      </c>
      <c r="C34" s="136">
        <v>0</v>
      </c>
      <c r="D34" s="136">
        <f>SUM(D3:D33)</f>
        <v>19840</v>
      </c>
      <c r="E34" s="55">
        <v>0</v>
      </c>
      <c r="F34" s="136">
        <f>SUM(F3:F33)</f>
        <v>707801</v>
      </c>
      <c r="G34" s="55">
        <v>0</v>
      </c>
      <c r="H34" s="136">
        <f>SUM(H3:H33)</f>
        <v>1630413</v>
      </c>
      <c r="I34" s="55">
        <v>92693</v>
      </c>
      <c r="J34" s="55">
        <v>0</v>
      </c>
      <c r="K34" s="136">
        <f>SUM(K3:K33)</f>
        <v>333064</v>
      </c>
      <c r="L34" s="55">
        <v>0</v>
      </c>
      <c r="M34" s="136">
        <f>SUM(M3:M33)</f>
        <v>191199</v>
      </c>
      <c r="N34" s="55">
        <v>0</v>
      </c>
      <c r="O34" s="136">
        <f>SUM(O3:O33)</f>
        <v>510630</v>
      </c>
      <c r="P34" s="55">
        <v>0</v>
      </c>
      <c r="Q34" s="136">
        <f>SUM(Q3:Q33)</f>
        <v>414522</v>
      </c>
      <c r="R34" s="55">
        <v>0</v>
      </c>
      <c r="S34" s="136">
        <f>SUM(S3:S33)</f>
        <v>320175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346377</v>
      </c>
      <c r="X34" s="136">
        <f>SUM(X3:X33)</f>
        <v>2115967</v>
      </c>
      <c r="Y34" s="136">
        <f>SUM(Y2:Y33)</f>
        <v>222247</v>
      </c>
      <c r="Z34" s="136">
        <f>SUM(Z2:Z33)</f>
        <v>295714.70672640001</v>
      </c>
      <c r="AA34" s="136">
        <f>SUM(AA3:AA33)</f>
        <v>5015706.2323264005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N29" sqref="N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>
        <v>458981</v>
      </c>
      <c r="C25" s="38">
        <f t="shared" si="7"/>
        <v>1300</v>
      </c>
      <c r="D25" s="3">
        <v>12634</v>
      </c>
      <c r="E25" s="38">
        <f t="shared" si="8"/>
        <v>490</v>
      </c>
      <c r="F25" s="3">
        <v>11034800</v>
      </c>
      <c r="G25" s="38">
        <f t="shared" si="5"/>
        <v>669.6</v>
      </c>
      <c r="H25" s="3">
        <v>807056</v>
      </c>
      <c r="I25" s="43">
        <f t="shared" si="6"/>
        <v>4.266</v>
      </c>
      <c r="J25" s="19">
        <f t="shared" si="3"/>
        <v>2463.866</v>
      </c>
      <c r="K25" s="20">
        <f t="shared" si="4"/>
        <v>14438.25476</v>
      </c>
      <c r="Y25" s="54"/>
    </row>
    <row r="26" spans="1:25" ht="16.5" thickBot="1" x14ac:dyDescent="0.3">
      <c r="A26" s="9">
        <v>44797</v>
      </c>
      <c r="B26" s="3">
        <v>459082</v>
      </c>
      <c r="C26" s="38">
        <f t="shared" si="7"/>
        <v>1010</v>
      </c>
      <c r="D26" s="3">
        <v>12676</v>
      </c>
      <c r="E26" s="38">
        <f t="shared" si="8"/>
        <v>420</v>
      </c>
      <c r="F26" s="3">
        <v>11059200</v>
      </c>
      <c r="G26" s="38">
        <f t="shared" si="5"/>
        <v>658.8</v>
      </c>
      <c r="H26" s="3">
        <v>807180</v>
      </c>
      <c r="I26" s="43">
        <f t="shared" si="6"/>
        <v>3.3479999999999999</v>
      </c>
      <c r="J26" s="19">
        <f t="shared" si="3"/>
        <v>2092.1480000000001</v>
      </c>
      <c r="K26" s="20">
        <f t="shared" si="4"/>
        <v>12259.987280000001</v>
      </c>
      <c r="L26" t="s">
        <v>12</v>
      </c>
    </row>
    <row r="27" spans="1:25" ht="16.5" thickBot="1" x14ac:dyDescent="0.3">
      <c r="A27" s="9">
        <v>44798</v>
      </c>
      <c r="B27" s="3">
        <v>459188</v>
      </c>
      <c r="C27" s="38">
        <f t="shared" si="7"/>
        <v>1060</v>
      </c>
      <c r="D27" s="3">
        <v>12720</v>
      </c>
      <c r="E27" s="38">
        <f t="shared" si="8"/>
        <v>440</v>
      </c>
      <c r="F27" s="3">
        <v>11083400</v>
      </c>
      <c r="G27" s="38">
        <f t="shared" si="5"/>
        <v>653.4</v>
      </c>
      <c r="H27" s="3">
        <v>807311</v>
      </c>
      <c r="I27" s="43">
        <f t="shared" si="6"/>
        <v>3.5369999999999999</v>
      </c>
      <c r="J27" s="19">
        <f t="shared" si="3"/>
        <v>2156.9369999999999</v>
      </c>
      <c r="K27" s="20">
        <f t="shared" si="4"/>
        <v>12639.650820000001</v>
      </c>
      <c r="N27" s="34"/>
      <c r="O27" t="s">
        <v>12</v>
      </c>
    </row>
    <row r="28" spans="1:25" ht="16.5" thickBot="1" x14ac:dyDescent="0.3">
      <c r="A28" s="9">
        <v>44799</v>
      </c>
      <c r="B28" s="3">
        <v>459282</v>
      </c>
      <c r="C28" s="38">
        <f t="shared" si="7"/>
        <v>940</v>
      </c>
      <c r="D28" s="3">
        <v>12761</v>
      </c>
      <c r="E28" s="38">
        <f t="shared" si="8"/>
        <v>410</v>
      </c>
      <c r="F28" s="3">
        <v>11105800</v>
      </c>
      <c r="G28" s="38">
        <f t="shared" si="5"/>
        <v>604.79999999999995</v>
      </c>
      <c r="H28" s="3">
        <v>807446</v>
      </c>
      <c r="I28" s="43">
        <f t="shared" si="6"/>
        <v>3.645</v>
      </c>
      <c r="J28" s="19">
        <f t="shared" si="3"/>
        <v>1958.4449999999999</v>
      </c>
      <c r="K28" s="20">
        <f t="shared" si="4"/>
        <v>11476.4877</v>
      </c>
    </row>
    <row r="29" spans="1:25" ht="16.5" thickBot="1" x14ac:dyDescent="0.3">
      <c r="A29" s="9">
        <v>44800</v>
      </c>
      <c r="B29" s="3">
        <v>459388</v>
      </c>
      <c r="C29" s="38">
        <f t="shared" si="7"/>
        <v>1060</v>
      </c>
      <c r="D29" s="3">
        <v>12804</v>
      </c>
      <c r="E29" s="38">
        <f t="shared" si="8"/>
        <v>430</v>
      </c>
      <c r="F29" s="3">
        <v>11131400</v>
      </c>
      <c r="G29" s="38">
        <f t="shared" si="5"/>
        <v>691.2</v>
      </c>
      <c r="H29" s="3">
        <v>807606</v>
      </c>
      <c r="I29" s="43">
        <f t="shared" si="6"/>
        <v>4.32</v>
      </c>
      <c r="J29" s="19">
        <f t="shared" si="3"/>
        <v>2185.52</v>
      </c>
      <c r="K29" s="20">
        <f t="shared" si="4"/>
        <v>12807.147200000001</v>
      </c>
    </row>
    <row r="30" spans="1:25" ht="16.5" thickBot="1" x14ac:dyDescent="0.3">
      <c r="A30" s="9">
        <v>44801</v>
      </c>
      <c r="B30" s="3">
        <v>459488</v>
      </c>
      <c r="C30" s="38">
        <f t="shared" si="7"/>
        <v>1000</v>
      </c>
      <c r="D30" s="3">
        <v>12845</v>
      </c>
      <c r="E30" s="38">
        <f t="shared" si="8"/>
        <v>410</v>
      </c>
      <c r="F30" s="3">
        <v>11155000</v>
      </c>
      <c r="G30" s="38">
        <f t="shared" si="5"/>
        <v>637.20000000000005</v>
      </c>
      <c r="H30" s="3">
        <v>807768</v>
      </c>
      <c r="I30" s="43">
        <f t="shared" si="6"/>
        <v>4.3739999999999997</v>
      </c>
      <c r="J30" s="19">
        <f t="shared" si="3"/>
        <v>2051.5740000000001</v>
      </c>
      <c r="K30" s="20">
        <f t="shared" si="4"/>
        <v>12022.22364</v>
      </c>
    </row>
    <row r="31" spans="1:25" ht="16.5" thickBot="1" x14ac:dyDescent="0.3">
      <c r="A31" s="9">
        <v>44802</v>
      </c>
      <c r="B31" s="3">
        <v>459586</v>
      </c>
      <c r="C31" s="38">
        <f t="shared" si="7"/>
        <v>980</v>
      </c>
      <c r="D31" s="3">
        <v>12888</v>
      </c>
      <c r="E31" s="38">
        <f t="shared" si="8"/>
        <v>430</v>
      </c>
      <c r="F31" s="3">
        <v>11177200</v>
      </c>
      <c r="G31" s="38">
        <f t="shared" si="5"/>
        <v>599.4</v>
      </c>
      <c r="H31" s="3">
        <v>807924</v>
      </c>
      <c r="I31" s="43">
        <f t="shared" si="6"/>
        <v>4.2119999999999997</v>
      </c>
      <c r="J31" s="19">
        <f t="shared" si="3"/>
        <v>2013.6120000000001</v>
      </c>
      <c r="K31" s="20">
        <f t="shared" si="4"/>
        <v>11799.766320000001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30600</v>
      </c>
      <c r="D34" s="55"/>
      <c r="E34" s="55">
        <f>SUM(E3:E33)</f>
        <v>12820</v>
      </c>
      <c r="F34" s="55"/>
      <c r="G34" s="55">
        <f>SUM(G3:G33)</f>
        <v>17541.899999999998</v>
      </c>
      <c r="H34" s="55"/>
      <c r="I34" s="55">
        <f>SUM(I3:I33)</f>
        <v>104.22000000000001</v>
      </c>
      <c r="J34" s="55">
        <v>0</v>
      </c>
      <c r="K34" s="55">
        <f>SUM(K4:K33)</f>
        <v>344056.79703999998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5" activePane="bottomLeft" state="frozen"/>
      <selection pane="bottomLeft" activeCell="I30" sqref="I3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>
        <v>18465369</v>
      </c>
      <c r="C25" s="44">
        <f t="shared" si="0"/>
        <v>1568</v>
      </c>
    </row>
    <row r="26" spans="1:9" ht="24" thickBot="1" x14ac:dyDescent="0.4">
      <c r="A26" s="9">
        <v>44797</v>
      </c>
      <c r="B26" s="132">
        <v>18466984</v>
      </c>
      <c r="C26" s="44">
        <f t="shared" si="0"/>
        <v>1615</v>
      </c>
    </row>
    <row r="27" spans="1:9" ht="24" thickBot="1" x14ac:dyDescent="0.4">
      <c r="A27" s="9">
        <v>44798</v>
      </c>
      <c r="B27" s="132">
        <v>18469762</v>
      </c>
      <c r="C27" s="44">
        <f t="shared" si="0"/>
        <v>2778</v>
      </c>
    </row>
    <row r="28" spans="1:9" ht="24" thickBot="1" x14ac:dyDescent="0.4">
      <c r="A28" s="9">
        <v>44799</v>
      </c>
      <c r="B28" s="132">
        <v>18471759</v>
      </c>
      <c r="C28" s="44">
        <f t="shared" si="0"/>
        <v>1997</v>
      </c>
      <c r="I28" t="s">
        <v>12</v>
      </c>
    </row>
    <row r="29" spans="1:9" ht="24" thickBot="1" x14ac:dyDescent="0.4">
      <c r="A29" s="9">
        <v>44800</v>
      </c>
      <c r="B29" s="132">
        <v>18473648</v>
      </c>
      <c r="C29" s="44">
        <f t="shared" si="0"/>
        <v>1889</v>
      </c>
    </row>
    <row r="30" spans="1:9" ht="24" thickBot="1" x14ac:dyDescent="0.4">
      <c r="A30" s="9">
        <v>44801</v>
      </c>
      <c r="B30" s="132">
        <v>18474357</v>
      </c>
      <c r="C30" s="44">
        <f t="shared" si="0"/>
        <v>709</v>
      </c>
    </row>
    <row r="31" spans="1:9" ht="24" thickBot="1" x14ac:dyDescent="0.4">
      <c r="A31" s="9">
        <v>44802</v>
      </c>
      <c r="B31" s="132">
        <v>18476287</v>
      </c>
      <c r="C31" s="44">
        <f t="shared" si="0"/>
        <v>1930</v>
      </c>
    </row>
    <row r="32" spans="1:9" ht="24" thickBot="1" x14ac:dyDescent="0.4">
      <c r="A32" s="9">
        <v>44803</v>
      </c>
      <c r="B32" s="132"/>
      <c r="C32" s="44" t="str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53203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D31" sqref="AD31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650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650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650</v>
      </c>
      <c r="AE4" s="160">
        <f t="shared" si="21"/>
        <v>0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650</v>
      </c>
      <c r="AE5" s="160">
        <f t="shared" si="21"/>
        <v>0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650</v>
      </c>
      <c r="AE6" s="160">
        <f t="shared" si="21"/>
        <v>0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650</v>
      </c>
      <c r="AE7" s="160">
        <f t="shared" si="21"/>
        <v>0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650</v>
      </c>
      <c r="AE8" s="160">
        <f t="shared" si="21"/>
        <v>0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650</v>
      </c>
      <c r="AE9" s="160">
        <f t="shared" si="21"/>
        <v>0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650</v>
      </c>
      <c r="AE10" s="160">
        <f t="shared" si="21"/>
        <v>0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650</v>
      </c>
      <c r="AE11" s="160">
        <f t="shared" si="21"/>
        <v>0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650</v>
      </c>
      <c r="AE12" s="160">
        <f t="shared" si="21"/>
        <v>0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650</v>
      </c>
      <c r="AE13" s="160">
        <f t="shared" si="21"/>
        <v>0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650</v>
      </c>
      <c r="AE14" s="160">
        <f t="shared" si="21"/>
        <v>0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650</v>
      </c>
      <c r="AE15" s="160">
        <f t="shared" si="21"/>
        <v>0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650</v>
      </c>
      <c r="AE16" s="160">
        <f t="shared" si="21"/>
        <v>0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650</v>
      </c>
      <c r="AE17" s="160">
        <f t="shared" si="21"/>
        <v>0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650</v>
      </c>
      <c r="AE18" s="160">
        <f t="shared" si="21"/>
        <v>0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650</v>
      </c>
      <c r="AE19" s="160">
        <f t="shared" si="21"/>
        <v>0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650</v>
      </c>
      <c r="AE20" s="160">
        <f t="shared" si="21"/>
        <v>0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650</v>
      </c>
      <c r="AE21" s="160">
        <f t="shared" si="21"/>
        <v>0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650</v>
      </c>
      <c r="AE22" s="160">
        <f t="shared" si="21"/>
        <v>0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650</v>
      </c>
      <c r="AE23" s="160">
        <f t="shared" si="21"/>
        <v>0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4466.3900000000003</v>
      </c>
      <c r="F24" s="43">
        <f t="shared" si="24"/>
        <v>3.555000000000291</v>
      </c>
      <c r="G24" s="28">
        <f t="shared" si="25"/>
        <v>6754.500000000553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30.840999999999894</v>
      </c>
      <c r="U24" s="30">
        <f t="shared" si="34"/>
        <v>58597.899999999798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650</v>
      </c>
      <c r="AE24" s="160">
        <f t="shared" si="21"/>
        <v>0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>
        <v>24621.35</v>
      </c>
      <c r="C25" s="43">
        <f t="shared" si="22"/>
        <v>15.349999999998545</v>
      </c>
      <c r="D25" s="28">
        <f t="shared" si="23"/>
        <v>29164.999999997235</v>
      </c>
      <c r="E25" s="1">
        <v>4470.0559999999996</v>
      </c>
      <c r="F25" s="43">
        <f t="shared" si="24"/>
        <v>3.6659999999992579</v>
      </c>
      <c r="G25" s="28">
        <f t="shared" si="25"/>
        <v>6965.399999998589</v>
      </c>
      <c r="H25" s="1">
        <v>5920</v>
      </c>
      <c r="I25" s="43">
        <f t="shared" si="26"/>
        <v>9</v>
      </c>
      <c r="J25" s="28">
        <f t="shared" si="27"/>
        <v>17099.999999999996</v>
      </c>
      <c r="K25" s="7">
        <v>14177.82</v>
      </c>
      <c r="L25" s="43">
        <f t="shared" si="28"/>
        <v>2.7799999999988358</v>
      </c>
      <c r="M25" s="28">
        <f t="shared" si="29"/>
        <v>5281.9999999977872</v>
      </c>
      <c r="N25" s="7">
        <v>3703.6990000000001</v>
      </c>
      <c r="O25" s="43">
        <f t="shared" si="30"/>
        <v>2.0990000000001601</v>
      </c>
      <c r="P25" s="28">
        <f t="shared" si="31"/>
        <v>3988.1000000003041</v>
      </c>
      <c r="Q25" s="7">
        <v>5500.48</v>
      </c>
      <c r="R25" s="43">
        <f t="shared" si="32"/>
        <v>1.1599999999998545</v>
      </c>
      <c r="S25" s="28">
        <f t="shared" si="33"/>
        <v>2203.9999999997235</v>
      </c>
      <c r="T25" s="8">
        <f t="shared" si="35"/>
        <v>34.054999999996653</v>
      </c>
      <c r="U25" s="30">
        <f t="shared" si="34"/>
        <v>64704.499999993641</v>
      </c>
      <c r="W25" s="154">
        <v>44796</v>
      </c>
      <c r="X25" s="155">
        <v>201178</v>
      </c>
      <c r="Y25" s="160">
        <f t="shared" si="21"/>
        <v>385</v>
      </c>
      <c r="Z25" s="155">
        <v>9812</v>
      </c>
      <c r="AA25" s="160">
        <f t="shared" si="21"/>
        <v>7</v>
      </c>
      <c r="AB25" s="155">
        <v>32</v>
      </c>
      <c r="AC25" s="160">
        <f t="shared" si="21"/>
        <v>0.39999999999999858</v>
      </c>
      <c r="AD25" s="155">
        <v>650</v>
      </c>
      <c r="AE25" s="160">
        <f t="shared" si="21"/>
        <v>0</v>
      </c>
      <c r="AF25" s="155">
        <v>8720</v>
      </c>
      <c r="AG25" s="160">
        <f t="shared" si="21"/>
        <v>12</v>
      </c>
    </row>
    <row r="26" spans="1:33" ht="16.5" thickBot="1" x14ac:dyDescent="0.25">
      <c r="A26" s="9">
        <v>44797</v>
      </c>
      <c r="B26" s="157">
        <v>24635.041000000001</v>
      </c>
      <c r="C26" s="43">
        <f t="shared" si="22"/>
        <v>13.691000000002532</v>
      </c>
      <c r="D26" s="28">
        <f t="shared" si="23"/>
        <v>26012.900000004807</v>
      </c>
      <c r="E26" s="1">
        <v>4473.3729999999996</v>
      </c>
      <c r="F26" s="43">
        <f t="shared" si="24"/>
        <v>3.3170000000000073</v>
      </c>
      <c r="G26" s="28">
        <f t="shared" si="25"/>
        <v>6302.3000000000129</v>
      </c>
      <c r="H26" s="1">
        <v>5928</v>
      </c>
      <c r="I26" s="43">
        <f t="shared" si="26"/>
        <v>8</v>
      </c>
      <c r="J26" s="28">
        <f t="shared" si="27"/>
        <v>15200</v>
      </c>
      <c r="K26" s="7">
        <v>14180.22</v>
      </c>
      <c r="L26" s="43">
        <f>IF((K26-K25)&lt;0,"0",(K26-K25))</f>
        <v>2.3999999999996362</v>
      </c>
      <c r="M26" s="28">
        <f t="shared" si="29"/>
        <v>4559.9999999993088</v>
      </c>
      <c r="N26" s="7">
        <v>3705.9659999999999</v>
      </c>
      <c r="O26" s="43">
        <f t="shared" si="30"/>
        <v>2.2669999999998254</v>
      </c>
      <c r="P26" s="28">
        <f t="shared" si="31"/>
        <v>4307.2999999996682</v>
      </c>
      <c r="Q26" s="7">
        <v>5501.68</v>
      </c>
      <c r="R26" s="43">
        <f t="shared" si="32"/>
        <v>1.2000000000007276</v>
      </c>
      <c r="S26" s="28">
        <f t="shared" si="33"/>
        <v>2280.0000000013824</v>
      </c>
      <c r="T26" s="8">
        <f t="shared" si="35"/>
        <v>30.875000000002728</v>
      </c>
      <c r="U26" s="30">
        <f t="shared" si="34"/>
        <v>58662.50000000518</v>
      </c>
      <c r="V26" t="s">
        <v>12</v>
      </c>
      <c r="W26" s="154">
        <v>44797</v>
      </c>
      <c r="X26" s="155">
        <v>201561</v>
      </c>
      <c r="Y26" s="160">
        <f t="shared" si="21"/>
        <v>383</v>
      </c>
      <c r="Z26" s="155">
        <v>9836</v>
      </c>
      <c r="AA26" s="160">
        <f t="shared" si="21"/>
        <v>24</v>
      </c>
      <c r="AB26" s="155">
        <v>32.5</v>
      </c>
      <c r="AC26" s="160">
        <f t="shared" si="21"/>
        <v>0.5</v>
      </c>
      <c r="AD26" s="155">
        <v>650</v>
      </c>
      <c r="AE26" s="160">
        <f t="shared" si="21"/>
        <v>0</v>
      </c>
      <c r="AF26" s="155">
        <v>8734</v>
      </c>
      <c r="AG26" s="160">
        <f t="shared" si="21"/>
        <v>14</v>
      </c>
    </row>
    <row r="27" spans="1:33" ht="16.5" thickBot="1" x14ac:dyDescent="0.25">
      <c r="A27" s="9">
        <v>44798</v>
      </c>
      <c r="B27" s="157">
        <v>24648.366999999998</v>
      </c>
      <c r="C27" s="43">
        <f t="shared" si="22"/>
        <v>13.325999999997293</v>
      </c>
      <c r="D27" s="28">
        <f t="shared" si="23"/>
        <v>25319.399999994857</v>
      </c>
      <c r="E27" s="1">
        <v>4476.375</v>
      </c>
      <c r="F27" s="43">
        <f t="shared" si="24"/>
        <v>3.0020000000004075</v>
      </c>
      <c r="G27" s="28">
        <f t="shared" si="25"/>
        <v>5703.8000000007742</v>
      </c>
      <c r="H27" s="1">
        <v>5935</v>
      </c>
      <c r="I27" s="43">
        <f t="shared" si="26"/>
        <v>7</v>
      </c>
      <c r="J27" s="28">
        <f t="shared" si="27"/>
        <v>13299.999999999998</v>
      </c>
      <c r="K27" s="7">
        <v>14182.39</v>
      </c>
      <c r="L27" s="43">
        <f t="shared" si="28"/>
        <v>2.1700000000000728</v>
      </c>
      <c r="M27" s="28">
        <f t="shared" si="29"/>
        <v>4123.0000000001382</v>
      </c>
      <c r="N27" s="7">
        <v>3708.04</v>
      </c>
      <c r="O27" s="43">
        <f t="shared" si="30"/>
        <v>2.0740000000000691</v>
      </c>
      <c r="P27" s="28">
        <f t="shared" si="31"/>
        <v>3940.6000000001313</v>
      </c>
      <c r="Q27" s="7">
        <v>5502.67</v>
      </c>
      <c r="R27" s="43">
        <f t="shared" si="32"/>
        <v>0.98999999999978172</v>
      </c>
      <c r="S27" s="28">
        <f t="shared" si="33"/>
        <v>1880.9999999995853</v>
      </c>
      <c r="T27" s="8">
        <f t="shared" si="35"/>
        <v>28.561999999997624</v>
      </c>
      <c r="U27" s="30">
        <f t="shared" si="34"/>
        <v>54267.799999995485</v>
      </c>
      <c r="V27" t="s">
        <v>12</v>
      </c>
      <c r="W27" s="154">
        <v>44798</v>
      </c>
      <c r="X27" s="155">
        <v>201887</v>
      </c>
      <c r="Y27" s="160">
        <f t="shared" si="21"/>
        <v>326</v>
      </c>
      <c r="Z27" s="155">
        <v>9842</v>
      </c>
      <c r="AA27" s="160">
        <f t="shared" si="21"/>
        <v>6</v>
      </c>
      <c r="AB27" s="155">
        <v>32.5</v>
      </c>
      <c r="AC27" s="160">
        <f t="shared" si="21"/>
        <v>0</v>
      </c>
      <c r="AD27" s="155">
        <v>650</v>
      </c>
      <c r="AE27" s="160">
        <f t="shared" si="21"/>
        <v>0</v>
      </c>
      <c r="AF27" s="155">
        <v>8746</v>
      </c>
      <c r="AG27" s="160">
        <f t="shared" si="21"/>
        <v>12</v>
      </c>
    </row>
    <row r="28" spans="1:33" ht="16.5" thickBot="1" x14ac:dyDescent="0.25">
      <c r="A28" s="9">
        <v>44799</v>
      </c>
      <c r="B28" s="157">
        <v>24668.87</v>
      </c>
      <c r="C28" s="43">
        <f t="shared" si="22"/>
        <v>20.503000000000611</v>
      </c>
      <c r="D28" s="28">
        <f t="shared" si="23"/>
        <v>38955.700000001161</v>
      </c>
      <c r="E28" s="1">
        <v>4479.18</v>
      </c>
      <c r="F28" s="43">
        <f t="shared" si="24"/>
        <v>2.805000000000291</v>
      </c>
      <c r="G28" s="28">
        <f t="shared" si="25"/>
        <v>5329.500000000553</v>
      </c>
      <c r="H28" s="1">
        <v>5947</v>
      </c>
      <c r="I28" s="43">
        <f t="shared" si="26"/>
        <v>12</v>
      </c>
      <c r="J28" s="28">
        <f t="shared" si="27"/>
        <v>22799.999999999996</v>
      </c>
      <c r="K28" s="7">
        <v>14186.6</v>
      </c>
      <c r="L28" s="43">
        <f t="shared" si="28"/>
        <v>4.2100000000009459</v>
      </c>
      <c r="M28" s="28">
        <f t="shared" si="29"/>
        <v>7999.0000000017963</v>
      </c>
      <c r="N28" s="7">
        <v>3711.7</v>
      </c>
      <c r="O28" s="43">
        <f t="shared" si="30"/>
        <v>3.6599999999998545</v>
      </c>
      <c r="P28" s="28">
        <f t="shared" si="31"/>
        <v>6953.9999999997235</v>
      </c>
      <c r="Q28" s="7">
        <v>5503.81</v>
      </c>
      <c r="R28" s="43">
        <f t="shared" si="32"/>
        <v>1.1400000000003274</v>
      </c>
      <c r="S28" s="28">
        <f t="shared" si="33"/>
        <v>2166.0000000006221</v>
      </c>
      <c r="T28" s="8">
        <f t="shared" si="35"/>
        <v>44.31800000000203</v>
      </c>
      <c r="U28" s="30">
        <f t="shared" si="34"/>
        <v>84204.200000003853</v>
      </c>
      <c r="W28" s="154">
        <v>44799</v>
      </c>
      <c r="X28" s="155">
        <v>202342</v>
      </c>
      <c r="Y28" s="160">
        <f t="shared" si="21"/>
        <v>455</v>
      </c>
      <c r="Z28" s="155">
        <v>9849</v>
      </c>
      <c r="AA28" s="160">
        <f t="shared" si="21"/>
        <v>7</v>
      </c>
      <c r="AB28" s="155">
        <v>33</v>
      </c>
      <c r="AC28" s="160">
        <f t="shared" si="21"/>
        <v>0.5</v>
      </c>
      <c r="AD28" s="155">
        <v>650</v>
      </c>
      <c r="AE28" s="160">
        <f t="shared" si="21"/>
        <v>0</v>
      </c>
      <c r="AF28" s="155">
        <v>8761</v>
      </c>
      <c r="AG28" s="160">
        <f t="shared" si="21"/>
        <v>15</v>
      </c>
    </row>
    <row r="29" spans="1:33" ht="16.5" thickBot="1" x14ac:dyDescent="0.25">
      <c r="A29" s="9">
        <v>44800</v>
      </c>
      <c r="B29" s="157">
        <v>24679.966</v>
      </c>
      <c r="C29" s="43">
        <f t="shared" si="22"/>
        <v>11.096000000001368</v>
      </c>
      <c r="D29" s="28">
        <f t="shared" si="23"/>
        <v>21082.400000002595</v>
      </c>
      <c r="E29" s="1">
        <v>4481.0320000000002</v>
      </c>
      <c r="F29" s="43">
        <f t="shared" si="24"/>
        <v>1.8519999999998618</v>
      </c>
      <c r="G29" s="28">
        <f t="shared" si="25"/>
        <v>3518.7999999997373</v>
      </c>
      <c r="H29" s="1">
        <v>5953</v>
      </c>
      <c r="I29" s="43">
        <f t="shared" si="26"/>
        <v>6</v>
      </c>
      <c r="J29" s="28">
        <f t="shared" si="27"/>
        <v>11399.999999999998</v>
      </c>
      <c r="K29" s="7">
        <v>14188.03</v>
      </c>
      <c r="L29" s="43">
        <f t="shared" si="28"/>
        <v>1.430000000000291</v>
      </c>
      <c r="M29" s="28">
        <f t="shared" si="29"/>
        <v>2717.000000000553</v>
      </c>
      <c r="N29" s="7">
        <v>3713.14</v>
      </c>
      <c r="O29" s="43">
        <f t="shared" si="30"/>
        <v>1.4400000000000546</v>
      </c>
      <c r="P29" s="28">
        <f t="shared" si="31"/>
        <v>2736.0000000001037</v>
      </c>
      <c r="Q29" s="7">
        <v>5504.84</v>
      </c>
      <c r="R29" s="43">
        <f t="shared" si="32"/>
        <v>1.0299999999997453</v>
      </c>
      <c r="S29" s="28">
        <f t="shared" si="33"/>
        <v>1956.9999999995159</v>
      </c>
      <c r="T29" s="8">
        <f t="shared" si="35"/>
        <v>22.848000000001321</v>
      </c>
      <c r="U29" s="30">
        <f t="shared" si="34"/>
        <v>43411.200000002507</v>
      </c>
      <c r="W29" s="154">
        <v>44800</v>
      </c>
      <c r="X29" s="155">
        <v>202534</v>
      </c>
      <c r="Y29" s="160">
        <f t="shared" si="21"/>
        <v>192</v>
      </c>
      <c r="Z29" s="155">
        <v>9853</v>
      </c>
      <c r="AA29" s="160">
        <f t="shared" si="21"/>
        <v>4</v>
      </c>
      <c r="AB29" s="155">
        <v>33</v>
      </c>
      <c r="AC29" s="160">
        <f t="shared" si="21"/>
        <v>0</v>
      </c>
      <c r="AD29" s="155">
        <v>650</v>
      </c>
      <c r="AE29" s="160">
        <f t="shared" si="21"/>
        <v>0</v>
      </c>
      <c r="AF29" s="155">
        <v>8770</v>
      </c>
      <c r="AG29" s="160">
        <f t="shared" si="21"/>
        <v>9</v>
      </c>
    </row>
    <row r="30" spans="1:33" ht="16.5" thickBot="1" x14ac:dyDescent="0.25">
      <c r="A30" s="9">
        <v>44801</v>
      </c>
      <c r="B30" s="157">
        <v>24696.552</v>
      </c>
      <c r="C30" s="43">
        <f t="shared" si="22"/>
        <v>16.585999999999331</v>
      </c>
      <c r="D30" s="28">
        <f t="shared" si="23"/>
        <v>31513.399999998725</v>
      </c>
      <c r="E30" s="1">
        <v>4485.16</v>
      </c>
      <c r="F30" s="43">
        <f t="shared" si="24"/>
        <v>4.1279999999997017</v>
      </c>
      <c r="G30" s="28">
        <f t="shared" si="25"/>
        <v>7843.1999999994332</v>
      </c>
      <c r="H30" s="1">
        <v>5964</v>
      </c>
      <c r="I30" s="43">
        <f t="shared" si="26"/>
        <v>11</v>
      </c>
      <c r="J30" s="28">
        <f t="shared" si="27"/>
        <v>20900</v>
      </c>
      <c r="K30" s="7">
        <v>14191.41</v>
      </c>
      <c r="L30" s="43">
        <f t="shared" si="28"/>
        <v>3.3799999999991996</v>
      </c>
      <c r="M30" s="28">
        <f t="shared" si="29"/>
        <v>6421.9999999984793</v>
      </c>
      <c r="N30" s="7">
        <v>3715.82</v>
      </c>
      <c r="O30" s="43">
        <f t="shared" si="30"/>
        <v>2.680000000000291</v>
      </c>
      <c r="P30" s="28">
        <f t="shared" si="31"/>
        <v>5092.000000000553</v>
      </c>
      <c r="Q30" s="7">
        <v>5506.5050000000001</v>
      </c>
      <c r="R30" s="43">
        <f t="shared" si="32"/>
        <v>1.6649999999999636</v>
      </c>
      <c r="S30" s="28">
        <f t="shared" si="33"/>
        <v>3163.4999999999309</v>
      </c>
      <c r="T30" s="8">
        <f t="shared" si="35"/>
        <v>39.438999999998487</v>
      </c>
      <c r="U30" s="30">
        <f t="shared" si="34"/>
        <v>74934.09999999711</v>
      </c>
      <c r="W30" s="154">
        <v>44801</v>
      </c>
      <c r="X30" s="155">
        <v>202773</v>
      </c>
      <c r="Y30" s="160">
        <f t="shared" si="21"/>
        <v>239</v>
      </c>
      <c r="Z30" s="155">
        <v>9860</v>
      </c>
      <c r="AA30" s="160">
        <f t="shared" si="21"/>
        <v>7</v>
      </c>
      <c r="AB30" s="155">
        <v>33</v>
      </c>
      <c r="AC30" s="160">
        <f t="shared" si="21"/>
        <v>0</v>
      </c>
      <c r="AD30" s="155">
        <v>650</v>
      </c>
      <c r="AE30" s="160">
        <f t="shared" si="21"/>
        <v>0</v>
      </c>
      <c r="AF30" s="155">
        <v>8787</v>
      </c>
      <c r="AG30" s="160">
        <f t="shared" si="21"/>
        <v>17</v>
      </c>
    </row>
    <row r="31" spans="1:33" ht="16.5" thickBot="1" x14ac:dyDescent="0.25">
      <c r="A31" s="9">
        <v>44802</v>
      </c>
      <c r="B31" s="157">
        <v>24708.080000000002</v>
      </c>
      <c r="C31" s="43">
        <f t="shared" si="22"/>
        <v>11.528000000002066</v>
      </c>
      <c r="D31" s="28">
        <f t="shared" si="23"/>
        <v>21903.200000003922</v>
      </c>
      <c r="E31" s="1">
        <v>4487.6660000000002</v>
      </c>
      <c r="F31" s="43">
        <f t="shared" si="24"/>
        <v>2.5060000000003129</v>
      </c>
      <c r="G31" s="28">
        <f t="shared" si="25"/>
        <v>4761.4000000005944</v>
      </c>
      <c r="H31" s="1">
        <v>5972</v>
      </c>
      <c r="I31" s="43">
        <f t="shared" si="26"/>
        <v>8</v>
      </c>
      <c r="J31" s="28">
        <f t="shared" si="27"/>
        <v>15200</v>
      </c>
      <c r="K31" s="7">
        <v>14193.05</v>
      </c>
      <c r="L31" s="43">
        <f t="shared" si="28"/>
        <v>1.6399999999994179</v>
      </c>
      <c r="M31" s="28">
        <f t="shared" si="29"/>
        <v>3115.9999999988941</v>
      </c>
      <c r="N31" s="7">
        <v>3717</v>
      </c>
      <c r="O31" s="43">
        <f t="shared" si="30"/>
        <v>1.1799999999998363</v>
      </c>
      <c r="P31" s="28">
        <f t="shared" si="31"/>
        <v>2241.9999999996885</v>
      </c>
      <c r="Q31" s="7">
        <v>5506.86</v>
      </c>
      <c r="R31" s="43">
        <f t="shared" si="32"/>
        <v>0.35499999999956344</v>
      </c>
      <c r="S31" s="28">
        <f t="shared" si="33"/>
        <v>674.49999999917054</v>
      </c>
      <c r="T31" s="8">
        <f t="shared" si="35"/>
        <v>25.209000000001197</v>
      </c>
      <c r="U31" s="30">
        <f t="shared" si="34"/>
        <v>47897.100000002269</v>
      </c>
      <c r="W31" s="154">
        <v>44802</v>
      </c>
      <c r="X31" s="155">
        <v>203303</v>
      </c>
      <c r="Y31" s="160">
        <f t="shared" si="21"/>
        <v>530</v>
      </c>
      <c r="Z31" s="155">
        <v>9866</v>
      </c>
      <c r="AA31" s="160">
        <f t="shared" si="21"/>
        <v>6</v>
      </c>
      <c r="AB31" s="155">
        <v>33</v>
      </c>
      <c r="AC31" s="160">
        <f t="shared" si="21"/>
        <v>0</v>
      </c>
      <c r="AD31" s="155">
        <v>650</v>
      </c>
      <c r="AE31" s="160">
        <f t="shared" si="21"/>
        <v>0</v>
      </c>
      <c r="AF31" s="155">
        <v>8801</v>
      </c>
      <c r="AG31" s="160">
        <f t="shared" si="21"/>
        <v>14</v>
      </c>
    </row>
    <row r="32" spans="1:33" ht="16.5" thickBot="1" x14ac:dyDescent="0.25">
      <c r="A32" s="9">
        <v>44803</v>
      </c>
      <c r="B32" s="157"/>
      <c r="C32" s="43" t="str">
        <f t="shared" si="22"/>
        <v>0</v>
      </c>
      <c r="D32" s="28">
        <f t="shared" si="23"/>
        <v>0</v>
      </c>
      <c r="E32" s="1"/>
      <c r="F32" s="43" t="str">
        <f t="shared" si="24"/>
        <v>0</v>
      </c>
      <c r="G32" s="28">
        <f t="shared" si="25"/>
        <v>0</v>
      </c>
      <c r="H32" s="1"/>
      <c r="I32" s="43" t="str">
        <f t="shared" si="26"/>
        <v>0</v>
      </c>
      <c r="J32" s="28">
        <f t="shared" si="27"/>
        <v>0</v>
      </c>
      <c r="K32" s="7"/>
      <c r="L32" s="43" t="str">
        <f t="shared" si="28"/>
        <v>0</v>
      </c>
      <c r="M32" s="28">
        <f t="shared" si="29"/>
        <v>0</v>
      </c>
      <c r="N32" s="7"/>
      <c r="O32" s="43" t="str">
        <f t="shared" si="30"/>
        <v>0</v>
      </c>
      <c r="P32" s="28">
        <f t="shared" si="31"/>
        <v>0</v>
      </c>
      <c r="Q32" s="7"/>
      <c r="R32" s="43" t="str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4">
        <v>44803</v>
      </c>
      <c r="X32" s="155"/>
      <c r="Y32" s="160" t="str">
        <f t="shared" ref="Y32:Y33" si="49">IF((X32-X31)&lt;0,"0",(X32-X31))</f>
        <v>0</v>
      </c>
      <c r="Z32" s="155"/>
      <c r="AA32" s="160" t="str">
        <f t="shared" ref="AA32:AA33" si="50">IF((Z32-Z31)&lt;0,"0",(Z32-Z31))</f>
        <v>0</v>
      </c>
      <c r="AB32" s="155"/>
      <c r="AC32" s="160" t="str">
        <f t="shared" ref="AC32:AC33" si="51">IF((AB32-AB31)&lt;0,"0",(AB32-AB31))</f>
        <v>0</v>
      </c>
      <c r="AD32" s="155"/>
      <c r="AE32" s="160" t="str">
        <f t="shared" ref="AE32:AE33" si="52">IF((AD32-AD31)&lt;0,"0",(AD32-AD31))</f>
        <v>0</v>
      </c>
      <c r="AF32" s="155"/>
      <c r="AG32" s="160" t="str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7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4">
        <v>44804</v>
      </c>
      <c r="X33" s="155"/>
      <c r="Y33" s="160">
        <f t="shared" si="49"/>
        <v>0</v>
      </c>
      <c r="Z33" s="155"/>
      <c r="AA33" s="160">
        <f t="shared" si="50"/>
        <v>0</v>
      </c>
      <c r="AB33" s="155"/>
      <c r="AC33" s="160">
        <f t="shared" si="51"/>
        <v>0</v>
      </c>
      <c r="AD33" s="155"/>
      <c r="AE33" s="160">
        <f t="shared" si="52"/>
        <v>0</v>
      </c>
      <c r="AF33" s="155"/>
      <c r="AG33" s="160">
        <f t="shared" si="53"/>
        <v>0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411.06500000000233</v>
      </c>
      <c r="D34" s="136">
        <f>SUM(D4:D33)</f>
        <v>751075.70000000659</v>
      </c>
      <c r="E34" s="136"/>
      <c r="F34" s="136">
        <f>SUM(F3:F33)</f>
        <v>86.119999999999891</v>
      </c>
      <c r="G34" s="136">
        <f>SUM(G4:G33)</f>
        <v>156510.59999999963</v>
      </c>
      <c r="H34" s="136"/>
      <c r="I34" s="136">
        <f>SUM(I3:I33)</f>
        <v>238</v>
      </c>
      <c r="J34" s="136">
        <f>SUM(J4:J33)</f>
        <v>437000</v>
      </c>
      <c r="K34" s="136"/>
      <c r="L34" s="136">
        <f>SUM(L3:L33)</f>
        <v>74.329999999999927</v>
      </c>
      <c r="M34" s="136">
        <f>SUM(M4:M33)</f>
        <v>135944.9999999986</v>
      </c>
      <c r="N34" s="136"/>
      <c r="O34" s="136">
        <f>SUM(O3:O33)</f>
        <v>60.210000000000036</v>
      </c>
      <c r="P34" s="136">
        <f>SUM(P4:P33)</f>
        <v>110705.40000000014</v>
      </c>
      <c r="Q34" s="136"/>
      <c r="R34" s="136">
        <v>2.21</v>
      </c>
      <c r="S34" s="136">
        <f>SUM(S4:S33)</f>
        <v>68000.999999999927</v>
      </c>
      <c r="T34" s="136">
        <v>22.454999999999998</v>
      </c>
      <c r="U34" s="136">
        <f>SUM(U4:U33)</f>
        <v>1659237.7000000046</v>
      </c>
      <c r="V34"/>
      <c r="W34" s="136" t="s">
        <v>141</v>
      </c>
      <c r="X34" s="136"/>
      <c r="Y34" s="136">
        <f>SUM(Y3:Y33)</f>
        <v>9703</v>
      </c>
      <c r="Z34" s="136"/>
      <c r="AA34" s="136">
        <f>SUM(AA3:AA33)</f>
        <v>210</v>
      </c>
      <c r="AB34" s="136"/>
      <c r="AC34" s="136">
        <f>SUM(AC3:AC33)</f>
        <v>2</v>
      </c>
      <c r="AD34" s="136"/>
      <c r="AE34" s="136">
        <f>SUM(AE3:AE33)</f>
        <v>0</v>
      </c>
      <c r="AF34" s="136">
        <v>0</v>
      </c>
      <c r="AG34" s="136">
        <f>SUM(AG3:AG33)</f>
        <v>376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4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4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4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2387199</v>
      </c>
      <c r="D7" s="104">
        <f t="shared" si="0"/>
        <v>3031742.73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4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32416</v>
      </c>
      <c r="D8" s="104">
        <f t="shared" si="0"/>
        <v>41168.32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7040</v>
      </c>
      <c r="D9" s="104">
        <f t="shared" si="0"/>
        <v>8940.7999999999993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14080</v>
      </c>
      <c r="D10" s="104">
        <f t="shared" si="0"/>
        <v>17881.599999999999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4864</v>
      </c>
      <c r="D11" s="104">
        <f t="shared" si="0"/>
        <v>6177.28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4044</v>
      </c>
      <c r="K16" s="93">
        <f>(J16-I16)*160</f>
        <v>2400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330262</v>
      </c>
      <c r="K17" s="93">
        <f>(J17-I17)</f>
        <v>4547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26442</v>
      </c>
      <c r="K18" s="93">
        <f>(J18-I18)*160</f>
        <v>14080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167475</v>
      </c>
      <c r="K19" s="93">
        <f>J19-I19</f>
        <v>4864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47500</v>
      </c>
      <c r="K21" s="93">
        <f>(J21-I21)*120</f>
        <v>15600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40918</v>
      </c>
      <c r="K22" s="93">
        <f>(J22-I22)*160</f>
        <v>13760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22011</v>
      </c>
      <c r="K23" s="93">
        <f>(J23-I23)*20</f>
        <v>2180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257912</v>
      </c>
      <c r="K24" s="93">
        <f>J24-I24</f>
        <v>876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226323</v>
      </c>
      <c r="K25" s="93">
        <f>J25-I25</f>
        <v>93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2022-08-30T00:33:12Z</dcterms:modified>
</cp:coreProperties>
</file>