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55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2" i="36"/>
  <c r="R37" i="55"/>
  <c r="K37" i="55"/>
  <c r="S35" i="55"/>
  <c r="T35" i="55" s="1"/>
  <c r="Q35" i="55"/>
  <c r="O35" i="55"/>
  <c r="P35" i="55" s="1"/>
  <c r="N35" i="55"/>
  <c r="M35" i="55"/>
  <c r="L35" i="55"/>
  <c r="J35" i="55"/>
  <c r="G35" i="55"/>
  <c r="H35" i="55" s="1"/>
  <c r="I35" i="55" s="1"/>
  <c r="F35" i="55"/>
  <c r="E35" i="55"/>
  <c r="Q34" i="55"/>
  <c r="S34" i="55" s="1"/>
  <c r="T34" i="55" s="1"/>
  <c r="O34" i="55"/>
  <c r="P34" i="55" s="1"/>
  <c r="N34" i="55"/>
  <c r="M34" i="55"/>
  <c r="L34" i="55"/>
  <c r="J34" i="55"/>
  <c r="G34" i="55"/>
  <c r="F34" i="55"/>
  <c r="E34" i="55"/>
  <c r="H34" i="55" s="1"/>
  <c r="I34" i="55" s="1"/>
  <c r="U34" i="55" s="1"/>
  <c r="Q33" i="55"/>
  <c r="S33" i="55" s="1"/>
  <c r="T33" i="55" s="1"/>
  <c r="M33" i="55"/>
  <c r="N33" i="55" s="1"/>
  <c r="L33" i="55"/>
  <c r="O33" i="55" s="1"/>
  <c r="P33" i="55" s="1"/>
  <c r="J33" i="55"/>
  <c r="G33" i="55"/>
  <c r="H33" i="55" s="1"/>
  <c r="I33" i="55" s="1"/>
  <c r="F33" i="55"/>
  <c r="E33" i="55"/>
  <c r="Q32" i="55"/>
  <c r="S32" i="55" s="1"/>
  <c r="T32" i="55" s="1"/>
  <c r="M32" i="55"/>
  <c r="N32" i="55" s="1"/>
  <c r="L32" i="55"/>
  <c r="O32" i="55" s="1"/>
  <c r="P32" i="55" s="1"/>
  <c r="J32" i="55"/>
  <c r="G32" i="55"/>
  <c r="H32" i="55" s="1"/>
  <c r="I32" i="55" s="1"/>
  <c r="F32" i="55"/>
  <c r="E32" i="55"/>
  <c r="T31" i="55"/>
  <c r="S31" i="55"/>
  <c r="Q31" i="55"/>
  <c r="N31" i="55"/>
  <c r="M31" i="55"/>
  <c r="L31" i="55"/>
  <c r="O31" i="55" s="1"/>
  <c r="P31" i="55" s="1"/>
  <c r="J31" i="55"/>
  <c r="G31" i="55"/>
  <c r="H31" i="55" s="1"/>
  <c r="I31" i="55" s="1"/>
  <c r="U31" i="55" s="1"/>
  <c r="F31" i="55"/>
  <c r="E31" i="55"/>
  <c r="S30" i="55"/>
  <c r="T30" i="55" s="1"/>
  <c r="Q30" i="55"/>
  <c r="M30" i="55"/>
  <c r="N30" i="55" s="1"/>
  <c r="L30" i="55"/>
  <c r="O30" i="55" s="1"/>
  <c r="P30" i="55" s="1"/>
  <c r="J30" i="55"/>
  <c r="I30" i="55"/>
  <c r="H30" i="55"/>
  <c r="G30" i="55"/>
  <c r="F30" i="55"/>
  <c r="E30" i="55"/>
  <c r="Q29" i="55"/>
  <c r="S29" i="55" s="1"/>
  <c r="T29" i="55" s="1"/>
  <c r="M29" i="55"/>
  <c r="N29" i="55" s="1"/>
  <c r="L29" i="55"/>
  <c r="O29" i="55" s="1"/>
  <c r="P29" i="55" s="1"/>
  <c r="J29" i="55"/>
  <c r="H29" i="55"/>
  <c r="I29" i="55" s="1"/>
  <c r="G29" i="55"/>
  <c r="F29" i="55"/>
  <c r="E29" i="55"/>
  <c r="Q28" i="55"/>
  <c r="S28" i="55" s="1"/>
  <c r="T28" i="55" s="1"/>
  <c r="P28" i="55"/>
  <c r="O28" i="55"/>
  <c r="M28" i="55"/>
  <c r="N28" i="55" s="1"/>
  <c r="L28" i="55"/>
  <c r="J28" i="55"/>
  <c r="G28" i="55"/>
  <c r="H28" i="55" s="1"/>
  <c r="I28" i="55" s="1"/>
  <c r="F28" i="55"/>
  <c r="E28" i="55"/>
  <c r="S27" i="55"/>
  <c r="T27" i="55" s="1"/>
  <c r="Q27" i="55"/>
  <c r="O27" i="55"/>
  <c r="P27" i="55" s="1"/>
  <c r="N27" i="55"/>
  <c r="M27" i="55"/>
  <c r="L27" i="55"/>
  <c r="J27" i="55"/>
  <c r="G27" i="55"/>
  <c r="H27" i="55" s="1"/>
  <c r="I27" i="55" s="1"/>
  <c r="U27" i="55" s="1"/>
  <c r="F27" i="55"/>
  <c r="E27" i="55"/>
  <c r="Q26" i="55"/>
  <c r="S26" i="55" s="1"/>
  <c r="T26" i="55" s="1"/>
  <c r="O26" i="55"/>
  <c r="P26" i="55" s="1"/>
  <c r="N26" i="55"/>
  <c r="M26" i="55"/>
  <c r="L26" i="55"/>
  <c r="J26" i="55"/>
  <c r="G26" i="55"/>
  <c r="F26" i="55"/>
  <c r="E26" i="55"/>
  <c r="H26" i="55" s="1"/>
  <c r="I26" i="55" s="1"/>
  <c r="U26" i="55" s="1"/>
  <c r="Q25" i="55"/>
  <c r="S25" i="55" s="1"/>
  <c r="T25" i="55" s="1"/>
  <c r="M25" i="55"/>
  <c r="N25" i="55" s="1"/>
  <c r="L25" i="55"/>
  <c r="O25" i="55" s="1"/>
  <c r="P25" i="55" s="1"/>
  <c r="J25" i="55"/>
  <c r="G25" i="55"/>
  <c r="H25" i="55" s="1"/>
  <c r="I25" i="55" s="1"/>
  <c r="U25" i="55" s="1"/>
  <c r="F25" i="55"/>
  <c r="E25" i="55"/>
  <c r="Q24" i="55"/>
  <c r="S24" i="55" s="1"/>
  <c r="T24" i="55" s="1"/>
  <c r="M24" i="55"/>
  <c r="N24" i="55" s="1"/>
  <c r="L24" i="55"/>
  <c r="O24" i="55" s="1"/>
  <c r="P24" i="55" s="1"/>
  <c r="J24" i="55"/>
  <c r="G24" i="55"/>
  <c r="H24" i="55" s="1"/>
  <c r="I24" i="55" s="1"/>
  <c r="U24" i="55" s="1"/>
  <c r="F24" i="55"/>
  <c r="E24" i="55"/>
  <c r="T23" i="55"/>
  <c r="S23" i="55"/>
  <c r="Q23" i="55"/>
  <c r="N23" i="55"/>
  <c r="M23" i="55"/>
  <c r="L23" i="55"/>
  <c r="O23" i="55" s="1"/>
  <c r="P23" i="55" s="1"/>
  <c r="J23" i="55"/>
  <c r="G23" i="55"/>
  <c r="H23" i="55" s="1"/>
  <c r="I23" i="55" s="1"/>
  <c r="F23" i="55"/>
  <c r="E23" i="55"/>
  <c r="S22" i="55"/>
  <c r="T22" i="55" s="1"/>
  <c r="Q22" i="55"/>
  <c r="O22" i="55"/>
  <c r="P22" i="55" s="1"/>
  <c r="M22" i="55"/>
  <c r="N22" i="55" s="1"/>
  <c r="L22" i="55"/>
  <c r="J22" i="55"/>
  <c r="I22" i="55"/>
  <c r="H22" i="55"/>
  <c r="G22" i="55"/>
  <c r="F22" i="55"/>
  <c r="E22" i="55"/>
  <c r="Q21" i="55"/>
  <c r="S21" i="55" s="1"/>
  <c r="T21" i="55" s="1"/>
  <c r="M21" i="55"/>
  <c r="N21" i="55" s="1"/>
  <c r="L21" i="55"/>
  <c r="O21" i="55" s="1"/>
  <c r="P21" i="55" s="1"/>
  <c r="J21" i="55"/>
  <c r="H21" i="55"/>
  <c r="I21" i="55" s="1"/>
  <c r="G21" i="55"/>
  <c r="F21" i="55"/>
  <c r="E21" i="55"/>
  <c r="Q20" i="55"/>
  <c r="S20" i="55" s="1"/>
  <c r="T20" i="55" s="1"/>
  <c r="P20" i="55"/>
  <c r="O20" i="55"/>
  <c r="M20" i="55"/>
  <c r="N20" i="55" s="1"/>
  <c r="L20" i="55"/>
  <c r="J20" i="55"/>
  <c r="G20" i="55"/>
  <c r="H20" i="55" s="1"/>
  <c r="I20" i="55" s="1"/>
  <c r="F20" i="55"/>
  <c r="E20" i="55"/>
  <c r="S19" i="55"/>
  <c r="T19" i="55" s="1"/>
  <c r="Q19" i="55"/>
  <c r="O19" i="55"/>
  <c r="P19" i="55" s="1"/>
  <c r="N19" i="55"/>
  <c r="M19" i="55"/>
  <c r="L19" i="55"/>
  <c r="J19" i="55"/>
  <c r="G19" i="55"/>
  <c r="H19" i="55" s="1"/>
  <c r="I19" i="55" s="1"/>
  <c r="F19" i="55"/>
  <c r="E19" i="55"/>
  <c r="Q18" i="55"/>
  <c r="S18" i="55" s="1"/>
  <c r="T18" i="55" s="1"/>
  <c r="O18" i="55"/>
  <c r="P18" i="55" s="1"/>
  <c r="N18" i="55"/>
  <c r="M18" i="55"/>
  <c r="L18" i="55"/>
  <c r="J18" i="55"/>
  <c r="G18" i="55"/>
  <c r="F18" i="55"/>
  <c r="E18" i="55"/>
  <c r="H18" i="55" s="1"/>
  <c r="I18" i="55" s="1"/>
  <c r="Q17" i="55"/>
  <c r="S17" i="55" s="1"/>
  <c r="T17" i="55" s="1"/>
  <c r="M17" i="55"/>
  <c r="N17" i="55" s="1"/>
  <c r="L17" i="55"/>
  <c r="O17" i="55" s="1"/>
  <c r="P17" i="55" s="1"/>
  <c r="J17" i="55"/>
  <c r="G17" i="55"/>
  <c r="H17" i="55" s="1"/>
  <c r="I17" i="55" s="1"/>
  <c r="U17" i="55" s="1"/>
  <c r="F17" i="55"/>
  <c r="E17" i="55"/>
  <c r="Q16" i="55"/>
  <c r="S16" i="55" s="1"/>
  <c r="T16" i="55" s="1"/>
  <c r="M16" i="55"/>
  <c r="N16" i="55" s="1"/>
  <c r="L16" i="55"/>
  <c r="O16" i="55" s="1"/>
  <c r="P16" i="55" s="1"/>
  <c r="J16" i="55"/>
  <c r="G16" i="55"/>
  <c r="H16" i="55" s="1"/>
  <c r="I16" i="55" s="1"/>
  <c r="F16" i="55"/>
  <c r="E16" i="55"/>
  <c r="T15" i="55"/>
  <c r="S15" i="55"/>
  <c r="Q15" i="55"/>
  <c r="N15" i="55"/>
  <c r="M15" i="55"/>
  <c r="L15" i="55"/>
  <c r="O15" i="55" s="1"/>
  <c r="P15" i="55" s="1"/>
  <c r="J15" i="55"/>
  <c r="G15" i="55"/>
  <c r="H15" i="55" s="1"/>
  <c r="I15" i="55" s="1"/>
  <c r="U15" i="55" s="1"/>
  <c r="F15" i="55"/>
  <c r="E15" i="55"/>
  <c r="S14" i="55"/>
  <c r="T14" i="55" s="1"/>
  <c r="Q14" i="55"/>
  <c r="O14" i="55"/>
  <c r="P14" i="55" s="1"/>
  <c r="M14" i="55"/>
  <c r="N14" i="55" s="1"/>
  <c r="L14" i="55"/>
  <c r="J14" i="55"/>
  <c r="I14" i="55"/>
  <c r="H14" i="55"/>
  <c r="G14" i="55"/>
  <c r="F14" i="55"/>
  <c r="E14" i="55"/>
  <c r="Q13" i="55"/>
  <c r="S13" i="55" s="1"/>
  <c r="T13" i="55" s="1"/>
  <c r="M13" i="55"/>
  <c r="N13" i="55" s="1"/>
  <c r="L13" i="55"/>
  <c r="O13" i="55" s="1"/>
  <c r="P13" i="55" s="1"/>
  <c r="J13" i="55"/>
  <c r="H13" i="55"/>
  <c r="I13" i="55" s="1"/>
  <c r="G13" i="55"/>
  <c r="F13" i="55"/>
  <c r="E13" i="55"/>
  <c r="Q12" i="55"/>
  <c r="S12" i="55" s="1"/>
  <c r="T12" i="55" s="1"/>
  <c r="P12" i="55"/>
  <c r="O12" i="55"/>
  <c r="M12" i="55"/>
  <c r="N12" i="55" s="1"/>
  <c r="L12" i="55"/>
  <c r="J12" i="55"/>
  <c r="G12" i="55"/>
  <c r="H12" i="55" s="1"/>
  <c r="I12" i="55" s="1"/>
  <c r="F12" i="55"/>
  <c r="E12" i="55"/>
  <c r="S11" i="55"/>
  <c r="T11" i="55" s="1"/>
  <c r="Q11" i="55"/>
  <c r="O11" i="55"/>
  <c r="P11" i="55" s="1"/>
  <c r="N11" i="55"/>
  <c r="M11" i="55"/>
  <c r="L11" i="55"/>
  <c r="J11" i="55"/>
  <c r="G11" i="55"/>
  <c r="H11" i="55" s="1"/>
  <c r="I11" i="55" s="1"/>
  <c r="F11" i="55"/>
  <c r="E11" i="55"/>
  <c r="Q10" i="55"/>
  <c r="S10" i="55" s="1"/>
  <c r="T10" i="55" s="1"/>
  <c r="O10" i="55"/>
  <c r="P10" i="55" s="1"/>
  <c r="N10" i="55"/>
  <c r="M10" i="55"/>
  <c r="L10" i="55"/>
  <c r="J10" i="55"/>
  <c r="G10" i="55"/>
  <c r="F10" i="55"/>
  <c r="E10" i="55"/>
  <c r="H10" i="55" s="1"/>
  <c r="I10" i="55" s="1"/>
  <c r="U10" i="55" s="1"/>
  <c r="Q9" i="55"/>
  <c r="S9" i="55" s="1"/>
  <c r="T9" i="55" s="1"/>
  <c r="M9" i="55"/>
  <c r="N9" i="55" s="1"/>
  <c r="L9" i="55"/>
  <c r="O9" i="55" s="1"/>
  <c r="P9" i="55" s="1"/>
  <c r="J9" i="55"/>
  <c r="G9" i="55"/>
  <c r="H9" i="55" s="1"/>
  <c r="I9" i="55" s="1"/>
  <c r="U9" i="55" s="1"/>
  <c r="F9" i="55"/>
  <c r="E9" i="55"/>
  <c r="Q8" i="55"/>
  <c r="S8" i="55" s="1"/>
  <c r="T8" i="55" s="1"/>
  <c r="M8" i="55"/>
  <c r="N8" i="55" s="1"/>
  <c r="L8" i="55"/>
  <c r="O8" i="55" s="1"/>
  <c r="P8" i="55" s="1"/>
  <c r="J8" i="55"/>
  <c r="G8" i="55"/>
  <c r="H8" i="55" s="1"/>
  <c r="I8" i="55" s="1"/>
  <c r="F8" i="55"/>
  <c r="E8" i="55"/>
  <c r="T7" i="55"/>
  <c r="S7" i="55"/>
  <c r="Q7" i="55"/>
  <c r="N7" i="55"/>
  <c r="M7" i="55"/>
  <c r="L7" i="55"/>
  <c r="O7" i="55" s="1"/>
  <c r="P7" i="55" s="1"/>
  <c r="J7" i="55"/>
  <c r="G7" i="55"/>
  <c r="H7" i="55" s="1"/>
  <c r="I7" i="55" s="1"/>
  <c r="U7" i="55" s="1"/>
  <c r="F7" i="55"/>
  <c r="E7" i="55"/>
  <c r="S6" i="55"/>
  <c r="T6" i="55" s="1"/>
  <c r="Q6" i="55"/>
  <c r="O6" i="55"/>
  <c r="P6" i="55" s="1"/>
  <c r="M6" i="55"/>
  <c r="N6" i="55" s="1"/>
  <c r="L6" i="55"/>
  <c r="J6" i="55"/>
  <c r="I6" i="55"/>
  <c r="U6" i="55" s="1"/>
  <c r="H6" i="55"/>
  <c r="G6" i="55"/>
  <c r="F6" i="55"/>
  <c r="E6" i="55"/>
  <c r="Q5" i="55"/>
  <c r="Q37" i="55" s="1"/>
  <c r="M5" i="55"/>
  <c r="M37" i="55" s="1"/>
  <c r="L5" i="55"/>
  <c r="O5" i="55" s="1"/>
  <c r="J5" i="55"/>
  <c r="J37" i="55" s="1"/>
  <c r="H5" i="55"/>
  <c r="G5" i="55"/>
  <c r="G37" i="55" s="1"/>
  <c r="F5" i="55"/>
  <c r="F37" i="55" s="1"/>
  <c r="E5" i="55"/>
  <c r="E37" i="55" s="1"/>
  <c r="U11" i="55" l="1"/>
  <c r="U16" i="55"/>
  <c r="U28" i="55"/>
  <c r="U8" i="55"/>
  <c r="U20" i="55"/>
  <c r="U12" i="55"/>
  <c r="U29" i="55"/>
  <c r="U21" i="55"/>
  <c r="U30" i="55"/>
  <c r="U19" i="55"/>
  <c r="U13" i="55"/>
  <c r="U18" i="55"/>
  <c r="U22" i="55"/>
  <c r="U33" i="55"/>
  <c r="U35" i="55"/>
  <c r="O37" i="55"/>
  <c r="P5" i="55"/>
  <c r="P37" i="55" s="1"/>
  <c r="H37" i="55"/>
  <c r="U14" i="55"/>
  <c r="U23" i="55"/>
  <c r="U32" i="55"/>
  <c r="I5" i="55"/>
  <c r="S5" i="55"/>
  <c r="L37" i="55"/>
  <c r="N5" i="55"/>
  <c r="N37" i="55" s="1"/>
  <c r="S37" i="55" l="1"/>
  <c r="T5" i="55"/>
  <c r="T37" i="55" s="1"/>
  <c r="U5" i="55"/>
  <c r="U37" i="55" s="1"/>
  <c r="I37" i="55"/>
  <c r="B32" i="36"/>
  <c r="J3" i="36" l="1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F3" i="36"/>
  <c r="F4" i="36" s="1"/>
  <c r="F5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N2" i="36"/>
  <c r="O2" i="36" l="1"/>
  <c r="O3" i="36"/>
  <c r="F6" i="36"/>
  <c r="O5" i="36"/>
  <c r="O4" i="36"/>
  <c r="F7" i="36" l="1"/>
  <c r="O6" i="36"/>
  <c r="O7" i="36" l="1"/>
  <c r="F8" i="36"/>
  <c r="O8" i="36" l="1"/>
  <c r="F9" i="36"/>
  <c r="O9" i="36" l="1"/>
  <c r="F10" i="36"/>
  <c r="F11" i="36" l="1"/>
  <c r="O10" i="36"/>
  <c r="F12" i="36" l="1"/>
  <c r="O11" i="36"/>
  <c r="F13" i="36" l="1"/>
  <c r="O12" i="36"/>
  <c r="F14" i="36" l="1"/>
  <c r="O13" i="36"/>
  <c r="O14" i="36" l="1"/>
  <c r="F15" i="36"/>
  <c r="O15" i="36" l="1"/>
  <c r="F16" i="36"/>
  <c r="O16" i="36" l="1"/>
  <c r="F17" i="36"/>
  <c r="O17" i="36" l="1"/>
  <c r="F18" i="36"/>
  <c r="F19" i="36" l="1"/>
  <c r="O18" i="36"/>
  <c r="F20" i="36" l="1"/>
  <c r="O19" i="36"/>
  <c r="F21" i="36" l="1"/>
  <c r="O20" i="36"/>
  <c r="O21" i="36" l="1"/>
  <c r="F22" i="36"/>
  <c r="O22" i="36" l="1"/>
  <c r="F23" i="36"/>
  <c r="O23" i="36" l="1"/>
  <c r="F24" i="36"/>
  <c r="O24" i="36" l="1"/>
  <c r="F25" i="36"/>
  <c r="O25" i="36" l="1"/>
  <c r="F26" i="36"/>
  <c r="F27" i="36" l="1"/>
  <c r="O26" i="36"/>
  <c r="F28" i="36" l="1"/>
  <c r="O27" i="36"/>
  <c r="F29" i="36" l="1"/>
  <c r="O28" i="36"/>
  <c r="O29" i="36" l="1"/>
  <c r="F30" i="36"/>
  <c r="F31" i="36" s="1"/>
  <c r="F32" i="36" s="1"/>
</calcChain>
</file>

<file path=xl/sharedStrings.xml><?xml version="1.0" encoding="utf-8"?>
<sst xmlns="http://schemas.openxmlformats.org/spreadsheetml/2006/main" count="113" uniqueCount="70">
  <si>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</si>
  <si>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</si>
  <si>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</si>
  <si>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</si>
  <si>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</si>
  <si>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</si>
  <si>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</si>
  <si>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</si>
  <si>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</si>
  <si>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</si>
  <si>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</si>
  <si>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</si>
  <si>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</si>
  <si>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</si>
  <si>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</si>
  <si>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</si>
  <si>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</si>
  <si>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</si>
  <si>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</si>
  <si>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</si>
  <si>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</si>
  <si>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</si>
  <si>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</si>
  <si>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</si>
  <si>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</si>
  <si>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</si>
  <si>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</si>
  <si>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</si>
  <si>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</si>
  <si>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</si>
  <si>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</si>
  <si>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</si>
  <si>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</si>
  <si>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</si>
  <si>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</si>
  <si>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</si>
  <si>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</si>
  <si>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</si>
  <si>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</si>
  <si>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</si>
  <si>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</si>
  <si>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</si>
  <si>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</si>
  <si>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t>26/33</t>
    <phoneticPr fontId="2" type="noConversion"/>
  </si>
  <si>
    <t>27/33</t>
    <phoneticPr fontId="2" type="noConversion"/>
  </si>
  <si>
    <t>25/29</t>
    <phoneticPr fontId="2" type="noConversion"/>
  </si>
  <si>
    <t>27/35</t>
    <phoneticPr fontId="2" type="noConversion"/>
  </si>
  <si>
    <r>
      <t xml:space="preserve">UTILITIES CONSUMPTION REPORT(2022-8)    </t>
    </r>
    <r>
      <rPr>
        <b/>
        <sz val="10"/>
        <rFont val="仿宋"/>
        <family val="3"/>
        <charset val="134"/>
      </rPr>
      <t>电费从2022年8月1号开始改为0.6963/Kwh，天然气从2022年8月1号开始改为4.00/m³</t>
    </r>
  </si>
  <si>
    <r>
      <t>General Gas               总天然气               (RMB4.00</t>
    </r>
    <r>
      <rPr>
        <b/>
        <sz val="9"/>
        <rFont val="仿宋"/>
        <family val="3"/>
        <charset val="134"/>
      </rPr>
      <t>/m³)</t>
    </r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</si>
  <si>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（RMB275.066/Mw/h+每日人工费等1655/日）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</si>
  <si>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General electricity总电量       (RMB0.6963/Kwh)</t>
    <phoneticPr fontId="2" type="noConversion"/>
  </si>
  <si>
    <r>
      <t xml:space="preserve">总用水 </t>
    </r>
    <r>
      <rPr>
        <b/>
        <sz val="9"/>
        <rFont val="仿宋"/>
        <family val="3"/>
        <charset val="134"/>
      </rPr>
      <t>RMB*4.7592</t>
    </r>
    <r>
      <rPr>
        <b/>
        <sz val="9"/>
        <rFont val="仿宋"/>
        <family val="3"/>
        <charset val="134"/>
      </rPr>
      <t xml:space="preserve">     </t>
    </r>
  </si>
  <si>
    <t>25/37</t>
    <phoneticPr fontId="2" type="noConversion"/>
  </si>
  <si>
    <t>25/31</t>
    <phoneticPr fontId="2" type="noConversion"/>
  </si>
  <si>
    <t>25/30</t>
    <phoneticPr fontId="2" type="noConversion"/>
  </si>
  <si>
    <t>26/29</t>
    <phoneticPr fontId="2" type="noConversion"/>
  </si>
  <si>
    <t>25/32</t>
    <phoneticPr fontId="2" type="noConversion"/>
  </si>
  <si>
    <t>26/34</t>
    <phoneticPr fontId="2" type="noConversion"/>
  </si>
  <si>
    <t>25/34</t>
    <phoneticPr fontId="2" type="noConversion"/>
  </si>
  <si>
    <t>24/31</t>
    <phoneticPr fontId="2" type="noConversion"/>
  </si>
  <si>
    <t>24/29</t>
    <phoneticPr fontId="2" type="noConversion"/>
  </si>
  <si>
    <t>23/33</t>
    <phoneticPr fontId="2" type="noConversion"/>
  </si>
  <si>
    <t>26/36</t>
    <phoneticPr fontId="2" type="noConversion"/>
  </si>
  <si>
    <t>25/35</t>
    <phoneticPr fontId="2" type="noConversion"/>
  </si>
  <si>
    <t>25/33</t>
    <phoneticPr fontId="2" type="noConversion"/>
  </si>
  <si>
    <t>25/33</t>
  </si>
  <si>
    <t>27/34</t>
    <phoneticPr fontId="2" type="noConversion"/>
  </si>
  <si>
    <t>26/35</t>
    <phoneticPr fontId="2" type="noConversion"/>
  </si>
  <si>
    <t>26/32</t>
    <phoneticPr fontId="2" type="noConversion"/>
  </si>
  <si>
    <t>28/33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</si>
</sst>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6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  <font>
      <i/>
      <sz val="9"/>
      <color rgb="FFFF0000"/>
      <name val="仿宋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15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12" xfId="0" applyFont="1" applyBorder="1" applyAlignment="1" applyProtection="1">
      <alignment horizontal="center" vertical="center" wrapText="1"/>
      <protection locked="0"/>
    </xf>
    <xf numFmtId="0" fontId="21" fillId="0" borderId="4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0" xfId="0" applyNumberFormat="1" applyFont="1" applyBorder="1" applyAlignment="1" applyProtection="1">
      <alignment horizontal="center" vertical="center"/>
      <protection locked="0"/>
    </xf>
    <xf numFmtId="168" fontId="9" fillId="0" borderId="2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1" xfId="0" applyFont="1" applyBorder="1" applyAlignment="1" applyProtection="1">
      <alignment horizontal="center" vertical="center"/>
      <protection locked="0"/>
    </xf>
    <xf numFmtId="164" fontId="7" fillId="0" borderId="22" xfId="0" applyNumberFormat="1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7" fontId="7" fillId="0" borderId="24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4" fontId="23" fillId="0" borderId="22" xfId="0" applyNumberFormat="1" applyFont="1" applyBorder="1" applyAlignment="1" applyProtection="1">
      <alignment horizontal="center" vertical="center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7" fillId="4" borderId="22" xfId="0" applyNumberFormat="1" applyFont="1" applyFill="1" applyBorder="1" applyAlignment="1" applyProtection="1">
      <alignment horizontal="center" vertical="center"/>
      <protection locked="0"/>
    </xf>
    <xf numFmtId="164" fontId="12" fillId="0" borderId="26" xfId="0" applyNumberFormat="1" applyFont="1" applyBorder="1" applyAlignment="1" applyProtection="1">
      <alignment horizontal="center" vertical="center" wrapText="1"/>
      <protection locked="0"/>
    </xf>
    <xf numFmtId="164" fontId="7" fillId="0" borderId="26" xfId="0" applyNumberFormat="1" applyFont="1" applyBorder="1" applyAlignment="1" applyProtection="1">
      <alignment horizontal="center" vertical="center"/>
      <protection locked="0"/>
    </xf>
    <xf numFmtId="164" fontId="13" fillId="0" borderId="6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5" fontId="6" fillId="0" borderId="26" xfId="0" applyNumberFormat="1" applyFont="1" applyBorder="1" applyAlignment="1" applyProtection="1">
      <alignment horizontal="center" vertical="center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7" fillId="3" borderId="29" xfId="0" applyNumberFormat="1" applyFont="1" applyFill="1" applyBorder="1" applyAlignment="1" applyProtection="1">
      <alignment horizontal="center" vertical="center"/>
      <protection locked="0"/>
    </xf>
    <xf numFmtId="164" fontId="7" fillId="3" borderId="30" xfId="0" applyNumberFormat="1" applyFont="1" applyFill="1" applyBorder="1" applyAlignment="1" applyProtection="1">
      <alignment horizontal="center" vertical="center"/>
      <protection locked="0"/>
    </xf>
    <xf numFmtId="167" fontId="7" fillId="3" borderId="30" xfId="0" applyNumberFormat="1" applyFont="1" applyFill="1" applyBorder="1" applyAlignment="1" applyProtection="1">
      <alignment horizontal="center" vertical="center"/>
      <protection locked="0"/>
    </xf>
    <xf numFmtId="167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30" xfId="0" applyNumberFormat="1" applyFont="1" applyFill="1" applyBorder="1" applyAlignment="1" applyProtection="1">
      <alignment horizontal="center" vertical="center"/>
      <protection locked="0"/>
    </xf>
    <xf numFmtId="168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29" xfId="0" applyNumberFormat="1" applyFont="1" applyFill="1" applyBorder="1" applyAlignment="1" applyProtection="1">
      <alignment horizontal="center" vertical="center"/>
      <protection locked="0"/>
    </xf>
    <xf numFmtId="168" fontId="7" fillId="3" borderId="14" xfId="0" applyNumberFormat="1" applyFont="1" applyFill="1" applyBorder="1" applyAlignment="1" applyProtection="1">
      <alignment horizontal="center" vertical="center"/>
      <protection locked="0"/>
    </xf>
    <xf numFmtId="38" fontId="7" fillId="0" borderId="23" xfId="0" applyNumberFormat="1" applyFont="1" applyBorder="1" applyAlignment="1" applyProtection="1">
      <alignment horizontal="center" vertical="center"/>
      <protection locked="0"/>
    </xf>
    <xf numFmtId="0" fontId="7" fillId="5" borderId="33" xfId="0" applyFont="1" applyFill="1" applyBorder="1" applyAlignment="1" applyProtection="1">
      <alignment horizontal="center" vertical="center"/>
      <protection locked="0"/>
    </xf>
    <xf numFmtId="0" fontId="7" fillId="5" borderId="34" xfId="0" applyFont="1" applyFill="1" applyBorder="1" applyAlignment="1" applyProtection="1">
      <alignment horizontal="center" vertical="center"/>
      <protection locked="0"/>
    </xf>
    <xf numFmtId="1" fontId="24" fillId="0" borderId="0" xfId="1" applyNumberFormat="1" applyFont="1" applyAlignment="1">
      <alignment horizontal="center"/>
    </xf>
    <xf numFmtId="168" fontId="7" fillId="0" borderId="36" xfId="0" applyNumberFormat="1" applyFont="1" applyBorder="1" applyAlignment="1" applyProtection="1">
      <alignment horizontal="center" vertical="center"/>
      <protection locked="0"/>
    </xf>
    <xf numFmtId="38" fontId="7" fillId="0" borderId="36" xfId="0" applyNumberFormat="1" applyFont="1" applyBorder="1" applyAlignment="1" applyProtection="1">
      <alignment horizontal="center" vertical="center"/>
      <protection locked="0"/>
    </xf>
    <xf numFmtId="164" fontId="25" fillId="0" borderId="26" xfId="0" applyNumberFormat="1" applyFont="1" applyBorder="1" applyAlignment="1" applyProtection="1">
      <alignment horizontal="center" vertical="center" wrapText="1"/>
      <protection locked="0"/>
    </xf>
    <xf numFmtId="164" fontId="7" fillId="0" borderId="38" xfId="0" applyNumberFormat="1" applyFont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165" fontId="6" fillId="0" borderId="17" xfId="0" applyNumberFormat="1" applyFont="1" applyBorder="1" applyAlignment="1" applyProtection="1">
      <alignment horizontal="center" vertical="center"/>
      <protection locked="0"/>
    </xf>
    <xf numFmtId="165" fontId="6" fillId="0" borderId="35" xfId="0" applyNumberFormat="1" applyFont="1" applyBorder="1" applyAlignment="1" applyProtection="1">
      <alignment horizontal="center" vertical="center"/>
      <protection locked="0"/>
    </xf>
    <xf numFmtId="0" fontId="11" fillId="0" borderId="15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2" borderId="12" xfId="0" applyFont="1" applyFill="1" applyBorder="1" applyAlignment="1" applyProtection="1">
      <alignment horizontal="center" wrapText="1"/>
      <protection locked="0"/>
    </xf>
    <xf numFmtId="0" fontId="11" fillId="2" borderId="14" xfId="0" applyFont="1" applyFill="1" applyBorder="1" applyAlignment="1" applyProtection="1">
      <alignment horizontal="center" wrapText="1"/>
      <protection locked="0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20" fillId="2" borderId="12" xfId="0" applyFont="1" applyFill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166" fontId="6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16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0" borderId="37" xfId="0" applyNumberFormat="1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 refreshError="1"/>
      <sheetData sheetId="1">
        <row r="7">
          <cell r="F7">
            <v>39000.000000000909</v>
          </cell>
        </row>
        <row r="8">
          <cell r="F8">
            <v>38799.999999998821</v>
          </cell>
        </row>
        <row r="9">
          <cell r="F9">
            <v>36300.000000001091</v>
          </cell>
        </row>
        <row r="10">
          <cell r="F10">
            <v>35499.999999999549</v>
          </cell>
        </row>
        <row r="11">
          <cell r="F11">
            <v>36799.999999998363</v>
          </cell>
        </row>
        <row r="12">
          <cell r="F12">
            <v>37300.000000000182</v>
          </cell>
        </row>
        <row r="13">
          <cell r="F13">
            <v>37700.000000004366</v>
          </cell>
        </row>
        <row r="14">
          <cell r="F14">
            <v>37799.999999999724</v>
          </cell>
        </row>
        <row r="15">
          <cell r="F15">
            <v>37899.999999999636</v>
          </cell>
        </row>
        <row r="16">
          <cell r="F16">
            <v>33999.999999996362</v>
          </cell>
        </row>
        <row r="17">
          <cell r="F17">
            <v>36200.000000003456</v>
          </cell>
        </row>
        <row r="18">
          <cell r="F18">
            <v>34599.999999995816</v>
          </cell>
        </row>
        <row r="19">
          <cell r="F19">
            <v>37300.000000002459</v>
          </cell>
        </row>
        <row r="20">
          <cell r="F20">
            <v>37200.000000000276</v>
          </cell>
        </row>
        <row r="21">
          <cell r="F21">
            <v>38200.000000001637</v>
          </cell>
        </row>
        <row r="22">
          <cell r="F22">
            <v>37299.999999995634</v>
          </cell>
        </row>
        <row r="23">
          <cell r="F23">
            <v>35500.000000001819</v>
          </cell>
        </row>
        <row r="24">
          <cell r="F24">
            <v>36800.00000000291</v>
          </cell>
        </row>
        <row r="25">
          <cell r="F25">
            <v>37400.000000000087</v>
          </cell>
        </row>
        <row r="26">
          <cell r="F26">
            <v>35299.999999997453</v>
          </cell>
        </row>
        <row r="27">
          <cell r="F27">
            <v>36799.999999998363</v>
          </cell>
        </row>
        <row r="28">
          <cell r="F28">
            <v>38400.000000003725</v>
          </cell>
        </row>
        <row r="29">
          <cell r="F29">
            <v>38099.999999997177</v>
          </cell>
        </row>
        <row r="30">
          <cell r="F30">
            <v>38100.000000001732</v>
          </cell>
        </row>
        <row r="31">
          <cell r="F31">
            <v>35799.999999997002</v>
          </cell>
        </row>
        <row r="32">
          <cell r="F32">
            <v>35599.999999999454</v>
          </cell>
        </row>
        <row r="33">
          <cell r="F33">
            <v>37100.000000002634</v>
          </cell>
        </row>
        <row r="34">
          <cell r="F34">
            <v>37599.999999997635</v>
          </cell>
        </row>
        <row r="35">
          <cell r="F35">
            <v>36900.000000005093</v>
          </cell>
        </row>
        <row r="36">
          <cell r="F36">
            <v>37299.999999997905</v>
          </cell>
        </row>
        <row r="37">
          <cell r="F37">
            <v>38199.99999999936</v>
          </cell>
        </row>
      </sheetData>
      <sheetData sheetId="2" refreshError="1"/>
      <sheetData sheetId="3">
        <row r="7">
          <cell r="C7">
            <v>660</v>
          </cell>
        </row>
        <row r="8">
          <cell r="C8">
            <v>641</v>
          </cell>
        </row>
        <row r="9">
          <cell r="C9">
            <v>604</v>
          </cell>
        </row>
        <row r="10">
          <cell r="C10">
            <v>699</v>
          </cell>
        </row>
        <row r="11">
          <cell r="C11">
            <v>675</v>
          </cell>
        </row>
        <row r="12">
          <cell r="C12">
            <v>676</v>
          </cell>
        </row>
        <row r="13">
          <cell r="C13">
            <v>686</v>
          </cell>
        </row>
        <row r="14">
          <cell r="C14">
            <v>692</v>
          </cell>
        </row>
        <row r="15">
          <cell r="C15">
            <v>673</v>
          </cell>
        </row>
        <row r="16">
          <cell r="C16">
            <v>644</v>
          </cell>
        </row>
        <row r="17">
          <cell r="C17">
            <v>665</v>
          </cell>
        </row>
        <row r="18">
          <cell r="C18">
            <v>721</v>
          </cell>
        </row>
        <row r="19">
          <cell r="C19">
            <v>707</v>
          </cell>
        </row>
        <row r="20">
          <cell r="C20">
            <v>586</v>
          </cell>
        </row>
        <row r="21">
          <cell r="C21">
            <v>794</v>
          </cell>
        </row>
        <row r="22">
          <cell r="C22">
            <v>750</v>
          </cell>
        </row>
        <row r="23">
          <cell r="C23">
            <v>640</v>
          </cell>
        </row>
        <row r="24">
          <cell r="C24">
            <v>718</v>
          </cell>
        </row>
        <row r="25">
          <cell r="C25">
            <v>620</v>
          </cell>
        </row>
        <row r="26">
          <cell r="C26">
            <v>594</v>
          </cell>
        </row>
        <row r="27">
          <cell r="C27">
            <v>718</v>
          </cell>
        </row>
        <row r="28">
          <cell r="C28">
            <v>776</v>
          </cell>
        </row>
        <row r="29">
          <cell r="C29">
            <v>606</v>
          </cell>
        </row>
        <row r="30">
          <cell r="C30">
            <v>645</v>
          </cell>
        </row>
        <row r="31">
          <cell r="C31">
            <v>654</v>
          </cell>
        </row>
        <row r="32">
          <cell r="C32">
            <v>637</v>
          </cell>
        </row>
        <row r="33">
          <cell r="C33">
            <v>668</v>
          </cell>
        </row>
        <row r="34">
          <cell r="C34">
            <v>627</v>
          </cell>
        </row>
        <row r="35">
          <cell r="C35">
            <v>702</v>
          </cell>
        </row>
        <row r="36">
          <cell r="C36">
            <v>607</v>
          </cell>
        </row>
        <row r="37">
          <cell r="C37">
            <v>762</v>
          </cell>
        </row>
      </sheetData>
      <sheetData sheetId="4" refreshError="1"/>
      <sheetData sheetId="5">
        <row r="7">
          <cell r="C7">
            <v>1304</v>
          </cell>
          <cell r="H7">
            <v>0</v>
          </cell>
        </row>
        <row r="8">
          <cell r="C8">
            <v>1277</v>
          </cell>
          <cell r="H8">
            <v>0</v>
          </cell>
        </row>
        <row r="9">
          <cell r="C9">
            <v>1243</v>
          </cell>
          <cell r="H9">
            <v>0</v>
          </cell>
        </row>
        <row r="10">
          <cell r="C10">
            <v>1278</v>
          </cell>
          <cell r="H10">
            <v>0</v>
          </cell>
        </row>
        <row r="11">
          <cell r="C11">
            <v>1314</v>
          </cell>
          <cell r="H11">
            <v>0</v>
          </cell>
        </row>
        <row r="12">
          <cell r="C12">
            <v>1307</v>
          </cell>
          <cell r="H12">
            <v>0</v>
          </cell>
        </row>
        <row r="13">
          <cell r="C13">
            <v>1273</v>
          </cell>
          <cell r="H13">
            <v>0</v>
          </cell>
        </row>
        <row r="14">
          <cell r="C14">
            <v>1287</v>
          </cell>
          <cell r="H14">
            <v>0</v>
          </cell>
        </row>
        <row r="15">
          <cell r="C15">
            <v>1275</v>
          </cell>
          <cell r="H15">
            <v>0</v>
          </cell>
        </row>
        <row r="16">
          <cell r="C16">
            <v>1244</v>
          </cell>
          <cell r="H16">
            <v>0</v>
          </cell>
        </row>
        <row r="17">
          <cell r="C17">
            <v>1263</v>
          </cell>
          <cell r="H17">
            <v>0</v>
          </cell>
        </row>
        <row r="18">
          <cell r="C18">
            <v>1246</v>
          </cell>
          <cell r="H18">
            <v>0</v>
          </cell>
        </row>
        <row r="19">
          <cell r="C19">
            <v>1258</v>
          </cell>
          <cell r="H19">
            <v>0</v>
          </cell>
        </row>
        <row r="20">
          <cell r="C20">
            <v>1168</v>
          </cell>
          <cell r="H20">
            <v>0</v>
          </cell>
        </row>
        <row r="21">
          <cell r="C21">
            <v>1257</v>
          </cell>
          <cell r="H21">
            <v>0</v>
          </cell>
        </row>
        <row r="22">
          <cell r="C22">
            <v>1383</v>
          </cell>
          <cell r="H22">
            <v>0</v>
          </cell>
        </row>
        <row r="23">
          <cell r="C23">
            <v>1351</v>
          </cell>
          <cell r="H23">
            <v>0</v>
          </cell>
        </row>
        <row r="24">
          <cell r="C24">
            <v>1279</v>
          </cell>
          <cell r="H24">
            <v>0</v>
          </cell>
        </row>
        <row r="25">
          <cell r="C25">
            <v>1287</v>
          </cell>
          <cell r="H25">
            <v>0</v>
          </cell>
        </row>
        <row r="26">
          <cell r="C26">
            <v>1301</v>
          </cell>
          <cell r="H26">
            <v>0</v>
          </cell>
        </row>
        <row r="27">
          <cell r="C27">
            <v>1326</v>
          </cell>
          <cell r="H27">
            <v>0</v>
          </cell>
        </row>
        <row r="28">
          <cell r="C28">
            <v>1271</v>
          </cell>
          <cell r="H28">
            <v>0</v>
          </cell>
        </row>
        <row r="29">
          <cell r="C29">
            <v>1301</v>
          </cell>
          <cell r="H29">
            <v>0</v>
          </cell>
        </row>
        <row r="30">
          <cell r="C30">
            <v>1319</v>
          </cell>
          <cell r="H30">
            <v>0</v>
          </cell>
        </row>
        <row r="31">
          <cell r="C31">
            <v>1277</v>
          </cell>
          <cell r="H31">
            <v>0</v>
          </cell>
        </row>
        <row r="32">
          <cell r="C32">
            <v>1287</v>
          </cell>
          <cell r="H32">
            <v>0</v>
          </cell>
        </row>
        <row r="33">
          <cell r="C33">
            <v>1273</v>
          </cell>
          <cell r="H33">
            <v>0</v>
          </cell>
        </row>
        <row r="34">
          <cell r="C34">
            <v>1275</v>
          </cell>
          <cell r="H34">
            <v>0</v>
          </cell>
        </row>
        <row r="35">
          <cell r="C35">
            <v>1226</v>
          </cell>
          <cell r="H35">
            <v>0</v>
          </cell>
        </row>
        <row r="36">
          <cell r="C36">
            <v>1280</v>
          </cell>
          <cell r="H36">
            <v>0</v>
          </cell>
        </row>
        <row r="37">
          <cell r="C37">
            <v>1234</v>
          </cell>
          <cell r="H37">
            <v>0</v>
          </cell>
        </row>
      </sheetData>
      <sheetData sheetId="6" refreshError="1"/>
      <sheetData sheetId="7">
        <row r="7">
          <cell r="BH7">
            <v>502</v>
          </cell>
        </row>
        <row r="8">
          <cell r="BH8">
            <v>455</v>
          </cell>
        </row>
        <row r="9">
          <cell r="BH9">
            <v>544</v>
          </cell>
        </row>
        <row r="10">
          <cell r="BH10">
            <v>525</v>
          </cell>
        </row>
        <row r="11">
          <cell r="BH11">
            <v>559</v>
          </cell>
        </row>
        <row r="12">
          <cell r="BH12">
            <v>524</v>
          </cell>
        </row>
        <row r="13">
          <cell r="BH13">
            <v>530</v>
          </cell>
        </row>
        <row r="14">
          <cell r="BH14">
            <v>477</v>
          </cell>
        </row>
        <row r="15">
          <cell r="BH15">
            <v>475</v>
          </cell>
        </row>
        <row r="16">
          <cell r="BH16">
            <v>510</v>
          </cell>
        </row>
        <row r="17">
          <cell r="BH17">
            <v>568</v>
          </cell>
        </row>
        <row r="18">
          <cell r="BH18">
            <v>513</v>
          </cell>
        </row>
        <row r="19">
          <cell r="BH19">
            <v>557</v>
          </cell>
        </row>
        <row r="20">
          <cell r="BH20">
            <v>452</v>
          </cell>
        </row>
        <row r="21">
          <cell r="BH21">
            <v>564</v>
          </cell>
        </row>
        <row r="22">
          <cell r="BH22">
            <v>566</v>
          </cell>
        </row>
        <row r="23">
          <cell r="BH23">
            <v>538</v>
          </cell>
        </row>
        <row r="24">
          <cell r="BH24">
            <v>633</v>
          </cell>
        </row>
        <row r="25">
          <cell r="BH25">
            <v>642</v>
          </cell>
        </row>
        <row r="26">
          <cell r="BH26">
            <v>537</v>
          </cell>
        </row>
        <row r="27">
          <cell r="BH27">
            <v>517</v>
          </cell>
        </row>
        <row r="28">
          <cell r="BH28">
            <v>537</v>
          </cell>
        </row>
        <row r="29">
          <cell r="BH29">
            <v>550</v>
          </cell>
        </row>
        <row r="30">
          <cell r="BH30">
            <v>557</v>
          </cell>
        </row>
        <row r="31">
          <cell r="BH31">
            <v>565</v>
          </cell>
        </row>
        <row r="32">
          <cell r="BH32">
            <v>606</v>
          </cell>
        </row>
        <row r="33">
          <cell r="BH33">
            <v>505</v>
          </cell>
        </row>
        <row r="34">
          <cell r="BH34">
            <v>471</v>
          </cell>
        </row>
        <row r="35">
          <cell r="BH35">
            <v>489</v>
          </cell>
        </row>
        <row r="36">
          <cell r="BH36">
            <v>649</v>
          </cell>
        </row>
        <row r="37">
          <cell r="BH37">
            <v>513</v>
          </cell>
        </row>
      </sheetData>
      <sheetData sheetId="8">
        <row r="4">
          <cell r="V4">
            <v>13455</v>
          </cell>
        </row>
        <row r="5">
          <cell r="V5">
            <v>12627</v>
          </cell>
        </row>
        <row r="6">
          <cell r="V6">
            <v>11778</v>
          </cell>
        </row>
        <row r="7">
          <cell r="V7">
            <v>9951</v>
          </cell>
        </row>
        <row r="8">
          <cell r="V8">
            <v>11170</v>
          </cell>
        </row>
        <row r="9">
          <cell r="V9">
            <v>11492</v>
          </cell>
        </row>
        <row r="10">
          <cell r="V10">
            <v>11738</v>
          </cell>
        </row>
        <row r="11">
          <cell r="V11">
            <v>11986</v>
          </cell>
        </row>
        <row r="12">
          <cell r="V12">
            <v>11059</v>
          </cell>
        </row>
        <row r="13">
          <cell r="V13">
            <v>9467</v>
          </cell>
        </row>
        <row r="14">
          <cell r="V14">
            <v>10521</v>
          </cell>
        </row>
        <row r="15">
          <cell r="V15">
            <v>9767</v>
          </cell>
        </row>
        <row r="16">
          <cell r="V16">
            <v>10979</v>
          </cell>
        </row>
        <row r="17">
          <cell r="V17">
            <v>11735</v>
          </cell>
        </row>
        <row r="18">
          <cell r="V18">
            <v>12785</v>
          </cell>
        </row>
        <row r="19">
          <cell r="V19">
            <v>11684</v>
          </cell>
        </row>
        <row r="20">
          <cell r="V20">
            <v>9867</v>
          </cell>
        </row>
        <row r="21">
          <cell r="V21">
            <v>11252</v>
          </cell>
        </row>
        <row r="22">
          <cell r="V22">
            <v>10806</v>
          </cell>
        </row>
        <row r="23">
          <cell r="V23">
            <v>10026</v>
          </cell>
        </row>
        <row r="24">
          <cell r="V24">
            <v>10908</v>
          </cell>
        </row>
        <row r="25">
          <cell r="V25">
            <v>11424</v>
          </cell>
        </row>
        <row r="26">
          <cell r="V26">
            <v>11465</v>
          </cell>
        </row>
        <row r="27">
          <cell r="V27">
            <v>12170</v>
          </cell>
        </row>
        <row r="28">
          <cell r="V28">
            <v>9859</v>
          </cell>
        </row>
        <row r="29">
          <cell r="V29">
            <v>10208</v>
          </cell>
        </row>
        <row r="30">
          <cell r="V30">
            <v>11239</v>
          </cell>
        </row>
        <row r="31">
          <cell r="V31">
            <v>11251</v>
          </cell>
        </row>
        <row r="32">
          <cell r="V32">
            <v>11318</v>
          </cell>
        </row>
        <row r="33">
          <cell r="V33">
            <v>11651</v>
          </cell>
        </row>
        <row r="34">
          <cell r="V34">
            <v>15574</v>
          </cell>
        </row>
      </sheetData>
      <sheetData sheetId="9">
        <row r="4">
          <cell r="L4">
            <v>25</v>
          </cell>
        </row>
        <row r="5">
          <cell r="L5">
            <v>27</v>
          </cell>
        </row>
        <row r="6">
          <cell r="L6">
            <v>26</v>
          </cell>
        </row>
        <row r="7">
          <cell r="L7">
            <v>24</v>
          </cell>
        </row>
        <row r="8">
          <cell r="L8">
            <v>28</v>
          </cell>
        </row>
        <row r="9">
          <cell r="L9">
            <v>24</v>
          </cell>
        </row>
        <row r="10">
          <cell r="L10">
            <v>24</v>
          </cell>
        </row>
        <row r="11">
          <cell r="L11">
            <v>24</v>
          </cell>
        </row>
        <row r="12">
          <cell r="L12">
            <v>26</v>
          </cell>
        </row>
        <row r="13">
          <cell r="L13">
            <v>24</v>
          </cell>
        </row>
        <row r="14">
          <cell r="L14">
            <v>26</v>
          </cell>
        </row>
        <row r="15">
          <cell r="L15">
            <v>26</v>
          </cell>
        </row>
        <row r="16">
          <cell r="L16">
            <v>27</v>
          </cell>
        </row>
        <row r="17">
          <cell r="L17">
            <v>24</v>
          </cell>
        </row>
        <row r="18">
          <cell r="L18">
            <v>28</v>
          </cell>
        </row>
        <row r="19">
          <cell r="L19">
            <v>33</v>
          </cell>
        </row>
        <row r="20">
          <cell r="L20">
            <v>27</v>
          </cell>
        </row>
        <row r="21">
          <cell r="L21">
            <v>31</v>
          </cell>
        </row>
        <row r="22">
          <cell r="L22">
            <v>33</v>
          </cell>
        </row>
        <row r="23">
          <cell r="L23">
            <v>24</v>
          </cell>
        </row>
        <row r="24">
          <cell r="L24">
            <v>28</v>
          </cell>
        </row>
        <row r="25">
          <cell r="L25">
            <v>29</v>
          </cell>
        </row>
        <row r="26">
          <cell r="L26">
            <v>30</v>
          </cell>
        </row>
        <row r="27">
          <cell r="L27">
            <v>27</v>
          </cell>
        </row>
        <row r="28">
          <cell r="L28">
            <v>27</v>
          </cell>
        </row>
        <row r="29">
          <cell r="L29">
            <v>29</v>
          </cell>
        </row>
        <row r="30">
          <cell r="L30">
            <v>24</v>
          </cell>
        </row>
        <row r="31">
          <cell r="L31">
            <v>28</v>
          </cell>
        </row>
        <row r="32">
          <cell r="L32">
            <v>27</v>
          </cell>
        </row>
        <row r="33">
          <cell r="L33">
            <v>28</v>
          </cell>
        </row>
        <row r="34">
          <cell r="L34">
            <v>26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85" zoomScaleNormal="85" workbookViewId="0">
      <selection activeCell="P27" sqref="P27"/>
    </sheetView>
  </sheetViews>
  <sheetFormatPr defaultColWidth="10.125" defaultRowHeight="1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8</v>
      </c>
      <c r="D2" s="10">
        <v>2022</v>
      </c>
      <c r="E2" s="11">
        <f>总计!O5</f>
        <v>51639.000000000909</v>
      </c>
      <c r="F2" s="16">
        <v>0.69630000000000003</v>
      </c>
      <c r="G2" s="11">
        <f>总计!H5</f>
        <v>1806</v>
      </c>
      <c r="H2" s="16">
        <v>4</v>
      </c>
      <c r="I2" s="11">
        <f>总计!S5</f>
        <v>707.5</v>
      </c>
      <c r="J2" s="16">
        <v>4.7591999999999999</v>
      </c>
      <c r="K2" s="67">
        <f>总计!M5*1000</f>
        <v>25000</v>
      </c>
      <c r="L2" s="16">
        <v>0.42</v>
      </c>
      <c r="M2" s="11">
        <f>(总计!D5/100)*344</f>
        <v>300.00240000000002</v>
      </c>
      <c r="N2" s="11">
        <f>'[1]Consommation mensuel énergie'!E10</f>
        <v>0</v>
      </c>
      <c r="O2" s="12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8</v>
      </c>
      <c r="D3" s="10">
        <v>2022</v>
      </c>
      <c r="E3" s="11">
        <f>总计!O6</f>
        <v>51438.999999998821</v>
      </c>
      <c r="F3" s="16">
        <f>F2</f>
        <v>0.69630000000000003</v>
      </c>
      <c r="G3" s="11">
        <f>总计!H6</f>
        <v>1732</v>
      </c>
      <c r="H3" s="16">
        <f>H2</f>
        <v>4</v>
      </c>
      <c r="I3" s="11">
        <f>总计!S6</f>
        <v>688.5</v>
      </c>
      <c r="J3" s="16">
        <f>J2</f>
        <v>4.7591999999999999</v>
      </c>
      <c r="K3" s="67">
        <f>总计!M6*1000</f>
        <v>27000</v>
      </c>
      <c r="L3" s="16">
        <v>0.42</v>
      </c>
      <c r="M3" s="11">
        <f>(总计!D6/100)*344</f>
        <v>315.00079999999997</v>
      </c>
      <c r="N3" s="11">
        <f>'[1]Consommation mensuel énergie'!E11</f>
        <v>0</v>
      </c>
      <c r="O3" s="12" t="e">
        <f>E3*F3+G3*H3+#REF!*#REF!+I3*J3</f>
        <v>#REF!</v>
      </c>
    </row>
    <row r="4" spans="1:15">
      <c r="A4" s="8" t="s">
        <v>15</v>
      </c>
      <c r="B4" s="9">
        <f t="shared" ref="B4:B32" si="0">B3+1</f>
        <v>3</v>
      </c>
      <c r="C4" s="9">
        <v>8</v>
      </c>
      <c r="D4" s="10">
        <v>2022</v>
      </c>
      <c r="E4" s="11">
        <f>总计!O7</f>
        <v>48939.000000001091</v>
      </c>
      <c r="F4" s="16">
        <f t="shared" ref="F4:F32" si="1">F3</f>
        <v>0.69630000000000003</v>
      </c>
      <c r="G4" s="11">
        <f>总计!H7</f>
        <v>1787</v>
      </c>
      <c r="H4" s="16">
        <f t="shared" ref="H4:H32" si="2">H3</f>
        <v>4</v>
      </c>
      <c r="I4" s="11">
        <f>总计!S7</f>
        <v>651.5</v>
      </c>
      <c r="J4" s="16">
        <f t="shared" ref="J4:J32" si="3">J3</f>
        <v>4.7591999999999999</v>
      </c>
      <c r="K4" s="67">
        <f>总计!M7*1000</f>
        <v>26000</v>
      </c>
      <c r="L4" s="16">
        <v>0.42</v>
      </c>
      <c r="M4" s="11">
        <f>(总计!D7/100)*344</f>
        <v>301</v>
      </c>
      <c r="N4" s="11">
        <f>'[1]Consommation mensuel énergie'!E12</f>
        <v>0</v>
      </c>
      <c r="O4" s="12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8</v>
      </c>
      <c r="D5" s="10">
        <v>2022</v>
      </c>
      <c r="E5" s="11">
        <f>总计!O8</f>
        <v>48138.999999999549</v>
      </c>
      <c r="F5" s="16">
        <f t="shared" si="1"/>
        <v>0.69630000000000003</v>
      </c>
      <c r="G5" s="11">
        <f>总计!H8</f>
        <v>1803</v>
      </c>
      <c r="H5" s="16">
        <f t="shared" si="2"/>
        <v>4</v>
      </c>
      <c r="I5" s="11">
        <f>总计!S8</f>
        <v>746.5</v>
      </c>
      <c r="J5" s="16">
        <f t="shared" si="3"/>
        <v>4.7591999999999999</v>
      </c>
      <c r="K5" s="67">
        <f>总计!M8*1000</f>
        <v>24000</v>
      </c>
      <c r="L5" s="16">
        <v>0.42</v>
      </c>
      <c r="M5" s="11">
        <f>(总计!D8/100)*344</f>
        <v>312.00800000000004</v>
      </c>
      <c r="N5" s="11">
        <f>'[1]Consommation mensuel énergie'!E13</f>
        <v>0</v>
      </c>
      <c r="O5" s="12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8</v>
      </c>
      <c r="D6" s="10">
        <v>2022</v>
      </c>
      <c r="E6" s="11">
        <f>总计!O9</f>
        <v>49438.999999998363</v>
      </c>
      <c r="F6" s="16">
        <f t="shared" si="1"/>
        <v>0.69630000000000003</v>
      </c>
      <c r="G6" s="11">
        <f>总计!H9</f>
        <v>1873</v>
      </c>
      <c r="H6" s="16">
        <f t="shared" si="2"/>
        <v>4</v>
      </c>
      <c r="I6" s="11">
        <f>总计!S9</f>
        <v>722.5</v>
      </c>
      <c r="J6" s="16">
        <f t="shared" si="3"/>
        <v>4.7591999999999999</v>
      </c>
      <c r="K6" s="67">
        <f>总计!M9*1000</f>
        <v>28000</v>
      </c>
      <c r="L6" s="16">
        <v>0.42</v>
      </c>
      <c r="M6" s="11">
        <f>(总计!D9/100)*344</f>
        <v>288.99440000000004</v>
      </c>
      <c r="N6" s="11">
        <f>'[1]Consommation mensuel énergie'!E14</f>
        <v>0</v>
      </c>
      <c r="O6" s="12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8</v>
      </c>
      <c r="D7" s="10">
        <v>2022</v>
      </c>
      <c r="E7" s="11">
        <f>总计!O10</f>
        <v>49939.000000000182</v>
      </c>
      <c r="F7" s="16">
        <f t="shared" si="1"/>
        <v>0.69630000000000003</v>
      </c>
      <c r="G7" s="11">
        <f>总计!H10</f>
        <v>1831</v>
      </c>
      <c r="H7" s="16">
        <f t="shared" si="2"/>
        <v>4</v>
      </c>
      <c r="I7" s="11">
        <f>总计!S10</f>
        <v>723.5</v>
      </c>
      <c r="J7" s="16">
        <f t="shared" si="3"/>
        <v>4.7591999999999999</v>
      </c>
      <c r="K7" s="67">
        <f>总计!M10*1000</f>
        <v>24000</v>
      </c>
      <c r="L7" s="16">
        <v>0.42</v>
      </c>
      <c r="M7" s="11">
        <f>(总计!D10/100)*344</f>
        <v>318.99119999999999</v>
      </c>
      <c r="N7" s="11">
        <f>'[1]Consommation mensuel énergie'!E15</f>
        <v>0</v>
      </c>
      <c r="O7" s="12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8</v>
      </c>
      <c r="D8" s="10">
        <v>2022</v>
      </c>
      <c r="E8" s="11">
        <f>总计!O11</f>
        <v>50339.000000004366</v>
      </c>
      <c r="F8" s="16">
        <f t="shared" si="1"/>
        <v>0.69630000000000003</v>
      </c>
      <c r="G8" s="11">
        <f>总计!H11</f>
        <v>1803</v>
      </c>
      <c r="H8" s="16">
        <f t="shared" si="2"/>
        <v>4</v>
      </c>
      <c r="I8" s="11">
        <f>总计!S11</f>
        <v>733.5</v>
      </c>
      <c r="J8" s="16">
        <f t="shared" si="3"/>
        <v>4.7591999999999999</v>
      </c>
      <c r="K8" s="67">
        <f>总计!M11*1000</f>
        <v>24000</v>
      </c>
      <c r="L8" s="16">
        <v>0.42</v>
      </c>
      <c r="M8" s="11">
        <f>(总计!D11/100)*344</f>
        <v>270.38399999999996</v>
      </c>
      <c r="N8" s="11">
        <f>'[1]Consommation mensuel énergie'!E16</f>
        <v>0</v>
      </c>
      <c r="O8" s="12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8</v>
      </c>
      <c r="D9" s="10">
        <v>2022</v>
      </c>
      <c r="E9" s="11">
        <f>总计!O12</f>
        <v>50438.999999999724</v>
      </c>
      <c r="F9" s="16">
        <f t="shared" si="1"/>
        <v>0.69630000000000003</v>
      </c>
      <c r="G9" s="11">
        <f>总计!H12</f>
        <v>1764</v>
      </c>
      <c r="H9" s="16">
        <f t="shared" si="2"/>
        <v>4</v>
      </c>
      <c r="I9" s="11">
        <f>总计!S12</f>
        <v>739.5</v>
      </c>
      <c r="J9" s="16">
        <f t="shared" si="3"/>
        <v>4.7591999999999999</v>
      </c>
      <c r="K9" s="67">
        <f>总计!M12*1000</f>
        <v>24000</v>
      </c>
      <c r="L9" s="16">
        <v>0.42</v>
      </c>
      <c r="M9" s="11">
        <f>(总计!D12/100)*344</f>
        <v>313.00559999999996</v>
      </c>
      <c r="N9" s="11">
        <f>'[1]Consommation mensuel énergie'!E17</f>
        <v>0</v>
      </c>
      <c r="O9" s="12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8</v>
      </c>
      <c r="D10" s="10">
        <v>2022</v>
      </c>
      <c r="E10" s="11">
        <f>总计!O13</f>
        <v>50538.999999999636</v>
      </c>
      <c r="F10" s="16">
        <f t="shared" si="1"/>
        <v>0.69630000000000003</v>
      </c>
      <c r="G10" s="11">
        <f>总计!H13</f>
        <v>1750</v>
      </c>
      <c r="H10" s="16">
        <f t="shared" si="2"/>
        <v>4</v>
      </c>
      <c r="I10" s="11">
        <f>总计!S13</f>
        <v>720.5</v>
      </c>
      <c r="J10" s="16">
        <f t="shared" si="3"/>
        <v>4.7591999999999999</v>
      </c>
      <c r="K10" s="67">
        <f>总计!M13*1000</f>
        <v>26000</v>
      </c>
      <c r="L10" s="16">
        <v>0.42</v>
      </c>
      <c r="M10" s="11">
        <f>(总计!D13/100)*344</f>
        <v>305.988</v>
      </c>
      <c r="N10" s="11">
        <f>'[1]Consommation mensuel énergie'!E18</f>
        <v>0</v>
      </c>
      <c r="O10" s="12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8</v>
      </c>
      <c r="D11" s="10">
        <v>2022</v>
      </c>
      <c r="E11" s="11">
        <f>总计!O14</f>
        <v>46638.999999996362</v>
      </c>
      <c r="F11" s="16">
        <f t="shared" si="1"/>
        <v>0.69630000000000003</v>
      </c>
      <c r="G11" s="11">
        <f>总计!H14</f>
        <v>1754</v>
      </c>
      <c r="H11" s="16">
        <f t="shared" si="2"/>
        <v>4</v>
      </c>
      <c r="I11" s="11">
        <f>总计!S14</f>
        <v>691.5</v>
      </c>
      <c r="J11" s="16">
        <f t="shared" si="3"/>
        <v>4.7591999999999999</v>
      </c>
      <c r="K11" s="67">
        <f>总计!M14*1000</f>
        <v>24000</v>
      </c>
      <c r="L11" s="16">
        <v>0.42</v>
      </c>
      <c r="M11" s="11">
        <f>(总计!D14/100)*344</f>
        <v>295.01440000000002</v>
      </c>
      <c r="N11" s="11">
        <f>'[1]Consommation mensuel énergie'!E19</f>
        <v>0</v>
      </c>
      <c r="O11" s="12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8</v>
      </c>
      <c r="D12" s="10">
        <v>2022</v>
      </c>
      <c r="E12" s="11">
        <f>总计!O15</f>
        <v>48839.000000003456</v>
      </c>
      <c r="F12" s="16">
        <f t="shared" si="1"/>
        <v>0.69630000000000003</v>
      </c>
      <c r="G12" s="11">
        <f>总计!H15</f>
        <v>1831</v>
      </c>
      <c r="H12" s="16">
        <f t="shared" si="2"/>
        <v>4</v>
      </c>
      <c r="I12" s="11">
        <f>总计!S15</f>
        <v>712.5</v>
      </c>
      <c r="J12" s="16">
        <f t="shared" si="3"/>
        <v>4.7591999999999999</v>
      </c>
      <c r="K12" s="67">
        <f>总计!M15*1000</f>
        <v>26000</v>
      </c>
      <c r="L12" s="16">
        <v>0.42</v>
      </c>
      <c r="M12" s="11">
        <f>(总计!D15/100)*344</f>
        <v>285.00399999999996</v>
      </c>
      <c r="N12" s="11">
        <f>'[1]Consommation mensuel énergie'!E20</f>
        <v>0</v>
      </c>
      <c r="O12" s="12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8</v>
      </c>
      <c r="D13" s="10">
        <v>2022</v>
      </c>
      <c r="E13" s="11">
        <f>总计!O16</f>
        <v>47238.999999995816</v>
      </c>
      <c r="F13" s="16">
        <f t="shared" si="1"/>
        <v>0.69630000000000003</v>
      </c>
      <c r="G13" s="11">
        <f>总计!H16</f>
        <v>1759</v>
      </c>
      <c r="H13" s="16">
        <f t="shared" si="2"/>
        <v>4</v>
      </c>
      <c r="I13" s="11">
        <f>总计!S16</f>
        <v>768.5</v>
      </c>
      <c r="J13" s="16">
        <f t="shared" si="3"/>
        <v>4.7591999999999999</v>
      </c>
      <c r="K13" s="67">
        <f>总计!M16*1000</f>
        <v>26000</v>
      </c>
      <c r="L13" s="16">
        <v>0.42</v>
      </c>
      <c r="M13" s="11">
        <f>(总计!D16/100)*344</f>
        <v>256.27999999999997</v>
      </c>
      <c r="N13" s="11">
        <f>'[1]Consommation mensuel énergie'!E21</f>
        <v>0</v>
      </c>
      <c r="O13" s="12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8</v>
      </c>
      <c r="D14" s="10">
        <v>2022</v>
      </c>
      <c r="E14" s="11">
        <f>总计!O17</f>
        <v>49939.000000002459</v>
      </c>
      <c r="F14" s="16">
        <f t="shared" si="1"/>
        <v>0.69630000000000003</v>
      </c>
      <c r="G14" s="11">
        <f>总计!H17</f>
        <v>1815</v>
      </c>
      <c r="H14" s="16">
        <f t="shared" si="2"/>
        <v>4</v>
      </c>
      <c r="I14" s="11">
        <f>总计!S17</f>
        <v>754.5</v>
      </c>
      <c r="J14" s="16">
        <f t="shared" si="3"/>
        <v>4.7591999999999999</v>
      </c>
      <c r="K14" s="67">
        <f>总计!M17*1000</f>
        <v>27000</v>
      </c>
      <c r="L14" s="16">
        <v>0.42</v>
      </c>
      <c r="M14" s="11">
        <f>(总计!D17/100)*344</f>
        <v>324.0136</v>
      </c>
      <c r="N14" s="11">
        <f>'[1]Consommation mensuel énergie'!E22</f>
        <v>0</v>
      </c>
      <c r="O14" s="12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8</v>
      </c>
      <c r="D15" s="10">
        <v>2022</v>
      </c>
      <c r="E15" s="11">
        <f>总计!O18</f>
        <v>49839.000000000276</v>
      </c>
      <c r="F15" s="16">
        <f t="shared" si="1"/>
        <v>0.69630000000000003</v>
      </c>
      <c r="G15" s="11">
        <f>总计!H18</f>
        <v>1620</v>
      </c>
      <c r="H15" s="16">
        <f t="shared" si="2"/>
        <v>4</v>
      </c>
      <c r="I15" s="11">
        <f>总计!S18</f>
        <v>633.5</v>
      </c>
      <c r="J15" s="16">
        <f t="shared" si="3"/>
        <v>4.7591999999999999</v>
      </c>
      <c r="K15" s="67">
        <f>总计!M18*1000</f>
        <v>24000</v>
      </c>
      <c r="L15" s="16">
        <v>0.42</v>
      </c>
      <c r="M15" s="11">
        <f>(总计!D18/100)*344</f>
        <v>260.99279999999999</v>
      </c>
      <c r="N15" s="11">
        <f>'[1]Consommation mensuel énergie'!E23</f>
        <v>0</v>
      </c>
      <c r="O15" s="12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8</v>
      </c>
      <c r="D16" s="10">
        <v>2022</v>
      </c>
      <c r="E16" s="11">
        <f>总计!O19</f>
        <v>50839.000000001637</v>
      </c>
      <c r="F16" s="16">
        <f t="shared" si="1"/>
        <v>0.69630000000000003</v>
      </c>
      <c r="G16" s="11">
        <f>总计!H19</f>
        <v>1821</v>
      </c>
      <c r="H16" s="16">
        <f t="shared" si="2"/>
        <v>4</v>
      </c>
      <c r="I16" s="11">
        <f>总计!S19</f>
        <v>841.5</v>
      </c>
      <c r="J16" s="16">
        <f t="shared" si="3"/>
        <v>4.7591999999999999</v>
      </c>
      <c r="K16" s="67">
        <f>总计!M19*1000</f>
        <v>28000</v>
      </c>
      <c r="L16" s="16">
        <v>0.42</v>
      </c>
      <c r="M16" s="11">
        <f>(总计!D19/100)*344</f>
        <v>310.01280000000003</v>
      </c>
      <c r="N16" s="11">
        <f>'[1]Consommation mensuel énergie'!E24</f>
        <v>0</v>
      </c>
      <c r="O16" s="12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8</v>
      </c>
      <c r="D17" s="10">
        <v>2022</v>
      </c>
      <c r="E17" s="11">
        <f>总计!O20</f>
        <v>49938.999999995634</v>
      </c>
      <c r="F17" s="16">
        <f t="shared" si="1"/>
        <v>0.69630000000000003</v>
      </c>
      <c r="G17" s="11">
        <f>总计!H20</f>
        <v>1949</v>
      </c>
      <c r="H17" s="16">
        <f t="shared" si="2"/>
        <v>4</v>
      </c>
      <c r="I17" s="11">
        <f>总计!S20</f>
        <v>797.5</v>
      </c>
      <c r="J17" s="16">
        <f t="shared" si="3"/>
        <v>4.7591999999999999</v>
      </c>
      <c r="K17" s="67">
        <f>总计!M20*1000</f>
        <v>33000</v>
      </c>
      <c r="L17" s="16">
        <v>0.42</v>
      </c>
      <c r="M17" s="11">
        <f>(总计!D20/100)*344</f>
        <v>319.98879999999997</v>
      </c>
      <c r="N17" s="11">
        <f>'[1]Consommation mensuel énergie'!E25</f>
        <v>0</v>
      </c>
      <c r="O17" s="12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8</v>
      </c>
      <c r="D18" s="10">
        <v>2022</v>
      </c>
      <c r="E18" s="11">
        <f>总计!O21</f>
        <v>48139.000000001819</v>
      </c>
      <c r="F18" s="16">
        <f t="shared" si="1"/>
        <v>0.69630000000000003</v>
      </c>
      <c r="G18" s="11">
        <f>总计!H21</f>
        <v>1889</v>
      </c>
      <c r="H18" s="16">
        <f t="shared" si="2"/>
        <v>4</v>
      </c>
      <c r="I18" s="11">
        <f>总计!S21</f>
        <v>687.5</v>
      </c>
      <c r="J18" s="16">
        <f t="shared" si="3"/>
        <v>4.7591999999999999</v>
      </c>
      <c r="K18" s="67">
        <f>总计!M21*1000</f>
        <v>27000</v>
      </c>
      <c r="L18" s="16">
        <v>0.42</v>
      </c>
      <c r="M18" s="11">
        <f>(总计!D21/100)*344</f>
        <v>304.99039999999997</v>
      </c>
      <c r="N18" s="11">
        <f>'[1]Consommation mensuel énergie'!E26</f>
        <v>0</v>
      </c>
      <c r="O18" s="12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8</v>
      </c>
      <c r="D19" s="10">
        <v>2022</v>
      </c>
      <c r="E19" s="11">
        <f>总计!O22</f>
        <v>49439.00000000291</v>
      </c>
      <c r="F19" s="16">
        <f t="shared" si="1"/>
        <v>0.69630000000000003</v>
      </c>
      <c r="G19" s="11">
        <f>总计!H22</f>
        <v>1912</v>
      </c>
      <c r="H19" s="16">
        <f t="shared" si="2"/>
        <v>4</v>
      </c>
      <c r="I19" s="11">
        <f>总计!S22</f>
        <v>765.5</v>
      </c>
      <c r="J19" s="16">
        <f t="shared" si="3"/>
        <v>4.7591999999999999</v>
      </c>
      <c r="K19" s="67">
        <f>总计!M22*1000</f>
        <v>31000</v>
      </c>
      <c r="L19" s="16">
        <v>0.42</v>
      </c>
      <c r="M19" s="11">
        <f>(总计!D22/100)*344</f>
        <v>310.01280000000003</v>
      </c>
      <c r="N19" s="11">
        <f>'[1]Consommation mensuel énergie'!E27</f>
        <v>0</v>
      </c>
      <c r="O19" s="12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8</v>
      </c>
      <c r="D20" s="10">
        <v>2022</v>
      </c>
      <c r="E20" s="11">
        <f>总计!O23</f>
        <v>50039.000000000087</v>
      </c>
      <c r="F20" s="16">
        <f t="shared" si="1"/>
        <v>0.69630000000000003</v>
      </c>
      <c r="G20" s="11">
        <f>总计!H23</f>
        <v>1929</v>
      </c>
      <c r="H20" s="16">
        <f t="shared" si="2"/>
        <v>4</v>
      </c>
      <c r="I20" s="11">
        <f>总计!S23</f>
        <v>667.5</v>
      </c>
      <c r="J20" s="16">
        <f t="shared" si="3"/>
        <v>4.7591999999999999</v>
      </c>
      <c r="K20" s="67">
        <f>总计!M23*1000</f>
        <v>33000</v>
      </c>
      <c r="L20" s="16">
        <v>0.42</v>
      </c>
      <c r="M20" s="11">
        <f>(总计!D23/100)*344</f>
        <v>317.99360000000001</v>
      </c>
      <c r="N20" s="11">
        <f>'[1]Consommation mensuel énergie'!E28</f>
        <v>0</v>
      </c>
      <c r="O20" s="12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8</v>
      </c>
      <c r="D21" s="10">
        <v>2022</v>
      </c>
      <c r="E21" s="11">
        <f>总计!O24</f>
        <v>47938.999999997453</v>
      </c>
      <c r="F21" s="16">
        <f t="shared" si="1"/>
        <v>0.69630000000000003</v>
      </c>
      <c r="G21" s="11">
        <f>总计!H24</f>
        <v>1838</v>
      </c>
      <c r="H21" s="16">
        <f t="shared" si="2"/>
        <v>4</v>
      </c>
      <c r="I21" s="11">
        <f>总计!S24</f>
        <v>641.5</v>
      </c>
      <c r="J21" s="16">
        <f t="shared" si="3"/>
        <v>4.7591999999999999</v>
      </c>
      <c r="K21" s="67">
        <f>总计!M24*1000</f>
        <v>24000</v>
      </c>
      <c r="L21" s="16">
        <v>0.42</v>
      </c>
      <c r="M21" s="11">
        <f>(总计!D24/100)*344</f>
        <v>298.00720000000001</v>
      </c>
      <c r="N21" s="11">
        <f>'[1]Consommation mensuel énergie'!E29</f>
        <v>0</v>
      </c>
      <c r="O21" s="12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8</v>
      </c>
      <c r="D22" s="10">
        <v>2022</v>
      </c>
      <c r="E22" s="11">
        <f>总计!O25</f>
        <v>49438.999999998363</v>
      </c>
      <c r="F22" s="16">
        <f t="shared" si="1"/>
        <v>0.69630000000000003</v>
      </c>
      <c r="G22" s="11">
        <f>总计!H25</f>
        <v>1843</v>
      </c>
      <c r="H22" s="16">
        <f t="shared" si="2"/>
        <v>4</v>
      </c>
      <c r="I22" s="11">
        <f>总计!S25</f>
        <v>765.5</v>
      </c>
      <c r="J22" s="16">
        <f t="shared" si="3"/>
        <v>4.7591999999999999</v>
      </c>
      <c r="K22" s="67">
        <f>总计!M25*1000</f>
        <v>28000</v>
      </c>
      <c r="L22" s="16">
        <v>0.42</v>
      </c>
      <c r="M22" s="11">
        <f>(总计!D25/100)*344</f>
        <v>289.99199999999996</v>
      </c>
      <c r="N22" s="11">
        <f>'[1]Consommation mensuel énergie'!E30</f>
        <v>0</v>
      </c>
      <c r="O22" s="12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8</v>
      </c>
      <c r="D23" s="10">
        <v>2022</v>
      </c>
      <c r="E23" s="11">
        <f>总计!O26</f>
        <v>51039.000000003725</v>
      </c>
      <c r="F23" s="16">
        <f t="shared" si="1"/>
        <v>0.69630000000000003</v>
      </c>
      <c r="G23" s="11">
        <f>总计!H26</f>
        <v>1808</v>
      </c>
      <c r="H23" s="16">
        <f t="shared" si="2"/>
        <v>4</v>
      </c>
      <c r="I23" s="11">
        <f>总计!S26</f>
        <v>823.5</v>
      </c>
      <c r="J23" s="16">
        <f t="shared" si="3"/>
        <v>4.7591999999999999</v>
      </c>
      <c r="K23" s="67">
        <f>总计!M26*1000</f>
        <v>29000</v>
      </c>
      <c r="L23" s="16">
        <v>0.42</v>
      </c>
      <c r="M23" s="11">
        <f>(总计!D26/100)*344</f>
        <v>274.99360000000001</v>
      </c>
      <c r="N23" s="11">
        <f>'[1]Consommation mensuel énergie'!E31</f>
        <v>0</v>
      </c>
      <c r="O23" s="12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8</v>
      </c>
      <c r="D24" s="10">
        <v>2022</v>
      </c>
      <c r="E24" s="11">
        <f>总计!O27</f>
        <v>50738.999999997177</v>
      </c>
      <c r="F24" s="16">
        <f t="shared" si="1"/>
        <v>0.69630000000000003</v>
      </c>
      <c r="G24" s="11">
        <f>总计!H27</f>
        <v>1851</v>
      </c>
      <c r="H24" s="16">
        <f t="shared" si="2"/>
        <v>4</v>
      </c>
      <c r="I24" s="11">
        <f>总计!S27</f>
        <v>653.5</v>
      </c>
      <c r="J24" s="16">
        <f t="shared" si="3"/>
        <v>4.7591999999999999</v>
      </c>
      <c r="K24" s="67">
        <f>总计!M27*1000</f>
        <v>30000</v>
      </c>
      <c r="L24" s="16">
        <v>0.42</v>
      </c>
      <c r="M24" s="11">
        <f>(总计!D27/100)*344</f>
        <v>303.99279999999999</v>
      </c>
      <c r="N24" s="11">
        <f>'[1]Consommation mensuel énergie'!E32</f>
        <v>0</v>
      </c>
      <c r="O24" s="12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8</v>
      </c>
      <c r="D25" s="10">
        <v>2022</v>
      </c>
      <c r="E25" s="11">
        <f>总计!O28</f>
        <v>50739.000000001732</v>
      </c>
      <c r="F25" s="16">
        <f t="shared" si="1"/>
        <v>0.69630000000000003</v>
      </c>
      <c r="G25" s="11">
        <f>总计!H28</f>
        <v>1876</v>
      </c>
      <c r="H25" s="16">
        <f t="shared" si="2"/>
        <v>4</v>
      </c>
      <c r="I25" s="11">
        <f>总计!S28</f>
        <v>692.5</v>
      </c>
      <c r="J25" s="16">
        <f t="shared" si="3"/>
        <v>4.7591999999999999</v>
      </c>
      <c r="K25" s="67">
        <f>总计!M28*1000</f>
        <v>27000</v>
      </c>
      <c r="L25" s="16">
        <v>0.42</v>
      </c>
      <c r="M25" s="11">
        <f>(总计!D28/100)*344</f>
        <v>309.01519999999999</v>
      </c>
      <c r="N25" s="11">
        <f>'[1]Consommation mensuel énergie'!E33</f>
        <v>0</v>
      </c>
      <c r="O25" s="12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8</v>
      </c>
      <c r="D26" s="10">
        <v>2022</v>
      </c>
      <c r="E26" s="11">
        <f>总计!O29</f>
        <v>48438.999999997002</v>
      </c>
      <c r="F26" s="16">
        <f t="shared" si="1"/>
        <v>0.69630000000000003</v>
      </c>
      <c r="G26" s="11">
        <f>总计!H29</f>
        <v>1842</v>
      </c>
      <c r="H26" s="16">
        <f t="shared" si="2"/>
        <v>4</v>
      </c>
      <c r="I26" s="11">
        <f>总计!S29</f>
        <v>701.5</v>
      </c>
      <c r="J26" s="16">
        <f t="shared" si="3"/>
        <v>4.7591999999999999</v>
      </c>
      <c r="K26" s="67">
        <f>总计!M29*1000</f>
        <v>27000</v>
      </c>
      <c r="L26" s="16">
        <v>0.42</v>
      </c>
      <c r="M26" s="11">
        <f>(总计!D29/100)*344</f>
        <v>294.01679999999999</v>
      </c>
      <c r="N26" s="11">
        <f>'[1]Consommation mensuel énergie'!E34</f>
        <v>0</v>
      </c>
      <c r="O26" s="12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8</v>
      </c>
      <c r="D27" s="10">
        <v>2022</v>
      </c>
      <c r="E27" s="11">
        <f>总计!O30</f>
        <v>48238.999999999454</v>
      </c>
      <c r="F27" s="16">
        <f t="shared" si="1"/>
        <v>0.69630000000000003</v>
      </c>
      <c r="G27" s="11">
        <f>总计!H30</f>
        <v>1893</v>
      </c>
      <c r="H27" s="16">
        <f t="shared" si="2"/>
        <v>4</v>
      </c>
      <c r="I27" s="11">
        <f>总计!S30</f>
        <v>684.5</v>
      </c>
      <c r="J27" s="16">
        <f t="shared" si="3"/>
        <v>4.7591999999999999</v>
      </c>
      <c r="K27" s="67">
        <f>总计!M30*1000</f>
        <v>29000</v>
      </c>
      <c r="L27" s="16">
        <v>0.42</v>
      </c>
      <c r="M27" s="11">
        <f>(总计!D30/100)*344</f>
        <v>270.00559999999996</v>
      </c>
      <c r="N27" s="11">
        <f>'[1]Consommation mensuel énergie'!E35</f>
        <v>0</v>
      </c>
      <c r="O27" s="12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8</v>
      </c>
      <c r="D28" s="10">
        <v>2022</v>
      </c>
      <c r="E28" s="11">
        <f>总计!O31</f>
        <v>49739.000000002634</v>
      </c>
      <c r="F28" s="16">
        <f t="shared" si="1"/>
        <v>0.69630000000000003</v>
      </c>
      <c r="G28" s="11">
        <f>总计!H31</f>
        <v>1778</v>
      </c>
      <c r="H28" s="16">
        <f t="shared" si="2"/>
        <v>4</v>
      </c>
      <c r="I28" s="11">
        <f>总计!S31</f>
        <v>715.5</v>
      </c>
      <c r="J28" s="16">
        <f t="shared" si="3"/>
        <v>4.7591999999999999</v>
      </c>
      <c r="K28" s="67">
        <f>总计!M31*1000</f>
        <v>24000</v>
      </c>
      <c r="L28" s="16">
        <v>0.42</v>
      </c>
      <c r="M28" s="11">
        <f>(总计!D31/100)*344</f>
        <v>310.01280000000003</v>
      </c>
      <c r="N28" s="11">
        <f>'[1]Consommation mensuel énergie'!E36</f>
        <v>0</v>
      </c>
      <c r="O28" s="12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8</v>
      </c>
      <c r="D29" s="10">
        <v>2022</v>
      </c>
      <c r="E29" s="11">
        <f>总计!O32</f>
        <v>50238.999999997635</v>
      </c>
      <c r="F29" s="16">
        <f t="shared" si="1"/>
        <v>0.69630000000000003</v>
      </c>
      <c r="G29" s="11">
        <f>总计!H32</f>
        <v>1746</v>
      </c>
      <c r="H29" s="16">
        <f t="shared" si="2"/>
        <v>4</v>
      </c>
      <c r="I29" s="11">
        <f>总计!S32</f>
        <v>674.5</v>
      </c>
      <c r="J29" s="16">
        <f t="shared" si="3"/>
        <v>4.7591999999999999</v>
      </c>
      <c r="K29" s="67">
        <f>总计!M32*1000</f>
        <v>28000</v>
      </c>
      <c r="L29" s="16">
        <v>0.42</v>
      </c>
      <c r="M29" s="11">
        <f>(总计!D32/100)*344</f>
        <v>246.99199999999999</v>
      </c>
      <c r="N29" s="11">
        <f>'[1]Consommation mensuel énergie'!E37</f>
        <v>0</v>
      </c>
      <c r="O29" s="12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8</v>
      </c>
      <c r="D30" s="10">
        <v>2022</v>
      </c>
      <c r="E30" s="11">
        <f>总计!O33</f>
        <v>49539.000000005093</v>
      </c>
      <c r="F30" s="16">
        <f t="shared" si="1"/>
        <v>0.69630000000000003</v>
      </c>
      <c r="G30" s="11">
        <f>总计!H33</f>
        <v>1715</v>
      </c>
      <c r="H30" s="16">
        <f t="shared" si="2"/>
        <v>4</v>
      </c>
      <c r="I30" s="11">
        <f>总计!S33</f>
        <v>749.5</v>
      </c>
      <c r="J30" s="16">
        <f t="shared" si="3"/>
        <v>4.7591999999999999</v>
      </c>
      <c r="K30" s="67">
        <f>总计!M33*1000</f>
        <v>27000</v>
      </c>
      <c r="L30" s="16">
        <v>0.42</v>
      </c>
      <c r="M30" s="11">
        <f>(总计!D33/100)*344</f>
        <v>276.98879999999997</v>
      </c>
      <c r="N30" s="11">
        <v>0</v>
      </c>
      <c r="O30" s="12"/>
    </row>
    <row r="31" spans="1:15">
      <c r="A31" s="8" t="s">
        <v>15</v>
      </c>
      <c r="B31" s="9">
        <f t="shared" si="0"/>
        <v>30</v>
      </c>
      <c r="C31" s="9">
        <v>8</v>
      </c>
      <c r="D31" s="10">
        <v>2022</v>
      </c>
      <c r="E31" s="11">
        <f>总计!O34</f>
        <v>49938.999999997905</v>
      </c>
      <c r="F31" s="16">
        <f t="shared" si="1"/>
        <v>0.69630000000000003</v>
      </c>
      <c r="G31" s="11">
        <f>总计!H34</f>
        <v>1929</v>
      </c>
      <c r="H31" s="16">
        <f t="shared" si="2"/>
        <v>4</v>
      </c>
      <c r="I31" s="11">
        <f>总计!S34</f>
        <v>654.5</v>
      </c>
      <c r="J31" s="16">
        <f t="shared" si="3"/>
        <v>4.7591999999999999</v>
      </c>
      <c r="K31" s="67">
        <f>总计!M34*1000</f>
        <v>28000</v>
      </c>
      <c r="L31" s="16">
        <v>0.42</v>
      </c>
      <c r="M31" s="11">
        <f>(总计!D34/100)*344</f>
        <v>239.01120000000003</v>
      </c>
      <c r="N31" s="11">
        <v>0</v>
      </c>
      <c r="O31" s="12"/>
    </row>
    <row r="32" spans="1:15">
      <c r="A32" s="8" t="s">
        <v>15</v>
      </c>
      <c r="B32" s="9">
        <f t="shared" si="0"/>
        <v>31</v>
      </c>
      <c r="C32" s="9">
        <v>8</v>
      </c>
      <c r="D32" s="10">
        <v>2022</v>
      </c>
      <c r="E32" s="11">
        <f>总计!O35</f>
        <v>50838.99999999936</v>
      </c>
      <c r="F32" s="16">
        <f t="shared" si="1"/>
        <v>0.69630000000000003</v>
      </c>
      <c r="G32" s="11">
        <f>总计!H35</f>
        <v>1747</v>
      </c>
      <c r="H32" s="16">
        <f t="shared" si="2"/>
        <v>4</v>
      </c>
      <c r="I32" s="11">
        <f>总计!S35</f>
        <v>809.5</v>
      </c>
      <c r="J32" s="16">
        <f t="shared" si="3"/>
        <v>4.7591999999999999</v>
      </c>
      <c r="K32" s="67">
        <f>总计!M35*1000</f>
        <v>26000</v>
      </c>
      <c r="L32" s="16">
        <v>0.42</v>
      </c>
      <c r="M32" s="11">
        <f>(总计!D35/100)*344</f>
        <v>255.00719999999998</v>
      </c>
      <c r="N32" s="11">
        <v>0</v>
      </c>
      <c r="O32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="85" zoomScaleNormal="85" workbookViewId="0">
      <selection activeCell="T5" sqref="T5"/>
    </sheetView>
  </sheetViews>
  <sheetFormatPr defaultRowHeight="14.25"/>
  <cols>
    <col min="1" max="1" width="4.625" style="20" customWidth="1"/>
    <col min="2" max="4" width="5.625" style="20" customWidth="1"/>
    <col min="5" max="5" width="8.625" style="20" customWidth="1"/>
    <col min="6" max="6" width="8.625" style="51" customWidth="1"/>
    <col min="7" max="8" width="8.625" style="20" customWidth="1"/>
    <col min="9" max="9" width="12.625" style="20" customWidth="1"/>
    <col min="10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0.75" style="20" customWidth="1"/>
    <col min="16" max="16" width="12.625" style="20" customWidth="1"/>
    <col min="17" max="17" width="8.625" style="20" customWidth="1"/>
    <col min="18" max="19" width="8.625" style="52" customWidth="1"/>
    <col min="20" max="20" width="10.625" style="52" customWidth="1"/>
    <col min="21" max="21" width="16.625" style="50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0.7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0.7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0.7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0.7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0.7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0.7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0.7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0.7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0.7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0.7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0.7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0.7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0.7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0.7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0.7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0.7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0.7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0.7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0.7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0.7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0.7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0.7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0.7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0.7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0.7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0.7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0.7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0.7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0.7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0.7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0.7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0.7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0.7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0.7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0.7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0.7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0.7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0.7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0.7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0.7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0.7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0.7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0.7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0.7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0.7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0.7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0.7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0.7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0.7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0.7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0.7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0.7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0.7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0.7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0.7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0.7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0.7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0.7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0.7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0.7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0.7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0.7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0.7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>
      <c r="A1" s="93" t="s">
        <v>47</v>
      </c>
      <c r="B1" s="93"/>
      <c r="C1" s="93"/>
      <c r="D1" s="93"/>
      <c r="E1" s="93"/>
      <c r="F1" s="94"/>
      <c r="G1" s="93"/>
      <c r="H1" s="93"/>
      <c r="I1" s="93"/>
      <c r="J1" s="93"/>
      <c r="K1" s="93"/>
      <c r="L1" s="95"/>
      <c r="M1" s="95"/>
      <c r="N1" s="95"/>
      <c r="O1" s="95"/>
      <c r="P1" s="95"/>
      <c r="Q1" s="95"/>
      <c r="R1" s="95"/>
      <c r="S1" s="95"/>
      <c r="T1" s="95"/>
      <c r="U1" s="95"/>
    </row>
    <row r="2" spans="1:21" s="21" customFormat="1" ht="21.6" customHeight="1">
      <c r="A2" s="96" t="s">
        <v>16</v>
      </c>
      <c r="B2" s="99" t="s">
        <v>26</v>
      </c>
      <c r="C2" s="102" t="s">
        <v>17</v>
      </c>
      <c r="D2" s="96" t="s">
        <v>18</v>
      </c>
      <c r="E2" s="105" t="s">
        <v>27</v>
      </c>
      <c r="F2" s="107" t="s">
        <v>28</v>
      </c>
      <c r="G2" s="96" t="s">
        <v>29</v>
      </c>
      <c r="H2" s="107" t="s">
        <v>48</v>
      </c>
      <c r="I2" s="110"/>
      <c r="J2" s="83" t="s">
        <v>30</v>
      </c>
      <c r="K2" s="83" t="s">
        <v>42</v>
      </c>
      <c r="L2" s="85" t="s">
        <v>40</v>
      </c>
      <c r="M2" s="87" t="s">
        <v>49</v>
      </c>
      <c r="N2" s="88"/>
      <c r="O2" s="72" t="s">
        <v>50</v>
      </c>
      <c r="P2" s="91"/>
      <c r="Q2" s="72" t="s">
        <v>31</v>
      </c>
      <c r="R2" s="83" t="s">
        <v>41</v>
      </c>
      <c r="S2" s="72" t="s">
        <v>51</v>
      </c>
      <c r="T2" s="73"/>
      <c r="U2" s="76" t="s">
        <v>19</v>
      </c>
    </row>
    <row r="3" spans="1:21" s="22" customFormat="1" ht="21.6" customHeight="1" thickBot="1">
      <c r="A3" s="97"/>
      <c r="B3" s="100"/>
      <c r="C3" s="103"/>
      <c r="D3" s="97"/>
      <c r="E3" s="106"/>
      <c r="F3" s="108"/>
      <c r="G3" s="109"/>
      <c r="H3" s="111"/>
      <c r="I3" s="112"/>
      <c r="J3" s="84"/>
      <c r="K3" s="84"/>
      <c r="L3" s="86"/>
      <c r="M3" s="89"/>
      <c r="N3" s="90"/>
      <c r="O3" s="74"/>
      <c r="P3" s="92"/>
      <c r="Q3" s="74"/>
      <c r="R3" s="84"/>
      <c r="S3" s="74"/>
      <c r="T3" s="75"/>
      <c r="U3" s="77"/>
    </row>
    <row r="4" spans="1:21" s="21" customFormat="1" ht="21.6" customHeight="1" thickBot="1">
      <c r="A4" s="98"/>
      <c r="B4" s="101"/>
      <c r="C4" s="104"/>
      <c r="D4" s="98"/>
      <c r="E4" s="23" t="s">
        <v>32</v>
      </c>
      <c r="F4" s="24" t="s">
        <v>32</v>
      </c>
      <c r="G4" s="23" t="s">
        <v>33</v>
      </c>
      <c r="H4" s="23" t="s">
        <v>32</v>
      </c>
      <c r="I4" s="23" t="s">
        <v>21</v>
      </c>
      <c r="J4" s="24" t="s">
        <v>34</v>
      </c>
      <c r="K4" s="23" t="s">
        <v>35</v>
      </c>
      <c r="L4" s="25" t="s">
        <v>36</v>
      </c>
      <c r="M4" s="26" t="s">
        <v>23</v>
      </c>
      <c r="N4" s="23" t="s">
        <v>20</v>
      </c>
      <c r="O4" s="23" t="s">
        <v>22</v>
      </c>
      <c r="P4" s="26" t="s">
        <v>20</v>
      </c>
      <c r="Q4" s="27" t="s">
        <v>37</v>
      </c>
      <c r="R4" s="23" t="s">
        <v>38</v>
      </c>
      <c r="S4" s="25" t="s">
        <v>39</v>
      </c>
      <c r="T4" s="23" t="s">
        <v>20</v>
      </c>
      <c r="U4" s="78"/>
    </row>
    <row r="5" spans="1:21" s="35" customFormat="1" ht="21.6" customHeight="1" thickBot="1">
      <c r="A5" s="28">
        <v>1</v>
      </c>
      <c r="B5" s="29" t="s">
        <v>52</v>
      </c>
      <c r="C5" s="30">
        <v>55</v>
      </c>
      <c r="D5" s="31">
        <v>87.21</v>
      </c>
      <c r="E5" s="32">
        <f>SUM([2]厨房燃气!BH7)</f>
        <v>502</v>
      </c>
      <c r="F5" s="33">
        <f>SUM('[2]B1 &amp; 102F 锅炉房'!C7)</f>
        <v>1304</v>
      </c>
      <c r="G5" s="38">
        <f>SUM('[2]B1 &amp; 102F 锅炉房'!H7)</f>
        <v>0</v>
      </c>
      <c r="H5" s="33">
        <f t="shared" ref="H5:H20" si="0">SUM(G5+F5+E5)</f>
        <v>1806</v>
      </c>
      <c r="I5" s="39">
        <f>IF(H5&gt;0,H5*4,0)</f>
        <v>7224</v>
      </c>
      <c r="J5" s="32">
        <f>SUM([2]主塔楼空调用电量!V4)</f>
        <v>13455</v>
      </c>
      <c r="K5" s="38">
        <v>12639</v>
      </c>
      <c r="L5" s="33">
        <f>SUM('[2]68F 高压F13&amp;F30'!F7)</f>
        <v>39000.000000000909</v>
      </c>
      <c r="M5" s="71">
        <f>SUM([2]裙楼空调用量!L4)</f>
        <v>25</v>
      </c>
      <c r="N5" s="68">
        <f>IF(M5*417&gt;0,M5*275.066+1655)</f>
        <v>8531.65</v>
      </c>
      <c r="O5" s="69">
        <f>K5+L5</f>
        <v>51639.000000000909</v>
      </c>
      <c r="P5" s="113">
        <f>O5*0.6963</f>
        <v>35956.235700000638</v>
      </c>
      <c r="Q5" s="32">
        <f>SUM('[2]B4 水表'!C7)</f>
        <v>660</v>
      </c>
      <c r="R5" s="71">
        <v>47.5</v>
      </c>
      <c r="S5" s="33">
        <f>Q5+R5</f>
        <v>707.5</v>
      </c>
      <c r="T5" s="114">
        <f>S5*4.7592</f>
        <v>3367.134</v>
      </c>
      <c r="U5" s="34">
        <f>SUM(I5+N5+P5+T5)</f>
        <v>55079.019700000637</v>
      </c>
    </row>
    <row r="6" spans="1:21" s="35" customFormat="1" ht="21.6" customHeight="1" thickBot="1">
      <c r="A6" s="36">
        <v>2</v>
      </c>
      <c r="B6" s="29" t="s">
        <v>53</v>
      </c>
      <c r="C6" s="30">
        <v>25</v>
      </c>
      <c r="D6" s="31">
        <v>91.57</v>
      </c>
      <c r="E6" s="37">
        <f>SUM([2]厨房燃气!BH8)</f>
        <v>455</v>
      </c>
      <c r="F6" s="38">
        <f>SUM('[2]B1 &amp; 102F 锅炉房'!C8)</f>
        <v>1277</v>
      </c>
      <c r="G6" s="38">
        <f>SUM('[2]B1 &amp; 102F 锅炉房'!H8)</f>
        <v>0</v>
      </c>
      <c r="H6" s="38">
        <f t="shared" si="0"/>
        <v>1732</v>
      </c>
      <c r="I6" s="39">
        <f>IF(H6&gt;0,H6*4,0)</f>
        <v>6928</v>
      </c>
      <c r="J6" s="37">
        <f>SUM([2]主塔楼空调用电量!V5)</f>
        <v>12627</v>
      </c>
      <c r="K6" s="38">
        <v>12639</v>
      </c>
      <c r="L6" s="38">
        <f>SUM('[2]68F 高压F13&amp;F30'!F8)</f>
        <v>38799.999999998821</v>
      </c>
      <c r="M6" s="38">
        <f>SUM([2]裙楼空调用量!L5)</f>
        <v>27</v>
      </c>
      <c r="N6" s="68">
        <f t="shared" ref="N6:N35" si="1">IF(M6*417&gt;0,M6*275.066+1655)</f>
        <v>9081.7819999999992</v>
      </c>
      <c r="O6" s="64">
        <f t="shared" ref="O6:O34" si="2">K6+L6</f>
        <v>51438.999999998821</v>
      </c>
      <c r="P6" s="113">
        <f t="shared" ref="P6:P35" si="3">O6*0.6963</f>
        <v>35816.975699999181</v>
      </c>
      <c r="Q6" s="37">
        <f>SUM('[2]B4 水表'!C8)</f>
        <v>641</v>
      </c>
      <c r="R6" s="38">
        <v>47.5</v>
      </c>
      <c r="S6" s="38">
        <f t="shared" ref="S6:S33" si="4">Q6+R6</f>
        <v>688.5</v>
      </c>
      <c r="T6" s="40">
        <f t="shared" ref="T6:T35" si="5">S6*4.7592</f>
        <v>3276.7091999999998</v>
      </c>
      <c r="U6" s="34">
        <f t="shared" ref="U6:U34" si="6">SUM(I6+N6+P6+T6)</f>
        <v>55103.466899999177</v>
      </c>
    </row>
    <row r="7" spans="1:21" s="35" customFormat="1" ht="21.6" customHeight="1" thickBot="1">
      <c r="A7" s="36">
        <v>3</v>
      </c>
      <c r="B7" s="29" t="s">
        <v>54</v>
      </c>
      <c r="C7" s="30">
        <v>30</v>
      </c>
      <c r="D7" s="31">
        <v>87.5</v>
      </c>
      <c r="E7" s="37">
        <f>SUM([2]厨房燃气!BH9)</f>
        <v>544</v>
      </c>
      <c r="F7" s="38">
        <f>SUM('[2]B1 &amp; 102F 锅炉房'!C9)</f>
        <v>1243</v>
      </c>
      <c r="G7" s="38">
        <f>SUM('[2]B1 &amp; 102F 锅炉房'!H9)</f>
        <v>0</v>
      </c>
      <c r="H7" s="38">
        <f t="shared" si="0"/>
        <v>1787</v>
      </c>
      <c r="I7" s="39">
        <f>IF(H7&gt;0,H7*4,0)</f>
        <v>7148</v>
      </c>
      <c r="J7" s="37">
        <f>SUM([2]主塔楼空调用电量!V6)</f>
        <v>11778</v>
      </c>
      <c r="K7" s="38">
        <v>12639</v>
      </c>
      <c r="L7" s="38">
        <f>SUM('[2]68F 高压F13&amp;F30'!F9)</f>
        <v>36300.000000001091</v>
      </c>
      <c r="M7" s="38">
        <f>SUM([2]裙楼空调用量!L6)</f>
        <v>26</v>
      </c>
      <c r="N7" s="68">
        <f t="shared" si="1"/>
        <v>8806.7160000000003</v>
      </c>
      <c r="O7" s="64">
        <f t="shared" si="2"/>
        <v>48939.000000001091</v>
      </c>
      <c r="P7" s="113">
        <f t="shared" si="3"/>
        <v>34076.225700000759</v>
      </c>
      <c r="Q7" s="37">
        <f>SUM('[2]B4 水表'!C9)</f>
        <v>604</v>
      </c>
      <c r="R7" s="38">
        <v>47.5</v>
      </c>
      <c r="S7" s="38">
        <f t="shared" si="4"/>
        <v>651.5</v>
      </c>
      <c r="T7" s="40">
        <f t="shared" si="5"/>
        <v>3100.6187999999997</v>
      </c>
      <c r="U7" s="34">
        <f t="shared" si="6"/>
        <v>53131.560500000756</v>
      </c>
    </row>
    <row r="8" spans="1:21" s="35" customFormat="1" ht="21.6" customHeight="1" thickBot="1">
      <c r="A8" s="36">
        <v>4</v>
      </c>
      <c r="B8" s="29" t="s">
        <v>55</v>
      </c>
      <c r="C8" s="30">
        <v>35</v>
      </c>
      <c r="D8" s="31">
        <v>90.7</v>
      </c>
      <c r="E8" s="37">
        <f>SUM([2]厨房燃气!BH10)</f>
        <v>525</v>
      </c>
      <c r="F8" s="38">
        <f>SUM('[2]B1 &amp; 102F 锅炉房'!C10)</f>
        <v>1278</v>
      </c>
      <c r="G8" s="38">
        <f>SUM('[2]B1 &amp; 102F 锅炉房'!H10)</f>
        <v>0</v>
      </c>
      <c r="H8" s="38">
        <f t="shared" si="0"/>
        <v>1803</v>
      </c>
      <c r="I8" s="39">
        <f t="shared" ref="I8:I35" si="7">IF(H8&gt;0,H8*4,0)</f>
        <v>7212</v>
      </c>
      <c r="J8" s="37">
        <f>SUM([2]主塔楼空调用电量!V7)</f>
        <v>9951</v>
      </c>
      <c r="K8" s="38">
        <v>12639</v>
      </c>
      <c r="L8" s="38">
        <f>SUM('[2]68F 高压F13&amp;F30'!F10)</f>
        <v>35499.999999999549</v>
      </c>
      <c r="M8" s="38">
        <f>SUM([2]裙楼空调用量!L7)</f>
        <v>24</v>
      </c>
      <c r="N8" s="68">
        <f t="shared" si="1"/>
        <v>8256.5839999999989</v>
      </c>
      <c r="O8" s="64">
        <f t="shared" si="2"/>
        <v>48138.999999999549</v>
      </c>
      <c r="P8" s="113">
        <f t="shared" si="3"/>
        <v>33519.185699999689</v>
      </c>
      <c r="Q8" s="37">
        <f>SUM('[2]B4 水表'!C10)</f>
        <v>699</v>
      </c>
      <c r="R8" s="38">
        <v>47.5</v>
      </c>
      <c r="S8" s="38">
        <f t="shared" si="4"/>
        <v>746.5</v>
      </c>
      <c r="T8" s="40">
        <f t="shared" si="5"/>
        <v>3552.7428</v>
      </c>
      <c r="U8" s="34">
        <f t="shared" si="6"/>
        <v>52540.512499999684</v>
      </c>
    </row>
    <row r="9" spans="1:21" s="35" customFormat="1" ht="21.6" customHeight="1" thickBot="1">
      <c r="A9" s="36">
        <v>5</v>
      </c>
      <c r="B9" s="29" t="s">
        <v>56</v>
      </c>
      <c r="C9" s="30">
        <v>134</v>
      </c>
      <c r="D9" s="31">
        <v>84.01</v>
      </c>
      <c r="E9" s="37">
        <f>SUM([2]厨房燃气!BH11)</f>
        <v>559</v>
      </c>
      <c r="F9" s="38">
        <f>SUM('[2]B1 &amp; 102F 锅炉房'!C11)</f>
        <v>1314</v>
      </c>
      <c r="G9" s="38">
        <f>SUM('[2]B1 &amp; 102F 锅炉房'!H11)</f>
        <v>0</v>
      </c>
      <c r="H9" s="38">
        <f t="shared" si="0"/>
        <v>1873</v>
      </c>
      <c r="I9" s="39">
        <f t="shared" si="7"/>
        <v>7492</v>
      </c>
      <c r="J9" s="37">
        <f>SUM([2]主塔楼空调用电量!V8)</f>
        <v>11170</v>
      </c>
      <c r="K9" s="38">
        <v>12639</v>
      </c>
      <c r="L9" s="38">
        <f>SUM('[2]68F 高压F13&amp;F30'!F11)</f>
        <v>36799.999999998363</v>
      </c>
      <c r="M9" s="38">
        <f>SUM([2]裙楼空调用量!L8)</f>
        <v>28</v>
      </c>
      <c r="N9" s="68">
        <f t="shared" si="1"/>
        <v>9356.8479999999981</v>
      </c>
      <c r="O9" s="64">
        <f t="shared" si="2"/>
        <v>49438.999999998363</v>
      </c>
      <c r="P9" s="113">
        <f t="shared" si="3"/>
        <v>34424.375699998862</v>
      </c>
      <c r="Q9" s="37">
        <f>SUM('[2]B4 水表'!C11)</f>
        <v>675</v>
      </c>
      <c r="R9" s="38">
        <v>47.5</v>
      </c>
      <c r="S9" s="38">
        <f t="shared" si="4"/>
        <v>722.5</v>
      </c>
      <c r="T9" s="40">
        <f t="shared" si="5"/>
        <v>3438.5219999999999</v>
      </c>
      <c r="U9" s="34">
        <f t="shared" si="6"/>
        <v>54711.745699998857</v>
      </c>
    </row>
    <row r="10" spans="1:21" s="35" customFormat="1" ht="21.6" customHeight="1" thickBot="1">
      <c r="A10" s="36">
        <v>6</v>
      </c>
      <c r="B10" s="29" t="s">
        <v>57</v>
      </c>
      <c r="C10" s="30">
        <v>85</v>
      </c>
      <c r="D10" s="31">
        <v>92.73</v>
      </c>
      <c r="E10" s="37">
        <f>SUM([2]厨房燃气!BH12)</f>
        <v>524</v>
      </c>
      <c r="F10" s="38">
        <f>SUM('[2]B1 &amp; 102F 锅炉房'!C12)</f>
        <v>1307</v>
      </c>
      <c r="G10" s="38">
        <f>SUM('[2]B1 &amp; 102F 锅炉房'!H12)</f>
        <v>0</v>
      </c>
      <c r="H10" s="38">
        <f t="shared" si="0"/>
        <v>1831</v>
      </c>
      <c r="I10" s="39">
        <f t="shared" si="7"/>
        <v>7324</v>
      </c>
      <c r="J10" s="37">
        <f>SUM([2]主塔楼空调用电量!V9)</f>
        <v>11492</v>
      </c>
      <c r="K10" s="38">
        <v>12639</v>
      </c>
      <c r="L10" s="38">
        <f>SUM('[2]68F 高压F13&amp;F30'!F12)</f>
        <v>37300.000000000182</v>
      </c>
      <c r="M10" s="38">
        <f>SUM([2]裙楼空调用量!L9)</f>
        <v>24</v>
      </c>
      <c r="N10" s="68">
        <f t="shared" si="1"/>
        <v>8256.5839999999989</v>
      </c>
      <c r="O10" s="64">
        <f t="shared" si="2"/>
        <v>49939.000000000182</v>
      </c>
      <c r="P10" s="113">
        <f t="shared" si="3"/>
        <v>34772.525700000129</v>
      </c>
      <c r="Q10" s="37">
        <f>SUM('[2]B4 水表'!C12)</f>
        <v>676</v>
      </c>
      <c r="R10" s="38">
        <v>47.5</v>
      </c>
      <c r="S10" s="38">
        <f t="shared" si="4"/>
        <v>723.5</v>
      </c>
      <c r="T10" s="40">
        <f t="shared" si="5"/>
        <v>3443.2811999999999</v>
      </c>
      <c r="U10" s="34">
        <f t="shared" si="6"/>
        <v>53796.390900000129</v>
      </c>
    </row>
    <row r="11" spans="1:21" s="35" customFormat="1" ht="21.6" customHeight="1" thickBot="1">
      <c r="A11" s="36">
        <v>7</v>
      </c>
      <c r="B11" s="29" t="s">
        <v>58</v>
      </c>
      <c r="C11" s="30">
        <v>14</v>
      </c>
      <c r="D11" s="31">
        <v>78.599999999999994</v>
      </c>
      <c r="E11" s="37">
        <f>SUM([2]厨房燃气!BH13)</f>
        <v>530</v>
      </c>
      <c r="F11" s="38">
        <f>SUM('[2]B1 &amp; 102F 锅炉房'!C13)</f>
        <v>1273</v>
      </c>
      <c r="G11" s="38">
        <f>SUM('[2]B1 &amp; 102F 锅炉房'!H13)</f>
        <v>0</v>
      </c>
      <c r="H11" s="38">
        <f t="shared" si="0"/>
        <v>1803</v>
      </c>
      <c r="I11" s="39">
        <f t="shared" si="7"/>
        <v>7212</v>
      </c>
      <c r="J11" s="37">
        <f>SUM([2]主塔楼空调用电量!V10)</f>
        <v>11738</v>
      </c>
      <c r="K11" s="38">
        <v>12639</v>
      </c>
      <c r="L11" s="38">
        <f>SUM('[2]68F 高压F13&amp;F30'!F13)</f>
        <v>37700.000000004366</v>
      </c>
      <c r="M11" s="38">
        <f>SUM([2]裙楼空调用量!L10)</f>
        <v>24</v>
      </c>
      <c r="N11" s="68">
        <f t="shared" si="1"/>
        <v>8256.5839999999989</v>
      </c>
      <c r="O11" s="64">
        <f t="shared" si="2"/>
        <v>50339.000000004366</v>
      </c>
      <c r="P11" s="113">
        <f t="shared" si="3"/>
        <v>35051.045700003044</v>
      </c>
      <c r="Q11" s="37">
        <f>SUM('[2]B4 水表'!C13)</f>
        <v>686</v>
      </c>
      <c r="R11" s="38">
        <v>47.5</v>
      </c>
      <c r="S11" s="38">
        <f t="shared" si="4"/>
        <v>733.5</v>
      </c>
      <c r="T11" s="40">
        <f t="shared" si="5"/>
        <v>3490.8732</v>
      </c>
      <c r="U11" s="34">
        <f t="shared" si="6"/>
        <v>54010.502900003048</v>
      </c>
    </row>
    <row r="12" spans="1:21" s="35" customFormat="1" ht="21.6" customHeight="1" thickBot="1">
      <c r="A12" s="36">
        <v>8</v>
      </c>
      <c r="B12" s="29" t="s">
        <v>59</v>
      </c>
      <c r="C12" s="30">
        <v>96</v>
      </c>
      <c r="D12" s="31">
        <v>90.99</v>
      </c>
      <c r="E12" s="37">
        <f>SUM([2]厨房燃气!BH14)</f>
        <v>477</v>
      </c>
      <c r="F12" s="38">
        <f>SUM('[2]B1 &amp; 102F 锅炉房'!C14)</f>
        <v>1287</v>
      </c>
      <c r="G12" s="38">
        <f>SUM('[2]B1 &amp; 102F 锅炉房'!H14)</f>
        <v>0</v>
      </c>
      <c r="H12" s="38">
        <f t="shared" si="0"/>
        <v>1764</v>
      </c>
      <c r="I12" s="39">
        <f t="shared" si="7"/>
        <v>7056</v>
      </c>
      <c r="J12" s="37">
        <f>SUM([2]主塔楼空调用电量!V11)</f>
        <v>11986</v>
      </c>
      <c r="K12" s="38">
        <v>12639</v>
      </c>
      <c r="L12" s="38">
        <f>SUM('[2]68F 高压F13&amp;F30'!F14)</f>
        <v>37799.999999999724</v>
      </c>
      <c r="M12" s="38">
        <f>SUM([2]裙楼空调用量!L11)</f>
        <v>24</v>
      </c>
      <c r="N12" s="68">
        <f t="shared" si="1"/>
        <v>8256.5839999999989</v>
      </c>
      <c r="O12" s="64">
        <f t="shared" si="2"/>
        <v>50438.999999999724</v>
      </c>
      <c r="P12" s="113">
        <f t="shared" si="3"/>
        <v>35120.675699999811</v>
      </c>
      <c r="Q12" s="37">
        <f>SUM('[2]B4 水表'!C14)</f>
        <v>692</v>
      </c>
      <c r="R12" s="38">
        <v>47.5</v>
      </c>
      <c r="S12" s="38">
        <f t="shared" si="4"/>
        <v>739.5</v>
      </c>
      <c r="T12" s="40">
        <f t="shared" si="5"/>
        <v>3519.4283999999998</v>
      </c>
      <c r="U12" s="34">
        <f t="shared" si="6"/>
        <v>53952.688099999803</v>
      </c>
    </row>
    <row r="13" spans="1:21" s="35" customFormat="1" ht="21.6" customHeight="1" thickBot="1">
      <c r="A13" s="36">
        <v>9</v>
      </c>
      <c r="B13" s="29" t="s">
        <v>45</v>
      </c>
      <c r="C13" s="30">
        <v>105</v>
      </c>
      <c r="D13" s="31">
        <v>88.95</v>
      </c>
      <c r="E13" s="37">
        <f>SUM([2]厨房燃气!BH15)</f>
        <v>475</v>
      </c>
      <c r="F13" s="38">
        <f>SUM('[2]B1 &amp; 102F 锅炉房'!C15)</f>
        <v>1275</v>
      </c>
      <c r="G13" s="38">
        <f>SUM('[2]B1 &amp; 102F 锅炉房'!H15)</f>
        <v>0</v>
      </c>
      <c r="H13" s="38">
        <f t="shared" si="0"/>
        <v>1750</v>
      </c>
      <c r="I13" s="39">
        <f t="shared" si="7"/>
        <v>7000</v>
      </c>
      <c r="J13" s="37">
        <f>SUM([2]主塔楼空调用电量!V12)</f>
        <v>11059</v>
      </c>
      <c r="K13" s="38">
        <v>12639</v>
      </c>
      <c r="L13" s="38">
        <f>SUM('[2]68F 高压F13&amp;F30'!F15)</f>
        <v>37899.999999999636</v>
      </c>
      <c r="M13" s="38">
        <f>SUM([2]裙楼空调用量!L12)</f>
        <v>26</v>
      </c>
      <c r="N13" s="68">
        <f t="shared" si="1"/>
        <v>8806.7160000000003</v>
      </c>
      <c r="O13" s="64">
        <f t="shared" si="2"/>
        <v>50538.999999999636</v>
      </c>
      <c r="P13" s="113">
        <f t="shared" si="3"/>
        <v>35190.30569999975</v>
      </c>
      <c r="Q13" s="37">
        <f>SUM('[2]B4 水表'!C15)</f>
        <v>673</v>
      </c>
      <c r="R13" s="38">
        <v>47.5</v>
      </c>
      <c r="S13" s="38">
        <f t="shared" si="4"/>
        <v>720.5</v>
      </c>
      <c r="T13" s="40">
        <f t="shared" si="5"/>
        <v>3429.0036</v>
      </c>
      <c r="U13" s="34">
        <f t="shared" si="6"/>
        <v>54426.025299999746</v>
      </c>
    </row>
    <row r="14" spans="1:21" s="35" customFormat="1" ht="21.6" customHeight="1" thickBot="1">
      <c r="A14" s="36">
        <v>10</v>
      </c>
      <c r="B14" s="29" t="s">
        <v>45</v>
      </c>
      <c r="C14" s="30">
        <v>180</v>
      </c>
      <c r="D14" s="31">
        <v>85.76</v>
      </c>
      <c r="E14" s="37">
        <f>SUM([2]厨房燃气!BH16)</f>
        <v>510</v>
      </c>
      <c r="F14" s="38">
        <f>SUM('[2]B1 &amp; 102F 锅炉房'!C16)</f>
        <v>1244</v>
      </c>
      <c r="G14" s="38">
        <f>SUM('[2]B1 &amp; 102F 锅炉房'!H16)</f>
        <v>0</v>
      </c>
      <c r="H14" s="38">
        <f t="shared" si="0"/>
        <v>1754</v>
      </c>
      <c r="I14" s="39">
        <f t="shared" si="7"/>
        <v>7016</v>
      </c>
      <c r="J14" s="37">
        <f>SUM([2]主塔楼空调用电量!V13)</f>
        <v>9467</v>
      </c>
      <c r="K14" s="38">
        <v>12639</v>
      </c>
      <c r="L14" s="38">
        <f>SUM('[2]68F 高压F13&amp;F30'!F16)</f>
        <v>33999.999999996362</v>
      </c>
      <c r="M14" s="38">
        <f>SUM([2]裙楼空调用量!L13)</f>
        <v>24</v>
      </c>
      <c r="N14" s="68">
        <f t="shared" si="1"/>
        <v>8256.5839999999989</v>
      </c>
      <c r="O14" s="64">
        <f t="shared" si="2"/>
        <v>46638.999999996362</v>
      </c>
      <c r="P14" s="113">
        <f t="shared" si="3"/>
        <v>32474.735699997469</v>
      </c>
      <c r="Q14" s="37">
        <f>SUM('[2]B4 水表'!C16)</f>
        <v>644</v>
      </c>
      <c r="R14" s="38">
        <v>47.5</v>
      </c>
      <c r="S14" s="38">
        <f t="shared" si="4"/>
        <v>691.5</v>
      </c>
      <c r="T14" s="40">
        <f t="shared" si="5"/>
        <v>3290.9868000000001</v>
      </c>
      <c r="U14" s="34">
        <f t="shared" si="6"/>
        <v>51038.306499997467</v>
      </c>
    </row>
    <row r="15" spans="1:21" s="35" customFormat="1" ht="21.6" customHeight="1" thickBot="1">
      <c r="A15" s="36">
        <v>11</v>
      </c>
      <c r="B15" s="29" t="s">
        <v>54</v>
      </c>
      <c r="C15" s="30">
        <v>100</v>
      </c>
      <c r="D15" s="31">
        <v>82.85</v>
      </c>
      <c r="E15" s="37">
        <f>SUM([2]厨房燃气!BH17)</f>
        <v>568</v>
      </c>
      <c r="F15" s="38">
        <f>SUM('[2]B1 &amp; 102F 锅炉房'!C17)</f>
        <v>1263</v>
      </c>
      <c r="G15" s="38">
        <f>SUM('[2]B1 &amp; 102F 锅炉房'!H17)</f>
        <v>0</v>
      </c>
      <c r="H15" s="38">
        <f t="shared" si="0"/>
        <v>1831</v>
      </c>
      <c r="I15" s="39">
        <f t="shared" si="7"/>
        <v>7324</v>
      </c>
      <c r="J15" s="37">
        <f>SUM([2]主塔楼空调用电量!V14)</f>
        <v>10521</v>
      </c>
      <c r="K15" s="38">
        <v>12639</v>
      </c>
      <c r="L15" s="38">
        <f>SUM('[2]68F 高压F13&amp;F30'!F17)</f>
        <v>36200.000000003456</v>
      </c>
      <c r="M15" s="38">
        <f>SUM([2]裙楼空调用量!L14)</f>
        <v>26</v>
      </c>
      <c r="N15" s="68">
        <f t="shared" si="1"/>
        <v>8806.7160000000003</v>
      </c>
      <c r="O15" s="64">
        <f t="shared" si="2"/>
        <v>48839.000000003456</v>
      </c>
      <c r="P15" s="113">
        <f t="shared" si="3"/>
        <v>34006.595700002406</v>
      </c>
      <c r="Q15" s="37">
        <f>SUM('[2]B4 水表'!C17)</f>
        <v>665</v>
      </c>
      <c r="R15" s="38">
        <v>47.5</v>
      </c>
      <c r="S15" s="38">
        <f t="shared" si="4"/>
        <v>712.5</v>
      </c>
      <c r="T15" s="40">
        <f t="shared" si="5"/>
        <v>3390.93</v>
      </c>
      <c r="U15" s="34">
        <f t="shared" si="6"/>
        <v>53528.241700002407</v>
      </c>
    </row>
    <row r="16" spans="1:21" s="35" customFormat="1" ht="21.6" customHeight="1" thickBot="1">
      <c r="A16" s="36">
        <v>12</v>
      </c>
      <c r="B16" s="29" t="s">
        <v>60</v>
      </c>
      <c r="C16" s="30">
        <v>390</v>
      </c>
      <c r="D16" s="31">
        <v>74.5</v>
      </c>
      <c r="E16" s="37">
        <f>SUM([2]厨房燃气!BH18)</f>
        <v>513</v>
      </c>
      <c r="F16" s="38">
        <f>SUM('[2]B1 &amp; 102F 锅炉房'!C18)</f>
        <v>1246</v>
      </c>
      <c r="G16" s="38">
        <f>SUM('[2]B1 &amp; 102F 锅炉房'!H18)</f>
        <v>0</v>
      </c>
      <c r="H16" s="38">
        <f t="shared" si="0"/>
        <v>1759</v>
      </c>
      <c r="I16" s="39">
        <f t="shared" si="7"/>
        <v>7036</v>
      </c>
      <c r="J16" s="37">
        <f>SUM([2]主塔楼空调用电量!V15)</f>
        <v>9767</v>
      </c>
      <c r="K16" s="38">
        <v>12639</v>
      </c>
      <c r="L16" s="38">
        <f>SUM('[2]68F 高压F13&amp;F30'!F18)</f>
        <v>34599.999999995816</v>
      </c>
      <c r="M16" s="38">
        <f>SUM([2]裙楼空调用量!L15)</f>
        <v>26</v>
      </c>
      <c r="N16" s="68">
        <f t="shared" si="1"/>
        <v>8806.7160000000003</v>
      </c>
      <c r="O16" s="64">
        <f t="shared" si="2"/>
        <v>47238.999999995816</v>
      </c>
      <c r="P16" s="113">
        <f t="shared" si="3"/>
        <v>32892.515699997086</v>
      </c>
      <c r="Q16" s="37">
        <f>SUM('[2]B4 水表'!C18)</f>
        <v>721</v>
      </c>
      <c r="R16" s="38">
        <v>47.5</v>
      </c>
      <c r="S16" s="38">
        <f t="shared" si="4"/>
        <v>768.5</v>
      </c>
      <c r="T16" s="40">
        <f t="shared" si="5"/>
        <v>3657.4452000000001</v>
      </c>
      <c r="U16" s="34">
        <f t="shared" si="6"/>
        <v>52392.676899997088</v>
      </c>
    </row>
    <row r="17" spans="1:21" s="35" customFormat="1" ht="21.6" customHeight="1" thickBot="1">
      <c r="A17" s="36">
        <v>13</v>
      </c>
      <c r="B17" s="29" t="s">
        <v>61</v>
      </c>
      <c r="C17" s="30">
        <v>0</v>
      </c>
      <c r="D17" s="31">
        <v>94.19</v>
      </c>
      <c r="E17" s="37">
        <f>SUM([2]厨房燃气!BH19)</f>
        <v>557</v>
      </c>
      <c r="F17" s="38">
        <f>SUM('[2]B1 &amp; 102F 锅炉房'!C19)</f>
        <v>1258</v>
      </c>
      <c r="G17" s="38">
        <f>SUM('[2]B1 &amp; 102F 锅炉房'!H19)</f>
        <v>0</v>
      </c>
      <c r="H17" s="38">
        <f t="shared" si="0"/>
        <v>1815</v>
      </c>
      <c r="I17" s="39">
        <f t="shared" si="7"/>
        <v>7260</v>
      </c>
      <c r="J17" s="37">
        <f>SUM([2]主塔楼空调用电量!V16)</f>
        <v>10979</v>
      </c>
      <c r="K17" s="38">
        <v>12639</v>
      </c>
      <c r="L17" s="38">
        <f>SUM('[2]68F 高压F13&amp;F30'!F19)</f>
        <v>37300.000000002459</v>
      </c>
      <c r="M17" s="38">
        <f>SUM([2]裙楼空调用量!L16)</f>
        <v>27</v>
      </c>
      <c r="N17" s="68">
        <f t="shared" si="1"/>
        <v>9081.7819999999992</v>
      </c>
      <c r="O17" s="64">
        <f t="shared" si="2"/>
        <v>49939.000000002459</v>
      </c>
      <c r="P17" s="113">
        <f t="shared" si="3"/>
        <v>34772.525700001715</v>
      </c>
      <c r="Q17" s="37">
        <f>SUM('[2]B4 水表'!C19)</f>
        <v>707</v>
      </c>
      <c r="R17" s="38">
        <v>47.5</v>
      </c>
      <c r="S17" s="38">
        <f t="shared" si="4"/>
        <v>754.5</v>
      </c>
      <c r="T17" s="40">
        <f t="shared" si="5"/>
        <v>3590.8163999999997</v>
      </c>
      <c r="U17" s="34">
        <f t="shared" si="6"/>
        <v>54705.124100001718</v>
      </c>
    </row>
    <row r="18" spans="1:21" s="35" customFormat="1" ht="21.6" customHeight="1" thickBot="1">
      <c r="A18" s="36">
        <v>14</v>
      </c>
      <c r="B18" s="29" t="s">
        <v>62</v>
      </c>
      <c r="C18" s="30">
        <v>1910</v>
      </c>
      <c r="D18" s="31">
        <v>75.87</v>
      </c>
      <c r="E18" s="37">
        <f>SUM([2]厨房燃气!BH20)</f>
        <v>452</v>
      </c>
      <c r="F18" s="38">
        <f>SUM('[2]B1 &amp; 102F 锅炉房'!C20)</f>
        <v>1168</v>
      </c>
      <c r="G18" s="38">
        <f>SUM('[2]B1 &amp; 102F 锅炉房'!H20)</f>
        <v>0</v>
      </c>
      <c r="H18" s="38">
        <f t="shared" si="0"/>
        <v>1620</v>
      </c>
      <c r="I18" s="39">
        <f t="shared" si="7"/>
        <v>6480</v>
      </c>
      <c r="J18" s="37">
        <f>SUM([2]主塔楼空调用电量!V17)</f>
        <v>11735</v>
      </c>
      <c r="K18" s="38">
        <v>12639</v>
      </c>
      <c r="L18" s="38">
        <f>SUM('[2]68F 高压F13&amp;F30'!F20)</f>
        <v>37200.000000000276</v>
      </c>
      <c r="M18" s="38">
        <f>SUM([2]裙楼空调用量!L17)</f>
        <v>24</v>
      </c>
      <c r="N18" s="68">
        <f t="shared" si="1"/>
        <v>8256.5839999999989</v>
      </c>
      <c r="O18" s="64">
        <f t="shared" si="2"/>
        <v>49839.000000000276</v>
      </c>
      <c r="P18" s="113">
        <f t="shared" si="3"/>
        <v>34702.895700000197</v>
      </c>
      <c r="Q18" s="37">
        <f>SUM('[2]B4 水表'!C20)</f>
        <v>586</v>
      </c>
      <c r="R18" s="38">
        <v>47.5</v>
      </c>
      <c r="S18" s="38">
        <f t="shared" si="4"/>
        <v>633.5</v>
      </c>
      <c r="T18" s="40">
        <f t="shared" si="5"/>
        <v>3014.9531999999999</v>
      </c>
      <c r="U18" s="34">
        <f t="shared" si="6"/>
        <v>52454.432900000204</v>
      </c>
    </row>
    <row r="19" spans="1:21" s="35" customFormat="1" ht="21.6" customHeight="1" thickBot="1">
      <c r="A19" s="36">
        <v>15</v>
      </c>
      <c r="B19" s="29" t="s">
        <v>46</v>
      </c>
      <c r="C19" s="30">
        <v>575</v>
      </c>
      <c r="D19" s="31">
        <v>90.12</v>
      </c>
      <c r="E19" s="37">
        <f>SUM([2]厨房燃气!BH21)</f>
        <v>564</v>
      </c>
      <c r="F19" s="38">
        <f>SUM('[2]B1 &amp; 102F 锅炉房'!C21)</f>
        <v>1257</v>
      </c>
      <c r="G19" s="38">
        <f>SUM('[2]B1 &amp; 102F 锅炉房'!H21)</f>
        <v>0</v>
      </c>
      <c r="H19" s="38">
        <f t="shared" si="0"/>
        <v>1821</v>
      </c>
      <c r="I19" s="39">
        <f t="shared" si="7"/>
        <v>7284</v>
      </c>
      <c r="J19" s="37">
        <f>SUM([2]主塔楼空调用电量!V18)</f>
        <v>12785</v>
      </c>
      <c r="K19" s="38">
        <v>12639</v>
      </c>
      <c r="L19" s="38">
        <f>SUM('[2]68F 高压F13&amp;F30'!F21)</f>
        <v>38200.000000001637</v>
      </c>
      <c r="M19" s="38">
        <f>SUM([2]裙楼空调用量!L18)</f>
        <v>28</v>
      </c>
      <c r="N19" s="68">
        <f t="shared" si="1"/>
        <v>9356.8479999999981</v>
      </c>
      <c r="O19" s="64">
        <f t="shared" si="2"/>
        <v>50839.000000001637</v>
      </c>
      <c r="P19" s="113">
        <f t="shared" si="3"/>
        <v>35399.195700001139</v>
      </c>
      <c r="Q19" s="37">
        <f>SUM('[2]B4 水表'!C21)</f>
        <v>794</v>
      </c>
      <c r="R19" s="38">
        <v>47.5</v>
      </c>
      <c r="S19" s="38">
        <f t="shared" si="4"/>
        <v>841.5</v>
      </c>
      <c r="T19" s="40">
        <f t="shared" si="5"/>
        <v>4004.8667999999998</v>
      </c>
      <c r="U19" s="34">
        <f t="shared" si="6"/>
        <v>56044.910500001133</v>
      </c>
    </row>
    <row r="20" spans="1:21" s="35" customFormat="1" ht="21.6" customHeight="1" thickBot="1">
      <c r="A20" s="36">
        <v>16</v>
      </c>
      <c r="B20" s="29" t="s">
        <v>63</v>
      </c>
      <c r="C20" s="30">
        <v>100</v>
      </c>
      <c r="D20" s="31">
        <v>93.02</v>
      </c>
      <c r="E20" s="37">
        <f>SUM([2]厨房燃气!BH22)</f>
        <v>566</v>
      </c>
      <c r="F20" s="38">
        <f>SUM('[2]B1 &amp; 102F 锅炉房'!C22)</f>
        <v>1383</v>
      </c>
      <c r="G20" s="38">
        <f>SUM('[2]B1 &amp; 102F 锅炉房'!H22)</f>
        <v>0</v>
      </c>
      <c r="H20" s="38">
        <f t="shared" si="0"/>
        <v>1949</v>
      </c>
      <c r="I20" s="39">
        <f t="shared" si="7"/>
        <v>7796</v>
      </c>
      <c r="J20" s="37">
        <f>SUM([2]主塔楼空调用电量!V19)</f>
        <v>11684</v>
      </c>
      <c r="K20" s="38">
        <v>12639</v>
      </c>
      <c r="L20" s="38">
        <f>SUM('[2]68F 高压F13&amp;F30'!F22)</f>
        <v>37299.999999995634</v>
      </c>
      <c r="M20" s="38">
        <f>SUM([2]裙楼空调用量!L19)</f>
        <v>33</v>
      </c>
      <c r="N20" s="68">
        <f t="shared" si="1"/>
        <v>10732.178</v>
      </c>
      <c r="O20" s="64">
        <f t="shared" si="2"/>
        <v>49938.999999995634</v>
      </c>
      <c r="P20" s="113">
        <f t="shared" si="3"/>
        <v>34772.525699996964</v>
      </c>
      <c r="Q20" s="37">
        <f>SUM('[2]B4 水表'!C22)</f>
        <v>750</v>
      </c>
      <c r="R20" s="38">
        <v>47.5</v>
      </c>
      <c r="S20" s="38">
        <f t="shared" si="4"/>
        <v>797.5</v>
      </c>
      <c r="T20" s="40">
        <f t="shared" si="5"/>
        <v>3795.462</v>
      </c>
      <c r="U20" s="34">
        <f t="shared" si="6"/>
        <v>57096.165699996964</v>
      </c>
    </row>
    <row r="21" spans="1:21" s="35" customFormat="1" ht="21.6" customHeight="1" thickBot="1">
      <c r="A21" s="36">
        <v>17</v>
      </c>
      <c r="B21" s="29" t="s">
        <v>64</v>
      </c>
      <c r="C21" s="30">
        <v>754</v>
      </c>
      <c r="D21" s="31">
        <v>88.66</v>
      </c>
      <c r="E21" s="37">
        <f>SUM([2]厨房燃气!BH23)</f>
        <v>538</v>
      </c>
      <c r="F21" s="38">
        <f>SUM('[2]B1 &amp; 102F 锅炉房'!C23)</f>
        <v>1351</v>
      </c>
      <c r="G21" s="38">
        <f>SUM('[2]B1 &amp; 102F 锅炉房'!H23)</f>
        <v>0</v>
      </c>
      <c r="H21" s="38">
        <f>SUM(E21+F21+G21)</f>
        <v>1889</v>
      </c>
      <c r="I21" s="39">
        <f t="shared" si="7"/>
        <v>7556</v>
      </c>
      <c r="J21" s="37">
        <f>SUM([2]主塔楼空调用电量!V20)</f>
        <v>9867</v>
      </c>
      <c r="K21" s="38">
        <v>12639</v>
      </c>
      <c r="L21" s="38">
        <f>SUM('[2]68F 高压F13&amp;F30'!F23)</f>
        <v>35500.000000001819</v>
      </c>
      <c r="M21" s="38">
        <f>SUM([2]裙楼空调用量!L20)</f>
        <v>27</v>
      </c>
      <c r="N21" s="68">
        <f t="shared" si="1"/>
        <v>9081.7819999999992</v>
      </c>
      <c r="O21" s="64">
        <f t="shared" si="2"/>
        <v>48139.000000001819</v>
      </c>
      <c r="P21" s="113">
        <f t="shared" si="3"/>
        <v>33519.185700001268</v>
      </c>
      <c r="Q21" s="43">
        <f>SUM('[2]B4 水表'!C23)</f>
        <v>640</v>
      </c>
      <c r="R21" s="38">
        <v>47.5</v>
      </c>
      <c r="S21" s="38">
        <f t="shared" si="4"/>
        <v>687.5</v>
      </c>
      <c r="T21" s="40">
        <f t="shared" si="5"/>
        <v>3271.95</v>
      </c>
      <c r="U21" s="34">
        <f t="shared" si="6"/>
        <v>53428.917700001264</v>
      </c>
    </row>
    <row r="22" spans="1:21" s="35" customFormat="1" ht="21.6" customHeight="1" thickBot="1">
      <c r="A22" s="36">
        <v>18</v>
      </c>
      <c r="B22" s="29" t="s">
        <v>64</v>
      </c>
      <c r="C22" s="30">
        <v>620</v>
      </c>
      <c r="D22" s="31">
        <v>90.12</v>
      </c>
      <c r="E22" s="37">
        <f>SUM([2]厨房燃气!BH24)</f>
        <v>633</v>
      </c>
      <c r="F22" s="38">
        <f>SUM('[2]B1 &amp; 102F 锅炉房'!C24)</f>
        <v>1279</v>
      </c>
      <c r="G22" s="38">
        <f>SUM('[2]B1 &amp; 102F 锅炉房'!H24)</f>
        <v>0</v>
      </c>
      <c r="H22" s="38">
        <f t="shared" ref="H22:H33" si="8">SUM(G22+F22+E22)</f>
        <v>1912</v>
      </c>
      <c r="I22" s="39">
        <f t="shared" si="7"/>
        <v>7648</v>
      </c>
      <c r="J22" s="37">
        <f>SUM([2]主塔楼空调用电量!V21)</f>
        <v>11252</v>
      </c>
      <c r="K22" s="38">
        <v>12639</v>
      </c>
      <c r="L22" s="38">
        <f>SUM('[2]68F 高压F13&amp;F30'!F24)</f>
        <v>36800.00000000291</v>
      </c>
      <c r="M22" s="38">
        <f>SUM([2]裙楼空调用量!L21)</f>
        <v>31</v>
      </c>
      <c r="N22" s="68">
        <f t="shared" si="1"/>
        <v>10182.045999999998</v>
      </c>
      <c r="O22" s="64">
        <f t="shared" si="2"/>
        <v>49439.00000000291</v>
      </c>
      <c r="P22" s="113">
        <f t="shared" si="3"/>
        <v>34424.375700002027</v>
      </c>
      <c r="Q22" s="43">
        <f>SUM('[2]B4 水表'!C24)</f>
        <v>718</v>
      </c>
      <c r="R22" s="38">
        <v>47.5</v>
      </c>
      <c r="S22" s="38">
        <f t="shared" si="4"/>
        <v>765.5</v>
      </c>
      <c r="T22" s="40">
        <f t="shared" si="5"/>
        <v>3643.1675999999998</v>
      </c>
      <c r="U22" s="34">
        <f t="shared" si="6"/>
        <v>55897.58930000203</v>
      </c>
    </row>
    <row r="23" spans="1:21" s="35" customFormat="1" ht="21.6" customHeight="1" thickBot="1">
      <c r="A23" s="36">
        <v>19</v>
      </c>
      <c r="B23" s="29" t="s">
        <v>56</v>
      </c>
      <c r="C23" s="30">
        <v>238</v>
      </c>
      <c r="D23" s="31">
        <v>92.44</v>
      </c>
      <c r="E23" s="41">
        <f>SUM([2]厨房燃气!BH25)</f>
        <v>642</v>
      </c>
      <c r="F23" s="42">
        <f>SUM('[2]B1 &amp; 102F 锅炉房'!C25)</f>
        <v>1287</v>
      </c>
      <c r="G23" s="42">
        <f>SUM('[2]B1 &amp; 102F 锅炉房'!H25)</f>
        <v>0</v>
      </c>
      <c r="H23" s="42">
        <f t="shared" si="8"/>
        <v>1929</v>
      </c>
      <c r="I23" s="39">
        <f t="shared" si="7"/>
        <v>7716</v>
      </c>
      <c r="J23" s="41">
        <f>SUM([2]主塔楼空调用电量!V22)</f>
        <v>10806</v>
      </c>
      <c r="K23" s="38">
        <v>12639</v>
      </c>
      <c r="L23" s="42">
        <f>SUM('[2]68F 高压F13&amp;F30'!F25)</f>
        <v>37400.000000000087</v>
      </c>
      <c r="M23" s="38">
        <f>SUM([2]裙楼空调用量!L22)</f>
        <v>33</v>
      </c>
      <c r="N23" s="68">
        <f t="shared" si="1"/>
        <v>10732.178</v>
      </c>
      <c r="O23" s="64">
        <f t="shared" si="2"/>
        <v>50039.000000000087</v>
      </c>
      <c r="P23" s="113">
        <f t="shared" si="3"/>
        <v>34842.155700000061</v>
      </c>
      <c r="Q23" s="41">
        <f>SUM('[2]B4 水表'!C25)</f>
        <v>620</v>
      </c>
      <c r="R23" s="38">
        <v>47.5</v>
      </c>
      <c r="S23" s="42">
        <f t="shared" si="4"/>
        <v>667.5</v>
      </c>
      <c r="T23" s="40">
        <f t="shared" si="5"/>
        <v>3176.7660000000001</v>
      </c>
      <c r="U23" s="34">
        <f t="shared" si="6"/>
        <v>56467.099700000064</v>
      </c>
    </row>
    <row r="24" spans="1:21" s="35" customFormat="1" ht="21.6" customHeight="1" thickBot="1">
      <c r="A24" s="36">
        <v>20</v>
      </c>
      <c r="B24" s="29" t="s">
        <v>65</v>
      </c>
      <c r="C24" s="30">
        <v>138</v>
      </c>
      <c r="D24" s="31">
        <v>86.63</v>
      </c>
      <c r="E24" s="37">
        <f>SUM([2]厨房燃气!BH26)</f>
        <v>537</v>
      </c>
      <c r="F24" s="38">
        <f>SUM('[2]B1 &amp; 102F 锅炉房'!C26)</f>
        <v>1301</v>
      </c>
      <c r="G24" s="38">
        <f>SUM('[2]B1 &amp; 102F 锅炉房'!H26)</f>
        <v>0</v>
      </c>
      <c r="H24" s="38">
        <f t="shared" si="8"/>
        <v>1838</v>
      </c>
      <c r="I24" s="39">
        <f t="shared" si="7"/>
        <v>7352</v>
      </c>
      <c r="J24" s="37">
        <f>SUM([2]主塔楼空调用电量!V23)</f>
        <v>10026</v>
      </c>
      <c r="K24" s="38">
        <v>12639</v>
      </c>
      <c r="L24" s="38">
        <f>SUM('[2]68F 高压F13&amp;F30'!F26)</f>
        <v>35299.999999997453</v>
      </c>
      <c r="M24" s="38">
        <f>SUM([2]裙楼空调用量!L23)</f>
        <v>24</v>
      </c>
      <c r="N24" s="68">
        <f t="shared" si="1"/>
        <v>8256.5839999999989</v>
      </c>
      <c r="O24" s="64">
        <f t="shared" si="2"/>
        <v>47938.999999997453</v>
      </c>
      <c r="P24" s="113">
        <f t="shared" si="3"/>
        <v>33379.925699998232</v>
      </c>
      <c r="Q24" s="37">
        <f>SUM('[2]B4 水表'!C26)</f>
        <v>594</v>
      </c>
      <c r="R24" s="38">
        <v>47.5</v>
      </c>
      <c r="S24" s="38">
        <f t="shared" si="4"/>
        <v>641.5</v>
      </c>
      <c r="T24" s="40">
        <f t="shared" si="5"/>
        <v>3053.0268000000001</v>
      </c>
      <c r="U24" s="34">
        <f t="shared" si="6"/>
        <v>52041.536499998234</v>
      </c>
    </row>
    <row r="25" spans="1:21" s="35" customFormat="1" ht="21.6" customHeight="1" thickBot="1">
      <c r="A25" s="36">
        <v>21</v>
      </c>
      <c r="B25" s="29" t="s">
        <v>66</v>
      </c>
      <c r="C25" s="30">
        <v>128</v>
      </c>
      <c r="D25" s="31">
        <v>84.3</v>
      </c>
      <c r="E25" s="37">
        <f>SUM([2]厨房燃气!BH27)</f>
        <v>517</v>
      </c>
      <c r="F25" s="38">
        <f>SUM('[2]B1 &amp; 102F 锅炉房'!C27)</f>
        <v>1326</v>
      </c>
      <c r="G25" s="38">
        <f>SUM('[2]B1 &amp; 102F 锅炉房'!H27)</f>
        <v>0</v>
      </c>
      <c r="H25" s="38">
        <f t="shared" si="8"/>
        <v>1843</v>
      </c>
      <c r="I25" s="39">
        <f t="shared" si="7"/>
        <v>7372</v>
      </c>
      <c r="J25" s="37">
        <f>SUM([2]主塔楼空调用电量!V24)</f>
        <v>10908</v>
      </c>
      <c r="K25" s="38">
        <v>12639</v>
      </c>
      <c r="L25" s="38">
        <f>SUM('[2]68F 高压F13&amp;F30'!F27)</f>
        <v>36799.999999998363</v>
      </c>
      <c r="M25" s="38">
        <f>SUM([2]裙楼空调用量!L24)</f>
        <v>28</v>
      </c>
      <c r="N25" s="68">
        <f t="shared" si="1"/>
        <v>9356.8479999999981</v>
      </c>
      <c r="O25" s="64">
        <f t="shared" si="2"/>
        <v>49438.999999998363</v>
      </c>
      <c r="P25" s="113">
        <f t="shared" si="3"/>
        <v>34424.375699998862</v>
      </c>
      <c r="Q25" s="37">
        <f>SUM('[2]B4 水表'!C27)</f>
        <v>718</v>
      </c>
      <c r="R25" s="38">
        <v>47.5</v>
      </c>
      <c r="S25" s="38">
        <f t="shared" si="4"/>
        <v>765.5</v>
      </c>
      <c r="T25" s="40">
        <f t="shared" si="5"/>
        <v>3643.1675999999998</v>
      </c>
      <c r="U25" s="34">
        <f t="shared" si="6"/>
        <v>54796.391299998861</v>
      </c>
    </row>
    <row r="26" spans="1:21" s="35" customFormat="1" ht="21.6" customHeight="1" thickBot="1">
      <c r="A26" s="36">
        <v>22</v>
      </c>
      <c r="B26" s="29" t="s">
        <v>67</v>
      </c>
      <c r="C26" s="30">
        <v>300</v>
      </c>
      <c r="D26" s="31">
        <v>79.94</v>
      </c>
      <c r="E26" s="37">
        <f>SUM([2]厨房燃气!BH28)</f>
        <v>537</v>
      </c>
      <c r="F26" s="38">
        <f>SUM('[2]B1 &amp; 102F 锅炉房'!C28)</f>
        <v>1271</v>
      </c>
      <c r="G26" s="38">
        <f>SUM('[2]B1 &amp; 102F 锅炉房'!H28)</f>
        <v>0</v>
      </c>
      <c r="H26" s="38">
        <f t="shared" si="8"/>
        <v>1808</v>
      </c>
      <c r="I26" s="39">
        <f t="shared" si="7"/>
        <v>7232</v>
      </c>
      <c r="J26" s="37">
        <f>SUM([2]主塔楼空调用电量!V25)</f>
        <v>11424</v>
      </c>
      <c r="K26" s="38">
        <v>12639</v>
      </c>
      <c r="L26" s="38">
        <f>SUM('[2]68F 高压F13&amp;F30'!F28)</f>
        <v>38400.000000003725</v>
      </c>
      <c r="M26" s="38">
        <f>SUM([2]裙楼空调用量!L25)</f>
        <v>29</v>
      </c>
      <c r="N26" s="68">
        <f t="shared" si="1"/>
        <v>9631.9139999999989</v>
      </c>
      <c r="O26" s="64">
        <f t="shared" si="2"/>
        <v>51039.000000003725</v>
      </c>
      <c r="P26" s="113">
        <f t="shared" si="3"/>
        <v>35538.455700002596</v>
      </c>
      <c r="Q26" s="37">
        <f>SUM('[2]B4 水表'!C28)</f>
        <v>776</v>
      </c>
      <c r="R26" s="38">
        <v>47.5</v>
      </c>
      <c r="S26" s="38">
        <f t="shared" si="4"/>
        <v>823.5</v>
      </c>
      <c r="T26" s="40">
        <f t="shared" si="5"/>
        <v>3919.2012</v>
      </c>
      <c r="U26" s="34">
        <f t="shared" si="6"/>
        <v>56321.570900002596</v>
      </c>
    </row>
    <row r="27" spans="1:21" s="35" customFormat="1" ht="21.6" customHeight="1" thickBot="1">
      <c r="A27" s="36">
        <v>23</v>
      </c>
      <c r="B27" s="29" t="s">
        <v>63</v>
      </c>
      <c r="C27" s="30">
        <v>110</v>
      </c>
      <c r="D27" s="31">
        <v>88.37</v>
      </c>
      <c r="E27" s="37">
        <f>SUM([2]厨房燃气!BH29)</f>
        <v>550</v>
      </c>
      <c r="F27" s="38">
        <f>SUM('[2]B1 &amp; 102F 锅炉房'!C29)</f>
        <v>1301</v>
      </c>
      <c r="G27" s="38">
        <f>SUM('[2]B1 &amp; 102F 锅炉房'!H29)</f>
        <v>0</v>
      </c>
      <c r="H27" s="38">
        <f t="shared" si="8"/>
        <v>1851</v>
      </c>
      <c r="I27" s="39">
        <f t="shared" si="7"/>
        <v>7404</v>
      </c>
      <c r="J27" s="37">
        <f>SUM([2]主塔楼空调用电量!V26)</f>
        <v>11465</v>
      </c>
      <c r="K27" s="38">
        <v>12639</v>
      </c>
      <c r="L27" s="38">
        <f>SUM('[2]68F 高压F13&amp;F30'!F29)</f>
        <v>38099.999999997177</v>
      </c>
      <c r="M27" s="38">
        <f>SUM([2]裙楼空调用量!L26)</f>
        <v>30</v>
      </c>
      <c r="N27" s="68">
        <f t="shared" si="1"/>
        <v>9906.98</v>
      </c>
      <c r="O27" s="64">
        <f t="shared" si="2"/>
        <v>50738.999999997177</v>
      </c>
      <c r="P27" s="113">
        <f t="shared" si="3"/>
        <v>35329.565699998035</v>
      </c>
      <c r="Q27" s="37">
        <f>SUM('[2]B4 水表'!C29)</f>
        <v>606</v>
      </c>
      <c r="R27" s="38">
        <v>47.5</v>
      </c>
      <c r="S27" s="38">
        <f t="shared" si="4"/>
        <v>653.5</v>
      </c>
      <c r="T27" s="40">
        <f t="shared" si="5"/>
        <v>3110.1372000000001</v>
      </c>
      <c r="U27" s="34">
        <f t="shared" si="6"/>
        <v>55750.682899998035</v>
      </c>
    </row>
    <row r="28" spans="1:21" s="35" customFormat="1" ht="21.6" customHeight="1" thickBot="1">
      <c r="A28" s="36">
        <v>24</v>
      </c>
      <c r="B28" s="29" t="s">
        <v>53</v>
      </c>
      <c r="C28" s="30">
        <v>210</v>
      </c>
      <c r="D28" s="31">
        <v>89.83</v>
      </c>
      <c r="E28" s="37">
        <f>SUM([2]厨房燃气!BH30)</f>
        <v>557</v>
      </c>
      <c r="F28" s="38">
        <f>SUM('[2]B1 &amp; 102F 锅炉房'!C30)</f>
        <v>1319</v>
      </c>
      <c r="G28" s="38">
        <f>SUM('[2]B1 &amp; 102F 锅炉房'!H30)</f>
        <v>0</v>
      </c>
      <c r="H28" s="38">
        <f t="shared" si="8"/>
        <v>1876</v>
      </c>
      <c r="I28" s="39">
        <f t="shared" si="7"/>
        <v>7504</v>
      </c>
      <c r="J28" s="37">
        <f>SUM([2]主塔楼空调用电量!V27)</f>
        <v>12170</v>
      </c>
      <c r="K28" s="38">
        <v>12639</v>
      </c>
      <c r="L28" s="38">
        <f>SUM('[2]68F 高压F13&amp;F30'!F30)</f>
        <v>38100.000000001732</v>
      </c>
      <c r="M28" s="38">
        <f>SUM([2]裙楼空调用量!L27)</f>
        <v>27</v>
      </c>
      <c r="N28" s="68">
        <f t="shared" si="1"/>
        <v>9081.7819999999992</v>
      </c>
      <c r="O28" s="64">
        <f t="shared" si="2"/>
        <v>50739.000000001732</v>
      </c>
      <c r="P28" s="113">
        <f t="shared" si="3"/>
        <v>35329.565700001207</v>
      </c>
      <c r="Q28" s="37">
        <f>SUM('[2]B4 水表'!C30)</f>
        <v>645</v>
      </c>
      <c r="R28" s="38">
        <v>47.5</v>
      </c>
      <c r="S28" s="38">
        <f t="shared" si="4"/>
        <v>692.5</v>
      </c>
      <c r="T28" s="40">
        <f t="shared" si="5"/>
        <v>3295.7460000000001</v>
      </c>
      <c r="U28" s="34">
        <f t="shared" si="6"/>
        <v>55211.093700001205</v>
      </c>
    </row>
    <row r="29" spans="1:21" s="35" customFormat="1" ht="21.6" customHeight="1" thickBot="1">
      <c r="A29" s="36">
        <v>25</v>
      </c>
      <c r="B29" s="29" t="s">
        <v>68</v>
      </c>
      <c r="C29" s="30">
        <v>272</v>
      </c>
      <c r="D29" s="31">
        <v>85.47</v>
      </c>
      <c r="E29" s="37">
        <f>SUM([2]厨房燃气!BH31)</f>
        <v>565</v>
      </c>
      <c r="F29" s="38">
        <f>SUM('[2]B1 &amp; 102F 锅炉房'!C31)</f>
        <v>1277</v>
      </c>
      <c r="G29" s="38">
        <f>SUM('[2]B1 &amp; 102F 锅炉房'!H31)</f>
        <v>0</v>
      </c>
      <c r="H29" s="38">
        <f t="shared" si="8"/>
        <v>1842</v>
      </c>
      <c r="I29" s="39">
        <f t="shared" si="7"/>
        <v>7368</v>
      </c>
      <c r="J29" s="37">
        <f>SUM([2]主塔楼空调用电量!V28)</f>
        <v>9859</v>
      </c>
      <c r="K29" s="38">
        <v>12639</v>
      </c>
      <c r="L29" s="38">
        <f>SUM('[2]68F 高压F13&amp;F30'!F31)</f>
        <v>35799.999999997002</v>
      </c>
      <c r="M29" s="38">
        <f>SUM([2]裙楼空调用量!L28)</f>
        <v>27</v>
      </c>
      <c r="N29" s="68">
        <f t="shared" si="1"/>
        <v>9081.7819999999992</v>
      </c>
      <c r="O29" s="64">
        <f t="shared" si="2"/>
        <v>48438.999999997002</v>
      </c>
      <c r="P29" s="113">
        <f t="shared" si="3"/>
        <v>33728.075699997913</v>
      </c>
      <c r="Q29" s="37">
        <f>SUM('[2]B4 水表'!C31)</f>
        <v>654</v>
      </c>
      <c r="R29" s="38">
        <v>47.5</v>
      </c>
      <c r="S29" s="38">
        <f t="shared" si="4"/>
        <v>701.5</v>
      </c>
      <c r="T29" s="40">
        <f t="shared" si="5"/>
        <v>3338.5787999999998</v>
      </c>
      <c r="U29" s="34">
        <f t="shared" si="6"/>
        <v>53516.436499997915</v>
      </c>
    </row>
    <row r="30" spans="1:21" s="35" customFormat="1" ht="21.6" customHeight="1" thickBot="1">
      <c r="A30" s="36">
        <v>26</v>
      </c>
      <c r="B30" s="29" t="s">
        <v>68</v>
      </c>
      <c r="C30" s="30">
        <v>156</v>
      </c>
      <c r="D30" s="31">
        <v>78.489999999999995</v>
      </c>
      <c r="E30" s="37">
        <f>SUM([2]厨房燃气!BH32)</f>
        <v>606</v>
      </c>
      <c r="F30" s="38">
        <f>SUM('[2]B1 &amp; 102F 锅炉房'!C32)</f>
        <v>1287</v>
      </c>
      <c r="G30" s="38">
        <f>SUM('[2]B1 &amp; 102F 锅炉房'!H32)</f>
        <v>0</v>
      </c>
      <c r="H30" s="38">
        <f t="shared" si="8"/>
        <v>1893</v>
      </c>
      <c r="I30" s="39">
        <f t="shared" si="7"/>
        <v>7572</v>
      </c>
      <c r="J30" s="37">
        <f>SUM([2]主塔楼空调用电量!V29)</f>
        <v>10208</v>
      </c>
      <c r="K30" s="38">
        <v>12639</v>
      </c>
      <c r="L30" s="38">
        <f>SUM('[2]68F 高压F13&amp;F30'!F32)</f>
        <v>35599.999999999454</v>
      </c>
      <c r="M30" s="38">
        <f>SUM([2]裙楼空调用量!L29)</f>
        <v>29</v>
      </c>
      <c r="N30" s="68">
        <f t="shared" si="1"/>
        <v>9631.9139999999989</v>
      </c>
      <c r="O30" s="64">
        <f t="shared" si="2"/>
        <v>48238.999999999454</v>
      </c>
      <c r="P30" s="113">
        <f t="shared" si="3"/>
        <v>33588.815699999621</v>
      </c>
      <c r="Q30" s="37">
        <f>SUM('[2]B4 水表'!C32)</f>
        <v>637</v>
      </c>
      <c r="R30" s="38">
        <v>47.5</v>
      </c>
      <c r="S30" s="38">
        <f t="shared" si="4"/>
        <v>684.5</v>
      </c>
      <c r="T30" s="40">
        <f t="shared" si="5"/>
        <v>3257.6723999999999</v>
      </c>
      <c r="U30" s="34">
        <f t="shared" si="6"/>
        <v>54050.402099999621</v>
      </c>
    </row>
    <row r="31" spans="1:21" s="35" customFormat="1" ht="21.6" customHeight="1" thickBot="1">
      <c r="A31" s="36">
        <v>27</v>
      </c>
      <c r="B31" s="29" t="s">
        <v>46</v>
      </c>
      <c r="C31" s="30">
        <v>200</v>
      </c>
      <c r="D31" s="31">
        <v>90.12</v>
      </c>
      <c r="E31" s="37">
        <f>SUM([2]厨房燃气!BH33)</f>
        <v>505</v>
      </c>
      <c r="F31" s="38">
        <f>SUM('[2]B1 &amp; 102F 锅炉房'!C33)</f>
        <v>1273</v>
      </c>
      <c r="G31" s="38">
        <f>SUM('[2]B1 &amp; 102F 锅炉房'!H33)</f>
        <v>0</v>
      </c>
      <c r="H31" s="38">
        <f t="shared" si="8"/>
        <v>1778</v>
      </c>
      <c r="I31" s="39">
        <f t="shared" si="7"/>
        <v>7112</v>
      </c>
      <c r="J31" s="37">
        <f>SUM([2]主塔楼空调用电量!V30)</f>
        <v>11239</v>
      </c>
      <c r="K31" s="38">
        <v>12639</v>
      </c>
      <c r="L31" s="38">
        <f>SUM('[2]68F 高压F13&amp;F30'!F33)</f>
        <v>37100.000000002634</v>
      </c>
      <c r="M31" s="38">
        <f>SUM([2]裙楼空调用量!L30)</f>
        <v>24</v>
      </c>
      <c r="N31" s="68">
        <f t="shared" si="1"/>
        <v>8256.5839999999989</v>
      </c>
      <c r="O31" s="64">
        <f t="shared" si="2"/>
        <v>49739.000000002634</v>
      </c>
      <c r="P31" s="113">
        <f t="shared" si="3"/>
        <v>34633.265700001837</v>
      </c>
      <c r="Q31" s="37">
        <f>SUM('[2]B4 水表'!C33)</f>
        <v>668</v>
      </c>
      <c r="R31" s="38">
        <v>47.5</v>
      </c>
      <c r="S31" s="38">
        <f t="shared" si="4"/>
        <v>715.5</v>
      </c>
      <c r="T31" s="40">
        <f t="shared" si="5"/>
        <v>3405.2075999999997</v>
      </c>
      <c r="U31" s="34">
        <f t="shared" si="6"/>
        <v>53407.057300001841</v>
      </c>
    </row>
    <row r="32" spans="1:21" s="35" customFormat="1" ht="21.6" customHeight="1" thickBot="1">
      <c r="A32" s="36">
        <v>28</v>
      </c>
      <c r="B32" s="29" t="s">
        <v>69</v>
      </c>
      <c r="C32" s="30">
        <v>0</v>
      </c>
      <c r="D32" s="31">
        <v>71.8</v>
      </c>
      <c r="E32" s="37">
        <f>SUM([2]厨房燃气!BH34)</f>
        <v>471</v>
      </c>
      <c r="F32" s="38">
        <f>SUM('[2]B1 &amp; 102F 锅炉房'!C34)</f>
        <v>1275</v>
      </c>
      <c r="G32" s="38">
        <f>SUM('[2]B1 &amp; 102F 锅炉房'!H34)</f>
        <v>0</v>
      </c>
      <c r="H32" s="38">
        <f t="shared" si="8"/>
        <v>1746</v>
      </c>
      <c r="I32" s="39">
        <f t="shared" si="7"/>
        <v>6984</v>
      </c>
      <c r="J32" s="37">
        <f>SUM([2]主塔楼空调用电量!V31)</f>
        <v>11251</v>
      </c>
      <c r="K32" s="38">
        <v>12639</v>
      </c>
      <c r="L32" s="38">
        <f>SUM('[2]68F 高压F13&amp;F30'!F34)</f>
        <v>37599.999999997635</v>
      </c>
      <c r="M32" s="38">
        <f>SUM([2]裙楼空调用量!L31)</f>
        <v>28</v>
      </c>
      <c r="N32" s="68">
        <f t="shared" si="1"/>
        <v>9356.8479999999981</v>
      </c>
      <c r="O32" s="64">
        <f t="shared" si="2"/>
        <v>50238.999999997635</v>
      </c>
      <c r="P32" s="113">
        <f t="shared" si="3"/>
        <v>34981.415699998353</v>
      </c>
      <c r="Q32" s="37">
        <f>SUM('[2]B4 水表'!C34)</f>
        <v>627</v>
      </c>
      <c r="R32" s="38">
        <v>47.5</v>
      </c>
      <c r="S32" s="38">
        <f t="shared" si="4"/>
        <v>674.5</v>
      </c>
      <c r="T32" s="40">
        <f t="shared" si="5"/>
        <v>3210.0803999999998</v>
      </c>
      <c r="U32" s="34">
        <f t="shared" si="6"/>
        <v>54532.34409999835</v>
      </c>
    </row>
    <row r="33" spans="1:21" s="35" customFormat="1" ht="21.6" customHeight="1" thickBot="1">
      <c r="A33" s="36">
        <v>29</v>
      </c>
      <c r="B33" s="29" t="s">
        <v>44</v>
      </c>
      <c r="C33" s="30">
        <v>760</v>
      </c>
      <c r="D33" s="31">
        <v>80.52</v>
      </c>
      <c r="E33" s="37">
        <f>SUM([2]厨房燃气!BH35)</f>
        <v>489</v>
      </c>
      <c r="F33" s="38">
        <f>SUM('[2]B1 &amp; 102F 锅炉房'!C35)</f>
        <v>1226</v>
      </c>
      <c r="G33" s="38">
        <f>SUM('[2]B1 &amp; 102F 锅炉房'!H35)</f>
        <v>0</v>
      </c>
      <c r="H33" s="38">
        <f t="shared" si="8"/>
        <v>1715</v>
      </c>
      <c r="I33" s="39">
        <f t="shared" si="7"/>
        <v>6860</v>
      </c>
      <c r="J33" s="37">
        <f>SUM([2]主塔楼空调用电量!V32)</f>
        <v>11318</v>
      </c>
      <c r="K33" s="38">
        <v>12639</v>
      </c>
      <c r="L33" s="38">
        <f>SUM('[2]68F 高压F13&amp;F30'!F35)</f>
        <v>36900.000000005093</v>
      </c>
      <c r="M33" s="38">
        <f>SUM([2]裙楼空调用量!L32)</f>
        <v>27</v>
      </c>
      <c r="N33" s="68">
        <f t="shared" si="1"/>
        <v>9081.7819999999992</v>
      </c>
      <c r="O33" s="64">
        <f t="shared" si="2"/>
        <v>49539.000000005093</v>
      </c>
      <c r="P33" s="113">
        <f t="shared" si="3"/>
        <v>34494.005700003545</v>
      </c>
      <c r="Q33" s="37">
        <f>SUM('[2]B4 水表'!C35)</f>
        <v>702</v>
      </c>
      <c r="R33" s="38">
        <v>47.5</v>
      </c>
      <c r="S33" s="38">
        <f t="shared" si="4"/>
        <v>749.5</v>
      </c>
      <c r="T33" s="40">
        <f t="shared" si="5"/>
        <v>3567.0203999999999</v>
      </c>
      <c r="U33" s="34">
        <f t="shared" si="6"/>
        <v>54002.808100003545</v>
      </c>
    </row>
    <row r="34" spans="1:21" s="35" customFormat="1" ht="21.6" customHeight="1" thickBot="1">
      <c r="A34" s="36">
        <v>30</v>
      </c>
      <c r="B34" s="29" t="s">
        <v>43</v>
      </c>
      <c r="C34" s="30">
        <v>165</v>
      </c>
      <c r="D34" s="31">
        <v>69.48</v>
      </c>
      <c r="E34" s="54">
        <f>SUM([2]厨房燃气!BH36)</f>
        <v>649</v>
      </c>
      <c r="F34" s="55">
        <f>SUM('[2]B1 &amp; 102F 锅炉房'!C36)</f>
        <v>1280</v>
      </c>
      <c r="G34" s="55">
        <f>SUM('[2]B1 &amp; 102F 锅炉房'!H36)</f>
        <v>0</v>
      </c>
      <c r="H34" s="55">
        <f>SUM(G34+F34+E34)</f>
        <v>1929</v>
      </c>
      <c r="I34" s="39">
        <f t="shared" si="7"/>
        <v>7716</v>
      </c>
      <c r="J34" s="37">
        <f>SUM([2]主塔楼空调用电量!V33)</f>
        <v>11651</v>
      </c>
      <c r="K34" s="38">
        <v>12639</v>
      </c>
      <c r="L34" s="38">
        <f>SUM('[2]68F 高压F13&amp;F30'!F36)</f>
        <v>37299.999999997905</v>
      </c>
      <c r="M34" s="38">
        <f>SUM([2]裙楼空调用量!L33)</f>
        <v>28</v>
      </c>
      <c r="N34" s="68">
        <f t="shared" si="1"/>
        <v>9356.8479999999981</v>
      </c>
      <c r="O34" s="64">
        <f t="shared" si="2"/>
        <v>49938.999999997905</v>
      </c>
      <c r="P34" s="113">
        <f t="shared" si="3"/>
        <v>34772.525699998543</v>
      </c>
      <c r="Q34" s="54">
        <f>SUM('[2]B4 水表'!C36)</f>
        <v>607</v>
      </c>
      <c r="R34" s="38">
        <v>47.5</v>
      </c>
      <c r="S34" s="55">
        <f>Q34+R34</f>
        <v>654.5</v>
      </c>
      <c r="T34" s="40">
        <f t="shared" si="5"/>
        <v>3114.8964000000001</v>
      </c>
      <c r="U34" s="34">
        <f t="shared" si="6"/>
        <v>54960.270099998539</v>
      </c>
    </row>
    <row r="35" spans="1:21" s="35" customFormat="1" ht="21.6" customHeight="1">
      <c r="A35" s="36">
        <v>31</v>
      </c>
      <c r="B35" s="29" t="s">
        <v>58</v>
      </c>
      <c r="C35" s="30">
        <v>254</v>
      </c>
      <c r="D35" s="31">
        <v>74.13</v>
      </c>
      <c r="E35" s="54">
        <f>SUM([2]厨房燃气!BH37)</f>
        <v>513</v>
      </c>
      <c r="F35" s="55">
        <f>SUM('[2]B1 &amp; 102F 锅炉房'!C37)</f>
        <v>1234</v>
      </c>
      <c r="G35" s="38">
        <f>SUM('[2]B1 &amp; 102F 锅炉房'!H37)</f>
        <v>0</v>
      </c>
      <c r="H35" s="55">
        <f>SUM(G35+F35+E35)</f>
        <v>1747</v>
      </c>
      <c r="I35" s="39">
        <f t="shared" si="7"/>
        <v>6988</v>
      </c>
      <c r="J35" s="37">
        <f>SUM([2]主塔楼空调用电量!V34)</f>
        <v>15574</v>
      </c>
      <c r="K35" s="38">
        <v>12639</v>
      </c>
      <c r="L35" s="38">
        <f>SUM('[2]68F 高压F13&amp;F30'!F37)</f>
        <v>38199.99999999936</v>
      </c>
      <c r="M35" s="38">
        <f>SUM([2]裙楼空调用量!L34)</f>
        <v>26</v>
      </c>
      <c r="N35" s="68">
        <f t="shared" si="1"/>
        <v>8806.7160000000003</v>
      </c>
      <c r="O35" s="64">
        <f>K35+L35</f>
        <v>50838.99999999936</v>
      </c>
      <c r="P35" s="113">
        <f t="shared" si="3"/>
        <v>35399.195699999553</v>
      </c>
      <c r="Q35" s="54">
        <f>SUM('[2]B4 水表'!C37)</f>
        <v>762</v>
      </c>
      <c r="R35" s="38">
        <v>47.5</v>
      </c>
      <c r="S35" s="55">
        <f>Q35+R35</f>
        <v>809.5</v>
      </c>
      <c r="T35" s="40">
        <f t="shared" si="5"/>
        <v>3852.5724</v>
      </c>
      <c r="U35" s="34">
        <f>SUM(I35+N35+P35+T35)</f>
        <v>55046.48409999955</v>
      </c>
    </row>
    <row r="36" spans="1:21" s="35" customFormat="1" ht="21.6" customHeight="1" thickBot="1">
      <c r="A36" s="79" t="s">
        <v>24</v>
      </c>
      <c r="B36" s="80"/>
      <c r="C36" s="65"/>
      <c r="D36" s="66"/>
      <c r="E36" s="56"/>
      <c r="F36" s="57"/>
      <c r="G36" s="57"/>
      <c r="H36" s="58"/>
      <c r="I36" s="59"/>
      <c r="J36" s="56"/>
      <c r="K36" s="60"/>
      <c r="L36" s="60"/>
      <c r="M36" s="60"/>
      <c r="N36" s="60"/>
      <c r="O36" s="60"/>
      <c r="P36" s="61"/>
      <c r="Q36" s="62"/>
      <c r="R36" s="60"/>
      <c r="S36" s="60"/>
      <c r="T36" s="61"/>
      <c r="U36" s="63"/>
    </row>
    <row r="37" spans="1:21" s="35" customFormat="1" ht="21.6" customHeight="1" thickBot="1">
      <c r="A37" s="81" t="s">
        <v>25</v>
      </c>
      <c r="B37" s="82"/>
      <c r="C37" s="53"/>
      <c r="D37" s="53"/>
      <c r="E37" s="70">
        <f>SUM(E5:E34)</f>
        <v>16117</v>
      </c>
      <c r="F37" s="70">
        <f>SUM(F5:F34)</f>
        <v>38430</v>
      </c>
      <c r="G37" s="70">
        <f>SUM(G5:G34)</f>
        <v>0</v>
      </c>
      <c r="H37" s="70">
        <f>SUM(H5:H35)</f>
        <v>56294</v>
      </c>
      <c r="I37" s="44">
        <f>SUM(I5:I34)</f>
        <v>218188</v>
      </c>
      <c r="J37" s="70">
        <f>SUM(J3:J34)</f>
        <v>335638</v>
      </c>
      <c r="K37" s="70">
        <f>SUM(K5:K35)</f>
        <v>391809</v>
      </c>
      <c r="L37" s="70">
        <f>SUM(L3:L35)</f>
        <v>1146800.0000000007</v>
      </c>
      <c r="M37" s="70">
        <f>SUM(M3:M35)</f>
        <v>834</v>
      </c>
      <c r="N37" s="44">
        <f>SUM(N5:N34)</f>
        <v>271903.32799999998</v>
      </c>
      <c r="O37" s="70">
        <f>SUM(O5:O35)</f>
        <v>1538609.0000000005</v>
      </c>
      <c r="P37" s="44">
        <f>SUM(P5:P34)</f>
        <v>1035934.2510000011</v>
      </c>
      <c r="Q37" s="44">
        <f>SUM(Q5:Q34)</f>
        <v>20085</v>
      </c>
      <c r="R37" s="45">
        <f>SUM(R5:R35)</f>
        <v>1472.5</v>
      </c>
      <c r="S37" s="45">
        <f>SUM(S5:S35)</f>
        <v>22319.5</v>
      </c>
      <c r="T37" s="45">
        <f>SUM(T5:T34)</f>
        <v>102370.39200000001</v>
      </c>
      <c r="U37" s="46">
        <f>SUM(U5:U34)</f>
        <v>1628395.9710000008</v>
      </c>
    </row>
    <row r="38" spans="1:21" ht="19.5" customHeight="1">
      <c r="E38" s="47"/>
      <c r="F38" s="48"/>
      <c r="R38" s="20"/>
      <c r="S38" s="20"/>
      <c r="T38" s="20"/>
      <c r="U38" s="20"/>
    </row>
    <row r="39" spans="1:21" ht="18.95" customHeight="1">
      <c r="E39" s="49"/>
      <c r="F39" s="48"/>
      <c r="R39" s="20"/>
      <c r="S39" s="20"/>
      <c r="T39" s="20"/>
      <c r="U39" s="20"/>
    </row>
    <row r="40" spans="1:21" ht="18.95" customHeight="1">
      <c r="E40" s="50"/>
      <c r="R40" s="20"/>
      <c r="S40" s="20"/>
      <c r="T40" s="20"/>
      <c r="U40" s="20"/>
    </row>
    <row r="41" spans="1:21" ht="18.95" customHeight="1">
      <c r="R41" s="20"/>
      <c r="S41" s="20"/>
      <c r="T41" s="20"/>
      <c r="U41" s="20"/>
    </row>
    <row r="42" spans="1:21" ht="18.95" customHeight="1">
      <c r="R42" s="20"/>
      <c r="S42" s="20"/>
      <c r="T42" s="20"/>
      <c r="U42" s="20"/>
    </row>
    <row r="43" spans="1:21" ht="18.95" customHeight="1">
      <c r="R43" s="20"/>
      <c r="S43" s="20"/>
      <c r="T43" s="20"/>
      <c r="U43" s="20"/>
    </row>
    <row r="44" spans="1:21" ht="18.95" customHeight="1">
      <c r="R44" s="20"/>
      <c r="S44" s="20"/>
      <c r="T44" s="20"/>
      <c r="U44" s="20"/>
    </row>
    <row r="45" spans="1:21" ht="18.95" customHeight="1">
      <c r="R45" s="20"/>
      <c r="S45" s="20"/>
      <c r="T45" s="20"/>
      <c r="U45" s="20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S2:T3"/>
    <mergeCell ref="U2:U4"/>
    <mergeCell ref="A36:B36"/>
    <mergeCell ref="A37:B37"/>
    <mergeCell ref="K2:K3"/>
    <mergeCell ref="L2:L3"/>
    <mergeCell ref="M2:N3"/>
    <mergeCell ref="O2:P3"/>
    <mergeCell ref="Q2:Q3"/>
    <mergeCell ref="R2:R3"/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2022-09-06T02:42:28Z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