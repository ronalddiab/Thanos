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externalReferences>
    <externalReference r:id="rId10"/>
  </externalReference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2" l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Q3" i="2" l="1"/>
  <c r="Q4" i="2"/>
  <c r="Q5" i="2"/>
  <c r="AC32" i="8"/>
  <c r="AB32" i="8"/>
  <c r="AA32" i="8"/>
  <c r="Z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AC31" i="8"/>
  <c r="AB31" i="8"/>
  <c r="AA31" i="8"/>
  <c r="Z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Y31" i="8" s="1"/>
  <c r="H31" i="8"/>
  <c r="G31" i="8"/>
  <c r="F31" i="8"/>
  <c r="E31" i="8"/>
  <c r="AC30" i="8"/>
  <c r="AB30" i="8"/>
  <c r="AA30" i="8"/>
  <c r="Z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Y30" i="8" l="1"/>
  <c r="Y32" i="8"/>
  <c r="AE30" i="8"/>
  <c r="AE32" i="8"/>
  <c r="AD31" i="8"/>
  <c r="AE31" i="8" s="1"/>
  <c r="AD30" i="8"/>
  <c r="AD32" i="8"/>
  <c r="K32" i="9" l="1"/>
  <c r="I32" i="9"/>
  <c r="G32" i="9"/>
  <c r="E32" i="9"/>
  <c r="K31" i="9"/>
  <c r="I31" i="9"/>
  <c r="G31" i="9"/>
  <c r="E31" i="9"/>
  <c r="K30" i="9"/>
  <c r="I30" i="9"/>
  <c r="G30" i="9"/>
  <c r="E30" i="9"/>
  <c r="K29" i="9"/>
  <c r="I29" i="9"/>
  <c r="G29" i="9"/>
  <c r="E29" i="9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" i="2"/>
  <c r="B16" i="2" l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D16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F16" i="2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H16" i="2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P11" i="2" l="1"/>
  <c r="P13" i="2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T16" i="2" l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N16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16" i="2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7" i="2"/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B30" i="9"/>
  <c r="B31" i="9" s="1"/>
  <c r="B32" i="9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Y2" i="4" l="1"/>
  <c r="O71" i="10"/>
  <c r="AG31" i="1" l="1"/>
  <c r="AE31" i="1"/>
  <c r="AC31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D17" i="4" l="1"/>
  <c r="F11" i="4" l="1"/>
  <c r="J19" i="11" l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C4" i="2" l="1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K31" i="2"/>
  <c r="U31" i="4"/>
  <c r="T31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AA13" i="4" s="1"/>
  <c r="X13" i="4"/>
  <c r="W12" i="4"/>
  <c r="K20" i="4" l="1"/>
  <c r="Y13" i="4"/>
  <c r="K21" i="4" l="1"/>
  <c r="K22" i="4" l="1"/>
  <c r="K23" i="4" l="1"/>
  <c r="K24" i="4" l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K25" i="4" l="1"/>
  <c r="K26" i="4" l="1"/>
  <c r="D18" i="4"/>
  <c r="K27" i="4" l="1"/>
  <c r="K28" i="4" l="1"/>
  <c r="K29" i="4" l="1"/>
  <c r="O10" i="1"/>
  <c r="K30" i="4" l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1" i="1" l="1"/>
  <c r="Y31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P4" i="1" l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1" i="1"/>
  <c r="M5" i="1"/>
  <c r="L31" i="1"/>
  <c r="J5" i="1"/>
  <c r="J31" i="1" s="1"/>
  <c r="I31" i="1"/>
  <c r="G5" i="1"/>
  <c r="F31" i="1"/>
  <c r="D5" i="1"/>
  <c r="C31" i="1"/>
  <c r="P31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E7" i="9" l="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E8" i="9" s="1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4" i="4"/>
  <c r="AA15" i="4"/>
  <c r="AA17" i="4"/>
  <c r="AA30" i="4"/>
  <c r="AA29" i="4"/>
  <c r="I31" i="2"/>
  <c r="K31" i="4"/>
  <c r="S31" i="1"/>
  <c r="O31" i="4"/>
  <c r="S31" i="4"/>
  <c r="Z10" i="8"/>
  <c r="I17" i="4"/>
  <c r="Y17" i="4" s="1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C31" i="5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<sst xmlns="http://schemas.openxmlformats.org/spreadsheetml/2006/main" count="442" uniqueCount="149">
  <si>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</si>
  <si>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</si>
  <si>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</si>
  <si>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</si>
  <si>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</si>
  <si>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</si>
  <si>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</si>
  <si>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</si>
  <si>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</si>
  <si>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</si>
  <si>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</si>
  <si>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</si>
  <si>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</si>
  <si>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</si>
  <si>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</si>
  <si>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</si>
  <si>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</si>
  <si>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</si>
  <si>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</si>
  <si>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</si>
  <si>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</si>
  <si>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</si>
  <si>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</si>
  <si>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</si>
  <si>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</si>
  <si>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</si>
  <si>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</si>
  <si>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</si>
  <si>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</si>
  <si>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</si>
  <si>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</si>
  <si>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</si>
  <si>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</si>
  <si>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</si>
  <si>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</si>
  <si>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</si>
  <si>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</si>
  <si>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</si>
  <si>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</si>
  <si>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</si>
  <si>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</si>
  <si>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</si>
  <si>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</si>
  <si>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</si>
  <si>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</si>
  <si>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</si>
  <si>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</si>
  <si>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</si>
  <si>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</si>
  <si>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</si>
  <si>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</si>
  <si>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</si>
  <si>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</si>
  <si>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</si>
  <si>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</si>
  <si>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</si>
  <si>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</si>
  <si>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</si>
  <si>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</si>
  <si>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</si>
  <si>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</si>
  <si>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</si>
  <si>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</si>
  <si>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</si>
  <si>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</si>
  <si>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</si>
  <si>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</si>
  <si>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</si>
  <si>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</si>
  <si>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</si>
  <si>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</si>
  <si>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</si>
  <si>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</si>
  <si>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</si>
  <si>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</si>
  <si>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</si>
  <si>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</si>
  <si>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</si>
  <si>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</si>
  <si>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</si>
  <si>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</si>
  <si>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</si>
  <si>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</si>
  <si>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</si>
  <si>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</si>
  <si>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</si>
  <si>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</si>
  <si>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</si>
  <si>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</si>
  <si>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</si>
  <si>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</si>
  <si>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</si>
  <si>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</si>
  <si>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</si>
  <si>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</si>
  <si>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</si>
  <si>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</si>
  <si>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</si>
  <si>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</si>
  <si>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</si>
  <si>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</si>
  <si>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</si>
  <si>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</si>
  <si>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</si>
  <si>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</si>
  <si>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</si>
  <si>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</si>
  <si>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</si>
  <si>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</si>
  <si>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</si>
  <si>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</si>
  <si>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</si>
  <si>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</si>
  <si>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</si>
  <si>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</si>
  <si>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</si>
  <si>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</si>
  <si>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</si>
  <si>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</si>
  <si>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</si>
  <si>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</si>
  <si>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</si>
  <si>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</si>
  <si>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</si>
  <si>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</si>
  <si>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</si>
  <si>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</si>
  <si>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</si>
  <si>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</si>
  <si>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</si>
  <si>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</si>
  <si>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</si>
  <si>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</si>
  <si>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</si>
  <si>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</si>
  <si>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</si>
  <si>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</si>
  <si>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</si>
  <si>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</si>
  <si>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</si>
  <si>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</si>
  <si>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</si>
  <si>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</si>
  <si>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</si>
  <si>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</si>
  <si>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December 2021</t>
  </si>
  <si>
    <t>Acutal till Jan 2022</t>
  </si>
  <si>
    <t>Acutal till Feb. 2022</t>
  </si>
  <si>
    <t>Energy Monthly Statement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</si>
</sst>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.saber/Desktop/Consumption%20Dec%2027th-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Mall, Citadel, Rotana"/>
      <sheetName val="ELECT."/>
      <sheetName val="Water"/>
      <sheetName val="Gas"/>
      <sheetName val="BTU"/>
      <sheetName val="Energy Monthly Statement"/>
      <sheetName val="Plaza and residential"/>
    </sheetNames>
    <sheetDataSet>
      <sheetData sheetId="0"/>
      <sheetData sheetId="1">
        <row r="29">
          <cell r="H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-25.569199999999999</v>
          </cell>
          <cell r="AE29">
            <v>-168.4308</v>
          </cell>
        </row>
        <row r="30">
          <cell r="H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-25.569199999999999</v>
          </cell>
          <cell r="AE30">
            <v>-168.4308</v>
          </cell>
        </row>
        <row r="31">
          <cell r="H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-25.569199999999999</v>
          </cell>
          <cell r="AE31">
            <v>-168.4308</v>
          </cell>
        </row>
        <row r="32">
          <cell r="H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-25.569199999999999</v>
          </cell>
          <cell r="AE32">
            <v>-168.4308</v>
          </cell>
        </row>
      </sheetData>
      <sheetData sheetId="2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</row>
      </sheetData>
      <sheetData sheetId="3">
        <row r="30">
          <cell r="B30">
            <v>0</v>
          </cell>
        </row>
        <row r="31">
          <cell r="B31">
            <v>0</v>
          </cell>
          <cell r="H31">
            <v>0</v>
          </cell>
        </row>
        <row r="32">
          <cell r="B32">
            <v>0</v>
          </cell>
          <cell r="H32">
            <v>0</v>
          </cell>
        </row>
        <row r="33">
          <cell r="B33">
            <v>0</v>
          </cell>
          <cell r="H33">
            <v>0</v>
          </cell>
        </row>
      </sheetData>
      <sheetData sheetId="4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</sheetData>
      <sheetData sheetId="5"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</sheetData>
      <sheetData sheetId="6">
        <row r="31">
          <cell r="C31">
            <v>0</v>
          </cell>
          <cell r="F31">
            <v>0</v>
          </cell>
          <cell r="I31">
            <v>0</v>
          </cell>
          <cell r="L31">
            <v>0</v>
          </cell>
          <cell r="O31">
            <v>0</v>
          </cell>
          <cell r="R31">
            <v>0</v>
          </cell>
        </row>
        <row r="32">
          <cell r="C32">
            <v>0</v>
          </cell>
          <cell r="F32">
            <v>0</v>
          </cell>
          <cell r="I32">
            <v>0</v>
          </cell>
          <cell r="L32">
            <v>0</v>
          </cell>
          <cell r="O32">
            <v>0</v>
          </cell>
          <cell r="R32">
            <v>0</v>
          </cell>
        </row>
        <row r="33">
          <cell r="C33">
            <v>0</v>
          </cell>
          <cell r="F33">
            <v>0</v>
          </cell>
          <cell r="I33">
            <v>0</v>
          </cell>
          <cell r="L33">
            <v>0</v>
          </cell>
          <cell r="O33">
            <v>0</v>
          </cell>
          <cell r="R33">
            <v>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J18" sqref="J18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52666.761912000002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38931.598232000004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51183.485832000006</v>
      </c>
      <c r="F5" s="140">
        <v>1.27</v>
      </c>
      <c r="G5" s="38">
        <f>Gas!C6*0.9147</f>
        <v>2926.1252999999997</v>
      </c>
      <c r="H5" s="141">
        <v>3.65</v>
      </c>
      <c r="I5" s="143">
        <f>Submetering!H5+Submetering!AD5+Submetering!AE5</f>
        <v>666.00000000000011</v>
      </c>
      <c r="J5" s="143">
        <v>10.029999999999999</v>
      </c>
      <c r="K5" s="38">
        <f>ELECT.!B6</f>
        <v>291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52985.535247999993</v>
      </c>
      <c r="F6" s="140">
        <v>1.27</v>
      </c>
      <c r="G6" s="38">
        <f>Gas!C7*0.9147</f>
        <v>589.98149999999998</v>
      </c>
      <c r="H6" s="141">
        <v>3.65</v>
      </c>
      <c r="I6" s="143">
        <f>Submetering!H6+Submetering!AD6+Submetering!AE6</f>
        <v>696</v>
      </c>
      <c r="J6" s="143">
        <v>10.029999999999999</v>
      </c>
      <c r="K6" s="38">
        <f>ELECT.!B7</f>
        <v>308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42449.982232000002</v>
      </c>
      <c r="F7" s="140">
        <v>1.27</v>
      </c>
      <c r="G7" s="38">
        <f>Gas!C8*0.9147</f>
        <v>2792.5790999999999</v>
      </c>
      <c r="H7" s="141">
        <v>3.65</v>
      </c>
      <c r="I7" s="143">
        <f>Submetering!H7+Submetering!AD7+Submetering!AE7</f>
        <v>706</v>
      </c>
      <c r="J7" s="143">
        <v>10.029999999999999</v>
      </c>
      <c r="K7" s="38">
        <f>ELECT.!B8</f>
        <v>218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17005.097875999996</v>
      </c>
      <c r="F8" s="140">
        <v>1.27</v>
      </c>
      <c r="G8" s="38">
        <f>Gas!C9*0.9147</f>
        <v>2378.2199999999998</v>
      </c>
      <c r="H8" s="141">
        <v>3.65</v>
      </c>
      <c r="I8" s="143">
        <f>Submetering!H8+Submetering!AD8+Submetering!AE8</f>
        <v>776</v>
      </c>
      <c r="J8" s="143">
        <v>10.029999999999999</v>
      </c>
      <c r="K8" s="38">
        <f>ELECT.!B9</f>
        <v>155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28681.623683999998</v>
      </c>
      <c r="F9" s="140">
        <v>1.27</v>
      </c>
      <c r="G9" s="38">
        <f>Gas!C10*0.9147</f>
        <v>2190.7064999999998</v>
      </c>
      <c r="H9" s="141">
        <v>3.65</v>
      </c>
      <c r="I9" s="143">
        <f>Submetering!H9+Submetering!AD9+Submetering!AE9</f>
        <v>846</v>
      </c>
      <c r="J9" s="143">
        <v>10.029999999999999</v>
      </c>
      <c r="K9" s="38">
        <f>ELECT.!B10</f>
        <v>313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14233.625295999997</v>
      </c>
      <c r="F10" s="140">
        <v>1.27</v>
      </c>
      <c r="G10" s="38">
        <f>Gas!C11*0.9147</f>
        <v>3076.1360999999997</v>
      </c>
      <c r="H10" s="141">
        <v>3.65</v>
      </c>
      <c r="I10" s="143">
        <f>Submetering!H10+Submetering!AD10+Submetering!AE10</f>
        <v>836</v>
      </c>
      <c r="J10" s="143">
        <v>10.029999999999999</v>
      </c>
      <c r="K10" s="38">
        <f>ELECT.!B11</f>
        <v>163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13030.141764000002</v>
      </c>
      <c r="F11" s="140">
        <v>1.27</v>
      </c>
      <c r="G11" s="38">
        <f>Gas!C12*0.9147</f>
        <v>2498.9603999999999</v>
      </c>
      <c r="H11" s="141">
        <v>3.65</v>
      </c>
      <c r="I11" s="143">
        <f>Submetering!H11+Submetering!AD11+Submetering!AE11</f>
        <v>1526</v>
      </c>
      <c r="J11" s="143">
        <v>10.029999999999999</v>
      </c>
      <c r="K11" s="38">
        <f>ELECT.!B12</f>
        <v>240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37576.338988000003</v>
      </c>
      <c r="F12" s="140">
        <v>1.27</v>
      </c>
      <c r="G12" s="38">
        <f>Gas!C13*0.9147</f>
        <v>2656.2887999999998</v>
      </c>
      <c r="H12" s="141">
        <v>3.65</v>
      </c>
      <c r="I12" s="143">
        <f>Submetering!H12+Submetering!AD12+Submetering!AE12</f>
        <v>826</v>
      </c>
      <c r="J12" s="143">
        <v>10.029999999999999</v>
      </c>
      <c r="K12" s="38">
        <f>ELECT.!B13</f>
        <v>218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22808.831584000003</v>
      </c>
      <c r="F13" s="140">
        <v>1.27</v>
      </c>
      <c r="G13" s="38">
        <f>Gas!C14*0.9147</f>
        <v>2842.8876</v>
      </c>
      <c r="H13" s="141">
        <v>3.65</v>
      </c>
      <c r="I13" s="143">
        <f>Submetering!H13+Submetering!AD13+Submetering!AE13</f>
        <v>856.00000000000011</v>
      </c>
      <c r="J13" s="143">
        <v>10.029999999999999</v>
      </c>
      <c r="K13" s="38">
        <f>ELECT.!B14</f>
        <v>269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19161.251759999996</v>
      </c>
      <c r="F14" s="140">
        <v>1.27</v>
      </c>
      <c r="G14" s="38">
        <f>Gas!C15*0.9147</f>
        <v>2714.8296</v>
      </c>
      <c r="H14" s="141">
        <v>3.65</v>
      </c>
      <c r="I14" s="143">
        <f>Submetering!H14+Submetering!AD14+Submetering!AE14</f>
        <v>856</v>
      </c>
      <c r="J14" s="143">
        <v>10.029999999999999</v>
      </c>
      <c r="K14" s="38">
        <f>ELECT.!B15</f>
        <v>294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0">
        <v>1.27</v>
      </c>
      <c r="G15" s="38">
        <f>Gas!C16*0.9147</f>
        <v>0</v>
      </c>
      <c r="H15" s="141">
        <v>3.65</v>
      </c>
      <c r="I15" s="143">
        <f>Submetering!H15+Submetering!AD15+Submetering!AE15</f>
        <v>-194</v>
      </c>
      <c r="J15" s="143">
        <v>10.029999999999999</v>
      </c>
      <c r="K15" s="38">
        <f>ELECT.!B16</f>
        <v>0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0">
        <v>1.27</v>
      </c>
      <c r="G16" s="38">
        <f>Gas!C17*0.9147</f>
        <v>0</v>
      </c>
      <c r="H16" s="141">
        <v>3.65</v>
      </c>
      <c r="I16" s="143">
        <f>Submetering!H16+Submetering!AD16+Submetering!AE16</f>
        <v>-194</v>
      </c>
      <c r="J16" s="143">
        <v>10.029999999999999</v>
      </c>
      <c r="K16" s="38">
        <f>ELECT.!B17</f>
        <v>0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0">
        <v>1.27</v>
      </c>
      <c r="G17" s="38">
        <f>Gas!C18*0.9147</f>
        <v>0</v>
      </c>
      <c r="H17" s="141">
        <v>3.65</v>
      </c>
      <c r="I17" s="143">
        <f>Submetering!H17+Submetering!AD17+Submetering!AE17</f>
        <v>-194</v>
      </c>
      <c r="J17" s="143">
        <v>10.029999999999999</v>
      </c>
      <c r="K17" s="38">
        <f>ELECT.!B18</f>
        <v>0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0">
        <v>1.27</v>
      </c>
      <c r="G18" s="38">
        <f>Gas!C19*0.9147</f>
        <v>0</v>
      </c>
      <c r="H18" s="141">
        <v>3.65</v>
      </c>
      <c r="I18" s="143">
        <f>Submetering!H18+Submetering!AD18+Submetering!AE18</f>
        <v>-194</v>
      </c>
      <c r="J18" s="143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0">
        <v>1.27</v>
      </c>
      <c r="G19" s="38">
        <f>Gas!C20*0.9147</f>
        <v>0</v>
      </c>
      <c r="H19" s="141">
        <v>3.65</v>
      </c>
      <c r="I19" s="143">
        <f>Submetering!H19+Submetering!AD19+Submetering!AE19</f>
        <v>-194</v>
      </c>
      <c r="J19" s="143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0">
        <v>1.27</v>
      </c>
      <c r="G20" s="38">
        <f>Gas!C21*0.9147</f>
        <v>0</v>
      </c>
      <c r="H20" s="141">
        <v>3.65</v>
      </c>
      <c r="I20" s="143">
        <f>Submetering!H20+Submetering!AD20+Submetering!AE20</f>
        <v>-194</v>
      </c>
      <c r="J20" s="143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0">
        <v>1.27</v>
      </c>
      <c r="G21" s="38">
        <f>Gas!C22*0.9147</f>
        <v>0</v>
      </c>
      <c r="H21" s="141">
        <v>3.65</v>
      </c>
      <c r="I21" s="143">
        <f>Submetering!H21+Submetering!AD21+Submetering!AE21</f>
        <v>-194</v>
      </c>
      <c r="J21" s="143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0">
        <v>1.27</v>
      </c>
      <c r="G22" s="38">
        <f>Gas!C23*0.9147</f>
        <v>0</v>
      </c>
      <c r="H22" s="141">
        <v>3.65</v>
      </c>
      <c r="I22" s="143">
        <f>Submetering!H22+Submetering!AD22+Submetering!AE22</f>
        <v>-194</v>
      </c>
      <c r="J22" s="143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0">
        <v>1.27</v>
      </c>
      <c r="G23" s="38">
        <f>Gas!C24*0.9147</f>
        <v>0</v>
      </c>
      <c r="H23" s="141">
        <v>3.65</v>
      </c>
      <c r="I23" s="143">
        <f>Submetering!H23+Submetering!AD23+Submetering!AE23</f>
        <v>-194</v>
      </c>
      <c r="J23" s="143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0">
        <v>1.27</v>
      </c>
      <c r="G24" s="38">
        <f>Gas!C25*0.9147</f>
        <v>0</v>
      </c>
      <c r="H24" s="141">
        <v>3.65</v>
      </c>
      <c r="I24" s="143">
        <f>Submetering!H24+Submetering!AD24+Submetering!AE24</f>
        <v>-194</v>
      </c>
      <c r="J24" s="143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0">
        <v>1.27</v>
      </c>
      <c r="G25" s="38">
        <f>Gas!C26*0.9147</f>
        <v>0</v>
      </c>
      <c r="H25" s="141">
        <v>3.65</v>
      </c>
      <c r="I25" s="143">
        <f>Submetering!H25+Submetering!AD25+Submetering!AE25</f>
        <v>-194</v>
      </c>
      <c r="J25" s="143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0">
        <v>1.27</v>
      </c>
      <c r="G26" s="38">
        <f>Gas!C27*0.9147</f>
        <v>0</v>
      </c>
      <c r="H26" s="141">
        <v>3.65</v>
      </c>
      <c r="I26" s="143">
        <f>Submetering!H26+Submetering!AD26+Submetering!AE26</f>
        <v>-194</v>
      </c>
      <c r="J26" s="143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0">
        <v>1.27</v>
      </c>
      <c r="G27" s="38">
        <f>Gas!C28*0.9147</f>
        <v>0</v>
      </c>
      <c r="H27" s="141">
        <v>3.65</v>
      </c>
      <c r="I27" s="143">
        <f>Submetering!H27+Submetering!AD27+Submetering!AE27</f>
        <v>-194</v>
      </c>
      <c r="J27" s="143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0">
        <v>1.27</v>
      </c>
      <c r="G28" s="38">
        <f>Gas!C29*0.9147</f>
        <v>0</v>
      </c>
      <c r="H28" s="141">
        <v>3.65</v>
      </c>
      <c r="I28" s="143">
        <f>Submetering!H28+Submetering!AD28+Submetering!AE28</f>
        <v>-194</v>
      </c>
      <c r="J28" s="143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[1]Submetering!O29+[1]Submetering!P29)*0.842284+[1]Submetering!Q29+([1]Submetering!M29+[1]Submetering!N29+[1]Submetering!Y29)*0.7362)+([1]Submetering!O29+[1]Submetering!P29+[1]Submetering!Q29)*0.1488+([1]Submetering!M29+[1]Submetering!N29+[1]Submetering!Y29)*0.1167+([1]Submetering!K29+[1]Submetering!L29-[1]Submetering!Z29-[1]Submetering!AA29-[1]Submetering!AB29-[1]Submetering!AC29-[1]Submetering!Q29)+([1]Submetering!M29+[1]Submetering!N29+[1]Submetering!Y29)*0.1139)</f>
        <v>0</v>
      </c>
      <c r="F29" s="141">
        <v>1.27</v>
      </c>
      <c r="G29" s="38">
        <f>[1]Gas!C30*0.9147</f>
        <v>0</v>
      </c>
      <c r="H29" s="141">
        <v>3.65</v>
      </c>
      <c r="I29" s="143">
        <f>[1]Submetering!H29+[1]Submetering!AD29+[1]Submetering!AE29</f>
        <v>-194</v>
      </c>
      <c r="J29" s="143">
        <v>10.029999999999999</v>
      </c>
      <c r="K29" s="38">
        <f>[1]ELECT.!B30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[1]Submetering!O30+[1]Submetering!P30)*0.842284+[1]Submetering!Q30+([1]Submetering!M30+[1]Submetering!N30+[1]Submetering!Y30)*0.7362)+([1]Submetering!O30+[1]Submetering!P30+[1]Submetering!Q30)*0.1488+([1]Submetering!M30+[1]Submetering!N30+[1]Submetering!Y30)*0.1167+([1]Submetering!K30+[1]Submetering!L30-[1]Submetering!Z30-[1]Submetering!AA30-[1]Submetering!AB30-[1]Submetering!AC30-[1]Submetering!Q30)+([1]Submetering!M30+[1]Submetering!N30+[1]Submetering!Y30)*0.1139)</f>
        <v>0</v>
      </c>
      <c r="F30" s="141">
        <v>1.27</v>
      </c>
      <c r="G30" s="38">
        <f>[1]Gas!C31*0.9147</f>
        <v>0</v>
      </c>
      <c r="H30" s="141">
        <v>3.65</v>
      </c>
      <c r="I30" s="143">
        <f>[1]Submetering!H30+[1]Submetering!AD30+[1]Submetering!AE30</f>
        <v>-194</v>
      </c>
      <c r="J30" s="143">
        <v>10.029999999999999</v>
      </c>
      <c r="K30" s="38">
        <f>[1]ELECT.!B31</f>
        <v>0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[1]Submetering!O31+[1]Submetering!P31)*0.842284+[1]Submetering!Q31+([1]Submetering!M31+[1]Submetering!N31+[1]Submetering!Y31)*0.7362)+([1]Submetering!O31+[1]Submetering!P31+[1]Submetering!Q31)*0.1488+([1]Submetering!M31+[1]Submetering!N31+[1]Submetering!Y31)*0.1167+([1]Submetering!K31+[1]Submetering!L31-[1]Submetering!Z31-[1]Submetering!AA31-[1]Submetering!AB31-[1]Submetering!AC31-[1]Submetering!Q31)+([1]Submetering!M31+[1]Submetering!N31+[1]Submetering!Y31)*0.1139)</f>
        <v>0</v>
      </c>
      <c r="F31" s="141">
        <v>1.27</v>
      </c>
      <c r="G31" s="38">
        <f>[1]Gas!C32*0.9147</f>
        <v>0</v>
      </c>
      <c r="H31" s="141">
        <v>3.65</v>
      </c>
      <c r="I31" s="143">
        <f>[1]Submetering!H31+[1]Submetering!AD31+[1]Submetering!AE31</f>
        <v>-194</v>
      </c>
      <c r="J31" s="143">
        <v>10.029999999999999</v>
      </c>
      <c r="K31" s="38">
        <f>[1]ELECT.!B32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[1]Submetering!O32+[1]Submetering!P32)*0.842284+[1]Submetering!Q32+([1]Submetering!M32+[1]Submetering!N32+[1]Submetering!Y32)*0.7362)+([1]Submetering!O32+[1]Submetering!P32+[1]Submetering!Q32)*0.1488+([1]Submetering!M32+[1]Submetering!N32+[1]Submetering!Y32)*0.1167+([1]Submetering!K32+[1]Submetering!L32-[1]Submetering!Z32-[1]Submetering!AA32-[1]Submetering!AB32-[1]Submetering!AC32-[1]Submetering!Q32)+([1]Submetering!M32+[1]Submetering!N32+[1]Submetering!Y32)*0.1139)</f>
        <v>0</v>
      </c>
      <c r="F32" s="141">
        <v>1.27</v>
      </c>
      <c r="G32" s="38">
        <f>[1]Gas!C33*0.9147</f>
        <v>0</v>
      </c>
      <c r="H32" s="141">
        <v>3.65</v>
      </c>
      <c r="I32" s="143">
        <f>[1]Submetering!H32+[1]Submetering!AD32+[1]Submetering!AE32</f>
        <v>-194</v>
      </c>
      <c r="J32" s="143">
        <v>10.029999999999999</v>
      </c>
      <c r="K32" s="38">
        <f>[1]ELECT.!B33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K1" zoomScale="85" zoomScaleNormal="85" workbookViewId="0">
      <selection activeCell="AE13" sqref="AE13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0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32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32" si="1">(E3-H3-194)*0.1318</f>
        <v>98.964665999999994</v>
      </c>
      <c r="AE3" s="36">
        <f t="shared" ref="AE3:AE32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>
        <f>ELECT.!F5</f>
        <v>10638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-2603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860</v>
      </c>
      <c r="F5" s="38">
        <f>Water!E6</f>
        <v>370</v>
      </c>
      <c r="G5" s="38">
        <f>Water!G6</f>
        <v>334.8</v>
      </c>
      <c r="H5" s="38">
        <f>Water!I6</f>
        <v>2.7810000000000001</v>
      </c>
      <c r="I5" s="38">
        <f>ELECT.!F6</f>
        <v>12850</v>
      </c>
      <c r="J5" s="38">
        <f>ELECT.!H6</f>
        <v>40158</v>
      </c>
      <c r="K5" s="38">
        <f>ELECT.!K6</f>
        <v>8076</v>
      </c>
      <c r="L5" s="38">
        <f>ELECT.!M6</f>
        <v>6116</v>
      </c>
      <c r="M5" s="38">
        <f>ELECT.!O6</f>
        <v>6546</v>
      </c>
      <c r="N5" s="38">
        <f>ELECT.!Q6</f>
        <v>2436</v>
      </c>
      <c r="O5" s="38">
        <f>ELECT.!S6</f>
        <v>9926</v>
      </c>
      <c r="P5" s="38">
        <f>ELECT.!W6*2</f>
        <v>22472</v>
      </c>
      <c r="Q5" s="38">
        <f>ELECT.!D6</f>
        <v>480</v>
      </c>
      <c r="R5" s="39">
        <f>BTU!C6</f>
        <v>2.0030000000006112</v>
      </c>
      <c r="S5" s="39">
        <f>BTU!F6</f>
        <v>0.35300000000006548</v>
      </c>
      <c r="T5" s="39">
        <f>BTU!I6</f>
        <v>5</v>
      </c>
      <c r="U5" s="39">
        <f>BTU!O6</f>
        <v>1.2409999999999854</v>
      </c>
      <c r="V5" s="39">
        <f>BTU!L6</f>
        <v>0</v>
      </c>
      <c r="W5" s="39">
        <f>BTU!R6</f>
        <v>0</v>
      </c>
      <c r="X5" s="36">
        <f>ELECT.!B6</f>
        <v>291</v>
      </c>
      <c r="Y5" s="36">
        <f t="shared" si="0"/>
        <v>-2564</v>
      </c>
      <c r="Z5">
        <f>'Mall, Citadel, Rotana'!C6+'Mall, Citadel, Rotana'!E6+'Mall, Citadel, Rotana'!G6+'Mall, Citadel, Rotana'!I6</f>
        <v>1019</v>
      </c>
      <c r="AA5">
        <f>'Mall, Citadel, Rotana'!K6+'Mall, Citadel, Rotana'!M6</f>
        <v>320</v>
      </c>
      <c r="AB5">
        <f>'Mall, Citadel, Rotana'!O6</f>
        <v>55</v>
      </c>
      <c r="AC5">
        <f>'Mall, Citadel, Rotana'!Q6+'Mall, Citadel, Rotana'!S6</f>
        <v>0</v>
      </c>
      <c r="AD5" s="36">
        <f t="shared" si="1"/>
        <v>87.41226420000001</v>
      </c>
      <c r="AE5" s="36">
        <f t="shared" si="2"/>
        <v>575.80673580000007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890</v>
      </c>
      <c r="F6" s="38">
        <f>Water!E7</f>
        <v>430</v>
      </c>
      <c r="G6" s="38">
        <f>Water!G7</f>
        <v>332.1</v>
      </c>
      <c r="H6" s="38">
        <f>Water!I7</f>
        <v>3.6989999999999998</v>
      </c>
      <c r="I6" s="38">
        <f>ELECT.!F7</f>
        <v>13331</v>
      </c>
      <c r="J6" s="38">
        <f>ELECT.!H7</f>
        <v>41827</v>
      </c>
      <c r="K6" s="38">
        <f>ELECT.!K7</f>
        <v>9056</v>
      </c>
      <c r="L6" s="38">
        <f>ELECT.!M7</f>
        <v>6139</v>
      </c>
      <c r="M6" s="38">
        <f>ELECT.!O7</f>
        <v>7064</v>
      </c>
      <c r="N6" s="38">
        <f>ELECT.!Q7</f>
        <v>2444</v>
      </c>
      <c r="O6" s="38">
        <f>ELECT.!S7</f>
        <v>10344</v>
      </c>
      <c r="P6" s="38">
        <f>ELECT.!W7*2</f>
        <v>23328</v>
      </c>
      <c r="Q6" s="38">
        <f>ELECT.!D7</f>
        <v>320</v>
      </c>
      <c r="R6" s="39">
        <f>BTU!C7</f>
        <v>0.36400000000139698</v>
      </c>
      <c r="S6" s="39">
        <f>BTU!F7</f>
        <v>0.41699999999946158</v>
      </c>
      <c r="T6" s="39">
        <f>BTU!I7</f>
        <v>4</v>
      </c>
      <c r="U6" s="39">
        <f>BTU!O7</f>
        <v>0.68400000000019645</v>
      </c>
      <c r="V6" s="39">
        <f>BTU!L7</f>
        <v>0</v>
      </c>
      <c r="W6" s="39">
        <f>BTU!R7</f>
        <v>0</v>
      </c>
      <c r="X6" s="36">
        <f>ELECT.!B7</f>
        <v>308</v>
      </c>
      <c r="Y6" s="36">
        <f t="shared" si="0"/>
        <v>-3217</v>
      </c>
      <c r="Z6">
        <f>'Mall, Citadel, Rotana'!C7+'Mall, Citadel, Rotana'!E7+'Mall, Citadel, Rotana'!G7+'Mall, Citadel, Rotana'!I7</f>
        <v>1300</v>
      </c>
      <c r="AA6">
        <f>'Mall, Citadel, Rotana'!K7+'Mall, Citadel, Rotana'!M7</f>
        <v>320</v>
      </c>
      <c r="AB6">
        <f>'Mall, Citadel, Rotana'!O7</f>
        <v>91</v>
      </c>
      <c r="AC6">
        <f>'Mall, Citadel, Rotana'!Q7+'Mall, Citadel, Rotana'!S7</f>
        <v>0</v>
      </c>
      <c r="AD6" s="36">
        <f t="shared" si="1"/>
        <v>91.245271800000012</v>
      </c>
      <c r="AE6" s="36">
        <f t="shared" si="2"/>
        <v>601.05572819999998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900</v>
      </c>
      <c r="F7" s="38">
        <f>Water!E8</f>
        <v>480</v>
      </c>
      <c r="G7" s="38">
        <f>Water!G8</f>
        <v>353.7</v>
      </c>
      <c r="H7" s="38">
        <f>Water!I8</f>
        <v>3.6989999999999998</v>
      </c>
      <c r="I7" s="38">
        <f>ELECT.!F8</f>
        <v>10960</v>
      </c>
      <c r="J7" s="38">
        <f>ELECT.!H8</f>
        <v>34046</v>
      </c>
      <c r="K7" s="38">
        <f>ELECT.!K8</f>
        <v>7842</v>
      </c>
      <c r="L7" s="38">
        <f>ELECT.!M8</f>
        <v>4850</v>
      </c>
      <c r="M7" s="38">
        <f>ELECT.!O8</f>
        <v>5972</v>
      </c>
      <c r="N7" s="38">
        <f>ELECT.!Q8</f>
        <v>2136</v>
      </c>
      <c r="O7" s="38">
        <f>ELECT.!S8</f>
        <v>8386</v>
      </c>
      <c r="P7" s="38">
        <f>ELECT.!W8*2</f>
        <v>18512</v>
      </c>
      <c r="Q7" s="38">
        <f>ELECT.!D8</f>
        <v>320</v>
      </c>
      <c r="R7" s="39">
        <f>BTU!C8</f>
        <v>1.4269999999996799</v>
      </c>
      <c r="S7" s="39">
        <f>BTU!F8</f>
        <v>0.83399999999983265</v>
      </c>
      <c r="T7" s="39">
        <f>BTU!I8</f>
        <v>5</v>
      </c>
      <c r="U7" s="39">
        <f>BTU!O8</f>
        <v>1.1909999999998035</v>
      </c>
      <c r="V7" s="39">
        <f>BTU!L8</f>
        <v>0</v>
      </c>
      <c r="W7" s="39">
        <f>BTU!R8</f>
        <v>0.59000000000014552</v>
      </c>
      <c r="X7" s="36">
        <f>ELECT.!B8</f>
        <v>218</v>
      </c>
      <c r="Y7" s="36">
        <f t="shared" si="0"/>
        <v>-2692</v>
      </c>
      <c r="Z7">
        <f>'Mall, Citadel, Rotana'!C8+'Mall, Citadel, Rotana'!E8+'Mall, Citadel, Rotana'!G8+'Mall, Citadel, Rotana'!I8</f>
        <v>1432</v>
      </c>
      <c r="AA7">
        <f>'Mall, Citadel, Rotana'!K8+'Mall, Citadel, Rotana'!M8</f>
        <v>640</v>
      </c>
      <c r="AB7">
        <f>'Mall, Citadel, Rotana'!O8</f>
        <v>112</v>
      </c>
      <c r="AC7">
        <f>'Mall, Citadel, Rotana'!Q8+'Mall, Citadel, Rotana'!S8</f>
        <v>0</v>
      </c>
      <c r="AD7" s="36">
        <f t="shared" si="1"/>
        <v>92.56327180000001</v>
      </c>
      <c r="AE7" s="36">
        <f t="shared" si="2"/>
        <v>609.73772819999999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970</v>
      </c>
      <c r="F8" s="38">
        <f>Water!E9</f>
        <v>500</v>
      </c>
      <c r="G8" s="38">
        <f>Water!G9</f>
        <v>332.1</v>
      </c>
      <c r="H8" s="38">
        <f>Water!I9</f>
        <v>3.375</v>
      </c>
      <c r="I8" s="38">
        <f>ELECT.!F9</f>
        <v>10983</v>
      </c>
      <c r="J8" s="38">
        <f>ELECT.!H9</f>
        <v>33719</v>
      </c>
      <c r="K8" s="38">
        <f>ELECT.!K9</f>
        <v>7918</v>
      </c>
      <c r="L8" s="38">
        <f>ELECT.!M9</f>
        <v>4815</v>
      </c>
      <c r="M8" s="38">
        <f>ELECT.!O9</f>
        <v>1976</v>
      </c>
      <c r="N8" s="38">
        <f>ELECT.!Q9</f>
        <v>2397</v>
      </c>
      <c r="O8" s="38">
        <f>ELECT.!S9</f>
        <v>8721</v>
      </c>
      <c r="P8" s="38">
        <f>ELECT.!W9*2</f>
        <v>17718</v>
      </c>
      <c r="Q8" s="38">
        <f>ELECT.!D9</f>
        <v>480</v>
      </c>
      <c r="R8" s="39">
        <f>BTU!C9</f>
        <v>4.1650000000008731</v>
      </c>
      <c r="S8" s="39">
        <f>BTU!F9</f>
        <v>1.0900000000001455</v>
      </c>
      <c r="T8" s="39">
        <f>BTU!I9</f>
        <v>5</v>
      </c>
      <c r="U8" s="39">
        <f>BTU!O9</f>
        <v>1.2049999999999272</v>
      </c>
      <c r="V8" s="39">
        <f>BTU!L9</f>
        <v>0</v>
      </c>
      <c r="W8" s="39">
        <f>BTU!R9</f>
        <v>0.53999999999996362</v>
      </c>
      <c r="X8" s="36">
        <f>ELECT.!B9</f>
        <v>155</v>
      </c>
      <c r="Y8" s="36">
        <f t="shared" si="0"/>
        <v>1157</v>
      </c>
      <c r="Z8">
        <f>'Mall, Citadel, Rotana'!C9+'Mall, Citadel, Rotana'!E9+'Mall, Citadel, Rotana'!G9+'Mall, Citadel, Rotana'!I9</f>
        <v>1193</v>
      </c>
      <c r="AA8">
        <f>'Mall, Citadel, Rotana'!K9+'Mall, Citadel, Rotana'!M9</f>
        <v>26080</v>
      </c>
      <c r="AB8">
        <f>'Mall, Citadel, Rotana'!O9</f>
        <v>7</v>
      </c>
      <c r="AC8">
        <f>'Mall, Citadel, Rotana'!Q9+'Mall, Citadel, Rotana'!S9</f>
        <v>69</v>
      </c>
      <c r="AD8" s="36">
        <f t="shared" si="1"/>
        <v>101.831975</v>
      </c>
      <c r="AE8" s="36">
        <f t="shared" si="2"/>
        <v>670.79302499999994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1040</v>
      </c>
      <c r="F9" s="38">
        <f>Water!E10</f>
        <v>490</v>
      </c>
      <c r="G9" s="38">
        <f>Water!G10</f>
        <v>391.5</v>
      </c>
      <c r="H9" s="38">
        <f>Water!I10</f>
        <v>3.8340000000000001</v>
      </c>
      <c r="I9" s="38">
        <f>ELECT.!F10</f>
        <v>13851</v>
      </c>
      <c r="J9" s="38">
        <f>ELECT.!H10</f>
        <v>44703</v>
      </c>
      <c r="K9" s="38">
        <f>ELECT.!K10</f>
        <v>9992</v>
      </c>
      <c r="L9" s="38">
        <f>ELECT.!M10</f>
        <v>5945</v>
      </c>
      <c r="M9" s="38">
        <f>ELECT.!O10</f>
        <v>11786</v>
      </c>
      <c r="N9" s="38">
        <f>ELECT.!Q10</f>
        <v>3151</v>
      </c>
      <c r="O9" s="38">
        <f>ELECT.!S10</f>
        <v>11521</v>
      </c>
      <c r="P9" s="38">
        <f>ELECT.!W10*2</f>
        <v>23930</v>
      </c>
      <c r="Q9" s="38">
        <f>ELECT.!D10</f>
        <v>320</v>
      </c>
      <c r="R9" s="39">
        <f>BTU!C10</f>
        <v>3.9849999999969441</v>
      </c>
      <c r="S9" s="39">
        <f>BTU!F10</f>
        <v>1.0480000000006839</v>
      </c>
      <c r="T9" s="39">
        <f>BTU!I10</f>
        <v>6</v>
      </c>
      <c r="U9" s="39">
        <f>BTU!O10</f>
        <v>1.1390000000001237</v>
      </c>
      <c r="V9" s="39">
        <f>BTU!L10</f>
        <v>0</v>
      </c>
      <c r="W9" s="39">
        <f>BTU!R10</f>
        <v>0.3999999999996362</v>
      </c>
      <c r="X9" s="36">
        <f>ELECT.!B10</f>
        <v>313</v>
      </c>
      <c r="Y9" s="36">
        <f t="shared" si="0"/>
        <v>-7771</v>
      </c>
      <c r="Z9">
        <f>'Mall, Citadel, Rotana'!C10+'Mall, Citadel, Rotana'!E10+'Mall, Citadel, Rotana'!G10+'Mall, Citadel, Rotana'!I10</f>
        <v>1374</v>
      </c>
      <c r="AA9">
        <f>'Mall, Citadel, Rotana'!K10+'Mall, Citadel, Rotana'!M10</f>
        <v>27840</v>
      </c>
      <c r="AB9">
        <f>'Mall, Citadel, Rotana'!O10</f>
        <v>3</v>
      </c>
      <c r="AC9">
        <f>'Mall, Citadel, Rotana'!Q10+'Mall, Citadel, Rotana'!S10</f>
        <v>149</v>
      </c>
      <c r="AD9" s="36">
        <f t="shared" si="1"/>
        <v>110.9974788</v>
      </c>
      <c r="AE9" s="36">
        <f t="shared" si="2"/>
        <v>731.16852119999999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1030</v>
      </c>
      <c r="F10" s="38">
        <f>Water!E11</f>
        <v>520</v>
      </c>
      <c r="G10" s="38">
        <f>Water!G11</f>
        <v>369.9</v>
      </c>
      <c r="H10" s="38">
        <f>Water!I11</f>
        <v>3.8879999999999999</v>
      </c>
      <c r="I10" s="38">
        <f>ELECT.!F11</f>
        <v>10734</v>
      </c>
      <c r="J10" s="38">
        <f>ELECT.!H11</f>
        <v>32707</v>
      </c>
      <c r="K10" s="38">
        <f>ELECT.!K11</f>
        <v>7374</v>
      </c>
      <c r="L10" s="38">
        <f>ELECT.!M11</f>
        <v>4988</v>
      </c>
      <c r="M10" s="38">
        <f>ELECT.!O11</f>
        <v>5604</v>
      </c>
      <c r="N10" s="38">
        <f>ELECT.!Q11</f>
        <v>2254</v>
      </c>
      <c r="O10" s="38">
        <f>ELECT.!S11</f>
        <v>8296</v>
      </c>
      <c r="P10" s="38">
        <f>ELECT.!W11*2</f>
        <v>17648</v>
      </c>
      <c r="Q10" s="38">
        <f>ELECT.!D11</f>
        <v>480</v>
      </c>
      <c r="R10" s="39">
        <f>BTU!C11</f>
        <v>4.0420000000012806</v>
      </c>
      <c r="S10" s="39">
        <f>BTU!F11</f>
        <v>1.602999999999156</v>
      </c>
      <c r="T10" s="39">
        <f>BTU!I11</f>
        <v>6</v>
      </c>
      <c r="U10" s="39">
        <f>BTU!O11</f>
        <v>1.4039999999999964</v>
      </c>
      <c r="V10" s="39">
        <f>BTU!L11</f>
        <v>0</v>
      </c>
      <c r="W10" s="39">
        <f>BTU!R11</f>
        <v>0.6000000000003638</v>
      </c>
      <c r="X10" s="36">
        <f>ELECT.!B11</f>
        <v>163</v>
      </c>
      <c r="Y10" s="36">
        <f t="shared" si="0"/>
        <v>-2723</v>
      </c>
      <c r="Z10">
        <f>'Mall, Citadel, Rotana'!C11+'Mall, Citadel, Rotana'!E11+'Mall, Citadel, Rotana'!G11+'Mall, Citadel, Rotana'!I11</f>
        <v>1354</v>
      </c>
      <c r="AA10">
        <f>'Mall, Citadel, Rotana'!K11+'Mall, Citadel, Rotana'!M11</f>
        <v>27520</v>
      </c>
      <c r="AB10">
        <f>'Mall, Citadel, Rotana'!O11</f>
        <v>3</v>
      </c>
      <c r="AC10">
        <f>'Mall, Citadel, Rotana'!Q11+'Mall, Citadel, Rotana'!S11</f>
        <v>0</v>
      </c>
      <c r="AD10" s="36">
        <f t="shared" si="1"/>
        <v>109.67236160000002</v>
      </c>
      <c r="AE10" s="36">
        <f t="shared" si="2"/>
        <v>722.43963840000004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1720</v>
      </c>
      <c r="F11" s="38">
        <f>Water!E12</f>
        <v>1230</v>
      </c>
      <c r="G11" s="38">
        <f>Water!G12</f>
        <v>361.8</v>
      </c>
      <c r="H11" s="38">
        <f>Water!I12</f>
        <v>4.2119999999999997</v>
      </c>
      <c r="I11" s="38">
        <f>ELECT.!F12</f>
        <v>10698</v>
      </c>
      <c r="J11" s="38">
        <f>ELECT.!H12</f>
        <v>35102</v>
      </c>
      <c r="K11" s="38">
        <f>ELECT.!K12</f>
        <v>7828</v>
      </c>
      <c r="L11" s="38">
        <f>ELECT.!M12</f>
        <v>4845</v>
      </c>
      <c r="M11" s="38">
        <f>ELECT.!O12</f>
        <v>5718</v>
      </c>
      <c r="N11" s="38">
        <f>ELECT.!Q12</f>
        <v>2764</v>
      </c>
      <c r="O11" s="38">
        <f>ELECT.!S12</f>
        <v>8889</v>
      </c>
      <c r="P11" s="38">
        <f>ELECT.!W12*2</f>
        <v>18682</v>
      </c>
      <c r="Q11" s="38">
        <f>ELECT.!D12</f>
        <v>480</v>
      </c>
      <c r="R11" s="39">
        <f>BTU!C12</f>
        <v>3.6110000000007858</v>
      </c>
      <c r="S11" s="39">
        <f>BTU!F12</f>
        <v>1.1320000000005166</v>
      </c>
      <c r="T11" s="39">
        <f>BTU!I12</f>
        <v>6</v>
      </c>
      <c r="U11" s="39">
        <f>BTU!O12</f>
        <v>1.4149999999999636</v>
      </c>
      <c r="V11" s="39">
        <f>BTU!L12</f>
        <v>0</v>
      </c>
      <c r="W11" s="39">
        <f>BTU!R12</f>
        <v>0</v>
      </c>
      <c r="X11" s="36">
        <f>ELECT.!B12</f>
        <v>240</v>
      </c>
      <c r="Y11" s="36">
        <f t="shared" si="0"/>
        <v>-2926</v>
      </c>
      <c r="Z11">
        <f>'Mall, Citadel, Rotana'!C12+'Mall, Citadel, Rotana'!E12+'Mall, Citadel, Rotana'!G12+'Mall, Citadel, Rotana'!I12</f>
        <v>1207</v>
      </c>
      <c r="AA11">
        <f>'Mall, Citadel, Rotana'!K12+'Mall, Citadel, Rotana'!M12</f>
        <v>31200</v>
      </c>
      <c r="AB11">
        <f>'Mall, Citadel, Rotana'!O12</f>
        <v>4</v>
      </c>
      <c r="AC11">
        <f>'Mall, Citadel, Rotana'!Q12+'Mall, Citadel, Rotana'!S12</f>
        <v>0</v>
      </c>
      <c r="AD11" s="36">
        <f t="shared" si="1"/>
        <v>200.57165839999999</v>
      </c>
      <c r="AE11" s="36">
        <f t="shared" si="2"/>
        <v>1321.2163416000001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1020</v>
      </c>
      <c r="F12" s="38">
        <f>Water!E13</f>
        <v>510</v>
      </c>
      <c r="G12" s="38">
        <f>Water!G13</f>
        <v>391.5</v>
      </c>
      <c r="H12" s="38">
        <f>Water!I13</f>
        <v>4.7519999999999998</v>
      </c>
      <c r="I12" s="38">
        <f>ELECT.!F13</f>
        <v>14631</v>
      </c>
      <c r="J12" s="38">
        <f>ELECT.!H13</f>
        <v>43556</v>
      </c>
      <c r="K12" s="38">
        <f>ELECT.!K13</f>
        <v>9166</v>
      </c>
      <c r="L12" s="38">
        <f>ELECT.!M13</f>
        <v>6599</v>
      </c>
      <c r="M12" s="38">
        <f>ELECT.!O13</f>
        <v>7828</v>
      </c>
      <c r="N12" s="38">
        <f>ELECT.!Q13</f>
        <v>3487</v>
      </c>
      <c r="O12" s="38">
        <f>ELECT.!S13</f>
        <v>11495</v>
      </c>
      <c r="P12" s="38">
        <f>ELECT.!W13*2</f>
        <v>22862</v>
      </c>
      <c r="Q12" s="38">
        <f>ELECT.!D13</f>
        <v>480</v>
      </c>
      <c r="R12" s="39">
        <f>BTU!C13</f>
        <v>2.6769999999996799</v>
      </c>
      <c r="S12" s="39">
        <f>BTU!F13</f>
        <v>0.53399999999965075</v>
      </c>
      <c r="T12" s="39">
        <f>BTU!I13</f>
        <v>6</v>
      </c>
      <c r="U12" s="39">
        <f>BTU!O13</f>
        <v>1.2519999999999527</v>
      </c>
      <c r="V12" s="39">
        <f>BTU!L13</f>
        <v>0</v>
      </c>
      <c r="W12" s="39">
        <f>BTU!R13</f>
        <v>2.9999999999745341E-2</v>
      </c>
      <c r="X12" s="36">
        <f>ELECT.!B13</f>
        <v>218</v>
      </c>
      <c r="Y12" s="36">
        <f t="shared" si="0"/>
        <v>-3250</v>
      </c>
      <c r="Z12">
        <f>'Mall, Citadel, Rotana'!C13+'Mall, Citadel, Rotana'!E13+'Mall, Citadel, Rotana'!G13+'Mall, Citadel, Rotana'!I13</f>
        <v>1385</v>
      </c>
      <c r="AA12">
        <f>'Mall, Citadel, Rotana'!K13+'Mall, Citadel, Rotana'!M13</f>
        <v>18720</v>
      </c>
      <c r="AB12">
        <f>'Mall, Citadel, Rotana'!O13</f>
        <v>3</v>
      </c>
      <c r="AC12">
        <f>'Mall, Citadel, Rotana'!Q13+'Mall, Citadel, Rotana'!S13</f>
        <v>0</v>
      </c>
      <c r="AD12" s="36">
        <f t="shared" si="1"/>
        <v>108.24048640000001</v>
      </c>
      <c r="AE12" s="36">
        <f t="shared" si="2"/>
        <v>713.00751360000004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1050</v>
      </c>
      <c r="F13" s="38">
        <f>Water!E14</f>
        <v>500</v>
      </c>
      <c r="G13" s="38">
        <f>Water!G14</f>
        <v>372.6</v>
      </c>
      <c r="H13" s="38">
        <f>Water!I14</f>
        <v>4.8869999999999996</v>
      </c>
      <c r="I13" s="38">
        <f>ELECT.!F14</f>
        <v>11278</v>
      </c>
      <c r="J13" s="38">
        <f>ELECT.!H14</f>
        <v>34216</v>
      </c>
      <c r="K13" s="38">
        <f>ELECT.!K14</f>
        <v>7364</v>
      </c>
      <c r="L13" s="38">
        <f>ELECT.!M14</f>
        <v>5175</v>
      </c>
      <c r="M13" s="38">
        <f>ELECT.!O14</f>
        <v>5988</v>
      </c>
      <c r="N13" s="38">
        <f>ELECT.!Q14</f>
        <v>2754</v>
      </c>
      <c r="O13" s="38">
        <f>ELECT.!S14</f>
        <v>9212</v>
      </c>
      <c r="P13" s="38">
        <f>ELECT.!W14*2</f>
        <v>17864</v>
      </c>
      <c r="Q13" s="38">
        <f>ELECT.!D14</f>
        <v>480</v>
      </c>
      <c r="R13" s="39">
        <f>BTU!C14</f>
        <v>2.9089999999996508</v>
      </c>
      <c r="S13" s="39">
        <f>BTU!F14</f>
        <v>0.54100000000016735</v>
      </c>
      <c r="T13" s="39">
        <f>BTU!I14</f>
        <v>5</v>
      </c>
      <c r="U13" s="39">
        <f>BTU!O14</f>
        <v>1.1829999999999927</v>
      </c>
      <c r="V13" s="39">
        <f>BTU!L14</f>
        <v>0</v>
      </c>
      <c r="W13" s="39">
        <f>BTU!R14</f>
        <v>0</v>
      </c>
      <c r="X13" s="36">
        <f>ELECT.!B14</f>
        <v>269</v>
      </c>
      <c r="Y13" s="36">
        <f t="shared" si="0"/>
        <v>-2863</v>
      </c>
      <c r="Z13">
        <f>'Mall, Citadel, Rotana'!C14+'Mall, Citadel, Rotana'!E14+'Mall, Citadel, Rotana'!G14+'Mall, Citadel, Rotana'!I14</f>
        <v>1193</v>
      </c>
      <c r="AA13">
        <f>'Mall, Citadel, Rotana'!K14+'Mall, Citadel, Rotana'!M14</f>
        <v>20640</v>
      </c>
      <c r="AB13">
        <f>'Mall, Citadel, Rotana'!O14</f>
        <v>3</v>
      </c>
      <c r="AC13">
        <f>'Mall, Citadel, Rotana'!Q14+'Mall, Citadel, Rotana'!S14</f>
        <v>484</v>
      </c>
      <c r="AD13" s="36">
        <f t="shared" si="1"/>
        <v>112.1766934</v>
      </c>
      <c r="AE13" s="36">
        <f t="shared" si="2"/>
        <v>738.93630660000008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1050</v>
      </c>
      <c r="F14" s="38">
        <f>Water!E15</f>
        <v>480</v>
      </c>
      <c r="G14" s="38">
        <f>Water!G15</f>
        <v>1744.2</v>
      </c>
      <c r="H14" s="38">
        <f>Water!I15</f>
        <v>5.0490000000000004</v>
      </c>
      <c r="I14" s="38">
        <f>ELECT.!F15</f>
        <v>12497</v>
      </c>
      <c r="J14" s="38">
        <f>ELECT.!H15</f>
        <v>37648</v>
      </c>
      <c r="K14" s="38">
        <f>ELECT.!K15</f>
        <v>9204</v>
      </c>
      <c r="L14" s="38">
        <f>ELECT.!M15</f>
        <v>5964</v>
      </c>
      <c r="M14" s="38">
        <f>ELECT.!O15</f>
        <v>6400</v>
      </c>
      <c r="N14" s="38">
        <f>ELECT.!Q15</f>
        <v>2998</v>
      </c>
      <c r="O14" s="38">
        <f>ELECT.!S15</f>
        <v>9928</v>
      </c>
      <c r="P14" s="38">
        <f>ELECT.!W15*2</f>
        <v>19312</v>
      </c>
      <c r="Q14" s="38">
        <f>ELECT.!D15</f>
        <v>480</v>
      </c>
      <c r="R14" s="39">
        <f>BTU!C15</f>
        <v>2.0879999999997381</v>
      </c>
      <c r="S14" s="39">
        <f>BTU!F15</f>
        <v>0.7430000000003929</v>
      </c>
      <c r="T14" s="39">
        <f>BTU!I15</f>
        <v>5</v>
      </c>
      <c r="U14" s="39">
        <f>BTU!O15</f>
        <v>1.1019999999998618</v>
      </c>
      <c r="V14" s="39">
        <f>BTU!L15</f>
        <v>0</v>
      </c>
      <c r="W14" s="39">
        <f>BTU!R15</f>
        <v>0</v>
      </c>
      <c r="X14" s="36">
        <f>ELECT.!B15</f>
        <v>294</v>
      </c>
      <c r="Y14" s="36">
        <f t="shared" si="0"/>
        <v>-3661</v>
      </c>
      <c r="Z14">
        <f>'Mall, Citadel, Rotana'!C15+'Mall, Citadel, Rotana'!E15+'Mall, Citadel, Rotana'!G15+'Mall, Citadel, Rotana'!I15</f>
        <v>1356</v>
      </c>
      <c r="AA14">
        <f>'Mall, Citadel, Rotana'!K15+'Mall, Citadel, Rotana'!M15</f>
        <v>29120</v>
      </c>
      <c r="AB14">
        <f>'Mall, Citadel, Rotana'!O15</f>
        <v>3</v>
      </c>
      <c r="AC14">
        <f>'Mall, Citadel, Rotana'!Q15+'Mall, Citadel, Rotana'!S15</f>
        <v>125</v>
      </c>
      <c r="AD14" s="36">
        <f t="shared" si="1"/>
        <v>112.1553418</v>
      </c>
      <c r="AE14" s="36">
        <f t="shared" si="2"/>
        <v>738.79565820000005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0</v>
      </c>
      <c r="F15" s="38">
        <f>Water!E16</f>
        <v>0</v>
      </c>
      <c r="G15" s="38">
        <f>Water!G16</f>
        <v>0</v>
      </c>
      <c r="H15" s="38">
        <f>Water!I16</f>
        <v>0</v>
      </c>
      <c r="I15" s="38" t="str">
        <f>ELECT.!F16</f>
        <v>0</v>
      </c>
      <c r="J15" s="38" t="str">
        <f>ELECT.!H16</f>
        <v>0</v>
      </c>
      <c r="K15" s="38">
        <f>ELECT.!K16</f>
        <v>0</v>
      </c>
      <c r="L15" s="38" t="str">
        <f>ELECT.!M16</f>
        <v>0</v>
      </c>
      <c r="M15" s="38">
        <f>ELECT.!O16</f>
        <v>0</v>
      </c>
      <c r="N15" s="38" t="str">
        <f>ELECT.!Q16</f>
        <v>0</v>
      </c>
      <c r="O15" s="38" t="str">
        <f>ELECT.!S16</f>
        <v>0</v>
      </c>
      <c r="P15" s="38">
        <f>ELECT.!W16*2</f>
        <v>0</v>
      </c>
      <c r="Q15" s="38">
        <f>ELECT.!D16</f>
        <v>0</v>
      </c>
      <c r="R15" s="39" t="str">
        <f>BTU!C16</f>
        <v>0</v>
      </c>
      <c r="S15" s="39" t="str">
        <f>BTU!F16</f>
        <v>0</v>
      </c>
      <c r="T15" s="39" t="str">
        <f>BTU!I16</f>
        <v>0</v>
      </c>
      <c r="U15" s="39" t="str">
        <f>BTU!O16</f>
        <v>0</v>
      </c>
      <c r="V15" s="39" t="str">
        <f>BTU!L16</f>
        <v>0</v>
      </c>
      <c r="W15" s="39" t="str">
        <f>BTU!R16</f>
        <v>0</v>
      </c>
      <c r="X15" s="36">
        <f>ELECT.!B16</f>
        <v>0</v>
      </c>
      <c r="Y15" s="36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6">
        <f t="shared" si="1"/>
        <v>-25.569199999999999</v>
      </c>
      <c r="AE15" s="36">
        <f t="shared" si="2"/>
        <v>-168.4308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0</v>
      </c>
      <c r="F16" s="38">
        <f>Water!E17</f>
        <v>0</v>
      </c>
      <c r="G16" s="38">
        <f>Water!G17</f>
        <v>0</v>
      </c>
      <c r="H16" s="38">
        <f>Water!I17</f>
        <v>0</v>
      </c>
      <c r="I16" s="38">
        <f>ELECT.!F17</f>
        <v>0</v>
      </c>
      <c r="J16" s="38">
        <f>ELECT.!H17</f>
        <v>0</v>
      </c>
      <c r="K16" s="38">
        <f>ELECT.!K17</f>
        <v>0</v>
      </c>
      <c r="L16" s="38">
        <f>ELECT.!M17</f>
        <v>0</v>
      </c>
      <c r="M16" s="38">
        <f>ELECT.!O17</f>
        <v>0</v>
      </c>
      <c r="N16" s="38">
        <f>ELECT.!Q17</f>
        <v>0</v>
      </c>
      <c r="O16" s="38">
        <f>ELECT.!S17</f>
        <v>0</v>
      </c>
      <c r="P16" s="38">
        <f>ELECT.!W17*2</f>
        <v>0</v>
      </c>
      <c r="Q16" s="38">
        <f>ELECT.!D17</f>
        <v>0</v>
      </c>
      <c r="R16" s="39">
        <f>BTU!C17</f>
        <v>0</v>
      </c>
      <c r="S16" s="39">
        <f>BTU!F17</f>
        <v>0</v>
      </c>
      <c r="T16" s="39">
        <f>BTU!I17</f>
        <v>0</v>
      </c>
      <c r="U16" s="39">
        <f>BTU!O17</f>
        <v>0</v>
      </c>
      <c r="V16" s="39">
        <f>BTU!L17</f>
        <v>0</v>
      </c>
      <c r="W16" s="39">
        <f>BTU!R17</f>
        <v>0</v>
      </c>
      <c r="X16" s="36">
        <f>ELECT.!B17</f>
        <v>0</v>
      </c>
      <c r="Y16" s="36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6">
        <f t="shared" si="1"/>
        <v>-25.569199999999999</v>
      </c>
      <c r="AE16" s="36">
        <f t="shared" si="2"/>
        <v>-168.4308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0</v>
      </c>
      <c r="F17" s="38">
        <f>Water!E18</f>
        <v>0</v>
      </c>
      <c r="G17" s="38">
        <f>Water!G18</f>
        <v>0</v>
      </c>
      <c r="H17" s="38">
        <f>Water!I18</f>
        <v>0</v>
      </c>
      <c r="I17" s="38">
        <f>ELECT.!F18</f>
        <v>0</v>
      </c>
      <c r="J17" s="38">
        <f>ELECT.!H18</f>
        <v>0</v>
      </c>
      <c r="K17" s="38">
        <f>ELECT.!K18</f>
        <v>0</v>
      </c>
      <c r="L17" s="38">
        <f>ELECT.!M18</f>
        <v>0</v>
      </c>
      <c r="M17" s="38">
        <f>ELECT.!O18</f>
        <v>0</v>
      </c>
      <c r="N17" s="38">
        <f>ELECT.!Q18</f>
        <v>0</v>
      </c>
      <c r="O17" s="38">
        <f>ELECT.!S18</f>
        <v>0</v>
      </c>
      <c r="P17" s="38">
        <f>ELECT.!W18*2</f>
        <v>0</v>
      </c>
      <c r="Q17" s="38">
        <f>ELECT.!D18</f>
        <v>0</v>
      </c>
      <c r="R17" s="39">
        <f>BTU!C18</f>
        <v>0</v>
      </c>
      <c r="S17" s="39">
        <f>BTU!F18</f>
        <v>0</v>
      </c>
      <c r="T17" s="39">
        <f>BTU!I18</f>
        <v>0</v>
      </c>
      <c r="U17" s="39">
        <f>BTU!O18</f>
        <v>0</v>
      </c>
      <c r="V17" s="39">
        <f>BTU!L18</f>
        <v>0</v>
      </c>
      <c r="W17" s="39">
        <f>BTU!R18</f>
        <v>0</v>
      </c>
      <c r="X17" s="36">
        <f>ELECT.!B18</f>
        <v>0</v>
      </c>
      <c r="Y17" s="36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6">
        <f t="shared" si="1"/>
        <v>-25.569199999999999</v>
      </c>
      <c r="AE17" s="36">
        <f t="shared" si="2"/>
        <v>-168.4308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>
        <f>ELECT.!F19</f>
        <v>0</v>
      </c>
      <c r="J18" s="38">
        <f>ELECT.!H19</f>
        <v>0</v>
      </c>
      <c r="K18" s="38">
        <f>ELECT.!K19</f>
        <v>0</v>
      </c>
      <c r="L18" s="38">
        <f>ELECT.!M19</f>
        <v>0</v>
      </c>
      <c r="M18" s="38">
        <f>ELECT.!O19</f>
        <v>0</v>
      </c>
      <c r="N18" s="38">
        <f>ELECT.!Q19</f>
        <v>0</v>
      </c>
      <c r="O18" s="38">
        <f>ELECT.!S19</f>
        <v>0</v>
      </c>
      <c r="P18" s="38">
        <f>ELECT.!W19*2</f>
        <v>0</v>
      </c>
      <c r="Q18" s="38">
        <f>ELECT.!D19</f>
        <v>0</v>
      </c>
      <c r="R18" s="39">
        <f>BTU!C19</f>
        <v>0</v>
      </c>
      <c r="S18" s="39">
        <f>BTU!F19</f>
        <v>0</v>
      </c>
      <c r="T18" s="39">
        <f>BTU!I19</f>
        <v>0</v>
      </c>
      <c r="U18" s="39">
        <f>BTU!O19</f>
        <v>0</v>
      </c>
      <c r="V18" s="39">
        <f>BTU!L19</f>
        <v>0</v>
      </c>
      <c r="W18" s="39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[1]Water!C31</f>
        <v>0</v>
      </c>
      <c r="F30" s="38">
        <f>[1]Water!E31</f>
        <v>0</v>
      </c>
      <c r="G30" s="38">
        <f>[1]Water!E31</f>
        <v>0</v>
      </c>
      <c r="H30" s="38">
        <f>[1]Water!I31</f>
        <v>0</v>
      </c>
      <c r="I30" s="38">
        <f>[1]Water!G31</f>
        <v>0</v>
      </c>
      <c r="J30" s="38">
        <f>[1]ELECT.!H31</f>
        <v>0</v>
      </c>
      <c r="K30" s="38">
        <f>[1]Water!I31</f>
        <v>0</v>
      </c>
      <c r="L30" s="38">
        <f>[1]Water!J31</f>
        <v>0</v>
      </c>
      <c r="M30" s="38">
        <f>[1]Water!K31</f>
        <v>0</v>
      </c>
      <c r="N30" s="38">
        <f>[1]Water!L31</f>
        <v>0</v>
      </c>
      <c r="O30" s="38">
        <f>[1]Water!M31</f>
        <v>0</v>
      </c>
      <c r="P30" s="38">
        <f>[1]Water!N31</f>
        <v>0</v>
      </c>
      <c r="Q30" s="38">
        <f>[1]Water!O31</f>
        <v>0</v>
      </c>
      <c r="R30" s="143">
        <f>[1]BTU!C31</f>
        <v>0</v>
      </c>
      <c r="S30" s="143">
        <f>[1]BTU!F31</f>
        <v>0</v>
      </c>
      <c r="T30" s="143">
        <f>[1]BTU!I31</f>
        <v>0</v>
      </c>
      <c r="U30" s="143">
        <f>[1]BTU!O31</f>
        <v>0</v>
      </c>
      <c r="V30" s="143">
        <f>[1]BTU!L31</f>
        <v>0</v>
      </c>
      <c r="W30" s="143">
        <f>[1]BTU!R31</f>
        <v>0</v>
      </c>
      <c r="X30" s="36">
        <f>[1]ELECT.!B31</f>
        <v>0</v>
      </c>
      <c r="Y30" s="36">
        <f t="shared" si="0"/>
        <v>0</v>
      </c>
      <c r="Z30">
        <f>'[1]Mall, Citadel, Rotana'!C31+'[1]Mall, Citadel, Rotana'!E31+'[1]Mall, Citadel, Rotana'!G31+'[1]Mall, Citadel, Rotana'!I31</f>
        <v>0</v>
      </c>
      <c r="AA30">
        <f>'[1]Mall, Citadel, Rotana'!K31+'[1]Mall, Citadel, Rotana'!M31</f>
        <v>0</v>
      </c>
      <c r="AB30">
        <f>'[1]Mall, Citadel, Rotana'!O31</f>
        <v>0</v>
      </c>
      <c r="AC30">
        <f>'[1]Mall, Citadel, Rotana'!Q31+'[1]Mall, Citadel, Rotana'!S31</f>
        <v>0</v>
      </c>
      <c r="AD30" s="36">
        <f t="shared" si="1"/>
        <v>-25.569199999999999</v>
      </c>
      <c r="AE30" s="36">
        <f t="shared" si="2"/>
        <v>-168.4308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[1]Water!C32</f>
        <v>0</v>
      </c>
      <c r="F31" s="38">
        <f>[1]Water!E32</f>
        <v>0</v>
      </c>
      <c r="G31" s="38">
        <f>[1]Water!E32</f>
        <v>0</v>
      </c>
      <c r="H31" s="38">
        <f>[1]Water!I32</f>
        <v>0</v>
      </c>
      <c r="I31" s="38">
        <f>[1]Water!G32</f>
        <v>0</v>
      </c>
      <c r="J31" s="38">
        <f>[1]ELECT.!H32</f>
        <v>0</v>
      </c>
      <c r="K31" s="38">
        <f>[1]Water!I32</f>
        <v>0</v>
      </c>
      <c r="L31" s="38">
        <f>[1]Water!J32</f>
        <v>0</v>
      </c>
      <c r="M31" s="38">
        <f>[1]Water!K32</f>
        <v>0</v>
      </c>
      <c r="N31" s="38">
        <f>[1]Water!L32</f>
        <v>0</v>
      </c>
      <c r="O31" s="38">
        <f>[1]Water!M32</f>
        <v>0</v>
      </c>
      <c r="P31" s="38">
        <f>[1]Water!N32</f>
        <v>0</v>
      </c>
      <c r="Q31" s="38">
        <f>[1]Water!O32</f>
        <v>0</v>
      </c>
      <c r="R31" s="143">
        <f>[1]BTU!C32</f>
        <v>0</v>
      </c>
      <c r="S31" s="143">
        <f>[1]BTU!F32</f>
        <v>0</v>
      </c>
      <c r="T31" s="143">
        <f>[1]BTU!I32</f>
        <v>0</v>
      </c>
      <c r="U31" s="143">
        <f>[1]BTU!O32</f>
        <v>0</v>
      </c>
      <c r="V31" s="143">
        <f>[1]BTU!L32</f>
        <v>0</v>
      </c>
      <c r="W31" s="143">
        <f>[1]BTU!R32</f>
        <v>0</v>
      </c>
      <c r="X31" s="36">
        <f>[1]ELECT.!B32</f>
        <v>0</v>
      </c>
      <c r="Y31" s="36">
        <f t="shared" si="0"/>
        <v>0</v>
      </c>
      <c r="Z31">
        <f>'[1]Mall, Citadel, Rotana'!C32+'[1]Mall, Citadel, Rotana'!E32+'[1]Mall, Citadel, Rotana'!G32+'[1]Mall, Citadel, Rotana'!I32</f>
        <v>0</v>
      </c>
      <c r="AA31">
        <f>'[1]Mall, Citadel, Rotana'!K32+'[1]Mall, Citadel, Rotana'!M32</f>
        <v>0</v>
      </c>
      <c r="AB31">
        <f>'[1]Mall, Citadel, Rotana'!O32</f>
        <v>0</v>
      </c>
      <c r="AC31">
        <f>'[1]Mall, Citadel, Rotana'!Q32+'[1]Mall, Citadel, Rotana'!S32</f>
        <v>0</v>
      </c>
      <c r="AD31" s="36">
        <f t="shared" si="1"/>
        <v>-25.569199999999999</v>
      </c>
      <c r="AE31" s="36">
        <f t="shared" si="2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[1]Water!C33</f>
        <v>0</v>
      </c>
      <c r="F32" s="38">
        <f>[1]Water!E33</f>
        <v>0</v>
      </c>
      <c r="G32" s="38">
        <f>[1]Water!E33</f>
        <v>0</v>
      </c>
      <c r="H32" s="38">
        <f>[1]Water!I33</f>
        <v>0</v>
      </c>
      <c r="I32" s="38">
        <f>[1]Water!G33</f>
        <v>0</v>
      </c>
      <c r="J32" s="38">
        <f>[1]ELECT.!H33</f>
        <v>0</v>
      </c>
      <c r="K32" s="38">
        <f>[1]Water!I33</f>
        <v>0</v>
      </c>
      <c r="L32" s="38">
        <f>[1]Water!J33</f>
        <v>0</v>
      </c>
      <c r="M32" s="38">
        <f>[1]Water!K33</f>
        <v>0</v>
      </c>
      <c r="N32" s="38">
        <f>[1]Water!L33</f>
        <v>0</v>
      </c>
      <c r="O32" s="38">
        <f>[1]Water!M33</f>
        <v>0</v>
      </c>
      <c r="P32" s="38">
        <f>[1]Water!N33</f>
        <v>0</v>
      </c>
      <c r="Q32" s="38">
        <f>[1]Water!O33</f>
        <v>0</v>
      </c>
      <c r="R32" s="143">
        <f>[1]BTU!C33</f>
        <v>0</v>
      </c>
      <c r="S32" s="143">
        <f>[1]BTU!F33</f>
        <v>0</v>
      </c>
      <c r="T32" s="143">
        <f>[1]BTU!I33</f>
        <v>0</v>
      </c>
      <c r="U32" s="143">
        <f>[1]BTU!O33</f>
        <v>0</v>
      </c>
      <c r="V32" s="143">
        <f>[1]BTU!L33</f>
        <v>0</v>
      </c>
      <c r="W32" s="143">
        <f>[1]BTU!R33</f>
        <v>0</v>
      </c>
      <c r="X32" s="36">
        <f>[1]ELECT.!B33</f>
        <v>0</v>
      </c>
      <c r="Y32" s="36">
        <f t="shared" si="0"/>
        <v>0</v>
      </c>
      <c r="Z32">
        <f>'[1]Mall, Citadel, Rotana'!C33+'[1]Mall, Citadel, Rotana'!E33+'[1]Mall, Citadel, Rotana'!G33+'[1]Mall, Citadel, Rotana'!I33</f>
        <v>0</v>
      </c>
      <c r="AA32">
        <f>'[1]Mall, Citadel, Rotana'!K33+'[1]Mall, Citadel, Rotana'!M33</f>
        <v>0</v>
      </c>
      <c r="AB32">
        <f>'[1]Mall, Citadel, Rotana'!O33</f>
        <v>0</v>
      </c>
      <c r="AC32">
        <f>'[1]Mall, Citadel, Rotana'!Q33+'[1]Mall, Citadel, Rotana'!S33</f>
        <v>0</v>
      </c>
      <c r="AD32" s="36">
        <f t="shared" si="1"/>
        <v>-25.569199999999999</v>
      </c>
      <c r="AE32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A15" sqref="A15:XFD15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>
        <v>143493</v>
      </c>
      <c r="Q2" s="15"/>
      <c r="R2" s="1">
        <v>55047</v>
      </c>
      <c r="S2" s="15"/>
      <c r="T2" s="33">
        <v>3940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f>(J3-J2)*800/5</f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>
        <v>143493</v>
      </c>
      <c r="Q3" s="15">
        <f t="shared" ref="Q3:Q29" si="0">P3-P2</f>
        <v>0</v>
      </c>
      <c r="R3" s="1">
        <v>55047</v>
      </c>
      <c r="S3" s="15">
        <v>0</v>
      </c>
      <c r="T3" s="33">
        <v>3941</v>
      </c>
      <c r="U3" s="15">
        <f>(T3-T2)*800/5</f>
        <v>160</v>
      </c>
    </row>
    <row r="4" spans="1:24" ht="13.5" thickBot="1" x14ac:dyDescent="0.25">
      <c r="A4" s="9">
        <v>44622</v>
      </c>
      <c r="B4" s="33">
        <v>46706</v>
      </c>
      <c r="C4" s="15">
        <f t="shared" ref="C4:C30" si="1">(B4-B3)*800/5</f>
        <v>800</v>
      </c>
      <c r="D4" s="33">
        <v>40351</v>
      </c>
      <c r="E4" s="15">
        <f t="shared" ref="E4:E30" si="2">(D4-D3)*800/5</f>
        <v>640</v>
      </c>
      <c r="F4" s="33">
        <v>21383</v>
      </c>
      <c r="G4" s="15">
        <f t="shared" ref="G4:G30" si="3">(F4-F3)*100/5</f>
        <v>100</v>
      </c>
      <c r="H4" s="33">
        <v>254013</v>
      </c>
      <c r="I4" s="15">
        <f t="shared" ref="I4:I30" si="4">(H4-H3)</f>
        <v>14</v>
      </c>
      <c r="J4" s="33">
        <v>303517</v>
      </c>
      <c r="K4" s="15">
        <f t="shared" ref="K4:K30" si="5">(J4-J3)*800/5</f>
        <v>0</v>
      </c>
      <c r="L4" s="33">
        <v>25905</v>
      </c>
      <c r="M4" s="15">
        <f t="shared" ref="M4:M30" si="6">(L4-L3)*800/5</f>
        <v>960</v>
      </c>
      <c r="N4" s="33">
        <v>225367</v>
      </c>
      <c r="O4" s="15">
        <f t="shared" ref="O4:O30" si="7">N4-N3</f>
        <v>136</v>
      </c>
      <c r="P4" s="33">
        <v>143493</v>
      </c>
      <c r="Q4" s="15">
        <f t="shared" si="0"/>
        <v>0</v>
      </c>
      <c r="R4" s="1">
        <v>55047</v>
      </c>
      <c r="S4" s="15">
        <f t="shared" ref="S4:S30" si="8">R4-R3</f>
        <v>0</v>
      </c>
      <c r="T4" s="33">
        <v>3942</v>
      </c>
      <c r="U4" s="15">
        <f t="shared" ref="U4:U30" si="9">(T4-T3)*800/5</f>
        <v>160</v>
      </c>
    </row>
    <row r="5" spans="1:24" ht="13.5" thickBot="1" x14ac:dyDescent="0.25">
      <c r="A5" s="9">
        <v>44623</v>
      </c>
      <c r="B5" s="33">
        <v>46711</v>
      </c>
      <c r="C5" s="15">
        <f t="shared" si="1"/>
        <v>800</v>
      </c>
      <c r="D5" s="33">
        <v>40355</v>
      </c>
      <c r="E5" s="15">
        <f t="shared" si="2"/>
        <v>640</v>
      </c>
      <c r="F5" s="33">
        <v>21388</v>
      </c>
      <c r="G5" s="15">
        <f t="shared" si="3"/>
        <v>100</v>
      </c>
      <c r="H5" s="33">
        <v>254025</v>
      </c>
      <c r="I5" s="15">
        <f t="shared" si="4"/>
        <v>12</v>
      </c>
      <c r="J5" s="33">
        <v>303517</v>
      </c>
      <c r="K5" s="15">
        <f t="shared" si="5"/>
        <v>0</v>
      </c>
      <c r="L5" s="33">
        <v>25908</v>
      </c>
      <c r="M5" s="15">
        <f t="shared" si="6"/>
        <v>480</v>
      </c>
      <c r="N5" s="33">
        <v>225498</v>
      </c>
      <c r="O5" s="15">
        <f t="shared" si="7"/>
        <v>131</v>
      </c>
      <c r="P5" s="33">
        <v>143493</v>
      </c>
      <c r="Q5" s="15">
        <f t="shared" si="0"/>
        <v>0</v>
      </c>
      <c r="R5" s="1">
        <v>55047</v>
      </c>
      <c r="S5" s="15">
        <f t="shared" si="8"/>
        <v>0</v>
      </c>
      <c r="T5" s="33">
        <v>3943</v>
      </c>
      <c r="U5" s="15">
        <f t="shared" si="9"/>
        <v>160</v>
      </c>
    </row>
    <row r="6" spans="1:24" ht="13.5" thickBot="1" x14ac:dyDescent="0.25">
      <c r="A6" s="9">
        <v>44624</v>
      </c>
      <c r="B6" s="33">
        <v>46715</v>
      </c>
      <c r="C6" s="15">
        <f t="shared" si="1"/>
        <v>640</v>
      </c>
      <c r="D6" s="33">
        <v>40357</v>
      </c>
      <c r="E6" s="15">
        <f t="shared" si="2"/>
        <v>320</v>
      </c>
      <c r="F6" s="33">
        <v>21390</v>
      </c>
      <c r="G6" s="15">
        <f t="shared" si="3"/>
        <v>40</v>
      </c>
      <c r="H6" s="33">
        <v>254044</v>
      </c>
      <c r="I6" s="15">
        <f t="shared" si="4"/>
        <v>19</v>
      </c>
      <c r="J6" s="33">
        <v>303517</v>
      </c>
      <c r="K6" s="15">
        <f t="shared" si="5"/>
        <v>0</v>
      </c>
      <c r="L6" s="33">
        <v>25910</v>
      </c>
      <c r="M6" s="15">
        <f t="shared" si="6"/>
        <v>320</v>
      </c>
      <c r="N6" s="33">
        <v>225553</v>
      </c>
      <c r="O6" s="15">
        <f t="shared" si="7"/>
        <v>55</v>
      </c>
      <c r="P6" s="33">
        <v>143493</v>
      </c>
      <c r="Q6" s="15">
        <f t="shared" si="0"/>
        <v>0</v>
      </c>
      <c r="R6" s="1">
        <v>55047</v>
      </c>
      <c r="S6" s="15">
        <v>0</v>
      </c>
      <c r="T6" s="33">
        <v>3944</v>
      </c>
      <c r="U6" s="15">
        <f t="shared" si="9"/>
        <v>160</v>
      </c>
    </row>
    <row r="7" spans="1:24" ht="13.5" thickBot="1" x14ac:dyDescent="0.25">
      <c r="A7" s="9">
        <v>44625</v>
      </c>
      <c r="B7" s="33">
        <v>46719</v>
      </c>
      <c r="C7" s="15">
        <f t="shared" si="1"/>
        <v>640</v>
      </c>
      <c r="D7" s="33">
        <v>40361</v>
      </c>
      <c r="E7" s="15">
        <f t="shared" si="2"/>
        <v>640</v>
      </c>
      <c r="F7" s="33">
        <v>21391</v>
      </c>
      <c r="G7" s="15">
        <f t="shared" si="3"/>
        <v>20</v>
      </c>
      <c r="H7" s="33">
        <f>H6</f>
        <v>254044</v>
      </c>
      <c r="I7" s="15">
        <f t="shared" si="4"/>
        <v>0</v>
      </c>
      <c r="J7" s="33">
        <v>303517</v>
      </c>
      <c r="K7" s="15">
        <f t="shared" si="5"/>
        <v>0</v>
      </c>
      <c r="L7" s="33">
        <v>25912</v>
      </c>
      <c r="M7" s="15">
        <f t="shared" si="6"/>
        <v>320</v>
      </c>
      <c r="N7" s="33">
        <v>225644</v>
      </c>
      <c r="O7" s="15">
        <f t="shared" si="7"/>
        <v>91</v>
      </c>
      <c r="P7" s="33">
        <v>143493</v>
      </c>
      <c r="Q7" s="15">
        <v>0</v>
      </c>
      <c r="R7" s="1">
        <v>55047</v>
      </c>
      <c r="S7" s="15">
        <v>0</v>
      </c>
      <c r="T7" s="33">
        <v>3945</v>
      </c>
      <c r="U7" s="15">
        <f t="shared" si="9"/>
        <v>160</v>
      </c>
    </row>
    <row r="8" spans="1:24" ht="13.5" thickBot="1" x14ac:dyDescent="0.25">
      <c r="A8" s="9">
        <v>44626</v>
      </c>
      <c r="B8" s="33">
        <v>46724</v>
      </c>
      <c r="C8" s="15">
        <f t="shared" si="1"/>
        <v>800</v>
      </c>
      <c r="D8" s="33">
        <v>40364</v>
      </c>
      <c r="E8" s="15">
        <f t="shared" si="2"/>
        <v>480</v>
      </c>
      <c r="F8" s="33">
        <v>21397</v>
      </c>
      <c r="G8" s="15">
        <f t="shared" si="3"/>
        <v>120</v>
      </c>
      <c r="H8" s="33">
        <v>254076</v>
      </c>
      <c r="I8" s="15">
        <f t="shared" si="4"/>
        <v>32</v>
      </c>
      <c r="J8" s="33">
        <v>303517</v>
      </c>
      <c r="K8" s="15">
        <f t="shared" si="5"/>
        <v>0</v>
      </c>
      <c r="L8" s="33">
        <v>25916</v>
      </c>
      <c r="M8" s="15">
        <f t="shared" si="6"/>
        <v>640</v>
      </c>
      <c r="N8" s="33">
        <v>225756</v>
      </c>
      <c r="O8" s="15">
        <f t="shared" si="7"/>
        <v>112</v>
      </c>
      <c r="P8" s="33">
        <v>143493</v>
      </c>
      <c r="Q8" s="15">
        <f t="shared" si="0"/>
        <v>0</v>
      </c>
      <c r="R8" s="1">
        <v>55047</v>
      </c>
      <c r="S8" s="15">
        <f>R8-R7</f>
        <v>0</v>
      </c>
      <c r="T8" s="33">
        <v>3952</v>
      </c>
      <c r="U8" s="15">
        <f t="shared" si="9"/>
        <v>1120</v>
      </c>
    </row>
    <row r="9" spans="1:24" ht="13.5" thickBot="1" x14ac:dyDescent="0.25">
      <c r="A9" s="9">
        <v>44627</v>
      </c>
      <c r="B9" s="33">
        <v>46728</v>
      </c>
      <c r="C9" s="15">
        <f t="shared" si="1"/>
        <v>640</v>
      </c>
      <c r="D9" s="33">
        <v>40367</v>
      </c>
      <c r="E9" s="15">
        <f t="shared" si="2"/>
        <v>480</v>
      </c>
      <c r="F9" s="33">
        <v>21400</v>
      </c>
      <c r="G9" s="15">
        <f t="shared" si="3"/>
        <v>60</v>
      </c>
      <c r="H9" s="33">
        <v>254089</v>
      </c>
      <c r="I9" s="15">
        <f t="shared" si="4"/>
        <v>13</v>
      </c>
      <c r="J9" s="33">
        <v>303677</v>
      </c>
      <c r="K9" s="15">
        <f t="shared" si="5"/>
        <v>25600</v>
      </c>
      <c r="L9" s="33">
        <v>25919</v>
      </c>
      <c r="M9" s="15">
        <f t="shared" si="6"/>
        <v>480</v>
      </c>
      <c r="N9" s="33">
        <v>225763</v>
      </c>
      <c r="O9" s="15">
        <f t="shared" si="7"/>
        <v>7</v>
      </c>
      <c r="P9" s="33">
        <v>143562</v>
      </c>
      <c r="Q9" s="15">
        <f>P9-P8</f>
        <v>69</v>
      </c>
      <c r="R9" s="1">
        <v>55047</v>
      </c>
      <c r="S9" s="15">
        <f>R9-R8</f>
        <v>0</v>
      </c>
      <c r="T9" s="33">
        <v>3953</v>
      </c>
      <c r="U9" s="15">
        <f t="shared" si="9"/>
        <v>160</v>
      </c>
    </row>
    <row r="10" spans="1:24" ht="13.5" thickBot="1" x14ac:dyDescent="0.25">
      <c r="A10" s="9">
        <v>44628</v>
      </c>
      <c r="B10" s="33">
        <v>46733</v>
      </c>
      <c r="C10" s="15">
        <f t="shared" si="1"/>
        <v>800</v>
      </c>
      <c r="D10" s="33">
        <v>40370</v>
      </c>
      <c r="E10" s="15">
        <f t="shared" si="2"/>
        <v>480</v>
      </c>
      <c r="F10" s="33">
        <v>21404</v>
      </c>
      <c r="G10" s="15">
        <f t="shared" si="3"/>
        <v>80</v>
      </c>
      <c r="H10" s="33">
        <v>254103</v>
      </c>
      <c r="I10" s="15">
        <f t="shared" si="4"/>
        <v>14</v>
      </c>
      <c r="J10" s="33">
        <v>303848</v>
      </c>
      <c r="K10" s="15">
        <f t="shared" si="5"/>
        <v>27360</v>
      </c>
      <c r="L10" s="33">
        <v>25922</v>
      </c>
      <c r="M10" s="15">
        <f t="shared" si="6"/>
        <v>480</v>
      </c>
      <c r="N10" s="33">
        <v>225766</v>
      </c>
      <c r="O10" s="15">
        <f t="shared" si="7"/>
        <v>3</v>
      </c>
      <c r="P10" s="33">
        <v>143711</v>
      </c>
      <c r="Q10" s="15">
        <f>P10-P9</f>
        <v>149</v>
      </c>
      <c r="R10" s="1">
        <v>55047</v>
      </c>
      <c r="S10" s="15">
        <f>R10-R9</f>
        <v>0</v>
      </c>
      <c r="T10" s="33">
        <v>3954</v>
      </c>
      <c r="U10" s="15">
        <f t="shared" si="9"/>
        <v>160</v>
      </c>
    </row>
    <row r="11" spans="1:24" ht="13.5" thickBot="1" x14ac:dyDescent="0.25">
      <c r="A11" s="9">
        <v>44629</v>
      </c>
      <c r="B11" s="33">
        <v>46738</v>
      </c>
      <c r="C11" s="15">
        <f t="shared" si="1"/>
        <v>800</v>
      </c>
      <c r="D11" s="33">
        <v>40373</v>
      </c>
      <c r="E11" s="15">
        <f t="shared" si="2"/>
        <v>480</v>
      </c>
      <c r="F11" s="33">
        <v>21407</v>
      </c>
      <c r="G11" s="15">
        <f t="shared" si="3"/>
        <v>60</v>
      </c>
      <c r="H11" s="33">
        <v>254117</v>
      </c>
      <c r="I11" s="15">
        <f t="shared" si="4"/>
        <v>14</v>
      </c>
      <c r="J11" s="33">
        <v>304017</v>
      </c>
      <c r="K11" s="15">
        <f t="shared" si="5"/>
        <v>27040</v>
      </c>
      <c r="L11" s="33">
        <v>25925</v>
      </c>
      <c r="M11" s="15">
        <f t="shared" si="6"/>
        <v>480</v>
      </c>
      <c r="N11" s="33">
        <v>225769</v>
      </c>
      <c r="O11" s="15">
        <f t="shared" si="7"/>
        <v>3</v>
      </c>
      <c r="P11" s="33">
        <f t="shared" ref="P11:P30" si="10">P10</f>
        <v>143711</v>
      </c>
      <c r="Q11" s="15">
        <f t="shared" si="0"/>
        <v>0</v>
      </c>
      <c r="R11" s="1">
        <v>55047</v>
      </c>
      <c r="S11" s="15">
        <f t="shared" si="8"/>
        <v>0</v>
      </c>
      <c r="T11" s="33">
        <v>3954</v>
      </c>
      <c r="U11" s="15">
        <f t="shared" si="9"/>
        <v>0</v>
      </c>
    </row>
    <row r="12" spans="1:24" ht="13.5" thickBot="1" x14ac:dyDescent="0.25">
      <c r="A12" s="9">
        <v>44630</v>
      </c>
      <c r="B12" s="33">
        <v>46742</v>
      </c>
      <c r="C12" s="15">
        <f t="shared" si="1"/>
        <v>640</v>
      </c>
      <c r="D12" s="33">
        <v>40376</v>
      </c>
      <c r="E12" s="15">
        <f t="shared" si="2"/>
        <v>480</v>
      </c>
      <c r="F12" s="33">
        <v>21411</v>
      </c>
      <c r="G12" s="15">
        <f t="shared" si="3"/>
        <v>80</v>
      </c>
      <c r="H12" s="33">
        <v>254124</v>
      </c>
      <c r="I12" s="15">
        <f t="shared" si="4"/>
        <v>7</v>
      </c>
      <c r="J12" s="33">
        <v>304208</v>
      </c>
      <c r="K12" s="15">
        <f t="shared" si="5"/>
        <v>30560</v>
      </c>
      <c r="L12" s="33">
        <v>25929</v>
      </c>
      <c r="M12" s="15">
        <f t="shared" si="6"/>
        <v>640</v>
      </c>
      <c r="N12" s="33">
        <v>225773</v>
      </c>
      <c r="O12" s="15">
        <f t="shared" si="7"/>
        <v>4</v>
      </c>
      <c r="P12" s="33">
        <v>143711</v>
      </c>
      <c r="Q12" s="15">
        <f t="shared" si="0"/>
        <v>0</v>
      </c>
      <c r="R12" s="1">
        <v>55047</v>
      </c>
      <c r="S12" s="15">
        <f t="shared" si="8"/>
        <v>0</v>
      </c>
      <c r="T12" s="33">
        <v>3955</v>
      </c>
      <c r="U12" s="15">
        <f t="shared" si="9"/>
        <v>160</v>
      </c>
    </row>
    <row r="13" spans="1:24" ht="13.5" thickBot="1" x14ac:dyDescent="0.25">
      <c r="A13" s="9">
        <v>44631</v>
      </c>
      <c r="B13" s="33">
        <v>46747</v>
      </c>
      <c r="C13" s="15">
        <f t="shared" si="1"/>
        <v>800</v>
      </c>
      <c r="D13" s="33">
        <v>40379</v>
      </c>
      <c r="E13" s="15">
        <f t="shared" si="2"/>
        <v>480</v>
      </c>
      <c r="F13" s="33">
        <v>21415</v>
      </c>
      <c r="G13" s="15">
        <f t="shared" si="3"/>
        <v>80</v>
      </c>
      <c r="H13" s="33">
        <v>254149</v>
      </c>
      <c r="I13" s="15">
        <f t="shared" si="4"/>
        <v>25</v>
      </c>
      <c r="J13" s="33">
        <v>304323</v>
      </c>
      <c r="K13" s="15">
        <f t="shared" si="5"/>
        <v>18400</v>
      </c>
      <c r="L13" s="33">
        <v>25931</v>
      </c>
      <c r="M13" s="15">
        <f t="shared" si="6"/>
        <v>320</v>
      </c>
      <c r="N13" s="33">
        <v>225776</v>
      </c>
      <c r="O13" s="15">
        <f t="shared" si="7"/>
        <v>3</v>
      </c>
      <c r="P13" s="33">
        <f t="shared" si="10"/>
        <v>143711</v>
      </c>
      <c r="Q13" s="15">
        <f t="shared" si="0"/>
        <v>0</v>
      </c>
      <c r="R13" s="1">
        <v>55047</v>
      </c>
      <c r="S13" s="15">
        <f t="shared" si="8"/>
        <v>0</v>
      </c>
      <c r="T13" s="33">
        <v>3956</v>
      </c>
      <c r="U13" s="15">
        <f t="shared" si="9"/>
        <v>160</v>
      </c>
    </row>
    <row r="14" spans="1:24" ht="13.5" thickBot="1" x14ac:dyDescent="0.25">
      <c r="A14" s="9">
        <v>44632</v>
      </c>
      <c r="B14" s="33">
        <v>46751</v>
      </c>
      <c r="C14" s="15">
        <f t="shared" si="1"/>
        <v>640</v>
      </c>
      <c r="D14" s="33">
        <v>40382</v>
      </c>
      <c r="E14" s="15">
        <f t="shared" si="2"/>
        <v>480</v>
      </c>
      <c r="F14" s="33">
        <v>21418</v>
      </c>
      <c r="G14" s="15">
        <f t="shared" si="3"/>
        <v>60</v>
      </c>
      <c r="H14" s="33">
        <v>254162</v>
      </c>
      <c r="I14" s="15">
        <f t="shared" si="4"/>
        <v>13</v>
      </c>
      <c r="J14" s="33">
        <v>304451</v>
      </c>
      <c r="K14" s="15">
        <f t="shared" si="5"/>
        <v>20480</v>
      </c>
      <c r="L14" s="33">
        <v>25932</v>
      </c>
      <c r="M14" s="15">
        <f t="shared" si="6"/>
        <v>160</v>
      </c>
      <c r="N14" s="33">
        <v>225779</v>
      </c>
      <c r="O14" s="15">
        <f t="shared" si="7"/>
        <v>3</v>
      </c>
      <c r="P14" s="33">
        <v>144195</v>
      </c>
      <c r="Q14" s="15">
        <f t="shared" si="0"/>
        <v>484</v>
      </c>
      <c r="R14" s="1">
        <v>55047</v>
      </c>
      <c r="S14" s="15">
        <v>0</v>
      </c>
      <c r="T14" s="33">
        <v>3956.5</v>
      </c>
      <c r="U14" s="15">
        <f t="shared" si="9"/>
        <v>80</v>
      </c>
    </row>
    <row r="15" spans="1:24" ht="13.5" thickBot="1" x14ac:dyDescent="0.25">
      <c r="A15" s="9">
        <v>44633</v>
      </c>
      <c r="B15" s="33">
        <v>46756</v>
      </c>
      <c r="C15" s="15">
        <f t="shared" si="1"/>
        <v>800</v>
      </c>
      <c r="D15" s="33">
        <v>40385</v>
      </c>
      <c r="E15" s="15">
        <f t="shared" si="2"/>
        <v>480</v>
      </c>
      <c r="F15" s="33">
        <v>21421</v>
      </c>
      <c r="G15" s="15">
        <f t="shared" ref="G15" si="11">(F15-F14)*100/5</f>
        <v>60</v>
      </c>
      <c r="H15" s="33">
        <v>254178</v>
      </c>
      <c r="I15" s="15">
        <f t="shared" ref="I15" si="12">(H15-H14)</f>
        <v>16</v>
      </c>
      <c r="J15" s="33">
        <v>304628</v>
      </c>
      <c r="K15" s="15">
        <f t="shared" si="5"/>
        <v>28320</v>
      </c>
      <c r="L15" s="33">
        <v>25937</v>
      </c>
      <c r="M15" s="15">
        <f t="shared" ref="M15" si="13">(L15-L14)*800/5</f>
        <v>800</v>
      </c>
      <c r="N15" s="33">
        <v>225782</v>
      </c>
      <c r="O15" s="15">
        <f t="shared" ref="O15" si="14">N15-N14</f>
        <v>3</v>
      </c>
      <c r="P15" s="33">
        <v>144320</v>
      </c>
      <c r="Q15" s="15">
        <f t="shared" ref="Q15" si="15">P15-P14</f>
        <v>125</v>
      </c>
      <c r="R15" s="1">
        <v>55047</v>
      </c>
      <c r="S15" s="15">
        <v>0</v>
      </c>
      <c r="T15" s="33">
        <v>3957</v>
      </c>
      <c r="U15" s="15">
        <f t="shared" ref="U15" si="16">(T15-T14)*800/5</f>
        <v>80</v>
      </c>
      <c r="X15" t="s">
        <v>12</v>
      </c>
    </row>
    <row r="16" spans="1:24" ht="13.5" thickBot="1" x14ac:dyDescent="0.25">
      <c r="A16" s="9">
        <v>44634</v>
      </c>
      <c r="B16" s="33">
        <f t="shared" ref="B15:B30" si="17">B15</f>
        <v>46756</v>
      </c>
      <c r="C16" s="15">
        <f t="shared" si="1"/>
        <v>0</v>
      </c>
      <c r="D16" s="33">
        <f t="shared" ref="D15:D30" si="18">D15</f>
        <v>40385</v>
      </c>
      <c r="E16" s="15">
        <f t="shared" si="2"/>
        <v>0</v>
      </c>
      <c r="F16" s="33">
        <f t="shared" ref="F15:F30" si="19">F15</f>
        <v>21421</v>
      </c>
      <c r="G16" s="15">
        <f t="shared" si="3"/>
        <v>0</v>
      </c>
      <c r="H16" s="33">
        <f t="shared" ref="H15:H30" si="20">H15</f>
        <v>254178</v>
      </c>
      <c r="I16" s="15">
        <f t="shared" si="4"/>
        <v>0</v>
      </c>
      <c r="J16" s="33">
        <f t="shared" ref="J15:J30" si="21">J15</f>
        <v>304628</v>
      </c>
      <c r="K16" s="15">
        <f t="shared" si="5"/>
        <v>0</v>
      </c>
      <c r="L16" s="33">
        <f t="shared" ref="L15:L30" si="22">L15</f>
        <v>25937</v>
      </c>
      <c r="M16" s="15">
        <f t="shared" si="6"/>
        <v>0</v>
      </c>
      <c r="N16" s="33">
        <f t="shared" ref="N15:N30" si="23">N15</f>
        <v>225782</v>
      </c>
      <c r="O16" s="15">
        <f t="shared" si="7"/>
        <v>0</v>
      </c>
      <c r="P16" s="33">
        <f t="shared" si="10"/>
        <v>144320</v>
      </c>
      <c r="Q16" s="15">
        <f t="shared" si="0"/>
        <v>0</v>
      </c>
      <c r="R16" s="1">
        <v>55047</v>
      </c>
      <c r="S16" s="15">
        <f t="shared" si="8"/>
        <v>0</v>
      </c>
      <c r="T16" s="33">
        <f t="shared" ref="T15:T30" si="24">T15</f>
        <v>3957</v>
      </c>
      <c r="U16" s="15">
        <f t="shared" si="9"/>
        <v>0</v>
      </c>
      <c r="W16" t="s">
        <v>12</v>
      </c>
    </row>
    <row r="17" spans="1:23" ht="13.5" thickBot="1" x14ac:dyDescent="0.25">
      <c r="A17" s="9">
        <v>44635</v>
      </c>
      <c r="B17" s="33">
        <f t="shared" si="17"/>
        <v>46756</v>
      </c>
      <c r="C17" s="15">
        <f t="shared" si="1"/>
        <v>0</v>
      </c>
      <c r="D17" s="33">
        <f t="shared" si="18"/>
        <v>40385</v>
      </c>
      <c r="E17" s="15">
        <f t="shared" si="2"/>
        <v>0</v>
      </c>
      <c r="F17" s="33">
        <f t="shared" si="19"/>
        <v>21421</v>
      </c>
      <c r="G17" s="15">
        <f t="shared" si="3"/>
        <v>0</v>
      </c>
      <c r="H17" s="33">
        <f t="shared" si="20"/>
        <v>254178</v>
      </c>
      <c r="I17" s="15">
        <f t="shared" si="4"/>
        <v>0</v>
      </c>
      <c r="J17" s="33">
        <f t="shared" si="21"/>
        <v>304628</v>
      </c>
      <c r="K17" s="15">
        <f t="shared" si="5"/>
        <v>0</v>
      </c>
      <c r="L17" s="33">
        <f t="shared" si="22"/>
        <v>25937</v>
      </c>
      <c r="M17" s="15">
        <f t="shared" si="6"/>
        <v>0</v>
      </c>
      <c r="N17" s="33">
        <f t="shared" si="23"/>
        <v>225782</v>
      </c>
      <c r="O17" s="15">
        <f t="shared" si="7"/>
        <v>0</v>
      </c>
      <c r="P17" s="33">
        <f t="shared" si="10"/>
        <v>144320</v>
      </c>
      <c r="Q17" s="15">
        <f t="shared" si="0"/>
        <v>0</v>
      </c>
      <c r="R17" s="1">
        <v>55047</v>
      </c>
      <c r="S17" s="15">
        <f>S16</f>
        <v>0</v>
      </c>
      <c r="T17" s="33">
        <f t="shared" si="24"/>
        <v>3957</v>
      </c>
      <c r="U17" s="15">
        <f t="shared" si="9"/>
        <v>0</v>
      </c>
    </row>
    <row r="18" spans="1:23" ht="13.5" thickBot="1" x14ac:dyDescent="0.25">
      <c r="A18" s="9">
        <v>44636</v>
      </c>
      <c r="B18" s="33">
        <f t="shared" si="17"/>
        <v>46756</v>
      </c>
      <c r="C18" s="15">
        <f t="shared" si="1"/>
        <v>0</v>
      </c>
      <c r="D18" s="33">
        <f t="shared" si="18"/>
        <v>40385</v>
      </c>
      <c r="E18" s="15">
        <f t="shared" si="2"/>
        <v>0</v>
      </c>
      <c r="F18" s="33">
        <f t="shared" si="19"/>
        <v>21421</v>
      </c>
      <c r="G18" s="15">
        <f t="shared" si="3"/>
        <v>0</v>
      </c>
      <c r="H18" s="33">
        <f t="shared" si="20"/>
        <v>254178</v>
      </c>
      <c r="I18" s="15">
        <f t="shared" si="4"/>
        <v>0</v>
      </c>
      <c r="J18" s="33">
        <f t="shared" si="21"/>
        <v>304628</v>
      </c>
      <c r="K18" s="15">
        <f t="shared" si="5"/>
        <v>0</v>
      </c>
      <c r="L18" s="33">
        <f t="shared" si="22"/>
        <v>25937</v>
      </c>
      <c r="M18" s="15">
        <f t="shared" si="6"/>
        <v>0</v>
      </c>
      <c r="N18" s="33">
        <f t="shared" si="23"/>
        <v>225782</v>
      </c>
      <c r="O18" s="15">
        <f t="shared" si="7"/>
        <v>0</v>
      </c>
      <c r="P18" s="33">
        <f t="shared" si="10"/>
        <v>144320</v>
      </c>
      <c r="Q18" s="15">
        <f t="shared" si="0"/>
        <v>0</v>
      </c>
      <c r="R18" s="1">
        <v>55047</v>
      </c>
      <c r="S18" s="15">
        <f t="shared" si="8"/>
        <v>0</v>
      </c>
      <c r="T18" s="33">
        <f t="shared" si="24"/>
        <v>3957</v>
      </c>
      <c r="U18" s="15">
        <f t="shared" si="9"/>
        <v>0</v>
      </c>
    </row>
    <row r="19" spans="1:23" ht="13.5" thickBot="1" x14ac:dyDescent="0.25">
      <c r="A19" s="9">
        <v>44637</v>
      </c>
      <c r="B19" s="33">
        <f t="shared" si="17"/>
        <v>46756</v>
      </c>
      <c r="C19" s="15">
        <f t="shared" si="1"/>
        <v>0</v>
      </c>
      <c r="D19" s="33">
        <f t="shared" si="18"/>
        <v>40385</v>
      </c>
      <c r="E19" s="15">
        <f t="shared" si="2"/>
        <v>0</v>
      </c>
      <c r="F19" s="33">
        <f t="shared" si="19"/>
        <v>21421</v>
      </c>
      <c r="G19" s="15">
        <f t="shared" si="3"/>
        <v>0</v>
      </c>
      <c r="H19" s="33">
        <f t="shared" si="20"/>
        <v>254178</v>
      </c>
      <c r="I19" s="15">
        <f t="shared" si="4"/>
        <v>0</v>
      </c>
      <c r="J19" s="33">
        <f t="shared" si="21"/>
        <v>304628</v>
      </c>
      <c r="K19" s="15">
        <f t="shared" si="5"/>
        <v>0</v>
      </c>
      <c r="L19" s="33">
        <f t="shared" si="22"/>
        <v>25937</v>
      </c>
      <c r="M19" s="15">
        <f t="shared" si="6"/>
        <v>0</v>
      </c>
      <c r="N19" s="33">
        <f t="shared" si="23"/>
        <v>225782</v>
      </c>
      <c r="O19" s="15">
        <f t="shared" si="7"/>
        <v>0</v>
      </c>
      <c r="P19" s="33">
        <f t="shared" si="10"/>
        <v>144320</v>
      </c>
      <c r="Q19" s="15">
        <f t="shared" si="0"/>
        <v>0</v>
      </c>
      <c r="R19" s="1">
        <v>55047</v>
      </c>
      <c r="S19" s="15">
        <f t="shared" si="8"/>
        <v>0</v>
      </c>
      <c r="T19" s="33">
        <f t="shared" si="24"/>
        <v>3957</v>
      </c>
      <c r="U19" s="15">
        <f t="shared" si="9"/>
        <v>0</v>
      </c>
      <c r="W19" t="s">
        <v>12</v>
      </c>
    </row>
    <row r="20" spans="1:23" ht="13.5" thickBot="1" x14ac:dyDescent="0.25">
      <c r="A20" s="9">
        <v>44638</v>
      </c>
      <c r="B20" s="33">
        <f t="shared" si="17"/>
        <v>46756</v>
      </c>
      <c r="C20" s="15">
        <f t="shared" si="1"/>
        <v>0</v>
      </c>
      <c r="D20" s="33">
        <f t="shared" si="18"/>
        <v>40385</v>
      </c>
      <c r="E20" s="15">
        <f t="shared" si="2"/>
        <v>0</v>
      </c>
      <c r="F20" s="33">
        <f t="shared" si="19"/>
        <v>21421</v>
      </c>
      <c r="G20" s="15">
        <f t="shared" si="3"/>
        <v>0</v>
      </c>
      <c r="H20" s="33">
        <f t="shared" si="20"/>
        <v>254178</v>
      </c>
      <c r="I20" s="15">
        <f t="shared" si="4"/>
        <v>0</v>
      </c>
      <c r="J20" s="33">
        <f t="shared" si="21"/>
        <v>304628</v>
      </c>
      <c r="K20" s="15">
        <f t="shared" si="5"/>
        <v>0</v>
      </c>
      <c r="L20" s="33">
        <f t="shared" si="22"/>
        <v>25937</v>
      </c>
      <c r="M20" s="15">
        <f t="shared" si="6"/>
        <v>0</v>
      </c>
      <c r="N20" s="33">
        <f t="shared" si="23"/>
        <v>225782</v>
      </c>
      <c r="O20" s="15">
        <f t="shared" si="7"/>
        <v>0</v>
      </c>
      <c r="P20" s="33">
        <f t="shared" si="10"/>
        <v>144320</v>
      </c>
      <c r="Q20" s="15">
        <f>P20-P19</f>
        <v>0</v>
      </c>
      <c r="R20" s="1">
        <v>55047</v>
      </c>
      <c r="S20" s="15">
        <f t="shared" si="8"/>
        <v>0</v>
      </c>
      <c r="T20" s="33">
        <f t="shared" si="24"/>
        <v>3957</v>
      </c>
      <c r="U20" s="15">
        <f t="shared" si="9"/>
        <v>0</v>
      </c>
    </row>
    <row r="21" spans="1:23" ht="13.5" thickBot="1" x14ac:dyDescent="0.25">
      <c r="A21" s="9">
        <v>44639</v>
      </c>
      <c r="B21" s="33">
        <f t="shared" si="17"/>
        <v>46756</v>
      </c>
      <c r="C21" s="15">
        <f t="shared" si="1"/>
        <v>0</v>
      </c>
      <c r="D21" s="33">
        <f t="shared" si="18"/>
        <v>40385</v>
      </c>
      <c r="E21" s="15">
        <f t="shared" si="2"/>
        <v>0</v>
      </c>
      <c r="F21" s="33">
        <f t="shared" si="19"/>
        <v>21421</v>
      </c>
      <c r="G21" s="15">
        <f t="shared" si="3"/>
        <v>0</v>
      </c>
      <c r="H21" s="33">
        <f t="shared" si="20"/>
        <v>254178</v>
      </c>
      <c r="I21" s="15">
        <f t="shared" si="4"/>
        <v>0</v>
      </c>
      <c r="J21" s="33">
        <f t="shared" si="21"/>
        <v>304628</v>
      </c>
      <c r="K21" s="15">
        <f t="shared" si="5"/>
        <v>0</v>
      </c>
      <c r="L21" s="33">
        <f t="shared" si="22"/>
        <v>25937</v>
      </c>
      <c r="M21" s="15">
        <f t="shared" si="6"/>
        <v>0</v>
      </c>
      <c r="N21" s="33">
        <f t="shared" si="23"/>
        <v>225782</v>
      </c>
      <c r="O21" s="15">
        <f t="shared" si="7"/>
        <v>0</v>
      </c>
      <c r="P21" s="33">
        <f t="shared" si="10"/>
        <v>144320</v>
      </c>
      <c r="Q21" s="15">
        <f t="shared" si="0"/>
        <v>0</v>
      </c>
      <c r="R21" s="1">
        <v>55047</v>
      </c>
      <c r="S21" s="15">
        <f t="shared" si="8"/>
        <v>0</v>
      </c>
      <c r="T21" s="33">
        <f t="shared" si="24"/>
        <v>3957</v>
      </c>
      <c r="U21" s="15">
        <f t="shared" si="9"/>
        <v>0</v>
      </c>
    </row>
    <row r="22" spans="1:23" ht="13.5" thickBot="1" x14ac:dyDescent="0.25">
      <c r="A22" s="9">
        <v>44640</v>
      </c>
      <c r="B22" s="33">
        <f t="shared" si="17"/>
        <v>46756</v>
      </c>
      <c r="C22" s="15">
        <f t="shared" si="1"/>
        <v>0</v>
      </c>
      <c r="D22" s="33">
        <f t="shared" si="18"/>
        <v>40385</v>
      </c>
      <c r="E22" s="15">
        <f t="shared" si="2"/>
        <v>0</v>
      </c>
      <c r="F22" s="33">
        <f t="shared" si="19"/>
        <v>21421</v>
      </c>
      <c r="G22" s="15">
        <f t="shared" si="3"/>
        <v>0</v>
      </c>
      <c r="H22" s="33">
        <f t="shared" si="20"/>
        <v>254178</v>
      </c>
      <c r="I22" s="15">
        <f t="shared" si="4"/>
        <v>0</v>
      </c>
      <c r="J22" s="33">
        <f t="shared" si="21"/>
        <v>304628</v>
      </c>
      <c r="K22" s="15">
        <f t="shared" si="5"/>
        <v>0</v>
      </c>
      <c r="L22" s="33">
        <f t="shared" si="22"/>
        <v>25937</v>
      </c>
      <c r="M22" s="15">
        <f t="shared" si="6"/>
        <v>0</v>
      </c>
      <c r="N22" s="33">
        <f t="shared" si="23"/>
        <v>225782</v>
      </c>
      <c r="O22" s="15">
        <f t="shared" si="7"/>
        <v>0</v>
      </c>
      <c r="P22" s="33">
        <f t="shared" si="10"/>
        <v>144320</v>
      </c>
      <c r="Q22" s="15">
        <f>P22-P21</f>
        <v>0</v>
      </c>
      <c r="R22" s="1">
        <v>55047</v>
      </c>
      <c r="S22" s="15">
        <f t="shared" si="8"/>
        <v>0</v>
      </c>
      <c r="T22" s="33">
        <f t="shared" si="24"/>
        <v>3957</v>
      </c>
      <c r="U22" s="15">
        <f t="shared" si="9"/>
        <v>0</v>
      </c>
    </row>
    <row r="23" spans="1:23" ht="13.5" thickBot="1" x14ac:dyDescent="0.25">
      <c r="A23" s="9">
        <v>44641</v>
      </c>
      <c r="B23" s="33">
        <f t="shared" si="17"/>
        <v>46756</v>
      </c>
      <c r="C23" s="15">
        <f t="shared" si="1"/>
        <v>0</v>
      </c>
      <c r="D23" s="33">
        <f t="shared" si="18"/>
        <v>40385</v>
      </c>
      <c r="E23" s="15">
        <f t="shared" si="2"/>
        <v>0</v>
      </c>
      <c r="F23" s="33">
        <f t="shared" si="19"/>
        <v>21421</v>
      </c>
      <c r="G23" s="15">
        <f t="shared" si="3"/>
        <v>0</v>
      </c>
      <c r="H23" s="33">
        <f t="shared" si="20"/>
        <v>254178</v>
      </c>
      <c r="I23" s="15">
        <f t="shared" si="4"/>
        <v>0</v>
      </c>
      <c r="J23" s="33">
        <f t="shared" si="21"/>
        <v>304628</v>
      </c>
      <c r="K23" s="15">
        <f t="shared" si="5"/>
        <v>0</v>
      </c>
      <c r="L23" s="33">
        <f t="shared" si="22"/>
        <v>25937</v>
      </c>
      <c r="M23" s="15">
        <f t="shared" si="6"/>
        <v>0</v>
      </c>
      <c r="N23" s="33">
        <f t="shared" si="23"/>
        <v>225782</v>
      </c>
      <c r="O23" s="15">
        <f t="shared" si="7"/>
        <v>0</v>
      </c>
      <c r="P23" s="33">
        <f t="shared" si="10"/>
        <v>144320</v>
      </c>
      <c r="Q23" s="15">
        <f t="shared" si="0"/>
        <v>0</v>
      </c>
      <c r="R23" s="1">
        <v>55047</v>
      </c>
      <c r="S23" s="15">
        <f t="shared" si="8"/>
        <v>0</v>
      </c>
      <c r="T23" s="33">
        <f t="shared" si="24"/>
        <v>3957</v>
      </c>
      <c r="U23" s="15">
        <f t="shared" si="9"/>
        <v>0</v>
      </c>
    </row>
    <row r="24" spans="1:23" s="133" customFormat="1" ht="13.5" thickBot="1" x14ac:dyDescent="0.25">
      <c r="A24" s="9">
        <v>44642</v>
      </c>
      <c r="B24" s="33">
        <f t="shared" si="17"/>
        <v>46756</v>
      </c>
      <c r="C24" s="15">
        <f t="shared" si="1"/>
        <v>0</v>
      </c>
      <c r="D24" s="33">
        <f t="shared" si="18"/>
        <v>40385</v>
      </c>
      <c r="E24" s="15">
        <f t="shared" si="2"/>
        <v>0</v>
      </c>
      <c r="F24" s="33">
        <f t="shared" si="19"/>
        <v>21421</v>
      </c>
      <c r="G24" s="15">
        <f t="shared" si="3"/>
        <v>0</v>
      </c>
      <c r="H24" s="33">
        <f t="shared" si="20"/>
        <v>254178</v>
      </c>
      <c r="I24" s="15">
        <f t="shared" si="4"/>
        <v>0</v>
      </c>
      <c r="J24" s="33">
        <f t="shared" si="21"/>
        <v>304628</v>
      </c>
      <c r="K24" s="15">
        <f t="shared" si="5"/>
        <v>0</v>
      </c>
      <c r="L24" s="33">
        <f t="shared" si="22"/>
        <v>25937</v>
      </c>
      <c r="M24" s="15">
        <f t="shared" si="6"/>
        <v>0</v>
      </c>
      <c r="N24" s="33">
        <f t="shared" si="23"/>
        <v>225782</v>
      </c>
      <c r="O24" s="15">
        <f t="shared" si="7"/>
        <v>0</v>
      </c>
      <c r="P24" s="33">
        <f t="shared" si="10"/>
        <v>144320</v>
      </c>
      <c r="Q24" s="15">
        <f t="shared" si="0"/>
        <v>0</v>
      </c>
      <c r="R24" s="1">
        <v>55047</v>
      </c>
      <c r="S24" s="15">
        <f t="shared" si="8"/>
        <v>0</v>
      </c>
      <c r="T24" s="33">
        <f t="shared" si="24"/>
        <v>3957</v>
      </c>
      <c r="U24" s="15">
        <f t="shared" si="9"/>
        <v>0</v>
      </c>
    </row>
    <row r="25" spans="1:23" ht="13.5" thickBot="1" x14ac:dyDescent="0.25">
      <c r="A25" s="9">
        <v>44643</v>
      </c>
      <c r="B25" s="33">
        <f t="shared" si="17"/>
        <v>46756</v>
      </c>
      <c r="C25" s="15">
        <f t="shared" si="1"/>
        <v>0</v>
      </c>
      <c r="D25" s="33">
        <f t="shared" si="18"/>
        <v>40385</v>
      </c>
      <c r="E25" s="15">
        <f t="shared" si="2"/>
        <v>0</v>
      </c>
      <c r="F25" s="33">
        <f t="shared" si="19"/>
        <v>21421</v>
      </c>
      <c r="G25" s="15">
        <f t="shared" si="3"/>
        <v>0</v>
      </c>
      <c r="H25" s="33">
        <f t="shared" si="20"/>
        <v>254178</v>
      </c>
      <c r="I25" s="15">
        <f t="shared" si="4"/>
        <v>0</v>
      </c>
      <c r="J25" s="33">
        <f t="shared" si="21"/>
        <v>304628</v>
      </c>
      <c r="K25" s="15">
        <f t="shared" si="5"/>
        <v>0</v>
      </c>
      <c r="L25" s="33">
        <f t="shared" si="22"/>
        <v>25937</v>
      </c>
      <c r="M25" s="15">
        <f t="shared" si="6"/>
        <v>0</v>
      </c>
      <c r="N25" s="33">
        <f t="shared" si="23"/>
        <v>225782</v>
      </c>
      <c r="O25" s="15">
        <f t="shared" si="7"/>
        <v>0</v>
      </c>
      <c r="P25" s="33">
        <f t="shared" si="10"/>
        <v>144320</v>
      </c>
      <c r="Q25" s="15">
        <f t="shared" si="0"/>
        <v>0</v>
      </c>
      <c r="R25" s="1">
        <v>55047</v>
      </c>
      <c r="S25" s="15">
        <f t="shared" si="8"/>
        <v>0</v>
      </c>
      <c r="T25" s="33">
        <f t="shared" si="24"/>
        <v>3957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44644</v>
      </c>
      <c r="B26" s="33">
        <f t="shared" si="17"/>
        <v>46756</v>
      </c>
      <c r="C26" s="15">
        <f t="shared" si="1"/>
        <v>0</v>
      </c>
      <c r="D26" s="33">
        <f t="shared" si="18"/>
        <v>40385</v>
      </c>
      <c r="E26" s="15">
        <f t="shared" si="2"/>
        <v>0</v>
      </c>
      <c r="F26" s="33">
        <f t="shared" si="19"/>
        <v>21421</v>
      </c>
      <c r="G26" s="15">
        <f t="shared" si="3"/>
        <v>0</v>
      </c>
      <c r="H26" s="33">
        <f t="shared" si="20"/>
        <v>254178</v>
      </c>
      <c r="I26" s="15">
        <f t="shared" si="4"/>
        <v>0</v>
      </c>
      <c r="J26" s="33">
        <f t="shared" si="21"/>
        <v>304628</v>
      </c>
      <c r="K26" s="15">
        <f t="shared" si="5"/>
        <v>0</v>
      </c>
      <c r="L26" s="33">
        <f t="shared" si="22"/>
        <v>25937</v>
      </c>
      <c r="M26" s="15">
        <f t="shared" si="6"/>
        <v>0</v>
      </c>
      <c r="N26" s="33">
        <f t="shared" si="23"/>
        <v>225782</v>
      </c>
      <c r="O26" s="15">
        <f t="shared" si="7"/>
        <v>0</v>
      </c>
      <c r="P26" s="33">
        <f t="shared" si="10"/>
        <v>144320</v>
      </c>
      <c r="Q26" s="15">
        <f t="shared" si="0"/>
        <v>0</v>
      </c>
      <c r="R26" s="1">
        <v>55047</v>
      </c>
      <c r="S26" s="15">
        <f t="shared" si="8"/>
        <v>0</v>
      </c>
      <c r="T26" s="33">
        <f t="shared" si="24"/>
        <v>3957</v>
      </c>
      <c r="U26" s="15">
        <f t="shared" si="9"/>
        <v>0</v>
      </c>
      <c r="W26" t="s">
        <v>12</v>
      </c>
    </row>
    <row r="27" spans="1:23" ht="13.5" thickBot="1" x14ac:dyDescent="0.25">
      <c r="A27" s="9">
        <v>44645</v>
      </c>
      <c r="B27" s="33">
        <f t="shared" si="17"/>
        <v>46756</v>
      </c>
      <c r="C27" s="15">
        <f t="shared" si="1"/>
        <v>0</v>
      </c>
      <c r="D27" s="33">
        <f t="shared" si="18"/>
        <v>40385</v>
      </c>
      <c r="E27" s="15">
        <f t="shared" si="2"/>
        <v>0</v>
      </c>
      <c r="F27" s="33">
        <f t="shared" si="19"/>
        <v>21421</v>
      </c>
      <c r="G27" s="15">
        <f t="shared" si="3"/>
        <v>0</v>
      </c>
      <c r="H27" s="33">
        <f t="shared" si="20"/>
        <v>254178</v>
      </c>
      <c r="I27" s="15">
        <f t="shared" si="4"/>
        <v>0</v>
      </c>
      <c r="J27" s="33">
        <f t="shared" si="21"/>
        <v>304628</v>
      </c>
      <c r="K27" s="15">
        <f t="shared" si="5"/>
        <v>0</v>
      </c>
      <c r="L27" s="33">
        <f t="shared" si="22"/>
        <v>25937</v>
      </c>
      <c r="M27" s="15">
        <f t="shared" si="6"/>
        <v>0</v>
      </c>
      <c r="N27" s="33">
        <f t="shared" si="23"/>
        <v>225782</v>
      </c>
      <c r="O27" s="15">
        <f t="shared" si="7"/>
        <v>0</v>
      </c>
      <c r="P27" s="33">
        <f t="shared" si="10"/>
        <v>144320</v>
      </c>
      <c r="Q27" s="15">
        <f t="shared" si="0"/>
        <v>0</v>
      </c>
      <c r="R27" s="1">
        <v>55047</v>
      </c>
      <c r="S27" s="15">
        <f t="shared" si="8"/>
        <v>0</v>
      </c>
      <c r="T27" s="33">
        <f t="shared" si="24"/>
        <v>3957</v>
      </c>
      <c r="U27" s="15">
        <f t="shared" si="9"/>
        <v>0</v>
      </c>
    </row>
    <row r="28" spans="1:23" ht="13.5" thickBot="1" x14ac:dyDescent="0.25">
      <c r="A28" s="9">
        <v>44646</v>
      </c>
      <c r="B28" s="33">
        <f t="shared" si="17"/>
        <v>46756</v>
      </c>
      <c r="C28" s="15">
        <f t="shared" si="1"/>
        <v>0</v>
      </c>
      <c r="D28" s="33">
        <f t="shared" si="18"/>
        <v>40385</v>
      </c>
      <c r="E28" s="15">
        <f t="shared" si="2"/>
        <v>0</v>
      </c>
      <c r="F28" s="33">
        <f t="shared" si="19"/>
        <v>21421</v>
      </c>
      <c r="G28" s="15">
        <f t="shared" si="3"/>
        <v>0</v>
      </c>
      <c r="H28" s="33">
        <f t="shared" si="20"/>
        <v>254178</v>
      </c>
      <c r="I28" s="15">
        <f t="shared" si="4"/>
        <v>0</v>
      </c>
      <c r="J28" s="33">
        <f t="shared" si="21"/>
        <v>304628</v>
      </c>
      <c r="K28" s="15">
        <f t="shared" si="5"/>
        <v>0</v>
      </c>
      <c r="L28" s="33">
        <f t="shared" si="22"/>
        <v>25937</v>
      </c>
      <c r="M28" s="15">
        <f t="shared" si="6"/>
        <v>0</v>
      </c>
      <c r="N28" s="33">
        <f t="shared" si="23"/>
        <v>225782</v>
      </c>
      <c r="O28" s="15">
        <f t="shared" si="7"/>
        <v>0</v>
      </c>
      <c r="P28" s="33">
        <f t="shared" si="10"/>
        <v>144320</v>
      </c>
      <c r="Q28" s="16">
        <f t="shared" si="0"/>
        <v>0</v>
      </c>
      <c r="R28" s="1">
        <v>55047</v>
      </c>
      <c r="S28" s="16">
        <f t="shared" si="8"/>
        <v>0</v>
      </c>
      <c r="T28" s="33">
        <f t="shared" si="24"/>
        <v>3957</v>
      </c>
      <c r="U28" s="15">
        <f t="shared" si="9"/>
        <v>0</v>
      </c>
    </row>
    <row r="29" spans="1:23" ht="13.5" thickBot="1" x14ac:dyDescent="0.25">
      <c r="A29" s="9">
        <v>44647</v>
      </c>
      <c r="B29" s="33">
        <f t="shared" si="17"/>
        <v>46756</v>
      </c>
      <c r="C29" s="15">
        <f t="shared" si="1"/>
        <v>0</v>
      </c>
      <c r="D29" s="33">
        <f t="shared" si="18"/>
        <v>40385</v>
      </c>
      <c r="E29" s="15">
        <f t="shared" si="2"/>
        <v>0</v>
      </c>
      <c r="F29" s="33">
        <f t="shared" si="19"/>
        <v>21421</v>
      </c>
      <c r="G29" s="15">
        <f t="shared" si="3"/>
        <v>0</v>
      </c>
      <c r="H29" s="33">
        <f t="shared" si="20"/>
        <v>254178</v>
      </c>
      <c r="I29" s="15">
        <f t="shared" si="4"/>
        <v>0</v>
      </c>
      <c r="J29" s="33">
        <f t="shared" si="21"/>
        <v>304628</v>
      </c>
      <c r="K29" s="15">
        <f t="shared" si="5"/>
        <v>0</v>
      </c>
      <c r="L29" s="33">
        <f t="shared" si="22"/>
        <v>25937</v>
      </c>
      <c r="M29" s="15">
        <f t="shared" si="6"/>
        <v>0</v>
      </c>
      <c r="N29" s="33">
        <f t="shared" si="23"/>
        <v>225782</v>
      </c>
      <c r="O29" s="15">
        <f t="shared" si="7"/>
        <v>0</v>
      </c>
      <c r="P29" s="33">
        <f t="shared" si="10"/>
        <v>144320</v>
      </c>
      <c r="Q29" s="15">
        <f t="shared" si="0"/>
        <v>0</v>
      </c>
      <c r="R29" s="1">
        <v>55047</v>
      </c>
      <c r="S29" s="15">
        <f t="shared" si="8"/>
        <v>0</v>
      </c>
      <c r="T29" s="33">
        <f t="shared" si="24"/>
        <v>3957</v>
      </c>
      <c r="U29" s="15">
        <f t="shared" si="9"/>
        <v>0</v>
      </c>
    </row>
    <row r="30" spans="1:23" ht="13.5" thickBot="1" x14ac:dyDescent="0.25">
      <c r="A30" s="9">
        <v>44648</v>
      </c>
      <c r="B30" s="33">
        <f t="shared" si="17"/>
        <v>46756</v>
      </c>
      <c r="C30" s="15">
        <f t="shared" si="1"/>
        <v>0</v>
      </c>
      <c r="D30" s="33">
        <f t="shared" si="18"/>
        <v>40385</v>
      </c>
      <c r="E30" s="15">
        <f t="shared" si="2"/>
        <v>0</v>
      </c>
      <c r="F30" s="33">
        <f t="shared" si="19"/>
        <v>21421</v>
      </c>
      <c r="G30" s="15">
        <f t="shared" si="3"/>
        <v>0</v>
      </c>
      <c r="H30" s="33">
        <f t="shared" si="20"/>
        <v>254178</v>
      </c>
      <c r="I30" s="15">
        <f t="shared" si="4"/>
        <v>0</v>
      </c>
      <c r="J30" s="33">
        <f t="shared" si="21"/>
        <v>304628</v>
      </c>
      <c r="K30" s="15">
        <f t="shared" si="5"/>
        <v>0</v>
      </c>
      <c r="L30" s="33">
        <f t="shared" si="22"/>
        <v>25937</v>
      </c>
      <c r="M30" s="15">
        <f t="shared" si="6"/>
        <v>0</v>
      </c>
      <c r="N30" s="33">
        <f t="shared" si="23"/>
        <v>225782</v>
      </c>
      <c r="O30" s="15">
        <f t="shared" si="7"/>
        <v>0</v>
      </c>
      <c r="P30" s="33">
        <f t="shared" si="10"/>
        <v>144320</v>
      </c>
      <c r="Q30" s="15">
        <v>0</v>
      </c>
      <c r="R30" s="1">
        <v>55047</v>
      </c>
      <c r="S30" s="15">
        <f t="shared" si="8"/>
        <v>0</v>
      </c>
      <c r="T30" s="33">
        <f t="shared" si="24"/>
        <v>3957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8800</v>
      </c>
      <c r="D31" s="12"/>
      <c r="E31" s="10">
        <f>SUM(E4:E30)</f>
        <v>6080</v>
      </c>
      <c r="F31" s="12"/>
      <c r="G31" s="10">
        <f>SUM(G4:G30)</f>
        <v>860</v>
      </c>
      <c r="H31" s="12"/>
      <c r="I31" s="10">
        <f>SUM(I4:I30)</f>
        <v>179</v>
      </c>
      <c r="J31" s="12"/>
      <c r="K31" s="10">
        <f>SUM(K4:K30)</f>
        <v>177760</v>
      </c>
      <c r="L31" s="12"/>
      <c r="M31" s="10">
        <f>SUM(M4:M30)</f>
        <v>6080</v>
      </c>
      <c r="N31" s="34"/>
      <c r="O31" s="10">
        <f>SUM(O4:O30)</f>
        <v>551</v>
      </c>
      <c r="P31" s="33"/>
      <c r="Q31" s="15">
        <v>0</v>
      </c>
      <c r="R31" s="1"/>
      <c r="S31" s="10">
        <f>SUM(S4:S30)</f>
        <v>0</v>
      </c>
      <c r="T31" s="1"/>
      <c r="U31" s="10">
        <f>SUM(U4:U30)</f>
        <v>2560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="110" zoomScaleNormal="110" zoomScaleSheetLayoutView="110" workbookViewId="0">
      <pane ySplit="1" topLeftCell="A2" activePane="bottomLeft" state="frozen"/>
      <selection pane="bottomLeft" activeCell="A15" sqref="A15:XFD15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(IF((J3-J2)&lt;L88,"0",(J3-J2)))*2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(IF((N3-N2)&lt;P88,"0",(N3-N2)))*2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30" si="4">IF((C4-C3)&lt;0,"0",(C4-C3))*160</f>
        <v>480</v>
      </c>
      <c r="E4" s="147">
        <v>29984541</v>
      </c>
      <c r="F4" s="40">
        <f t="shared" ref="F4:F30" si="5">IF((E4-E3)&lt;0,"0",(E4-E3))</f>
        <v>16431</v>
      </c>
      <c r="G4" s="148">
        <v>95709094</v>
      </c>
      <c r="H4" s="40">
        <f t="shared" ref="H4:H30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(IF((J4-J3)&lt;L90,"0",(J4-J3)))*2</f>
        <v>9734</v>
      </c>
      <c r="L4" s="150">
        <v>9549794</v>
      </c>
      <c r="M4" s="40">
        <f t="shared" ref="M4:M30" si="8">IF((L4-L3)&lt;0,"0",(L4-L3))</f>
        <v>6878</v>
      </c>
      <c r="N4" s="147">
        <v>6370037</v>
      </c>
      <c r="O4" s="40">
        <f>(IF((N4-N3)&lt;P90,"0",(N4-N3)))*2</f>
        <v>9386</v>
      </c>
      <c r="P4" s="150">
        <v>5939085</v>
      </c>
      <c r="Q4" s="40">
        <f t="shared" ref="Q4:Q30" si="9">IF((P4-P3)&lt;0,"0",(P4-P3))</f>
        <v>2855</v>
      </c>
      <c r="R4" s="147">
        <v>20334192</v>
      </c>
      <c r="S4" s="40">
        <f t="shared" ref="S4:S30" si="10">IF((R4-R3)&lt;0,"0",(R4-R3))</f>
        <v>10791</v>
      </c>
      <c r="T4" s="147">
        <v>0</v>
      </c>
      <c r="U4" s="151"/>
      <c r="V4" s="147">
        <v>8234075</v>
      </c>
      <c r="W4" s="40">
        <f t="shared" ref="W4:W30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29995179</v>
      </c>
      <c r="F5" s="40">
        <f t="shared" si="5"/>
        <v>10638</v>
      </c>
      <c r="G5" s="148">
        <v>95739849</v>
      </c>
      <c r="H5" s="40">
        <f t="shared" si="6"/>
        <v>30755</v>
      </c>
      <c r="I5" s="149">
        <f t="shared" si="7"/>
        <v>41393</v>
      </c>
      <c r="J5" s="147">
        <v>9521610</v>
      </c>
      <c r="K5" s="40">
        <f t="shared" ref="K5:K30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30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5801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>
        <v>291</v>
      </c>
      <c r="C6" s="146">
        <v>19375</v>
      </c>
      <c r="D6" s="40">
        <f t="shared" si="4"/>
        <v>480</v>
      </c>
      <c r="E6" s="147">
        <v>30008029</v>
      </c>
      <c r="F6" s="40">
        <f t="shared" si="5"/>
        <v>12850</v>
      </c>
      <c r="G6" s="148">
        <v>95780007</v>
      </c>
      <c r="H6" s="40">
        <f t="shared" si="6"/>
        <v>40158</v>
      </c>
      <c r="I6" s="149">
        <f t="shared" si="7"/>
        <v>53008</v>
      </c>
      <c r="J6" s="147">
        <v>9525648</v>
      </c>
      <c r="K6" s="40">
        <f t="shared" si="15"/>
        <v>8076</v>
      </c>
      <c r="L6" s="150">
        <v>9561057</v>
      </c>
      <c r="M6" s="40">
        <f t="shared" si="8"/>
        <v>6116</v>
      </c>
      <c r="N6" s="147">
        <v>6375988</v>
      </c>
      <c r="O6" s="40">
        <f t="shared" si="16"/>
        <v>6546</v>
      </c>
      <c r="P6" s="150">
        <v>5943382</v>
      </c>
      <c r="Q6" s="40">
        <f t="shared" si="9"/>
        <v>2436</v>
      </c>
      <c r="R6" s="147">
        <v>20351608</v>
      </c>
      <c r="S6" s="40">
        <f t="shared" si="10"/>
        <v>9926</v>
      </c>
      <c r="T6" s="147">
        <v>0</v>
      </c>
      <c r="U6" s="151"/>
      <c r="V6" s="147">
        <v>8253715</v>
      </c>
      <c r="W6" s="40">
        <f t="shared" si="11"/>
        <v>11236</v>
      </c>
      <c r="X6" s="20">
        <f t="shared" si="12"/>
        <v>44336</v>
      </c>
      <c r="Y6" s="152">
        <f t="shared" si="13"/>
        <v>8672</v>
      </c>
      <c r="Z6" s="3">
        <f t="shared" si="14"/>
        <v>6436.6452383999995</v>
      </c>
      <c r="AA6" s="3">
        <f>SUM(Z4:Z6)</f>
        <v>18479.145734400001</v>
      </c>
    </row>
    <row r="7" spans="1:27" ht="16.5" thickBot="1" x14ac:dyDescent="0.3">
      <c r="A7" s="9">
        <v>44625</v>
      </c>
      <c r="B7" s="40">
        <v>308</v>
      </c>
      <c r="C7" s="146">
        <v>19377</v>
      </c>
      <c r="D7" s="40">
        <f t="shared" si="4"/>
        <v>320</v>
      </c>
      <c r="E7" s="147">
        <v>30021360</v>
      </c>
      <c r="F7" s="40">
        <f t="shared" si="5"/>
        <v>13331</v>
      </c>
      <c r="G7" s="148">
        <v>95821834</v>
      </c>
      <c r="H7" s="40">
        <f t="shared" si="6"/>
        <v>41827</v>
      </c>
      <c r="I7" s="149">
        <f t="shared" si="7"/>
        <v>55158</v>
      </c>
      <c r="J7" s="147">
        <v>9530176</v>
      </c>
      <c r="K7" s="40">
        <f t="shared" si="15"/>
        <v>9056</v>
      </c>
      <c r="L7" s="150">
        <v>9567196</v>
      </c>
      <c r="M7" s="40">
        <f t="shared" si="8"/>
        <v>6139</v>
      </c>
      <c r="N7" s="147">
        <v>6379520</v>
      </c>
      <c r="O7" s="40">
        <f t="shared" si="16"/>
        <v>7064</v>
      </c>
      <c r="P7" s="150">
        <v>5945826</v>
      </c>
      <c r="Q7" s="40">
        <f t="shared" si="9"/>
        <v>2444</v>
      </c>
      <c r="R7" s="147">
        <v>20361952</v>
      </c>
      <c r="S7" s="40">
        <f t="shared" si="10"/>
        <v>10344</v>
      </c>
      <c r="T7" s="147">
        <v>0</v>
      </c>
      <c r="U7" s="151"/>
      <c r="V7" s="147">
        <v>8265379</v>
      </c>
      <c r="W7" s="40">
        <f t="shared" si="11"/>
        <v>11664</v>
      </c>
      <c r="X7" s="20">
        <f t="shared" si="12"/>
        <v>46711</v>
      </c>
      <c r="Y7" s="152">
        <f t="shared" si="13"/>
        <v>8447</v>
      </c>
      <c r="Z7" s="3">
        <f t="shared" si="14"/>
        <v>6718.1302655999998</v>
      </c>
      <c r="AA7" s="3">
        <f t="shared" ref="AA7:AA30" si="17">SUM(Z4:Z7)</f>
        <v>25197.276000000002</v>
      </c>
    </row>
    <row r="8" spans="1:27" ht="16.5" thickBot="1" x14ac:dyDescent="0.3">
      <c r="A8" s="9">
        <v>44626</v>
      </c>
      <c r="B8" s="40">
        <v>218</v>
      </c>
      <c r="C8" s="146">
        <v>19379</v>
      </c>
      <c r="D8" s="40">
        <f t="shared" si="4"/>
        <v>320</v>
      </c>
      <c r="E8" s="147">
        <v>30032320</v>
      </c>
      <c r="F8" s="40">
        <f t="shared" si="5"/>
        <v>10960</v>
      </c>
      <c r="G8" s="148">
        <v>95855880</v>
      </c>
      <c r="H8" s="40">
        <f t="shared" si="6"/>
        <v>34046</v>
      </c>
      <c r="I8" s="149">
        <f t="shared" si="7"/>
        <v>45006</v>
      </c>
      <c r="J8" s="147">
        <v>9534097</v>
      </c>
      <c r="K8" s="40">
        <f t="shared" si="15"/>
        <v>7842</v>
      </c>
      <c r="L8" s="150">
        <v>9572046</v>
      </c>
      <c r="M8" s="40">
        <f t="shared" si="8"/>
        <v>4850</v>
      </c>
      <c r="N8" s="147">
        <v>6382506</v>
      </c>
      <c r="O8" s="40">
        <f t="shared" si="16"/>
        <v>5972</v>
      </c>
      <c r="P8" s="150">
        <v>5947962</v>
      </c>
      <c r="Q8" s="40">
        <f t="shared" si="9"/>
        <v>2136</v>
      </c>
      <c r="R8" s="147">
        <v>20370338</v>
      </c>
      <c r="S8" s="40">
        <f t="shared" si="10"/>
        <v>8386</v>
      </c>
      <c r="T8" s="147">
        <v>0</v>
      </c>
      <c r="U8" s="151"/>
      <c r="V8" s="147">
        <v>8274635</v>
      </c>
      <c r="W8" s="40">
        <f t="shared" si="11"/>
        <v>9256</v>
      </c>
      <c r="X8" s="20">
        <f t="shared" si="12"/>
        <v>38442</v>
      </c>
      <c r="Y8" s="152">
        <f t="shared" si="13"/>
        <v>6564</v>
      </c>
      <c r="Z8" s="3">
        <f t="shared" si="14"/>
        <v>5455.7605024000004</v>
      </c>
      <c r="AA8" s="3">
        <f t="shared" si="17"/>
        <v>23513.042051200002</v>
      </c>
    </row>
    <row r="9" spans="1:27" ht="16.5" thickBot="1" x14ac:dyDescent="0.3">
      <c r="A9" s="9">
        <v>44627</v>
      </c>
      <c r="B9" s="40">
        <v>155</v>
      </c>
      <c r="C9" s="146">
        <v>19382</v>
      </c>
      <c r="D9" s="40">
        <f t="shared" si="4"/>
        <v>480</v>
      </c>
      <c r="E9" s="147">
        <v>30043303</v>
      </c>
      <c r="F9" s="40">
        <f t="shared" si="5"/>
        <v>10983</v>
      </c>
      <c r="G9" s="148">
        <v>95889599</v>
      </c>
      <c r="H9" s="40">
        <f t="shared" si="6"/>
        <v>33719</v>
      </c>
      <c r="I9" s="149">
        <f t="shared" si="7"/>
        <v>44702</v>
      </c>
      <c r="J9" s="147">
        <v>9538056</v>
      </c>
      <c r="K9" s="40">
        <f t="shared" si="15"/>
        <v>7918</v>
      </c>
      <c r="L9" s="150">
        <v>9576861</v>
      </c>
      <c r="M9" s="40">
        <f t="shared" si="8"/>
        <v>4815</v>
      </c>
      <c r="N9" s="147">
        <v>6383494</v>
      </c>
      <c r="O9" s="40">
        <f t="shared" si="16"/>
        <v>1976</v>
      </c>
      <c r="P9" s="150">
        <v>5950359</v>
      </c>
      <c r="Q9" s="40">
        <f t="shared" si="9"/>
        <v>2397</v>
      </c>
      <c r="R9" s="147">
        <v>20379059</v>
      </c>
      <c r="S9" s="40">
        <f t="shared" si="10"/>
        <v>8721</v>
      </c>
      <c r="T9" s="147">
        <v>0</v>
      </c>
      <c r="U9" s="151"/>
      <c r="V9" s="147">
        <v>8283494</v>
      </c>
      <c r="W9" s="40">
        <f t="shared" si="11"/>
        <v>8859</v>
      </c>
      <c r="X9" s="20">
        <f t="shared" si="12"/>
        <v>34686</v>
      </c>
      <c r="Y9" s="152">
        <f t="shared" si="13"/>
        <v>10016</v>
      </c>
      <c r="Z9" s="3">
        <f t="shared" si="14"/>
        <v>4900.0036800000007</v>
      </c>
      <c r="AA9" s="3">
        <f t="shared" si="17"/>
        <v>23510.539686399999</v>
      </c>
    </row>
    <row r="10" spans="1:27" ht="16.5" thickBot="1" x14ac:dyDescent="0.3">
      <c r="A10" s="9">
        <v>44628</v>
      </c>
      <c r="B10" s="40">
        <v>313</v>
      </c>
      <c r="C10" s="146">
        <v>19384</v>
      </c>
      <c r="D10" s="40">
        <f t="shared" si="4"/>
        <v>320</v>
      </c>
      <c r="E10" s="147">
        <v>30057154</v>
      </c>
      <c r="F10" s="40">
        <f t="shared" si="5"/>
        <v>13851</v>
      </c>
      <c r="G10" s="148">
        <v>95934302</v>
      </c>
      <c r="H10" s="40">
        <f t="shared" si="6"/>
        <v>44703</v>
      </c>
      <c r="I10" s="149">
        <f t="shared" si="7"/>
        <v>58554</v>
      </c>
      <c r="J10" s="147">
        <v>9543052</v>
      </c>
      <c r="K10" s="40">
        <f t="shared" si="15"/>
        <v>9992</v>
      </c>
      <c r="L10" s="150">
        <v>9582806</v>
      </c>
      <c r="M10" s="40">
        <f t="shared" si="8"/>
        <v>5945</v>
      </c>
      <c r="N10" s="147">
        <v>6389387</v>
      </c>
      <c r="O10" s="40">
        <f t="shared" si="16"/>
        <v>11786</v>
      </c>
      <c r="P10" s="150">
        <v>5953510</v>
      </c>
      <c r="Q10" s="40">
        <f t="shared" si="9"/>
        <v>3151</v>
      </c>
      <c r="R10" s="147">
        <v>20390580</v>
      </c>
      <c r="S10" s="40">
        <f t="shared" si="10"/>
        <v>11521</v>
      </c>
      <c r="T10" s="147">
        <v>0</v>
      </c>
      <c r="U10" s="151"/>
      <c r="V10" s="147">
        <v>8295459</v>
      </c>
      <c r="W10" s="40">
        <f t="shared" si="11"/>
        <v>11965</v>
      </c>
      <c r="X10" s="20">
        <f t="shared" si="12"/>
        <v>54360</v>
      </c>
      <c r="Y10" s="152">
        <f t="shared" si="13"/>
        <v>4194</v>
      </c>
      <c r="Z10" s="3">
        <f t="shared" si="14"/>
        <v>7862.8088032000005</v>
      </c>
      <c r="AA10" s="3">
        <f t="shared" si="17"/>
        <v>24936.703251200004</v>
      </c>
    </row>
    <row r="11" spans="1:27" ht="15.75" customHeight="1" thickBot="1" x14ac:dyDescent="0.3">
      <c r="A11" s="9">
        <v>44629</v>
      </c>
      <c r="B11" s="40">
        <v>163</v>
      </c>
      <c r="C11" s="146">
        <v>19387</v>
      </c>
      <c r="D11" s="40">
        <f t="shared" si="4"/>
        <v>480</v>
      </c>
      <c r="E11" s="147">
        <v>30067888</v>
      </c>
      <c r="F11" s="40">
        <f t="shared" si="5"/>
        <v>10734</v>
      </c>
      <c r="G11" s="148">
        <v>95967009</v>
      </c>
      <c r="H11" s="40">
        <f t="shared" si="6"/>
        <v>32707</v>
      </c>
      <c r="I11" s="149">
        <f t="shared" si="7"/>
        <v>43441</v>
      </c>
      <c r="J11" s="147">
        <v>9546739</v>
      </c>
      <c r="K11" s="40">
        <f t="shared" si="15"/>
        <v>7374</v>
      </c>
      <c r="L11" s="150">
        <v>9587794</v>
      </c>
      <c r="M11" s="40">
        <f t="shared" si="8"/>
        <v>4988</v>
      </c>
      <c r="N11" s="147">
        <v>6392189</v>
      </c>
      <c r="O11" s="40">
        <f t="shared" si="16"/>
        <v>5604</v>
      </c>
      <c r="P11" s="150">
        <v>5955764</v>
      </c>
      <c r="Q11" s="40">
        <f t="shared" si="9"/>
        <v>2254</v>
      </c>
      <c r="R11" s="147">
        <v>20398876</v>
      </c>
      <c r="S11" s="40">
        <f t="shared" si="10"/>
        <v>8296</v>
      </c>
      <c r="T11" s="147">
        <v>0</v>
      </c>
      <c r="U11" s="151"/>
      <c r="V11" s="147">
        <v>8304283</v>
      </c>
      <c r="W11" s="40">
        <f t="shared" si="11"/>
        <v>8824</v>
      </c>
      <c r="X11" s="20">
        <f t="shared" si="12"/>
        <v>37340</v>
      </c>
      <c r="Y11" s="152">
        <f t="shared" si="13"/>
        <v>6101</v>
      </c>
      <c r="Z11" s="3">
        <f t="shared" si="14"/>
        <v>5292.8711679999997</v>
      </c>
      <c r="AA11" s="3">
        <f t="shared" si="17"/>
        <v>23511.444153600001</v>
      </c>
    </row>
    <row r="12" spans="1:27" ht="16.5" thickBot="1" x14ac:dyDescent="0.3">
      <c r="A12" s="9">
        <v>44630</v>
      </c>
      <c r="B12" s="40">
        <v>240</v>
      </c>
      <c r="C12" s="146">
        <v>19390</v>
      </c>
      <c r="D12" s="40">
        <f t="shared" si="4"/>
        <v>480</v>
      </c>
      <c r="E12" s="147">
        <v>30078586</v>
      </c>
      <c r="F12" s="40">
        <f t="shared" si="5"/>
        <v>10698</v>
      </c>
      <c r="G12" s="148">
        <v>96002111</v>
      </c>
      <c r="H12" s="40">
        <f t="shared" si="6"/>
        <v>35102</v>
      </c>
      <c r="I12" s="149">
        <f t="shared" si="7"/>
        <v>45800</v>
      </c>
      <c r="J12" s="147">
        <v>9550653</v>
      </c>
      <c r="K12" s="40">
        <f t="shared" si="15"/>
        <v>7828</v>
      </c>
      <c r="L12" s="150">
        <v>9592639</v>
      </c>
      <c r="M12" s="40">
        <f t="shared" si="8"/>
        <v>4845</v>
      </c>
      <c r="N12" s="147">
        <v>6395048</v>
      </c>
      <c r="O12" s="40">
        <f t="shared" si="16"/>
        <v>5718</v>
      </c>
      <c r="P12" s="150">
        <v>5958528</v>
      </c>
      <c r="Q12" s="40">
        <f t="shared" si="9"/>
        <v>2764</v>
      </c>
      <c r="R12" s="147">
        <v>20407765</v>
      </c>
      <c r="S12" s="40">
        <f t="shared" si="10"/>
        <v>8889</v>
      </c>
      <c r="T12" s="147">
        <v>0</v>
      </c>
      <c r="U12" s="151"/>
      <c r="V12" s="147">
        <v>8313624</v>
      </c>
      <c r="W12" s="40">
        <f t="shared" si="11"/>
        <v>9341</v>
      </c>
      <c r="X12" s="20">
        <f t="shared" si="12"/>
        <v>39385</v>
      </c>
      <c r="Y12" s="152">
        <f t="shared" si="13"/>
        <v>6415</v>
      </c>
      <c r="Z12" s="3">
        <f t="shared" si="14"/>
        <v>5652.6202719999992</v>
      </c>
      <c r="AA12" s="3">
        <f t="shared" si="17"/>
        <v>23708.303923200001</v>
      </c>
    </row>
    <row r="13" spans="1:27" ht="16.5" thickBot="1" x14ac:dyDescent="0.3">
      <c r="A13" s="9">
        <v>44631</v>
      </c>
      <c r="B13" s="40">
        <v>218</v>
      </c>
      <c r="C13" s="146">
        <v>19393</v>
      </c>
      <c r="D13" s="40">
        <f t="shared" ref="D13" si="18">IF((C13-C12)&lt;0,"0",(C13-C12))*160</f>
        <v>480</v>
      </c>
      <c r="E13" s="147">
        <v>30093217</v>
      </c>
      <c r="F13" s="40">
        <f t="shared" ref="F13" si="19">IF((E13-E12)&lt;0,"0",(E13-E12))</f>
        <v>14631</v>
      </c>
      <c r="G13" s="148">
        <v>96045667</v>
      </c>
      <c r="H13" s="40">
        <f t="shared" ref="H13" si="20">IF((G13-G12)&lt;0,"0",(G13-G12))</f>
        <v>43556</v>
      </c>
      <c r="I13" s="149">
        <f t="shared" ref="I13" si="21">F13+H13</f>
        <v>58187</v>
      </c>
      <c r="J13" s="147">
        <v>9555236</v>
      </c>
      <c r="K13" s="40">
        <f t="shared" ref="K13" si="22">(IF((J13-J12)&lt;0,"0",(J13-J12)))*2</f>
        <v>9166</v>
      </c>
      <c r="L13" s="150">
        <v>9599238</v>
      </c>
      <c r="M13" s="40">
        <f t="shared" ref="M13" si="23">IF((L13-L12)&lt;0,"0",(L13-L12))</f>
        <v>6599</v>
      </c>
      <c r="N13" s="147">
        <v>6398962</v>
      </c>
      <c r="O13" s="40">
        <f t="shared" ref="O13" si="24">(IF((N13-N12)&lt;0,"0",(N13-N12)))*2</f>
        <v>7828</v>
      </c>
      <c r="P13" s="150">
        <v>5962015</v>
      </c>
      <c r="Q13" s="40">
        <f t="shared" ref="Q13" si="25">IF((P13-P12)&lt;0,"0",(P13-P12))</f>
        <v>3487</v>
      </c>
      <c r="R13" s="147">
        <v>20419260</v>
      </c>
      <c r="S13" s="40">
        <f t="shared" ref="S13" si="26">IF((R13-R12)&lt;0,"0",(R13-R12))</f>
        <v>11495</v>
      </c>
      <c r="T13" s="147">
        <v>0</v>
      </c>
      <c r="U13" s="151"/>
      <c r="V13" s="147">
        <v>8325055</v>
      </c>
      <c r="W13" s="40">
        <f t="shared" ref="W13" si="27">IF((V13-V12)&lt;0,"0",(V13-V12))</f>
        <v>11431</v>
      </c>
      <c r="X13" s="20">
        <f t="shared" ref="X13" si="28">K13+M13+O13+Q13+S13+U13+W13</f>
        <v>50006</v>
      </c>
      <c r="Y13" s="152">
        <f t="shared" ref="Y13" si="29">I13-X13</f>
        <v>8181</v>
      </c>
      <c r="Z13" s="3">
        <f t="shared" ref="Z13" si="30">(0.93352*(W13+S13)+0.5568*(Q13+O13))*0.26</f>
        <v>7202.5385951999997</v>
      </c>
      <c r="AA13" s="3">
        <f t="shared" si="17"/>
        <v>26010.838838399999</v>
      </c>
    </row>
    <row r="14" spans="1:27" ht="16.5" thickBot="1" x14ac:dyDescent="0.3">
      <c r="A14" s="9">
        <v>44632</v>
      </c>
      <c r="B14" s="40">
        <v>269</v>
      </c>
      <c r="C14" s="146">
        <v>19396</v>
      </c>
      <c r="D14" s="40">
        <f t="shared" si="4"/>
        <v>480</v>
      </c>
      <c r="E14" s="147">
        <v>30104495</v>
      </c>
      <c r="F14" s="40">
        <f t="shared" si="5"/>
        <v>11278</v>
      </c>
      <c r="G14" s="148">
        <v>96079883</v>
      </c>
      <c r="H14" s="40">
        <f t="shared" si="6"/>
        <v>34216</v>
      </c>
      <c r="I14" s="149">
        <f t="shared" si="7"/>
        <v>45494</v>
      </c>
      <c r="J14" s="147">
        <v>9558918</v>
      </c>
      <c r="K14" s="40">
        <f t="shared" si="15"/>
        <v>7364</v>
      </c>
      <c r="L14" s="150">
        <v>9604413</v>
      </c>
      <c r="M14" s="40">
        <f t="shared" si="8"/>
        <v>5175</v>
      </c>
      <c r="N14" s="147">
        <v>6401956</v>
      </c>
      <c r="O14" s="40">
        <f t="shared" si="16"/>
        <v>5988</v>
      </c>
      <c r="P14" s="150">
        <v>5964769</v>
      </c>
      <c r="Q14" s="40">
        <f t="shared" si="9"/>
        <v>2754</v>
      </c>
      <c r="R14" s="147">
        <v>20428472</v>
      </c>
      <c r="S14" s="40">
        <f>IF((R14-R13)&lt;0,"0",(R14-R13))</f>
        <v>9212</v>
      </c>
      <c r="T14" s="147">
        <v>0</v>
      </c>
      <c r="U14" s="151"/>
      <c r="V14" s="147">
        <v>8333987</v>
      </c>
      <c r="W14" s="40">
        <f t="shared" si="11"/>
        <v>8932</v>
      </c>
      <c r="X14" s="20">
        <f t="shared" si="12"/>
        <v>39425</v>
      </c>
      <c r="Y14" s="152">
        <f t="shared" si="13"/>
        <v>6069</v>
      </c>
      <c r="Z14" s="3">
        <f t="shared" si="14"/>
        <v>5669.3864447999995</v>
      </c>
      <c r="AA14" s="3">
        <f t="shared" si="17"/>
        <v>23817.416479999996</v>
      </c>
    </row>
    <row r="15" spans="1:27" ht="16.5" thickBot="1" x14ac:dyDescent="0.3">
      <c r="A15" s="9">
        <v>44633</v>
      </c>
      <c r="B15" s="40">
        <v>294</v>
      </c>
      <c r="C15" s="146">
        <v>19399</v>
      </c>
      <c r="D15" s="40">
        <f t="shared" si="4"/>
        <v>480</v>
      </c>
      <c r="E15" s="147">
        <v>30116992</v>
      </c>
      <c r="F15" s="40">
        <f t="shared" si="5"/>
        <v>12497</v>
      </c>
      <c r="G15" s="148">
        <v>96117531</v>
      </c>
      <c r="H15" s="40">
        <f t="shared" si="6"/>
        <v>37648</v>
      </c>
      <c r="I15" s="149">
        <f t="shared" si="7"/>
        <v>50145</v>
      </c>
      <c r="J15" s="147">
        <v>9563520</v>
      </c>
      <c r="K15" s="40">
        <f t="shared" si="15"/>
        <v>9204</v>
      </c>
      <c r="L15" s="150">
        <v>9610377</v>
      </c>
      <c r="M15" s="40">
        <f t="shared" si="8"/>
        <v>5964</v>
      </c>
      <c r="N15" s="147">
        <v>6405156</v>
      </c>
      <c r="O15" s="40">
        <f t="shared" si="16"/>
        <v>6400</v>
      </c>
      <c r="P15" s="150">
        <v>5967767</v>
      </c>
      <c r="Q15" s="40">
        <f t="shared" si="9"/>
        <v>2998</v>
      </c>
      <c r="R15" s="147">
        <v>20438400</v>
      </c>
      <c r="S15" s="40">
        <f>IF((R15-R14)&lt;0,"0",(R15-R14))</f>
        <v>9928</v>
      </c>
      <c r="T15" s="147">
        <v>0</v>
      </c>
      <c r="U15" s="151"/>
      <c r="V15" s="147">
        <v>8343643</v>
      </c>
      <c r="W15" s="40">
        <f t="shared" si="11"/>
        <v>9656</v>
      </c>
      <c r="X15" s="20">
        <f t="shared" si="12"/>
        <v>44150</v>
      </c>
      <c r="Y15" s="152">
        <f t="shared" si="13"/>
        <v>5995</v>
      </c>
      <c r="Z15" s="3">
        <f t="shared" si="14"/>
        <v>6113.8641408000003</v>
      </c>
      <c r="AA15" s="3">
        <f t="shared" si="17"/>
        <v>24638.409452799999</v>
      </c>
    </row>
    <row r="16" spans="1:27" ht="16.5" thickBot="1" x14ac:dyDescent="0.3">
      <c r="A16" s="9">
        <v>44634</v>
      </c>
      <c r="B16" s="40"/>
      <c r="C16" s="146"/>
      <c r="D16" s="40">
        <f t="shared" si="4"/>
        <v>0</v>
      </c>
      <c r="E16" s="147"/>
      <c r="F16" s="40" t="str">
        <f t="shared" si="5"/>
        <v>0</v>
      </c>
      <c r="G16" s="148"/>
      <c r="H16" s="40" t="str">
        <f t="shared" si="6"/>
        <v>0</v>
      </c>
      <c r="I16" s="149">
        <f t="shared" si="7"/>
        <v>0</v>
      </c>
      <c r="J16" s="147"/>
      <c r="K16" s="40">
        <f t="shared" si="15"/>
        <v>0</v>
      </c>
      <c r="L16" s="150"/>
      <c r="M16" s="40" t="str">
        <f t="shared" si="8"/>
        <v>0</v>
      </c>
      <c r="N16" s="147"/>
      <c r="O16" s="40">
        <f t="shared" si="16"/>
        <v>0</v>
      </c>
      <c r="P16" s="150"/>
      <c r="Q16" s="40" t="str">
        <f t="shared" si="9"/>
        <v>0</v>
      </c>
      <c r="R16" s="147"/>
      <c r="S16" s="40" t="str">
        <f t="shared" si="10"/>
        <v>0</v>
      </c>
      <c r="T16" s="147">
        <v>0</v>
      </c>
      <c r="U16" s="151"/>
      <c r="V16" s="147"/>
      <c r="W16" s="40" t="str">
        <f t="shared" si="11"/>
        <v>0</v>
      </c>
      <c r="X16" s="20">
        <f t="shared" si="12"/>
        <v>0</v>
      </c>
      <c r="Y16" s="152">
        <f t="shared" si="13"/>
        <v>0</v>
      </c>
      <c r="Z16" s="3">
        <f t="shared" si="14"/>
        <v>0</v>
      </c>
      <c r="AA16" s="3">
        <f t="shared" si="17"/>
        <v>18985.789180799999</v>
      </c>
    </row>
    <row r="17" spans="1:27" s="132" customFormat="1" ht="16.5" thickBot="1" x14ac:dyDescent="0.3">
      <c r="A17" s="9">
        <v>44635</v>
      </c>
      <c r="B17" s="40"/>
      <c r="C17" s="146"/>
      <c r="D17" s="40">
        <f t="shared" si="4"/>
        <v>0</v>
      </c>
      <c r="E17" s="147"/>
      <c r="F17" s="40">
        <f t="shared" si="5"/>
        <v>0</v>
      </c>
      <c r="G17" s="148"/>
      <c r="H17" s="40">
        <f t="shared" si="6"/>
        <v>0</v>
      </c>
      <c r="I17" s="153">
        <f t="shared" si="7"/>
        <v>0</v>
      </c>
      <c r="J17" s="147"/>
      <c r="K17" s="131">
        <f t="shared" si="15"/>
        <v>0</v>
      </c>
      <c r="L17" s="150"/>
      <c r="M17" s="131">
        <f t="shared" si="8"/>
        <v>0</v>
      </c>
      <c r="N17" s="147"/>
      <c r="O17" s="131">
        <f t="shared" si="16"/>
        <v>0</v>
      </c>
      <c r="P17" s="150"/>
      <c r="Q17" s="131">
        <f t="shared" si="9"/>
        <v>0</v>
      </c>
      <c r="R17" s="147"/>
      <c r="S17" s="131">
        <f t="shared" si="10"/>
        <v>0</v>
      </c>
      <c r="T17" s="154">
        <v>0</v>
      </c>
      <c r="U17" s="151"/>
      <c r="V17" s="147"/>
      <c r="W17" s="131">
        <f t="shared" si="11"/>
        <v>0</v>
      </c>
      <c r="X17" s="20">
        <f t="shared" si="12"/>
        <v>0</v>
      </c>
      <c r="Y17" s="155">
        <f t="shared" si="13"/>
        <v>0</v>
      </c>
      <c r="Z17" s="156">
        <f t="shared" si="14"/>
        <v>0</v>
      </c>
      <c r="AA17" s="3">
        <f t="shared" si="17"/>
        <v>11783.250585599999</v>
      </c>
    </row>
    <row r="18" spans="1:27" s="132" customFormat="1" ht="16.5" thickBot="1" x14ac:dyDescent="0.3">
      <c r="A18" s="9">
        <v>44636</v>
      </c>
      <c r="B18" s="40"/>
      <c r="C18" s="146"/>
      <c r="D18" s="40">
        <f t="shared" si="4"/>
        <v>0</v>
      </c>
      <c r="E18" s="147"/>
      <c r="F18" s="40">
        <f t="shared" si="5"/>
        <v>0</v>
      </c>
      <c r="G18" s="148"/>
      <c r="H18" s="40">
        <f t="shared" si="6"/>
        <v>0</v>
      </c>
      <c r="I18" s="153">
        <f t="shared" si="7"/>
        <v>0</v>
      </c>
      <c r="J18" s="147"/>
      <c r="K18" s="131">
        <f t="shared" si="15"/>
        <v>0</v>
      </c>
      <c r="L18" s="150"/>
      <c r="M18" s="131">
        <f t="shared" si="8"/>
        <v>0</v>
      </c>
      <c r="N18" s="147"/>
      <c r="O18" s="131">
        <f t="shared" si="16"/>
        <v>0</v>
      </c>
      <c r="P18" s="150"/>
      <c r="Q18" s="131">
        <f t="shared" si="9"/>
        <v>0</v>
      </c>
      <c r="R18" s="147"/>
      <c r="S18" s="131">
        <f t="shared" si="10"/>
        <v>0</v>
      </c>
      <c r="T18" s="154">
        <v>0</v>
      </c>
      <c r="U18" s="151"/>
      <c r="V18" s="147"/>
      <c r="W18" s="131">
        <f t="shared" si="11"/>
        <v>0</v>
      </c>
      <c r="X18" s="20">
        <f t="shared" si="12"/>
        <v>0</v>
      </c>
      <c r="Y18" s="155">
        <f t="shared" si="13"/>
        <v>0</v>
      </c>
      <c r="Z18" s="156">
        <f t="shared" si="14"/>
        <v>0</v>
      </c>
      <c r="AA18" s="3">
        <f t="shared" si="17"/>
        <v>6113.8641408000003</v>
      </c>
    </row>
    <row r="19" spans="1:27" s="132" customFormat="1" ht="16.5" thickBot="1" x14ac:dyDescent="0.3">
      <c r="A19" s="9">
        <v>44637</v>
      </c>
      <c r="B19" s="40"/>
      <c r="C19" s="146"/>
      <c r="D19" s="40">
        <f t="shared" si="4"/>
        <v>0</v>
      </c>
      <c r="E19" s="147"/>
      <c r="F19" s="40">
        <f t="shared" si="5"/>
        <v>0</v>
      </c>
      <c r="G19" s="148"/>
      <c r="H19" s="40">
        <f t="shared" si="6"/>
        <v>0</v>
      </c>
      <c r="I19" s="153">
        <f t="shared" si="7"/>
        <v>0</v>
      </c>
      <c r="J19" s="147"/>
      <c r="K19" s="131">
        <f t="shared" si="15"/>
        <v>0</v>
      </c>
      <c r="L19" s="150"/>
      <c r="M19" s="131">
        <f t="shared" si="8"/>
        <v>0</v>
      </c>
      <c r="N19" s="147"/>
      <c r="O19" s="131">
        <f t="shared" si="16"/>
        <v>0</v>
      </c>
      <c r="P19" s="150"/>
      <c r="Q19" s="131">
        <f t="shared" si="9"/>
        <v>0</v>
      </c>
      <c r="R19" s="147"/>
      <c r="S19" s="131">
        <f t="shared" si="10"/>
        <v>0</v>
      </c>
      <c r="T19" s="154">
        <v>0</v>
      </c>
      <c r="U19" s="151"/>
      <c r="V19" s="147"/>
      <c r="W19" s="131">
        <f t="shared" si="11"/>
        <v>0</v>
      </c>
      <c r="X19" s="20">
        <f t="shared" si="12"/>
        <v>0</v>
      </c>
      <c r="Y19" s="155">
        <f t="shared" si="13"/>
        <v>0</v>
      </c>
      <c r="Z19" s="156">
        <f t="shared" si="14"/>
        <v>0</v>
      </c>
      <c r="AA19" s="3">
        <f t="shared" si="17"/>
        <v>0</v>
      </c>
    </row>
    <row r="20" spans="1:27" s="132" customFormat="1" ht="16.5" thickBot="1" x14ac:dyDescent="0.3">
      <c r="A20" s="9">
        <v>44638</v>
      </c>
      <c r="B20" s="40"/>
      <c r="C20" s="146"/>
      <c r="D20" s="40">
        <f t="shared" si="4"/>
        <v>0</v>
      </c>
      <c r="E20" s="147"/>
      <c r="F20" s="40">
        <f t="shared" si="5"/>
        <v>0</v>
      </c>
      <c r="G20" s="148"/>
      <c r="H20" s="40">
        <f t="shared" si="6"/>
        <v>0</v>
      </c>
      <c r="I20" s="153">
        <f t="shared" si="7"/>
        <v>0</v>
      </c>
      <c r="J20" s="147"/>
      <c r="K20" s="131">
        <f t="shared" si="15"/>
        <v>0</v>
      </c>
      <c r="L20" s="150"/>
      <c r="M20" s="131">
        <f t="shared" si="8"/>
        <v>0</v>
      </c>
      <c r="N20" s="147"/>
      <c r="O20" s="131">
        <f t="shared" si="16"/>
        <v>0</v>
      </c>
      <c r="P20" s="150"/>
      <c r="Q20" s="131">
        <f t="shared" si="9"/>
        <v>0</v>
      </c>
      <c r="R20" s="147"/>
      <c r="S20" s="131">
        <f t="shared" si="10"/>
        <v>0</v>
      </c>
      <c r="T20" s="154">
        <v>0</v>
      </c>
      <c r="U20" s="151"/>
      <c r="V20" s="147"/>
      <c r="W20" s="131">
        <f t="shared" si="11"/>
        <v>0</v>
      </c>
      <c r="X20" s="20">
        <f t="shared" si="12"/>
        <v>0</v>
      </c>
      <c r="Y20" s="155">
        <f t="shared" si="13"/>
        <v>0</v>
      </c>
      <c r="Z20" s="156">
        <f t="shared" si="14"/>
        <v>0</v>
      </c>
      <c r="AA20" s="3">
        <f t="shared" si="17"/>
        <v>0</v>
      </c>
    </row>
    <row r="21" spans="1:27" s="132" customFormat="1" ht="16.5" thickBot="1" x14ac:dyDescent="0.3">
      <c r="A21" s="9">
        <v>44639</v>
      </c>
      <c r="B21" s="40"/>
      <c r="C21" s="146"/>
      <c r="D21" s="40">
        <f t="shared" si="4"/>
        <v>0</v>
      </c>
      <c r="E21" s="147"/>
      <c r="F21" s="40">
        <f t="shared" si="5"/>
        <v>0</v>
      </c>
      <c r="G21" s="148"/>
      <c r="H21" s="40">
        <f t="shared" si="6"/>
        <v>0</v>
      </c>
      <c r="I21" s="153">
        <f t="shared" si="7"/>
        <v>0</v>
      </c>
      <c r="J21" s="147"/>
      <c r="K21" s="131">
        <f t="shared" si="15"/>
        <v>0</v>
      </c>
      <c r="L21" s="150"/>
      <c r="M21" s="131">
        <f t="shared" si="8"/>
        <v>0</v>
      </c>
      <c r="N21" s="147"/>
      <c r="O21" s="131">
        <f t="shared" si="16"/>
        <v>0</v>
      </c>
      <c r="P21" s="150"/>
      <c r="Q21" s="131">
        <f t="shared" si="9"/>
        <v>0</v>
      </c>
      <c r="R21" s="147"/>
      <c r="S21" s="131">
        <f t="shared" si="10"/>
        <v>0</v>
      </c>
      <c r="T21" s="154">
        <v>0</v>
      </c>
      <c r="U21" s="151"/>
      <c r="V21" s="147"/>
      <c r="W21" s="131">
        <f t="shared" si="11"/>
        <v>0</v>
      </c>
      <c r="X21" s="20">
        <f t="shared" si="12"/>
        <v>0</v>
      </c>
      <c r="Y21" s="155">
        <f t="shared" si="13"/>
        <v>0</v>
      </c>
      <c r="Z21" s="156">
        <f t="shared" si="14"/>
        <v>0</v>
      </c>
      <c r="AA21" s="3">
        <f t="shared" si="17"/>
        <v>0</v>
      </c>
    </row>
    <row r="22" spans="1:27" ht="16.5" thickBot="1" x14ac:dyDescent="0.3">
      <c r="A22" s="9">
        <v>44640</v>
      </c>
      <c r="B22" s="40"/>
      <c r="C22" s="146"/>
      <c r="D22" s="40">
        <f t="shared" si="4"/>
        <v>0</v>
      </c>
      <c r="E22" s="147"/>
      <c r="F22" s="40">
        <f t="shared" si="5"/>
        <v>0</v>
      </c>
      <c r="G22" s="148"/>
      <c r="H22" s="40">
        <f t="shared" si="6"/>
        <v>0</v>
      </c>
      <c r="I22" s="149">
        <f t="shared" si="7"/>
        <v>0</v>
      </c>
      <c r="J22" s="147"/>
      <c r="K22" s="40">
        <f t="shared" si="15"/>
        <v>0</v>
      </c>
      <c r="L22" s="150"/>
      <c r="M22" s="40">
        <f t="shared" si="8"/>
        <v>0</v>
      </c>
      <c r="N22" s="147"/>
      <c r="O22" s="40">
        <f t="shared" si="16"/>
        <v>0</v>
      </c>
      <c r="P22" s="150"/>
      <c r="Q22" s="40">
        <f t="shared" si="9"/>
        <v>0</v>
      </c>
      <c r="R22" s="147"/>
      <c r="S22" s="40">
        <f t="shared" si="10"/>
        <v>0</v>
      </c>
      <c r="T22" s="147">
        <v>0</v>
      </c>
      <c r="U22" s="151"/>
      <c r="V22" s="147"/>
      <c r="W22" s="40">
        <f t="shared" si="11"/>
        <v>0</v>
      </c>
      <c r="X22" s="20">
        <f t="shared" si="12"/>
        <v>0</v>
      </c>
      <c r="Y22" s="152">
        <f t="shared" si="13"/>
        <v>0</v>
      </c>
      <c r="Z22" s="3">
        <f t="shared" si="14"/>
        <v>0</v>
      </c>
      <c r="AA22" s="3">
        <f t="shared" si="17"/>
        <v>0</v>
      </c>
    </row>
    <row r="23" spans="1:27" ht="16.5" thickBot="1" x14ac:dyDescent="0.3">
      <c r="A23" s="9">
        <v>44641</v>
      </c>
      <c r="B23" s="40"/>
      <c r="C23" s="146"/>
      <c r="D23" s="40">
        <f t="shared" si="4"/>
        <v>0</v>
      </c>
      <c r="E23" s="147"/>
      <c r="F23" s="40">
        <f t="shared" si="5"/>
        <v>0</v>
      </c>
      <c r="G23" s="148"/>
      <c r="H23" s="40">
        <f t="shared" si="6"/>
        <v>0</v>
      </c>
      <c r="I23" s="149">
        <f t="shared" si="7"/>
        <v>0</v>
      </c>
      <c r="J23" s="147"/>
      <c r="K23" s="40">
        <f t="shared" si="15"/>
        <v>0</v>
      </c>
      <c r="L23" s="150"/>
      <c r="M23" s="40">
        <f t="shared" si="8"/>
        <v>0</v>
      </c>
      <c r="N23" s="147"/>
      <c r="O23" s="40">
        <f t="shared" si="16"/>
        <v>0</v>
      </c>
      <c r="P23" s="150"/>
      <c r="Q23" s="40">
        <f t="shared" si="9"/>
        <v>0</v>
      </c>
      <c r="R23" s="147"/>
      <c r="S23" s="40">
        <f t="shared" si="10"/>
        <v>0</v>
      </c>
      <c r="T23" s="147">
        <v>0</v>
      </c>
      <c r="U23" s="151"/>
      <c r="V23" s="147"/>
      <c r="W23" s="40">
        <f t="shared" si="11"/>
        <v>0</v>
      </c>
      <c r="X23" s="20">
        <f t="shared" si="12"/>
        <v>0</v>
      </c>
      <c r="Y23" s="152">
        <f t="shared" si="13"/>
        <v>0</v>
      </c>
      <c r="Z23" s="3">
        <f t="shared" si="14"/>
        <v>0</v>
      </c>
      <c r="AA23" s="3">
        <f t="shared" si="17"/>
        <v>0</v>
      </c>
    </row>
    <row r="24" spans="1:27" ht="16.5" thickBot="1" x14ac:dyDescent="0.3">
      <c r="A24" s="9">
        <v>44642</v>
      </c>
      <c r="B24" s="40"/>
      <c r="C24" s="146"/>
      <c r="D24" s="40">
        <f t="shared" si="4"/>
        <v>0</v>
      </c>
      <c r="E24" s="147"/>
      <c r="F24" s="40">
        <f t="shared" si="5"/>
        <v>0</v>
      </c>
      <c r="G24" s="148"/>
      <c r="H24" s="40">
        <f t="shared" si="6"/>
        <v>0</v>
      </c>
      <c r="I24" s="149">
        <f t="shared" si="7"/>
        <v>0</v>
      </c>
      <c r="J24" s="147"/>
      <c r="K24" s="40">
        <f t="shared" si="15"/>
        <v>0</v>
      </c>
      <c r="L24" s="150"/>
      <c r="M24" s="40">
        <f t="shared" si="8"/>
        <v>0</v>
      </c>
      <c r="N24" s="147"/>
      <c r="O24" s="40">
        <f t="shared" si="16"/>
        <v>0</v>
      </c>
      <c r="P24" s="150"/>
      <c r="Q24" s="40">
        <f t="shared" si="9"/>
        <v>0</v>
      </c>
      <c r="R24" s="147"/>
      <c r="S24" s="40">
        <f t="shared" si="10"/>
        <v>0</v>
      </c>
      <c r="T24" s="147">
        <v>0</v>
      </c>
      <c r="U24" s="151"/>
      <c r="V24" s="147"/>
      <c r="W24" s="40">
        <f t="shared" si="11"/>
        <v>0</v>
      </c>
      <c r="X24" s="20">
        <f t="shared" si="12"/>
        <v>0</v>
      </c>
      <c r="Y24" s="152">
        <f t="shared" si="13"/>
        <v>0</v>
      </c>
      <c r="Z24" s="3">
        <f t="shared" si="14"/>
        <v>0</v>
      </c>
      <c r="AA24" s="3">
        <f t="shared" si="17"/>
        <v>0</v>
      </c>
    </row>
    <row r="25" spans="1:27" ht="16.5" thickBot="1" x14ac:dyDescent="0.3">
      <c r="A25" s="9">
        <v>44643</v>
      </c>
      <c r="B25" s="40"/>
      <c r="C25" s="146"/>
      <c r="D25" s="40">
        <f t="shared" si="4"/>
        <v>0</v>
      </c>
      <c r="E25" s="147"/>
      <c r="F25" s="40">
        <f t="shared" si="5"/>
        <v>0</v>
      </c>
      <c r="G25" s="148"/>
      <c r="H25" s="40">
        <f t="shared" si="6"/>
        <v>0</v>
      </c>
      <c r="I25" s="149">
        <f t="shared" si="7"/>
        <v>0</v>
      </c>
      <c r="J25" s="147"/>
      <c r="K25" s="40">
        <f t="shared" si="15"/>
        <v>0</v>
      </c>
      <c r="L25" s="150"/>
      <c r="M25" s="40">
        <f t="shared" si="8"/>
        <v>0</v>
      </c>
      <c r="N25" s="147"/>
      <c r="O25" s="40">
        <f t="shared" si="16"/>
        <v>0</v>
      </c>
      <c r="P25" s="150"/>
      <c r="Q25" s="40">
        <f t="shared" si="9"/>
        <v>0</v>
      </c>
      <c r="R25" s="147"/>
      <c r="S25" s="40">
        <f t="shared" si="10"/>
        <v>0</v>
      </c>
      <c r="T25" s="147">
        <v>0</v>
      </c>
      <c r="U25" s="151"/>
      <c r="V25" s="147"/>
      <c r="W25" s="40">
        <f t="shared" si="11"/>
        <v>0</v>
      </c>
      <c r="X25" s="20">
        <f t="shared" si="12"/>
        <v>0</v>
      </c>
      <c r="Y25" s="152">
        <f t="shared" si="13"/>
        <v>0</v>
      </c>
      <c r="Z25" s="3">
        <f t="shared" si="14"/>
        <v>0</v>
      </c>
      <c r="AA25" s="3">
        <f t="shared" si="17"/>
        <v>0</v>
      </c>
    </row>
    <row r="26" spans="1:27" ht="16.5" thickBot="1" x14ac:dyDescent="0.3">
      <c r="A26" s="9">
        <v>44644</v>
      </c>
      <c r="B26" s="40"/>
      <c r="C26" s="146"/>
      <c r="D26" s="40">
        <f t="shared" si="4"/>
        <v>0</v>
      </c>
      <c r="E26" s="147"/>
      <c r="F26" s="40">
        <f t="shared" si="5"/>
        <v>0</v>
      </c>
      <c r="G26" s="148"/>
      <c r="H26" s="40">
        <f t="shared" si="6"/>
        <v>0</v>
      </c>
      <c r="I26" s="149">
        <f t="shared" si="7"/>
        <v>0</v>
      </c>
      <c r="J26" s="147"/>
      <c r="K26" s="40">
        <f t="shared" si="15"/>
        <v>0</v>
      </c>
      <c r="L26" s="150"/>
      <c r="M26" s="40">
        <f t="shared" si="8"/>
        <v>0</v>
      </c>
      <c r="N26" s="147"/>
      <c r="O26" s="40">
        <f t="shared" si="16"/>
        <v>0</v>
      </c>
      <c r="P26" s="150"/>
      <c r="Q26" s="40">
        <f t="shared" si="9"/>
        <v>0</v>
      </c>
      <c r="R26" s="147"/>
      <c r="S26" s="40">
        <f t="shared" si="10"/>
        <v>0</v>
      </c>
      <c r="T26" s="147">
        <v>0</v>
      </c>
      <c r="U26" s="151"/>
      <c r="V26" s="147"/>
      <c r="W26" s="40">
        <f t="shared" si="11"/>
        <v>0</v>
      </c>
      <c r="X26" s="20">
        <f t="shared" si="12"/>
        <v>0</v>
      </c>
      <c r="Y26" s="152">
        <f t="shared" si="13"/>
        <v>0</v>
      </c>
      <c r="Z26" s="3">
        <f t="shared" si="14"/>
        <v>0</v>
      </c>
      <c r="AA26" s="3">
        <f t="shared" si="17"/>
        <v>0</v>
      </c>
    </row>
    <row r="27" spans="1:27" ht="16.5" thickBot="1" x14ac:dyDescent="0.3">
      <c r="A27" s="9">
        <v>44645</v>
      </c>
      <c r="B27" s="40"/>
      <c r="C27" s="146"/>
      <c r="D27" s="40">
        <f t="shared" si="4"/>
        <v>0</v>
      </c>
      <c r="E27" s="147"/>
      <c r="F27" s="40">
        <f t="shared" si="5"/>
        <v>0</v>
      </c>
      <c r="G27" s="148"/>
      <c r="H27" s="40">
        <f t="shared" si="6"/>
        <v>0</v>
      </c>
      <c r="I27" s="149">
        <f t="shared" si="7"/>
        <v>0</v>
      </c>
      <c r="J27" s="147"/>
      <c r="K27" s="40">
        <f t="shared" si="15"/>
        <v>0</v>
      </c>
      <c r="L27" s="150"/>
      <c r="M27" s="40">
        <f t="shared" si="8"/>
        <v>0</v>
      </c>
      <c r="N27" s="147"/>
      <c r="O27" s="40">
        <f t="shared" si="16"/>
        <v>0</v>
      </c>
      <c r="P27" s="150"/>
      <c r="Q27" s="40">
        <f t="shared" si="9"/>
        <v>0</v>
      </c>
      <c r="R27" s="147"/>
      <c r="S27" s="40">
        <f t="shared" si="10"/>
        <v>0</v>
      </c>
      <c r="T27" s="147">
        <v>0</v>
      </c>
      <c r="U27" s="151"/>
      <c r="V27" s="147"/>
      <c r="W27" s="40">
        <f t="shared" si="11"/>
        <v>0</v>
      </c>
      <c r="X27" s="20">
        <f t="shared" si="12"/>
        <v>0</v>
      </c>
      <c r="Y27" s="152">
        <f t="shared" si="13"/>
        <v>0</v>
      </c>
      <c r="Z27" s="3">
        <f t="shared" si="14"/>
        <v>0</v>
      </c>
      <c r="AA27" s="3">
        <f t="shared" si="17"/>
        <v>0</v>
      </c>
    </row>
    <row r="28" spans="1:27" ht="16.5" thickBot="1" x14ac:dyDescent="0.3">
      <c r="A28" s="9">
        <v>44646</v>
      </c>
      <c r="B28" s="40"/>
      <c r="C28" s="146"/>
      <c r="D28" s="40">
        <f t="shared" si="4"/>
        <v>0</v>
      </c>
      <c r="E28" s="147"/>
      <c r="F28" s="40">
        <f t="shared" si="5"/>
        <v>0</v>
      </c>
      <c r="G28" s="148"/>
      <c r="H28" s="40">
        <f t="shared" si="6"/>
        <v>0</v>
      </c>
      <c r="I28" s="149">
        <f t="shared" si="7"/>
        <v>0</v>
      </c>
      <c r="J28" s="147"/>
      <c r="K28" s="40">
        <f t="shared" si="15"/>
        <v>0</v>
      </c>
      <c r="L28" s="150"/>
      <c r="M28" s="40">
        <f t="shared" si="8"/>
        <v>0</v>
      </c>
      <c r="N28" s="147"/>
      <c r="O28" s="40">
        <f t="shared" si="16"/>
        <v>0</v>
      </c>
      <c r="P28" s="150"/>
      <c r="Q28" s="40">
        <f t="shared" si="9"/>
        <v>0</v>
      </c>
      <c r="R28" s="147"/>
      <c r="S28" s="40">
        <f t="shared" si="10"/>
        <v>0</v>
      </c>
      <c r="T28" s="147">
        <v>0</v>
      </c>
      <c r="U28" s="151"/>
      <c r="V28" s="147"/>
      <c r="W28" s="40">
        <f t="shared" si="11"/>
        <v>0</v>
      </c>
      <c r="X28" s="20">
        <f t="shared" si="12"/>
        <v>0</v>
      </c>
      <c r="Y28" s="152">
        <f t="shared" si="13"/>
        <v>0</v>
      </c>
      <c r="Z28" s="3">
        <f t="shared" si="14"/>
        <v>0</v>
      </c>
      <c r="AA28" s="3">
        <f t="shared" si="17"/>
        <v>0</v>
      </c>
    </row>
    <row r="29" spans="1:27" ht="16.5" thickBot="1" x14ac:dyDescent="0.3">
      <c r="A29" s="9">
        <v>44647</v>
      </c>
      <c r="B29" s="40"/>
      <c r="C29" s="146"/>
      <c r="D29" s="40">
        <f t="shared" si="4"/>
        <v>0</v>
      </c>
      <c r="E29" s="147"/>
      <c r="F29" s="40">
        <f t="shared" si="5"/>
        <v>0</v>
      </c>
      <c r="G29" s="148"/>
      <c r="H29" s="40">
        <f t="shared" si="6"/>
        <v>0</v>
      </c>
      <c r="I29" s="149">
        <f t="shared" si="7"/>
        <v>0</v>
      </c>
      <c r="J29" s="147"/>
      <c r="K29" s="40">
        <f t="shared" si="15"/>
        <v>0</v>
      </c>
      <c r="L29" s="150"/>
      <c r="M29" s="40">
        <f t="shared" si="8"/>
        <v>0</v>
      </c>
      <c r="N29" s="147"/>
      <c r="O29" s="40">
        <f t="shared" si="16"/>
        <v>0</v>
      </c>
      <c r="P29" s="150"/>
      <c r="Q29" s="40">
        <f t="shared" si="9"/>
        <v>0</v>
      </c>
      <c r="R29" s="147"/>
      <c r="S29" s="40">
        <f t="shared" si="10"/>
        <v>0</v>
      </c>
      <c r="T29" s="147">
        <v>0</v>
      </c>
      <c r="U29" s="151"/>
      <c r="V29" s="147"/>
      <c r="W29" s="40">
        <f t="shared" si="11"/>
        <v>0</v>
      </c>
      <c r="X29" s="20">
        <f t="shared" si="12"/>
        <v>0</v>
      </c>
      <c r="Y29" s="152">
        <f t="shared" si="13"/>
        <v>0</v>
      </c>
      <c r="Z29" s="3">
        <f t="shared" si="14"/>
        <v>0</v>
      </c>
      <c r="AA29" s="3">
        <f t="shared" si="17"/>
        <v>0</v>
      </c>
    </row>
    <row r="30" spans="1:27" ht="16.5" thickBot="1" x14ac:dyDescent="0.3">
      <c r="A30" s="9">
        <v>44648</v>
      </c>
      <c r="B30" s="40"/>
      <c r="C30" s="146"/>
      <c r="D30" s="40">
        <f t="shared" si="4"/>
        <v>0</v>
      </c>
      <c r="E30" s="147"/>
      <c r="F30" s="40">
        <f t="shared" si="5"/>
        <v>0</v>
      </c>
      <c r="G30" s="148"/>
      <c r="H30" s="40">
        <f t="shared" si="6"/>
        <v>0</v>
      </c>
      <c r="I30" s="149">
        <f t="shared" si="7"/>
        <v>0</v>
      </c>
      <c r="J30" s="147"/>
      <c r="K30" s="40">
        <f t="shared" si="15"/>
        <v>0</v>
      </c>
      <c r="L30" s="150"/>
      <c r="M30" s="40">
        <f t="shared" si="8"/>
        <v>0</v>
      </c>
      <c r="N30" s="147"/>
      <c r="O30" s="40">
        <f t="shared" si="16"/>
        <v>0</v>
      </c>
      <c r="P30" s="150"/>
      <c r="Q30" s="40">
        <f t="shared" si="9"/>
        <v>0</v>
      </c>
      <c r="R30" s="147"/>
      <c r="S30" s="40">
        <f t="shared" si="10"/>
        <v>0</v>
      </c>
      <c r="T30" s="147">
        <v>0</v>
      </c>
      <c r="U30" s="151"/>
      <c r="V30" s="147"/>
      <c r="W30" s="40">
        <f t="shared" si="11"/>
        <v>0</v>
      </c>
      <c r="X30" s="20">
        <f t="shared" si="12"/>
        <v>0</v>
      </c>
      <c r="Y30" s="152">
        <f t="shared" si="13"/>
        <v>0</v>
      </c>
      <c r="Z30" s="3">
        <f t="shared" si="14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8">
        <f>SUM(B3:B30)</f>
        <v>3384</v>
      </c>
      <c r="C31" s="138"/>
      <c r="D31" s="138">
        <f>SUM(D3:D30)</f>
        <v>5600</v>
      </c>
      <c r="E31" s="57">
        <v>0</v>
      </c>
      <c r="F31" s="57">
        <f>SUM(F3:F30)</f>
        <v>162098</v>
      </c>
      <c r="G31" s="57">
        <v>0</v>
      </c>
      <c r="H31" s="57">
        <f>SUM(H3:H30)</f>
        <v>492432</v>
      </c>
      <c r="I31" s="57">
        <f>SUM(I6:I30)</f>
        <v>499495</v>
      </c>
      <c r="J31" s="57">
        <v>0</v>
      </c>
      <c r="K31" s="57">
        <f>SUM(K3:K30)</f>
        <v>110192</v>
      </c>
      <c r="L31" s="57">
        <v>0</v>
      </c>
      <c r="M31" s="57">
        <f>SUM(M3:M30)</f>
        <v>73836</v>
      </c>
      <c r="N31" s="57">
        <v>0</v>
      </c>
      <c r="O31" s="57">
        <f>SUM(O3:O30)</f>
        <v>86324</v>
      </c>
      <c r="P31" s="57">
        <v>0</v>
      </c>
      <c r="Q31" s="57">
        <f>SUM(Q3:Q30)</f>
        <v>33850</v>
      </c>
      <c r="R31" s="57">
        <v>0</v>
      </c>
      <c r="S31" s="57">
        <f>SUM(S3:S30)</f>
        <v>125547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131528</v>
      </c>
      <c r="X31" s="57">
        <f>SUM(X6:X30)</f>
        <v>428841</v>
      </c>
      <c r="Y31" s="57">
        <f>SUM(Y3:Y30)</f>
        <v>93253</v>
      </c>
      <c r="Z31" s="57">
        <f>SUM(Z3:Z30)</f>
        <v>79793.359672000006</v>
      </c>
      <c r="AA31" s="57">
        <f>SUM(AA3:AA30)</f>
        <v>312727.20862239995</v>
      </c>
    </row>
    <row r="34" spans="1:27" x14ac:dyDescent="0.25">
      <c r="D34" s="165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A15" sqref="A15:XFD15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0" si="1">C4+E4+G4+I4</f>
        <v>1822.0300000000002</v>
      </c>
      <c r="K4" s="21">
        <f t="shared" ref="K4:K30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0" si="3">(IF((F5-F4)&lt;0,"0",(F5-F4)))*0.027</f>
        <v>396.9</v>
      </c>
      <c r="H5" s="3">
        <v>777800</v>
      </c>
      <c r="I5" s="45">
        <f t="shared" ref="I5:I30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>
        <v>441099</v>
      </c>
      <c r="C6" s="40">
        <f t="shared" si="0"/>
        <v>860</v>
      </c>
      <c r="D6" s="3">
        <v>4321</v>
      </c>
      <c r="E6" s="40">
        <f t="shared" si="0"/>
        <v>370</v>
      </c>
      <c r="F6" s="3">
        <v>8009800</v>
      </c>
      <c r="G6" s="40">
        <f t="shared" si="3"/>
        <v>334.8</v>
      </c>
      <c r="H6" s="3">
        <v>777903</v>
      </c>
      <c r="I6" s="45">
        <f t="shared" si="4"/>
        <v>2.7810000000000001</v>
      </c>
      <c r="J6" s="20">
        <f t="shared" si="1"/>
        <v>1567.5809999999999</v>
      </c>
      <c r="K6" s="21">
        <f t="shared" si="2"/>
        <v>9186.0246599999991</v>
      </c>
    </row>
    <row r="7" spans="1:14" ht="16.5" thickBot="1" x14ac:dyDescent="0.3">
      <c r="A7" s="9">
        <v>44625</v>
      </c>
      <c r="B7" s="3">
        <v>441188</v>
      </c>
      <c r="C7" s="40">
        <f t="shared" si="0"/>
        <v>890</v>
      </c>
      <c r="D7" s="3">
        <v>4364</v>
      </c>
      <c r="E7" s="40">
        <f t="shared" si="0"/>
        <v>430</v>
      </c>
      <c r="F7" s="3">
        <v>8022100</v>
      </c>
      <c r="G7" s="40">
        <f t="shared" si="3"/>
        <v>332.1</v>
      </c>
      <c r="H7" s="3">
        <v>778040</v>
      </c>
      <c r="I7" s="45">
        <f t="shared" si="4"/>
        <v>3.6989999999999998</v>
      </c>
      <c r="J7" s="20">
        <f t="shared" si="1"/>
        <v>1655.799</v>
      </c>
      <c r="K7" s="21">
        <f t="shared" si="2"/>
        <v>9702.9821400000001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>
        <v>441278</v>
      </c>
      <c r="C8" s="40">
        <f t="shared" si="0"/>
        <v>900</v>
      </c>
      <c r="D8" s="3">
        <v>4412</v>
      </c>
      <c r="E8" s="40">
        <f t="shared" si="0"/>
        <v>480</v>
      </c>
      <c r="F8" s="3">
        <v>8035200</v>
      </c>
      <c r="G8" s="40">
        <f t="shared" si="3"/>
        <v>353.7</v>
      </c>
      <c r="H8" s="3">
        <v>778177</v>
      </c>
      <c r="I8" s="45">
        <f t="shared" si="4"/>
        <v>3.6989999999999998</v>
      </c>
      <c r="J8" s="20">
        <f t="shared" si="1"/>
        <v>1737.3990000000001</v>
      </c>
      <c r="K8" s="21">
        <f t="shared" si="2"/>
        <v>10181.158140000001</v>
      </c>
    </row>
    <row r="9" spans="1:14" ht="16.5" thickBot="1" x14ac:dyDescent="0.3">
      <c r="A9" s="9">
        <v>44627</v>
      </c>
      <c r="B9" s="3">
        <v>441375</v>
      </c>
      <c r="C9" s="40">
        <f t="shared" ref="C9:C30" si="5">(IF((B9-B8)&lt;0,"0",(B9-B8)))*10</f>
        <v>970</v>
      </c>
      <c r="D9" s="3">
        <v>4462</v>
      </c>
      <c r="E9" s="40">
        <f t="shared" si="0"/>
        <v>500</v>
      </c>
      <c r="F9" s="3">
        <v>8047500</v>
      </c>
      <c r="G9" s="40">
        <f t="shared" si="3"/>
        <v>332.1</v>
      </c>
      <c r="H9" s="3">
        <v>778302</v>
      </c>
      <c r="I9" s="45">
        <f t="shared" si="4"/>
        <v>3.375</v>
      </c>
      <c r="J9" s="20">
        <f t="shared" si="1"/>
        <v>1805.4749999999999</v>
      </c>
      <c r="K9" s="21">
        <f t="shared" si="2"/>
        <v>10580.083500000001</v>
      </c>
    </row>
    <row r="10" spans="1:14" ht="16.5" thickBot="1" x14ac:dyDescent="0.3">
      <c r="A10" s="9">
        <v>44628</v>
      </c>
      <c r="B10" s="3">
        <v>441479</v>
      </c>
      <c r="C10" s="40">
        <f>(IF((B10-B9)&lt;0,"0",(B10-B9)))*10</f>
        <v>1040</v>
      </c>
      <c r="D10" s="3">
        <v>4511</v>
      </c>
      <c r="E10" s="40">
        <f t="shared" si="0"/>
        <v>490</v>
      </c>
      <c r="F10" s="3">
        <v>8062000</v>
      </c>
      <c r="G10" s="40">
        <f t="shared" si="3"/>
        <v>391.5</v>
      </c>
      <c r="H10" s="3">
        <v>778444</v>
      </c>
      <c r="I10" s="45">
        <f t="shared" si="4"/>
        <v>3.8340000000000001</v>
      </c>
      <c r="J10" s="20">
        <f t="shared" si="1"/>
        <v>1925.3340000000001</v>
      </c>
      <c r="K10" s="21">
        <f t="shared" si="2"/>
        <v>11282.457240000002</v>
      </c>
    </row>
    <row r="11" spans="1:14" ht="16.5" thickBot="1" x14ac:dyDescent="0.3">
      <c r="A11" s="9">
        <v>44629</v>
      </c>
      <c r="B11" s="3">
        <v>441582</v>
      </c>
      <c r="C11" s="40">
        <f t="shared" si="5"/>
        <v>1030</v>
      </c>
      <c r="D11" s="3">
        <v>4563</v>
      </c>
      <c r="E11" s="40">
        <f t="shared" si="0"/>
        <v>520</v>
      </c>
      <c r="F11" s="3">
        <v>8075700</v>
      </c>
      <c r="G11" s="40">
        <f t="shared" si="3"/>
        <v>369.9</v>
      </c>
      <c r="H11" s="3">
        <v>778588</v>
      </c>
      <c r="I11" s="45">
        <f t="shared" si="4"/>
        <v>3.8879999999999999</v>
      </c>
      <c r="J11" s="20">
        <f t="shared" si="1"/>
        <v>1923.788</v>
      </c>
      <c r="K11" s="21">
        <f t="shared" si="2"/>
        <v>11273.39768</v>
      </c>
      <c r="N11" t="s">
        <v>12</v>
      </c>
    </row>
    <row r="12" spans="1:14" ht="16.5" thickBot="1" x14ac:dyDescent="0.3">
      <c r="A12" s="9">
        <v>44630</v>
      </c>
      <c r="B12" s="3">
        <v>441754</v>
      </c>
      <c r="C12" s="40">
        <f t="shared" si="5"/>
        <v>1720</v>
      </c>
      <c r="D12" s="3">
        <v>4686</v>
      </c>
      <c r="E12" s="40">
        <f t="shared" si="0"/>
        <v>1230</v>
      </c>
      <c r="F12" s="3">
        <v>8089100</v>
      </c>
      <c r="G12" s="40">
        <f t="shared" si="3"/>
        <v>361.8</v>
      </c>
      <c r="H12" s="3">
        <v>778744</v>
      </c>
      <c r="I12" s="45">
        <f t="shared" si="4"/>
        <v>4.2119999999999997</v>
      </c>
      <c r="J12" s="20">
        <f t="shared" si="1"/>
        <v>3316.0120000000002</v>
      </c>
      <c r="K12" s="21">
        <f t="shared" si="2"/>
        <v>19431.830320000001</v>
      </c>
    </row>
    <row r="13" spans="1:14" ht="16.5" thickBot="1" x14ac:dyDescent="0.3">
      <c r="A13" s="9">
        <v>44631</v>
      </c>
      <c r="B13" s="3">
        <v>441856</v>
      </c>
      <c r="C13" s="40">
        <f t="shared" si="5"/>
        <v>1020</v>
      </c>
      <c r="D13" s="3">
        <v>4737</v>
      </c>
      <c r="E13" s="40">
        <f t="shared" si="0"/>
        <v>510</v>
      </c>
      <c r="F13" s="3">
        <v>8103600</v>
      </c>
      <c r="G13" s="40">
        <f t="shared" si="3"/>
        <v>391.5</v>
      </c>
      <c r="H13" s="3">
        <v>778920</v>
      </c>
      <c r="I13" s="45">
        <f t="shared" si="4"/>
        <v>4.7519999999999998</v>
      </c>
      <c r="J13" s="20">
        <f t="shared" si="1"/>
        <v>1926.252</v>
      </c>
      <c r="K13" s="21">
        <f t="shared" si="2"/>
        <v>11287.836720000001</v>
      </c>
    </row>
    <row r="14" spans="1:14" ht="16.5" thickBot="1" x14ac:dyDescent="0.3">
      <c r="A14" s="9">
        <v>44632</v>
      </c>
      <c r="B14" s="3">
        <v>441961</v>
      </c>
      <c r="C14" s="40">
        <f t="shared" si="5"/>
        <v>1050</v>
      </c>
      <c r="D14" s="3">
        <v>4787</v>
      </c>
      <c r="E14" s="40">
        <f t="shared" si="0"/>
        <v>500</v>
      </c>
      <c r="F14" s="3">
        <v>8117400</v>
      </c>
      <c r="G14" s="40">
        <f t="shared" si="3"/>
        <v>372.6</v>
      </c>
      <c r="H14" s="3">
        <v>779101</v>
      </c>
      <c r="I14" s="45">
        <f t="shared" si="4"/>
        <v>4.8869999999999996</v>
      </c>
      <c r="J14" s="20">
        <f t="shared" si="1"/>
        <v>1927.4869999999999</v>
      </c>
      <c r="K14" s="21">
        <f t="shared" si="2"/>
        <v>11295.07382</v>
      </c>
    </row>
    <row r="15" spans="1:14" ht="16.5" thickBot="1" x14ac:dyDescent="0.3">
      <c r="A15" s="9">
        <v>44633</v>
      </c>
      <c r="B15" s="3">
        <v>442066</v>
      </c>
      <c r="C15" s="40">
        <f t="shared" si="5"/>
        <v>1050</v>
      </c>
      <c r="D15" s="3">
        <v>4835</v>
      </c>
      <c r="E15" s="40">
        <f t="shared" si="0"/>
        <v>480</v>
      </c>
      <c r="F15" s="3">
        <v>8182000</v>
      </c>
      <c r="G15" s="40">
        <f t="shared" si="3"/>
        <v>1744.2</v>
      </c>
      <c r="H15" s="3">
        <v>779288</v>
      </c>
      <c r="I15" s="45">
        <f t="shared" si="4"/>
        <v>5.0490000000000004</v>
      </c>
      <c r="J15" s="20">
        <f t="shared" si="1"/>
        <v>3279.2489999999998</v>
      </c>
      <c r="K15" s="21">
        <f t="shared" si="2"/>
        <v>19216.399140000001</v>
      </c>
    </row>
    <row r="16" spans="1:14" ht="16.5" thickBot="1" x14ac:dyDescent="0.3">
      <c r="A16" s="9">
        <v>44634</v>
      </c>
      <c r="B16" s="3"/>
      <c r="C16" s="40">
        <f t="shared" si="5"/>
        <v>0</v>
      </c>
      <c r="D16" s="3"/>
      <c r="E16" s="40">
        <f t="shared" si="0"/>
        <v>0</v>
      </c>
      <c r="F16" s="3"/>
      <c r="G16" s="40">
        <f t="shared" si="3"/>
        <v>0</v>
      </c>
      <c r="H16" s="3"/>
      <c r="I16" s="45">
        <f t="shared" si="4"/>
        <v>0</v>
      </c>
      <c r="J16" s="20">
        <f t="shared" si="1"/>
        <v>0</v>
      </c>
      <c r="K16" s="21">
        <f t="shared" si="2"/>
        <v>0</v>
      </c>
    </row>
    <row r="17" spans="1:25" ht="16.5" thickBot="1" x14ac:dyDescent="0.3">
      <c r="A17" s="9">
        <v>44635</v>
      </c>
      <c r="B17" s="3"/>
      <c r="C17" s="40">
        <f t="shared" si="5"/>
        <v>0</v>
      </c>
      <c r="D17" s="3"/>
      <c r="E17" s="40">
        <f t="shared" si="0"/>
        <v>0</v>
      </c>
      <c r="F17" s="3"/>
      <c r="G17" s="40">
        <f t="shared" si="3"/>
        <v>0</v>
      </c>
      <c r="H17" s="3"/>
      <c r="I17" s="45">
        <f t="shared" si="4"/>
        <v>0</v>
      </c>
      <c r="J17" s="20">
        <f t="shared" si="1"/>
        <v>0</v>
      </c>
      <c r="K17" s="21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/>
      <c r="C18" s="40">
        <f t="shared" si="5"/>
        <v>0</v>
      </c>
      <c r="D18" s="3"/>
      <c r="E18" s="40">
        <f t="shared" si="0"/>
        <v>0</v>
      </c>
      <c r="F18" s="3"/>
      <c r="G18" s="40">
        <f t="shared" si="3"/>
        <v>0</v>
      </c>
      <c r="H18" s="3"/>
      <c r="I18" s="45">
        <f t="shared" si="4"/>
        <v>0</v>
      </c>
      <c r="J18" s="20">
        <f t="shared" si="1"/>
        <v>0</v>
      </c>
      <c r="K18" s="21">
        <f t="shared" si="2"/>
        <v>0</v>
      </c>
      <c r="Q18" t="s">
        <v>43</v>
      </c>
    </row>
    <row r="19" spans="1:25" ht="16.5" thickBot="1" x14ac:dyDescent="0.3">
      <c r="A19" s="9">
        <v>44637</v>
      </c>
      <c r="B19" s="3"/>
      <c r="C19" s="40">
        <f t="shared" si="5"/>
        <v>0</v>
      </c>
      <c r="D19" s="3"/>
      <c r="E19" s="40">
        <f t="shared" ref="E19:E30" si="6">(IF((D19-D18)&lt;0,"0",(D19-D18)))*10</f>
        <v>0</v>
      </c>
      <c r="F19" s="3"/>
      <c r="G19" s="40">
        <f t="shared" si="3"/>
        <v>0</v>
      </c>
      <c r="H19" s="3"/>
      <c r="I19" s="45">
        <f t="shared" si="4"/>
        <v>0</v>
      </c>
      <c r="J19" s="20">
        <f t="shared" si="1"/>
        <v>0</v>
      </c>
      <c r="K19" s="21">
        <f t="shared" si="2"/>
        <v>0</v>
      </c>
      <c r="Q19" t="s">
        <v>12</v>
      </c>
    </row>
    <row r="20" spans="1:25" ht="16.5" thickBot="1" x14ac:dyDescent="0.3">
      <c r="A20" s="9">
        <v>44638</v>
      </c>
      <c r="B20" s="3"/>
      <c r="C20" s="40">
        <f t="shared" si="5"/>
        <v>0</v>
      </c>
      <c r="D20" s="3"/>
      <c r="E20" s="40">
        <f t="shared" si="6"/>
        <v>0</v>
      </c>
      <c r="F20" s="3"/>
      <c r="G20" s="40">
        <f t="shared" si="3"/>
        <v>0</v>
      </c>
      <c r="H20" s="3"/>
      <c r="I20" s="45">
        <f t="shared" si="4"/>
        <v>0</v>
      </c>
      <c r="J20" s="20">
        <f t="shared" si="1"/>
        <v>0</v>
      </c>
      <c r="K20" s="21">
        <f t="shared" si="2"/>
        <v>0</v>
      </c>
    </row>
    <row r="21" spans="1:25" ht="16.5" thickBot="1" x14ac:dyDescent="0.3">
      <c r="A21" s="9">
        <v>44639</v>
      </c>
      <c r="B21" s="3"/>
      <c r="C21" s="40">
        <f t="shared" si="5"/>
        <v>0</v>
      </c>
      <c r="D21" s="3"/>
      <c r="E21" s="40">
        <f t="shared" si="6"/>
        <v>0</v>
      </c>
      <c r="F21" s="3"/>
      <c r="G21" s="40">
        <f t="shared" si="3"/>
        <v>0</v>
      </c>
      <c r="H21" s="3"/>
      <c r="I21" s="45">
        <f t="shared" si="4"/>
        <v>0</v>
      </c>
      <c r="J21" s="20">
        <f t="shared" si="1"/>
        <v>0</v>
      </c>
      <c r="K21" s="21">
        <f t="shared" si="2"/>
        <v>0</v>
      </c>
    </row>
    <row r="22" spans="1:25" ht="16.5" thickBot="1" x14ac:dyDescent="0.3">
      <c r="A22" s="9">
        <v>44640</v>
      </c>
      <c r="B22" s="3"/>
      <c r="C22" s="40">
        <f t="shared" si="5"/>
        <v>0</v>
      </c>
      <c r="D22" s="3"/>
      <c r="E22" s="40">
        <f t="shared" si="6"/>
        <v>0</v>
      </c>
      <c r="F22" s="3"/>
      <c r="G22" s="40">
        <f t="shared" si="3"/>
        <v>0</v>
      </c>
      <c r="H22" s="3"/>
      <c r="I22" s="45">
        <f t="shared" si="4"/>
        <v>0</v>
      </c>
      <c r="J22" s="20">
        <f t="shared" si="1"/>
        <v>0</v>
      </c>
      <c r="K22" s="21">
        <f t="shared" si="2"/>
        <v>0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/>
      <c r="C23" s="40">
        <f t="shared" si="5"/>
        <v>0</v>
      </c>
      <c r="D23" s="3"/>
      <c r="E23" s="40">
        <f t="shared" si="6"/>
        <v>0</v>
      </c>
      <c r="F23" s="3"/>
      <c r="G23" s="40">
        <f t="shared" si="3"/>
        <v>0</v>
      </c>
      <c r="H23" s="3"/>
      <c r="I23" s="45">
        <f t="shared" si="4"/>
        <v>0</v>
      </c>
      <c r="J23" s="20">
        <f t="shared" si="1"/>
        <v>0</v>
      </c>
      <c r="K23" s="21">
        <f t="shared" si="2"/>
        <v>0</v>
      </c>
      <c r="Q23" t="s">
        <v>12</v>
      </c>
    </row>
    <row r="24" spans="1:25" ht="16.5" thickBot="1" x14ac:dyDescent="0.3">
      <c r="A24" s="9">
        <v>44642</v>
      </c>
      <c r="B24" s="3"/>
      <c r="C24" s="40">
        <f t="shared" si="5"/>
        <v>0</v>
      </c>
      <c r="D24" s="3"/>
      <c r="E24" s="40">
        <f t="shared" si="6"/>
        <v>0</v>
      </c>
      <c r="F24" s="3"/>
      <c r="G24" s="40">
        <f t="shared" si="3"/>
        <v>0</v>
      </c>
      <c r="H24" s="3"/>
      <c r="I24" s="45">
        <f t="shared" si="4"/>
        <v>0</v>
      </c>
      <c r="J24" s="20">
        <f t="shared" si="1"/>
        <v>0</v>
      </c>
      <c r="K24" s="21">
        <f t="shared" si="2"/>
        <v>0</v>
      </c>
    </row>
    <row r="25" spans="1:25" ht="17.25" customHeight="1" thickBot="1" x14ac:dyDescent="0.4">
      <c r="A25" s="9">
        <v>44643</v>
      </c>
      <c r="B25" s="3"/>
      <c r="C25" s="40">
        <f t="shared" si="5"/>
        <v>0</v>
      </c>
      <c r="D25" s="3"/>
      <c r="E25" s="40">
        <f t="shared" si="6"/>
        <v>0</v>
      </c>
      <c r="F25" s="3"/>
      <c r="G25" s="40">
        <f t="shared" si="3"/>
        <v>0</v>
      </c>
      <c r="H25" s="3"/>
      <c r="I25" s="45">
        <f t="shared" si="4"/>
        <v>0</v>
      </c>
      <c r="J25" s="20">
        <f t="shared" si="1"/>
        <v>0</v>
      </c>
      <c r="K25" s="21">
        <f t="shared" si="2"/>
        <v>0</v>
      </c>
      <c r="Y25" s="56"/>
    </row>
    <row r="26" spans="1:25" ht="16.5" thickBot="1" x14ac:dyDescent="0.3">
      <c r="A26" s="9">
        <v>44644</v>
      </c>
      <c r="B26" s="3"/>
      <c r="C26" s="40">
        <f t="shared" si="5"/>
        <v>0</v>
      </c>
      <c r="D26" s="3"/>
      <c r="E26" s="40">
        <f t="shared" si="6"/>
        <v>0</v>
      </c>
      <c r="F26" s="3"/>
      <c r="G26" s="40">
        <f t="shared" si="3"/>
        <v>0</v>
      </c>
      <c r="H26" s="3"/>
      <c r="I26" s="45">
        <f t="shared" si="4"/>
        <v>0</v>
      </c>
      <c r="J26" s="20">
        <f t="shared" si="1"/>
        <v>0</v>
      </c>
      <c r="K26" s="21">
        <f t="shared" si="2"/>
        <v>0</v>
      </c>
      <c r="L26" t="s">
        <v>12</v>
      </c>
    </row>
    <row r="27" spans="1:25" ht="16.5" thickBot="1" x14ac:dyDescent="0.3">
      <c r="A27" s="9">
        <v>44645</v>
      </c>
      <c r="B27" s="3"/>
      <c r="C27" s="40">
        <f t="shared" si="5"/>
        <v>0</v>
      </c>
      <c r="D27" s="3"/>
      <c r="E27" s="40">
        <f t="shared" si="6"/>
        <v>0</v>
      </c>
      <c r="F27" s="3"/>
      <c r="G27" s="40">
        <f t="shared" si="3"/>
        <v>0</v>
      </c>
      <c r="H27" s="3"/>
      <c r="I27" s="45">
        <f t="shared" si="4"/>
        <v>0</v>
      </c>
      <c r="J27" s="20">
        <f t="shared" si="1"/>
        <v>0</v>
      </c>
      <c r="K27" s="21">
        <f t="shared" si="2"/>
        <v>0</v>
      </c>
      <c r="O27" t="s">
        <v>12</v>
      </c>
    </row>
    <row r="28" spans="1:25" ht="16.5" thickBot="1" x14ac:dyDescent="0.3">
      <c r="A28" s="9">
        <v>44646</v>
      </c>
      <c r="B28" s="3"/>
      <c r="C28" s="40">
        <f t="shared" si="5"/>
        <v>0</v>
      </c>
      <c r="D28" s="3"/>
      <c r="E28" s="40">
        <f t="shared" si="6"/>
        <v>0</v>
      </c>
      <c r="F28" s="3"/>
      <c r="G28" s="40">
        <f t="shared" si="3"/>
        <v>0</v>
      </c>
      <c r="H28" s="3"/>
      <c r="I28" s="45">
        <f t="shared" si="4"/>
        <v>0</v>
      </c>
      <c r="J28" s="20">
        <f t="shared" si="1"/>
        <v>0</v>
      </c>
      <c r="K28" s="21">
        <f t="shared" si="2"/>
        <v>0</v>
      </c>
    </row>
    <row r="29" spans="1:25" ht="16.5" thickBot="1" x14ac:dyDescent="0.3">
      <c r="A29" s="9">
        <v>44647</v>
      </c>
      <c r="B29" s="3"/>
      <c r="C29" s="40">
        <f t="shared" si="5"/>
        <v>0</v>
      </c>
      <c r="D29" s="3"/>
      <c r="E29" s="40">
        <f t="shared" si="6"/>
        <v>0</v>
      </c>
      <c r="F29" s="3"/>
      <c r="G29" s="40">
        <f t="shared" si="3"/>
        <v>0</v>
      </c>
      <c r="H29" s="3"/>
      <c r="I29" s="45">
        <f t="shared" si="4"/>
        <v>0</v>
      </c>
      <c r="J29" s="20">
        <f t="shared" si="1"/>
        <v>0</v>
      </c>
      <c r="K29" s="21">
        <f t="shared" si="2"/>
        <v>0</v>
      </c>
    </row>
    <row r="30" spans="1:25" ht="16.5" thickBot="1" x14ac:dyDescent="0.3">
      <c r="A30" s="9">
        <v>44648</v>
      </c>
      <c r="B30" s="3"/>
      <c r="C30" s="40">
        <f t="shared" si="5"/>
        <v>0</v>
      </c>
      <c r="D30" s="3"/>
      <c r="E30" s="40">
        <f t="shared" si="6"/>
        <v>0</v>
      </c>
      <c r="F30" s="3"/>
      <c r="G30" s="40">
        <f t="shared" si="3"/>
        <v>0</v>
      </c>
      <c r="H30" s="3"/>
      <c r="I30" s="45">
        <f t="shared" si="4"/>
        <v>0</v>
      </c>
      <c r="J30" s="20">
        <f t="shared" si="1"/>
        <v>0</v>
      </c>
      <c r="K30" s="21">
        <f t="shared" si="2"/>
        <v>0</v>
      </c>
    </row>
    <row r="31" spans="1:25" ht="16.5" thickBot="1" x14ac:dyDescent="0.3">
      <c r="A31" s="57" t="s">
        <v>23</v>
      </c>
      <c r="B31" s="3"/>
      <c r="C31" s="57">
        <f>SUM(C4:C30)</f>
        <v>12390</v>
      </c>
      <c r="D31" s="3"/>
      <c r="E31" s="57">
        <f>SUM(E4:E30)</f>
        <v>6520</v>
      </c>
      <c r="F31" s="3"/>
      <c r="G31" s="57">
        <f>SUM(G4:G30)</f>
        <v>5778</v>
      </c>
      <c r="H31" s="3"/>
      <c r="I31" s="57">
        <f>SUM(I4:I30)</f>
        <v>50.13900000000001</v>
      </c>
      <c r="J31" s="57">
        <f>SUM(J4:J30)</f>
        <v>24738.139000000003</v>
      </c>
      <c r="K31" s="57">
        <f>SUM(K4:K30)</f>
        <v>144965.49454000001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A15" sqref="A15:XFD15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0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>
        <v>18071153</v>
      </c>
      <c r="C6" s="46">
        <f>IF((B6-B5)&lt;0,"0",(B6-B5))</f>
        <v>3199</v>
      </c>
    </row>
    <row r="7" spans="1:9" ht="24" thickBot="1" x14ac:dyDescent="0.4">
      <c r="A7" s="9">
        <v>44625</v>
      </c>
      <c r="B7" s="134">
        <v>18071798</v>
      </c>
      <c r="C7" s="46">
        <f>IF((B7-B6)&lt;0,"0",(B7-B6))</f>
        <v>645</v>
      </c>
    </row>
    <row r="8" spans="1:9" ht="24" thickBot="1" x14ac:dyDescent="0.4">
      <c r="A8" s="9">
        <v>44626</v>
      </c>
      <c r="B8" s="134">
        <v>18074851</v>
      </c>
      <c r="C8" s="46">
        <f>IF((B8-B7)&lt;0,"0",(B8-B7))</f>
        <v>3053</v>
      </c>
    </row>
    <row r="9" spans="1:9" ht="24" thickBot="1" x14ac:dyDescent="0.4">
      <c r="A9" s="9">
        <v>44627</v>
      </c>
      <c r="B9" s="134">
        <v>18077451</v>
      </c>
      <c r="C9" s="46">
        <f>IF((B9-B8)&lt;0,"0",(B9-B8))</f>
        <v>2600</v>
      </c>
    </row>
    <row r="10" spans="1:9" ht="24" thickBot="1" x14ac:dyDescent="0.4">
      <c r="A10" s="9">
        <v>44628</v>
      </c>
      <c r="B10" s="134">
        <v>18079846</v>
      </c>
      <c r="C10" s="46">
        <f t="shared" si="0"/>
        <v>2395</v>
      </c>
    </row>
    <row r="11" spans="1:9" ht="24" thickBot="1" x14ac:dyDescent="0.4">
      <c r="A11" s="9">
        <v>44629</v>
      </c>
      <c r="B11" s="134">
        <v>18083209</v>
      </c>
      <c r="C11" s="46">
        <f>IF((B11-B10)&lt;0,"0",(B11-B10))</f>
        <v>3363</v>
      </c>
    </row>
    <row r="12" spans="1:9" ht="24" thickBot="1" x14ac:dyDescent="0.4">
      <c r="A12" s="9">
        <v>44630</v>
      </c>
      <c r="B12" s="134">
        <v>18085941</v>
      </c>
      <c r="C12" s="46">
        <f t="shared" si="0"/>
        <v>2732</v>
      </c>
    </row>
    <row r="13" spans="1:9" ht="24" thickBot="1" x14ac:dyDescent="0.4">
      <c r="A13" s="9">
        <v>44631</v>
      </c>
      <c r="B13" s="134">
        <v>18088845</v>
      </c>
      <c r="C13" s="46">
        <f t="shared" si="0"/>
        <v>2904</v>
      </c>
    </row>
    <row r="14" spans="1:9" ht="24" thickBot="1" x14ac:dyDescent="0.4">
      <c r="A14" s="9">
        <v>44632</v>
      </c>
      <c r="B14" s="134">
        <v>18091953</v>
      </c>
      <c r="C14" s="46">
        <f t="shared" si="0"/>
        <v>3108</v>
      </c>
    </row>
    <row r="15" spans="1:9" ht="24" thickBot="1" x14ac:dyDescent="0.4">
      <c r="A15" s="9">
        <v>44633</v>
      </c>
      <c r="B15" s="134">
        <v>18094921</v>
      </c>
      <c r="C15" s="46">
        <f t="shared" si="0"/>
        <v>2968</v>
      </c>
      <c r="I15" t="s">
        <v>12</v>
      </c>
    </row>
    <row r="16" spans="1:9" ht="26.25" customHeight="1" thickBot="1" x14ac:dyDescent="0.4">
      <c r="A16" s="9">
        <v>44634</v>
      </c>
      <c r="B16" s="134"/>
      <c r="C16" s="46" t="str">
        <f t="shared" si="0"/>
        <v>0</v>
      </c>
      <c r="F16" s="157"/>
    </row>
    <row r="17" spans="1:9" ht="25.5" customHeight="1" thickBot="1" x14ac:dyDescent="0.4">
      <c r="A17" s="9">
        <v>44635</v>
      </c>
      <c r="B17" s="134"/>
      <c r="C17" s="46">
        <f t="shared" si="0"/>
        <v>0</v>
      </c>
    </row>
    <row r="18" spans="1:9" ht="24" thickBot="1" x14ac:dyDescent="0.4">
      <c r="A18" s="9">
        <v>44636</v>
      </c>
      <c r="B18" s="134"/>
      <c r="C18" s="46">
        <f t="shared" si="0"/>
        <v>0</v>
      </c>
      <c r="I18" s="36"/>
    </row>
    <row r="19" spans="1:9" ht="24" thickBot="1" x14ac:dyDescent="0.4">
      <c r="A19" s="9">
        <v>44637</v>
      </c>
      <c r="B19" s="134"/>
      <c r="C19" s="46">
        <f t="shared" si="0"/>
        <v>0</v>
      </c>
    </row>
    <row r="20" spans="1:9" ht="24" thickBot="1" x14ac:dyDescent="0.4">
      <c r="A20" s="9">
        <v>44638</v>
      </c>
      <c r="B20" s="134"/>
      <c r="C20" s="46">
        <f t="shared" si="0"/>
        <v>0</v>
      </c>
    </row>
    <row r="21" spans="1:9" ht="24" thickBot="1" x14ac:dyDescent="0.4">
      <c r="A21" s="9">
        <v>44639</v>
      </c>
      <c r="B21" s="134"/>
      <c r="C21" s="46">
        <f t="shared" si="0"/>
        <v>0</v>
      </c>
    </row>
    <row r="22" spans="1:9" ht="24" thickBot="1" x14ac:dyDescent="0.4">
      <c r="A22" s="9">
        <v>44640</v>
      </c>
      <c r="B22" s="134"/>
      <c r="C22" s="46">
        <f t="shared" si="0"/>
        <v>0</v>
      </c>
    </row>
    <row r="23" spans="1:9" ht="24" thickBot="1" x14ac:dyDescent="0.4">
      <c r="A23" s="9">
        <v>44641</v>
      </c>
      <c r="B23" s="134"/>
      <c r="C23" s="46">
        <f t="shared" si="0"/>
        <v>0</v>
      </c>
      <c r="F23" t="s">
        <v>12</v>
      </c>
    </row>
    <row r="24" spans="1:9" ht="24" thickBot="1" x14ac:dyDescent="0.4">
      <c r="A24" s="9">
        <v>44642</v>
      </c>
      <c r="B24" s="134"/>
      <c r="C24" s="46">
        <f t="shared" si="0"/>
        <v>0</v>
      </c>
      <c r="E24" t="s">
        <v>12</v>
      </c>
    </row>
    <row r="25" spans="1:9" ht="24" thickBot="1" x14ac:dyDescent="0.4">
      <c r="A25" s="9">
        <v>44643</v>
      </c>
      <c r="B25" s="134"/>
      <c r="C25" s="46">
        <f t="shared" si="0"/>
        <v>0</v>
      </c>
    </row>
    <row r="26" spans="1:9" ht="24" thickBot="1" x14ac:dyDescent="0.4">
      <c r="A26" s="9">
        <v>44644</v>
      </c>
      <c r="B26" s="134"/>
      <c r="C26" s="46">
        <f t="shared" si="0"/>
        <v>0</v>
      </c>
    </row>
    <row r="27" spans="1:9" ht="24" thickBot="1" x14ac:dyDescent="0.4">
      <c r="A27" s="9">
        <v>44645</v>
      </c>
      <c r="B27" s="134"/>
      <c r="C27" s="46">
        <f t="shared" si="0"/>
        <v>0</v>
      </c>
    </row>
    <row r="28" spans="1:9" ht="24" thickBot="1" x14ac:dyDescent="0.4">
      <c r="A28" s="9">
        <v>44646</v>
      </c>
      <c r="B28" s="134"/>
      <c r="C28" s="46">
        <f t="shared" si="0"/>
        <v>0</v>
      </c>
      <c r="I28" t="s">
        <v>12</v>
      </c>
    </row>
    <row r="29" spans="1:9" ht="24" thickBot="1" x14ac:dyDescent="0.4">
      <c r="A29" s="9">
        <v>44647</v>
      </c>
      <c r="B29" s="134"/>
      <c r="C29" s="46">
        <f t="shared" si="0"/>
        <v>0</v>
      </c>
    </row>
    <row r="30" spans="1:9" ht="24" thickBot="1" x14ac:dyDescent="0.4">
      <c r="A30" s="9">
        <v>44648</v>
      </c>
      <c r="B30" s="134"/>
      <c r="C30" s="46">
        <f t="shared" si="0"/>
        <v>0</v>
      </c>
    </row>
    <row r="31" spans="1:9" ht="24" thickBot="1" x14ac:dyDescent="0.4">
      <c r="A31" s="167" t="s">
        <v>138</v>
      </c>
      <c r="B31" s="168"/>
      <c r="C31" s="136">
        <f>SUM(C4:C30)</f>
        <v>32781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zoomScaleNormal="100" workbookViewId="0">
      <pane ySplit="1" topLeftCell="A2" activePane="bottomLeft" state="frozen"/>
      <selection pane="bottomLeft" activeCell="A15" sqref="A15:XFD15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0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0" si="21">IF((B4-B3)&lt;0,"0",(B4-B3))</f>
        <v>5.4380000000019209</v>
      </c>
      <c r="D4" s="29">
        <f t="shared" ref="D4:D30" si="22">C4*1.9*1000</f>
        <v>10332.20000000365</v>
      </c>
      <c r="E4" s="1">
        <v>4118.2889999999998</v>
      </c>
      <c r="F4" s="45">
        <f t="shared" ref="F4:F30" si="23">IF((E4-E3)&lt;0,"0",(E4-E3))</f>
        <v>1.7489999999997963</v>
      </c>
      <c r="G4" s="29">
        <f t="shared" ref="G4:G30" si="24">F4*1.9*1000</f>
        <v>3323.0999999996129</v>
      </c>
      <c r="H4" s="1">
        <v>4831</v>
      </c>
      <c r="I4" s="45">
        <f t="shared" ref="I4:I30" si="25">IF((H4-H3)&lt;0,"0",(H4-H3))</f>
        <v>7</v>
      </c>
      <c r="J4" s="29">
        <f t="shared" ref="J4:J30" si="26">I4*1.9*1000</f>
        <v>13299.999999999998</v>
      </c>
      <c r="K4" s="7">
        <v>13889.7</v>
      </c>
      <c r="L4" s="45">
        <f t="shared" ref="L4:L30" si="27">IF((K4-K3)&lt;0,"0",(K4-K3))</f>
        <v>0</v>
      </c>
      <c r="M4" s="29">
        <f t="shared" ref="M4:M30" si="28">L4*1.9*1000</f>
        <v>0</v>
      </c>
      <c r="N4" s="7">
        <v>3435.0219999999999</v>
      </c>
      <c r="O4" s="45">
        <f t="shared" ref="O4:O30" si="29">IF((N4-N3)&lt;0,"0",(N4-N3))</f>
        <v>1.6630000000000109</v>
      </c>
      <c r="P4" s="29">
        <f t="shared" ref="P4:P30" si="30">O4*1.9*1000</f>
        <v>3159.7000000000203</v>
      </c>
      <c r="Q4" s="7">
        <v>5291.51</v>
      </c>
      <c r="R4" s="45">
        <f t="shared" ref="R4:R30" si="31">IF((Q4-Q3)&lt;0,"0",(Q4-Q3))</f>
        <v>0</v>
      </c>
      <c r="S4" s="29">
        <f t="shared" ref="S4:S30" si="32">R4*1.9*1000</f>
        <v>0</v>
      </c>
      <c r="T4" s="8">
        <f>C4+F4+I4+L4+O4+R4</f>
        <v>15.850000000001728</v>
      </c>
      <c r="U4" s="31">
        <f t="shared" ref="U4:U30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>
        <v>22929.728999999999</v>
      </c>
      <c r="C6" s="45">
        <f t="shared" si="21"/>
        <v>2.0030000000006112</v>
      </c>
      <c r="D6" s="29">
        <f t="shared" si="22"/>
        <v>3805.7000000011612</v>
      </c>
      <c r="E6" s="1">
        <v>4119.6040000000003</v>
      </c>
      <c r="F6" s="45">
        <f t="shared" si="23"/>
        <v>0.35300000000006548</v>
      </c>
      <c r="G6" s="29">
        <f t="shared" si="24"/>
        <v>670.70000000012442</v>
      </c>
      <c r="H6" s="1">
        <v>4841</v>
      </c>
      <c r="I6" s="45">
        <f t="shared" si="25"/>
        <v>5</v>
      </c>
      <c r="J6" s="29">
        <f t="shared" si="26"/>
        <v>9500</v>
      </c>
      <c r="K6" s="7">
        <v>13889.7</v>
      </c>
      <c r="L6" s="45">
        <f t="shared" si="27"/>
        <v>0</v>
      </c>
      <c r="M6" s="29">
        <f t="shared" si="28"/>
        <v>0</v>
      </c>
      <c r="N6" s="7">
        <v>3437.596</v>
      </c>
      <c r="O6" s="45">
        <f t="shared" si="29"/>
        <v>1.2409999999999854</v>
      </c>
      <c r="P6" s="29">
        <f t="shared" si="30"/>
        <v>2357.8999999999724</v>
      </c>
      <c r="Q6" s="7">
        <v>5291.51</v>
      </c>
      <c r="R6" s="45">
        <f t="shared" si="31"/>
        <v>0</v>
      </c>
      <c r="S6" s="29">
        <f t="shared" si="32"/>
        <v>0</v>
      </c>
      <c r="T6" s="8">
        <f t="shared" ref="T6:T30" si="34">C6+F6+I6+L6+O6+R6</f>
        <v>8.5970000000006621</v>
      </c>
      <c r="U6" s="31">
        <f t="shared" si="33"/>
        <v>16334.300000001256</v>
      </c>
      <c r="W6" s="158">
        <v>44624</v>
      </c>
      <c r="X6" s="159">
        <v>165232</v>
      </c>
      <c r="Y6" s="164">
        <f t="shared" si="20"/>
        <v>50</v>
      </c>
      <c r="Z6" s="159">
        <v>8569</v>
      </c>
      <c r="AA6" s="164">
        <f t="shared" si="20"/>
        <v>7</v>
      </c>
      <c r="AB6" s="159">
        <v>22.5</v>
      </c>
      <c r="AC6" s="164">
        <f t="shared" si="20"/>
        <v>1</v>
      </c>
      <c r="AD6" s="159">
        <v>269</v>
      </c>
      <c r="AE6" s="164">
        <f t="shared" si="20"/>
        <v>3</v>
      </c>
      <c r="AF6" s="159">
        <v>5832</v>
      </c>
      <c r="AG6" s="164">
        <f t="shared" si="20"/>
        <v>14</v>
      </c>
    </row>
    <row r="7" spans="1:33" ht="16.5" thickBot="1" x14ac:dyDescent="0.25">
      <c r="A7" s="9">
        <v>44625</v>
      </c>
      <c r="B7" s="161">
        <v>22930.093000000001</v>
      </c>
      <c r="C7" s="45">
        <f t="shared" si="21"/>
        <v>0.36400000000139698</v>
      </c>
      <c r="D7" s="29">
        <f t="shared" si="22"/>
        <v>691.60000000265416</v>
      </c>
      <c r="E7" s="1">
        <v>4120.0209999999997</v>
      </c>
      <c r="F7" s="45">
        <f t="shared" si="23"/>
        <v>0.41699999999946158</v>
      </c>
      <c r="G7" s="29">
        <f t="shared" si="24"/>
        <v>792.29999999897689</v>
      </c>
      <c r="H7" s="1">
        <v>4845</v>
      </c>
      <c r="I7" s="45">
        <f t="shared" si="25"/>
        <v>4</v>
      </c>
      <c r="J7" s="29">
        <f t="shared" si="26"/>
        <v>7600</v>
      </c>
      <c r="K7" s="7">
        <v>13889.7</v>
      </c>
      <c r="L7" s="45">
        <f t="shared" si="27"/>
        <v>0</v>
      </c>
      <c r="M7" s="29">
        <f t="shared" si="28"/>
        <v>0</v>
      </c>
      <c r="N7" s="7">
        <v>3438.28</v>
      </c>
      <c r="O7" s="45">
        <f t="shared" si="29"/>
        <v>0.68400000000019645</v>
      </c>
      <c r="P7" s="29">
        <f t="shared" si="30"/>
        <v>1299.600000000373</v>
      </c>
      <c r="Q7" s="7">
        <v>5291.51</v>
      </c>
      <c r="R7" s="45">
        <f t="shared" si="31"/>
        <v>0</v>
      </c>
      <c r="S7" s="29">
        <f t="shared" si="32"/>
        <v>0</v>
      </c>
      <c r="T7" s="8">
        <f t="shared" si="34"/>
        <v>5.465000000001055</v>
      </c>
      <c r="U7" s="31">
        <f t="shared" si="33"/>
        <v>10383.500000002003</v>
      </c>
      <c r="W7" s="158">
        <v>44625</v>
      </c>
      <c r="X7" s="159">
        <v>165248</v>
      </c>
      <c r="Y7" s="164">
        <f t="shared" si="20"/>
        <v>16</v>
      </c>
      <c r="Z7" s="159">
        <v>8569</v>
      </c>
      <c r="AA7" s="164">
        <f t="shared" si="20"/>
        <v>0</v>
      </c>
      <c r="AB7" s="159">
        <v>22.6</v>
      </c>
      <c r="AC7" s="164">
        <f t="shared" si="20"/>
        <v>0.10000000000000142</v>
      </c>
      <c r="AD7" s="159">
        <v>271</v>
      </c>
      <c r="AE7" s="164">
        <f t="shared" si="20"/>
        <v>2</v>
      </c>
      <c r="AF7" s="159">
        <v>5837</v>
      </c>
      <c r="AG7" s="164">
        <f t="shared" si="20"/>
        <v>5</v>
      </c>
    </row>
    <row r="8" spans="1:33" ht="16.5" thickBot="1" x14ac:dyDescent="0.25">
      <c r="A8" s="9">
        <v>44626</v>
      </c>
      <c r="B8" s="161">
        <v>22931.52</v>
      </c>
      <c r="C8" s="45">
        <f t="shared" si="21"/>
        <v>1.4269999999996799</v>
      </c>
      <c r="D8" s="29">
        <f t="shared" si="22"/>
        <v>2711.2999999993917</v>
      </c>
      <c r="E8" s="1">
        <v>4120.8549999999996</v>
      </c>
      <c r="F8" s="45">
        <f t="shared" si="23"/>
        <v>0.83399999999983265</v>
      </c>
      <c r="G8" s="29">
        <f t="shared" si="24"/>
        <v>1584.599999999682</v>
      </c>
      <c r="H8" s="1">
        <v>4850</v>
      </c>
      <c r="I8" s="45">
        <f t="shared" si="25"/>
        <v>5</v>
      </c>
      <c r="J8" s="29">
        <f t="shared" si="26"/>
        <v>9500</v>
      </c>
      <c r="K8" s="7">
        <v>13889.7</v>
      </c>
      <c r="L8" s="45">
        <f t="shared" si="27"/>
        <v>0</v>
      </c>
      <c r="M8" s="29">
        <f t="shared" si="28"/>
        <v>0</v>
      </c>
      <c r="N8" s="7">
        <v>3439.471</v>
      </c>
      <c r="O8" s="45">
        <f t="shared" si="29"/>
        <v>1.1909999999998035</v>
      </c>
      <c r="P8" s="29">
        <f t="shared" si="30"/>
        <v>2262.8999999996267</v>
      </c>
      <c r="Q8" s="7">
        <v>5292.1</v>
      </c>
      <c r="R8" s="45">
        <f t="shared" si="31"/>
        <v>0.59000000000014552</v>
      </c>
      <c r="S8" s="29">
        <f t="shared" si="32"/>
        <v>1121.0000000002765</v>
      </c>
      <c r="T8" s="8">
        <f t="shared" si="34"/>
        <v>9.0419999999994616</v>
      </c>
      <c r="U8" s="31">
        <f t="shared" si="33"/>
        <v>17179.799999998977</v>
      </c>
      <c r="W8" s="158">
        <v>44626</v>
      </c>
      <c r="X8" s="159">
        <v>165312</v>
      </c>
      <c r="Y8" s="164">
        <f t="shared" si="20"/>
        <v>64</v>
      </c>
      <c r="Z8" s="159">
        <v>8580</v>
      </c>
      <c r="AA8" s="164">
        <f t="shared" si="20"/>
        <v>11</v>
      </c>
      <c r="AB8" s="159">
        <v>22.7</v>
      </c>
      <c r="AC8" s="164">
        <f t="shared" si="20"/>
        <v>9.9999999999997868E-2</v>
      </c>
      <c r="AD8" s="159">
        <v>274</v>
      </c>
      <c r="AE8" s="164">
        <f t="shared" si="20"/>
        <v>3</v>
      </c>
      <c r="AF8" s="159">
        <v>5846</v>
      </c>
      <c r="AG8" s="164">
        <f t="shared" si="20"/>
        <v>9</v>
      </c>
    </row>
    <row r="9" spans="1:33" ht="16.5" thickBot="1" x14ac:dyDescent="0.25">
      <c r="A9" s="9">
        <v>44627</v>
      </c>
      <c r="B9" s="161">
        <v>22935.685000000001</v>
      </c>
      <c r="C9" s="45">
        <f t="shared" si="21"/>
        <v>4.1650000000008731</v>
      </c>
      <c r="D9" s="29">
        <f t="shared" si="22"/>
        <v>7913.500000001658</v>
      </c>
      <c r="E9" s="1">
        <v>4121.9449999999997</v>
      </c>
      <c r="F9" s="45">
        <f t="shared" si="23"/>
        <v>1.0900000000001455</v>
      </c>
      <c r="G9" s="29">
        <f t="shared" si="24"/>
        <v>2071.0000000002765</v>
      </c>
      <c r="H9" s="1">
        <v>4855</v>
      </c>
      <c r="I9" s="45">
        <f t="shared" si="25"/>
        <v>5</v>
      </c>
      <c r="J9" s="29">
        <f t="shared" si="26"/>
        <v>9500</v>
      </c>
      <c r="K9" s="7">
        <v>13889.7</v>
      </c>
      <c r="L9" s="45">
        <f t="shared" si="27"/>
        <v>0</v>
      </c>
      <c r="M9" s="29">
        <f t="shared" si="28"/>
        <v>0</v>
      </c>
      <c r="N9" s="7">
        <v>3440.6759999999999</v>
      </c>
      <c r="O9" s="45">
        <f t="shared" si="29"/>
        <v>1.2049999999999272</v>
      </c>
      <c r="P9" s="29">
        <f t="shared" si="30"/>
        <v>2289.4999999998618</v>
      </c>
      <c r="Q9" s="7">
        <v>5292.64</v>
      </c>
      <c r="R9" s="45">
        <f t="shared" si="31"/>
        <v>0.53999999999996362</v>
      </c>
      <c r="S9" s="29">
        <f t="shared" si="32"/>
        <v>1025.9999999999307</v>
      </c>
      <c r="T9" s="8">
        <f t="shared" si="34"/>
        <v>12.000000000000909</v>
      </c>
      <c r="U9" s="31">
        <f t="shared" si="33"/>
        <v>22800.000000001728</v>
      </c>
      <c r="W9" s="158">
        <v>44627</v>
      </c>
      <c r="X9" s="159">
        <v>165408</v>
      </c>
      <c r="Y9" s="164">
        <f t="shared" si="20"/>
        <v>96</v>
      </c>
      <c r="Z9" s="159">
        <v>8593</v>
      </c>
      <c r="AA9" s="164">
        <f t="shared" si="20"/>
        <v>13</v>
      </c>
      <c r="AB9" s="159">
        <v>22.9</v>
      </c>
      <c r="AC9" s="164">
        <f t="shared" si="20"/>
        <v>0.19999999999999929</v>
      </c>
      <c r="AD9" s="159">
        <v>278</v>
      </c>
      <c r="AE9" s="164">
        <f t="shared" si="20"/>
        <v>4</v>
      </c>
      <c r="AF9" s="159">
        <v>5858</v>
      </c>
      <c r="AG9" s="164">
        <f t="shared" si="20"/>
        <v>12</v>
      </c>
    </row>
    <row r="10" spans="1:33" ht="16.5" thickBot="1" x14ac:dyDescent="0.25">
      <c r="A10" s="9">
        <v>44628</v>
      </c>
      <c r="B10" s="161">
        <v>22939.67</v>
      </c>
      <c r="C10" s="45">
        <f t="shared" si="21"/>
        <v>3.9849999999969441</v>
      </c>
      <c r="D10" s="29">
        <f t="shared" si="22"/>
        <v>7571.4999999941938</v>
      </c>
      <c r="E10" s="1">
        <v>4122.9930000000004</v>
      </c>
      <c r="F10" s="45">
        <f t="shared" si="23"/>
        <v>1.0480000000006839</v>
      </c>
      <c r="G10" s="29">
        <f t="shared" si="24"/>
        <v>1991.2000000012995</v>
      </c>
      <c r="H10" s="1">
        <v>4861</v>
      </c>
      <c r="I10" s="45">
        <f t="shared" si="25"/>
        <v>6</v>
      </c>
      <c r="J10" s="29">
        <f t="shared" si="26"/>
        <v>11399.999999999998</v>
      </c>
      <c r="K10" s="7">
        <v>13889.7</v>
      </c>
      <c r="L10" s="45">
        <f t="shared" si="27"/>
        <v>0</v>
      </c>
      <c r="M10" s="29">
        <f t="shared" si="28"/>
        <v>0</v>
      </c>
      <c r="N10" s="7">
        <v>3441.8150000000001</v>
      </c>
      <c r="O10" s="45">
        <f>IF((N10-N9)&lt;0,"0",(N10-N9))</f>
        <v>1.1390000000001237</v>
      </c>
      <c r="P10" s="29">
        <f t="shared" si="30"/>
        <v>2164.100000000235</v>
      </c>
      <c r="Q10" s="7">
        <v>5293.04</v>
      </c>
      <c r="R10" s="45">
        <f t="shared" si="31"/>
        <v>0.3999999999996362</v>
      </c>
      <c r="S10" s="29">
        <f t="shared" si="32"/>
        <v>759.99999999930878</v>
      </c>
      <c r="T10" s="8">
        <f t="shared" si="34"/>
        <v>12.571999999997388</v>
      </c>
      <c r="U10" s="31">
        <f t="shared" si="33"/>
        <v>23886.799999995033</v>
      </c>
      <c r="W10" s="158">
        <v>44628</v>
      </c>
      <c r="X10" s="159">
        <v>165515</v>
      </c>
      <c r="Y10" s="164">
        <f t="shared" si="20"/>
        <v>107</v>
      </c>
      <c r="Z10" s="159">
        <v>8609</v>
      </c>
      <c r="AA10" s="164">
        <f t="shared" si="20"/>
        <v>16</v>
      </c>
      <c r="AB10" s="159">
        <v>23</v>
      </c>
      <c r="AC10" s="164">
        <f t="shared" si="20"/>
        <v>0.10000000000000142</v>
      </c>
      <c r="AD10" s="159">
        <v>280</v>
      </c>
      <c r="AE10" s="164">
        <f t="shared" si="20"/>
        <v>2</v>
      </c>
      <c r="AF10" s="159">
        <v>5877</v>
      </c>
      <c r="AG10" s="164">
        <f t="shared" si="20"/>
        <v>19</v>
      </c>
    </row>
    <row r="11" spans="1:33" ht="16.5" thickBot="1" x14ac:dyDescent="0.25">
      <c r="A11" s="9">
        <v>44629</v>
      </c>
      <c r="B11" s="161">
        <v>22943.712</v>
      </c>
      <c r="C11" s="45">
        <f t="shared" si="21"/>
        <v>4.0420000000012806</v>
      </c>
      <c r="D11" s="29">
        <f t="shared" si="22"/>
        <v>7679.8000000024331</v>
      </c>
      <c r="E11" s="1">
        <v>4124.5959999999995</v>
      </c>
      <c r="F11" s="45">
        <f t="shared" si="23"/>
        <v>1.602999999999156</v>
      </c>
      <c r="G11" s="29">
        <f t="shared" si="24"/>
        <v>3045.6999999983959</v>
      </c>
      <c r="H11" s="1">
        <v>4867</v>
      </c>
      <c r="I11" s="45">
        <f t="shared" si="25"/>
        <v>6</v>
      </c>
      <c r="J11" s="29">
        <f t="shared" si="26"/>
        <v>11399.999999999998</v>
      </c>
      <c r="K11" s="7">
        <v>13889.7</v>
      </c>
      <c r="L11" s="45">
        <f t="shared" si="27"/>
        <v>0</v>
      </c>
      <c r="M11" s="29">
        <f t="shared" si="28"/>
        <v>0</v>
      </c>
      <c r="N11" s="7">
        <v>3443.2190000000001</v>
      </c>
      <c r="O11" s="45">
        <f t="shared" si="29"/>
        <v>1.4039999999999964</v>
      </c>
      <c r="P11" s="29">
        <f t="shared" si="30"/>
        <v>2667.5999999999931</v>
      </c>
      <c r="Q11" s="7">
        <v>5293.64</v>
      </c>
      <c r="R11" s="45">
        <f t="shared" si="31"/>
        <v>0.6000000000003638</v>
      </c>
      <c r="S11" s="29">
        <f t="shared" si="32"/>
        <v>1140.0000000006912</v>
      </c>
      <c r="T11" s="8">
        <f t="shared" si="34"/>
        <v>13.649000000000797</v>
      </c>
      <c r="U11" s="31">
        <f t="shared" si="33"/>
        <v>25933.100000001512</v>
      </c>
      <c r="W11" s="158">
        <v>44629</v>
      </c>
      <c r="X11" s="159">
        <v>165612</v>
      </c>
      <c r="Y11" s="164">
        <f t="shared" si="20"/>
        <v>97</v>
      </c>
      <c r="Z11" s="159">
        <v>8622</v>
      </c>
      <c r="AA11" s="164">
        <f t="shared" si="20"/>
        <v>13</v>
      </c>
      <c r="AB11" s="159">
        <v>23</v>
      </c>
      <c r="AC11" s="164">
        <f t="shared" si="20"/>
        <v>0</v>
      </c>
      <c r="AD11" s="159">
        <v>284</v>
      </c>
      <c r="AE11" s="164">
        <f t="shared" si="20"/>
        <v>4</v>
      </c>
      <c r="AF11" s="159">
        <v>5896</v>
      </c>
      <c r="AG11" s="164">
        <f t="shared" si="20"/>
        <v>19</v>
      </c>
    </row>
    <row r="12" spans="1:33" ht="16.5" thickBot="1" x14ac:dyDescent="0.25">
      <c r="A12" s="9">
        <v>44630</v>
      </c>
      <c r="B12" s="161">
        <v>22947.323</v>
      </c>
      <c r="C12" s="45">
        <f t="shared" si="21"/>
        <v>3.6110000000007858</v>
      </c>
      <c r="D12" s="29">
        <f t="shared" si="22"/>
        <v>6860.900000001493</v>
      </c>
      <c r="E12" s="1">
        <v>4125.7280000000001</v>
      </c>
      <c r="F12" s="45">
        <f t="shared" si="23"/>
        <v>1.1320000000005166</v>
      </c>
      <c r="G12" s="29">
        <f t="shared" si="24"/>
        <v>2150.8000000009811</v>
      </c>
      <c r="H12" s="1">
        <v>4873</v>
      </c>
      <c r="I12" s="45">
        <f t="shared" si="25"/>
        <v>6</v>
      </c>
      <c r="J12" s="29">
        <f t="shared" si="26"/>
        <v>11399.999999999998</v>
      </c>
      <c r="K12" s="7">
        <v>13889.7</v>
      </c>
      <c r="L12" s="45">
        <f t="shared" si="27"/>
        <v>0</v>
      </c>
      <c r="M12" s="29">
        <f t="shared" si="28"/>
        <v>0</v>
      </c>
      <c r="N12" s="7">
        <v>3444.634</v>
      </c>
      <c r="O12" s="45">
        <f t="shared" si="29"/>
        <v>1.4149999999999636</v>
      </c>
      <c r="P12" s="29">
        <f t="shared" si="30"/>
        <v>2688.4999999999304</v>
      </c>
      <c r="Q12" s="7">
        <v>5293.64</v>
      </c>
      <c r="R12" s="45">
        <f t="shared" si="31"/>
        <v>0</v>
      </c>
      <c r="S12" s="29">
        <f t="shared" si="32"/>
        <v>0</v>
      </c>
      <c r="T12" s="8">
        <f t="shared" si="34"/>
        <v>12.158000000001266</v>
      </c>
      <c r="U12" s="31">
        <f t="shared" si="33"/>
        <v>23100.200000002402</v>
      </c>
      <c r="W12" s="158">
        <v>44630</v>
      </c>
      <c r="X12" s="159">
        <v>165699</v>
      </c>
      <c r="Y12" s="164">
        <f t="shared" si="20"/>
        <v>87</v>
      </c>
      <c r="Z12" s="159">
        <v>8632</v>
      </c>
      <c r="AA12" s="164">
        <f t="shared" si="20"/>
        <v>10</v>
      </c>
      <c r="AB12" s="159">
        <v>23</v>
      </c>
      <c r="AC12" s="164">
        <f t="shared" si="20"/>
        <v>0</v>
      </c>
      <c r="AD12" s="159">
        <v>286</v>
      </c>
      <c r="AE12" s="164">
        <f t="shared" si="20"/>
        <v>2</v>
      </c>
      <c r="AF12" s="159">
        <v>5908</v>
      </c>
      <c r="AG12" s="164">
        <f t="shared" si="20"/>
        <v>12</v>
      </c>
    </row>
    <row r="13" spans="1:33" ht="16.5" thickBot="1" x14ac:dyDescent="0.25">
      <c r="A13" s="9">
        <v>44631</v>
      </c>
      <c r="B13" s="161">
        <v>22950</v>
      </c>
      <c r="C13" s="45">
        <f t="shared" si="21"/>
        <v>2.6769999999996799</v>
      </c>
      <c r="D13" s="29">
        <f t="shared" si="22"/>
        <v>5086.2999999993908</v>
      </c>
      <c r="E13" s="1">
        <v>4126.2619999999997</v>
      </c>
      <c r="F13" s="45">
        <f t="shared" si="23"/>
        <v>0.53399999999965075</v>
      </c>
      <c r="G13" s="29">
        <f t="shared" si="24"/>
        <v>1014.5999999993364</v>
      </c>
      <c r="H13" s="1">
        <v>4879</v>
      </c>
      <c r="I13" s="45">
        <f t="shared" si="25"/>
        <v>6</v>
      </c>
      <c r="J13" s="29">
        <f t="shared" si="26"/>
        <v>11399.999999999998</v>
      </c>
      <c r="K13" s="7">
        <v>13889.7</v>
      </c>
      <c r="L13" s="45">
        <f t="shared" si="27"/>
        <v>0</v>
      </c>
      <c r="M13" s="29">
        <f t="shared" si="28"/>
        <v>0</v>
      </c>
      <c r="N13" s="7">
        <v>3445.886</v>
      </c>
      <c r="O13" s="45">
        <f t="shared" si="29"/>
        <v>1.2519999999999527</v>
      </c>
      <c r="P13" s="29">
        <f t="shared" si="30"/>
        <v>2378.7999999999097</v>
      </c>
      <c r="Q13" s="7">
        <v>5293.67</v>
      </c>
      <c r="R13" s="45">
        <f t="shared" si="31"/>
        <v>2.9999999999745341E-2</v>
      </c>
      <c r="S13" s="29">
        <f t="shared" si="32"/>
        <v>56.999999999516149</v>
      </c>
      <c r="T13" s="8">
        <f t="shared" si="34"/>
        <v>10.492999999999029</v>
      </c>
      <c r="U13" s="31">
        <f t="shared" si="33"/>
        <v>19936.699999998156</v>
      </c>
      <c r="W13" s="158">
        <v>44631</v>
      </c>
      <c r="X13" s="159">
        <v>165795</v>
      </c>
      <c r="Y13" s="164">
        <f t="shared" si="20"/>
        <v>96</v>
      </c>
      <c r="Z13" s="159">
        <v>8645</v>
      </c>
      <c r="AA13" s="164">
        <f t="shared" si="20"/>
        <v>13</v>
      </c>
      <c r="AB13" s="159">
        <v>23.5</v>
      </c>
      <c r="AC13" s="164">
        <f t="shared" si="20"/>
        <v>0.5</v>
      </c>
      <c r="AD13" s="159">
        <v>289</v>
      </c>
      <c r="AE13" s="164">
        <f t="shared" si="20"/>
        <v>3</v>
      </c>
      <c r="AF13" s="159">
        <v>5935</v>
      </c>
      <c r="AG13" s="164">
        <f t="shared" si="20"/>
        <v>27</v>
      </c>
    </row>
    <row r="14" spans="1:33" ht="16.5" thickBot="1" x14ac:dyDescent="0.25">
      <c r="A14" s="9">
        <v>44632</v>
      </c>
      <c r="B14" s="161">
        <v>22952.909</v>
      </c>
      <c r="C14" s="45">
        <f t="shared" si="21"/>
        <v>2.9089999999996508</v>
      </c>
      <c r="D14" s="29">
        <f t="shared" si="22"/>
        <v>5527.0999999993364</v>
      </c>
      <c r="E14" s="1">
        <v>4126.8029999999999</v>
      </c>
      <c r="F14" s="45">
        <f t="shared" si="23"/>
        <v>0.54100000000016735</v>
      </c>
      <c r="G14" s="29">
        <f t="shared" si="24"/>
        <v>1027.900000000318</v>
      </c>
      <c r="H14" s="1">
        <v>4884</v>
      </c>
      <c r="I14" s="45">
        <f t="shared" si="25"/>
        <v>5</v>
      </c>
      <c r="J14" s="29">
        <f t="shared" si="26"/>
        <v>9500</v>
      </c>
      <c r="K14" s="7">
        <v>13889.7</v>
      </c>
      <c r="L14" s="45">
        <f t="shared" si="27"/>
        <v>0</v>
      </c>
      <c r="M14" s="29">
        <f t="shared" si="28"/>
        <v>0</v>
      </c>
      <c r="N14" s="7">
        <v>3447.069</v>
      </c>
      <c r="O14" s="45">
        <f>IF((N14-N13)&lt;0,"0",(N14-N13))</f>
        <v>1.1829999999999927</v>
      </c>
      <c r="P14" s="29">
        <f t="shared" si="30"/>
        <v>2247.6999999999862</v>
      </c>
      <c r="Q14" s="7">
        <v>5293.67</v>
      </c>
      <c r="R14" s="45">
        <f t="shared" si="31"/>
        <v>0</v>
      </c>
      <c r="S14" s="29">
        <f t="shared" si="32"/>
        <v>0</v>
      </c>
      <c r="T14" s="8">
        <f t="shared" si="34"/>
        <v>9.6329999999998108</v>
      </c>
      <c r="U14" s="31">
        <f t="shared" si="33"/>
        <v>18302.699999999641</v>
      </c>
      <c r="W14" s="158">
        <v>44632</v>
      </c>
      <c r="X14" s="159">
        <v>165884</v>
      </c>
      <c r="Y14" s="164">
        <f t="shared" si="20"/>
        <v>89</v>
      </c>
      <c r="Z14" s="159">
        <v>8651</v>
      </c>
      <c r="AA14" s="164">
        <f t="shared" si="20"/>
        <v>6</v>
      </c>
      <c r="AB14" s="159">
        <v>23.5</v>
      </c>
      <c r="AC14" s="164">
        <f t="shared" si="20"/>
        <v>0</v>
      </c>
      <c r="AD14" s="159">
        <v>292</v>
      </c>
      <c r="AE14" s="164">
        <f t="shared" si="20"/>
        <v>3</v>
      </c>
      <c r="AF14" s="159">
        <v>5964</v>
      </c>
      <c r="AG14" s="164">
        <f t="shared" si="20"/>
        <v>29</v>
      </c>
    </row>
    <row r="15" spans="1:33" ht="16.5" thickBot="1" x14ac:dyDescent="0.25">
      <c r="A15" s="9">
        <v>44633</v>
      </c>
      <c r="B15" s="161">
        <v>22954.996999999999</v>
      </c>
      <c r="C15" s="45">
        <f t="shared" ref="C15" si="35">IF((B15-B14)&lt;0,"0",(B15-B14))</f>
        <v>2.0879999999997381</v>
      </c>
      <c r="D15" s="29">
        <f t="shared" ref="D15" si="36">C15*1.9*1000</f>
        <v>3967.1999999995023</v>
      </c>
      <c r="E15" s="1">
        <v>4127.5460000000003</v>
      </c>
      <c r="F15" s="45">
        <f t="shared" ref="F15" si="37">IF((E15-E14)&lt;0,"0",(E15-E14))</f>
        <v>0.7430000000003929</v>
      </c>
      <c r="G15" s="29">
        <f t="shared" ref="G15" si="38">F15*1.9*1000</f>
        <v>1411.7000000007465</v>
      </c>
      <c r="H15" s="1">
        <v>4889</v>
      </c>
      <c r="I15" s="45">
        <f t="shared" ref="I15" si="39">IF((H15-H14)&lt;0,"0",(H15-H14))</f>
        <v>5</v>
      </c>
      <c r="J15" s="29">
        <f t="shared" ref="J15" si="40">I15*1.9*1000</f>
        <v>9500</v>
      </c>
      <c r="K15" s="7">
        <v>13889.7</v>
      </c>
      <c r="L15" s="45">
        <f t="shared" ref="L15" si="41">IF((K15-K14)&lt;0,"0",(K15-K14))</f>
        <v>0</v>
      </c>
      <c r="M15" s="29">
        <f t="shared" ref="M15" si="42">L15*1.9*1000</f>
        <v>0</v>
      </c>
      <c r="N15" s="7">
        <v>3448.1709999999998</v>
      </c>
      <c r="O15" s="45">
        <f>IF((N15-N14)&lt;0,"0",(N15-N14))</f>
        <v>1.1019999999998618</v>
      </c>
      <c r="P15" s="29">
        <f t="shared" ref="P15" si="43">O15*1.9*1000</f>
        <v>2093.7999999997373</v>
      </c>
      <c r="Q15" s="7">
        <v>5293.67</v>
      </c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8.9329999999999927</v>
      </c>
      <c r="U15" s="31">
        <f t="shared" ref="U15" si="47">T15*1.9*1000</f>
        <v>16972.699999999986</v>
      </c>
      <c r="W15" s="158">
        <v>44633</v>
      </c>
      <c r="X15" s="159">
        <v>165967</v>
      </c>
      <c r="Y15" s="164">
        <f t="shared" si="20"/>
        <v>83</v>
      </c>
      <c r="Z15" s="159">
        <v>8661</v>
      </c>
      <c r="AA15" s="164">
        <f t="shared" si="20"/>
        <v>10</v>
      </c>
      <c r="AB15" s="159">
        <v>23.8</v>
      </c>
      <c r="AC15" s="164">
        <f t="shared" si="20"/>
        <v>0.30000000000000071</v>
      </c>
      <c r="AD15" s="159">
        <v>295</v>
      </c>
      <c r="AE15" s="164">
        <f t="shared" si="20"/>
        <v>3</v>
      </c>
      <c r="AF15" s="159">
        <v>5985</v>
      </c>
      <c r="AG15" s="164">
        <f t="shared" si="20"/>
        <v>21</v>
      </c>
    </row>
    <row r="16" spans="1:33" ht="16.5" thickBot="1" x14ac:dyDescent="0.25">
      <c r="A16" s="9">
        <v>44634</v>
      </c>
      <c r="B16" s="161"/>
      <c r="C16" s="45" t="str">
        <f t="shared" si="21"/>
        <v>0</v>
      </c>
      <c r="D16" s="29">
        <f t="shared" si="22"/>
        <v>0</v>
      </c>
      <c r="E16" s="1"/>
      <c r="F16" s="45" t="str">
        <f t="shared" si="23"/>
        <v>0</v>
      </c>
      <c r="G16" s="29">
        <f t="shared" si="24"/>
        <v>0</v>
      </c>
      <c r="H16" s="1"/>
      <c r="I16" s="45" t="str">
        <f t="shared" si="25"/>
        <v>0</v>
      </c>
      <c r="J16" s="29">
        <f t="shared" si="26"/>
        <v>0</v>
      </c>
      <c r="K16" s="7"/>
      <c r="L16" s="45" t="str">
        <f t="shared" si="27"/>
        <v>0</v>
      </c>
      <c r="M16" s="29">
        <f t="shared" si="28"/>
        <v>0</v>
      </c>
      <c r="N16" s="7"/>
      <c r="O16" s="45" t="str">
        <f t="shared" si="29"/>
        <v>0</v>
      </c>
      <c r="P16" s="29">
        <f t="shared" si="30"/>
        <v>0</v>
      </c>
      <c r="Q16" s="7"/>
      <c r="R16" s="45" t="str">
        <f t="shared" si="31"/>
        <v>0</v>
      </c>
      <c r="S16" s="29">
        <f t="shared" si="32"/>
        <v>0</v>
      </c>
      <c r="T16" s="8">
        <f t="shared" si="34"/>
        <v>0</v>
      </c>
      <c r="U16" s="31">
        <f t="shared" si="33"/>
        <v>0</v>
      </c>
      <c r="W16" s="158">
        <v>44634</v>
      </c>
      <c r="X16" s="159"/>
      <c r="Y16" s="164" t="str">
        <f t="shared" si="20"/>
        <v>0</v>
      </c>
      <c r="Z16" s="159"/>
      <c r="AA16" s="164" t="str">
        <f t="shared" si="20"/>
        <v>0</v>
      </c>
      <c r="AB16" s="159"/>
      <c r="AC16" s="164" t="str">
        <f t="shared" si="20"/>
        <v>0</v>
      </c>
      <c r="AD16" s="159"/>
      <c r="AE16" s="164" t="str">
        <f t="shared" si="20"/>
        <v>0</v>
      </c>
      <c r="AF16" s="159"/>
      <c r="AG16" s="164" t="str">
        <f t="shared" si="20"/>
        <v>0</v>
      </c>
    </row>
    <row r="17" spans="1:33" ht="16.5" thickBot="1" x14ac:dyDescent="0.25">
      <c r="A17" s="9">
        <v>44635</v>
      </c>
      <c r="B17" s="161"/>
      <c r="C17" s="45">
        <f t="shared" si="21"/>
        <v>0</v>
      </c>
      <c r="D17" s="29">
        <f t="shared" si="22"/>
        <v>0</v>
      </c>
      <c r="E17" s="1"/>
      <c r="F17" s="45">
        <f t="shared" si="23"/>
        <v>0</v>
      </c>
      <c r="G17" s="29">
        <f t="shared" si="24"/>
        <v>0</v>
      </c>
      <c r="H17" s="1"/>
      <c r="I17" s="45">
        <f t="shared" si="25"/>
        <v>0</v>
      </c>
      <c r="J17" s="29">
        <f t="shared" si="26"/>
        <v>0</v>
      </c>
      <c r="K17" s="7"/>
      <c r="L17" s="45">
        <f t="shared" si="27"/>
        <v>0</v>
      </c>
      <c r="M17" s="29">
        <f t="shared" si="28"/>
        <v>0</v>
      </c>
      <c r="N17" s="7"/>
      <c r="O17" s="45">
        <f t="shared" si="29"/>
        <v>0</v>
      </c>
      <c r="P17" s="29">
        <f t="shared" si="30"/>
        <v>0</v>
      </c>
      <c r="Q17" s="7"/>
      <c r="R17" s="45">
        <f t="shared" si="31"/>
        <v>0</v>
      </c>
      <c r="S17" s="29">
        <f t="shared" si="32"/>
        <v>0</v>
      </c>
      <c r="T17" s="8">
        <f t="shared" si="34"/>
        <v>0</v>
      </c>
      <c r="U17" s="31">
        <f t="shared" si="33"/>
        <v>0</v>
      </c>
      <c r="W17" s="158">
        <v>44635</v>
      </c>
      <c r="X17" s="159"/>
      <c r="Y17" s="164">
        <f t="shared" si="20"/>
        <v>0</v>
      </c>
      <c r="Z17" s="159"/>
      <c r="AA17" s="164">
        <f t="shared" si="20"/>
        <v>0</v>
      </c>
      <c r="AB17" s="159"/>
      <c r="AC17" s="164">
        <f t="shared" si="20"/>
        <v>0</v>
      </c>
      <c r="AD17" s="159"/>
      <c r="AE17" s="164">
        <f t="shared" si="20"/>
        <v>0</v>
      </c>
      <c r="AF17" s="159"/>
      <c r="AG17" s="164">
        <f t="shared" si="20"/>
        <v>0</v>
      </c>
    </row>
    <row r="18" spans="1:33" ht="16.5" thickBot="1" x14ac:dyDescent="0.25">
      <c r="A18" s="9">
        <v>44636</v>
      </c>
      <c r="B18" s="161"/>
      <c r="C18" s="45">
        <f t="shared" si="21"/>
        <v>0</v>
      </c>
      <c r="D18" s="29">
        <f t="shared" si="22"/>
        <v>0</v>
      </c>
      <c r="E18" s="1"/>
      <c r="F18" s="45">
        <f t="shared" si="23"/>
        <v>0</v>
      </c>
      <c r="G18" s="29">
        <f t="shared" si="24"/>
        <v>0</v>
      </c>
      <c r="H18" s="1"/>
      <c r="I18" s="45">
        <f t="shared" si="25"/>
        <v>0</v>
      </c>
      <c r="J18" s="29">
        <f t="shared" si="26"/>
        <v>0</v>
      </c>
      <c r="K18" s="7"/>
      <c r="L18" s="45">
        <f t="shared" si="27"/>
        <v>0</v>
      </c>
      <c r="M18" s="29">
        <f t="shared" si="28"/>
        <v>0</v>
      </c>
      <c r="N18" s="7"/>
      <c r="O18" s="45">
        <f t="shared" si="29"/>
        <v>0</v>
      </c>
      <c r="P18" s="29">
        <f t="shared" si="30"/>
        <v>0</v>
      </c>
      <c r="Q18" s="7"/>
      <c r="R18" s="45">
        <f t="shared" si="31"/>
        <v>0</v>
      </c>
      <c r="S18" s="29">
        <f t="shared" si="32"/>
        <v>0</v>
      </c>
      <c r="T18" s="8">
        <f t="shared" si="34"/>
        <v>0</v>
      </c>
      <c r="U18" s="31">
        <f t="shared" si="33"/>
        <v>0</v>
      </c>
      <c r="W18" s="158">
        <v>44636</v>
      </c>
      <c r="X18" s="159"/>
      <c r="Y18" s="164">
        <f t="shared" si="20"/>
        <v>0</v>
      </c>
      <c r="Z18" s="159"/>
      <c r="AA18" s="164">
        <f t="shared" si="20"/>
        <v>0</v>
      </c>
      <c r="AB18" s="159"/>
      <c r="AC18" s="164">
        <f t="shared" si="20"/>
        <v>0</v>
      </c>
      <c r="AD18" s="159"/>
      <c r="AE18" s="164">
        <f t="shared" si="20"/>
        <v>0</v>
      </c>
      <c r="AF18" s="159"/>
      <c r="AG18" s="164">
        <f t="shared" si="20"/>
        <v>0</v>
      </c>
    </row>
    <row r="19" spans="1:33" ht="16.5" thickBot="1" x14ac:dyDescent="0.25">
      <c r="A19" s="9">
        <v>44637</v>
      </c>
      <c r="B19" s="161"/>
      <c r="C19" s="45">
        <f t="shared" si="21"/>
        <v>0</v>
      </c>
      <c r="D19" s="29">
        <f t="shared" si="22"/>
        <v>0</v>
      </c>
      <c r="E19" s="1"/>
      <c r="F19" s="45">
        <f t="shared" si="23"/>
        <v>0</v>
      </c>
      <c r="G19" s="29">
        <f t="shared" si="24"/>
        <v>0</v>
      </c>
      <c r="H19" s="1"/>
      <c r="I19" s="45">
        <f t="shared" si="25"/>
        <v>0</v>
      </c>
      <c r="J19" s="29">
        <f t="shared" si="26"/>
        <v>0</v>
      </c>
      <c r="K19" s="7"/>
      <c r="L19" s="45">
        <f t="shared" si="27"/>
        <v>0</v>
      </c>
      <c r="M19" s="29">
        <f t="shared" si="28"/>
        <v>0</v>
      </c>
      <c r="N19" s="7"/>
      <c r="O19" s="45">
        <f t="shared" si="29"/>
        <v>0</v>
      </c>
      <c r="P19" s="29">
        <f t="shared" si="30"/>
        <v>0</v>
      </c>
      <c r="Q19" s="7"/>
      <c r="R19" s="45">
        <f t="shared" si="31"/>
        <v>0</v>
      </c>
      <c r="S19" s="29">
        <f t="shared" si="32"/>
        <v>0</v>
      </c>
      <c r="T19" s="8">
        <f t="shared" si="34"/>
        <v>0</v>
      </c>
      <c r="U19" s="31">
        <f t="shared" si="33"/>
        <v>0</v>
      </c>
      <c r="W19" s="158">
        <v>44637</v>
      </c>
      <c r="X19" s="159"/>
      <c r="Y19" s="164">
        <f t="shared" si="20"/>
        <v>0</v>
      </c>
      <c r="Z19" s="159"/>
      <c r="AA19" s="164">
        <f t="shared" si="20"/>
        <v>0</v>
      </c>
      <c r="AB19" s="159"/>
      <c r="AC19" s="164">
        <f t="shared" si="20"/>
        <v>0</v>
      </c>
      <c r="AD19" s="159"/>
      <c r="AE19" s="164">
        <f t="shared" si="20"/>
        <v>0</v>
      </c>
      <c r="AF19" s="159"/>
      <c r="AG19" s="164">
        <f t="shared" si="20"/>
        <v>0</v>
      </c>
    </row>
    <row r="20" spans="1:33" ht="16.5" thickBot="1" x14ac:dyDescent="0.25">
      <c r="A20" s="9">
        <v>44638</v>
      </c>
      <c r="B20" s="161"/>
      <c r="C20" s="45">
        <f t="shared" si="21"/>
        <v>0</v>
      </c>
      <c r="D20" s="29">
        <f t="shared" si="22"/>
        <v>0</v>
      </c>
      <c r="E20" s="1"/>
      <c r="F20" s="45">
        <f t="shared" si="23"/>
        <v>0</v>
      </c>
      <c r="G20" s="29">
        <f t="shared" si="24"/>
        <v>0</v>
      </c>
      <c r="H20" s="1"/>
      <c r="I20" s="45">
        <f t="shared" si="25"/>
        <v>0</v>
      </c>
      <c r="J20" s="29">
        <f t="shared" si="26"/>
        <v>0</v>
      </c>
      <c r="K20" s="7"/>
      <c r="L20" s="45">
        <f t="shared" si="27"/>
        <v>0</v>
      </c>
      <c r="M20" s="29">
        <f t="shared" si="28"/>
        <v>0</v>
      </c>
      <c r="N20" s="7"/>
      <c r="O20" s="45">
        <f t="shared" si="29"/>
        <v>0</v>
      </c>
      <c r="P20" s="29">
        <f t="shared" si="30"/>
        <v>0</v>
      </c>
      <c r="Q20" s="7"/>
      <c r="R20" s="45">
        <f t="shared" si="31"/>
        <v>0</v>
      </c>
      <c r="S20" s="29">
        <f t="shared" si="32"/>
        <v>0</v>
      </c>
      <c r="T20" s="8">
        <f t="shared" si="34"/>
        <v>0</v>
      </c>
      <c r="U20" s="31">
        <f t="shared" si="33"/>
        <v>0</v>
      </c>
      <c r="W20" s="158">
        <v>44638</v>
      </c>
      <c r="X20" s="159"/>
      <c r="Y20" s="164">
        <f t="shared" si="20"/>
        <v>0</v>
      </c>
      <c r="Z20" s="159"/>
      <c r="AA20" s="164">
        <f t="shared" si="20"/>
        <v>0</v>
      </c>
      <c r="AB20" s="159"/>
      <c r="AC20" s="164">
        <f t="shared" si="20"/>
        <v>0</v>
      </c>
      <c r="AD20" s="159"/>
      <c r="AE20" s="164">
        <f t="shared" si="20"/>
        <v>0</v>
      </c>
      <c r="AF20" s="159"/>
      <c r="AG20" s="164">
        <f t="shared" si="20"/>
        <v>0</v>
      </c>
    </row>
    <row r="21" spans="1:33" ht="16.5" thickBot="1" x14ac:dyDescent="0.25">
      <c r="A21" s="9">
        <v>44639</v>
      </c>
      <c r="B21" s="161"/>
      <c r="C21" s="45">
        <f t="shared" si="21"/>
        <v>0</v>
      </c>
      <c r="D21" s="29">
        <f t="shared" si="22"/>
        <v>0</v>
      </c>
      <c r="E21" s="1"/>
      <c r="F21" s="45">
        <f t="shared" si="23"/>
        <v>0</v>
      </c>
      <c r="G21" s="29">
        <f t="shared" si="24"/>
        <v>0</v>
      </c>
      <c r="H21" s="1"/>
      <c r="I21" s="45">
        <f t="shared" si="25"/>
        <v>0</v>
      </c>
      <c r="J21" s="29">
        <f t="shared" si="26"/>
        <v>0</v>
      </c>
      <c r="K21" s="7"/>
      <c r="L21" s="45">
        <f t="shared" si="27"/>
        <v>0</v>
      </c>
      <c r="M21" s="29">
        <f t="shared" si="28"/>
        <v>0</v>
      </c>
      <c r="N21" s="7"/>
      <c r="O21" s="45">
        <f t="shared" si="29"/>
        <v>0</v>
      </c>
      <c r="P21" s="29">
        <f t="shared" si="30"/>
        <v>0</v>
      </c>
      <c r="Q21" s="7"/>
      <c r="R21" s="45">
        <f t="shared" si="31"/>
        <v>0</v>
      </c>
      <c r="S21" s="29">
        <f t="shared" si="32"/>
        <v>0</v>
      </c>
      <c r="T21" s="8">
        <f t="shared" si="34"/>
        <v>0</v>
      </c>
      <c r="U21" s="31">
        <f t="shared" si="33"/>
        <v>0</v>
      </c>
      <c r="W21" s="158">
        <v>44639</v>
      </c>
      <c r="X21" s="159"/>
      <c r="Y21" s="164">
        <f t="shared" si="20"/>
        <v>0</v>
      </c>
      <c r="Z21" s="159"/>
      <c r="AA21" s="164">
        <f t="shared" si="20"/>
        <v>0</v>
      </c>
      <c r="AB21" s="159"/>
      <c r="AC21" s="164">
        <f t="shared" si="20"/>
        <v>0</v>
      </c>
      <c r="AD21" s="159"/>
      <c r="AE21" s="164">
        <f t="shared" si="20"/>
        <v>0</v>
      </c>
      <c r="AF21" s="159"/>
      <c r="AG21" s="164">
        <f t="shared" si="20"/>
        <v>0</v>
      </c>
    </row>
    <row r="22" spans="1:33" ht="16.5" thickBot="1" x14ac:dyDescent="0.25">
      <c r="A22" s="9">
        <v>44640</v>
      </c>
      <c r="B22" s="161"/>
      <c r="C22" s="45">
        <f t="shared" si="21"/>
        <v>0</v>
      </c>
      <c r="D22" s="29">
        <f t="shared" si="22"/>
        <v>0</v>
      </c>
      <c r="E22" s="1"/>
      <c r="F22" s="45">
        <f t="shared" si="23"/>
        <v>0</v>
      </c>
      <c r="G22" s="29">
        <f t="shared" si="24"/>
        <v>0</v>
      </c>
      <c r="H22" s="1"/>
      <c r="I22" s="45">
        <f t="shared" si="25"/>
        <v>0</v>
      </c>
      <c r="J22" s="29">
        <f t="shared" si="26"/>
        <v>0</v>
      </c>
      <c r="K22" s="7"/>
      <c r="L22" s="45">
        <f t="shared" si="27"/>
        <v>0</v>
      </c>
      <c r="M22" s="29">
        <f t="shared" si="28"/>
        <v>0</v>
      </c>
      <c r="N22" s="7"/>
      <c r="O22" s="45">
        <f t="shared" si="29"/>
        <v>0</v>
      </c>
      <c r="P22" s="29">
        <f t="shared" si="30"/>
        <v>0</v>
      </c>
      <c r="Q22" s="7"/>
      <c r="R22" s="45">
        <f t="shared" si="31"/>
        <v>0</v>
      </c>
      <c r="S22" s="29">
        <f t="shared" si="32"/>
        <v>0</v>
      </c>
      <c r="T22" s="8">
        <f t="shared" si="34"/>
        <v>0</v>
      </c>
      <c r="U22" s="31">
        <f t="shared" si="33"/>
        <v>0</v>
      </c>
      <c r="W22" s="158">
        <v>44640</v>
      </c>
      <c r="X22" s="159"/>
      <c r="Y22" s="164">
        <f t="shared" si="20"/>
        <v>0</v>
      </c>
      <c r="Z22" s="159"/>
      <c r="AA22" s="164">
        <f t="shared" si="20"/>
        <v>0</v>
      </c>
      <c r="AB22" s="159"/>
      <c r="AC22" s="164">
        <f t="shared" si="20"/>
        <v>0</v>
      </c>
      <c r="AD22" s="159"/>
      <c r="AE22" s="164">
        <f t="shared" si="20"/>
        <v>0</v>
      </c>
      <c r="AF22" s="159"/>
      <c r="AG22" s="164">
        <f t="shared" si="20"/>
        <v>0</v>
      </c>
    </row>
    <row r="23" spans="1:33" ht="16.5" thickBot="1" x14ac:dyDescent="0.25">
      <c r="A23" s="9">
        <v>44641</v>
      </c>
      <c r="B23" s="161"/>
      <c r="C23" s="45">
        <f t="shared" si="21"/>
        <v>0</v>
      </c>
      <c r="D23" s="29">
        <f t="shared" si="22"/>
        <v>0</v>
      </c>
      <c r="E23" s="1"/>
      <c r="F23" s="45">
        <f t="shared" si="23"/>
        <v>0</v>
      </c>
      <c r="G23" s="29">
        <f t="shared" si="24"/>
        <v>0</v>
      </c>
      <c r="H23" s="1"/>
      <c r="I23" s="45">
        <f t="shared" si="25"/>
        <v>0</v>
      </c>
      <c r="J23" s="29">
        <f t="shared" si="26"/>
        <v>0</v>
      </c>
      <c r="K23" s="7"/>
      <c r="L23" s="45">
        <f t="shared" si="27"/>
        <v>0</v>
      </c>
      <c r="M23" s="29">
        <f t="shared" si="28"/>
        <v>0</v>
      </c>
      <c r="N23" s="7"/>
      <c r="O23" s="45">
        <f t="shared" si="29"/>
        <v>0</v>
      </c>
      <c r="P23" s="29">
        <f t="shared" si="30"/>
        <v>0</v>
      </c>
      <c r="Q23" s="7"/>
      <c r="R23" s="45">
        <f t="shared" si="31"/>
        <v>0</v>
      </c>
      <c r="S23" s="29">
        <f t="shared" si="32"/>
        <v>0</v>
      </c>
      <c r="T23" s="8">
        <f t="shared" si="34"/>
        <v>0</v>
      </c>
      <c r="U23" s="31">
        <f t="shared" si="33"/>
        <v>0</v>
      </c>
      <c r="W23" s="158">
        <v>44641</v>
      </c>
      <c r="X23" s="159"/>
      <c r="Y23" s="164">
        <f t="shared" si="20"/>
        <v>0</v>
      </c>
      <c r="Z23" s="159"/>
      <c r="AA23" s="164">
        <f t="shared" si="20"/>
        <v>0</v>
      </c>
      <c r="AB23" s="159"/>
      <c r="AC23" s="164">
        <f t="shared" si="20"/>
        <v>0</v>
      </c>
      <c r="AD23" s="159"/>
      <c r="AE23" s="164">
        <f t="shared" si="20"/>
        <v>0</v>
      </c>
      <c r="AF23" s="159"/>
      <c r="AG23" s="164">
        <f t="shared" si="20"/>
        <v>0</v>
      </c>
    </row>
    <row r="24" spans="1:33" ht="16.5" thickBot="1" x14ac:dyDescent="0.25">
      <c r="A24" s="9">
        <v>44642</v>
      </c>
      <c r="B24" s="161"/>
      <c r="C24" s="45">
        <f t="shared" si="21"/>
        <v>0</v>
      </c>
      <c r="D24" s="29">
        <f t="shared" si="22"/>
        <v>0</v>
      </c>
      <c r="E24" s="1"/>
      <c r="F24" s="45">
        <f t="shared" si="23"/>
        <v>0</v>
      </c>
      <c r="G24" s="29">
        <f t="shared" si="24"/>
        <v>0</v>
      </c>
      <c r="H24" s="1"/>
      <c r="I24" s="45">
        <f t="shared" si="25"/>
        <v>0</v>
      </c>
      <c r="J24" s="29">
        <f t="shared" si="26"/>
        <v>0</v>
      </c>
      <c r="K24" s="7"/>
      <c r="L24" s="45">
        <f t="shared" si="27"/>
        <v>0</v>
      </c>
      <c r="M24" s="29">
        <f t="shared" si="28"/>
        <v>0</v>
      </c>
      <c r="N24" s="7"/>
      <c r="O24" s="45">
        <f t="shared" si="29"/>
        <v>0</v>
      </c>
      <c r="P24" s="29">
        <f t="shared" si="30"/>
        <v>0</v>
      </c>
      <c r="Q24" s="7"/>
      <c r="R24" s="45">
        <f t="shared" si="31"/>
        <v>0</v>
      </c>
      <c r="S24" s="29">
        <f t="shared" si="32"/>
        <v>0</v>
      </c>
      <c r="T24" s="8">
        <f t="shared" si="34"/>
        <v>0</v>
      </c>
      <c r="U24" s="31">
        <f t="shared" si="33"/>
        <v>0</v>
      </c>
      <c r="W24" s="158">
        <v>44642</v>
      </c>
      <c r="X24" s="159"/>
      <c r="Y24" s="164">
        <f t="shared" si="20"/>
        <v>0</v>
      </c>
      <c r="Z24" s="159"/>
      <c r="AA24" s="164">
        <f t="shared" si="20"/>
        <v>0</v>
      </c>
      <c r="AB24" s="159"/>
      <c r="AC24" s="164">
        <f t="shared" si="20"/>
        <v>0</v>
      </c>
      <c r="AD24" s="159"/>
      <c r="AE24" s="164">
        <f t="shared" si="20"/>
        <v>0</v>
      </c>
      <c r="AF24" s="159"/>
      <c r="AG24" s="164">
        <f t="shared" si="20"/>
        <v>0</v>
      </c>
    </row>
    <row r="25" spans="1:33" ht="16.5" thickBot="1" x14ac:dyDescent="0.25">
      <c r="A25" s="9">
        <v>44643</v>
      </c>
      <c r="B25" s="161"/>
      <c r="C25" s="45">
        <f t="shared" si="21"/>
        <v>0</v>
      </c>
      <c r="D25" s="29">
        <f t="shared" si="22"/>
        <v>0</v>
      </c>
      <c r="E25" s="1"/>
      <c r="F25" s="45">
        <f t="shared" si="23"/>
        <v>0</v>
      </c>
      <c r="G25" s="29">
        <f t="shared" si="24"/>
        <v>0</v>
      </c>
      <c r="H25" s="1"/>
      <c r="I25" s="45">
        <f t="shared" si="25"/>
        <v>0</v>
      </c>
      <c r="J25" s="29">
        <f t="shared" si="26"/>
        <v>0</v>
      </c>
      <c r="K25" s="7"/>
      <c r="L25" s="45">
        <f t="shared" si="27"/>
        <v>0</v>
      </c>
      <c r="M25" s="29">
        <f t="shared" si="28"/>
        <v>0</v>
      </c>
      <c r="N25" s="7"/>
      <c r="O25" s="45">
        <f t="shared" si="29"/>
        <v>0</v>
      </c>
      <c r="P25" s="29">
        <f t="shared" si="30"/>
        <v>0</v>
      </c>
      <c r="Q25" s="7"/>
      <c r="R25" s="45">
        <f t="shared" si="31"/>
        <v>0</v>
      </c>
      <c r="S25" s="29">
        <f t="shared" si="32"/>
        <v>0</v>
      </c>
      <c r="T25" s="8">
        <f t="shared" si="34"/>
        <v>0</v>
      </c>
      <c r="U25" s="31">
        <f t="shared" si="33"/>
        <v>0</v>
      </c>
      <c r="W25" s="158">
        <v>44643</v>
      </c>
      <c r="X25" s="159"/>
      <c r="Y25" s="164">
        <f t="shared" si="20"/>
        <v>0</v>
      </c>
      <c r="Z25" s="159"/>
      <c r="AA25" s="164">
        <f t="shared" si="20"/>
        <v>0</v>
      </c>
      <c r="AB25" s="159"/>
      <c r="AC25" s="164">
        <f t="shared" si="20"/>
        <v>0</v>
      </c>
      <c r="AD25" s="159"/>
      <c r="AE25" s="164">
        <f t="shared" si="20"/>
        <v>0</v>
      </c>
      <c r="AF25" s="159"/>
      <c r="AG25" s="164">
        <f t="shared" si="20"/>
        <v>0</v>
      </c>
    </row>
    <row r="26" spans="1:33" ht="16.5" thickBot="1" x14ac:dyDescent="0.25">
      <c r="A26" s="9">
        <v>44644</v>
      </c>
      <c r="B26" s="161"/>
      <c r="C26" s="45">
        <f t="shared" si="21"/>
        <v>0</v>
      </c>
      <c r="D26" s="29">
        <f t="shared" si="22"/>
        <v>0</v>
      </c>
      <c r="E26" s="1"/>
      <c r="F26" s="45">
        <f t="shared" si="23"/>
        <v>0</v>
      </c>
      <c r="G26" s="29">
        <f t="shared" si="24"/>
        <v>0</v>
      </c>
      <c r="H26" s="1"/>
      <c r="I26" s="45">
        <f t="shared" si="25"/>
        <v>0</v>
      </c>
      <c r="J26" s="29">
        <f t="shared" si="26"/>
        <v>0</v>
      </c>
      <c r="K26" s="7"/>
      <c r="L26" s="45">
        <f>IF((K26-K25)&lt;0,"0",(K26-K25))</f>
        <v>0</v>
      </c>
      <c r="M26" s="29">
        <f t="shared" si="28"/>
        <v>0</v>
      </c>
      <c r="N26" s="7"/>
      <c r="O26" s="45">
        <f t="shared" si="29"/>
        <v>0</v>
      </c>
      <c r="P26" s="29">
        <f t="shared" si="30"/>
        <v>0</v>
      </c>
      <c r="Q26" s="7"/>
      <c r="R26" s="45">
        <f t="shared" si="31"/>
        <v>0</v>
      </c>
      <c r="S26" s="29">
        <f t="shared" si="32"/>
        <v>0</v>
      </c>
      <c r="T26" s="8">
        <f t="shared" si="34"/>
        <v>0</v>
      </c>
      <c r="U26" s="31">
        <f t="shared" si="33"/>
        <v>0</v>
      </c>
      <c r="V26" t="s">
        <v>12</v>
      </c>
      <c r="W26" s="158">
        <v>44644</v>
      </c>
      <c r="X26" s="159"/>
      <c r="Y26" s="164">
        <f t="shared" si="20"/>
        <v>0</v>
      </c>
      <c r="Z26" s="159"/>
      <c r="AA26" s="164">
        <f t="shared" si="20"/>
        <v>0</v>
      </c>
      <c r="AB26" s="159"/>
      <c r="AC26" s="164">
        <f t="shared" si="20"/>
        <v>0</v>
      </c>
      <c r="AD26" s="159"/>
      <c r="AE26" s="164">
        <f t="shared" si="20"/>
        <v>0</v>
      </c>
      <c r="AF26" s="159"/>
      <c r="AG26" s="164">
        <f t="shared" si="20"/>
        <v>0</v>
      </c>
    </row>
    <row r="27" spans="1:33" ht="16.5" thickBot="1" x14ac:dyDescent="0.25">
      <c r="A27" s="9">
        <v>44645</v>
      </c>
      <c r="B27" s="161"/>
      <c r="C27" s="45">
        <f t="shared" si="21"/>
        <v>0</v>
      </c>
      <c r="D27" s="29">
        <f t="shared" si="22"/>
        <v>0</v>
      </c>
      <c r="E27" s="1"/>
      <c r="F27" s="45">
        <f t="shared" si="23"/>
        <v>0</v>
      </c>
      <c r="G27" s="29">
        <f t="shared" si="24"/>
        <v>0</v>
      </c>
      <c r="H27" s="1"/>
      <c r="I27" s="45">
        <f t="shared" si="25"/>
        <v>0</v>
      </c>
      <c r="J27" s="29">
        <f t="shared" si="26"/>
        <v>0</v>
      </c>
      <c r="K27" s="7"/>
      <c r="L27" s="45">
        <f t="shared" si="27"/>
        <v>0</v>
      </c>
      <c r="M27" s="29">
        <f t="shared" si="28"/>
        <v>0</v>
      </c>
      <c r="N27" s="7"/>
      <c r="O27" s="45">
        <f t="shared" si="29"/>
        <v>0</v>
      </c>
      <c r="P27" s="29">
        <f t="shared" si="30"/>
        <v>0</v>
      </c>
      <c r="Q27" s="7"/>
      <c r="R27" s="45">
        <f t="shared" si="31"/>
        <v>0</v>
      </c>
      <c r="S27" s="29">
        <f t="shared" si="32"/>
        <v>0</v>
      </c>
      <c r="T27" s="8">
        <f t="shared" si="34"/>
        <v>0</v>
      </c>
      <c r="U27" s="31">
        <f t="shared" si="33"/>
        <v>0</v>
      </c>
      <c r="V27" t="s">
        <v>12</v>
      </c>
      <c r="W27" s="158">
        <v>44645</v>
      </c>
      <c r="X27" s="159"/>
      <c r="Y27" s="164">
        <f t="shared" si="20"/>
        <v>0</v>
      </c>
      <c r="Z27" s="159"/>
      <c r="AA27" s="164">
        <f t="shared" si="20"/>
        <v>0</v>
      </c>
      <c r="AB27" s="159"/>
      <c r="AC27" s="164">
        <f t="shared" si="20"/>
        <v>0</v>
      </c>
      <c r="AD27" s="159"/>
      <c r="AE27" s="164">
        <f t="shared" si="20"/>
        <v>0</v>
      </c>
      <c r="AF27" s="159"/>
      <c r="AG27" s="164">
        <f t="shared" si="20"/>
        <v>0</v>
      </c>
    </row>
    <row r="28" spans="1:33" ht="16.5" thickBot="1" x14ac:dyDescent="0.25">
      <c r="A28" s="9">
        <v>44646</v>
      </c>
      <c r="B28" s="161"/>
      <c r="C28" s="45">
        <f t="shared" si="21"/>
        <v>0</v>
      </c>
      <c r="D28" s="29">
        <f t="shared" si="22"/>
        <v>0</v>
      </c>
      <c r="E28" s="1"/>
      <c r="F28" s="45">
        <f t="shared" si="23"/>
        <v>0</v>
      </c>
      <c r="G28" s="29">
        <f t="shared" si="24"/>
        <v>0</v>
      </c>
      <c r="H28" s="1"/>
      <c r="I28" s="45">
        <f t="shared" si="25"/>
        <v>0</v>
      </c>
      <c r="J28" s="29">
        <f t="shared" si="26"/>
        <v>0</v>
      </c>
      <c r="K28" s="7"/>
      <c r="L28" s="45">
        <f t="shared" si="27"/>
        <v>0</v>
      </c>
      <c r="M28" s="29">
        <f t="shared" si="28"/>
        <v>0</v>
      </c>
      <c r="N28" s="7"/>
      <c r="O28" s="45">
        <f t="shared" si="29"/>
        <v>0</v>
      </c>
      <c r="P28" s="29">
        <f t="shared" si="30"/>
        <v>0</v>
      </c>
      <c r="Q28" s="7"/>
      <c r="R28" s="45">
        <f t="shared" si="31"/>
        <v>0</v>
      </c>
      <c r="S28" s="29">
        <f t="shared" si="32"/>
        <v>0</v>
      </c>
      <c r="T28" s="8">
        <f t="shared" si="34"/>
        <v>0</v>
      </c>
      <c r="U28" s="31">
        <f t="shared" si="33"/>
        <v>0</v>
      </c>
      <c r="W28" s="158">
        <v>44646</v>
      </c>
      <c r="X28" s="159"/>
      <c r="Y28" s="164">
        <f t="shared" si="20"/>
        <v>0</v>
      </c>
      <c r="Z28" s="159"/>
      <c r="AA28" s="164">
        <f t="shared" si="20"/>
        <v>0</v>
      </c>
      <c r="AB28" s="159"/>
      <c r="AC28" s="164">
        <f t="shared" si="20"/>
        <v>0</v>
      </c>
      <c r="AD28" s="159"/>
      <c r="AE28" s="164">
        <f t="shared" si="20"/>
        <v>0</v>
      </c>
      <c r="AF28" s="159"/>
      <c r="AG28" s="164">
        <f t="shared" si="20"/>
        <v>0</v>
      </c>
    </row>
    <row r="29" spans="1:33" ht="16.5" thickBot="1" x14ac:dyDescent="0.25">
      <c r="A29" s="9">
        <v>44647</v>
      </c>
      <c r="B29" s="161"/>
      <c r="C29" s="45">
        <f t="shared" si="21"/>
        <v>0</v>
      </c>
      <c r="D29" s="29">
        <f t="shared" si="22"/>
        <v>0</v>
      </c>
      <c r="E29" s="1"/>
      <c r="F29" s="45">
        <f t="shared" si="23"/>
        <v>0</v>
      </c>
      <c r="G29" s="29">
        <f t="shared" si="24"/>
        <v>0</v>
      </c>
      <c r="H29" s="1"/>
      <c r="I29" s="45">
        <f t="shared" si="25"/>
        <v>0</v>
      </c>
      <c r="J29" s="29">
        <f t="shared" si="26"/>
        <v>0</v>
      </c>
      <c r="K29" s="7"/>
      <c r="L29" s="45">
        <f t="shared" si="27"/>
        <v>0</v>
      </c>
      <c r="M29" s="29">
        <f t="shared" si="28"/>
        <v>0</v>
      </c>
      <c r="N29" s="7"/>
      <c r="O29" s="45">
        <f t="shared" si="29"/>
        <v>0</v>
      </c>
      <c r="P29" s="29">
        <f t="shared" si="30"/>
        <v>0</v>
      </c>
      <c r="Q29" s="7"/>
      <c r="R29" s="45">
        <f t="shared" si="31"/>
        <v>0</v>
      </c>
      <c r="S29" s="29">
        <f t="shared" si="32"/>
        <v>0</v>
      </c>
      <c r="T29" s="8">
        <f t="shared" si="34"/>
        <v>0</v>
      </c>
      <c r="U29" s="31">
        <f t="shared" si="33"/>
        <v>0</v>
      </c>
      <c r="W29" s="158">
        <v>44647</v>
      </c>
      <c r="X29" s="159"/>
      <c r="Y29" s="164">
        <f t="shared" si="20"/>
        <v>0</v>
      </c>
      <c r="Z29" s="159"/>
      <c r="AA29" s="164">
        <f t="shared" si="20"/>
        <v>0</v>
      </c>
      <c r="AB29" s="159"/>
      <c r="AC29" s="164">
        <f t="shared" si="20"/>
        <v>0</v>
      </c>
      <c r="AD29" s="159"/>
      <c r="AE29" s="164">
        <f t="shared" si="20"/>
        <v>0</v>
      </c>
      <c r="AF29" s="159"/>
      <c r="AG29" s="164">
        <f t="shared" si="20"/>
        <v>0</v>
      </c>
    </row>
    <row r="30" spans="1:33" ht="16.5" thickBot="1" x14ac:dyDescent="0.25">
      <c r="A30" s="9">
        <v>44648</v>
      </c>
      <c r="B30" s="161"/>
      <c r="C30" s="45">
        <f t="shared" si="21"/>
        <v>0</v>
      </c>
      <c r="D30" s="29">
        <f t="shared" si="22"/>
        <v>0</v>
      </c>
      <c r="E30" s="1"/>
      <c r="F30" s="45">
        <f t="shared" si="23"/>
        <v>0</v>
      </c>
      <c r="G30" s="29">
        <f t="shared" si="24"/>
        <v>0</v>
      </c>
      <c r="H30" s="1"/>
      <c r="I30" s="45">
        <f t="shared" si="25"/>
        <v>0</v>
      </c>
      <c r="J30" s="29">
        <f t="shared" si="26"/>
        <v>0</v>
      </c>
      <c r="K30" s="7"/>
      <c r="L30" s="45">
        <f t="shared" si="27"/>
        <v>0</v>
      </c>
      <c r="M30" s="29">
        <f t="shared" si="28"/>
        <v>0</v>
      </c>
      <c r="N30" s="7"/>
      <c r="O30" s="45">
        <f t="shared" si="29"/>
        <v>0</v>
      </c>
      <c r="P30" s="29">
        <f t="shared" si="30"/>
        <v>0</v>
      </c>
      <c r="Q30" s="7"/>
      <c r="R30" s="45">
        <f t="shared" si="31"/>
        <v>0</v>
      </c>
      <c r="S30" s="29">
        <f t="shared" si="32"/>
        <v>0</v>
      </c>
      <c r="T30" s="8">
        <f t="shared" si="34"/>
        <v>0</v>
      </c>
      <c r="U30" s="31">
        <f t="shared" si="33"/>
        <v>0</v>
      </c>
      <c r="W30" s="158">
        <v>44648</v>
      </c>
      <c r="X30" s="159"/>
      <c r="Y30" s="164">
        <f t="shared" si="20"/>
        <v>0</v>
      </c>
      <c r="Z30" s="159"/>
      <c r="AA30" s="164">
        <f t="shared" si="20"/>
        <v>0</v>
      </c>
      <c r="AB30" s="159"/>
      <c r="AC30" s="164">
        <f t="shared" si="20"/>
        <v>0</v>
      </c>
      <c r="AD30" s="159"/>
      <c r="AE30" s="164">
        <f t="shared" si="20"/>
        <v>0</v>
      </c>
      <c r="AF30" s="159"/>
      <c r="AG30" s="164">
        <f t="shared" si="20"/>
        <v>0</v>
      </c>
    </row>
    <row r="31" spans="1:33" s="23" customFormat="1" ht="16.5" thickBot="1" x14ac:dyDescent="0.25">
      <c r="A31" s="6" t="s">
        <v>23</v>
      </c>
      <c r="B31" s="162"/>
      <c r="C31" s="45">
        <f>SUM(C2:C30)</f>
        <v>43.852999999999156</v>
      </c>
      <c r="D31" s="138">
        <f>SUM(D3:D30)</f>
        <v>83320.699999998396</v>
      </c>
      <c r="E31" s="138"/>
      <c r="F31" s="45">
        <f>SUM(F2:F30)</f>
        <v>11.806000000000495</v>
      </c>
      <c r="G31" s="138">
        <f>SUM(G3:G30)</f>
        <v>22431.40000000094</v>
      </c>
      <c r="H31" s="138"/>
      <c r="I31" s="45">
        <f>SUM(I2:I30)</f>
        <v>70</v>
      </c>
      <c r="J31" s="138">
        <f>SUM(J3:J30)</f>
        <v>133000</v>
      </c>
      <c r="K31" s="138"/>
      <c r="L31" s="45">
        <f>SUM(L2:L30)</f>
        <v>0</v>
      </c>
      <c r="M31" s="138">
        <f>SUM(M3:M30)</f>
        <v>0</v>
      </c>
      <c r="N31" s="138"/>
      <c r="O31" s="45">
        <f>SUM(O2:O30)</f>
        <v>15.811999999999898</v>
      </c>
      <c r="P31" s="138">
        <f>SUM(P3:P30)</f>
        <v>30042.799999999803</v>
      </c>
      <c r="Q31" s="138"/>
      <c r="R31" s="45">
        <f>SUM(R3:R30)</f>
        <v>2.3000000000001819</v>
      </c>
      <c r="S31" s="138">
        <f>SUM(S3:S30)</f>
        <v>4370.0000000003456</v>
      </c>
      <c r="T31" s="138">
        <f>SUM(T3:T30)</f>
        <v>143.77099999999973</v>
      </c>
      <c r="U31" s="138">
        <f>SUM(U3:U30)</f>
        <v>273164.8999999995</v>
      </c>
      <c r="V31"/>
      <c r="W31" s="138" t="s">
        <v>141</v>
      </c>
      <c r="X31" s="138"/>
      <c r="Y31" s="138">
        <f>SUM(Y2:Y30)</f>
        <v>165967</v>
      </c>
      <c r="Z31" s="138"/>
      <c r="AA31" s="138">
        <f>SUM(AA2:AA30)</f>
        <v>8661</v>
      </c>
      <c r="AB31" s="138"/>
      <c r="AC31" s="138">
        <f>SUM(AC2:AC30)</f>
        <v>3.8000000000000007</v>
      </c>
      <c r="AD31" s="138"/>
      <c r="AE31" s="138">
        <f>SUM(AE2:AE30)</f>
        <v>41</v>
      </c>
      <c r="AF31" s="138">
        <v>0</v>
      </c>
      <c r="AG31" s="138">
        <f>SUM(AG2:AG30)</f>
        <v>203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K36" sqref="K3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1" ht="24" thickBot="1" x14ac:dyDescent="0.25">
      <c r="A1" s="173" t="s">
        <v>148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96"/>
      <c r="B2" s="97" t="s">
        <v>92</v>
      </c>
      <c r="C2" s="98">
        <f>K8+K9+K14</f>
        <v>-69797945</v>
      </c>
      <c r="D2" s="98">
        <f>C2*1.27</f>
        <v>-88643390.150000006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0</v>
      </c>
      <c r="K3" s="93">
        <f>J3-I3</f>
        <v>-29954894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0</v>
      </c>
      <c r="K4" s="93">
        <f>J4-I4</f>
        <v>-95625099</v>
      </c>
    </row>
    <row r="5" spans="1:11" ht="13.5" thickBot="1" x14ac:dyDescent="0.25">
      <c r="A5" s="96"/>
      <c r="B5" s="102" t="s">
        <v>27</v>
      </c>
      <c r="C5" s="106">
        <f>(K10+K12)*0.842284+K26</f>
        <v>-34041297.217572004</v>
      </c>
      <c r="D5" s="106">
        <f t="shared" ref="D5:D11" si="0">C5*1.27</f>
        <v>-43232447.466316447</v>
      </c>
      <c r="E5" s="107"/>
      <c r="F5" s="96"/>
      <c r="G5" s="96"/>
      <c r="H5" s="102" t="s">
        <v>23</v>
      </c>
      <c r="I5" s="108"/>
      <c r="J5" s="108"/>
      <c r="K5" s="128">
        <f>K3+K4</f>
        <v>-125579993</v>
      </c>
    </row>
    <row r="6" spans="1:11" ht="13.5" thickBot="1" x14ac:dyDescent="0.25">
      <c r="A6" s="96"/>
      <c r="B6" s="102" t="s">
        <v>99</v>
      </c>
      <c r="C6" s="106">
        <f>(K10+K12+K26)*0.1488</f>
        <v>-5927496.0623999992</v>
      </c>
      <c r="D6" s="106">
        <f t="shared" si="0"/>
        <v>-7527919.9992479989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0</v>
      </c>
      <c r="K6" s="93">
        <f>J6-I6</f>
        <v>-9508424</v>
      </c>
    </row>
    <row r="7" spans="1:11" ht="13.5" thickBot="1" x14ac:dyDescent="0.25">
      <c r="A7" s="96"/>
      <c r="B7" s="102" t="s">
        <v>101</v>
      </c>
      <c r="C7" s="106">
        <f>(K6+K7)-(C8+C9+C10+C11+K26)</f>
        <v>-16149799</v>
      </c>
      <c r="D7" s="106">
        <f t="shared" si="0"/>
        <v>-20510244.73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0</v>
      </c>
      <c r="K7" s="93">
        <f>J7-I7</f>
        <v>-9536541</v>
      </c>
    </row>
    <row r="8" spans="1:11" ht="13.5" thickBot="1" x14ac:dyDescent="0.25">
      <c r="A8" s="96"/>
      <c r="B8" s="102" t="s">
        <v>103</v>
      </c>
      <c r="C8" s="106">
        <f>K21+K22+K23+K24</f>
        <v>14871</v>
      </c>
      <c r="D8" s="106">
        <f t="shared" si="0"/>
        <v>18886.170000000002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0</v>
      </c>
      <c r="K8" s="93">
        <f>(J8-I8)*2</f>
        <v>-12723988</v>
      </c>
    </row>
    <row r="9" spans="1:11" ht="13.5" thickBot="1" x14ac:dyDescent="0.25">
      <c r="A9" s="96"/>
      <c r="B9" s="102" t="s">
        <v>137</v>
      </c>
      <c r="C9" s="106">
        <f>K25+K16+K17</f>
        <v>181136</v>
      </c>
      <c r="D9" s="106">
        <f t="shared" si="0"/>
        <v>230042.72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0</v>
      </c>
      <c r="K9" s="93">
        <f>J9-I9</f>
        <v>-5933917</v>
      </c>
    </row>
    <row r="10" spans="1:11" ht="13.5" thickBot="1" x14ac:dyDescent="0.25">
      <c r="A10" s="96"/>
      <c r="B10" s="102" t="s">
        <v>106</v>
      </c>
      <c r="C10" s="106">
        <f>K18</f>
        <v>6240</v>
      </c>
      <c r="D10" s="106">
        <f t="shared" si="0"/>
        <v>7924.8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0</v>
      </c>
      <c r="K10" s="93">
        <f>J10-I10</f>
        <v>-20312853</v>
      </c>
    </row>
    <row r="11" spans="1:11" ht="13.5" thickBot="1" x14ac:dyDescent="0.25">
      <c r="A11" s="96"/>
      <c r="B11" s="102" t="s">
        <v>108</v>
      </c>
      <c r="C11" s="106">
        <f>K19+K20</f>
        <v>827</v>
      </c>
      <c r="D11" s="106">
        <f t="shared" si="0"/>
        <v>1050.29</v>
      </c>
      <c r="E11" s="107"/>
      <c r="F11" s="96"/>
      <c r="G11" s="96"/>
      <c r="H11" s="102" t="s">
        <v>109</v>
      </c>
      <c r="I11" s="109">
        <v>0</v>
      </c>
      <c r="J11" s="135">
        <f>ELECT.!G37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0</v>
      </c>
      <c r="K12" s="93">
        <f>(J12-I12)*2</f>
        <v>-16424230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-74439953</v>
      </c>
    </row>
    <row r="14" spans="1:11" ht="13.5" thickBot="1" x14ac:dyDescent="0.25">
      <c r="A14" s="96"/>
      <c r="B14" s="102" t="s">
        <v>42</v>
      </c>
      <c r="C14" s="106">
        <f>K29</f>
        <v>-4407390</v>
      </c>
      <c r="D14" s="114">
        <f t="shared" ref="D14:D22" si="1">C14*10.03</f>
        <v>-44206121.699999996</v>
      </c>
      <c r="E14" s="115"/>
      <c r="F14" s="96"/>
      <c r="G14" s="96"/>
      <c r="H14" s="102" t="s">
        <v>114</v>
      </c>
      <c r="I14" s="111"/>
      <c r="J14" s="112"/>
      <c r="K14" s="94">
        <f>K5-K13</f>
        <v>-51140040</v>
      </c>
    </row>
    <row r="15" spans="1:11" ht="13.5" thickBot="1" x14ac:dyDescent="0.25">
      <c r="A15" s="96"/>
      <c r="B15" s="102" t="s">
        <v>115</v>
      </c>
      <c r="C15" s="116">
        <f>K30</f>
        <v>-20986.046999999999</v>
      </c>
      <c r="D15" s="114">
        <f t="shared" si="1"/>
        <v>-210490.05140999999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-578895.11700540001</v>
      </c>
      <c r="D16" s="114">
        <f t="shared" si="1"/>
        <v>-5806318.0235641617</v>
      </c>
      <c r="E16" s="115"/>
      <c r="F16" s="96"/>
      <c r="G16" s="96"/>
      <c r="H16" s="117" t="s">
        <v>136</v>
      </c>
      <c r="I16" s="118">
        <f>'Mall, Citadel, Rotana'!T2</f>
        <v>3940</v>
      </c>
      <c r="J16" s="118">
        <f>'Mall, Citadel, Rotana'!T30</f>
        <v>3957</v>
      </c>
      <c r="K16" s="95">
        <f>(J16-I16)*160</f>
        <v>2720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304628</v>
      </c>
      <c r="K17" s="95">
        <f>(J17-I17)*160</f>
        <v>177760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25937</v>
      </c>
      <c r="K18" s="95">
        <f>(J18-I18)*160</f>
        <v>6240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4" t="s">
        <v>116</v>
      </c>
      <c r="F19" s="175"/>
      <c r="G19" s="96"/>
      <c r="H19" s="117" t="s">
        <v>117</v>
      </c>
      <c r="I19" s="118">
        <f>'Mall, Citadel, Rotana'!P2</f>
        <v>143493</v>
      </c>
      <c r="J19" s="118">
        <f>'Mall, Citadel, Rotana'!P30</f>
        <v>144320</v>
      </c>
      <c r="K19" s="95">
        <f>J19-I19</f>
        <v>827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46756</v>
      </c>
      <c r="K21" s="95">
        <f>(J21-I21)*120</f>
        <v>7200</v>
      </c>
    </row>
    <row r="22" spans="1:11" ht="13.5" thickBot="1" x14ac:dyDescent="0.25">
      <c r="A22" s="96"/>
      <c r="B22" s="102" t="s">
        <v>119</v>
      </c>
      <c r="C22" s="114">
        <f>C14-(C15+C16+C17+C18+C19+C20+C21)</f>
        <v>-3813328.8359945999</v>
      </c>
      <c r="D22" s="114">
        <f t="shared" si="1"/>
        <v>-38247688.225025833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40385</v>
      </c>
      <c r="K22" s="95">
        <f>(J22-I22)*160</f>
        <v>6560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21421</v>
      </c>
      <c r="K23" s="95">
        <f>(J23-I23)*20</f>
        <v>920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254178</v>
      </c>
      <c r="K24" s="95">
        <f>J24-I24</f>
        <v>191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225782</v>
      </c>
      <c r="K25" s="95">
        <f>J25-I25</f>
        <v>656</v>
      </c>
    </row>
    <row r="26" spans="1:11" ht="13.5" thickBot="1" x14ac:dyDescent="0.25">
      <c r="A26" s="96"/>
      <c r="B26" s="102" t="s">
        <v>42</v>
      </c>
      <c r="C26" s="120">
        <f>K35</f>
        <v>-18058989</v>
      </c>
      <c r="D26" s="106">
        <f>C26*3.65</f>
        <v>-65915309.850000001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0</v>
      </c>
      <c r="K26" s="95">
        <f>(J26-I26)*160</f>
        <v>-3098240</v>
      </c>
    </row>
    <row r="27" spans="1:11" ht="13.5" thickBot="1" x14ac:dyDescent="0.25">
      <c r="A27" s="96"/>
      <c r="B27" s="97" t="s">
        <v>124</v>
      </c>
      <c r="C27" s="120">
        <f>C26</f>
        <v>-18058989</v>
      </c>
      <c r="D27" s="106">
        <f>C27*3.65</f>
        <v>-65915309.850000001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0</v>
      </c>
      <c r="K29" s="95">
        <f>(J29-I29)*10</f>
        <v>-4407390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0</v>
      </c>
      <c r="K30" s="95">
        <f>(J30-I30)*0.027</f>
        <v>-20986.046999999999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0</v>
      </c>
      <c r="K31" s="95">
        <f>(J31-I31)*0.027</f>
        <v>-111.672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0</v>
      </c>
      <c r="K32" s="95">
        <f>(J32-I32)*0.027</f>
        <v>-214814.7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0</v>
      </c>
      <c r="K35" s="126">
        <f>J35-I35</f>
        <v>-18058989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71" sqref="J7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145</v>
      </c>
      <c r="F1" s="60" t="s">
        <v>146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146</v>
      </c>
      <c r="M1" s="60" t="s">
        <v>147</v>
      </c>
      <c r="N1" s="60" t="s">
        <v>91</v>
      </c>
      <c r="O1" s="61" t="s">
        <v>79</v>
      </c>
    </row>
    <row r="2" spans="2:15" ht="15" x14ac:dyDescent="0.2">
      <c r="B2" s="58"/>
      <c r="C2" s="184">
        <v>6</v>
      </c>
      <c r="D2" s="62" t="s">
        <v>80</v>
      </c>
      <c r="E2" s="63">
        <v>284105</v>
      </c>
      <c r="F2" s="63">
        <v>284537</v>
      </c>
      <c r="G2" s="64">
        <f>F2-E2</f>
        <v>432</v>
      </c>
      <c r="H2" s="65"/>
      <c r="J2" s="184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92"/>
      <c r="D3" s="62" t="s">
        <v>81</v>
      </c>
      <c r="E3" s="63">
        <v>246986</v>
      </c>
      <c r="F3" s="63">
        <v>247802</v>
      </c>
      <c r="G3" s="64">
        <f t="shared" ref="G3:G43" si="0">F3-E3</f>
        <v>816</v>
      </c>
      <c r="H3" s="65"/>
      <c r="J3" s="192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85"/>
      <c r="D4" s="62" t="s">
        <v>82</v>
      </c>
      <c r="E4" s="63">
        <v>193547</v>
      </c>
      <c r="F4" s="63">
        <v>194082</v>
      </c>
      <c r="G4" s="64">
        <f t="shared" si="0"/>
        <v>535</v>
      </c>
      <c r="H4" s="65"/>
      <c r="J4" s="185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84">
        <v>7</v>
      </c>
      <c r="D5" s="62" t="s">
        <v>80</v>
      </c>
      <c r="E5" s="63">
        <v>247931</v>
      </c>
      <c r="F5" s="63">
        <v>249276</v>
      </c>
      <c r="G5" s="64">
        <f t="shared" si="0"/>
        <v>1345</v>
      </c>
      <c r="H5" s="65"/>
      <c r="J5" s="184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92"/>
      <c r="D6" s="62" t="s">
        <v>81</v>
      </c>
      <c r="E6" s="63">
        <v>154189</v>
      </c>
      <c r="F6" s="63">
        <v>154971</v>
      </c>
      <c r="G6" s="64">
        <f t="shared" si="0"/>
        <v>782</v>
      </c>
      <c r="H6" s="65"/>
      <c r="J6" s="192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85"/>
      <c r="D7" s="62" t="s">
        <v>82</v>
      </c>
      <c r="E7" s="63">
        <v>124119</v>
      </c>
      <c r="F7" s="63">
        <v>127915</v>
      </c>
      <c r="G7" s="64">
        <f t="shared" si="0"/>
        <v>3796</v>
      </c>
      <c r="H7" s="65"/>
      <c r="J7" s="185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84">
        <v>8</v>
      </c>
      <c r="D8" s="62" t="s">
        <v>80</v>
      </c>
      <c r="E8" s="63">
        <v>77296</v>
      </c>
      <c r="F8" s="63">
        <v>77530</v>
      </c>
      <c r="G8" s="64">
        <f t="shared" si="0"/>
        <v>234</v>
      </c>
      <c r="H8" s="65"/>
      <c r="J8" s="184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92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92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5"/>
      <c r="D10" s="62" t="s">
        <v>82</v>
      </c>
      <c r="E10" s="63">
        <v>101106</v>
      </c>
      <c r="F10" s="63">
        <v>101664</v>
      </c>
      <c r="G10" s="64">
        <f t="shared" si="0"/>
        <v>558</v>
      </c>
      <c r="H10" s="65"/>
      <c r="J10" s="185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84">
        <v>9</v>
      </c>
      <c r="D11" s="62" t="s">
        <v>80</v>
      </c>
      <c r="E11" s="63">
        <v>34764</v>
      </c>
      <c r="F11" s="63">
        <v>34790</v>
      </c>
      <c r="G11" s="64">
        <f t="shared" si="0"/>
        <v>26</v>
      </c>
      <c r="H11" s="65"/>
      <c r="J11" s="184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92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92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5"/>
      <c r="D13" s="62" t="s">
        <v>82</v>
      </c>
      <c r="E13" s="63">
        <v>29073</v>
      </c>
      <c r="F13" s="63">
        <v>29140</v>
      </c>
      <c r="G13" s="64">
        <f t="shared" si="0"/>
        <v>67</v>
      </c>
      <c r="H13" s="65"/>
      <c r="I13" s="67"/>
      <c r="J13" s="185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84">
        <v>10</v>
      </c>
      <c r="D14" s="62" t="s">
        <v>80</v>
      </c>
      <c r="E14" s="63">
        <v>206953</v>
      </c>
      <c r="F14" s="63">
        <v>209658</v>
      </c>
      <c r="G14" s="64">
        <f t="shared" si="0"/>
        <v>2705</v>
      </c>
      <c r="H14" s="65"/>
      <c r="I14" s="68"/>
      <c r="J14" s="184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92"/>
      <c r="D15" s="62" t="s">
        <v>81</v>
      </c>
      <c r="E15" s="63">
        <v>8002</v>
      </c>
      <c r="F15" s="63">
        <v>8002</v>
      </c>
      <c r="G15" s="64">
        <f t="shared" si="0"/>
        <v>0</v>
      </c>
      <c r="H15" s="65"/>
      <c r="I15" s="68"/>
      <c r="J15" s="192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85"/>
      <c r="D16" s="62" t="s">
        <v>82</v>
      </c>
      <c r="E16" s="63">
        <v>189492</v>
      </c>
      <c r="F16" s="63">
        <v>190512</v>
      </c>
      <c r="G16" s="64">
        <f t="shared" si="0"/>
        <v>1020</v>
      </c>
      <c r="H16" s="65"/>
      <c r="I16" s="68"/>
      <c r="J16" s="185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84">
        <v>11</v>
      </c>
      <c r="D17" s="62" t="s">
        <v>80</v>
      </c>
      <c r="E17" s="64">
        <v>66319</v>
      </c>
      <c r="F17" s="64">
        <v>66425</v>
      </c>
      <c r="G17" s="64">
        <f t="shared" si="0"/>
        <v>106</v>
      </c>
      <c r="H17" s="65"/>
      <c r="I17" s="68"/>
      <c r="J17" s="184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92"/>
      <c r="D18" s="62" t="s">
        <v>81</v>
      </c>
      <c r="E18" s="64">
        <v>218410</v>
      </c>
      <c r="F18" s="64">
        <v>221609</v>
      </c>
      <c r="G18" s="64">
        <f t="shared" si="0"/>
        <v>3199</v>
      </c>
      <c r="H18" s="65"/>
      <c r="I18" s="68"/>
      <c r="J18" s="192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85"/>
      <c r="D19" s="62" t="s">
        <v>82</v>
      </c>
      <c r="E19" s="63">
        <v>31038</v>
      </c>
      <c r="F19" s="63">
        <v>31076</v>
      </c>
      <c r="G19" s="64">
        <f t="shared" si="0"/>
        <v>38</v>
      </c>
      <c r="H19" s="65"/>
      <c r="I19" s="68"/>
      <c r="J19" s="185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84">
        <v>12</v>
      </c>
      <c r="D20" s="62" t="s">
        <v>80</v>
      </c>
      <c r="E20" s="144">
        <v>146609</v>
      </c>
      <c r="F20" s="144">
        <v>146699</v>
      </c>
      <c r="G20" s="64">
        <f t="shared" si="0"/>
        <v>90</v>
      </c>
      <c r="H20" s="65"/>
      <c r="I20" s="68"/>
      <c r="J20" s="184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92"/>
      <c r="D21" s="62" t="s">
        <v>81</v>
      </c>
      <c r="E21" s="63">
        <v>22540</v>
      </c>
      <c r="F21" s="63">
        <v>22561</v>
      </c>
      <c r="G21" s="64">
        <f t="shared" si="0"/>
        <v>21</v>
      </c>
      <c r="H21" s="65"/>
      <c r="I21" s="69" t="s">
        <v>12</v>
      </c>
      <c r="J21" s="192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85"/>
      <c r="D22" s="62" t="s">
        <v>82</v>
      </c>
      <c r="E22" s="63">
        <v>247487</v>
      </c>
      <c r="F22" s="63">
        <v>250241</v>
      </c>
      <c r="G22" s="64">
        <f t="shared" si="0"/>
        <v>2754</v>
      </c>
      <c r="H22" s="65"/>
      <c r="I22" s="68"/>
      <c r="J22" s="185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84">
        <v>14</v>
      </c>
      <c r="D23" s="62" t="s">
        <v>80</v>
      </c>
      <c r="E23" s="63">
        <v>117854</v>
      </c>
      <c r="F23" s="63">
        <v>118067</v>
      </c>
      <c r="G23" s="64">
        <f t="shared" si="0"/>
        <v>213</v>
      </c>
      <c r="H23" s="65"/>
      <c r="I23" s="68"/>
      <c r="J23" s="184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92"/>
      <c r="D24" s="62" t="s">
        <v>81</v>
      </c>
      <c r="E24" s="63">
        <v>29043</v>
      </c>
      <c r="F24" s="63">
        <v>31608</v>
      </c>
      <c r="G24" s="64">
        <f t="shared" si="0"/>
        <v>2565</v>
      </c>
      <c r="H24" s="65"/>
      <c r="I24" s="68"/>
      <c r="J24" s="192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85"/>
      <c r="D25" s="62" t="s">
        <v>82</v>
      </c>
      <c r="E25" s="63">
        <v>1832</v>
      </c>
      <c r="F25" s="63">
        <v>1857</v>
      </c>
      <c r="G25" s="64">
        <f t="shared" si="0"/>
        <v>25</v>
      </c>
      <c r="H25" s="65"/>
      <c r="I25" s="68"/>
      <c r="J25" s="185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84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84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92"/>
      <c r="D27" s="62" t="s">
        <v>81</v>
      </c>
      <c r="E27" s="63">
        <v>82681</v>
      </c>
      <c r="F27" s="63">
        <v>83088</v>
      </c>
      <c r="G27" s="64">
        <f t="shared" si="0"/>
        <v>407</v>
      </c>
      <c r="H27" s="65"/>
      <c r="I27" s="69" t="s">
        <v>12</v>
      </c>
      <c r="J27" s="192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85"/>
      <c r="D28" s="62" t="s">
        <v>82</v>
      </c>
      <c r="E28" s="63">
        <v>159338</v>
      </c>
      <c r="F28" s="63">
        <v>160195</v>
      </c>
      <c r="G28" s="64">
        <f t="shared" si="0"/>
        <v>857</v>
      </c>
      <c r="H28" s="65"/>
      <c r="I28" s="68"/>
      <c r="J28" s="185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84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84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92"/>
      <c r="D30" s="62" t="s">
        <v>81</v>
      </c>
      <c r="E30" s="144">
        <v>61655</v>
      </c>
      <c r="F30" s="144">
        <v>62114</v>
      </c>
      <c r="G30" s="64">
        <f t="shared" si="0"/>
        <v>459</v>
      </c>
      <c r="H30" s="65"/>
      <c r="I30" s="68"/>
      <c r="J30" s="192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85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5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84">
        <v>17</v>
      </c>
      <c r="D32" s="62" t="s">
        <v>80</v>
      </c>
      <c r="E32" s="63">
        <v>34445</v>
      </c>
      <c r="F32" s="63">
        <v>35693</v>
      </c>
      <c r="G32" s="64">
        <f t="shared" si="0"/>
        <v>1248</v>
      </c>
      <c r="H32" s="65"/>
      <c r="I32" s="68"/>
      <c r="J32" s="184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92"/>
      <c r="D33" s="62" t="s">
        <v>81</v>
      </c>
      <c r="E33" s="63">
        <v>64234</v>
      </c>
      <c r="F33" s="63">
        <v>64255</v>
      </c>
      <c r="G33" s="64">
        <f t="shared" si="0"/>
        <v>21</v>
      </c>
      <c r="H33" s="65"/>
      <c r="I33" s="68"/>
      <c r="J33" s="192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85"/>
      <c r="D34" s="62" t="s">
        <v>82</v>
      </c>
      <c r="E34" s="63">
        <v>11846</v>
      </c>
      <c r="F34" s="63">
        <v>11880</v>
      </c>
      <c r="G34" s="64">
        <f t="shared" si="0"/>
        <v>34</v>
      </c>
      <c r="H34" s="71"/>
      <c r="I34" s="68"/>
      <c r="J34" s="185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84">
        <v>18</v>
      </c>
      <c r="D35" s="62" t="s">
        <v>80</v>
      </c>
      <c r="E35" s="63">
        <v>247016</v>
      </c>
      <c r="F35" s="63">
        <v>248756</v>
      </c>
      <c r="G35" s="64">
        <f t="shared" si="0"/>
        <v>1740</v>
      </c>
      <c r="H35" s="71"/>
      <c r="I35" s="68"/>
      <c r="J35" s="184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92"/>
      <c r="D36" s="62" t="s">
        <v>81</v>
      </c>
      <c r="E36" s="63">
        <v>17669</v>
      </c>
      <c r="F36" s="63">
        <v>17669</v>
      </c>
      <c r="G36" s="64">
        <f t="shared" si="0"/>
        <v>0</v>
      </c>
      <c r="H36" s="65"/>
      <c r="I36" s="68"/>
      <c r="J36" s="192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85"/>
      <c r="D37" s="62" t="s">
        <v>82</v>
      </c>
      <c r="E37" s="63">
        <v>86391</v>
      </c>
      <c r="F37" s="63">
        <v>87815</v>
      </c>
      <c r="G37" s="64">
        <f t="shared" si="0"/>
        <v>1424</v>
      </c>
      <c r="H37" s="65"/>
      <c r="I37" s="68"/>
      <c r="J37" s="185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84">
        <v>19</v>
      </c>
      <c r="D38" s="62" t="s">
        <v>80</v>
      </c>
      <c r="E38" s="63">
        <v>22479</v>
      </c>
      <c r="F38" s="63">
        <v>22663</v>
      </c>
      <c r="G38" s="64">
        <f t="shared" si="0"/>
        <v>184</v>
      </c>
      <c r="H38" s="65"/>
      <c r="I38" s="68"/>
      <c r="J38" s="184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92"/>
      <c r="D39" s="62" t="s">
        <v>81</v>
      </c>
      <c r="E39" s="144">
        <v>84082</v>
      </c>
      <c r="F39" s="144">
        <v>84211</v>
      </c>
      <c r="G39" s="64">
        <f t="shared" si="0"/>
        <v>129</v>
      </c>
      <c r="H39" s="71"/>
      <c r="I39" s="68"/>
      <c r="J39" s="192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85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5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84">
        <v>20</v>
      </c>
      <c r="D41" s="62" t="s">
        <v>80</v>
      </c>
      <c r="E41" s="63">
        <v>120095</v>
      </c>
      <c r="F41" s="63">
        <v>120337</v>
      </c>
      <c r="G41" s="64">
        <f t="shared" si="0"/>
        <v>242</v>
      </c>
      <c r="H41" s="65"/>
      <c r="I41" s="68"/>
      <c r="J41" s="184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92"/>
      <c r="D42" s="62" t="s">
        <v>81</v>
      </c>
      <c r="E42" s="144">
        <v>69860</v>
      </c>
      <c r="F42" s="144">
        <v>69989</v>
      </c>
      <c r="G42" s="64">
        <f t="shared" si="0"/>
        <v>129</v>
      </c>
      <c r="H42" s="65"/>
      <c r="J42" s="192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85"/>
      <c r="D43" s="62" t="s">
        <v>82</v>
      </c>
      <c r="E43" s="63">
        <v>3319</v>
      </c>
      <c r="F43" s="63">
        <v>3391</v>
      </c>
      <c r="G43" s="64">
        <f t="shared" si="0"/>
        <v>72</v>
      </c>
      <c r="H43" s="65"/>
      <c r="J43" s="185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84">
        <v>21</v>
      </c>
      <c r="D45" s="76" t="s">
        <v>83</v>
      </c>
      <c r="E45" s="63">
        <v>3617</v>
      </c>
      <c r="F45" s="63">
        <v>3763</v>
      </c>
      <c r="G45" s="64">
        <f t="shared" ref="G45:G50" si="2">F45-E45</f>
        <v>146</v>
      </c>
      <c r="H45" s="66" t="s">
        <v>12</v>
      </c>
      <c r="J45" s="184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92"/>
      <c r="D46" s="76" t="s">
        <v>82</v>
      </c>
      <c r="E46" s="63">
        <v>42697</v>
      </c>
      <c r="F46" s="63">
        <v>43519</v>
      </c>
      <c r="G46" s="64">
        <f t="shared" si="2"/>
        <v>822</v>
      </c>
      <c r="H46" s="65"/>
      <c r="J46" s="192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84">
        <v>22</v>
      </c>
      <c r="D47" s="76" t="s">
        <v>83</v>
      </c>
      <c r="E47" s="63">
        <v>13661</v>
      </c>
      <c r="F47" s="63">
        <v>13685</v>
      </c>
      <c r="G47" s="64">
        <f t="shared" si="2"/>
        <v>24</v>
      </c>
      <c r="H47" s="65"/>
      <c r="I47" t="s">
        <v>12</v>
      </c>
      <c r="J47" s="184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92"/>
      <c r="D48" s="76" t="s">
        <v>82</v>
      </c>
      <c r="E48" s="63">
        <v>20506</v>
      </c>
      <c r="F48" s="63">
        <v>20650</v>
      </c>
      <c r="G48" s="64">
        <f t="shared" si="2"/>
        <v>144</v>
      </c>
      <c r="H48" s="65"/>
      <c r="J48" s="192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84">
        <v>23</v>
      </c>
      <c r="D49" s="62" t="s">
        <v>83</v>
      </c>
      <c r="E49" s="63"/>
      <c r="F49" s="63"/>
      <c r="G49" s="64">
        <f t="shared" si="2"/>
        <v>0</v>
      </c>
      <c r="H49" s="65"/>
      <c r="J49" s="184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92"/>
      <c r="D50" s="62" t="s">
        <v>82</v>
      </c>
      <c r="E50" s="63"/>
      <c r="F50" s="63"/>
      <c r="G50" s="64">
        <f t="shared" si="2"/>
        <v>0</v>
      </c>
      <c r="H50" s="65"/>
      <c r="J50" s="192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93">
        <v>24</v>
      </c>
      <c r="D52" s="62" t="s">
        <v>84</v>
      </c>
      <c r="E52" s="144">
        <v>247615</v>
      </c>
      <c r="F52" s="144">
        <v>250045</v>
      </c>
      <c r="G52" s="64">
        <f t="shared" ref="G52:G60" si="3">F52-E52</f>
        <v>2430</v>
      </c>
      <c r="H52" s="79"/>
      <c r="J52" s="193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94"/>
      <c r="D53" s="62" t="s">
        <v>85</v>
      </c>
      <c r="E53" s="144">
        <v>538600</v>
      </c>
      <c r="F53" s="144">
        <v>539089</v>
      </c>
      <c r="G53" s="64">
        <f t="shared" si="3"/>
        <v>489</v>
      </c>
      <c r="H53" s="71"/>
      <c r="J53" s="194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95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95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84">
        <v>25</v>
      </c>
      <c r="D55" s="62" t="s">
        <v>84</v>
      </c>
      <c r="E55" s="63">
        <v>330</v>
      </c>
      <c r="F55" s="63">
        <v>330</v>
      </c>
      <c r="G55" s="64">
        <f t="shared" si="3"/>
        <v>0</v>
      </c>
      <c r="H55" s="65"/>
      <c r="J55" s="184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5"/>
      <c r="D56" s="62" t="s">
        <v>85</v>
      </c>
      <c r="E56" s="63">
        <v>3</v>
      </c>
      <c r="F56" s="63">
        <v>3</v>
      </c>
      <c r="G56" s="64">
        <f t="shared" si="3"/>
        <v>0</v>
      </c>
      <c r="H56" s="65"/>
      <c r="J56" s="185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84">
        <v>26</v>
      </c>
      <c r="D57" s="62" t="s">
        <v>84</v>
      </c>
      <c r="E57" s="63">
        <v>722987</v>
      </c>
      <c r="F57" s="63">
        <v>726808</v>
      </c>
      <c r="G57" s="64">
        <f t="shared" si="3"/>
        <v>3821</v>
      </c>
      <c r="H57" s="65"/>
      <c r="J57" s="184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85"/>
      <c r="D58" s="62" t="s">
        <v>85</v>
      </c>
      <c r="E58" s="63">
        <v>795064</v>
      </c>
      <c r="F58" s="63">
        <v>799887</v>
      </c>
      <c r="G58" s="64">
        <f t="shared" si="3"/>
        <v>4823</v>
      </c>
      <c r="H58" s="71"/>
      <c r="I58" s="68"/>
      <c r="J58" s="185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84">
        <v>27</v>
      </c>
      <c r="D59" s="62" t="s">
        <v>84</v>
      </c>
      <c r="E59" s="63">
        <v>245231</v>
      </c>
      <c r="F59" s="63">
        <v>246605</v>
      </c>
      <c r="G59" s="64">
        <f t="shared" si="3"/>
        <v>1374</v>
      </c>
      <c r="H59" s="65"/>
      <c r="I59" s="68"/>
      <c r="J59" s="184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85"/>
      <c r="D60" s="62" t="s">
        <v>85</v>
      </c>
      <c r="E60" s="63">
        <v>103692</v>
      </c>
      <c r="F60" s="63">
        <v>104368</v>
      </c>
      <c r="G60" s="64">
        <f t="shared" si="3"/>
        <v>676</v>
      </c>
      <c r="H60" s="65"/>
      <c r="I60" s="68"/>
      <c r="J60" s="185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84">
        <v>28</v>
      </c>
      <c r="D62" s="179" t="s">
        <v>86</v>
      </c>
      <c r="E62" s="63"/>
      <c r="F62" s="63"/>
      <c r="G62" s="64"/>
      <c r="H62" s="181" t="s">
        <v>87</v>
      </c>
      <c r="I62" s="68"/>
      <c r="J62" s="184">
        <v>28</v>
      </c>
      <c r="K62" s="179" t="s">
        <v>86</v>
      </c>
      <c r="L62" s="63"/>
      <c r="M62" s="63"/>
      <c r="N62" s="64"/>
      <c r="O62" s="181" t="s">
        <v>87</v>
      </c>
    </row>
    <row r="63" spans="1:15" ht="15" x14ac:dyDescent="0.2">
      <c r="A63" s="68"/>
      <c r="B63" s="58"/>
      <c r="C63" s="185"/>
      <c r="D63" s="180"/>
      <c r="E63" s="63"/>
      <c r="F63" s="63"/>
      <c r="G63" s="64"/>
      <c r="H63" s="182"/>
      <c r="I63" s="68"/>
      <c r="J63" s="185"/>
      <c r="K63" s="180"/>
      <c r="L63" s="63"/>
      <c r="M63" s="63"/>
      <c r="N63" s="64"/>
      <c r="O63" s="182"/>
    </row>
    <row r="64" spans="1:15" x14ac:dyDescent="0.2">
      <c r="A64" s="68"/>
      <c r="B64" s="58"/>
      <c r="C64" s="183" t="s">
        <v>88</v>
      </c>
      <c r="D64" s="183"/>
      <c r="E64" s="183"/>
      <c r="F64" s="183"/>
      <c r="G64" s="82">
        <f>SUM(G2:G63)</f>
        <v>43022</v>
      </c>
      <c r="H64" s="83"/>
      <c r="I64" s="68"/>
      <c r="J64" s="183" t="s">
        <v>88</v>
      </c>
      <c r="K64" s="183"/>
      <c r="L64" s="183"/>
      <c r="M64" s="183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86">
        <v>44562</v>
      </c>
      <c r="C69" s="187"/>
      <c r="D69" s="187"/>
      <c r="E69" s="188"/>
      <c r="F69" s="86"/>
      <c r="G69" s="189">
        <v>44593</v>
      </c>
      <c r="H69" s="190"/>
      <c r="I69" s="190"/>
      <c r="J69" s="191"/>
      <c r="K69" s="86"/>
      <c r="L69" s="176" t="s">
        <v>25</v>
      </c>
      <c r="M69" s="177"/>
      <c r="N69" s="177"/>
      <c r="O69" s="178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96241</v>
      </c>
      <c r="D71" s="90">
        <v>57979</v>
      </c>
      <c r="E71" s="91">
        <v>78996</v>
      </c>
      <c r="F71" s="84"/>
      <c r="G71" s="88">
        <v>6</v>
      </c>
      <c r="H71" s="89">
        <v>96921</v>
      </c>
      <c r="I71" s="90">
        <v>58571</v>
      </c>
      <c r="J71" s="91">
        <v>78883</v>
      </c>
      <c r="K71" s="84"/>
      <c r="L71" s="87">
        <v>6</v>
      </c>
      <c r="M71" s="92">
        <f>H71-C71</f>
        <v>680</v>
      </c>
      <c r="N71" s="92">
        <f>I71-D71</f>
        <v>592</v>
      </c>
      <c r="O71" s="92">
        <f>J71-E71</f>
        <v>-113</v>
      </c>
    </row>
    <row r="72" spans="1:15" ht="15.75" thickBot="1" x14ac:dyDescent="0.25">
      <c r="A72" s="84"/>
      <c r="B72" s="88">
        <v>7</v>
      </c>
      <c r="C72" s="89">
        <v>99153</v>
      </c>
      <c r="D72" s="90">
        <v>105190</v>
      </c>
      <c r="E72" s="91">
        <v>65945</v>
      </c>
      <c r="F72" s="84"/>
      <c r="G72" s="88">
        <v>7</v>
      </c>
      <c r="H72" s="89">
        <v>100746</v>
      </c>
      <c r="I72" s="90">
        <v>105558</v>
      </c>
      <c r="J72" s="91">
        <v>67142</v>
      </c>
      <c r="K72" s="84"/>
      <c r="L72" s="87">
        <v>7</v>
      </c>
      <c r="M72" s="92">
        <f t="shared" ref="M72:O94" si="4">H72-C72</f>
        <v>1593</v>
      </c>
      <c r="N72" s="92">
        <f t="shared" si="4"/>
        <v>368</v>
      </c>
      <c r="O72" s="92">
        <f t="shared" si="4"/>
        <v>1197</v>
      </c>
    </row>
    <row r="73" spans="1:15" ht="15.75" thickBot="1" x14ac:dyDescent="0.25">
      <c r="A73" s="84"/>
      <c r="B73" s="88">
        <v>8</v>
      </c>
      <c r="C73" s="89">
        <v>116554</v>
      </c>
      <c r="D73" s="90">
        <v>259995</v>
      </c>
      <c r="E73" s="91">
        <v>112442</v>
      </c>
      <c r="F73" s="84"/>
      <c r="G73" s="88">
        <v>8</v>
      </c>
      <c r="H73" s="89">
        <v>118030</v>
      </c>
      <c r="I73" s="90">
        <v>261539</v>
      </c>
      <c r="J73" s="91">
        <v>112622</v>
      </c>
      <c r="K73" s="84"/>
      <c r="L73" s="87">
        <v>8</v>
      </c>
      <c r="M73" s="92">
        <f t="shared" si="4"/>
        <v>1476</v>
      </c>
      <c r="N73" s="92">
        <f t="shared" si="4"/>
        <v>1544</v>
      </c>
      <c r="O73" s="92">
        <f t="shared" si="4"/>
        <v>180</v>
      </c>
    </row>
    <row r="74" spans="1:15" ht="15.75" thickBot="1" x14ac:dyDescent="0.25">
      <c r="A74" s="84"/>
      <c r="B74" s="88">
        <v>9</v>
      </c>
      <c r="C74" s="89">
        <v>69440</v>
      </c>
      <c r="D74" s="90">
        <v>155691</v>
      </c>
      <c r="E74" s="91">
        <v>162462</v>
      </c>
      <c r="F74" s="84"/>
      <c r="G74" s="88">
        <v>9</v>
      </c>
      <c r="H74" s="89">
        <v>69480</v>
      </c>
      <c r="I74" s="90">
        <v>155877</v>
      </c>
      <c r="J74" s="91">
        <v>162864</v>
      </c>
      <c r="K74" s="84"/>
      <c r="L74" s="87">
        <v>9</v>
      </c>
      <c r="M74" s="92">
        <f t="shared" si="4"/>
        <v>40</v>
      </c>
      <c r="N74" s="92">
        <f t="shared" si="4"/>
        <v>186</v>
      </c>
      <c r="O74" s="92">
        <f t="shared" si="4"/>
        <v>402</v>
      </c>
    </row>
    <row r="75" spans="1:15" ht="15.75" thickBot="1" x14ac:dyDescent="0.25">
      <c r="A75" s="84"/>
      <c r="B75" s="88">
        <v>10</v>
      </c>
      <c r="C75" s="89">
        <v>75414</v>
      </c>
      <c r="D75" s="90">
        <v>120601</v>
      </c>
      <c r="E75" s="91">
        <v>151552</v>
      </c>
      <c r="F75" s="84"/>
      <c r="G75" s="88">
        <v>10</v>
      </c>
      <c r="H75" s="89">
        <v>76028</v>
      </c>
      <c r="I75" s="90">
        <v>122362</v>
      </c>
      <c r="J75" s="91">
        <v>152035</v>
      </c>
      <c r="K75" s="84"/>
      <c r="L75" s="87">
        <v>10</v>
      </c>
      <c r="M75" s="92">
        <f t="shared" si="4"/>
        <v>614</v>
      </c>
      <c r="N75" s="92">
        <f t="shared" si="4"/>
        <v>1761</v>
      </c>
      <c r="O75" s="92">
        <f t="shared" si="4"/>
        <v>483</v>
      </c>
    </row>
    <row r="76" spans="1:15" ht="15.75" thickBot="1" x14ac:dyDescent="0.25">
      <c r="A76" s="84"/>
      <c r="B76" s="88">
        <v>11</v>
      </c>
      <c r="C76" s="89">
        <v>160234</v>
      </c>
      <c r="D76" s="90">
        <v>187087</v>
      </c>
      <c r="E76" s="91">
        <v>213604</v>
      </c>
      <c r="F76" s="84"/>
      <c r="G76" s="88">
        <v>11</v>
      </c>
      <c r="H76" s="89">
        <v>160860</v>
      </c>
      <c r="I76" s="90">
        <v>187684</v>
      </c>
      <c r="J76" s="91">
        <v>213789</v>
      </c>
      <c r="K76" s="84"/>
      <c r="L76" s="87">
        <v>11</v>
      </c>
      <c r="M76" s="92">
        <f t="shared" si="4"/>
        <v>626</v>
      </c>
      <c r="N76" s="92">
        <f t="shared" si="4"/>
        <v>597</v>
      </c>
      <c r="O76" s="92">
        <f t="shared" si="4"/>
        <v>185</v>
      </c>
    </row>
    <row r="77" spans="1:15" ht="15.75" thickBot="1" x14ac:dyDescent="0.25">
      <c r="A77" s="84"/>
      <c r="B77" s="88">
        <v>12</v>
      </c>
      <c r="C77" s="89">
        <v>154103</v>
      </c>
      <c r="D77" s="90">
        <v>97979</v>
      </c>
      <c r="E77" s="91">
        <v>100805</v>
      </c>
      <c r="F77" s="84"/>
      <c r="G77" s="88">
        <v>12</v>
      </c>
      <c r="H77" s="89">
        <v>154866</v>
      </c>
      <c r="I77" s="90">
        <v>98098</v>
      </c>
      <c r="J77" s="91">
        <v>100979</v>
      </c>
      <c r="K77" s="84"/>
      <c r="L77" s="87">
        <v>12</v>
      </c>
      <c r="M77" s="92">
        <f t="shared" si="4"/>
        <v>763</v>
      </c>
      <c r="N77" s="92">
        <f>I77-D77</f>
        <v>119</v>
      </c>
      <c r="O77" s="92">
        <f t="shared" si="4"/>
        <v>174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48670</v>
      </c>
      <c r="E78" s="91">
        <v>51624</v>
      </c>
      <c r="F78" s="84"/>
      <c r="G78" s="88">
        <v>14</v>
      </c>
      <c r="H78" s="89">
        <v>123663</v>
      </c>
      <c r="I78" s="90">
        <v>48790</v>
      </c>
      <c r="J78" s="91">
        <v>51722</v>
      </c>
      <c r="K78" s="84"/>
      <c r="L78" s="87">
        <v>14</v>
      </c>
      <c r="M78" s="92">
        <f t="shared" si="4"/>
        <v>0</v>
      </c>
      <c r="N78" s="92">
        <f t="shared" si="4"/>
        <v>120</v>
      </c>
      <c r="O78" s="92">
        <f t="shared" si="4"/>
        <v>98</v>
      </c>
    </row>
    <row r="79" spans="1:15" ht="15.75" thickBot="1" x14ac:dyDescent="0.25">
      <c r="A79" s="84"/>
      <c r="B79" s="88">
        <v>15</v>
      </c>
      <c r="C79" s="89">
        <v>173715</v>
      </c>
      <c r="D79" s="90">
        <v>151139</v>
      </c>
      <c r="E79" s="91">
        <v>162272</v>
      </c>
      <c r="F79" s="84"/>
      <c r="G79" s="88">
        <v>15</v>
      </c>
      <c r="H79" s="89">
        <v>174745</v>
      </c>
      <c r="I79" s="90">
        <v>151401</v>
      </c>
      <c r="J79" s="91">
        <v>162986</v>
      </c>
      <c r="K79" s="84"/>
      <c r="L79" s="87">
        <v>15</v>
      </c>
      <c r="M79" s="92">
        <f t="shared" si="4"/>
        <v>1030</v>
      </c>
      <c r="N79" s="92">
        <f t="shared" si="4"/>
        <v>262</v>
      </c>
      <c r="O79" s="92">
        <f t="shared" si="4"/>
        <v>714</v>
      </c>
    </row>
    <row r="80" spans="1:15" ht="15.75" thickBot="1" x14ac:dyDescent="0.25">
      <c r="A80" s="84"/>
      <c r="B80" s="88">
        <v>16</v>
      </c>
      <c r="C80" s="89">
        <v>126099</v>
      </c>
      <c r="D80" s="90">
        <v>153497</v>
      </c>
      <c r="E80" s="91">
        <v>219346</v>
      </c>
      <c r="F80" s="84"/>
      <c r="G80" s="88">
        <v>16</v>
      </c>
      <c r="H80" s="89">
        <v>128474</v>
      </c>
      <c r="I80" s="90">
        <v>154577</v>
      </c>
      <c r="J80" s="91">
        <v>220156</v>
      </c>
      <c r="K80" s="84"/>
      <c r="L80" s="87">
        <v>16</v>
      </c>
      <c r="M80" s="92">
        <f t="shared" si="4"/>
        <v>2375</v>
      </c>
      <c r="N80" s="92">
        <f t="shared" si="4"/>
        <v>1080</v>
      </c>
      <c r="O80" s="92">
        <f t="shared" si="4"/>
        <v>810</v>
      </c>
    </row>
    <row r="81" spans="1:15" ht="15.75" thickBot="1" x14ac:dyDescent="0.25">
      <c r="A81" s="84"/>
      <c r="B81" s="88">
        <v>17</v>
      </c>
      <c r="C81" s="89">
        <v>38476</v>
      </c>
      <c r="D81" s="90">
        <v>87639</v>
      </c>
      <c r="E81" s="91">
        <v>203158</v>
      </c>
      <c r="F81" s="84"/>
      <c r="G81" s="88">
        <v>17</v>
      </c>
      <c r="H81" s="89">
        <v>38476</v>
      </c>
      <c r="I81" s="90">
        <v>88280</v>
      </c>
      <c r="J81" s="91">
        <v>203390</v>
      </c>
      <c r="K81" s="84"/>
      <c r="L81" s="87">
        <v>17</v>
      </c>
      <c r="M81" s="92">
        <f t="shared" si="4"/>
        <v>0</v>
      </c>
      <c r="N81" s="92">
        <f t="shared" si="4"/>
        <v>641</v>
      </c>
      <c r="O81" s="92">
        <f t="shared" si="4"/>
        <v>232</v>
      </c>
    </row>
    <row r="82" spans="1:15" ht="15.75" thickBot="1" x14ac:dyDescent="0.25">
      <c r="A82" s="84"/>
      <c r="B82" s="88">
        <v>18</v>
      </c>
      <c r="C82" s="89">
        <v>139676</v>
      </c>
      <c r="D82" s="90">
        <v>74819</v>
      </c>
      <c r="E82" s="91">
        <v>165245</v>
      </c>
      <c r="F82" s="84"/>
      <c r="G82" s="88">
        <v>18</v>
      </c>
      <c r="H82" s="89">
        <v>139948</v>
      </c>
      <c r="I82" s="90">
        <v>75336</v>
      </c>
      <c r="J82" s="91">
        <v>165407</v>
      </c>
      <c r="K82" s="84"/>
      <c r="L82" s="87">
        <v>18</v>
      </c>
      <c r="M82" s="92">
        <f t="shared" si="4"/>
        <v>272</v>
      </c>
      <c r="N82" s="92">
        <f t="shared" si="4"/>
        <v>517</v>
      </c>
      <c r="O82" s="92">
        <f t="shared" si="4"/>
        <v>162</v>
      </c>
    </row>
    <row r="83" spans="1:15" ht="15.75" thickBot="1" x14ac:dyDescent="0.25">
      <c r="A83" s="84"/>
      <c r="B83" s="88">
        <v>19</v>
      </c>
      <c r="C83" s="89">
        <v>78022</v>
      </c>
      <c r="D83" s="90">
        <v>174641</v>
      </c>
      <c r="E83" s="91">
        <v>127034</v>
      </c>
      <c r="F83" s="84"/>
      <c r="G83" s="88">
        <v>19</v>
      </c>
      <c r="H83" s="89">
        <v>78096</v>
      </c>
      <c r="I83" s="90">
        <v>175049</v>
      </c>
      <c r="J83" s="91">
        <v>128104</v>
      </c>
      <c r="K83" s="84"/>
      <c r="L83" s="87">
        <v>19</v>
      </c>
      <c r="M83" s="92">
        <f t="shared" si="4"/>
        <v>74</v>
      </c>
      <c r="N83" s="92">
        <f t="shared" si="4"/>
        <v>408</v>
      </c>
      <c r="O83" s="92">
        <f t="shared" si="4"/>
        <v>1070</v>
      </c>
    </row>
    <row r="84" spans="1:15" ht="15.75" thickBot="1" x14ac:dyDescent="0.25">
      <c r="A84" s="84"/>
      <c r="B84" s="88">
        <v>20</v>
      </c>
      <c r="C84" s="89">
        <v>145788</v>
      </c>
      <c r="D84" s="90">
        <v>176795</v>
      </c>
      <c r="E84" s="91">
        <v>89713</v>
      </c>
      <c r="F84" s="84"/>
      <c r="G84" s="88">
        <v>20</v>
      </c>
      <c r="H84" s="89">
        <v>146171</v>
      </c>
      <c r="I84" s="90">
        <v>177596</v>
      </c>
      <c r="J84" s="91">
        <v>89808</v>
      </c>
      <c r="K84" s="84"/>
      <c r="L84" s="87">
        <v>20</v>
      </c>
      <c r="M84" s="92">
        <f>H84-C84</f>
        <v>383</v>
      </c>
      <c r="N84" s="92">
        <f t="shared" si="4"/>
        <v>801</v>
      </c>
      <c r="O84" s="92">
        <f t="shared" si="4"/>
        <v>95</v>
      </c>
    </row>
    <row r="85" spans="1:15" ht="15.75" thickBot="1" x14ac:dyDescent="0.25">
      <c r="A85" s="84"/>
      <c r="B85" s="88">
        <v>21</v>
      </c>
      <c r="C85" s="89">
        <v>193349</v>
      </c>
      <c r="D85" s="90">
        <v>91372</v>
      </c>
      <c r="E85" s="91">
        <v>116339</v>
      </c>
      <c r="F85" s="84"/>
      <c r="G85" s="88">
        <v>21</v>
      </c>
      <c r="H85" s="89">
        <v>193497</v>
      </c>
      <c r="I85" s="90">
        <v>91747</v>
      </c>
      <c r="J85" s="91">
        <v>116887</v>
      </c>
      <c r="K85" s="84"/>
      <c r="L85" s="87">
        <v>21</v>
      </c>
      <c r="M85" s="92">
        <f t="shared" si="4"/>
        <v>148</v>
      </c>
      <c r="N85" s="92">
        <f t="shared" si="4"/>
        <v>375</v>
      </c>
      <c r="O85" s="92">
        <f t="shared" si="4"/>
        <v>548</v>
      </c>
    </row>
    <row r="86" spans="1:15" ht="15.75" thickBot="1" x14ac:dyDescent="0.25">
      <c r="A86" s="84"/>
      <c r="B86" s="88">
        <v>22</v>
      </c>
      <c r="C86" s="89">
        <v>140622</v>
      </c>
      <c r="D86" s="90">
        <v>99307</v>
      </c>
      <c r="E86" s="91">
        <v>121877</v>
      </c>
      <c r="F86" s="84"/>
      <c r="G86" s="88">
        <v>22</v>
      </c>
      <c r="H86" s="89">
        <v>140927</v>
      </c>
      <c r="I86" s="90">
        <v>99640</v>
      </c>
      <c r="J86" s="91">
        <v>122423</v>
      </c>
      <c r="K86" s="84"/>
      <c r="L86" s="87">
        <v>22</v>
      </c>
      <c r="M86" s="92">
        <f t="shared" si="4"/>
        <v>305</v>
      </c>
      <c r="N86" s="92">
        <f t="shared" si="4"/>
        <v>333</v>
      </c>
      <c r="O86" s="92">
        <f t="shared" si="4"/>
        <v>546</v>
      </c>
    </row>
    <row r="87" spans="1:15" ht="15.75" thickBot="1" x14ac:dyDescent="0.25">
      <c r="A87" s="84"/>
      <c r="B87" s="88">
        <v>23</v>
      </c>
      <c r="C87" s="89">
        <v>130015</v>
      </c>
      <c r="D87" s="90">
        <v>157707</v>
      </c>
      <c r="E87" s="91">
        <v>295733</v>
      </c>
      <c r="F87" s="84"/>
      <c r="G87" s="88">
        <v>23</v>
      </c>
      <c r="H87" s="89">
        <v>130464</v>
      </c>
      <c r="I87" s="90">
        <v>158172</v>
      </c>
      <c r="J87" s="91">
        <v>296312</v>
      </c>
      <c r="K87" s="84"/>
      <c r="L87" s="87">
        <v>23</v>
      </c>
      <c r="M87" s="92">
        <f t="shared" si="4"/>
        <v>449</v>
      </c>
      <c r="N87" s="92">
        <f t="shared" si="4"/>
        <v>465</v>
      </c>
      <c r="O87" s="92">
        <f t="shared" si="4"/>
        <v>579</v>
      </c>
    </row>
    <row r="88" spans="1:15" ht="15.75" thickBot="1" x14ac:dyDescent="0.25">
      <c r="A88" s="84"/>
      <c r="B88" s="88">
        <v>24</v>
      </c>
      <c r="C88" s="89">
        <v>79515</v>
      </c>
      <c r="D88" s="90">
        <v>153249</v>
      </c>
      <c r="E88" s="91">
        <v>101955</v>
      </c>
      <c r="F88" s="84"/>
      <c r="G88" s="88">
        <v>24</v>
      </c>
      <c r="H88" s="89">
        <v>80910</v>
      </c>
      <c r="I88" s="90">
        <v>153615</v>
      </c>
      <c r="J88" s="91">
        <v>102057</v>
      </c>
      <c r="K88" s="84"/>
      <c r="L88" s="87">
        <v>24</v>
      </c>
      <c r="M88" s="92">
        <f t="shared" si="4"/>
        <v>1395</v>
      </c>
      <c r="N88" s="92">
        <f t="shared" si="4"/>
        <v>366</v>
      </c>
      <c r="O88" s="92">
        <f>J88-E88</f>
        <v>102</v>
      </c>
    </row>
    <row r="89" spans="1:15" ht="15.75" thickBot="1" x14ac:dyDescent="0.25">
      <c r="A89" s="84"/>
      <c r="B89" s="88">
        <v>25</v>
      </c>
      <c r="C89" s="89">
        <v>124207</v>
      </c>
      <c r="D89" s="90">
        <v>181033</v>
      </c>
      <c r="E89" s="91">
        <v>166899</v>
      </c>
      <c r="F89" s="84"/>
      <c r="G89" s="88">
        <v>25</v>
      </c>
      <c r="H89" s="89">
        <v>124806</v>
      </c>
      <c r="I89" s="90">
        <v>181251</v>
      </c>
      <c r="J89" s="91">
        <v>167959</v>
      </c>
      <c r="K89" s="84"/>
      <c r="L89" s="87">
        <v>25</v>
      </c>
      <c r="M89" s="92">
        <f t="shared" si="4"/>
        <v>599</v>
      </c>
      <c r="N89" s="92">
        <f t="shared" si="4"/>
        <v>218</v>
      </c>
      <c r="O89" s="92">
        <f>J89-E89</f>
        <v>1060</v>
      </c>
    </row>
    <row r="90" spans="1:15" ht="15.75" thickBot="1" x14ac:dyDescent="0.25">
      <c r="A90" s="84"/>
      <c r="B90" s="88">
        <v>26</v>
      </c>
      <c r="C90" s="89">
        <v>119899</v>
      </c>
      <c r="D90" s="90">
        <v>53904</v>
      </c>
      <c r="E90" s="91">
        <v>56188</v>
      </c>
      <c r="F90" s="84"/>
      <c r="G90" s="88">
        <v>26</v>
      </c>
      <c r="H90" s="89">
        <v>120255</v>
      </c>
      <c r="I90" s="90">
        <v>54430</v>
      </c>
      <c r="J90" s="91">
        <v>57447</v>
      </c>
      <c r="K90" s="84"/>
      <c r="L90" s="87">
        <v>26</v>
      </c>
      <c r="M90" s="92">
        <f t="shared" si="4"/>
        <v>356</v>
      </c>
      <c r="N90" s="92">
        <f t="shared" si="4"/>
        <v>526</v>
      </c>
      <c r="O90" s="92">
        <f t="shared" si="4"/>
        <v>1259</v>
      </c>
    </row>
    <row r="91" spans="1:15" ht="15.75" thickBot="1" x14ac:dyDescent="0.25">
      <c r="A91" s="84"/>
      <c r="B91" s="88">
        <v>27</v>
      </c>
      <c r="C91" s="89">
        <v>103120</v>
      </c>
      <c r="D91" s="90">
        <v>111873</v>
      </c>
      <c r="E91" s="91">
        <v>124358</v>
      </c>
      <c r="F91" s="84"/>
      <c r="G91" s="88">
        <v>27</v>
      </c>
      <c r="H91" s="89">
        <v>103739</v>
      </c>
      <c r="I91" s="90">
        <v>112579</v>
      </c>
      <c r="J91" s="91">
        <v>125220</v>
      </c>
      <c r="K91" s="84"/>
      <c r="L91" s="87">
        <v>27</v>
      </c>
      <c r="M91" s="92">
        <f t="shared" si="4"/>
        <v>619</v>
      </c>
      <c r="N91" s="92">
        <f t="shared" si="4"/>
        <v>706</v>
      </c>
      <c r="O91" s="92">
        <f t="shared" si="4"/>
        <v>862</v>
      </c>
    </row>
    <row r="92" spans="1:15" ht="15.75" thickBot="1" x14ac:dyDescent="0.25">
      <c r="A92" s="84"/>
      <c r="B92" s="88">
        <v>28</v>
      </c>
      <c r="C92" s="89">
        <v>200774</v>
      </c>
      <c r="D92" s="90">
        <v>102861</v>
      </c>
      <c r="E92" s="91">
        <v>112454</v>
      </c>
      <c r="F92" s="84"/>
      <c r="G92" s="88">
        <v>28</v>
      </c>
      <c r="H92" s="89">
        <v>202616</v>
      </c>
      <c r="I92" s="90">
        <v>102933</v>
      </c>
      <c r="J92" s="91">
        <v>112587</v>
      </c>
      <c r="K92" s="84"/>
      <c r="L92" s="87">
        <v>28</v>
      </c>
      <c r="M92" s="92">
        <f t="shared" si="4"/>
        <v>1842</v>
      </c>
      <c r="N92" s="92">
        <f t="shared" si="4"/>
        <v>72</v>
      </c>
      <c r="O92" s="92">
        <f t="shared" si="4"/>
        <v>133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/>
      <c r="I93" s="90">
        <v>86217</v>
      </c>
      <c r="J93" s="91"/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2022-03-13T23:59:14Z</dcterms:modified>
</cp:coreProperties>
</file>