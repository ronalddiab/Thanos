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TOTAL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L31" i="2" l="1"/>
  <c r="K31" i="2"/>
  <c r="J31" i="2"/>
  <c r="I31" i="2"/>
  <c r="H31" i="2"/>
  <c r="G31" i="2"/>
  <c r="F31" i="2"/>
  <c r="E31" i="2"/>
  <c r="L30" i="2"/>
  <c r="K30" i="2"/>
  <c r="J30" i="2"/>
  <c r="I30" i="2"/>
  <c r="H30" i="2"/>
  <c r="G30" i="2"/>
  <c r="F30" i="2"/>
  <c r="E30" i="2"/>
  <c r="L29" i="2"/>
  <c r="K29" i="2"/>
  <c r="J29" i="2"/>
  <c r="I29" i="2"/>
  <c r="H29" i="2"/>
  <c r="G29" i="2"/>
  <c r="F29" i="2"/>
  <c r="E29" i="2"/>
  <c r="L28" i="2"/>
  <c r="K28" i="2"/>
  <c r="J28" i="2"/>
  <c r="I28" i="2"/>
  <c r="H28" i="2"/>
  <c r="G28" i="2"/>
  <c r="F28" i="2"/>
  <c r="E28" i="2"/>
  <c r="L27" i="2"/>
  <c r="K27" i="2"/>
  <c r="J27" i="2"/>
  <c r="I27" i="2"/>
  <c r="H27" i="2"/>
  <c r="G27" i="2"/>
  <c r="F27" i="2"/>
  <c r="E27" i="2"/>
  <c r="L26" i="2"/>
  <c r="K26" i="2"/>
  <c r="J26" i="2"/>
  <c r="I26" i="2"/>
  <c r="H26" i="2"/>
  <c r="G26" i="2"/>
  <c r="F26" i="2"/>
  <c r="E26" i="2"/>
  <c r="L25" i="2"/>
  <c r="K25" i="2"/>
  <c r="J25" i="2"/>
  <c r="I25" i="2"/>
  <c r="H25" i="2"/>
  <c r="G25" i="2"/>
  <c r="F25" i="2"/>
  <c r="E2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L14" i="2"/>
  <c r="K14" i="2"/>
  <c r="J14" i="2"/>
  <c r="I14" i="2"/>
  <c r="H14" i="2"/>
  <c r="G14" i="2"/>
  <c r="F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J11" i="2"/>
  <c r="I11" i="2"/>
  <c r="H11" i="2"/>
  <c r="G11" i="2"/>
  <c r="F11" i="2"/>
  <c r="E11" i="2"/>
  <c r="L10" i="2"/>
  <c r="K10" i="2"/>
  <c r="J10" i="2"/>
  <c r="I10" i="2"/>
  <c r="H10" i="2"/>
  <c r="G10" i="2"/>
  <c r="F10" i="2"/>
  <c r="E10" i="2"/>
  <c r="L9" i="2"/>
  <c r="K9" i="2"/>
  <c r="J9" i="2"/>
  <c r="I9" i="2"/>
  <c r="H9" i="2"/>
  <c r="G9" i="2"/>
  <c r="F9" i="2"/>
  <c r="E9" i="2"/>
  <c r="L8" i="2"/>
  <c r="K8" i="2"/>
  <c r="J8" i="2"/>
  <c r="I8" i="2"/>
  <c r="H8" i="2"/>
  <c r="G8" i="2"/>
  <c r="F8" i="2"/>
  <c r="E8" i="2"/>
  <c r="L7" i="2"/>
  <c r="K7" i="2"/>
  <c r="J7" i="2"/>
  <c r="I7" i="2"/>
  <c r="H7" i="2"/>
  <c r="G7" i="2"/>
  <c r="F7" i="2"/>
  <c r="E7" i="2"/>
  <c r="L6" i="2"/>
  <c r="K6" i="2"/>
  <c r="J6" i="2"/>
  <c r="I6" i="2"/>
  <c r="H6" i="2"/>
  <c r="G6" i="2"/>
  <c r="F6" i="2"/>
  <c r="E6" i="2"/>
  <c r="L5" i="2"/>
  <c r="K5" i="2"/>
  <c r="J5" i="2"/>
  <c r="I5" i="2"/>
  <c r="H5" i="2"/>
  <c r="G5" i="2"/>
  <c r="F5" i="2"/>
  <c r="E5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2" i="2"/>
  <c r="K2" i="2"/>
  <c r="J2" i="2"/>
  <c r="I2" i="2"/>
  <c r="H2" i="2"/>
  <c r="G2" i="2"/>
  <c r="F2" i="2"/>
  <c r="E2" i="2"/>
  <c r="O31" i="1"/>
  <c r="M31" i="1"/>
  <c r="L31" i="1"/>
  <c r="K31" i="1"/>
  <c r="J31" i="1"/>
  <c r="I31" i="1"/>
  <c r="H31" i="1"/>
  <c r="G31" i="1"/>
  <c r="F31" i="1"/>
  <c r="E31" i="1"/>
  <c r="O30" i="1"/>
  <c r="M30" i="1"/>
  <c r="L30" i="1"/>
  <c r="K30" i="1"/>
  <c r="J30" i="1"/>
  <c r="I30" i="1"/>
  <c r="H30" i="1"/>
  <c r="G30" i="1"/>
  <c r="F30" i="1"/>
  <c r="E30" i="1"/>
  <c r="O29" i="1"/>
  <c r="M29" i="1"/>
  <c r="L29" i="1"/>
  <c r="K29" i="1"/>
  <c r="J29" i="1"/>
  <c r="I29" i="1"/>
  <c r="H29" i="1"/>
  <c r="G29" i="1"/>
  <c r="F29" i="1"/>
  <c r="E29" i="1"/>
  <c r="O28" i="1"/>
  <c r="M28" i="1"/>
  <c r="L28" i="1"/>
  <c r="K28" i="1"/>
  <c r="J28" i="1"/>
  <c r="I28" i="1"/>
  <c r="H28" i="1"/>
  <c r="G28" i="1"/>
  <c r="F28" i="1"/>
  <c r="E28" i="1"/>
  <c r="O27" i="1"/>
  <c r="M27" i="1"/>
  <c r="L27" i="1"/>
  <c r="K27" i="1"/>
  <c r="J27" i="1"/>
  <c r="I27" i="1"/>
  <c r="H27" i="1"/>
  <c r="G27" i="1"/>
  <c r="F27" i="1"/>
  <c r="E27" i="1"/>
  <c r="O26" i="1"/>
  <c r="M26" i="1"/>
  <c r="L26" i="1"/>
  <c r="K26" i="1"/>
  <c r="J26" i="1"/>
  <c r="I26" i="1"/>
  <c r="H26" i="1"/>
  <c r="G26" i="1"/>
  <c r="F26" i="1"/>
  <c r="E26" i="1"/>
  <c r="O25" i="1"/>
  <c r="M25" i="1"/>
  <c r="L25" i="1"/>
  <c r="K25" i="1"/>
  <c r="J25" i="1"/>
  <c r="I25" i="1"/>
  <c r="H25" i="1"/>
  <c r="G25" i="1"/>
  <c r="F25" i="1"/>
  <c r="E25" i="1"/>
  <c r="O24" i="1"/>
  <c r="M24" i="1"/>
  <c r="L24" i="1"/>
  <c r="K24" i="1"/>
  <c r="J24" i="1"/>
  <c r="I24" i="1"/>
  <c r="H24" i="1"/>
  <c r="G24" i="1"/>
  <c r="F24" i="1"/>
  <c r="E24" i="1"/>
  <c r="O23" i="1"/>
  <c r="M23" i="1"/>
  <c r="L23" i="1"/>
  <c r="K23" i="1"/>
  <c r="J23" i="1"/>
  <c r="I23" i="1"/>
  <c r="H23" i="1"/>
  <c r="G23" i="1"/>
  <c r="F23" i="1"/>
  <c r="E23" i="1"/>
  <c r="O22" i="1"/>
  <c r="M22" i="1"/>
  <c r="L22" i="1"/>
  <c r="K22" i="1"/>
  <c r="J22" i="1"/>
  <c r="I22" i="1"/>
  <c r="H22" i="1"/>
  <c r="G22" i="1"/>
  <c r="F22" i="1"/>
  <c r="E22" i="1"/>
  <c r="O21" i="1"/>
  <c r="M21" i="1"/>
  <c r="L21" i="1"/>
  <c r="K21" i="1"/>
  <c r="J21" i="1"/>
  <c r="I21" i="1"/>
  <c r="H21" i="1"/>
  <c r="G21" i="1"/>
  <c r="F21" i="1"/>
  <c r="E21" i="1"/>
  <c r="O20" i="1"/>
  <c r="M20" i="1"/>
  <c r="L20" i="1"/>
  <c r="K20" i="1"/>
  <c r="J20" i="1"/>
  <c r="I20" i="1"/>
  <c r="H20" i="1"/>
  <c r="G20" i="1"/>
  <c r="F20" i="1"/>
  <c r="E20" i="1"/>
  <c r="O19" i="1"/>
  <c r="M19" i="1"/>
  <c r="L19" i="1"/>
  <c r="K19" i="1"/>
  <c r="J19" i="1"/>
  <c r="I19" i="1"/>
  <c r="H19" i="1"/>
  <c r="G19" i="1"/>
  <c r="F19" i="1"/>
  <c r="E19" i="1"/>
  <c r="O18" i="1"/>
  <c r="M18" i="1"/>
  <c r="L18" i="1"/>
  <c r="K18" i="1"/>
  <c r="J18" i="1"/>
  <c r="I18" i="1"/>
  <c r="H18" i="1"/>
  <c r="G18" i="1"/>
  <c r="F18" i="1"/>
  <c r="E18" i="1"/>
  <c r="O17" i="1"/>
  <c r="M17" i="1"/>
  <c r="L17" i="1"/>
  <c r="K17" i="1"/>
  <c r="J17" i="1"/>
  <c r="I17" i="1"/>
  <c r="H17" i="1"/>
  <c r="G17" i="1"/>
  <c r="F17" i="1"/>
  <c r="E17" i="1"/>
  <c r="O16" i="1"/>
  <c r="M16" i="1"/>
  <c r="L16" i="1"/>
  <c r="K16" i="1"/>
  <c r="J16" i="1"/>
  <c r="I16" i="1"/>
  <c r="H16" i="1"/>
  <c r="G16" i="1"/>
  <c r="F16" i="1"/>
  <c r="E16" i="1"/>
  <c r="O15" i="1"/>
  <c r="M15" i="1"/>
  <c r="L15" i="1"/>
  <c r="K15" i="1"/>
  <c r="J15" i="1"/>
  <c r="I15" i="1"/>
  <c r="H15" i="1"/>
  <c r="G15" i="1"/>
  <c r="F15" i="1"/>
  <c r="E15" i="1"/>
  <c r="O14" i="1"/>
  <c r="M14" i="1"/>
  <c r="L14" i="1"/>
  <c r="K14" i="1"/>
  <c r="J14" i="1"/>
  <c r="I14" i="1"/>
  <c r="H14" i="1"/>
  <c r="G14" i="1"/>
  <c r="F14" i="1"/>
  <c r="E14" i="1"/>
  <c r="O13" i="1"/>
  <c r="M13" i="1"/>
  <c r="L13" i="1"/>
  <c r="K13" i="1"/>
  <c r="J13" i="1"/>
  <c r="I13" i="1"/>
  <c r="H13" i="1"/>
  <c r="G13" i="1"/>
  <c r="F13" i="1"/>
  <c r="E13" i="1"/>
  <c r="O12" i="1"/>
  <c r="M12" i="1"/>
  <c r="L12" i="1"/>
  <c r="K12" i="1"/>
  <c r="J12" i="1"/>
  <c r="I12" i="1"/>
  <c r="H12" i="1"/>
  <c r="G12" i="1"/>
  <c r="F12" i="1"/>
  <c r="E12" i="1"/>
  <c r="O11" i="1"/>
  <c r="M11" i="1"/>
  <c r="L11" i="1"/>
  <c r="K11" i="1"/>
  <c r="J11" i="1"/>
  <c r="I11" i="1"/>
  <c r="H11" i="1"/>
  <c r="G11" i="1"/>
  <c r="F11" i="1"/>
  <c r="E11" i="1"/>
  <c r="O10" i="1"/>
  <c r="M10" i="1"/>
  <c r="L10" i="1"/>
  <c r="K10" i="1"/>
  <c r="J10" i="1"/>
  <c r="I10" i="1"/>
  <c r="H10" i="1"/>
  <c r="G10" i="1"/>
  <c r="F10" i="1"/>
  <c r="E10" i="1"/>
  <c r="O9" i="1"/>
  <c r="M9" i="1"/>
  <c r="L9" i="1"/>
  <c r="K9" i="1"/>
  <c r="J9" i="1"/>
  <c r="I9" i="1"/>
  <c r="H9" i="1"/>
  <c r="G9" i="1"/>
  <c r="F9" i="1"/>
  <c r="E9" i="1"/>
  <c r="O8" i="1"/>
  <c r="M8" i="1"/>
  <c r="L8" i="1"/>
  <c r="K8" i="1"/>
  <c r="J8" i="1"/>
  <c r="I8" i="1"/>
  <c r="H8" i="1"/>
  <c r="G8" i="1"/>
  <c r="F8" i="1"/>
  <c r="E8" i="1"/>
  <c r="O7" i="1"/>
  <c r="M7" i="1"/>
  <c r="L7" i="1"/>
  <c r="K7" i="1"/>
  <c r="J7" i="1"/>
  <c r="I7" i="1"/>
  <c r="H7" i="1"/>
  <c r="G7" i="1"/>
  <c r="F7" i="1"/>
  <c r="E7" i="1"/>
  <c r="O6" i="1"/>
  <c r="M6" i="1"/>
  <c r="L6" i="1"/>
  <c r="K6" i="1"/>
  <c r="J6" i="1"/>
  <c r="I6" i="1"/>
  <c r="H6" i="1"/>
  <c r="G6" i="1"/>
  <c r="F6" i="1"/>
  <c r="E6" i="1"/>
  <c r="O5" i="1"/>
  <c r="M5" i="1"/>
  <c r="L5" i="1"/>
  <c r="K5" i="1"/>
  <c r="J5" i="1"/>
  <c r="I5" i="1"/>
  <c r="H5" i="1"/>
  <c r="G5" i="1"/>
  <c r="F5" i="1"/>
  <c r="E5" i="1"/>
  <c r="O4" i="1"/>
  <c r="M4" i="1"/>
  <c r="L4" i="1"/>
  <c r="K4" i="1"/>
  <c r="J4" i="1"/>
  <c r="I4" i="1"/>
  <c r="H4" i="1"/>
  <c r="G4" i="1"/>
  <c r="F4" i="1"/>
  <c r="E4" i="1"/>
  <c r="O3" i="1"/>
  <c r="M3" i="1"/>
  <c r="L3" i="1"/>
  <c r="K3" i="1"/>
  <c r="J3" i="1"/>
  <c r="I3" i="1"/>
  <c r="H3" i="1"/>
  <c r="G3" i="1"/>
  <c r="F3" i="1"/>
  <c r="E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O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<sst xmlns="http://schemas.openxmlformats.org/spreadsheetml/2006/main" count="87" uniqueCount="23">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</sst>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 applyAlignment="1">
      <alignment wrapText="1"/>
    </xf>
    <xf numFmtId="43" fontId="1" fillId="0" borderId="0" xfId="1" applyFont="1" applyAlignment="1">
      <alignment wrapText="1"/>
    </xf>
    <xf numFmtId="1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1" fillId="0" borderId="0" xfId="1" applyNumberFormat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2021\JUN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4">
          <cell r="B4">
            <v>0</v>
          </cell>
          <cell r="E4">
            <v>2955</v>
          </cell>
          <cell r="G4">
            <v>475.60000000009313</v>
          </cell>
          <cell r="I4">
            <v>742</v>
          </cell>
          <cell r="K4">
            <v>4758</v>
          </cell>
          <cell r="M4">
            <v>1550</v>
          </cell>
          <cell r="N4">
            <v>10480.600000000093</v>
          </cell>
        </row>
        <row r="5">
          <cell r="B5">
            <v>0</v>
          </cell>
          <cell r="E5">
            <v>2595</v>
          </cell>
          <cell r="G5">
            <v>826.79999999981374</v>
          </cell>
          <cell r="I5">
            <v>1106</v>
          </cell>
          <cell r="K5">
            <v>5676</v>
          </cell>
          <cell r="M5">
            <v>2160</v>
          </cell>
          <cell r="N5">
            <v>12363.799999999814</v>
          </cell>
        </row>
        <row r="6">
          <cell r="B6">
            <v>0</v>
          </cell>
          <cell r="E6">
            <v>3813</v>
          </cell>
          <cell r="G6">
            <v>758</v>
          </cell>
          <cell r="I6">
            <v>1112</v>
          </cell>
          <cell r="K6">
            <v>7130</v>
          </cell>
          <cell r="M6">
            <v>2288</v>
          </cell>
          <cell r="N6">
            <v>15101</v>
          </cell>
        </row>
        <row r="7">
          <cell r="B7">
            <v>0</v>
          </cell>
          <cell r="E7">
            <v>3811</v>
          </cell>
          <cell r="G7">
            <v>885.60000000009313</v>
          </cell>
          <cell r="I7">
            <v>1174</v>
          </cell>
          <cell r="K7">
            <v>7574</v>
          </cell>
          <cell r="M7">
            <v>2664</v>
          </cell>
          <cell r="N7">
            <v>16108.600000000093</v>
          </cell>
        </row>
        <row r="8">
          <cell r="B8">
            <v>0</v>
          </cell>
          <cell r="E8">
            <v>2604</v>
          </cell>
          <cell r="G8">
            <v>580</v>
          </cell>
          <cell r="I8">
            <v>836</v>
          </cell>
          <cell r="K8">
            <v>5928</v>
          </cell>
          <cell r="M8">
            <v>2118</v>
          </cell>
          <cell r="N8">
            <v>12066</v>
          </cell>
        </row>
        <row r="9">
          <cell r="B9">
            <v>0</v>
          </cell>
          <cell r="E9">
            <v>2885</v>
          </cell>
          <cell r="G9">
            <v>676</v>
          </cell>
          <cell r="I9">
            <v>790</v>
          </cell>
          <cell r="K9">
            <v>5372</v>
          </cell>
          <cell r="M9">
            <v>2196</v>
          </cell>
          <cell r="N9">
            <v>11919</v>
          </cell>
        </row>
        <row r="10">
          <cell r="B10">
            <v>0</v>
          </cell>
          <cell r="E10">
            <v>3742</v>
          </cell>
          <cell r="G10">
            <v>749</v>
          </cell>
          <cell r="I10">
            <v>946</v>
          </cell>
          <cell r="K10">
            <v>7914</v>
          </cell>
          <cell r="M10">
            <v>2410</v>
          </cell>
          <cell r="N10">
            <v>15761</v>
          </cell>
        </row>
        <row r="11">
          <cell r="B11">
            <v>0</v>
          </cell>
          <cell r="E11">
            <v>3014</v>
          </cell>
          <cell r="G11">
            <v>738</v>
          </cell>
          <cell r="I11">
            <v>880</v>
          </cell>
          <cell r="K11">
            <v>5162</v>
          </cell>
          <cell r="M11">
            <v>2102</v>
          </cell>
          <cell r="N11">
            <v>11896</v>
          </cell>
        </row>
        <row r="12">
          <cell r="B12">
            <v>0</v>
          </cell>
          <cell r="E12">
            <v>3346</v>
          </cell>
          <cell r="G12">
            <v>707</v>
          </cell>
          <cell r="I12">
            <v>1038</v>
          </cell>
          <cell r="K12">
            <v>6288</v>
          </cell>
          <cell r="M12">
            <v>2354</v>
          </cell>
          <cell r="N12">
            <v>13733</v>
          </cell>
        </row>
        <row r="13">
          <cell r="B13">
            <v>0</v>
          </cell>
          <cell r="E13">
            <v>6244</v>
          </cell>
          <cell r="G13">
            <v>713</v>
          </cell>
          <cell r="I13">
            <v>1016</v>
          </cell>
          <cell r="K13">
            <v>4428</v>
          </cell>
          <cell r="M13">
            <v>2492</v>
          </cell>
          <cell r="N13">
            <v>14893</v>
          </cell>
        </row>
        <row r="14">
          <cell r="B14">
            <v>0</v>
          </cell>
          <cell r="E14">
            <v>7647</v>
          </cell>
          <cell r="G14">
            <v>689</v>
          </cell>
          <cell r="I14">
            <v>966</v>
          </cell>
          <cell r="K14">
            <v>2772</v>
          </cell>
          <cell r="M14">
            <v>2600</v>
          </cell>
          <cell r="N14">
            <v>14674</v>
          </cell>
        </row>
        <row r="15">
          <cell r="B15">
            <v>0</v>
          </cell>
          <cell r="E15">
            <v>6192</v>
          </cell>
          <cell r="G15">
            <v>669</v>
          </cell>
          <cell r="I15">
            <v>940</v>
          </cell>
          <cell r="K15">
            <v>2518</v>
          </cell>
          <cell r="M15">
            <v>2178</v>
          </cell>
          <cell r="N15">
            <v>12497</v>
          </cell>
        </row>
        <row r="16">
          <cell r="B16">
            <v>0</v>
          </cell>
          <cell r="E16">
            <v>6129</v>
          </cell>
          <cell r="G16">
            <v>673</v>
          </cell>
          <cell r="I16">
            <v>1014</v>
          </cell>
          <cell r="K16">
            <v>2238</v>
          </cell>
          <cell r="M16">
            <v>2500</v>
          </cell>
          <cell r="N16">
            <v>12554</v>
          </cell>
        </row>
        <row r="17">
          <cell r="B17">
            <v>0</v>
          </cell>
          <cell r="E17">
            <v>5834</v>
          </cell>
          <cell r="G17">
            <v>658</v>
          </cell>
          <cell r="I17">
            <v>830</v>
          </cell>
          <cell r="K17">
            <v>2116</v>
          </cell>
          <cell r="M17">
            <v>1942</v>
          </cell>
          <cell r="N17">
            <v>11380</v>
          </cell>
        </row>
        <row r="18">
          <cell r="B18">
            <v>0</v>
          </cell>
          <cell r="E18">
            <v>4340</v>
          </cell>
          <cell r="G18">
            <v>706</v>
          </cell>
          <cell r="I18">
            <v>996</v>
          </cell>
          <cell r="K18">
            <v>4824</v>
          </cell>
          <cell r="M18">
            <v>2324</v>
          </cell>
          <cell r="N18">
            <v>13190</v>
          </cell>
        </row>
        <row r="19">
          <cell r="B19">
            <v>0</v>
          </cell>
          <cell r="E19">
            <v>4710</v>
          </cell>
          <cell r="G19">
            <v>707</v>
          </cell>
          <cell r="I19">
            <v>1038</v>
          </cell>
          <cell r="K19">
            <v>3468</v>
          </cell>
          <cell r="M19">
            <v>2344</v>
          </cell>
          <cell r="N19">
            <v>12267</v>
          </cell>
        </row>
        <row r="20">
          <cell r="B20">
            <v>0</v>
          </cell>
          <cell r="E20">
            <v>6488</v>
          </cell>
          <cell r="G20">
            <v>773</v>
          </cell>
          <cell r="I20">
            <v>1094</v>
          </cell>
          <cell r="K20">
            <v>2328</v>
          </cell>
          <cell r="M20">
            <v>2272</v>
          </cell>
          <cell r="N20">
            <v>12955</v>
          </cell>
        </row>
        <row r="21">
          <cell r="B21">
            <v>0</v>
          </cell>
          <cell r="E21">
            <v>5643</v>
          </cell>
          <cell r="G21">
            <v>747</v>
          </cell>
          <cell r="I21">
            <v>1012</v>
          </cell>
          <cell r="K21">
            <v>2364</v>
          </cell>
          <cell r="M21">
            <v>2374</v>
          </cell>
          <cell r="N21">
            <v>12140</v>
          </cell>
        </row>
        <row r="22">
          <cell r="B22">
            <v>0</v>
          </cell>
          <cell r="E22">
            <v>3290</v>
          </cell>
          <cell r="G22">
            <v>645</v>
          </cell>
          <cell r="I22">
            <v>1032</v>
          </cell>
          <cell r="K22">
            <v>6006</v>
          </cell>
          <cell r="M22">
            <v>2406</v>
          </cell>
          <cell r="N22">
            <v>13379</v>
          </cell>
        </row>
        <row r="23">
          <cell r="B23">
            <v>0</v>
          </cell>
          <cell r="E23">
            <v>6170</v>
          </cell>
          <cell r="G23">
            <v>624</v>
          </cell>
          <cell r="I23">
            <v>994</v>
          </cell>
          <cell r="K23">
            <v>2466</v>
          </cell>
          <cell r="M23">
            <v>2352</v>
          </cell>
          <cell r="N23">
            <v>12606</v>
          </cell>
        </row>
        <row r="24">
          <cell r="B24">
            <v>0</v>
          </cell>
          <cell r="E24">
            <v>7334</v>
          </cell>
          <cell r="G24">
            <v>646</v>
          </cell>
          <cell r="I24">
            <v>1062</v>
          </cell>
          <cell r="K24">
            <v>2436</v>
          </cell>
          <cell r="M24">
            <v>2352</v>
          </cell>
          <cell r="N24">
            <v>13830</v>
          </cell>
        </row>
        <row r="25">
          <cell r="B25">
            <v>0</v>
          </cell>
          <cell r="E25">
            <v>5508</v>
          </cell>
          <cell r="G25">
            <v>652</v>
          </cell>
          <cell r="I25">
            <v>1084</v>
          </cell>
          <cell r="K25">
            <v>4000</v>
          </cell>
          <cell r="M25">
            <v>2378</v>
          </cell>
          <cell r="N25">
            <v>13622</v>
          </cell>
        </row>
        <row r="26">
          <cell r="B26">
            <v>0</v>
          </cell>
          <cell r="E26">
            <v>7936</v>
          </cell>
          <cell r="G26">
            <v>682</v>
          </cell>
          <cell r="I26">
            <v>1260</v>
          </cell>
          <cell r="K26">
            <v>2640</v>
          </cell>
          <cell r="M26">
            <v>2398</v>
          </cell>
          <cell r="N26">
            <v>14916</v>
          </cell>
        </row>
        <row r="27">
          <cell r="B27">
            <v>0</v>
          </cell>
          <cell r="E27">
            <v>5497</v>
          </cell>
          <cell r="G27">
            <v>660</v>
          </cell>
          <cell r="I27">
            <v>1180</v>
          </cell>
          <cell r="K27">
            <v>4812</v>
          </cell>
          <cell r="M27">
            <v>2424</v>
          </cell>
          <cell r="N27">
            <v>14573</v>
          </cell>
        </row>
        <row r="28">
          <cell r="B28">
            <v>0</v>
          </cell>
          <cell r="E28">
            <v>4954</v>
          </cell>
          <cell r="G28">
            <v>645</v>
          </cell>
          <cell r="I28">
            <v>1176</v>
          </cell>
          <cell r="K28">
            <v>5686</v>
          </cell>
          <cell r="M28">
            <v>2554</v>
          </cell>
          <cell r="N28">
            <v>15015</v>
          </cell>
        </row>
        <row r="29">
          <cell r="B29">
            <v>0</v>
          </cell>
          <cell r="E29">
            <v>7195</v>
          </cell>
          <cell r="G29">
            <v>657</v>
          </cell>
          <cell r="I29">
            <v>1120</v>
          </cell>
          <cell r="K29">
            <v>2358</v>
          </cell>
          <cell r="M29">
            <v>2218</v>
          </cell>
          <cell r="N29">
            <v>13548</v>
          </cell>
        </row>
        <row r="30">
          <cell r="B30">
            <v>0</v>
          </cell>
          <cell r="E30">
            <v>9021</v>
          </cell>
          <cell r="G30">
            <v>676</v>
          </cell>
          <cell r="I30">
            <v>1100</v>
          </cell>
          <cell r="K30">
            <v>2892</v>
          </cell>
          <cell r="M30">
            <v>2456</v>
          </cell>
          <cell r="N30">
            <v>16145</v>
          </cell>
        </row>
        <row r="31">
          <cell r="B31">
            <v>0</v>
          </cell>
          <cell r="E31">
            <v>6646</v>
          </cell>
          <cell r="G31">
            <v>698</v>
          </cell>
          <cell r="I31">
            <v>1144</v>
          </cell>
          <cell r="K31">
            <v>5076</v>
          </cell>
          <cell r="M31">
            <v>2680</v>
          </cell>
          <cell r="N31">
            <v>16244</v>
          </cell>
        </row>
        <row r="32">
          <cell r="B32">
            <v>0</v>
          </cell>
          <cell r="E32">
            <v>3631</v>
          </cell>
          <cell r="G32">
            <v>733.20000000018626</v>
          </cell>
          <cell r="I32">
            <v>1100</v>
          </cell>
          <cell r="K32">
            <v>8564</v>
          </cell>
          <cell r="M32">
            <v>2652</v>
          </cell>
          <cell r="N32">
            <v>16680.200000000186</v>
          </cell>
        </row>
        <row r="33">
          <cell r="B33">
            <v>0</v>
          </cell>
          <cell r="E33">
            <v>3721</v>
          </cell>
          <cell r="G33">
            <v>732.79999999981374</v>
          </cell>
          <cell r="I33">
            <v>1092</v>
          </cell>
          <cell r="K33">
            <v>8912</v>
          </cell>
          <cell r="M33">
            <v>2628</v>
          </cell>
          <cell r="N33">
            <v>17085.799999999814</v>
          </cell>
        </row>
      </sheetData>
      <sheetData sheetId="3">
        <row r="5">
          <cell r="AU5">
            <v>0</v>
          </cell>
          <cell r="AX5">
            <v>0.8</v>
          </cell>
        </row>
        <row r="6">
          <cell r="AU6">
            <v>0</v>
          </cell>
          <cell r="AX6">
            <v>0.8</v>
          </cell>
        </row>
        <row r="7">
          <cell r="AU7">
            <v>0</v>
          </cell>
          <cell r="AX7">
            <v>0.8</v>
          </cell>
        </row>
        <row r="8">
          <cell r="AU8">
            <v>0</v>
          </cell>
          <cell r="AX8">
            <v>0.8</v>
          </cell>
        </row>
        <row r="9">
          <cell r="AU9">
            <v>0</v>
          </cell>
          <cell r="AX9">
            <v>0.8</v>
          </cell>
        </row>
        <row r="10">
          <cell r="AU10">
            <v>0</v>
          </cell>
          <cell r="AX10">
            <v>0.8</v>
          </cell>
        </row>
        <row r="11">
          <cell r="AU11">
            <v>0</v>
          </cell>
          <cell r="AX11">
            <v>0.8</v>
          </cell>
        </row>
        <row r="12">
          <cell r="AU12">
            <v>0</v>
          </cell>
          <cell r="AX12">
            <v>0.8</v>
          </cell>
        </row>
        <row r="13">
          <cell r="AU13">
            <v>0</v>
          </cell>
          <cell r="AX13">
            <v>0.8</v>
          </cell>
        </row>
        <row r="14">
          <cell r="AU14">
            <v>0</v>
          </cell>
          <cell r="AX14">
            <v>0.8</v>
          </cell>
        </row>
        <row r="15">
          <cell r="AU15">
            <v>0</v>
          </cell>
          <cell r="AX15">
            <v>0.8</v>
          </cell>
        </row>
        <row r="16">
          <cell r="AU16">
            <v>0</v>
          </cell>
          <cell r="AX16">
            <v>0.8</v>
          </cell>
        </row>
        <row r="17">
          <cell r="AU17">
            <v>0</v>
          </cell>
          <cell r="AX17">
            <v>0.8</v>
          </cell>
        </row>
        <row r="18">
          <cell r="AU18">
            <v>0</v>
          </cell>
          <cell r="AX18">
            <v>0.8</v>
          </cell>
        </row>
        <row r="19">
          <cell r="AU19">
            <v>0</v>
          </cell>
          <cell r="AX19">
            <v>0.8</v>
          </cell>
        </row>
        <row r="20">
          <cell r="AU20">
            <v>0</v>
          </cell>
          <cell r="AX20">
            <v>0.8</v>
          </cell>
        </row>
        <row r="21">
          <cell r="AU21">
            <v>0</v>
          </cell>
          <cell r="AX21">
            <v>0.8</v>
          </cell>
        </row>
        <row r="22">
          <cell r="AU22">
            <v>0</v>
          </cell>
          <cell r="AX22">
            <v>0.8</v>
          </cell>
        </row>
        <row r="23">
          <cell r="AU23">
            <v>0</v>
          </cell>
          <cell r="AX23">
            <v>0.8</v>
          </cell>
        </row>
        <row r="24">
          <cell r="AU24">
            <v>0</v>
          </cell>
          <cell r="AX24">
            <v>0.8</v>
          </cell>
        </row>
        <row r="25">
          <cell r="AU25">
            <v>0</v>
          </cell>
          <cell r="AX25">
            <v>0.8</v>
          </cell>
        </row>
        <row r="26">
          <cell r="AU26">
            <v>0</v>
          </cell>
          <cell r="AX26">
            <v>0.8</v>
          </cell>
        </row>
        <row r="27">
          <cell r="AU27">
            <v>0</v>
          </cell>
          <cell r="AX27">
            <v>0.8</v>
          </cell>
        </row>
        <row r="28">
          <cell r="AU28">
            <v>0</v>
          </cell>
          <cell r="AX28">
            <v>0.8</v>
          </cell>
        </row>
        <row r="29">
          <cell r="AU29">
            <v>60</v>
          </cell>
          <cell r="AX29">
            <v>0.8</v>
          </cell>
        </row>
        <row r="30">
          <cell r="AU30">
            <v>0</v>
          </cell>
          <cell r="AX30">
            <v>0.8</v>
          </cell>
        </row>
        <row r="31">
          <cell r="AU31">
            <v>0</v>
          </cell>
          <cell r="AX31">
            <v>0.8</v>
          </cell>
        </row>
        <row r="32">
          <cell r="AU32">
            <v>0</v>
          </cell>
          <cell r="AX32">
            <v>0.8</v>
          </cell>
        </row>
        <row r="33">
          <cell r="AU33">
            <v>0</v>
          </cell>
          <cell r="AX33">
            <v>0.8</v>
          </cell>
        </row>
        <row r="34">
          <cell r="AU34">
            <v>0</v>
          </cell>
          <cell r="AX34">
            <v>0.8</v>
          </cell>
        </row>
      </sheetData>
      <sheetData sheetId="4">
        <row r="6">
          <cell r="I6">
            <v>0</v>
          </cell>
          <cell r="J6">
            <v>0</v>
          </cell>
          <cell r="Q6">
            <v>0</v>
          </cell>
          <cell r="Y6">
            <v>0</v>
          </cell>
          <cell r="AJ6">
            <v>0</v>
          </cell>
        </row>
        <row r="7">
          <cell r="I7">
            <v>109</v>
          </cell>
          <cell r="J7">
            <v>2.2935779816513762</v>
          </cell>
          <cell r="Q7">
            <v>0</v>
          </cell>
          <cell r="Y7">
            <v>0</v>
          </cell>
          <cell r="AJ7">
            <v>0</v>
          </cell>
        </row>
        <row r="8">
          <cell r="I8">
            <v>0</v>
          </cell>
          <cell r="J8">
            <v>0</v>
          </cell>
          <cell r="Q8">
            <v>0</v>
          </cell>
          <cell r="Y8">
            <v>0</v>
          </cell>
          <cell r="AJ8">
            <v>0</v>
          </cell>
        </row>
        <row r="9">
          <cell r="I9">
            <v>0</v>
          </cell>
          <cell r="J9">
            <v>0</v>
          </cell>
          <cell r="Q9">
            <v>0</v>
          </cell>
          <cell r="Y9">
            <v>0</v>
          </cell>
          <cell r="AJ9">
            <v>0</v>
          </cell>
        </row>
        <row r="10">
          <cell r="I10">
            <v>0</v>
          </cell>
          <cell r="J10">
            <v>0</v>
          </cell>
          <cell r="Q10">
            <v>0</v>
          </cell>
          <cell r="Y10">
            <v>0</v>
          </cell>
          <cell r="AJ10">
            <v>0</v>
          </cell>
        </row>
        <row r="11">
          <cell r="I11">
            <v>0</v>
          </cell>
          <cell r="J11">
            <v>0</v>
          </cell>
          <cell r="Q11">
            <v>0</v>
          </cell>
          <cell r="Y11">
            <v>0</v>
          </cell>
          <cell r="AJ11">
            <v>0</v>
          </cell>
        </row>
        <row r="12">
          <cell r="I12">
            <v>0</v>
          </cell>
          <cell r="J12">
            <v>0</v>
          </cell>
          <cell r="Q12">
            <v>0</v>
          </cell>
          <cell r="Y12">
            <v>0</v>
          </cell>
          <cell r="AJ12">
            <v>0</v>
          </cell>
        </row>
        <row r="13">
          <cell r="I13">
            <v>0</v>
          </cell>
          <cell r="J13">
            <v>0</v>
          </cell>
          <cell r="Q13">
            <v>0</v>
          </cell>
          <cell r="Y13">
            <v>0</v>
          </cell>
          <cell r="AJ13">
            <v>0</v>
          </cell>
        </row>
        <row r="14">
          <cell r="I14">
            <v>0</v>
          </cell>
          <cell r="J14">
            <v>0</v>
          </cell>
          <cell r="Q14">
            <v>0</v>
          </cell>
          <cell r="Y14">
            <v>0</v>
          </cell>
          <cell r="AJ14">
            <v>0</v>
          </cell>
        </row>
        <row r="15">
          <cell r="I15">
            <v>0</v>
          </cell>
          <cell r="J15">
            <v>0</v>
          </cell>
          <cell r="Q15">
            <v>0</v>
          </cell>
          <cell r="Y15">
            <v>0</v>
          </cell>
          <cell r="AJ15">
            <v>0</v>
          </cell>
        </row>
        <row r="16">
          <cell r="I16">
            <v>0</v>
          </cell>
          <cell r="J16">
            <v>0</v>
          </cell>
          <cell r="Q16">
            <v>0</v>
          </cell>
          <cell r="Y16">
            <v>0</v>
          </cell>
          <cell r="AJ16">
            <v>0</v>
          </cell>
        </row>
        <row r="17">
          <cell r="I17">
            <v>0</v>
          </cell>
          <cell r="J17">
            <v>0</v>
          </cell>
          <cell r="Q17">
            <v>0</v>
          </cell>
          <cell r="Y17">
            <v>0</v>
          </cell>
          <cell r="AJ17">
            <v>0</v>
          </cell>
        </row>
        <row r="18">
          <cell r="I18">
            <v>0</v>
          </cell>
          <cell r="J18">
            <v>0</v>
          </cell>
          <cell r="Q18">
            <v>0</v>
          </cell>
          <cell r="Y18">
            <v>0</v>
          </cell>
          <cell r="AJ18">
            <v>0</v>
          </cell>
        </row>
        <row r="19">
          <cell r="I19">
            <v>0</v>
          </cell>
          <cell r="J19">
            <v>0</v>
          </cell>
          <cell r="Q19">
            <v>0</v>
          </cell>
          <cell r="Y19">
            <v>0</v>
          </cell>
          <cell r="AJ19">
            <v>0</v>
          </cell>
        </row>
        <row r="20">
          <cell r="I20">
            <v>0</v>
          </cell>
          <cell r="J20">
            <v>0</v>
          </cell>
          <cell r="Q20">
            <v>0</v>
          </cell>
          <cell r="Y20">
            <v>113</v>
          </cell>
          <cell r="AJ20">
            <v>0</v>
          </cell>
        </row>
        <row r="21">
          <cell r="I21">
            <v>220</v>
          </cell>
          <cell r="J21">
            <v>1.1363636363636365</v>
          </cell>
          <cell r="Q21">
            <v>0</v>
          </cell>
          <cell r="Y21">
            <v>0</v>
          </cell>
          <cell r="AJ21">
            <v>0</v>
          </cell>
        </row>
        <row r="22">
          <cell r="I22">
            <v>0</v>
          </cell>
          <cell r="J22">
            <v>0</v>
          </cell>
          <cell r="Q22">
            <v>0</v>
          </cell>
          <cell r="Y22">
            <v>58</v>
          </cell>
          <cell r="AJ22">
            <v>0</v>
          </cell>
        </row>
        <row r="23">
          <cell r="I23">
            <v>188</v>
          </cell>
          <cell r="J23">
            <v>1.3297872340425532</v>
          </cell>
          <cell r="Q23">
            <v>0</v>
          </cell>
          <cell r="Y23">
            <v>0</v>
          </cell>
          <cell r="AJ23">
            <v>0</v>
          </cell>
        </row>
        <row r="24">
          <cell r="I24">
            <v>0</v>
          </cell>
          <cell r="J24">
            <v>0</v>
          </cell>
          <cell r="Q24">
            <v>0</v>
          </cell>
          <cell r="Y24">
            <v>122</v>
          </cell>
          <cell r="AJ24">
            <v>0</v>
          </cell>
        </row>
        <row r="25">
          <cell r="I25">
            <v>166</v>
          </cell>
          <cell r="J25">
            <v>1.5060240963855422</v>
          </cell>
          <cell r="Q25">
            <v>0</v>
          </cell>
          <cell r="Y25">
            <v>0</v>
          </cell>
          <cell r="AJ25">
            <v>0</v>
          </cell>
        </row>
        <row r="26">
          <cell r="I26">
            <v>0</v>
          </cell>
          <cell r="J26">
            <v>0</v>
          </cell>
          <cell r="Q26">
            <v>0</v>
          </cell>
          <cell r="Y26">
            <v>0</v>
          </cell>
          <cell r="AJ26">
            <v>0</v>
          </cell>
        </row>
        <row r="27">
          <cell r="I27">
            <v>194</v>
          </cell>
          <cell r="J27">
            <v>1.2886597938144331</v>
          </cell>
          <cell r="Q27">
            <v>0</v>
          </cell>
          <cell r="Y27">
            <v>0</v>
          </cell>
          <cell r="AJ27">
            <v>0</v>
          </cell>
        </row>
        <row r="28">
          <cell r="I28">
            <v>0</v>
          </cell>
          <cell r="J28">
            <v>0</v>
          </cell>
          <cell r="Q28">
            <v>0</v>
          </cell>
          <cell r="Y28">
            <v>0</v>
          </cell>
          <cell r="AJ28">
            <v>0</v>
          </cell>
        </row>
        <row r="29">
          <cell r="I29">
            <v>162</v>
          </cell>
          <cell r="J29">
            <v>1.5432098765432098</v>
          </cell>
          <cell r="Q29">
            <v>0</v>
          </cell>
          <cell r="Y29">
            <v>250</v>
          </cell>
          <cell r="AJ29">
            <v>144</v>
          </cell>
        </row>
        <row r="30">
          <cell r="I30">
            <v>0</v>
          </cell>
          <cell r="J30">
            <v>0</v>
          </cell>
          <cell r="Q30">
            <v>0</v>
          </cell>
          <cell r="Y30">
            <v>0</v>
          </cell>
          <cell r="AJ30">
            <v>0</v>
          </cell>
        </row>
        <row r="31">
          <cell r="I31">
            <v>240</v>
          </cell>
          <cell r="J31">
            <v>1.0416666666666667</v>
          </cell>
          <cell r="Q31">
            <v>0</v>
          </cell>
          <cell r="Y31">
            <v>1</v>
          </cell>
          <cell r="AJ31">
            <v>0</v>
          </cell>
        </row>
        <row r="32">
          <cell r="I32">
            <v>0</v>
          </cell>
          <cell r="J32">
            <v>0</v>
          </cell>
          <cell r="Q32">
            <v>0</v>
          </cell>
          <cell r="Y32">
            <v>0</v>
          </cell>
          <cell r="AJ32">
            <v>0</v>
          </cell>
        </row>
        <row r="33">
          <cell r="I33">
            <v>204</v>
          </cell>
          <cell r="J33">
            <v>1.2254901960784315</v>
          </cell>
          <cell r="Q33">
            <v>0</v>
          </cell>
          <cell r="Y33">
            <v>172</v>
          </cell>
          <cell r="AJ33">
            <v>0</v>
          </cell>
        </row>
        <row r="34">
          <cell r="I34">
            <v>0</v>
          </cell>
          <cell r="J34">
            <v>0</v>
          </cell>
          <cell r="Q34">
            <v>0</v>
          </cell>
          <cell r="Y34">
            <v>0</v>
          </cell>
          <cell r="AJ34">
            <v>0</v>
          </cell>
        </row>
        <row r="35">
          <cell r="I35">
            <v>418</v>
          </cell>
          <cell r="J35">
            <v>0.59808612440191389</v>
          </cell>
          <cell r="Q35">
            <v>0</v>
          </cell>
          <cell r="Y35">
            <v>78</v>
          </cell>
          <cell r="AJ35">
            <v>0</v>
          </cell>
        </row>
      </sheetData>
      <sheetData sheetId="5">
        <row r="32">
          <cell r="B32">
            <v>10421</v>
          </cell>
        </row>
      </sheetData>
      <sheetData sheetId="6">
        <row r="6">
          <cell r="AV6">
            <v>1.0029999999999999</v>
          </cell>
          <cell r="AW6">
            <v>-107</v>
          </cell>
        </row>
        <row r="7">
          <cell r="AV7">
            <v>1.0029999999999999</v>
          </cell>
          <cell r="AW7">
            <v>-128</v>
          </cell>
        </row>
        <row r="8">
          <cell r="AV8">
            <v>1.0029999999999999</v>
          </cell>
          <cell r="AW8">
            <v>-125</v>
          </cell>
        </row>
        <row r="9">
          <cell r="AV9">
            <v>1.0029999999999999</v>
          </cell>
          <cell r="AW9">
            <v>-91</v>
          </cell>
        </row>
        <row r="10">
          <cell r="AV10">
            <v>1.0029999999999999</v>
          </cell>
          <cell r="AW10">
            <v>-242</v>
          </cell>
        </row>
        <row r="11">
          <cell r="AV11">
            <v>1.0029999999999999</v>
          </cell>
          <cell r="AW11">
            <v>-192</v>
          </cell>
        </row>
        <row r="12">
          <cell r="AV12">
            <v>1.0029999999999999</v>
          </cell>
          <cell r="AW12">
            <v>-54</v>
          </cell>
        </row>
        <row r="13">
          <cell r="AV13">
            <v>1.0029999999999999</v>
          </cell>
          <cell r="AW13">
            <v>-158</v>
          </cell>
        </row>
        <row r="14">
          <cell r="AV14">
            <v>1.0029999999999999</v>
          </cell>
          <cell r="AW14">
            <v>-110</v>
          </cell>
        </row>
        <row r="15">
          <cell r="AV15">
            <v>1.05</v>
          </cell>
          <cell r="AW15">
            <v>-115</v>
          </cell>
        </row>
        <row r="16">
          <cell r="AV16">
            <v>1.05</v>
          </cell>
          <cell r="AW16">
            <v>-135</v>
          </cell>
        </row>
        <row r="17">
          <cell r="AV17">
            <v>1.05</v>
          </cell>
          <cell r="AW17">
            <v>-200</v>
          </cell>
        </row>
        <row r="18">
          <cell r="AV18">
            <v>1.05</v>
          </cell>
          <cell r="AW18">
            <v>-48</v>
          </cell>
        </row>
        <row r="19">
          <cell r="AV19">
            <v>1.05</v>
          </cell>
          <cell r="AW19">
            <v>-57</v>
          </cell>
        </row>
        <row r="20">
          <cell r="AV20">
            <v>1.05</v>
          </cell>
          <cell r="AW20">
            <v>-184</v>
          </cell>
        </row>
        <row r="21">
          <cell r="AV21">
            <v>1.05</v>
          </cell>
          <cell r="AW21">
            <v>-82</v>
          </cell>
        </row>
        <row r="22">
          <cell r="AV22">
            <v>1.05</v>
          </cell>
          <cell r="AW22">
            <v>-139</v>
          </cell>
        </row>
        <row r="23">
          <cell r="AV23">
            <v>1.05</v>
          </cell>
          <cell r="AW23">
            <v>-129</v>
          </cell>
        </row>
        <row r="24">
          <cell r="AV24">
            <v>1.103</v>
          </cell>
          <cell r="AW24">
            <v>-100</v>
          </cell>
        </row>
        <row r="25">
          <cell r="AV25">
            <v>1.103</v>
          </cell>
          <cell r="AW25">
            <v>-104</v>
          </cell>
        </row>
        <row r="26">
          <cell r="AV26">
            <v>1.103</v>
          </cell>
          <cell r="AW26">
            <v>-97</v>
          </cell>
        </row>
        <row r="27">
          <cell r="AV27">
            <v>1.103</v>
          </cell>
          <cell r="AW27">
            <v>-136</v>
          </cell>
        </row>
        <row r="28">
          <cell r="AV28">
            <v>1.103</v>
          </cell>
          <cell r="AW28">
            <v>-8</v>
          </cell>
        </row>
        <row r="29">
          <cell r="AV29">
            <v>1.103</v>
          </cell>
          <cell r="AW29">
            <v>-212</v>
          </cell>
        </row>
        <row r="30">
          <cell r="AV30">
            <v>1.1599999999999999</v>
          </cell>
          <cell r="AW30">
            <v>-104</v>
          </cell>
        </row>
        <row r="31">
          <cell r="AV31">
            <v>1.1599999999999999</v>
          </cell>
          <cell r="AW31">
            <v>-41</v>
          </cell>
        </row>
        <row r="32">
          <cell r="AV32">
            <v>1.1599999999999999</v>
          </cell>
          <cell r="AW32">
            <v>-54</v>
          </cell>
        </row>
        <row r="33">
          <cell r="AV33">
            <v>1.1599999999999999</v>
          </cell>
          <cell r="AW33">
            <v>-177</v>
          </cell>
        </row>
        <row r="34">
          <cell r="AV34">
            <v>1.1599999999999999</v>
          </cell>
          <cell r="AW34">
            <v>-102.39999999999418</v>
          </cell>
        </row>
        <row r="35">
          <cell r="AV35">
            <v>1.1599999999999999</v>
          </cell>
          <cell r="AW35">
            <v>-203.40000000002328</v>
          </cell>
        </row>
      </sheetData>
      <sheetData sheetId="7">
        <row r="4">
          <cell r="T4">
            <v>0.46387351173565372</v>
          </cell>
        </row>
        <row r="5">
          <cell r="T5">
            <v>0.20509030595878536</v>
          </cell>
        </row>
        <row r="6">
          <cell r="T6">
            <v>0.15191881278279123</v>
          </cell>
        </row>
        <row r="7">
          <cell r="T7">
            <v>0.20711852899504871</v>
          </cell>
        </row>
        <row r="8">
          <cell r="T8">
            <v>0.46444722683063389</v>
          </cell>
        </row>
        <row r="9">
          <cell r="T9">
            <v>0.363497289055696</v>
          </cell>
        </row>
        <row r="10">
          <cell r="T10">
            <v>0.16645854346328623</v>
          </cell>
        </row>
        <row r="11">
          <cell r="T11">
            <v>0.33040920336551582</v>
          </cell>
        </row>
        <row r="12">
          <cell r="T12">
            <v>0.38119933067901629</v>
          </cell>
        </row>
        <row r="13">
          <cell r="T13">
            <v>0.11353994033813665</v>
          </cell>
        </row>
        <row r="14">
          <cell r="T14">
            <v>0.37218688744015821</v>
          </cell>
        </row>
        <row r="15">
          <cell r="T15">
            <v>0.26915681290488425</v>
          </cell>
        </row>
        <row r="16">
          <cell r="T16">
            <v>0.3970448786585023</v>
          </cell>
        </row>
        <row r="17">
          <cell r="T17">
            <v>0.33752084384454661</v>
          </cell>
        </row>
        <row r="18">
          <cell r="T18">
            <v>0.18162771524250806</v>
          </cell>
        </row>
        <row r="19">
          <cell r="T19">
            <v>0.33324881937460943</v>
          </cell>
        </row>
        <row r="20">
          <cell r="T20">
            <v>0.35153202567244268</v>
          </cell>
        </row>
        <row r="21">
          <cell r="T21">
            <v>0.36194297998170438</v>
          </cell>
        </row>
        <row r="22">
          <cell r="T22">
            <v>0.2616592108094466</v>
          </cell>
        </row>
        <row r="23">
          <cell r="T23">
            <v>0.33586724595109674</v>
          </cell>
        </row>
        <row r="24">
          <cell r="T24">
            <v>0.20609357298514452</v>
          </cell>
        </row>
        <row r="25">
          <cell r="T25">
            <v>0.34521086463334494</v>
          </cell>
        </row>
        <row r="26">
          <cell r="T26">
            <v>0.35800862251137033</v>
          </cell>
        </row>
        <row r="27">
          <cell r="T27">
            <v>0.33579534359375268</v>
          </cell>
        </row>
        <row r="28">
          <cell r="T28">
            <v>0.20789995260709088</v>
          </cell>
        </row>
        <row r="29">
          <cell r="T29">
            <v>0.37888897753963796</v>
          </cell>
        </row>
        <row r="30">
          <cell r="T30">
            <v>0.3478270890464899</v>
          </cell>
        </row>
        <row r="31">
          <cell r="T31">
            <v>0.34107452425725454</v>
          </cell>
        </row>
        <row r="32">
          <cell r="T32">
            <v>0.36162809122922179</v>
          </cell>
        </row>
        <row r="33">
          <cell r="T33">
            <v>0.34016679919179565</v>
          </cell>
        </row>
      </sheetData>
      <sheetData sheetId="8" refreshError="1"/>
      <sheetData sheetId="9">
        <row r="35">
          <cell r="D35">
            <v>0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R8" sqref="R8"/>
    </sheetView>
  </sheetViews>
  <sheetFormatPr defaultRowHeight="15" x14ac:dyDescent="0.25"/>
  <sheetData>
    <row r="1" spans="1:15" ht="7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1" t="s">
        <v>14</v>
      </c>
    </row>
    <row r="2" spans="1:15" x14ac:dyDescent="0.25">
      <c r="A2" t="s">
        <v>15</v>
      </c>
      <c r="B2">
        <v>1</v>
      </c>
      <c r="C2">
        <v>6</v>
      </c>
      <c r="D2">
        <v>2021</v>
      </c>
      <c r="E2" s="5">
        <f>[1]ELEC!N4</f>
        <v>10480.600000000093</v>
      </c>
      <c r="F2" s="6">
        <f>SUM('[1]EDl log'!T4)</f>
        <v>0.46387351173565372</v>
      </c>
      <c r="G2" s="5">
        <f>-[1]tanks!AW6</f>
        <v>107</v>
      </c>
      <c r="H2" s="6">
        <f>SUM([1]tanks!AV6)</f>
        <v>1.0029999999999999</v>
      </c>
      <c r="I2" s="7">
        <f>([1]B5!AU5)*0.51</f>
        <v>0</v>
      </c>
      <c r="J2" s="8">
        <f>[1]B5!AX5/0.51</f>
        <v>1.5686274509803921</v>
      </c>
      <c r="K2" s="5">
        <f>[1]WATER!I6</f>
        <v>0</v>
      </c>
      <c r="L2" s="9">
        <f>SUM([1]WATER!J6)</f>
        <v>0</v>
      </c>
      <c r="M2" s="9">
        <f>[1]WATER!Q6</f>
        <v>0</v>
      </c>
      <c r="N2" s="10">
        <v>0.6</v>
      </c>
      <c r="O2" s="7">
        <f>[1]ELEC!B4</f>
        <v>0</v>
      </c>
    </row>
    <row r="3" spans="1:15" x14ac:dyDescent="0.25">
      <c r="A3" t="s">
        <v>15</v>
      </c>
      <c r="B3">
        <f>B2+1</f>
        <v>2</v>
      </c>
      <c r="C3">
        <v>6</v>
      </c>
      <c r="D3">
        <v>2021</v>
      </c>
      <c r="E3" s="5">
        <f>[1]ELEC!N5</f>
        <v>12363.799999999814</v>
      </c>
      <c r="F3" s="6">
        <f>SUM('[1]EDl log'!T5)</f>
        <v>0.20509030595878536</v>
      </c>
      <c r="G3" s="5">
        <f>-[1]tanks!AW7</f>
        <v>128</v>
      </c>
      <c r="H3" s="6">
        <f>SUM([1]tanks!AV7)</f>
        <v>1.0029999999999999</v>
      </c>
      <c r="I3" s="7">
        <f>([1]B5!AU6)*0.51</f>
        <v>0</v>
      </c>
      <c r="J3" s="8">
        <f>[1]B5!AX6/0.51</f>
        <v>1.5686274509803921</v>
      </c>
      <c r="K3" s="5">
        <f>[1]WATER!I7</f>
        <v>109</v>
      </c>
      <c r="L3" s="9">
        <f>SUM([1]WATER!J7)</f>
        <v>2.2935779816513762</v>
      </c>
      <c r="M3" s="9">
        <f>[1]WATER!Q7</f>
        <v>0</v>
      </c>
      <c r="N3" s="10">
        <v>0.6</v>
      </c>
      <c r="O3" s="7">
        <f>[1]ELEC!B5</f>
        <v>0</v>
      </c>
    </row>
    <row r="4" spans="1:15" x14ac:dyDescent="0.25">
      <c r="A4" t="s">
        <v>15</v>
      </c>
      <c r="B4">
        <f t="shared" ref="B4:B31" si="0">B3+1</f>
        <v>3</v>
      </c>
      <c r="C4">
        <v>6</v>
      </c>
      <c r="D4">
        <v>2021</v>
      </c>
      <c r="E4" s="5">
        <f>[1]ELEC!N6</f>
        <v>15101</v>
      </c>
      <c r="F4" s="6">
        <f>SUM('[1]EDl log'!T6)</f>
        <v>0.15191881278279123</v>
      </c>
      <c r="G4" s="5">
        <f>-[1]tanks!AW8</f>
        <v>125</v>
      </c>
      <c r="H4" s="6">
        <f>SUM([1]tanks!AV8)</f>
        <v>1.0029999999999999</v>
      </c>
      <c r="I4" s="7">
        <f>([1]B5!AU7)*0.51</f>
        <v>0</v>
      </c>
      <c r="J4" s="8">
        <f>[1]B5!AX7/0.51</f>
        <v>1.5686274509803921</v>
      </c>
      <c r="K4" s="5">
        <f>[1]WATER!I8</f>
        <v>0</v>
      </c>
      <c r="L4" s="9">
        <f>SUM([1]WATER!J8)</f>
        <v>0</v>
      </c>
      <c r="M4" s="9">
        <f>[1]WATER!Q8</f>
        <v>0</v>
      </c>
      <c r="N4" s="10">
        <v>0.6</v>
      </c>
      <c r="O4" s="7">
        <f>[1]ELEC!B6</f>
        <v>0</v>
      </c>
    </row>
    <row r="5" spans="1:15" x14ac:dyDescent="0.25">
      <c r="A5" t="s">
        <v>15</v>
      </c>
      <c r="B5">
        <f t="shared" si="0"/>
        <v>4</v>
      </c>
      <c r="C5">
        <v>6</v>
      </c>
      <c r="D5">
        <v>2021</v>
      </c>
      <c r="E5" s="5">
        <f>[1]ELEC!N7</f>
        <v>16108.600000000093</v>
      </c>
      <c r="F5" s="6">
        <f>SUM('[1]EDl log'!T7)</f>
        <v>0.20711852899504871</v>
      </c>
      <c r="G5" s="5">
        <f>-[1]tanks!AW9</f>
        <v>91</v>
      </c>
      <c r="H5" s="6">
        <f>SUM([1]tanks!AV9)</f>
        <v>1.0029999999999999</v>
      </c>
      <c r="I5" s="7">
        <f>([1]B5!AU8)*0.51</f>
        <v>0</v>
      </c>
      <c r="J5" s="8">
        <f>[1]B5!AX8/0.51</f>
        <v>1.5686274509803921</v>
      </c>
      <c r="K5" s="5">
        <f>[1]WATER!I9</f>
        <v>0</v>
      </c>
      <c r="L5" s="9">
        <f>SUM([1]WATER!J9)</f>
        <v>0</v>
      </c>
      <c r="M5" s="9">
        <f>[1]WATER!Q9</f>
        <v>0</v>
      </c>
      <c r="N5" s="10">
        <v>0.6</v>
      </c>
      <c r="O5" s="7">
        <f>[1]ELEC!B7</f>
        <v>0</v>
      </c>
    </row>
    <row r="6" spans="1:15" x14ac:dyDescent="0.25">
      <c r="A6" t="s">
        <v>15</v>
      </c>
      <c r="B6">
        <f t="shared" si="0"/>
        <v>5</v>
      </c>
      <c r="C6">
        <v>6</v>
      </c>
      <c r="D6">
        <v>2021</v>
      </c>
      <c r="E6" s="5">
        <f>[1]ELEC!N8</f>
        <v>12066</v>
      </c>
      <c r="F6" s="6">
        <f>SUM('[1]EDl log'!T8)</f>
        <v>0.46444722683063389</v>
      </c>
      <c r="G6" s="5">
        <f>-[1]tanks!AW10</f>
        <v>242</v>
      </c>
      <c r="H6" s="6">
        <f>SUM([1]tanks!AV10)</f>
        <v>1.0029999999999999</v>
      </c>
      <c r="I6" s="7">
        <f>([1]B5!AU9)*0.51</f>
        <v>0</v>
      </c>
      <c r="J6" s="8">
        <f>[1]B5!AX9/0.51</f>
        <v>1.5686274509803921</v>
      </c>
      <c r="K6" s="5">
        <f>[1]WATER!I10</f>
        <v>0</v>
      </c>
      <c r="L6" s="9">
        <f>SUM([1]WATER!J10)</f>
        <v>0</v>
      </c>
      <c r="M6" s="9">
        <f>[1]WATER!Q10</f>
        <v>0</v>
      </c>
      <c r="N6" s="10">
        <v>0.6</v>
      </c>
      <c r="O6" s="7">
        <f>[1]ELEC!B8</f>
        <v>0</v>
      </c>
    </row>
    <row r="7" spans="1:15" x14ac:dyDescent="0.25">
      <c r="A7" t="s">
        <v>15</v>
      </c>
      <c r="B7">
        <f t="shared" si="0"/>
        <v>6</v>
      </c>
      <c r="C7">
        <v>6</v>
      </c>
      <c r="D7">
        <v>2021</v>
      </c>
      <c r="E7" s="5">
        <f>[1]ELEC!N9</f>
        <v>11919</v>
      </c>
      <c r="F7" s="6">
        <f>SUM('[1]EDl log'!T9)</f>
        <v>0.363497289055696</v>
      </c>
      <c r="G7" s="5">
        <f>-[1]tanks!AW11</f>
        <v>192</v>
      </c>
      <c r="H7" s="6">
        <f>SUM([1]tanks!AV11)</f>
        <v>1.0029999999999999</v>
      </c>
      <c r="I7" s="7">
        <f>([1]B5!AU10)*0.51</f>
        <v>0</v>
      </c>
      <c r="J7" s="8">
        <f>[1]B5!AX10/0.51</f>
        <v>1.5686274509803921</v>
      </c>
      <c r="K7" s="5">
        <f>[1]WATER!I11</f>
        <v>0</v>
      </c>
      <c r="L7" s="9">
        <f>SUM([1]WATER!J11)</f>
        <v>0</v>
      </c>
      <c r="M7" s="9">
        <f>[1]WATER!Q11</f>
        <v>0</v>
      </c>
      <c r="N7" s="10">
        <v>0.6</v>
      </c>
      <c r="O7" s="7">
        <f>[1]ELEC!B9</f>
        <v>0</v>
      </c>
    </row>
    <row r="8" spans="1:15" x14ac:dyDescent="0.25">
      <c r="A8" t="s">
        <v>15</v>
      </c>
      <c r="B8">
        <f t="shared" si="0"/>
        <v>7</v>
      </c>
      <c r="C8">
        <v>6</v>
      </c>
      <c r="D8">
        <v>2021</v>
      </c>
      <c r="E8" s="5">
        <f>[1]ELEC!N10</f>
        <v>15761</v>
      </c>
      <c r="F8" s="6">
        <f>SUM('[1]EDl log'!T10)</f>
        <v>0.16645854346328623</v>
      </c>
      <c r="G8" s="5">
        <f>-[1]tanks!AW12</f>
        <v>54</v>
      </c>
      <c r="H8" s="6">
        <f>SUM([1]tanks!AV12)</f>
        <v>1.0029999999999999</v>
      </c>
      <c r="I8" s="7">
        <f>([1]B5!AU11)*0.51</f>
        <v>0</v>
      </c>
      <c r="J8" s="8">
        <f>[1]B5!AX11/0.51</f>
        <v>1.5686274509803921</v>
      </c>
      <c r="K8" s="5">
        <f>[1]WATER!I12</f>
        <v>0</v>
      </c>
      <c r="L8" s="9">
        <f>SUM([1]WATER!J12)</f>
        <v>0</v>
      </c>
      <c r="M8" s="9">
        <f>[1]WATER!Q12</f>
        <v>0</v>
      </c>
      <c r="N8" s="10">
        <v>0.6</v>
      </c>
      <c r="O8" s="7">
        <f>[1]ELEC!B10</f>
        <v>0</v>
      </c>
    </row>
    <row r="9" spans="1:15" x14ac:dyDescent="0.25">
      <c r="A9" t="s">
        <v>15</v>
      </c>
      <c r="B9">
        <f t="shared" si="0"/>
        <v>8</v>
      </c>
      <c r="C9">
        <v>6</v>
      </c>
      <c r="D9">
        <v>2021</v>
      </c>
      <c r="E9" s="5">
        <f>[1]ELEC!N11</f>
        <v>11896</v>
      </c>
      <c r="F9" s="6">
        <f>SUM('[1]EDl log'!T11)</f>
        <v>0.33040920336551582</v>
      </c>
      <c r="G9" s="5">
        <f>-[1]tanks!AW13</f>
        <v>158</v>
      </c>
      <c r="H9" s="6">
        <f>SUM([1]tanks!AV13)</f>
        <v>1.0029999999999999</v>
      </c>
      <c r="I9" s="7">
        <f>([1]B5!AU12)*0.51</f>
        <v>0</v>
      </c>
      <c r="J9" s="8">
        <f>[1]B5!AX12/0.51</f>
        <v>1.5686274509803921</v>
      </c>
      <c r="K9" s="5">
        <f>[1]WATER!I13</f>
        <v>0</v>
      </c>
      <c r="L9" s="9">
        <f>SUM([1]WATER!J13)</f>
        <v>0</v>
      </c>
      <c r="M9" s="9">
        <f>[1]WATER!Q13</f>
        <v>0</v>
      </c>
      <c r="N9" s="10">
        <v>0.6</v>
      </c>
      <c r="O9" s="7">
        <f>[1]ELEC!B11</f>
        <v>0</v>
      </c>
    </row>
    <row r="10" spans="1:15" x14ac:dyDescent="0.25">
      <c r="A10" t="s">
        <v>15</v>
      </c>
      <c r="B10">
        <f t="shared" si="0"/>
        <v>9</v>
      </c>
      <c r="C10">
        <v>6</v>
      </c>
      <c r="D10">
        <v>2021</v>
      </c>
      <c r="E10" s="5">
        <f>[1]ELEC!N12</f>
        <v>13733</v>
      </c>
      <c r="F10" s="6">
        <f>SUM('[1]EDl log'!T12)</f>
        <v>0.38119933067901629</v>
      </c>
      <c r="G10" s="5">
        <f>-[1]tanks!AW14</f>
        <v>110</v>
      </c>
      <c r="H10" s="6">
        <f>SUM([1]tanks!AV14)</f>
        <v>1.0029999999999999</v>
      </c>
      <c r="I10" s="7">
        <f>([1]B5!AU13)*0.51</f>
        <v>0</v>
      </c>
      <c r="J10" s="8">
        <f>[1]B5!AX13/0.51</f>
        <v>1.5686274509803921</v>
      </c>
      <c r="K10" s="5">
        <f>[1]WATER!I14</f>
        <v>0</v>
      </c>
      <c r="L10" s="9">
        <f>SUM([1]WATER!J14)</f>
        <v>0</v>
      </c>
      <c r="M10" s="9">
        <f>[1]WATER!Q14</f>
        <v>0</v>
      </c>
      <c r="N10" s="10">
        <v>0.6</v>
      </c>
      <c r="O10" s="7">
        <f>[1]ELEC!B12</f>
        <v>0</v>
      </c>
    </row>
    <row r="11" spans="1:15" x14ac:dyDescent="0.25">
      <c r="A11" t="s">
        <v>15</v>
      </c>
      <c r="B11">
        <f t="shared" si="0"/>
        <v>10</v>
      </c>
      <c r="C11">
        <v>6</v>
      </c>
      <c r="D11">
        <v>2021</v>
      </c>
      <c r="E11" s="5">
        <f>[1]ELEC!N13</f>
        <v>14893</v>
      </c>
      <c r="F11" s="6">
        <f>SUM('[1]EDl log'!T13)</f>
        <v>0.11353994033813665</v>
      </c>
      <c r="G11" s="5">
        <f>-[1]tanks!AW15</f>
        <v>115</v>
      </c>
      <c r="H11" s="6">
        <f>SUM([1]tanks!AV15)</f>
        <v>1.05</v>
      </c>
      <c r="I11" s="7">
        <f>([1]B5!AU14)*0.51</f>
        <v>0</v>
      </c>
      <c r="J11" s="8">
        <f>[1]B5!AX14/0.51</f>
        <v>1.5686274509803921</v>
      </c>
      <c r="K11" s="5">
        <f>[1]WATER!I15</f>
        <v>0</v>
      </c>
      <c r="L11" s="9">
        <f>SUM([1]WATER!J15)</f>
        <v>0</v>
      </c>
      <c r="M11" s="9">
        <f>[1]WATER!Q15</f>
        <v>0</v>
      </c>
      <c r="N11" s="10">
        <v>0.6</v>
      </c>
      <c r="O11" s="7">
        <f>[1]ELEC!B13</f>
        <v>0</v>
      </c>
    </row>
    <row r="12" spans="1:15" x14ac:dyDescent="0.25">
      <c r="A12" t="s">
        <v>15</v>
      </c>
      <c r="B12">
        <f t="shared" si="0"/>
        <v>11</v>
      </c>
      <c r="C12">
        <v>6</v>
      </c>
      <c r="D12">
        <v>2021</v>
      </c>
      <c r="E12" s="5">
        <f>[1]ELEC!N14</f>
        <v>14674</v>
      </c>
      <c r="F12" s="6">
        <f>SUM('[1]EDl log'!T14)</f>
        <v>0.37218688744015821</v>
      </c>
      <c r="G12" s="5">
        <f>-[1]tanks!AW16</f>
        <v>135</v>
      </c>
      <c r="H12" s="6">
        <f>SUM([1]tanks!AV16)</f>
        <v>1.05</v>
      </c>
      <c r="I12" s="7">
        <f>([1]B5!AU15)*0.51</f>
        <v>0</v>
      </c>
      <c r="J12" s="8">
        <f>[1]B5!AX15/0.51</f>
        <v>1.5686274509803921</v>
      </c>
      <c r="K12" s="5">
        <f>[1]WATER!I16</f>
        <v>0</v>
      </c>
      <c r="L12" s="9">
        <f>SUM([1]WATER!J16)</f>
        <v>0</v>
      </c>
      <c r="M12" s="9">
        <f>[1]WATER!Q16</f>
        <v>0</v>
      </c>
      <c r="N12" s="10">
        <v>0.6</v>
      </c>
      <c r="O12" s="7">
        <f>[1]ELEC!B14</f>
        <v>0</v>
      </c>
    </row>
    <row r="13" spans="1:15" x14ac:dyDescent="0.25">
      <c r="A13" t="s">
        <v>15</v>
      </c>
      <c r="B13">
        <f t="shared" si="0"/>
        <v>12</v>
      </c>
      <c r="C13">
        <v>6</v>
      </c>
      <c r="D13">
        <v>2021</v>
      </c>
      <c r="E13" s="5">
        <f>[1]ELEC!N15</f>
        <v>12497</v>
      </c>
      <c r="F13" s="6">
        <f>SUM('[1]EDl log'!T15)</f>
        <v>0.26915681290488425</v>
      </c>
      <c r="G13" s="5">
        <f>-[1]tanks!AW17</f>
        <v>200</v>
      </c>
      <c r="H13" s="6">
        <f>SUM([1]tanks!AV17)</f>
        <v>1.05</v>
      </c>
      <c r="I13" s="7">
        <f>([1]B5!AU16)*0.51</f>
        <v>0</v>
      </c>
      <c r="J13" s="8">
        <f>[1]B5!AX16/0.51</f>
        <v>1.5686274509803921</v>
      </c>
      <c r="K13" s="5">
        <f>[1]WATER!I17</f>
        <v>0</v>
      </c>
      <c r="L13" s="9">
        <f>SUM([1]WATER!J17)</f>
        <v>0</v>
      </c>
      <c r="M13" s="9">
        <f>[1]WATER!Q17</f>
        <v>0</v>
      </c>
      <c r="N13" s="10">
        <v>0.6</v>
      </c>
      <c r="O13" s="7">
        <f>[1]ELEC!B15</f>
        <v>0</v>
      </c>
    </row>
    <row r="14" spans="1:15" x14ac:dyDescent="0.25">
      <c r="A14" t="s">
        <v>15</v>
      </c>
      <c r="B14">
        <f t="shared" si="0"/>
        <v>13</v>
      </c>
      <c r="C14">
        <v>6</v>
      </c>
      <c r="D14">
        <v>2021</v>
      </c>
      <c r="E14" s="5">
        <f>[1]ELEC!N16</f>
        <v>12554</v>
      </c>
      <c r="F14" s="6">
        <f>SUM('[1]EDl log'!T16)</f>
        <v>0.3970448786585023</v>
      </c>
      <c r="G14" s="5">
        <f>-[1]tanks!AW18</f>
        <v>48</v>
      </c>
      <c r="H14" s="6">
        <f>SUM([1]tanks!AV18)</f>
        <v>1.05</v>
      </c>
      <c r="I14" s="7">
        <f>([1]B5!AU17)*0.51</f>
        <v>0</v>
      </c>
      <c r="J14" s="8">
        <f>[1]B5!AX17/0.51</f>
        <v>1.5686274509803921</v>
      </c>
      <c r="K14" s="5">
        <f>[1]WATER!I18</f>
        <v>0</v>
      </c>
      <c r="L14" s="9">
        <f>SUM([1]WATER!J18)</f>
        <v>0</v>
      </c>
      <c r="M14" s="9">
        <f>[1]WATER!Q18</f>
        <v>0</v>
      </c>
      <c r="N14" s="10">
        <v>0.6</v>
      </c>
      <c r="O14" s="7">
        <f>[1]ELEC!B16</f>
        <v>0</v>
      </c>
    </row>
    <row r="15" spans="1:15" x14ac:dyDescent="0.25">
      <c r="A15" t="s">
        <v>15</v>
      </c>
      <c r="B15">
        <f t="shared" si="0"/>
        <v>14</v>
      </c>
      <c r="C15">
        <v>6</v>
      </c>
      <c r="D15">
        <v>2021</v>
      </c>
      <c r="E15" s="5">
        <f>[1]ELEC!N17</f>
        <v>11380</v>
      </c>
      <c r="F15" s="6">
        <f>SUM('[1]EDl log'!T17)</f>
        <v>0.33752084384454661</v>
      </c>
      <c r="G15" s="5">
        <f>-[1]tanks!AW19</f>
        <v>57</v>
      </c>
      <c r="H15" s="6">
        <f>SUM([1]tanks!AV19)</f>
        <v>1.05</v>
      </c>
      <c r="I15" s="7">
        <f>([1]B5!AU18)*0.51</f>
        <v>0</v>
      </c>
      <c r="J15" s="8">
        <f>[1]B5!AX18/0.51</f>
        <v>1.5686274509803921</v>
      </c>
      <c r="K15" s="5">
        <f>[1]WATER!I19</f>
        <v>0</v>
      </c>
      <c r="L15" s="9">
        <f>SUM([1]WATER!J19)</f>
        <v>0</v>
      </c>
      <c r="M15" s="9">
        <f>[1]WATER!Q19</f>
        <v>0</v>
      </c>
      <c r="N15" s="10">
        <v>0.6</v>
      </c>
      <c r="O15" s="7">
        <f>[1]ELEC!B17</f>
        <v>0</v>
      </c>
    </row>
    <row r="16" spans="1:15" x14ac:dyDescent="0.25">
      <c r="A16" t="s">
        <v>15</v>
      </c>
      <c r="B16">
        <f t="shared" si="0"/>
        <v>15</v>
      </c>
      <c r="C16">
        <v>6</v>
      </c>
      <c r="D16">
        <v>2021</v>
      </c>
      <c r="E16" s="5">
        <f>[1]ELEC!N18</f>
        <v>13190</v>
      </c>
      <c r="F16" s="6">
        <f>SUM('[1]EDl log'!T18)</f>
        <v>0.18162771524250806</v>
      </c>
      <c r="G16" s="5">
        <f>-[1]tanks!AW20</f>
        <v>184</v>
      </c>
      <c r="H16" s="6">
        <f>SUM([1]tanks!AV20)</f>
        <v>1.05</v>
      </c>
      <c r="I16" s="7">
        <f>([1]B5!AU19)*0.51</f>
        <v>0</v>
      </c>
      <c r="J16" s="8">
        <f>[1]B5!AX19/0.51</f>
        <v>1.5686274509803921</v>
      </c>
      <c r="K16" s="5">
        <f>[1]WATER!I20</f>
        <v>0</v>
      </c>
      <c r="L16" s="9">
        <f>SUM([1]WATER!J20)</f>
        <v>0</v>
      </c>
      <c r="M16" s="9">
        <f>[1]WATER!Q20</f>
        <v>0</v>
      </c>
      <c r="N16" s="10">
        <v>0.6</v>
      </c>
      <c r="O16" s="7">
        <f>[1]ELEC!B18</f>
        <v>0</v>
      </c>
    </row>
    <row r="17" spans="1:15" x14ac:dyDescent="0.25">
      <c r="A17" t="s">
        <v>15</v>
      </c>
      <c r="B17">
        <f t="shared" si="0"/>
        <v>16</v>
      </c>
      <c r="C17">
        <v>6</v>
      </c>
      <c r="D17">
        <v>2021</v>
      </c>
      <c r="E17" s="5">
        <f>[1]ELEC!N19</f>
        <v>12267</v>
      </c>
      <c r="F17" s="6">
        <f>SUM('[1]EDl log'!T19)</f>
        <v>0.33324881937460943</v>
      </c>
      <c r="G17" s="5">
        <f>-[1]tanks!AW21</f>
        <v>82</v>
      </c>
      <c r="H17" s="6">
        <f>SUM([1]tanks!AV21)</f>
        <v>1.05</v>
      </c>
      <c r="I17" s="7">
        <f>([1]B5!AU20)*0.51</f>
        <v>0</v>
      </c>
      <c r="J17" s="8">
        <f>[1]B5!AX20/0.51</f>
        <v>1.5686274509803921</v>
      </c>
      <c r="K17" s="5">
        <f>[1]WATER!I21</f>
        <v>220</v>
      </c>
      <c r="L17" s="9">
        <f>SUM([1]WATER!J21)</f>
        <v>1.1363636363636365</v>
      </c>
      <c r="M17" s="9">
        <f>[1]WATER!Q21</f>
        <v>0</v>
      </c>
      <c r="N17" s="10">
        <v>0.6</v>
      </c>
      <c r="O17" s="7">
        <f>[1]ELEC!B19</f>
        <v>0</v>
      </c>
    </row>
    <row r="18" spans="1:15" x14ac:dyDescent="0.25">
      <c r="A18" t="s">
        <v>15</v>
      </c>
      <c r="B18">
        <f t="shared" si="0"/>
        <v>17</v>
      </c>
      <c r="C18">
        <v>6</v>
      </c>
      <c r="D18">
        <v>2021</v>
      </c>
      <c r="E18" s="5">
        <f>[1]ELEC!N20</f>
        <v>12955</v>
      </c>
      <c r="F18" s="6">
        <f>SUM('[1]EDl log'!T20)</f>
        <v>0.35153202567244268</v>
      </c>
      <c r="G18" s="5">
        <f>-[1]tanks!AW22</f>
        <v>139</v>
      </c>
      <c r="H18" s="6">
        <f>SUM([1]tanks!AV22)</f>
        <v>1.05</v>
      </c>
      <c r="I18" s="7">
        <f>([1]B5!AU21)*0.51</f>
        <v>0</v>
      </c>
      <c r="J18" s="8">
        <f>[1]B5!AX21/0.51</f>
        <v>1.5686274509803921</v>
      </c>
      <c r="K18" s="5">
        <f>[1]WATER!I22</f>
        <v>0</v>
      </c>
      <c r="L18" s="9">
        <f>SUM([1]WATER!J22)</f>
        <v>0</v>
      </c>
      <c r="M18" s="9">
        <f>[1]WATER!Q22</f>
        <v>0</v>
      </c>
      <c r="N18" s="10">
        <v>0.6</v>
      </c>
      <c r="O18" s="7">
        <f>[1]ELEC!B20</f>
        <v>0</v>
      </c>
    </row>
    <row r="19" spans="1:15" x14ac:dyDescent="0.25">
      <c r="A19" t="s">
        <v>15</v>
      </c>
      <c r="B19">
        <f t="shared" si="0"/>
        <v>18</v>
      </c>
      <c r="C19">
        <v>6</v>
      </c>
      <c r="D19">
        <v>2021</v>
      </c>
      <c r="E19" s="5">
        <f>[1]ELEC!N21</f>
        <v>12140</v>
      </c>
      <c r="F19" s="6">
        <f>SUM('[1]EDl log'!T21)</f>
        <v>0.36194297998170438</v>
      </c>
      <c r="G19" s="5">
        <f>-[1]tanks!AW23</f>
        <v>129</v>
      </c>
      <c r="H19" s="6">
        <f>SUM([1]tanks!AV23)</f>
        <v>1.05</v>
      </c>
      <c r="I19" s="7">
        <f>([1]B5!AU22)*0.51</f>
        <v>0</v>
      </c>
      <c r="J19" s="8">
        <f>[1]B5!AX22/0.51</f>
        <v>1.5686274509803921</v>
      </c>
      <c r="K19" s="5">
        <f>[1]WATER!I23</f>
        <v>188</v>
      </c>
      <c r="L19" s="9">
        <f>SUM([1]WATER!J23)</f>
        <v>1.3297872340425532</v>
      </c>
      <c r="M19" s="9">
        <f>[1]WATER!Q23</f>
        <v>0</v>
      </c>
      <c r="N19" s="10">
        <v>0.6</v>
      </c>
      <c r="O19" s="7">
        <f>[1]ELEC!B21</f>
        <v>0</v>
      </c>
    </row>
    <row r="20" spans="1:15" x14ac:dyDescent="0.25">
      <c r="A20" t="s">
        <v>15</v>
      </c>
      <c r="B20">
        <f t="shared" si="0"/>
        <v>19</v>
      </c>
      <c r="C20">
        <v>6</v>
      </c>
      <c r="D20">
        <v>2021</v>
      </c>
      <c r="E20" s="5">
        <f>[1]ELEC!N22</f>
        <v>13379</v>
      </c>
      <c r="F20" s="6">
        <f>SUM('[1]EDl log'!T22)</f>
        <v>0.2616592108094466</v>
      </c>
      <c r="G20" s="5">
        <f>-[1]tanks!AW24</f>
        <v>100</v>
      </c>
      <c r="H20" s="6">
        <f>SUM([1]tanks!AV24)</f>
        <v>1.103</v>
      </c>
      <c r="I20" s="7">
        <f>([1]B5!AU23)*0.51</f>
        <v>0</v>
      </c>
      <c r="J20" s="8">
        <f>[1]B5!AX23/0.51</f>
        <v>1.5686274509803921</v>
      </c>
      <c r="K20" s="5">
        <f>[1]WATER!I24</f>
        <v>0</v>
      </c>
      <c r="L20" s="9">
        <f>SUM([1]WATER!J24)</f>
        <v>0</v>
      </c>
      <c r="M20" s="9">
        <f>[1]WATER!Q24</f>
        <v>0</v>
      </c>
      <c r="N20" s="10">
        <v>0.6</v>
      </c>
      <c r="O20" s="7">
        <f>[1]ELEC!B22</f>
        <v>0</v>
      </c>
    </row>
    <row r="21" spans="1:15" x14ac:dyDescent="0.25">
      <c r="A21" t="s">
        <v>15</v>
      </c>
      <c r="B21">
        <f t="shared" si="0"/>
        <v>20</v>
      </c>
      <c r="C21">
        <v>6</v>
      </c>
      <c r="D21">
        <v>2021</v>
      </c>
      <c r="E21" s="5">
        <f>[1]ELEC!N23</f>
        <v>12606</v>
      </c>
      <c r="F21" s="6">
        <f>SUM('[1]EDl log'!T23)</f>
        <v>0.33586724595109674</v>
      </c>
      <c r="G21" s="5">
        <f>-[1]tanks!AW25</f>
        <v>104</v>
      </c>
      <c r="H21" s="6">
        <f>SUM([1]tanks!AV25)</f>
        <v>1.103</v>
      </c>
      <c r="I21" s="7">
        <f>([1]B5!AU24)*0.51</f>
        <v>0</v>
      </c>
      <c r="J21" s="8">
        <f>[1]B5!AX24/0.51</f>
        <v>1.5686274509803921</v>
      </c>
      <c r="K21" s="5">
        <f>[1]WATER!I25</f>
        <v>166</v>
      </c>
      <c r="L21" s="9">
        <f>SUM([1]WATER!J25)</f>
        <v>1.5060240963855422</v>
      </c>
      <c r="M21" s="9">
        <f>[1]WATER!Q25</f>
        <v>0</v>
      </c>
      <c r="N21" s="10">
        <v>0.6</v>
      </c>
      <c r="O21" s="7">
        <f>[1]ELEC!B23</f>
        <v>0</v>
      </c>
    </row>
    <row r="22" spans="1:15" x14ac:dyDescent="0.25">
      <c r="A22" t="s">
        <v>15</v>
      </c>
      <c r="B22">
        <f t="shared" si="0"/>
        <v>21</v>
      </c>
      <c r="C22">
        <v>6</v>
      </c>
      <c r="D22">
        <v>2021</v>
      </c>
      <c r="E22" s="5">
        <f>[1]ELEC!N24</f>
        <v>13830</v>
      </c>
      <c r="F22" s="6">
        <f>SUM('[1]EDl log'!T24)</f>
        <v>0.20609357298514452</v>
      </c>
      <c r="G22" s="5">
        <f>-[1]tanks!AW26</f>
        <v>97</v>
      </c>
      <c r="H22" s="6">
        <f>SUM([1]tanks!AV26)</f>
        <v>1.103</v>
      </c>
      <c r="I22" s="7">
        <f>([1]B5!AU25)*0.51</f>
        <v>0</v>
      </c>
      <c r="J22" s="8">
        <f>[1]B5!AX25/0.51</f>
        <v>1.5686274509803921</v>
      </c>
      <c r="K22" s="5">
        <f>[1]WATER!I26</f>
        <v>0</v>
      </c>
      <c r="L22" s="9">
        <f>SUM([1]WATER!J26)</f>
        <v>0</v>
      </c>
      <c r="M22" s="9">
        <f>[1]WATER!Q26</f>
        <v>0</v>
      </c>
      <c r="N22" s="10">
        <v>0.6</v>
      </c>
      <c r="O22" s="7">
        <f>[1]ELEC!B24</f>
        <v>0</v>
      </c>
    </row>
    <row r="23" spans="1:15" x14ac:dyDescent="0.25">
      <c r="A23" t="s">
        <v>15</v>
      </c>
      <c r="B23">
        <f t="shared" si="0"/>
        <v>22</v>
      </c>
      <c r="C23">
        <v>6</v>
      </c>
      <c r="D23">
        <v>2021</v>
      </c>
      <c r="E23" s="5">
        <f>[1]ELEC!N25</f>
        <v>13622</v>
      </c>
      <c r="F23" s="6">
        <f>SUM('[1]EDl log'!T25)</f>
        <v>0.34521086463334494</v>
      </c>
      <c r="G23" s="5">
        <f>-[1]tanks!AW27</f>
        <v>136</v>
      </c>
      <c r="H23" s="6">
        <f>SUM([1]tanks!AV27)</f>
        <v>1.103</v>
      </c>
      <c r="I23" s="7">
        <f>([1]B5!AU26)*0.51</f>
        <v>0</v>
      </c>
      <c r="J23" s="8">
        <f>[1]B5!AX26/0.51</f>
        <v>1.5686274509803921</v>
      </c>
      <c r="K23" s="5">
        <f>[1]WATER!I27</f>
        <v>194</v>
      </c>
      <c r="L23" s="9">
        <f>SUM([1]WATER!J27)</f>
        <v>1.2886597938144331</v>
      </c>
      <c r="M23" s="9">
        <f>[1]WATER!Q27</f>
        <v>0</v>
      </c>
      <c r="N23" s="10">
        <v>0.6</v>
      </c>
      <c r="O23" s="7">
        <f>[1]ELEC!B25</f>
        <v>0</v>
      </c>
    </row>
    <row r="24" spans="1:15" x14ac:dyDescent="0.25">
      <c r="A24" t="s">
        <v>15</v>
      </c>
      <c r="B24">
        <f t="shared" si="0"/>
        <v>23</v>
      </c>
      <c r="C24">
        <v>6</v>
      </c>
      <c r="D24">
        <v>2021</v>
      </c>
      <c r="E24" s="5">
        <f>[1]ELEC!N26</f>
        <v>14916</v>
      </c>
      <c r="F24" s="6">
        <f>SUM('[1]EDl log'!T26)</f>
        <v>0.35800862251137033</v>
      </c>
      <c r="G24" s="5">
        <f>-[1]tanks!AW28</f>
        <v>8</v>
      </c>
      <c r="H24" s="6">
        <f>SUM([1]tanks!AV28)</f>
        <v>1.103</v>
      </c>
      <c r="I24" s="7">
        <f>([1]B5!AU27)*0.51</f>
        <v>0</v>
      </c>
      <c r="J24" s="8">
        <f>[1]B5!AX27/0.51</f>
        <v>1.5686274509803921</v>
      </c>
      <c r="K24" s="5">
        <f>[1]WATER!I28</f>
        <v>0</v>
      </c>
      <c r="L24" s="9">
        <f>SUM([1]WATER!J28)</f>
        <v>0</v>
      </c>
      <c r="M24" s="9">
        <f>[1]WATER!Q28</f>
        <v>0</v>
      </c>
      <c r="N24" s="10">
        <v>0.6</v>
      </c>
      <c r="O24" s="7">
        <f>[1]ELEC!B26</f>
        <v>0</v>
      </c>
    </row>
    <row r="25" spans="1:15" x14ac:dyDescent="0.25">
      <c r="A25" t="s">
        <v>15</v>
      </c>
      <c r="B25">
        <f t="shared" si="0"/>
        <v>24</v>
      </c>
      <c r="C25">
        <v>6</v>
      </c>
      <c r="D25">
        <v>2021</v>
      </c>
      <c r="E25" s="5">
        <f>[1]ELEC!N27</f>
        <v>14573</v>
      </c>
      <c r="F25" s="6">
        <f>SUM('[1]EDl log'!T27)</f>
        <v>0.33579534359375268</v>
      </c>
      <c r="G25" s="5">
        <f>-[1]tanks!AW29</f>
        <v>212</v>
      </c>
      <c r="H25" s="6">
        <f>SUM([1]tanks!AV29)</f>
        <v>1.103</v>
      </c>
      <c r="I25" s="7">
        <f>([1]B5!AU28)*0.51</f>
        <v>0</v>
      </c>
      <c r="J25" s="8">
        <f>[1]B5!AX28/0.51</f>
        <v>1.5686274509803921</v>
      </c>
      <c r="K25" s="5">
        <f>[1]WATER!I29</f>
        <v>162</v>
      </c>
      <c r="L25" s="9">
        <f>SUM([1]WATER!J29)</f>
        <v>1.5432098765432098</v>
      </c>
      <c r="M25" s="9">
        <f>[1]WATER!Q29</f>
        <v>0</v>
      </c>
      <c r="N25" s="10">
        <v>0.6</v>
      </c>
      <c r="O25" s="7">
        <f>[1]ELEC!B27</f>
        <v>0</v>
      </c>
    </row>
    <row r="26" spans="1:15" x14ac:dyDescent="0.25">
      <c r="A26" t="s">
        <v>15</v>
      </c>
      <c r="B26">
        <f>B25+1</f>
        <v>25</v>
      </c>
      <c r="C26">
        <v>6</v>
      </c>
      <c r="D26">
        <v>2021</v>
      </c>
      <c r="E26" s="5">
        <f>[1]ELEC!N28</f>
        <v>15015</v>
      </c>
      <c r="F26" s="6">
        <f>SUM('[1]EDl log'!T28)</f>
        <v>0.20789995260709088</v>
      </c>
      <c r="G26" s="5">
        <f>-[1]tanks!AW30</f>
        <v>104</v>
      </c>
      <c r="H26" s="6">
        <f>SUM([1]tanks!AV30)</f>
        <v>1.1599999999999999</v>
      </c>
      <c r="I26" s="7">
        <f>([1]B5!AU29)*0.51</f>
        <v>30.6</v>
      </c>
      <c r="J26" s="8">
        <f>[1]B5!AX29/0.51</f>
        <v>1.5686274509803921</v>
      </c>
      <c r="K26" s="5">
        <f>[1]WATER!I30</f>
        <v>0</v>
      </c>
      <c r="L26" s="9">
        <f>SUM([1]WATER!J30)</f>
        <v>0</v>
      </c>
      <c r="M26" s="9">
        <f>[1]WATER!Q30</f>
        <v>0</v>
      </c>
      <c r="N26" s="10">
        <v>0.6</v>
      </c>
      <c r="O26" s="7">
        <f>[1]ELEC!B28</f>
        <v>0</v>
      </c>
    </row>
    <row r="27" spans="1:15" x14ac:dyDescent="0.25">
      <c r="A27" t="s">
        <v>15</v>
      </c>
      <c r="B27">
        <f t="shared" si="0"/>
        <v>26</v>
      </c>
      <c r="C27">
        <v>6</v>
      </c>
      <c r="D27">
        <v>2021</v>
      </c>
      <c r="E27" s="5">
        <f>[1]ELEC!N29</f>
        <v>13548</v>
      </c>
      <c r="F27" s="6">
        <f>SUM('[1]EDl log'!T29)</f>
        <v>0.37888897753963796</v>
      </c>
      <c r="G27" s="5">
        <f>-[1]tanks!AW31</f>
        <v>41</v>
      </c>
      <c r="H27" s="6">
        <f>SUM([1]tanks!AV31)</f>
        <v>1.1599999999999999</v>
      </c>
      <c r="I27" s="7">
        <f>([1]B5!AU30)*0.51</f>
        <v>0</v>
      </c>
      <c r="J27" s="8">
        <f>[1]B5!AX30/0.51</f>
        <v>1.5686274509803921</v>
      </c>
      <c r="K27" s="5">
        <f>[1]WATER!I31</f>
        <v>240</v>
      </c>
      <c r="L27" s="9">
        <f>SUM([1]WATER!J31)</f>
        <v>1.0416666666666667</v>
      </c>
      <c r="M27" s="9">
        <f>[1]WATER!Q31</f>
        <v>0</v>
      </c>
      <c r="N27" s="10">
        <v>0.6</v>
      </c>
      <c r="O27" s="7">
        <f>[1]ELEC!B29</f>
        <v>0</v>
      </c>
    </row>
    <row r="28" spans="1:15" x14ac:dyDescent="0.25">
      <c r="A28" t="s">
        <v>15</v>
      </c>
      <c r="B28">
        <f t="shared" si="0"/>
        <v>27</v>
      </c>
      <c r="C28">
        <v>6</v>
      </c>
      <c r="D28">
        <v>2021</v>
      </c>
      <c r="E28" s="5">
        <f>[1]ELEC!N30</f>
        <v>16145</v>
      </c>
      <c r="F28" s="6">
        <f>SUM('[1]EDl log'!T30)</f>
        <v>0.3478270890464899</v>
      </c>
      <c r="G28" s="5">
        <f>-[1]tanks!AW32</f>
        <v>54</v>
      </c>
      <c r="H28" s="6">
        <f>SUM([1]tanks!AV32)</f>
        <v>1.1599999999999999</v>
      </c>
      <c r="I28" s="7">
        <f>([1]B5!AU31)*0.51</f>
        <v>0</v>
      </c>
      <c r="J28" s="8">
        <f>[1]B5!AX31/0.51</f>
        <v>1.5686274509803921</v>
      </c>
      <c r="K28" s="5">
        <f>[1]WATER!I32</f>
        <v>0</v>
      </c>
      <c r="L28" s="9">
        <f>SUM([1]WATER!J32)</f>
        <v>0</v>
      </c>
      <c r="M28" s="9">
        <f>[1]WATER!Q32</f>
        <v>0</v>
      </c>
      <c r="N28" s="10">
        <v>0.6</v>
      </c>
      <c r="O28" s="7">
        <f>[1]ELEC!B30</f>
        <v>0</v>
      </c>
    </row>
    <row r="29" spans="1:15" x14ac:dyDescent="0.25">
      <c r="A29" t="s">
        <v>15</v>
      </c>
      <c r="B29">
        <f t="shared" si="0"/>
        <v>28</v>
      </c>
      <c r="C29">
        <v>6</v>
      </c>
      <c r="D29">
        <v>2021</v>
      </c>
      <c r="E29" s="5">
        <f>[1]ELEC!N31</f>
        <v>16244</v>
      </c>
      <c r="F29" s="6">
        <f>SUM('[1]EDl log'!T31)</f>
        <v>0.34107452425725454</v>
      </c>
      <c r="G29" s="5">
        <f>-[1]tanks!AW33</f>
        <v>177</v>
      </c>
      <c r="H29" s="6">
        <f>SUM([1]tanks!AV33)</f>
        <v>1.1599999999999999</v>
      </c>
      <c r="I29" s="7">
        <f>([1]B5!AU32)*0.51</f>
        <v>0</v>
      </c>
      <c r="J29" s="8">
        <f>[1]B5!AX32/0.51</f>
        <v>1.5686274509803921</v>
      </c>
      <c r="K29" s="5">
        <f>[1]WATER!I33</f>
        <v>204</v>
      </c>
      <c r="L29" s="9">
        <f>SUM([1]WATER!J33)</f>
        <v>1.2254901960784315</v>
      </c>
      <c r="M29" s="9">
        <f>[1]WATER!Q33</f>
        <v>0</v>
      </c>
      <c r="N29" s="10">
        <v>0.6</v>
      </c>
      <c r="O29" s="7">
        <f>[1]ELEC!B31</f>
        <v>0</v>
      </c>
    </row>
    <row r="30" spans="1:15" x14ac:dyDescent="0.25">
      <c r="A30" t="s">
        <v>15</v>
      </c>
      <c r="B30">
        <f t="shared" si="0"/>
        <v>29</v>
      </c>
      <c r="C30">
        <v>6</v>
      </c>
      <c r="D30">
        <v>2021</v>
      </c>
      <c r="E30" s="5">
        <f>[1]ELEC!N32</f>
        <v>16680.200000000186</v>
      </c>
      <c r="F30" s="6">
        <f>SUM('[1]EDl log'!T32)</f>
        <v>0.36162809122922179</v>
      </c>
      <c r="G30" s="5">
        <f>-[1]tanks!AW34</f>
        <v>102.39999999999418</v>
      </c>
      <c r="H30" s="6">
        <f>SUM([1]tanks!AV34)</f>
        <v>1.1599999999999999</v>
      </c>
      <c r="I30" s="7">
        <f>([1]B5!AU33)*0.51</f>
        <v>0</v>
      </c>
      <c r="J30" s="8">
        <f>[1]B5!AX33/0.51</f>
        <v>1.5686274509803921</v>
      </c>
      <c r="K30" s="5">
        <f>[1]WATER!I34</f>
        <v>0</v>
      </c>
      <c r="L30" s="9">
        <f>SUM([1]WATER!J34)</f>
        <v>0</v>
      </c>
      <c r="M30" s="9">
        <f>[1]WATER!Q34</f>
        <v>0</v>
      </c>
      <c r="N30" s="10">
        <v>0.6</v>
      </c>
      <c r="O30" s="7">
        <f>[1]ELEC!B32</f>
        <v>0</v>
      </c>
    </row>
    <row r="31" spans="1:15" x14ac:dyDescent="0.25">
      <c r="A31" t="s">
        <v>15</v>
      </c>
      <c r="B31">
        <f t="shared" si="0"/>
        <v>30</v>
      </c>
      <c r="C31">
        <v>6</v>
      </c>
      <c r="D31">
        <v>2021</v>
      </c>
      <c r="E31" s="5">
        <f>[1]ELEC!N33</f>
        <v>17085.799999999814</v>
      </c>
      <c r="F31" s="6">
        <f>SUM('[1]EDl log'!T33)</f>
        <v>0.34016679919179565</v>
      </c>
      <c r="G31" s="5">
        <f>-[1]tanks!AW35</f>
        <v>203.40000000002328</v>
      </c>
      <c r="H31" s="6">
        <f>SUM([1]tanks!AV35)</f>
        <v>1.1599999999999999</v>
      </c>
      <c r="I31" s="7">
        <f>([1]B5!AU34)*0.51</f>
        <v>0</v>
      </c>
      <c r="J31" s="8">
        <f>[1]B5!AX34/0.51</f>
        <v>1.5686274509803921</v>
      </c>
      <c r="K31" s="5">
        <f>[1]WATER!I35</f>
        <v>418</v>
      </c>
      <c r="L31" s="9">
        <f>SUM([1]WATER!J35)</f>
        <v>0.59808612440191389</v>
      </c>
      <c r="M31" s="9">
        <f>[1]WATER!Q35</f>
        <v>0</v>
      </c>
      <c r="N31" s="10">
        <v>0.6</v>
      </c>
      <c r="O31" s="7">
        <f>[1]ELEC!B33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D17" sqref="D17"/>
    </sheetView>
  </sheetViews>
  <sheetFormatPr defaultRowHeight="15" x14ac:dyDescent="0.25"/>
  <sheetData>
    <row r="1" spans="1:12" ht="60" x14ac:dyDescent="0.25">
      <c r="A1" t="s">
        <v>0</v>
      </c>
      <c r="B1" t="s">
        <v>1</v>
      </c>
      <c r="C1" t="s">
        <v>2</v>
      </c>
      <c r="D1" t="s">
        <v>3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" t="s">
        <v>14</v>
      </c>
    </row>
    <row r="2" spans="1:12" x14ac:dyDescent="0.25">
      <c r="A2" t="s">
        <v>15</v>
      </c>
      <c r="B2">
        <v>1</v>
      </c>
      <c r="C2">
        <v>6</v>
      </c>
      <c r="D2">
        <v>2021</v>
      </c>
      <c r="E2" s="5">
        <f>[1]ELEC!M4</f>
        <v>1550</v>
      </c>
      <c r="F2" s="5">
        <f>[1]ELEC!K4</f>
        <v>4758</v>
      </c>
      <c r="G2" s="5">
        <f>[1]ELEC!I4</f>
        <v>742</v>
      </c>
      <c r="H2" s="5">
        <f>[1]ELEC!E4</f>
        <v>2955</v>
      </c>
      <c r="I2" s="5">
        <f>[1]ELEC!G4</f>
        <v>475.60000000009313</v>
      </c>
      <c r="J2" s="5">
        <f>[1]WATER!Y6</f>
        <v>0</v>
      </c>
      <c r="K2" s="5">
        <f>[1]WATER!AJ6</f>
        <v>0</v>
      </c>
      <c r="L2" s="7">
        <f>[1]ELEC!B4</f>
        <v>0</v>
      </c>
    </row>
    <row r="3" spans="1:12" x14ac:dyDescent="0.25">
      <c r="A3" t="s">
        <v>15</v>
      </c>
      <c r="B3">
        <f>B2+1</f>
        <v>2</v>
      </c>
      <c r="C3">
        <v>6</v>
      </c>
      <c r="D3">
        <v>2021</v>
      </c>
      <c r="E3" s="5">
        <f>[1]ELEC!M5</f>
        <v>2160</v>
      </c>
      <c r="F3" s="5">
        <f>[1]ELEC!K5</f>
        <v>5676</v>
      </c>
      <c r="G3" s="5">
        <f>[1]ELEC!I5</f>
        <v>1106</v>
      </c>
      <c r="H3" s="5">
        <f>[1]ELEC!E5</f>
        <v>2595</v>
      </c>
      <c r="I3" s="5">
        <f>[1]ELEC!G5</f>
        <v>826.79999999981374</v>
      </c>
      <c r="J3" s="5">
        <f>[1]WATER!Y7</f>
        <v>0</v>
      </c>
      <c r="K3" s="5">
        <f>[1]WATER!AJ7</f>
        <v>0</v>
      </c>
      <c r="L3" s="7">
        <f>[1]ELEC!B5</f>
        <v>0</v>
      </c>
    </row>
    <row r="4" spans="1:12" x14ac:dyDescent="0.25">
      <c r="A4" t="s">
        <v>15</v>
      </c>
      <c r="B4">
        <f t="shared" ref="B4:B31" si="0">B3+1</f>
        <v>3</v>
      </c>
      <c r="C4">
        <v>6</v>
      </c>
      <c r="D4">
        <v>2021</v>
      </c>
      <c r="E4" s="5">
        <f>[1]ELEC!M6</f>
        <v>2288</v>
      </c>
      <c r="F4" s="5">
        <f>[1]ELEC!K6</f>
        <v>7130</v>
      </c>
      <c r="G4" s="5">
        <f>[1]ELEC!I6</f>
        <v>1112</v>
      </c>
      <c r="H4" s="5">
        <f>[1]ELEC!E6</f>
        <v>3813</v>
      </c>
      <c r="I4" s="5">
        <f>[1]ELEC!G6</f>
        <v>758</v>
      </c>
      <c r="J4" s="5">
        <f>[1]WATER!Y8</f>
        <v>0</v>
      </c>
      <c r="K4" s="5">
        <f>[1]WATER!AJ8</f>
        <v>0</v>
      </c>
      <c r="L4" s="7">
        <f>[1]ELEC!B6</f>
        <v>0</v>
      </c>
    </row>
    <row r="5" spans="1:12" x14ac:dyDescent="0.25">
      <c r="A5" t="s">
        <v>15</v>
      </c>
      <c r="B5">
        <f t="shared" si="0"/>
        <v>4</v>
      </c>
      <c r="C5">
        <v>6</v>
      </c>
      <c r="D5">
        <v>2021</v>
      </c>
      <c r="E5" s="5">
        <f>[1]ELEC!M7</f>
        <v>2664</v>
      </c>
      <c r="F5" s="5">
        <f>[1]ELEC!K7</f>
        <v>7574</v>
      </c>
      <c r="G5" s="5">
        <f>[1]ELEC!I7</f>
        <v>1174</v>
      </c>
      <c r="H5" s="5">
        <f>[1]ELEC!E7</f>
        <v>3811</v>
      </c>
      <c r="I5" s="5">
        <f>[1]ELEC!G7</f>
        <v>885.60000000009313</v>
      </c>
      <c r="J5" s="5">
        <f>[1]WATER!Y9</f>
        <v>0</v>
      </c>
      <c r="K5" s="5">
        <f>[1]WATER!AJ9</f>
        <v>0</v>
      </c>
      <c r="L5" s="7">
        <f>[1]ELEC!B7</f>
        <v>0</v>
      </c>
    </row>
    <row r="6" spans="1:12" x14ac:dyDescent="0.25">
      <c r="A6" t="s">
        <v>15</v>
      </c>
      <c r="B6">
        <f t="shared" si="0"/>
        <v>5</v>
      </c>
      <c r="C6">
        <v>6</v>
      </c>
      <c r="D6">
        <v>2021</v>
      </c>
      <c r="E6" s="5">
        <f>[1]ELEC!M8</f>
        <v>2118</v>
      </c>
      <c r="F6" s="5">
        <f>[1]ELEC!K8</f>
        <v>5928</v>
      </c>
      <c r="G6" s="5">
        <f>[1]ELEC!I8</f>
        <v>836</v>
      </c>
      <c r="H6" s="5">
        <f>[1]ELEC!E8</f>
        <v>2604</v>
      </c>
      <c r="I6" s="5">
        <f>[1]ELEC!G8</f>
        <v>580</v>
      </c>
      <c r="J6" s="5">
        <f>[1]WATER!Y10</f>
        <v>0</v>
      </c>
      <c r="K6" s="5">
        <f>[1]WATER!AJ10</f>
        <v>0</v>
      </c>
      <c r="L6" s="7">
        <f>[1]ELEC!B8</f>
        <v>0</v>
      </c>
    </row>
    <row r="7" spans="1:12" x14ac:dyDescent="0.25">
      <c r="A7" t="s">
        <v>15</v>
      </c>
      <c r="B7">
        <f t="shared" si="0"/>
        <v>6</v>
      </c>
      <c r="C7">
        <v>6</v>
      </c>
      <c r="D7">
        <v>2021</v>
      </c>
      <c r="E7" s="5">
        <f>[1]ELEC!M9</f>
        <v>2196</v>
      </c>
      <c r="F7" s="5">
        <f>[1]ELEC!K9</f>
        <v>5372</v>
      </c>
      <c r="G7" s="5">
        <f>[1]ELEC!I9</f>
        <v>790</v>
      </c>
      <c r="H7" s="5">
        <f>[1]ELEC!E9</f>
        <v>2885</v>
      </c>
      <c r="I7" s="5">
        <f>[1]ELEC!G9</f>
        <v>676</v>
      </c>
      <c r="J7" s="5">
        <f>[1]WATER!Y11</f>
        <v>0</v>
      </c>
      <c r="K7" s="5">
        <f>[1]WATER!AJ11</f>
        <v>0</v>
      </c>
      <c r="L7" s="7">
        <f>[1]ELEC!B9</f>
        <v>0</v>
      </c>
    </row>
    <row r="8" spans="1:12" x14ac:dyDescent="0.25">
      <c r="A8" t="s">
        <v>15</v>
      </c>
      <c r="B8">
        <f t="shared" si="0"/>
        <v>7</v>
      </c>
      <c r="C8">
        <v>6</v>
      </c>
      <c r="D8">
        <v>2021</v>
      </c>
      <c r="E8" s="5">
        <f>[1]ELEC!M10</f>
        <v>2410</v>
      </c>
      <c r="F8" s="5">
        <f>[1]ELEC!K10</f>
        <v>7914</v>
      </c>
      <c r="G8" s="5">
        <f>[1]ELEC!I10</f>
        <v>946</v>
      </c>
      <c r="H8" s="5">
        <f>[1]ELEC!E10</f>
        <v>3742</v>
      </c>
      <c r="I8" s="5">
        <f>[1]ELEC!G10</f>
        <v>749</v>
      </c>
      <c r="J8" s="5">
        <f>[1]WATER!Y12</f>
        <v>0</v>
      </c>
      <c r="K8" s="5">
        <f>[1]WATER!AJ12</f>
        <v>0</v>
      </c>
      <c r="L8" s="7">
        <f>[1]ELEC!B10</f>
        <v>0</v>
      </c>
    </row>
    <row r="9" spans="1:12" x14ac:dyDescent="0.25">
      <c r="A9" t="s">
        <v>15</v>
      </c>
      <c r="B9">
        <f t="shared" si="0"/>
        <v>8</v>
      </c>
      <c r="C9">
        <v>6</v>
      </c>
      <c r="D9">
        <v>2021</v>
      </c>
      <c r="E9" s="5">
        <f>[1]ELEC!M11</f>
        <v>2102</v>
      </c>
      <c r="F9" s="5">
        <f>[1]ELEC!K11</f>
        <v>5162</v>
      </c>
      <c r="G9" s="5">
        <f>[1]ELEC!I11</f>
        <v>880</v>
      </c>
      <c r="H9" s="5">
        <f>[1]ELEC!E11</f>
        <v>3014</v>
      </c>
      <c r="I9" s="5">
        <f>[1]ELEC!G11</f>
        <v>738</v>
      </c>
      <c r="J9" s="5">
        <f>[1]WATER!Y13</f>
        <v>0</v>
      </c>
      <c r="K9" s="5">
        <f>[1]WATER!AJ13</f>
        <v>0</v>
      </c>
      <c r="L9" s="7">
        <f>[1]ELEC!B11</f>
        <v>0</v>
      </c>
    </row>
    <row r="10" spans="1:12" x14ac:dyDescent="0.25">
      <c r="A10" t="s">
        <v>15</v>
      </c>
      <c r="B10">
        <f t="shared" si="0"/>
        <v>9</v>
      </c>
      <c r="C10">
        <v>6</v>
      </c>
      <c r="D10">
        <v>2021</v>
      </c>
      <c r="E10" s="5">
        <f>[1]ELEC!M12</f>
        <v>2354</v>
      </c>
      <c r="F10" s="5">
        <f>[1]ELEC!K12</f>
        <v>6288</v>
      </c>
      <c r="G10" s="5">
        <f>[1]ELEC!I12</f>
        <v>1038</v>
      </c>
      <c r="H10" s="5">
        <f>[1]ELEC!E12</f>
        <v>3346</v>
      </c>
      <c r="I10" s="5">
        <f>[1]ELEC!G12</f>
        <v>707</v>
      </c>
      <c r="J10" s="5">
        <f>[1]WATER!Y14</f>
        <v>0</v>
      </c>
      <c r="K10" s="5">
        <f>[1]WATER!AJ14</f>
        <v>0</v>
      </c>
      <c r="L10" s="7">
        <f>[1]ELEC!B12</f>
        <v>0</v>
      </c>
    </row>
    <row r="11" spans="1:12" x14ac:dyDescent="0.25">
      <c r="A11" t="s">
        <v>15</v>
      </c>
      <c r="B11">
        <f t="shared" si="0"/>
        <v>10</v>
      </c>
      <c r="C11">
        <v>6</v>
      </c>
      <c r="D11">
        <v>2021</v>
      </c>
      <c r="E11" s="5">
        <f>[1]ELEC!M13</f>
        <v>2492</v>
      </c>
      <c r="F11" s="5">
        <f>[1]ELEC!K13</f>
        <v>4428</v>
      </c>
      <c r="G11" s="5">
        <f>[1]ELEC!I13</f>
        <v>1016</v>
      </c>
      <c r="H11" s="5">
        <f>[1]ELEC!E13</f>
        <v>6244</v>
      </c>
      <c r="I11" s="5">
        <f>[1]ELEC!G13</f>
        <v>713</v>
      </c>
      <c r="J11" s="5">
        <f>[1]WATER!Y15</f>
        <v>0</v>
      </c>
      <c r="K11" s="5">
        <f>[1]WATER!AJ15</f>
        <v>0</v>
      </c>
      <c r="L11" s="7">
        <f>[1]ELEC!B13</f>
        <v>0</v>
      </c>
    </row>
    <row r="12" spans="1:12" x14ac:dyDescent="0.25">
      <c r="A12" t="s">
        <v>15</v>
      </c>
      <c r="B12">
        <f t="shared" si="0"/>
        <v>11</v>
      </c>
      <c r="C12">
        <v>6</v>
      </c>
      <c r="D12">
        <v>2021</v>
      </c>
      <c r="E12" s="5">
        <f>[1]ELEC!M14</f>
        <v>2600</v>
      </c>
      <c r="F12" s="5">
        <f>[1]ELEC!K14</f>
        <v>2772</v>
      </c>
      <c r="G12" s="5">
        <f>[1]ELEC!I14</f>
        <v>966</v>
      </c>
      <c r="H12" s="5">
        <f>[1]ELEC!E14</f>
        <v>7647</v>
      </c>
      <c r="I12" s="5">
        <f>[1]ELEC!G14</f>
        <v>689</v>
      </c>
      <c r="J12" s="5">
        <f>[1]WATER!Y16</f>
        <v>0</v>
      </c>
      <c r="K12" s="5">
        <f>[1]WATER!AJ16</f>
        <v>0</v>
      </c>
      <c r="L12" s="7">
        <f>[1]ELEC!B14</f>
        <v>0</v>
      </c>
    </row>
    <row r="13" spans="1:12" x14ac:dyDescent="0.25">
      <c r="A13" t="s">
        <v>15</v>
      </c>
      <c r="B13">
        <f t="shared" si="0"/>
        <v>12</v>
      </c>
      <c r="C13">
        <v>6</v>
      </c>
      <c r="D13">
        <v>2021</v>
      </c>
      <c r="E13" s="5">
        <f>[1]ELEC!M15</f>
        <v>2178</v>
      </c>
      <c r="F13" s="5">
        <f>[1]ELEC!K15</f>
        <v>2518</v>
      </c>
      <c r="G13" s="5">
        <f>[1]ELEC!I15</f>
        <v>940</v>
      </c>
      <c r="H13" s="5">
        <f>[1]ELEC!E15</f>
        <v>6192</v>
      </c>
      <c r="I13" s="5">
        <f>[1]ELEC!G15</f>
        <v>669</v>
      </c>
      <c r="J13" s="5">
        <f>[1]WATER!Y17</f>
        <v>0</v>
      </c>
      <c r="K13" s="5">
        <f>[1]WATER!AJ17</f>
        <v>0</v>
      </c>
      <c r="L13" s="7">
        <f>[1]ELEC!B15</f>
        <v>0</v>
      </c>
    </row>
    <row r="14" spans="1:12" x14ac:dyDescent="0.25">
      <c r="A14" t="s">
        <v>15</v>
      </c>
      <c r="B14">
        <f t="shared" si="0"/>
        <v>13</v>
      </c>
      <c r="C14">
        <v>6</v>
      </c>
      <c r="D14">
        <v>2021</v>
      </c>
      <c r="E14" s="5">
        <f>[1]ELEC!M16</f>
        <v>2500</v>
      </c>
      <c r="F14" s="5">
        <f>[1]ELEC!K16</f>
        <v>2238</v>
      </c>
      <c r="G14" s="5">
        <f>[1]ELEC!I16</f>
        <v>1014</v>
      </c>
      <c r="H14" s="5">
        <f>[1]ELEC!E16</f>
        <v>6129</v>
      </c>
      <c r="I14" s="5">
        <f>[1]ELEC!G16</f>
        <v>673</v>
      </c>
      <c r="J14" s="5">
        <f>[1]WATER!Y18</f>
        <v>0</v>
      </c>
      <c r="K14" s="5">
        <f>[1]WATER!AJ18</f>
        <v>0</v>
      </c>
      <c r="L14" s="7">
        <f>[1]ELEC!B16</f>
        <v>0</v>
      </c>
    </row>
    <row r="15" spans="1:12" x14ac:dyDescent="0.25">
      <c r="A15" t="s">
        <v>15</v>
      </c>
      <c r="B15">
        <f t="shared" si="0"/>
        <v>14</v>
      </c>
      <c r="C15">
        <v>6</v>
      </c>
      <c r="D15">
        <v>2021</v>
      </c>
      <c r="E15" s="5">
        <f>[1]ELEC!M17</f>
        <v>1942</v>
      </c>
      <c r="F15" s="5">
        <f>[1]ELEC!K17</f>
        <v>2116</v>
      </c>
      <c r="G15" s="5">
        <f>[1]ELEC!I17</f>
        <v>830</v>
      </c>
      <c r="H15" s="5">
        <f>[1]ELEC!E17</f>
        <v>5834</v>
      </c>
      <c r="I15" s="5">
        <f>[1]ELEC!G17</f>
        <v>658</v>
      </c>
      <c r="J15" s="5">
        <f>[1]WATER!Y19</f>
        <v>0</v>
      </c>
      <c r="K15" s="5">
        <f>[1]WATER!AJ19</f>
        <v>0</v>
      </c>
      <c r="L15" s="7">
        <f>[1]ELEC!B17</f>
        <v>0</v>
      </c>
    </row>
    <row r="16" spans="1:12" x14ac:dyDescent="0.25">
      <c r="A16" t="s">
        <v>15</v>
      </c>
      <c r="B16">
        <f t="shared" si="0"/>
        <v>15</v>
      </c>
      <c r="C16">
        <v>6</v>
      </c>
      <c r="D16">
        <v>2021</v>
      </c>
      <c r="E16" s="5">
        <f>[1]ELEC!M18</f>
        <v>2324</v>
      </c>
      <c r="F16" s="5">
        <f>[1]ELEC!K18</f>
        <v>4824</v>
      </c>
      <c r="G16" s="5">
        <f>[1]ELEC!I18</f>
        <v>996</v>
      </c>
      <c r="H16" s="5">
        <f>[1]ELEC!E18</f>
        <v>4340</v>
      </c>
      <c r="I16" s="5">
        <f>[1]ELEC!G18</f>
        <v>706</v>
      </c>
      <c r="J16" s="5">
        <f>[1]WATER!Y20</f>
        <v>113</v>
      </c>
      <c r="K16" s="5">
        <f>[1]WATER!AJ20</f>
        <v>0</v>
      </c>
      <c r="L16" s="7">
        <f>[1]ELEC!B18</f>
        <v>0</v>
      </c>
    </row>
    <row r="17" spans="1:12" x14ac:dyDescent="0.25">
      <c r="A17" t="s">
        <v>15</v>
      </c>
      <c r="B17">
        <f t="shared" si="0"/>
        <v>16</v>
      </c>
      <c r="C17">
        <v>6</v>
      </c>
      <c r="D17">
        <v>2021</v>
      </c>
      <c r="E17" s="5">
        <f>[1]ELEC!M19</f>
        <v>2344</v>
      </c>
      <c r="F17" s="5">
        <f>[1]ELEC!K19</f>
        <v>3468</v>
      </c>
      <c r="G17" s="5">
        <f>[1]ELEC!I19</f>
        <v>1038</v>
      </c>
      <c r="H17" s="5">
        <f>[1]ELEC!E19</f>
        <v>4710</v>
      </c>
      <c r="I17" s="5">
        <f>[1]ELEC!G19</f>
        <v>707</v>
      </c>
      <c r="J17" s="5">
        <f>[1]WATER!Y21</f>
        <v>0</v>
      </c>
      <c r="K17" s="5">
        <f>[1]WATER!AJ21</f>
        <v>0</v>
      </c>
      <c r="L17" s="7">
        <f>[1]ELEC!B19</f>
        <v>0</v>
      </c>
    </row>
    <row r="18" spans="1:12" x14ac:dyDescent="0.25">
      <c r="A18" t="s">
        <v>15</v>
      </c>
      <c r="B18">
        <f t="shared" si="0"/>
        <v>17</v>
      </c>
      <c r="C18">
        <v>6</v>
      </c>
      <c r="D18">
        <v>2021</v>
      </c>
      <c r="E18" s="5">
        <f>[1]ELEC!M20</f>
        <v>2272</v>
      </c>
      <c r="F18" s="5">
        <f>[1]ELEC!K20</f>
        <v>2328</v>
      </c>
      <c r="G18" s="5">
        <f>[1]ELEC!I20</f>
        <v>1094</v>
      </c>
      <c r="H18" s="5">
        <f>[1]ELEC!E20</f>
        <v>6488</v>
      </c>
      <c r="I18" s="5">
        <f>[1]ELEC!G20</f>
        <v>773</v>
      </c>
      <c r="J18" s="5">
        <f>[1]WATER!Y22</f>
        <v>58</v>
      </c>
      <c r="K18" s="5">
        <f>[1]WATER!AJ22</f>
        <v>0</v>
      </c>
      <c r="L18" s="7">
        <f>[1]ELEC!B20</f>
        <v>0</v>
      </c>
    </row>
    <row r="19" spans="1:12" x14ac:dyDescent="0.25">
      <c r="A19" t="s">
        <v>15</v>
      </c>
      <c r="B19">
        <f t="shared" si="0"/>
        <v>18</v>
      </c>
      <c r="C19">
        <v>6</v>
      </c>
      <c r="D19">
        <v>2021</v>
      </c>
      <c r="E19" s="5">
        <f>[1]ELEC!M21</f>
        <v>2374</v>
      </c>
      <c r="F19" s="5">
        <f>[1]ELEC!K21</f>
        <v>2364</v>
      </c>
      <c r="G19" s="5">
        <f>[1]ELEC!I21</f>
        <v>1012</v>
      </c>
      <c r="H19" s="5">
        <f>[1]ELEC!E21</f>
        <v>5643</v>
      </c>
      <c r="I19" s="5">
        <f>[1]ELEC!G21</f>
        <v>747</v>
      </c>
      <c r="J19" s="5">
        <f>[1]WATER!Y23</f>
        <v>0</v>
      </c>
      <c r="K19" s="5">
        <f>[1]WATER!AJ23</f>
        <v>0</v>
      </c>
      <c r="L19" s="7">
        <f>[1]ELEC!B21</f>
        <v>0</v>
      </c>
    </row>
    <row r="20" spans="1:12" x14ac:dyDescent="0.25">
      <c r="A20" t="s">
        <v>15</v>
      </c>
      <c r="B20">
        <f t="shared" si="0"/>
        <v>19</v>
      </c>
      <c r="C20">
        <v>6</v>
      </c>
      <c r="D20">
        <v>2021</v>
      </c>
      <c r="E20" s="5">
        <f>[1]ELEC!M22</f>
        <v>2406</v>
      </c>
      <c r="F20" s="5">
        <f>[1]ELEC!K22</f>
        <v>6006</v>
      </c>
      <c r="G20" s="5">
        <f>[1]ELEC!I22</f>
        <v>1032</v>
      </c>
      <c r="H20" s="5">
        <f>[1]ELEC!E22</f>
        <v>3290</v>
      </c>
      <c r="I20" s="5">
        <f>[1]ELEC!G22</f>
        <v>645</v>
      </c>
      <c r="J20" s="5">
        <f>[1]WATER!Y24</f>
        <v>122</v>
      </c>
      <c r="K20" s="5">
        <f>[1]WATER!AJ24</f>
        <v>0</v>
      </c>
      <c r="L20" s="7">
        <f>[1]ELEC!B22</f>
        <v>0</v>
      </c>
    </row>
    <row r="21" spans="1:12" x14ac:dyDescent="0.25">
      <c r="A21" t="s">
        <v>15</v>
      </c>
      <c r="B21">
        <f t="shared" si="0"/>
        <v>20</v>
      </c>
      <c r="C21">
        <v>6</v>
      </c>
      <c r="D21">
        <v>2021</v>
      </c>
      <c r="E21" s="5">
        <f>[1]ELEC!M23</f>
        <v>2352</v>
      </c>
      <c r="F21" s="5">
        <f>[1]ELEC!K23</f>
        <v>2466</v>
      </c>
      <c r="G21" s="5">
        <f>[1]ELEC!I23</f>
        <v>994</v>
      </c>
      <c r="H21" s="5">
        <f>[1]ELEC!E23</f>
        <v>6170</v>
      </c>
      <c r="I21" s="5">
        <f>[1]ELEC!G23</f>
        <v>624</v>
      </c>
      <c r="J21" s="5">
        <f>[1]WATER!Y25</f>
        <v>0</v>
      </c>
      <c r="K21" s="5">
        <f>[1]WATER!AJ25</f>
        <v>0</v>
      </c>
      <c r="L21" s="7">
        <f>[1]ELEC!B23</f>
        <v>0</v>
      </c>
    </row>
    <row r="22" spans="1:12" x14ac:dyDescent="0.25">
      <c r="A22" t="s">
        <v>15</v>
      </c>
      <c r="B22">
        <f t="shared" si="0"/>
        <v>21</v>
      </c>
      <c r="C22">
        <v>6</v>
      </c>
      <c r="D22">
        <v>2021</v>
      </c>
      <c r="E22" s="5">
        <f>[1]ELEC!M24</f>
        <v>2352</v>
      </c>
      <c r="F22" s="5">
        <f>[1]ELEC!K24</f>
        <v>2436</v>
      </c>
      <c r="G22" s="5">
        <f>[1]ELEC!I24</f>
        <v>1062</v>
      </c>
      <c r="H22" s="5">
        <f>[1]ELEC!E24</f>
        <v>7334</v>
      </c>
      <c r="I22" s="5">
        <f>[1]ELEC!G24</f>
        <v>646</v>
      </c>
      <c r="J22" s="5">
        <f>[1]WATER!Y26</f>
        <v>0</v>
      </c>
      <c r="K22" s="5">
        <f>[1]WATER!AJ26</f>
        <v>0</v>
      </c>
      <c r="L22" s="7">
        <f>[1]ELEC!B24</f>
        <v>0</v>
      </c>
    </row>
    <row r="23" spans="1:12" x14ac:dyDescent="0.25">
      <c r="A23" t="s">
        <v>15</v>
      </c>
      <c r="B23">
        <f t="shared" si="0"/>
        <v>22</v>
      </c>
      <c r="C23">
        <v>6</v>
      </c>
      <c r="D23">
        <v>2021</v>
      </c>
      <c r="E23" s="5">
        <f>[1]ELEC!M25</f>
        <v>2378</v>
      </c>
      <c r="F23" s="5">
        <f>[1]ELEC!K25</f>
        <v>4000</v>
      </c>
      <c r="G23" s="5">
        <f>[1]ELEC!I25</f>
        <v>1084</v>
      </c>
      <c r="H23" s="5">
        <f>[1]ELEC!E25</f>
        <v>5508</v>
      </c>
      <c r="I23" s="5">
        <f>[1]ELEC!G25</f>
        <v>652</v>
      </c>
      <c r="J23" s="5">
        <f>[1]WATER!Y27</f>
        <v>0</v>
      </c>
      <c r="K23" s="5">
        <f>[1]WATER!AJ27</f>
        <v>0</v>
      </c>
      <c r="L23" s="7">
        <f>[1]ELEC!B25</f>
        <v>0</v>
      </c>
    </row>
    <row r="24" spans="1:12" x14ac:dyDescent="0.25">
      <c r="A24" t="s">
        <v>15</v>
      </c>
      <c r="B24">
        <f t="shared" si="0"/>
        <v>23</v>
      </c>
      <c r="C24">
        <v>6</v>
      </c>
      <c r="D24">
        <v>2021</v>
      </c>
      <c r="E24" s="5">
        <f>[1]ELEC!M26</f>
        <v>2398</v>
      </c>
      <c r="F24" s="5">
        <f>[1]ELEC!K26</f>
        <v>2640</v>
      </c>
      <c r="G24" s="5">
        <f>[1]ELEC!I26</f>
        <v>1260</v>
      </c>
      <c r="H24" s="5">
        <f>[1]ELEC!E26</f>
        <v>7936</v>
      </c>
      <c r="I24" s="5">
        <f>[1]ELEC!G26</f>
        <v>682</v>
      </c>
      <c r="J24" s="5">
        <f>[1]WATER!Y28</f>
        <v>0</v>
      </c>
      <c r="K24" s="5">
        <f>[1]WATER!AJ28</f>
        <v>0</v>
      </c>
      <c r="L24" s="7">
        <f>[1]ELEC!B26</f>
        <v>0</v>
      </c>
    </row>
    <row r="25" spans="1:12" x14ac:dyDescent="0.25">
      <c r="A25" t="s">
        <v>15</v>
      </c>
      <c r="B25">
        <f t="shared" si="0"/>
        <v>24</v>
      </c>
      <c r="C25">
        <v>6</v>
      </c>
      <c r="D25">
        <v>2021</v>
      </c>
      <c r="E25" s="5">
        <f>[1]ELEC!M27</f>
        <v>2424</v>
      </c>
      <c r="F25" s="5">
        <f>[1]ELEC!K27</f>
        <v>4812</v>
      </c>
      <c r="G25" s="5">
        <f>[1]ELEC!I27</f>
        <v>1180</v>
      </c>
      <c r="H25" s="5">
        <f>[1]ELEC!E27</f>
        <v>5497</v>
      </c>
      <c r="I25" s="5">
        <f>[1]ELEC!G27</f>
        <v>660</v>
      </c>
      <c r="J25" s="5">
        <f>[1]WATER!Y29</f>
        <v>250</v>
      </c>
      <c r="K25" s="5">
        <f>[1]WATER!AJ29</f>
        <v>144</v>
      </c>
      <c r="L25" s="7">
        <f>[1]ELEC!B27</f>
        <v>0</v>
      </c>
    </row>
    <row r="26" spans="1:12" x14ac:dyDescent="0.25">
      <c r="A26" t="s">
        <v>15</v>
      </c>
      <c r="B26">
        <f>B25+1</f>
        <v>25</v>
      </c>
      <c r="C26">
        <v>6</v>
      </c>
      <c r="D26">
        <v>2021</v>
      </c>
      <c r="E26" s="5">
        <f>[1]ELEC!M28</f>
        <v>2554</v>
      </c>
      <c r="F26" s="5">
        <f>[1]ELEC!K28</f>
        <v>5686</v>
      </c>
      <c r="G26" s="5">
        <f>[1]ELEC!I28</f>
        <v>1176</v>
      </c>
      <c r="H26" s="5">
        <f>[1]ELEC!E28</f>
        <v>4954</v>
      </c>
      <c r="I26" s="5">
        <f>[1]ELEC!G28</f>
        <v>645</v>
      </c>
      <c r="J26" s="5">
        <f>[1]WATER!Y30</f>
        <v>0</v>
      </c>
      <c r="K26" s="5">
        <f>[1]WATER!AJ30</f>
        <v>0</v>
      </c>
      <c r="L26" s="7">
        <f>[1]ELEC!B28</f>
        <v>0</v>
      </c>
    </row>
    <row r="27" spans="1:12" x14ac:dyDescent="0.25">
      <c r="A27" t="s">
        <v>15</v>
      </c>
      <c r="B27">
        <f t="shared" si="0"/>
        <v>26</v>
      </c>
      <c r="C27">
        <v>6</v>
      </c>
      <c r="D27">
        <v>2021</v>
      </c>
      <c r="E27" s="5">
        <f>[1]ELEC!M29</f>
        <v>2218</v>
      </c>
      <c r="F27" s="5">
        <f>[1]ELEC!K29</f>
        <v>2358</v>
      </c>
      <c r="G27" s="5">
        <f>[1]ELEC!I29</f>
        <v>1120</v>
      </c>
      <c r="H27" s="5">
        <f>[1]ELEC!E29</f>
        <v>7195</v>
      </c>
      <c r="I27" s="5">
        <f>[1]ELEC!G29</f>
        <v>657</v>
      </c>
      <c r="J27" s="5">
        <f>[1]WATER!Y31</f>
        <v>1</v>
      </c>
      <c r="K27" s="5">
        <f>[1]WATER!AJ31</f>
        <v>0</v>
      </c>
      <c r="L27" s="7">
        <f>[1]ELEC!B29</f>
        <v>0</v>
      </c>
    </row>
    <row r="28" spans="1:12" x14ac:dyDescent="0.25">
      <c r="A28" t="s">
        <v>15</v>
      </c>
      <c r="B28">
        <f t="shared" si="0"/>
        <v>27</v>
      </c>
      <c r="C28">
        <v>6</v>
      </c>
      <c r="D28">
        <v>2021</v>
      </c>
      <c r="E28" s="5">
        <f>[1]ELEC!M30</f>
        <v>2456</v>
      </c>
      <c r="F28" s="5">
        <f>[1]ELEC!K30</f>
        <v>2892</v>
      </c>
      <c r="G28" s="5">
        <f>[1]ELEC!I30</f>
        <v>1100</v>
      </c>
      <c r="H28" s="5">
        <f>[1]ELEC!E30</f>
        <v>9021</v>
      </c>
      <c r="I28" s="5">
        <f>[1]ELEC!G30</f>
        <v>676</v>
      </c>
      <c r="J28" s="5">
        <f>[1]WATER!Y32</f>
        <v>0</v>
      </c>
      <c r="K28" s="5">
        <f>[1]WATER!AJ32</f>
        <v>0</v>
      </c>
      <c r="L28" s="7">
        <f>[1]ELEC!B30</f>
        <v>0</v>
      </c>
    </row>
    <row r="29" spans="1:12" x14ac:dyDescent="0.25">
      <c r="A29" t="s">
        <v>15</v>
      </c>
      <c r="B29">
        <f t="shared" si="0"/>
        <v>28</v>
      </c>
      <c r="C29">
        <v>6</v>
      </c>
      <c r="D29">
        <v>2021</v>
      </c>
      <c r="E29" s="5">
        <f>[1]ELEC!M31</f>
        <v>2680</v>
      </c>
      <c r="F29" s="5">
        <f>[1]ELEC!K31</f>
        <v>5076</v>
      </c>
      <c r="G29" s="5">
        <f>[1]ELEC!I31</f>
        <v>1144</v>
      </c>
      <c r="H29" s="5">
        <f>[1]ELEC!E31</f>
        <v>6646</v>
      </c>
      <c r="I29" s="5">
        <f>[1]ELEC!G31</f>
        <v>698</v>
      </c>
      <c r="J29" s="5">
        <f>[1]WATER!Y33</f>
        <v>172</v>
      </c>
      <c r="K29" s="5">
        <f>[1]WATER!AJ33</f>
        <v>0</v>
      </c>
      <c r="L29" s="7">
        <f>[1]ELEC!B31</f>
        <v>0</v>
      </c>
    </row>
    <row r="30" spans="1:12" x14ac:dyDescent="0.25">
      <c r="A30" t="s">
        <v>15</v>
      </c>
      <c r="B30">
        <f t="shared" si="0"/>
        <v>29</v>
      </c>
      <c r="C30">
        <v>6</v>
      </c>
      <c r="D30">
        <v>2021</v>
      </c>
      <c r="E30" s="5">
        <f>[1]ELEC!M32</f>
        <v>2652</v>
      </c>
      <c r="F30" s="5">
        <f>[1]ELEC!K32</f>
        <v>8564</v>
      </c>
      <c r="G30" s="5">
        <f>[1]ELEC!I32</f>
        <v>1100</v>
      </c>
      <c r="H30" s="5">
        <f>[1]ELEC!E32</f>
        <v>3631</v>
      </c>
      <c r="I30" s="5">
        <f>[1]ELEC!G32</f>
        <v>733.20000000018626</v>
      </c>
      <c r="J30" s="5">
        <f>[1]WATER!Y34</f>
        <v>0</v>
      </c>
      <c r="K30" s="5">
        <f>[1]WATER!AJ34</f>
        <v>0</v>
      </c>
      <c r="L30" s="7">
        <f>[1]ELEC!B32</f>
        <v>0</v>
      </c>
    </row>
    <row r="31" spans="1:12" x14ac:dyDescent="0.25">
      <c r="A31" t="s">
        <v>15</v>
      </c>
      <c r="B31">
        <f t="shared" si="0"/>
        <v>30</v>
      </c>
      <c r="C31">
        <v>6</v>
      </c>
      <c r="D31">
        <v>2021</v>
      </c>
      <c r="E31" s="5">
        <f>[1]ELEC!M33</f>
        <v>2628</v>
      </c>
      <c r="F31" s="5">
        <f>[1]ELEC!K33</f>
        <v>8912</v>
      </c>
      <c r="G31" s="5">
        <f>[1]ELEC!I33</f>
        <v>1092</v>
      </c>
      <c r="H31" s="5">
        <f>[1]ELEC!E33</f>
        <v>3721</v>
      </c>
      <c r="I31" s="5">
        <f>[1]ELEC!G33</f>
        <v>732.79999999981374</v>
      </c>
      <c r="J31" s="5">
        <f>[1]WATER!Y35</f>
        <v>78</v>
      </c>
      <c r="K31" s="5">
        <f>[1]WATER!AJ35</f>
        <v>0</v>
      </c>
      <c r="L31" s="7">
        <f>[1]ELEC!B33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2021-07-14T08:22:58Z</dcterms:modified>
</cp:coreProperties>
</file>