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<sst xmlns="http://schemas.openxmlformats.org/spreadsheetml/2006/main" count="315" uniqueCount="148">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</sst>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 t="e">
        <f>Submetering!E27+Submetering!F27+Submetering!G27+Submetering!H27+Submetering!J27-Submetering!AV27</f>
        <v>#VALUE!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 t="e">
        <f>'FS Desroches Daily'!CM29</f>
        <v>#VALUE!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33.600000000002183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e">
        <f>'FS Desroches Daily'!T29</f>
        <v>#VALUE!</v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77199.999999999956</v>
      </c>
      <c r="F33" s="17">
        <f t="shared" ref="F33:BC33" si="0">SUM(F2:F32)</f>
        <v>83199.999999999753</v>
      </c>
      <c r="G33" s="17">
        <f t="shared" si="0"/>
        <v>97399.999999999534</v>
      </c>
      <c r="H33" s="17">
        <f t="shared" si="0"/>
        <v>41799.999999999854</v>
      </c>
      <c r="I33" s="17">
        <f t="shared" si="0"/>
        <v>63299.999999999935</v>
      </c>
      <c r="J33" s="17">
        <f t="shared" si="0"/>
        <v>42500.000000000007</v>
      </c>
      <c r="K33" s="17">
        <f t="shared" si="0"/>
        <v>706</v>
      </c>
      <c r="L33" s="17">
        <f t="shared" si="0"/>
        <v>116</v>
      </c>
      <c r="M33" s="17" t="e">
        <f t="shared" si="0"/>
        <v>#VALUE!</v>
      </c>
      <c r="N33" s="17">
        <f t="shared" si="0"/>
        <v>12242.399999999907</v>
      </c>
      <c r="O33" s="17">
        <f t="shared" si="0"/>
        <v>8669.99999999996</v>
      </c>
      <c r="P33" s="17">
        <f t="shared" si="0"/>
        <v>74500.00000000048</v>
      </c>
      <c r="Q33" s="17">
        <f t="shared" si="0"/>
        <v>8210.0000000000364</v>
      </c>
      <c r="R33" s="17">
        <f t="shared" si="0"/>
        <v>9860.0000000000127</v>
      </c>
      <c r="S33" s="17">
        <f t="shared" si="0"/>
        <v>21679.999999999949</v>
      </c>
      <c r="T33" s="17">
        <f t="shared" si="0"/>
        <v>1124</v>
      </c>
      <c r="U33" s="35">
        <f t="shared" si="0"/>
        <v>21000.000000000135</v>
      </c>
      <c r="V33" s="35">
        <f t="shared" si="0"/>
        <v>5839.9999999999782</v>
      </c>
      <c r="W33" s="35">
        <f t="shared" si="0"/>
        <v>4069.9999999999932</v>
      </c>
      <c r="X33" s="35">
        <f t="shared" si="0"/>
        <v>6040.0000000000218</v>
      </c>
      <c r="Y33" s="35">
        <f t="shared" si="0"/>
        <v>5110.0000000000127</v>
      </c>
      <c r="Z33" s="35">
        <f t="shared" si="0"/>
        <v>7015.5199999999404</v>
      </c>
      <c r="AA33" s="35">
        <f t="shared" si="0"/>
        <v>7015.5199999999404</v>
      </c>
      <c r="AB33" s="35">
        <f t="shared" si="0"/>
        <v>4379.9999999999964</v>
      </c>
      <c r="AC33" s="35">
        <f t="shared" si="0"/>
        <v>4339.9999999999745</v>
      </c>
      <c r="AD33" s="35">
        <f t="shared" si="0"/>
        <v>4200.0000000000455</v>
      </c>
      <c r="AE33" s="35">
        <f t="shared" si="0"/>
        <v>3170.0000000000159</v>
      </c>
      <c r="AF33" s="17">
        <f t="shared" si="0"/>
        <v>1191</v>
      </c>
      <c r="AG33" s="32">
        <f t="shared" si="0"/>
        <v>1019.9999999999818</v>
      </c>
      <c r="AH33" s="32">
        <f t="shared" si="0"/>
        <v>1060.0000000000023</v>
      </c>
      <c r="AI33" s="32">
        <f t="shared" si="0"/>
        <v>1599.9999999999659</v>
      </c>
      <c r="AJ33" s="32">
        <f t="shared" si="0"/>
        <v>1099.9999999999943</v>
      </c>
      <c r="AK33" s="32">
        <f t="shared" si="0"/>
        <v>930.00000000000682</v>
      </c>
      <c r="AL33" s="32">
        <f t="shared" si="0"/>
        <v>1125</v>
      </c>
      <c r="AM33" s="32">
        <f t="shared" si="0"/>
        <v>1150.0000000000057</v>
      </c>
      <c r="AN33" s="32">
        <f t="shared" si="0"/>
        <v>1078</v>
      </c>
      <c r="AO33" s="32">
        <f t="shared" si="0"/>
        <v>1109.9999999999852</v>
      </c>
      <c r="AP33" s="32">
        <f t="shared" si="0"/>
        <v>1323</v>
      </c>
      <c r="AQ33" s="17">
        <f t="shared" si="0"/>
        <v>2073.5</v>
      </c>
      <c r="AR33" s="17">
        <f t="shared" si="0"/>
        <v>386.10000000000218</v>
      </c>
      <c r="AS33" s="17">
        <f t="shared" si="0"/>
        <v>75.299999999999272</v>
      </c>
      <c r="AT33" s="17">
        <f t="shared" si="0"/>
        <v>1412</v>
      </c>
      <c r="AU33" s="17">
        <f t="shared" si="0"/>
        <v>8097</v>
      </c>
      <c r="AV33" s="17">
        <f t="shared" si="0"/>
        <v>26299.999999999953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128.20499999999998</v>
      </c>
      <c r="BC33" s="17">
        <f t="shared" si="0"/>
        <v>737</v>
      </c>
    </row>
    <row r="35" spans="5:55" x14ac:dyDescent="0.25">
      <c r="E35" s="38">
        <f>E33/E37</f>
        <v>0.23166625654937364</v>
      </c>
      <c r="G35" s="29" t="e">
        <f>G33-M36</f>
        <v>#VALUE!</v>
      </c>
      <c r="AE35" s="35">
        <f>SUM(U33:AE33)</f>
        <v>72181.040000000052</v>
      </c>
      <c r="AG35" s="32">
        <f>SUM(AG33:AP33)</f>
        <v>11495.999999999942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333237.99999999907</v>
      </c>
      <c r="G37" s="37" t="e">
        <f>M36/E37</f>
        <v>#VALUE!</v>
      </c>
      <c r="M37" s="35">
        <f>AE35</f>
        <v>72181.040000000052</v>
      </c>
    </row>
    <row r="38" spans="5:55" x14ac:dyDescent="0.25">
      <c r="L38" s="27">
        <f>M38/E37</f>
        <v>3.4497866389787399E-2</v>
      </c>
      <c r="M38" s="29">
        <f>AG35</f>
        <v>11495.999999999942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M1" zoomScale="82" zoomScaleNormal="82" workbookViewId="0">
      <pane ySplit="1" topLeftCell="A14" activePane="bottomLeft" state="frozen"/>
      <selection pane="bottomLeft" activeCell="CE29" sqref="CE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18786.7</v>
      </c>
      <c r="CD28" s="67">
        <f t="shared" si="39"/>
        <v>33.600000000002183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/>
      <c r="D29" s="64" t="str">
        <f t="shared" si="0"/>
        <v>0</v>
      </c>
      <c r="E29" s="58"/>
      <c r="F29" s="64" t="str">
        <f t="shared" si="1"/>
        <v>0</v>
      </c>
      <c r="G29" s="58"/>
      <c r="H29" s="64" t="str">
        <f t="shared" si="2"/>
        <v>0</v>
      </c>
      <c r="I29" s="58"/>
      <c r="J29" s="64" t="str">
        <f t="shared" si="3"/>
        <v>0</v>
      </c>
      <c r="K29" s="58"/>
      <c r="L29" s="64" t="str">
        <f t="shared" si="48"/>
        <v>0</v>
      </c>
      <c r="M29" s="58"/>
      <c r="N29" s="64" t="str">
        <f t="shared" si="49"/>
        <v/>
      </c>
      <c r="O29" s="58"/>
      <c r="P29" s="67" t="str">
        <f t="shared" si="6"/>
        <v/>
      </c>
      <c r="Q29" s="58"/>
      <c r="R29" s="67" t="str">
        <f t="shared" si="7"/>
        <v/>
      </c>
      <c r="S29" s="58"/>
      <c r="T29" s="67" t="e">
        <f t="shared" si="8"/>
        <v>#VALUE!</v>
      </c>
      <c r="U29" s="58"/>
      <c r="V29" s="67" t="str">
        <f t="shared" si="9"/>
        <v/>
      </c>
      <c r="W29" s="58"/>
      <c r="X29" s="65" t="str">
        <f t="shared" si="10"/>
        <v/>
      </c>
      <c r="Y29" s="58"/>
      <c r="Z29" s="65" t="str">
        <f t="shared" si="11"/>
        <v/>
      </c>
      <c r="AA29" s="58"/>
      <c r="AB29" s="65" t="str">
        <f t="shared" si="12"/>
        <v/>
      </c>
      <c r="AC29" s="58"/>
      <c r="AD29" s="65" t="str">
        <f t="shared" si="13"/>
        <v/>
      </c>
      <c r="AE29" s="58"/>
      <c r="AF29" s="65" t="str">
        <f t="shared" si="14"/>
        <v/>
      </c>
      <c r="AG29" s="58"/>
      <c r="AH29" s="67" t="str">
        <f t="shared" si="15"/>
        <v/>
      </c>
      <c r="AI29" s="58"/>
      <c r="AJ29" s="65" t="str">
        <f t="shared" si="16"/>
        <v/>
      </c>
      <c r="AK29" s="58"/>
      <c r="AL29" s="65" t="str">
        <f t="shared" si="17"/>
        <v/>
      </c>
      <c r="AM29" s="58"/>
      <c r="AN29" s="65" t="str">
        <f t="shared" si="18"/>
        <v/>
      </c>
      <c r="AO29" s="58"/>
      <c r="AP29" s="65" t="str">
        <f t="shared" si="19"/>
        <v/>
      </c>
      <c r="AQ29" s="58"/>
      <c r="AR29" s="65" t="str">
        <f t="shared" si="20"/>
        <v/>
      </c>
      <c r="AS29" s="58"/>
      <c r="AT29" s="65" t="str">
        <f t="shared" si="21"/>
        <v/>
      </c>
      <c r="AU29" s="58"/>
      <c r="AV29" s="65" t="str">
        <f t="shared" si="22"/>
        <v/>
      </c>
      <c r="AW29" s="58"/>
      <c r="AX29" s="65" t="str">
        <f t="shared" si="23"/>
        <v/>
      </c>
      <c r="AY29" s="58"/>
      <c r="AZ29" s="65" t="str">
        <f t="shared" si="24"/>
        <v/>
      </c>
      <c r="BA29" s="58"/>
      <c r="BB29" s="65" t="str">
        <f t="shared" si="25"/>
        <v/>
      </c>
      <c r="BC29" s="58"/>
      <c r="BD29" s="65" t="str">
        <f t="shared" si="26"/>
        <v/>
      </c>
      <c r="BE29" s="59"/>
      <c r="BF29" s="67" t="str">
        <f t="shared" si="27"/>
        <v/>
      </c>
      <c r="BG29" s="60"/>
      <c r="BH29" s="65" t="str">
        <f t="shared" si="28"/>
        <v/>
      </c>
      <c r="BI29" s="60"/>
      <c r="BJ29" s="65" t="str">
        <f t="shared" si="29"/>
        <v/>
      </c>
      <c r="BK29" s="60"/>
      <c r="BL29" s="65" t="str">
        <f t="shared" si="30"/>
        <v/>
      </c>
      <c r="BM29" s="60"/>
      <c r="BN29" s="65" t="str">
        <f t="shared" si="31"/>
        <v/>
      </c>
      <c r="BO29" s="60"/>
      <c r="BP29" s="65" t="str">
        <f t="shared" si="32"/>
        <v/>
      </c>
      <c r="BQ29" s="60"/>
      <c r="BR29" s="65" t="str">
        <f t="shared" si="33"/>
        <v/>
      </c>
      <c r="BS29" s="60"/>
      <c r="BT29" s="65" t="str">
        <f t="shared" si="34"/>
        <v/>
      </c>
      <c r="BU29" s="60"/>
      <c r="BV29" s="65" t="str">
        <f t="shared" si="35"/>
        <v/>
      </c>
      <c r="BW29" s="60"/>
      <c r="BX29" s="65" t="str">
        <f t="shared" si="36"/>
        <v/>
      </c>
      <c r="BY29" s="60"/>
      <c r="BZ29" s="67" t="str">
        <f t="shared" si="37"/>
        <v/>
      </c>
      <c r="CA29" s="60"/>
      <c r="CB29" s="67" t="str">
        <f t="shared" si="38"/>
        <v/>
      </c>
      <c r="CC29" s="60"/>
      <c r="CD29" s="67" t="str">
        <f t="shared" si="39"/>
        <v/>
      </c>
      <c r="CE29" s="60"/>
      <c r="CF29" s="67" t="str">
        <f t="shared" si="40"/>
        <v/>
      </c>
      <c r="CG29" s="60"/>
      <c r="CH29" s="67" t="str">
        <f t="shared" si="41"/>
        <v/>
      </c>
      <c r="CI29" s="60"/>
      <c r="CJ29" s="67" t="str">
        <f t="shared" si="42"/>
        <v/>
      </c>
      <c r="CK29" s="60"/>
      <c r="CL29" s="64" t="str">
        <f t="shared" si="43"/>
        <v/>
      </c>
      <c r="CM29" s="65" t="e">
        <f t="shared" si="50"/>
        <v>#VALUE!</v>
      </c>
      <c r="CN29" s="62"/>
      <c r="CO29" s="62"/>
      <c r="CP29" s="68"/>
      <c r="CQ29" s="67" t="str">
        <f t="shared" si="51"/>
        <v/>
      </c>
      <c r="CR29" s="68"/>
      <c r="CS29" s="67" t="str">
        <f t="shared" si="44"/>
        <v/>
      </c>
      <c r="CT29" s="75"/>
      <c r="CU29" s="67" t="str">
        <f t="shared" si="45"/>
        <v/>
      </c>
      <c r="CV29" s="68"/>
      <c r="CW29" s="67" t="str">
        <f t="shared" si="46"/>
        <v/>
      </c>
      <c r="CX29" s="58"/>
      <c r="CY29" s="67" t="str">
        <f t="shared" si="47"/>
        <v/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B32" sqref="B32:Q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-233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2023-01-26T16:14:07Z</dcterms:modified>
</cp:coreProperties>
</file>