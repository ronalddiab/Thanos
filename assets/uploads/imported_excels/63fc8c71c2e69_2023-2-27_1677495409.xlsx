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ownloads\"/>
    </mc:Choice>
  </mc:AlternateContent>
  <bookViews>
    <workbookView xWindow="-105" yWindow="-105" windowWidth="19425" windowHeight="10425" firstSheet="2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8" i="7" l="1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X38" i="7"/>
  <c r="AX39" i="7"/>
  <c r="AX7" i="7"/>
  <c r="AU15" i="7" l="1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8" i="7" l="1"/>
  <c r="AU9" i="7"/>
  <c r="AU10" i="7"/>
  <c r="AU11" i="7"/>
  <c r="AU12" i="7"/>
  <c r="AU13" i="7"/>
  <c r="AU14" i="7"/>
  <c r="AU7" i="7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U38" i="7"/>
  <c r="AZ46" i="7" l="1"/>
  <c r="AZ47" i="7" s="1"/>
  <c r="BA39" i="7"/>
  <c r="AZ8" i="7"/>
  <c r="BA8" i="7" s="1"/>
  <c r="AZ9" i="7"/>
  <c r="BA9" i="7" s="1"/>
  <c r="AZ10" i="7"/>
  <c r="BA10" i="7" s="1"/>
  <c r="AZ11" i="7"/>
  <c r="BA11" i="7" s="1"/>
  <c r="AZ12" i="7"/>
  <c r="BA12" i="7" s="1"/>
  <c r="AZ13" i="7"/>
  <c r="BA13" i="7" s="1"/>
  <c r="AZ14" i="7"/>
  <c r="BA14" i="7" s="1"/>
  <c r="AZ15" i="7"/>
  <c r="BA15" i="7" s="1"/>
  <c r="AZ16" i="7"/>
  <c r="BA16" i="7" s="1"/>
  <c r="AZ17" i="7"/>
  <c r="BA17" i="7" s="1"/>
  <c r="S12" i="9" s="1"/>
  <c r="AZ18" i="7"/>
  <c r="BA18" i="7" s="1"/>
  <c r="S13" i="9" s="1"/>
  <c r="AZ19" i="7"/>
  <c r="BA19" i="7" s="1"/>
  <c r="AZ20" i="7"/>
  <c r="BA20" i="7" s="1"/>
  <c r="AZ21" i="7"/>
  <c r="BA21" i="7" s="1"/>
  <c r="S16" i="9" s="1"/>
  <c r="AZ22" i="7"/>
  <c r="BA22" i="7" s="1"/>
  <c r="S17" i="9" s="1"/>
  <c r="AZ23" i="7"/>
  <c r="BA23" i="7" s="1"/>
  <c r="AZ24" i="7"/>
  <c r="BA24" i="7" s="1"/>
  <c r="AZ25" i="7"/>
  <c r="BA25" i="7" s="1"/>
  <c r="S20" i="9" s="1"/>
  <c r="AZ26" i="7"/>
  <c r="BA26" i="7" s="1"/>
  <c r="S21" i="9" s="1"/>
  <c r="AZ27" i="7"/>
  <c r="BA27" i="7" s="1"/>
  <c r="AZ28" i="7"/>
  <c r="BA28" i="7" s="1"/>
  <c r="AZ29" i="7"/>
  <c r="BA29" i="7" s="1"/>
  <c r="S24" i="9" s="1"/>
  <c r="AZ30" i="7"/>
  <c r="BA30" i="7" s="1"/>
  <c r="S25" i="9" s="1"/>
  <c r="AZ31" i="7"/>
  <c r="BA31" i="7" s="1"/>
  <c r="AZ32" i="7"/>
  <c r="BA32" i="7" s="1"/>
  <c r="AZ33" i="7"/>
  <c r="BA33" i="7" s="1"/>
  <c r="S28" i="9" s="1"/>
  <c r="AZ34" i="7"/>
  <c r="BA34" i="7" s="1"/>
  <c r="S29" i="9" s="1"/>
  <c r="AZ35" i="7"/>
  <c r="BA35" i="7" s="1"/>
  <c r="AZ36" i="7"/>
  <c r="BA36" i="7" s="1"/>
  <c r="AZ37" i="7"/>
  <c r="BA37" i="7" s="1"/>
  <c r="S32" i="9" s="1"/>
  <c r="AZ38" i="7"/>
  <c r="AZ7" i="7"/>
  <c r="BA7" i="7" s="1"/>
  <c r="S31" i="9" l="1"/>
  <c r="BB36" i="7"/>
  <c r="S27" i="9"/>
  <c r="BB32" i="7"/>
  <c r="S23" i="9"/>
  <c r="BB28" i="7"/>
  <c r="S19" i="9"/>
  <c r="BB24" i="7"/>
  <c r="S15" i="9"/>
  <c r="BB20" i="7"/>
  <c r="S11" i="9"/>
  <c r="BB16" i="7"/>
  <c r="S9" i="9"/>
  <c r="BB14" i="7"/>
  <c r="S30" i="9"/>
  <c r="BB35" i="7"/>
  <c r="S26" i="9"/>
  <c r="BB31" i="7"/>
  <c r="S22" i="9"/>
  <c r="BB27" i="7"/>
  <c r="S18" i="9"/>
  <c r="BB23" i="7"/>
  <c r="S14" i="9"/>
  <c r="BB19" i="7"/>
  <c r="S10" i="9"/>
  <c r="BB15" i="7"/>
  <c r="BB34" i="7"/>
  <c r="BB30" i="7"/>
  <c r="BB26" i="7"/>
  <c r="BB22" i="7"/>
  <c r="BB18" i="7"/>
  <c r="BB37" i="7"/>
  <c r="BB33" i="7"/>
  <c r="BB29" i="7"/>
  <c r="BB25" i="7"/>
  <c r="BB21" i="7"/>
  <c r="BB17" i="7"/>
  <c r="S3" i="9"/>
  <c r="BB8" i="7"/>
  <c r="S5" i="9"/>
  <c r="BB10" i="7"/>
  <c r="S7" i="9"/>
  <c r="BB12" i="7"/>
  <c r="S2" i="9"/>
  <c r="BA38" i="7"/>
  <c r="BB38" i="7" s="1"/>
  <c r="BB7" i="7"/>
  <c r="S6" i="9"/>
  <c r="BB11" i="7"/>
  <c r="S8" i="9"/>
  <c r="BB13" i="7"/>
  <c r="S4" i="9"/>
  <c r="BB9" i="7"/>
  <c r="K32" i="5"/>
  <c r="B39" i="7" l="1"/>
  <c r="U32" i="9" l="1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<sst xmlns="http://schemas.openxmlformats.org/spreadsheetml/2006/main" count="138" uniqueCount="58">
  <si>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</si>
  <si>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</si>
  <si>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</si>
  <si>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</si>
  <si>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</si>
  <si>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</si>
  <si>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</si>
  <si>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</si>
  <si>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(Liters) </t>
  </si>
  <si>
    <t>Fuel Oil  $/Liter</t>
  </si>
  <si>
    <t xml:space="preserve">Room Nights </t>
  </si>
  <si>
    <t>Kuwait</t>
  </si>
  <si>
    <t>HT.02.02 - KWh</t>
  </si>
  <si>
    <t>HT.02.04 - KWh</t>
  </si>
  <si>
    <t>HT.02.07 - KWh</t>
  </si>
  <si>
    <t>HT.02.03 - KWh</t>
  </si>
  <si>
    <t>HT.02.06 - KWh</t>
  </si>
  <si>
    <t>HT.03.03 - KWh</t>
  </si>
  <si>
    <t>HT.03.07 - KWh</t>
  </si>
  <si>
    <t>HT.03.05 - KWh</t>
  </si>
  <si>
    <t>HT.03.08 - KWh</t>
  </si>
  <si>
    <t>HT.03.04 - KWh</t>
  </si>
  <si>
    <t>HT.03.06 - KWh</t>
  </si>
  <si>
    <t>HT.03.01 - KWh</t>
  </si>
  <si>
    <t>HT.03.02 - KWh</t>
  </si>
  <si>
    <t xml:space="preserve">Fuel (Liters) </t>
  </si>
  <si>
    <t>Water - m3</t>
  </si>
  <si>
    <t>Cooling Towers Water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</si>
  <si>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</si>
  <si>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</si>
  <si>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</si>
  <si>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</si>
  <si>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</si>
  <si>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</si>
  <si>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</si>
  <si>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</si>
  <si>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</si>
  <si>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</si>
  <si>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</si>
  <si>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</si>
  <si>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</si>
  <si>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</si>
  <si>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 xml:space="preserve">Room Night </t>
  </si>
  <si>
    <t>Feb</t>
  </si>
  <si>
    <t>Electricity - Meter No</t>
  </si>
  <si>
    <t>Electricity Consumption -KWh</t>
  </si>
  <si>
    <t>Total KWh</t>
  </si>
  <si>
    <t>Electricity Consumption - Amount</t>
  </si>
  <si>
    <t>Total Kd</t>
  </si>
  <si>
    <t>Fuel Consumption (%)</t>
  </si>
  <si>
    <t>Fuel Consumption (Liters)</t>
  </si>
  <si>
    <t>CT Water Meter Reading</t>
  </si>
  <si>
    <t>CT Consumption Cubic Meter</t>
  </si>
  <si>
    <t>Water Meter Reading</t>
  </si>
  <si>
    <t>Consumption Gallons</t>
  </si>
  <si>
    <t>Consumption Cubic Meter</t>
  </si>
  <si>
    <t>Total KD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</si>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</sst>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4F81BD"/>
      <name val="Calibri"/>
      <family val="2"/>
    </font>
    <font>
      <sz val="11"/>
      <color rgb="FF000000"/>
      <name val="Calibri"/>
    </font>
    <font>
      <sz val="11"/>
      <color rgb="FF5B9BD5"/>
      <name val="Calibri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95B3D7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Fill="1" applyBorder="1"/>
    <xf numFmtId="0" fontId="0" fillId="5" borderId="2" xfId="0" quotePrefix="1" applyFill="1" applyBorder="1"/>
    <xf numFmtId="0" fontId="7" fillId="4" borderId="2" xfId="0" applyFont="1" applyFill="1" applyBorder="1"/>
    <xf numFmtId="0" fontId="7" fillId="4" borderId="2" xfId="0" quotePrefix="1" applyFont="1" applyFill="1" applyBorder="1"/>
    <xf numFmtId="0" fontId="7" fillId="6" borderId="2" xfId="0" quotePrefix="1" applyFont="1" applyFill="1" applyBorder="1"/>
    <xf numFmtId="0" fontId="7" fillId="6" borderId="2" xfId="0" quotePrefix="1" applyFont="1" applyFill="1" applyBorder="1" applyAlignment="1">
      <alignment horizontal="right"/>
    </xf>
    <xf numFmtId="0" fontId="7" fillId="0" borderId="2" xfId="0" quotePrefix="1" applyFont="1" applyBorder="1"/>
    <xf numFmtId="0" fontId="0" fillId="3" borderId="2" xfId="0" quotePrefix="1" applyFill="1" applyBorder="1" applyAlignment="1">
      <alignment horizontal="right"/>
    </xf>
    <xf numFmtId="0" fontId="7" fillId="4" borderId="2" xfId="0" quotePrefix="1" applyFont="1" applyFill="1" applyBorder="1" applyAlignment="1">
      <alignment horizontal="right"/>
    </xf>
    <xf numFmtId="2" fontId="2" fillId="0" borderId="2" xfId="0" applyNumberFormat="1" applyFont="1" applyBorder="1"/>
    <xf numFmtId="0" fontId="19" fillId="0" borderId="0" xfId="0" applyFont="1" applyAlignment="1">
      <alignment horizontal="center"/>
    </xf>
    <xf numFmtId="0" fontId="19" fillId="6" borderId="2" xfId="0" quotePrefix="1" applyFont="1" applyFill="1" applyBorder="1" applyAlignment="1">
      <alignment horizontal="center"/>
    </xf>
    <xf numFmtId="0" fontId="19" fillId="4" borderId="2" xfId="0" quotePrefix="1" applyFont="1" applyFill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0" fillId="3" borderId="2" xfId="0" quotePrefix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7" borderId="11" xfId="0" applyFont="1" applyFill="1" applyBorder="1"/>
    <xf numFmtId="0" fontId="24" fillId="0" borderId="0" xfId="0" applyFont="1"/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1" fillId="7" borderId="2" xfId="0" applyFont="1" applyFill="1" applyBorder="1" applyAlignment="1">
      <alignment horizontal="center"/>
    </xf>
    <xf numFmtId="0" fontId="24" fillId="3" borderId="10" xfId="0" applyFont="1" applyFill="1" applyBorder="1" applyAlignment="1"/>
    <xf numFmtId="0" fontId="24" fillId="3" borderId="12" xfId="0" applyFont="1" applyFill="1" applyBorder="1"/>
    <xf numFmtId="0" fontId="24" fillId="3" borderId="13" xfId="0" applyFont="1" applyFill="1" applyBorder="1"/>
    <xf numFmtId="0" fontId="0" fillId="3" borderId="4" xfId="0" quotePrefix="1" applyFill="1" applyBorder="1"/>
    <xf numFmtId="0" fontId="21" fillId="0" borderId="10" xfId="0" applyFont="1" applyBorder="1"/>
    <xf numFmtId="0" fontId="23" fillId="0" borderId="3" xfId="0" applyFont="1" applyBorder="1" applyAlignment="1">
      <alignment horizontal="center" vertical="center"/>
    </xf>
    <xf numFmtId="0" fontId="21" fillId="0" borderId="14" xfId="0" applyFont="1" applyBorder="1"/>
    <xf numFmtId="0" fontId="19" fillId="4" borderId="4" xfId="0" quotePrefix="1" applyFont="1" applyFill="1" applyBorder="1" applyAlignment="1">
      <alignment horizontal="center"/>
    </xf>
    <xf numFmtId="0" fontId="7" fillId="0" borderId="4" xfId="0" quotePrefix="1" applyFont="1" applyBorder="1"/>
    <xf numFmtId="0" fontId="25" fillId="0" borderId="10" xfId="0" applyFont="1" applyFill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6" fillId="0" borderId="10" xfId="0" applyFont="1" applyFill="1" applyBorder="1" applyAlignment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/>
    <xf numFmtId="0" fontId="1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26" zoomScale="130" zoomScaleNormal="130" workbookViewId="0">
      <selection activeCell="K24" sqref="K24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44" t="s">
        <v>10</v>
      </c>
    </row>
    <row r="2" spans="1:11" s="13" customFormat="1" x14ac:dyDescent="0.25">
      <c r="A2" s="21" t="s">
        <v>11</v>
      </c>
      <c r="B2" s="11">
        <v>1</v>
      </c>
      <c r="C2" s="3">
        <v>2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55190</v>
      </c>
      <c r="F2" s="11">
        <v>5.0000000000000001E-3</v>
      </c>
      <c r="G2" s="12">
        <f>Submetering!S2</f>
        <v>365.54699999999997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141</v>
      </c>
    </row>
    <row r="3" spans="1:11" s="15" customFormat="1" x14ac:dyDescent="0.25">
      <c r="A3" s="21" t="s">
        <v>11</v>
      </c>
      <c r="B3" s="14">
        <f>B2+1</f>
        <v>2</v>
      </c>
      <c r="C3" s="3">
        <v>2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59780</v>
      </c>
      <c r="F3" s="11">
        <v>5.0000000000000001E-3</v>
      </c>
      <c r="G3" s="12">
        <f>Submetering!S3</f>
        <v>438.16500000000002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144</v>
      </c>
    </row>
    <row r="4" spans="1:11" s="15" customFormat="1" x14ac:dyDescent="0.25">
      <c r="A4" s="21" t="s">
        <v>11</v>
      </c>
      <c r="B4" s="14">
        <f t="shared" ref="B4:B32" si="0">B3+1</f>
        <v>3</v>
      </c>
      <c r="C4" s="3">
        <v>2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55270</v>
      </c>
      <c r="F4" s="11">
        <v>5.0000000000000001E-3</v>
      </c>
      <c r="G4" s="12">
        <f>Submetering!S4</f>
        <v>361.99799999999999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184</v>
      </c>
    </row>
    <row r="5" spans="1:11" s="15" customFormat="1" x14ac:dyDescent="0.25">
      <c r="A5" s="21" t="s">
        <v>11</v>
      </c>
      <c r="B5" s="14">
        <f t="shared" si="0"/>
        <v>4</v>
      </c>
      <c r="C5" s="3">
        <v>2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59580</v>
      </c>
      <c r="F5" s="11">
        <v>5.0000000000000001E-3</v>
      </c>
      <c r="G5" s="12">
        <f>Submetering!S5</f>
        <v>429.15600000000001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119</v>
      </c>
    </row>
    <row r="6" spans="1:11" s="15" customFormat="1" x14ac:dyDescent="0.25">
      <c r="A6" s="21" t="s">
        <v>11</v>
      </c>
      <c r="B6" s="14">
        <f t="shared" si="0"/>
        <v>5</v>
      </c>
      <c r="C6" s="3">
        <v>2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53010</v>
      </c>
      <c r="F6" s="11">
        <v>5.0000000000000001E-3</v>
      </c>
      <c r="G6" s="12">
        <f>Submetering!S6</f>
        <v>398.03399999999999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125</v>
      </c>
    </row>
    <row r="7" spans="1:11" s="15" customFormat="1" x14ac:dyDescent="0.25">
      <c r="A7" s="21" t="s">
        <v>11</v>
      </c>
      <c r="B7" s="14">
        <f t="shared" si="0"/>
        <v>6</v>
      </c>
      <c r="C7" s="3">
        <v>2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59360</v>
      </c>
      <c r="F7" s="11">
        <v>5.0000000000000001E-3</v>
      </c>
      <c r="G7" s="12">
        <f>Submetering!S7</f>
        <v>420.42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159</v>
      </c>
    </row>
    <row r="8" spans="1:11" s="15" customFormat="1" x14ac:dyDescent="0.25">
      <c r="A8" s="21" t="s">
        <v>11</v>
      </c>
      <c r="B8" s="14">
        <f t="shared" si="0"/>
        <v>7</v>
      </c>
      <c r="C8" s="3">
        <v>2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51780</v>
      </c>
      <c r="F8" s="11">
        <v>5.0000000000000001E-3</v>
      </c>
      <c r="G8" s="12">
        <f>Submetering!S8</f>
        <v>333.06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140</v>
      </c>
    </row>
    <row r="9" spans="1:11" s="15" customFormat="1" x14ac:dyDescent="0.25">
      <c r="A9" s="21" t="s">
        <v>11</v>
      </c>
      <c r="B9" s="14">
        <f t="shared" si="0"/>
        <v>8</v>
      </c>
      <c r="C9" s="3">
        <v>2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56020</v>
      </c>
      <c r="F9" s="11">
        <v>5.0000000000000001E-3</v>
      </c>
      <c r="G9" s="12">
        <f>Submetering!S9</f>
        <v>526.61699999999996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142</v>
      </c>
    </row>
    <row r="10" spans="1:11" s="15" customFormat="1" x14ac:dyDescent="0.25">
      <c r="A10" s="21" t="s">
        <v>11</v>
      </c>
      <c r="B10" s="14">
        <f t="shared" si="0"/>
        <v>9</v>
      </c>
      <c r="C10" s="3">
        <v>2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59780</v>
      </c>
      <c r="F10" s="11">
        <v>5.0000000000000001E-3</v>
      </c>
      <c r="G10" s="12">
        <f>Submetering!S10</f>
        <v>472.83600000000001</v>
      </c>
      <c r="H10" s="11">
        <v>0.44440000000000002</v>
      </c>
      <c r="I10" s="12">
        <f>Submetering!R10</f>
        <v>1122.1875</v>
      </c>
      <c r="J10" s="11">
        <v>0.14000000000000001</v>
      </c>
      <c r="K10" s="12">
        <f>Hotel!B15</f>
        <v>156</v>
      </c>
    </row>
    <row r="11" spans="1:11" s="15" customFormat="1" x14ac:dyDescent="0.25">
      <c r="A11" s="21" t="s">
        <v>11</v>
      </c>
      <c r="B11" s="14">
        <f t="shared" si="0"/>
        <v>10</v>
      </c>
      <c r="C11" s="3">
        <v>2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57830</v>
      </c>
      <c r="F11" s="11">
        <v>5.0000000000000001E-3</v>
      </c>
      <c r="G11" s="12">
        <f>Submetering!S11</f>
        <v>332.24099999999999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161</v>
      </c>
    </row>
    <row r="12" spans="1:11" s="15" customFormat="1" x14ac:dyDescent="0.25">
      <c r="A12" s="21" t="s">
        <v>11</v>
      </c>
      <c r="B12" s="14">
        <f t="shared" si="0"/>
        <v>11</v>
      </c>
      <c r="C12" s="3">
        <v>2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59450</v>
      </c>
      <c r="F12" s="11">
        <v>5.0000000000000001E-3</v>
      </c>
      <c r="G12" s="12">
        <f>Submetering!S12</f>
        <v>468.74099999999999</v>
      </c>
      <c r="H12" s="11">
        <v>0.44440000000000002</v>
      </c>
      <c r="I12" s="12">
        <f>Submetering!R12</f>
        <v>1442.8125</v>
      </c>
      <c r="J12" s="11">
        <v>0.14000000000000001</v>
      </c>
      <c r="K12" s="12">
        <f>Hotel!B17</f>
        <v>101</v>
      </c>
    </row>
    <row r="13" spans="1:11" s="15" customFormat="1" x14ac:dyDescent="0.25">
      <c r="A13" s="21" t="s">
        <v>11</v>
      </c>
      <c r="B13" s="14">
        <f t="shared" si="0"/>
        <v>12</v>
      </c>
      <c r="C13" s="3">
        <v>2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54730</v>
      </c>
      <c r="F13" s="11">
        <v>5.0000000000000001E-3</v>
      </c>
      <c r="G13" s="12">
        <f>Submetering!S13</f>
        <v>419.32799999999997</v>
      </c>
      <c r="H13" s="11">
        <v>0.44440000000000002</v>
      </c>
      <c r="I13" s="12">
        <f>Submetering!R13</f>
        <v>783.75000000000011</v>
      </c>
      <c r="J13" s="11">
        <v>0.14000000000000001</v>
      </c>
      <c r="K13" s="12">
        <f>Hotel!B18</f>
        <v>110</v>
      </c>
    </row>
    <row r="14" spans="1:11" s="15" customFormat="1" x14ac:dyDescent="0.25">
      <c r="A14" s="21" t="s">
        <v>11</v>
      </c>
      <c r="B14" s="14">
        <f t="shared" si="0"/>
        <v>13</v>
      </c>
      <c r="C14" s="3">
        <v>2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58320</v>
      </c>
      <c r="F14" s="11">
        <v>5.0000000000000001E-3</v>
      </c>
      <c r="G14" s="12">
        <f>Submetering!S14</f>
        <v>412.50299999999999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150</v>
      </c>
    </row>
    <row r="15" spans="1:11" s="15" customFormat="1" x14ac:dyDescent="0.25">
      <c r="A15" s="21" t="s">
        <v>11</v>
      </c>
      <c r="B15" s="14">
        <f t="shared" si="0"/>
        <v>14</v>
      </c>
      <c r="C15" s="3">
        <v>2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60970</v>
      </c>
      <c r="F15" s="11">
        <v>5.0000000000000001E-3</v>
      </c>
      <c r="G15" s="12">
        <f>Submetering!S15</f>
        <v>455.09100000000001</v>
      </c>
      <c r="H15" s="11">
        <v>0.44440000000000002</v>
      </c>
      <c r="I15" s="12">
        <f>Submetering!R15</f>
        <v>498.74999999999994</v>
      </c>
      <c r="J15" s="11">
        <v>0.14000000000000001</v>
      </c>
      <c r="K15" s="12">
        <f>Hotel!B20</f>
        <v>179</v>
      </c>
    </row>
    <row r="16" spans="1:11" s="15" customFormat="1" x14ac:dyDescent="0.25">
      <c r="A16" s="21" t="s">
        <v>11</v>
      </c>
      <c r="B16" s="14">
        <f t="shared" si="0"/>
        <v>15</v>
      </c>
      <c r="C16" s="3">
        <v>2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59260</v>
      </c>
      <c r="F16" s="11">
        <v>5.0000000000000001E-3</v>
      </c>
      <c r="G16" s="12">
        <f>Submetering!S16</f>
        <v>403.22100000000006</v>
      </c>
      <c r="H16" s="11">
        <v>0.44440000000000002</v>
      </c>
      <c r="I16" s="12">
        <f>Submetering!R16</f>
        <v>1175.625</v>
      </c>
      <c r="J16" s="11">
        <v>0.14000000000000001</v>
      </c>
      <c r="K16" s="12">
        <f>Hotel!B21</f>
        <v>156</v>
      </c>
    </row>
    <row r="17" spans="1:11" s="15" customFormat="1" x14ac:dyDescent="0.25">
      <c r="A17" s="21" t="s">
        <v>11</v>
      </c>
      <c r="B17" s="14">
        <f t="shared" si="0"/>
        <v>16</v>
      </c>
      <c r="C17" s="3">
        <v>2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59830</v>
      </c>
      <c r="F17" s="11">
        <v>5.0000000000000001E-3</v>
      </c>
      <c r="G17" s="12">
        <f>Submetering!S17</f>
        <v>450.17700000000002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128</v>
      </c>
    </row>
    <row r="18" spans="1:11" s="15" customFormat="1" x14ac:dyDescent="0.25">
      <c r="A18" s="21" t="s">
        <v>11</v>
      </c>
      <c r="B18" s="14">
        <f t="shared" si="0"/>
        <v>17</v>
      </c>
      <c r="C18" s="3">
        <v>2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59290</v>
      </c>
      <c r="F18" s="11">
        <v>5.0000000000000001E-3</v>
      </c>
      <c r="G18" s="12">
        <f>Submetering!S18</f>
        <v>281.73599999999999</v>
      </c>
      <c r="H18" s="11">
        <v>0.44440000000000002</v>
      </c>
      <c r="I18" s="12">
        <f>Submetering!R18</f>
        <v>1122.1875</v>
      </c>
      <c r="J18" s="11">
        <v>0.14000000000000001</v>
      </c>
      <c r="K18" s="12">
        <f>Hotel!B23</f>
        <v>145</v>
      </c>
    </row>
    <row r="19" spans="1:11" s="15" customFormat="1" x14ac:dyDescent="0.25">
      <c r="A19" s="21" t="s">
        <v>11</v>
      </c>
      <c r="B19" s="14">
        <f t="shared" si="0"/>
        <v>18</v>
      </c>
      <c r="C19" s="3">
        <v>2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62950</v>
      </c>
      <c r="F19" s="11">
        <v>5.0000000000000001E-3</v>
      </c>
      <c r="G19" s="12">
        <f>Submetering!S19</f>
        <v>444.71700000000004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95</v>
      </c>
    </row>
    <row r="20" spans="1:11" s="15" customFormat="1" x14ac:dyDescent="0.25">
      <c r="A20" s="21" t="s">
        <v>11</v>
      </c>
      <c r="B20" s="14">
        <f t="shared" si="0"/>
        <v>19</v>
      </c>
      <c r="C20" s="3">
        <v>2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58040</v>
      </c>
      <c r="F20" s="11">
        <v>5.0000000000000001E-3</v>
      </c>
      <c r="G20" s="12">
        <f>Submetering!S20</f>
        <v>410.59200000000004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72</v>
      </c>
    </row>
    <row r="21" spans="1:11" s="15" customFormat="1" x14ac:dyDescent="0.25">
      <c r="A21" s="21" t="s">
        <v>11</v>
      </c>
      <c r="B21" s="14">
        <f t="shared" si="0"/>
        <v>20</v>
      </c>
      <c r="C21" s="3">
        <v>2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54810</v>
      </c>
      <c r="F21" s="11">
        <v>5.0000000000000001E-3</v>
      </c>
      <c r="G21" s="12">
        <f>Submetering!S21</f>
        <v>391.75500000000005</v>
      </c>
      <c r="H21" s="11">
        <v>0.44440000000000002</v>
      </c>
      <c r="I21" s="12">
        <f>Submetering!R21</f>
        <v>1122.1875</v>
      </c>
      <c r="J21" s="11">
        <v>0.14000000000000001</v>
      </c>
      <c r="K21" s="12">
        <f>Hotel!B26</f>
        <v>74</v>
      </c>
    </row>
    <row r="22" spans="1:11" s="15" customFormat="1" x14ac:dyDescent="0.25">
      <c r="A22" s="21" t="s">
        <v>11</v>
      </c>
      <c r="B22" s="14">
        <f t="shared" si="0"/>
        <v>21</v>
      </c>
      <c r="C22" s="3">
        <v>2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53340</v>
      </c>
      <c r="F22" s="11">
        <v>5.0000000000000001E-3</v>
      </c>
      <c r="G22" s="12">
        <f>Submetering!S22</f>
        <v>442.26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107</v>
      </c>
    </row>
    <row r="23" spans="1:11" s="15" customFormat="1" x14ac:dyDescent="0.25">
      <c r="A23" s="21" t="s">
        <v>11</v>
      </c>
      <c r="B23" s="14">
        <f t="shared" si="0"/>
        <v>22</v>
      </c>
      <c r="C23" s="3">
        <v>2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52030</v>
      </c>
      <c r="F23" s="11">
        <v>5.0000000000000001E-3</v>
      </c>
      <c r="G23" s="12">
        <f>Submetering!S23</f>
        <v>418.78199999999998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126</v>
      </c>
    </row>
    <row r="24" spans="1:11" s="15" customFormat="1" x14ac:dyDescent="0.25">
      <c r="A24" s="21" t="s">
        <v>11</v>
      </c>
      <c r="B24" s="14">
        <f t="shared" si="0"/>
        <v>23</v>
      </c>
      <c r="C24" s="3">
        <v>2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53960</v>
      </c>
      <c r="F24" s="11">
        <v>5.0000000000000001E-3</v>
      </c>
      <c r="G24" s="12">
        <f>Submetering!S24</f>
        <v>419.05500000000001</v>
      </c>
      <c r="H24" s="11">
        <v>0.44440000000000002</v>
      </c>
      <c r="I24" s="12">
        <f>Submetering!R24</f>
        <v>1300.3125</v>
      </c>
      <c r="J24" s="11">
        <v>0.14000000000000001</v>
      </c>
      <c r="K24" s="12">
        <f>Hotel!B29</f>
        <v>145</v>
      </c>
    </row>
    <row r="25" spans="1:11" s="15" customFormat="1" x14ac:dyDescent="0.25">
      <c r="A25" s="21" t="s">
        <v>11</v>
      </c>
      <c r="B25" s="14">
        <f t="shared" si="0"/>
        <v>24</v>
      </c>
      <c r="C25" s="3">
        <v>2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54840</v>
      </c>
      <c r="F25" s="11">
        <v>5.0000000000000001E-3</v>
      </c>
      <c r="G25" s="12">
        <f>Submetering!S25</f>
        <v>313.404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113</v>
      </c>
    </row>
    <row r="26" spans="1:11" s="15" customFormat="1" x14ac:dyDescent="0.25">
      <c r="A26" s="21" t="s">
        <v>11</v>
      </c>
      <c r="B26" s="14">
        <f>B25+1</f>
        <v>25</v>
      </c>
      <c r="C26" s="3">
        <v>2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53570</v>
      </c>
      <c r="F26" s="11">
        <v>5.0000000000000001E-3</v>
      </c>
      <c r="G26" s="12">
        <f>Submetering!S26</f>
        <v>340.43099999999998</v>
      </c>
      <c r="H26" s="11">
        <v>0.44440000000000002</v>
      </c>
      <c r="I26" s="12">
        <f>Submetering!R26</f>
        <v>1175.625</v>
      </c>
      <c r="J26" s="11">
        <v>0.14000000000000001</v>
      </c>
      <c r="K26" s="12">
        <f>Hotel!B31</f>
        <v>91</v>
      </c>
    </row>
    <row r="27" spans="1:11" s="15" customFormat="1" x14ac:dyDescent="0.25">
      <c r="A27" s="21" t="s">
        <v>11</v>
      </c>
      <c r="B27" s="14">
        <f t="shared" si="0"/>
        <v>26</v>
      </c>
      <c r="C27" s="3">
        <v>2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53070</v>
      </c>
      <c r="F27" s="11">
        <v>5.0000000000000001E-3</v>
      </c>
      <c r="G27" s="12">
        <f>Submetering!S27</f>
        <v>356.53800000000001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81</v>
      </c>
    </row>
    <row r="28" spans="1:11" s="15" customFormat="1" x14ac:dyDescent="0.25">
      <c r="A28" s="21" t="s">
        <v>11</v>
      </c>
      <c r="B28" s="14">
        <f t="shared" si="0"/>
        <v>27</v>
      </c>
      <c r="C28" s="3">
        <v>2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Submetering!S28</f>
        <v>0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0</v>
      </c>
    </row>
    <row r="29" spans="1:11" s="15" customFormat="1" x14ac:dyDescent="0.25">
      <c r="A29" s="21" t="s">
        <v>11</v>
      </c>
      <c r="B29" s="14">
        <f t="shared" si="0"/>
        <v>28</v>
      </c>
      <c r="C29" s="3">
        <v>2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Submetering!S29</f>
        <v>0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0</v>
      </c>
    </row>
    <row r="30" spans="1:11" s="15" customFormat="1" x14ac:dyDescent="0.25">
      <c r="A30" s="21" t="s">
        <v>11</v>
      </c>
      <c r="B30" s="14">
        <f t="shared" si="0"/>
        <v>29</v>
      </c>
      <c r="C30" s="3">
        <v>2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Submetering!S30</f>
        <v>0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0</v>
      </c>
    </row>
    <row r="31" spans="1:11" s="13" customFormat="1" x14ac:dyDescent="0.25">
      <c r="A31" s="21" t="s">
        <v>11</v>
      </c>
      <c r="B31" s="14">
        <f t="shared" si="0"/>
        <v>30</v>
      </c>
      <c r="C31" s="3">
        <v>2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Submetering!S31</f>
        <v>0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0</v>
      </c>
    </row>
    <row r="32" spans="1:11" x14ac:dyDescent="0.25">
      <c r="A32" s="21" t="s">
        <v>11</v>
      </c>
      <c r="B32" s="14">
        <f t="shared" si="0"/>
        <v>31</v>
      </c>
      <c r="C32" s="3">
        <v>2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topLeftCell="A17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12</v>
      </c>
      <c r="F1" s="17" t="s">
        <v>13</v>
      </c>
      <c r="G1" s="17" t="s">
        <v>14</v>
      </c>
      <c r="H1" s="17" t="s">
        <v>15</v>
      </c>
      <c r="I1" s="17" t="s">
        <v>16</v>
      </c>
      <c r="J1" s="17" t="s">
        <v>17</v>
      </c>
      <c r="K1" s="17" t="s">
        <v>18</v>
      </c>
      <c r="L1" s="17" t="s">
        <v>19</v>
      </c>
      <c r="M1" s="17" t="s">
        <v>20</v>
      </c>
      <c r="N1" s="17" t="s">
        <v>21</v>
      </c>
      <c r="O1" s="17" t="s">
        <v>22</v>
      </c>
      <c r="P1" s="17" t="s">
        <v>23</v>
      </c>
      <c r="Q1" s="17" t="s">
        <v>24</v>
      </c>
      <c r="R1" s="17" t="s">
        <v>25</v>
      </c>
      <c r="S1" s="17" t="s">
        <v>26</v>
      </c>
      <c r="T1" s="17" t="s">
        <v>27</v>
      </c>
      <c r="U1" s="18" t="s">
        <v>10</v>
      </c>
    </row>
    <row r="2" spans="1:21" x14ac:dyDescent="0.25">
      <c r="A2" s="21" t="s">
        <v>11</v>
      </c>
      <c r="B2" s="2">
        <v>1</v>
      </c>
      <c r="C2" s="3">
        <v>2</v>
      </c>
      <c r="D2" s="11">
        <v>2023</v>
      </c>
      <c r="E2" s="4">
        <f>Hotel!Q7</f>
        <v>560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6120</v>
      </c>
      <c r="J2" s="4">
        <f>Hotel!V7</f>
        <v>4070</v>
      </c>
      <c r="K2" s="4">
        <f>Hotel!W7</f>
        <v>3620</v>
      </c>
      <c r="L2" s="4">
        <f>Hotel!X7</f>
        <v>4170</v>
      </c>
      <c r="M2" s="4">
        <f>Hotel!Y7</f>
        <v>5690</v>
      </c>
      <c r="N2" s="4">
        <f>Hotel!Z7</f>
        <v>2440</v>
      </c>
      <c r="O2" s="4">
        <f>Hotel!AA7</f>
        <v>2700</v>
      </c>
      <c r="P2" s="4">
        <f>Hotel!AB7</f>
        <v>6940</v>
      </c>
      <c r="Q2" s="4">
        <f>Hotel!AC7</f>
        <v>13140</v>
      </c>
      <c r="R2" s="4">
        <f>Hotel!AU7</f>
        <v>0</v>
      </c>
      <c r="S2" s="4">
        <f>Hotel!BA7</f>
        <v>365.54699999999997</v>
      </c>
      <c r="T2" s="4" t="e">
        <f>Hotel!#REF!</f>
        <v>#REF!</v>
      </c>
      <c r="U2" s="4">
        <f>Hotel!B7</f>
        <v>141</v>
      </c>
    </row>
    <row r="3" spans="1:21" x14ac:dyDescent="0.25">
      <c r="A3" s="21" t="s">
        <v>11</v>
      </c>
      <c r="B3" s="2">
        <f>B2+1</f>
        <v>2</v>
      </c>
      <c r="C3" s="3">
        <v>2</v>
      </c>
      <c r="D3" s="11">
        <v>2023</v>
      </c>
      <c r="E3" s="4">
        <f>Hotel!Q8</f>
        <v>610</v>
      </c>
      <c r="F3" s="4">
        <f>Hotel!R8</f>
        <v>1940</v>
      </c>
      <c r="G3" s="4">
        <f>Hotel!S8</f>
        <v>2910</v>
      </c>
      <c r="H3" s="4">
        <f>Hotel!T8</f>
        <v>1510</v>
      </c>
      <c r="I3" s="4">
        <f>Hotel!U8</f>
        <v>6700</v>
      </c>
      <c r="J3" s="4">
        <f>Hotel!V8</f>
        <v>4560</v>
      </c>
      <c r="K3" s="4">
        <f>Hotel!W8</f>
        <v>3580</v>
      </c>
      <c r="L3" s="4">
        <f>Hotel!X8</f>
        <v>4420</v>
      </c>
      <c r="M3" s="4">
        <f>Hotel!Y8</f>
        <v>6360</v>
      </c>
      <c r="N3" s="4">
        <f>Hotel!Z8</f>
        <v>2690</v>
      </c>
      <c r="O3" s="4">
        <f>Hotel!AA8</f>
        <v>3430</v>
      </c>
      <c r="P3" s="4">
        <f>Hotel!AB8</f>
        <v>7960</v>
      </c>
      <c r="Q3" s="4">
        <f>Hotel!AC8</f>
        <v>13110</v>
      </c>
      <c r="R3" s="4">
        <f>Hotel!AU8</f>
        <v>0</v>
      </c>
      <c r="S3" s="4">
        <f>Hotel!BA8</f>
        <v>438.16500000000002</v>
      </c>
      <c r="T3" s="4" t="e">
        <f>Hotel!#REF!</f>
        <v>#REF!</v>
      </c>
      <c r="U3" s="4">
        <f>Hotel!B8</f>
        <v>144</v>
      </c>
    </row>
    <row r="4" spans="1:21" x14ac:dyDescent="0.25">
      <c r="A4" s="21" t="s">
        <v>11</v>
      </c>
      <c r="B4" s="2">
        <f t="shared" ref="B4:B29" si="0">B3+1</f>
        <v>3</v>
      </c>
      <c r="C4" s="3">
        <v>2</v>
      </c>
      <c r="D4" s="11">
        <v>2023</v>
      </c>
      <c r="E4" s="4">
        <f>Hotel!Q9</f>
        <v>550</v>
      </c>
      <c r="F4" s="4">
        <f>Hotel!R9</f>
        <v>1750</v>
      </c>
      <c r="G4" s="4">
        <f>Hotel!S9</f>
        <v>2600</v>
      </c>
      <c r="H4" s="4">
        <f>Hotel!T9</f>
        <v>1360</v>
      </c>
      <c r="I4" s="4">
        <f>Hotel!U9</f>
        <v>6100</v>
      </c>
      <c r="J4" s="4">
        <f>Hotel!V9</f>
        <v>4130</v>
      </c>
      <c r="K4" s="4">
        <f>Hotel!W9</f>
        <v>3110</v>
      </c>
      <c r="L4" s="4">
        <f>Hotel!X9</f>
        <v>4090</v>
      </c>
      <c r="M4" s="4">
        <f>Hotel!Y9</f>
        <v>5800</v>
      </c>
      <c r="N4" s="4">
        <f>Hotel!Z9</f>
        <v>2530</v>
      </c>
      <c r="O4" s="4">
        <f>Hotel!AA9</f>
        <v>3290</v>
      </c>
      <c r="P4" s="4">
        <f>Hotel!AB9</f>
        <v>7010</v>
      </c>
      <c r="Q4" s="4">
        <f>Hotel!AC9</f>
        <v>12950</v>
      </c>
      <c r="R4" s="4">
        <f>Hotel!AU9</f>
        <v>0</v>
      </c>
      <c r="S4" s="4">
        <f>Hotel!BA9</f>
        <v>361.99799999999999</v>
      </c>
      <c r="T4" s="4" t="e">
        <f>Hotel!#REF!</f>
        <v>#REF!</v>
      </c>
      <c r="U4" s="4">
        <f>Hotel!B9</f>
        <v>184</v>
      </c>
    </row>
    <row r="5" spans="1:21" x14ac:dyDescent="0.25">
      <c r="A5" s="21" t="s">
        <v>11</v>
      </c>
      <c r="B5" s="2">
        <f t="shared" si="0"/>
        <v>4</v>
      </c>
      <c r="C5" s="3">
        <v>2</v>
      </c>
      <c r="D5" s="11">
        <v>2023</v>
      </c>
      <c r="E5" s="4">
        <f>Hotel!Q10</f>
        <v>600</v>
      </c>
      <c r="F5" s="4">
        <f>Hotel!R10</f>
        <v>1920</v>
      </c>
      <c r="G5" s="4">
        <f>Hotel!S10</f>
        <v>2720</v>
      </c>
      <c r="H5" s="4">
        <f>Hotel!T10</f>
        <v>1510</v>
      </c>
      <c r="I5" s="4">
        <f>Hotel!U10</f>
        <v>6660</v>
      </c>
      <c r="J5" s="4">
        <f>Hotel!V10</f>
        <v>4440</v>
      </c>
      <c r="K5" s="4">
        <f>Hotel!W10</f>
        <v>3220</v>
      </c>
      <c r="L5" s="4">
        <f>Hotel!X10</f>
        <v>4420</v>
      </c>
      <c r="M5" s="4">
        <f>Hotel!Y10</f>
        <v>6590</v>
      </c>
      <c r="N5" s="4">
        <f>Hotel!Z10</f>
        <v>2750</v>
      </c>
      <c r="O5" s="4">
        <f>Hotel!AA10</f>
        <v>3400</v>
      </c>
      <c r="P5" s="4">
        <f>Hotel!AB10</f>
        <v>7830</v>
      </c>
      <c r="Q5" s="4">
        <f>Hotel!AC10</f>
        <v>13520</v>
      </c>
      <c r="R5" s="4">
        <f>Hotel!AU10</f>
        <v>0</v>
      </c>
      <c r="S5" s="4">
        <f>Hotel!BA10</f>
        <v>429.15600000000001</v>
      </c>
      <c r="T5" s="4" t="e">
        <f>Hotel!#REF!</f>
        <v>#REF!</v>
      </c>
      <c r="U5" s="4">
        <f>Hotel!B10</f>
        <v>119</v>
      </c>
    </row>
    <row r="6" spans="1:21" x14ac:dyDescent="0.25">
      <c r="A6" s="21" t="s">
        <v>11</v>
      </c>
      <c r="B6" s="2">
        <f t="shared" si="0"/>
        <v>5</v>
      </c>
      <c r="C6" s="3">
        <v>2</v>
      </c>
      <c r="D6" s="11">
        <v>2023</v>
      </c>
      <c r="E6" s="4">
        <f>Hotel!Q11</f>
        <v>560</v>
      </c>
      <c r="F6" s="4">
        <f>Hotel!R11</f>
        <v>1770</v>
      </c>
      <c r="G6" s="4">
        <f>Hotel!S11</f>
        <v>2600</v>
      </c>
      <c r="H6" s="4">
        <f>Hotel!T11</f>
        <v>1390</v>
      </c>
      <c r="I6" s="4">
        <f>Hotel!U11</f>
        <v>5900</v>
      </c>
      <c r="J6" s="4">
        <f>Hotel!V11</f>
        <v>4030</v>
      </c>
      <c r="K6" s="4">
        <f>Hotel!W11</f>
        <v>3140</v>
      </c>
      <c r="L6" s="4">
        <f>Hotel!X11</f>
        <v>4020</v>
      </c>
      <c r="M6" s="4">
        <f>Hotel!Y11</f>
        <v>5710</v>
      </c>
      <c r="N6" s="4">
        <f>Hotel!Z11</f>
        <v>2440</v>
      </c>
      <c r="O6" s="4">
        <f>Hotel!AA11</f>
        <v>3090</v>
      </c>
      <c r="P6" s="4">
        <f>Hotel!AB11</f>
        <v>7170</v>
      </c>
      <c r="Q6" s="4">
        <f>Hotel!AC11</f>
        <v>11190</v>
      </c>
      <c r="R6" s="4">
        <f>Hotel!AU11</f>
        <v>0</v>
      </c>
      <c r="S6" s="4">
        <f>Hotel!BA11</f>
        <v>398.03399999999999</v>
      </c>
      <c r="T6" s="4" t="e">
        <f>Hotel!#REF!</f>
        <v>#REF!</v>
      </c>
      <c r="U6" s="4">
        <f>Hotel!B11</f>
        <v>125</v>
      </c>
    </row>
    <row r="7" spans="1:21" x14ac:dyDescent="0.25">
      <c r="A7" s="21" t="s">
        <v>11</v>
      </c>
      <c r="B7" s="2">
        <f t="shared" si="0"/>
        <v>6</v>
      </c>
      <c r="C7" s="3">
        <v>2</v>
      </c>
      <c r="D7" s="11">
        <v>2023</v>
      </c>
      <c r="E7" s="4">
        <f>Hotel!Q12</f>
        <v>620</v>
      </c>
      <c r="F7" s="4">
        <f>Hotel!R12</f>
        <v>1980</v>
      </c>
      <c r="G7" s="4">
        <f>Hotel!S12</f>
        <v>3020</v>
      </c>
      <c r="H7" s="4">
        <f>Hotel!T12</f>
        <v>1410</v>
      </c>
      <c r="I7" s="4">
        <f>Hotel!U12</f>
        <v>6390</v>
      </c>
      <c r="J7" s="4">
        <f>Hotel!V12</f>
        <v>4460</v>
      </c>
      <c r="K7" s="4">
        <f>Hotel!W12</f>
        <v>3710</v>
      </c>
      <c r="L7" s="4">
        <f>Hotel!X12</f>
        <v>4470</v>
      </c>
      <c r="M7" s="4">
        <f>Hotel!Y12</f>
        <v>6320</v>
      </c>
      <c r="N7" s="4">
        <f>Hotel!Z12</f>
        <v>2760</v>
      </c>
      <c r="O7" s="4">
        <f>Hotel!AA12</f>
        <v>3150</v>
      </c>
      <c r="P7" s="4">
        <f>Hotel!AB12</f>
        <v>7830</v>
      </c>
      <c r="Q7" s="4">
        <f>Hotel!AC12</f>
        <v>13240</v>
      </c>
      <c r="R7" s="4">
        <f>Hotel!AU12</f>
        <v>0</v>
      </c>
      <c r="S7" s="4">
        <f>Hotel!BA12</f>
        <v>420.42</v>
      </c>
      <c r="T7" s="4" t="e">
        <f>Hotel!#REF!</f>
        <v>#REF!</v>
      </c>
      <c r="U7" s="4">
        <f>Hotel!B12</f>
        <v>159</v>
      </c>
    </row>
    <row r="8" spans="1:21" x14ac:dyDescent="0.25">
      <c r="A8" s="21" t="s">
        <v>11</v>
      </c>
      <c r="B8" s="2">
        <f t="shared" si="0"/>
        <v>7</v>
      </c>
      <c r="C8" s="3">
        <v>2</v>
      </c>
      <c r="D8" s="11">
        <v>2023</v>
      </c>
      <c r="E8" s="4">
        <f>Hotel!Q13</f>
        <v>540</v>
      </c>
      <c r="F8" s="4">
        <f>Hotel!R13</f>
        <v>1720</v>
      </c>
      <c r="G8" s="4">
        <f>Hotel!S13</f>
        <v>2530</v>
      </c>
      <c r="H8" s="4">
        <f>Hotel!T13</f>
        <v>1110</v>
      </c>
      <c r="I8" s="4">
        <f>Hotel!U13</f>
        <v>5600</v>
      </c>
      <c r="J8" s="4">
        <f>Hotel!V13</f>
        <v>3890</v>
      </c>
      <c r="K8" s="4">
        <f>Hotel!W13</f>
        <v>3080</v>
      </c>
      <c r="L8" s="4">
        <f>Hotel!X13</f>
        <v>4190</v>
      </c>
      <c r="M8" s="4">
        <f>Hotel!Y13</f>
        <v>5510</v>
      </c>
      <c r="N8" s="4">
        <f>Hotel!Z13</f>
        <v>2400</v>
      </c>
      <c r="O8" s="4">
        <f>Hotel!AA13</f>
        <v>3050</v>
      </c>
      <c r="P8" s="4">
        <f>Hotel!AB13</f>
        <v>6890</v>
      </c>
      <c r="Q8" s="4">
        <f>Hotel!AC13</f>
        <v>11270</v>
      </c>
      <c r="R8" s="4">
        <f>Hotel!AU13</f>
        <v>0</v>
      </c>
      <c r="S8" s="4">
        <f>Hotel!BA13</f>
        <v>333.06</v>
      </c>
      <c r="T8" s="4" t="e">
        <f>Hotel!#REF!</f>
        <v>#REF!</v>
      </c>
      <c r="U8" s="4">
        <f>Hotel!B13</f>
        <v>140</v>
      </c>
    </row>
    <row r="9" spans="1:21" x14ac:dyDescent="0.25">
      <c r="A9" s="21" t="s">
        <v>11</v>
      </c>
      <c r="B9" s="2">
        <f t="shared" si="0"/>
        <v>8</v>
      </c>
      <c r="C9" s="3">
        <v>2</v>
      </c>
      <c r="D9" s="11">
        <v>2023</v>
      </c>
      <c r="E9" s="4">
        <f>Hotel!Q14</f>
        <v>550</v>
      </c>
      <c r="F9" s="4">
        <f>Hotel!R14</f>
        <v>1840</v>
      </c>
      <c r="G9" s="4">
        <f>Hotel!S14</f>
        <v>2580</v>
      </c>
      <c r="H9" s="4">
        <f>Hotel!T14</f>
        <v>1190</v>
      </c>
      <c r="I9" s="4">
        <f>Hotel!U14</f>
        <v>6200</v>
      </c>
      <c r="J9" s="4">
        <f>Hotel!V14</f>
        <v>4260</v>
      </c>
      <c r="K9" s="4">
        <f>Hotel!W14</f>
        <v>3690</v>
      </c>
      <c r="L9" s="4">
        <f>Hotel!X14</f>
        <v>4460</v>
      </c>
      <c r="M9" s="4">
        <f>Hotel!Y14</f>
        <v>6070</v>
      </c>
      <c r="N9" s="4">
        <f>Hotel!Z14</f>
        <v>2530</v>
      </c>
      <c r="O9" s="4">
        <f>Hotel!AA14</f>
        <v>3110</v>
      </c>
      <c r="P9" s="4">
        <f>Hotel!AB14</f>
        <v>7290</v>
      </c>
      <c r="Q9" s="4">
        <f>Hotel!AC14</f>
        <v>12250</v>
      </c>
      <c r="R9" s="4">
        <f>Hotel!AU14</f>
        <v>0</v>
      </c>
      <c r="S9" s="4">
        <f>Hotel!BA14</f>
        <v>526.61699999999996</v>
      </c>
      <c r="T9" s="4" t="e">
        <f>Hotel!#REF!</f>
        <v>#REF!</v>
      </c>
      <c r="U9" s="4">
        <f>Hotel!B14</f>
        <v>142</v>
      </c>
    </row>
    <row r="10" spans="1:21" x14ac:dyDescent="0.25">
      <c r="A10" s="21" t="s">
        <v>11</v>
      </c>
      <c r="B10" s="2">
        <f t="shared" si="0"/>
        <v>9</v>
      </c>
      <c r="C10" s="3">
        <v>2</v>
      </c>
      <c r="D10" s="11">
        <v>2023</v>
      </c>
      <c r="E10" s="4">
        <f>Hotel!Q15</f>
        <v>560</v>
      </c>
      <c r="F10" s="4">
        <f>Hotel!R15</f>
        <v>1840</v>
      </c>
      <c r="G10" s="4">
        <f>Hotel!S15</f>
        <v>2500</v>
      </c>
      <c r="H10" s="4">
        <f>Hotel!T15</f>
        <v>1180</v>
      </c>
      <c r="I10" s="4">
        <f>Hotel!U15</f>
        <v>6610</v>
      </c>
      <c r="J10" s="4">
        <f>Hotel!V15</f>
        <v>4380</v>
      </c>
      <c r="K10" s="4">
        <f>Hotel!W15</f>
        <v>3140</v>
      </c>
      <c r="L10" s="4">
        <f>Hotel!X15</f>
        <v>4570</v>
      </c>
      <c r="M10" s="4">
        <f>Hotel!Y15</f>
        <v>5790</v>
      </c>
      <c r="N10" s="4">
        <f>Hotel!Z15</f>
        <v>2580</v>
      </c>
      <c r="O10" s="4">
        <f>Hotel!AA15</f>
        <v>3330</v>
      </c>
      <c r="P10" s="4">
        <f>Hotel!AB15</f>
        <v>7600</v>
      </c>
      <c r="Q10" s="4">
        <f>Hotel!AC15</f>
        <v>15700</v>
      </c>
      <c r="R10" s="4">
        <f>Hotel!AU15</f>
        <v>1122.1875</v>
      </c>
      <c r="S10" s="4">
        <f>Hotel!BA15</f>
        <v>472.83600000000001</v>
      </c>
      <c r="T10" s="4" t="e">
        <f>Hotel!#REF!</f>
        <v>#REF!</v>
      </c>
      <c r="U10" s="4">
        <f>Hotel!B15</f>
        <v>156</v>
      </c>
    </row>
    <row r="11" spans="1:21" x14ac:dyDescent="0.25">
      <c r="A11" s="21" t="s">
        <v>11</v>
      </c>
      <c r="B11" s="2">
        <f t="shared" si="0"/>
        <v>10</v>
      </c>
      <c r="C11" s="3">
        <v>2</v>
      </c>
      <c r="D11" s="11">
        <v>2023</v>
      </c>
      <c r="E11" s="4">
        <f>Hotel!Q16</f>
        <v>550</v>
      </c>
      <c r="F11" s="4">
        <f>Hotel!R16</f>
        <v>1850</v>
      </c>
      <c r="G11" s="4">
        <f>Hotel!S16</f>
        <v>2390</v>
      </c>
      <c r="H11" s="4">
        <f>Hotel!T16</f>
        <v>1180</v>
      </c>
      <c r="I11" s="4">
        <f>Hotel!U16</f>
        <v>6200</v>
      </c>
      <c r="J11" s="4">
        <f>Hotel!V16</f>
        <v>4300</v>
      </c>
      <c r="K11" s="4">
        <f>Hotel!W16</f>
        <v>2970</v>
      </c>
      <c r="L11" s="4">
        <f>Hotel!X16</f>
        <v>4480</v>
      </c>
      <c r="M11" s="4">
        <f>Hotel!Y16</f>
        <v>6080</v>
      </c>
      <c r="N11" s="4">
        <f>Hotel!Z16</f>
        <v>2740</v>
      </c>
      <c r="O11" s="4">
        <f>Hotel!AA16</f>
        <v>3400</v>
      </c>
      <c r="P11" s="4">
        <f>Hotel!AB16</f>
        <v>7650</v>
      </c>
      <c r="Q11" s="4">
        <f>Hotel!AC16</f>
        <v>14040</v>
      </c>
      <c r="R11" s="4">
        <f>Hotel!AU16</f>
        <v>0</v>
      </c>
      <c r="S11" s="4">
        <f>Hotel!BA16</f>
        <v>332.24099999999999</v>
      </c>
      <c r="T11" s="4" t="e">
        <f>Hotel!#REF!</f>
        <v>#REF!</v>
      </c>
      <c r="U11" s="4">
        <f>Hotel!B16</f>
        <v>161</v>
      </c>
    </row>
    <row r="12" spans="1:21" x14ac:dyDescent="0.25">
      <c r="A12" s="21" t="s">
        <v>11</v>
      </c>
      <c r="B12" s="2">
        <f t="shared" si="0"/>
        <v>11</v>
      </c>
      <c r="C12" s="3">
        <v>2</v>
      </c>
      <c r="D12" s="11">
        <v>2023</v>
      </c>
      <c r="E12" s="4">
        <f>Hotel!Q17</f>
        <v>570</v>
      </c>
      <c r="F12" s="4">
        <f>Hotel!R17</f>
        <v>1900</v>
      </c>
      <c r="G12" s="4">
        <f>Hotel!S17</f>
        <v>2500</v>
      </c>
      <c r="H12" s="4">
        <f>Hotel!T17</f>
        <v>1220</v>
      </c>
      <c r="I12" s="4">
        <f>Hotel!U17</f>
        <v>6530</v>
      </c>
      <c r="J12" s="4">
        <f>Hotel!V17</f>
        <v>4580</v>
      </c>
      <c r="K12" s="4">
        <f>Hotel!W17</f>
        <v>3030</v>
      </c>
      <c r="L12" s="4">
        <f>Hotel!X17</f>
        <v>4700</v>
      </c>
      <c r="M12" s="4">
        <f>Hotel!Y17</f>
        <v>6090</v>
      </c>
      <c r="N12" s="4">
        <f>Hotel!Z17</f>
        <v>2810</v>
      </c>
      <c r="O12" s="4">
        <f>Hotel!AA17</f>
        <v>3320</v>
      </c>
      <c r="P12" s="4">
        <f>Hotel!AB17</f>
        <v>7950</v>
      </c>
      <c r="Q12" s="4">
        <f>Hotel!AC17</f>
        <v>14250</v>
      </c>
      <c r="R12" s="4">
        <f>Hotel!AU17</f>
        <v>1442.8125</v>
      </c>
      <c r="S12" s="4">
        <f>Hotel!BA17</f>
        <v>468.74099999999999</v>
      </c>
      <c r="T12" s="4" t="e">
        <f>Hotel!#REF!</f>
        <v>#REF!</v>
      </c>
      <c r="U12" s="4">
        <f>Hotel!B17</f>
        <v>101</v>
      </c>
    </row>
    <row r="13" spans="1:21" x14ac:dyDescent="0.25">
      <c r="A13" s="21" t="s">
        <v>11</v>
      </c>
      <c r="B13" s="2">
        <f t="shared" si="0"/>
        <v>12</v>
      </c>
      <c r="C13" s="3">
        <v>2</v>
      </c>
      <c r="D13" s="11">
        <v>2023</v>
      </c>
      <c r="E13" s="4">
        <f>Hotel!Q18</f>
        <v>530</v>
      </c>
      <c r="F13" s="4">
        <f>Hotel!R18</f>
        <v>1780</v>
      </c>
      <c r="G13" s="4">
        <f>Hotel!S18</f>
        <v>2490</v>
      </c>
      <c r="H13" s="4">
        <f>Hotel!T18</f>
        <v>1150</v>
      </c>
      <c r="I13" s="4">
        <f>Hotel!U18</f>
        <v>5690</v>
      </c>
      <c r="J13" s="4">
        <f>Hotel!V18</f>
        <v>3910</v>
      </c>
      <c r="K13" s="4">
        <f>Hotel!W18</f>
        <v>2830</v>
      </c>
      <c r="L13" s="4">
        <f>Hotel!X18</f>
        <v>4020</v>
      </c>
      <c r="M13" s="4">
        <f>Hotel!Y18</f>
        <v>5300</v>
      </c>
      <c r="N13" s="4">
        <f>Hotel!Z18</f>
        <v>2370</v>
      </c>
      <c r="O13" s="4">
        <f>Hotel!AA18</f>
        <v>2980</v>
      </c>
      <c r="P13" s="4">
        <f>Hotel!AB18</f>
        <v>7170</v>
      </c>
      <c r="Q13" s="4">
        <f>Hotel!AC18</f>
        <v>14510</v>
      </c>
      <c r="R13" s="4">
        <f>Hotel!AU18</f>
        <v>783.75000000000011</v>
      </c>
      <c r="S13" s="4">
        <f>Hotel!BA18</f>
        <v>419.32799999999997</v>
      </c>
      <c r="T13" s="4" t="e">
        <f>Hotel!#REF!</f>
        <v>#REF!</v>
      </c>
      <c r="U13" s="4">
        <f>Hotel!B18</f>
        <v>110</v>
      </c>
    </row>
    <row r="14" spans="1:21" x14ac:dyDescent="0.25">
      <c r="A14" s="21" t="s">
        <v>11</v>
      </c>
      <c r="B14" s="2">
        <f t="shared" si="0"/>
        <v>13</v>
      </c>
      <c r="C14" s="3">
        <v>2</v>
      </c>
      <c r="D14" s="11">
        <v>2023</v>
      </c>
      <c r="E14" s="4">
        <f>Hotel!Q19</f>
        <v>570</v>
      </c>
      <c r="F14" s="4">
        <f>Hotel!R19</f>
        <v>1870</v>
      </c>
      <c r="G14" s="4">
        <f>Hotel!S19</f>
        <v>2390</v>
      </c>
      <c r="H14" s="4">
        <f>Hotel!T19</f>
        <v>1180</v>
      </c>
      <c r="I14" s="4">
        <f>Hotel!U19</f>
        <v>5910</v>
      </c>
      <c r="J14" s="4">
        <f>Hotel!V19</f>
        <v>4300</v>
      </c>
      <c r="K14" s="4">
        <f>Hotel!W19</f>
        <v>3020</v>
      </c>
      <c r="L14" s="4">
        <f>Hotel!X19</f>
        <v>4510</v>
      </c>
      <c r="M14" s="4">
        <f>Hotel!Y19</f>
        <v>5850</v>
      </c>
      <c r="N14" s="4">
        <f>Hotel!Z19</f>
        <v>2630</v>
      </c>
      <c r="O14" s="4">
        <f>Hotel!AA19</f>
        <v>2950</v>
      </c>
      <c r="P14" s="4">
        <f>Hotel!AB19</f>
        <v>7740</v>
      </c>
      <c r="Q14" s="4">
        <f>Hotel!AC19</f>
        <v>15400</v>
      </c>
      <c r="R14" s="4">
        <f>Hotel!AU19</f>
        <v>0</v>
      </c>
      <c r="S14" s="4">
        <f>Hotel!BA19</f>
        <v>412.50299999999999</v>
      </c>
      <c r="T14" s="4" t="e">
        <f>Hotel!#REF!</f>
        <v>#REF!</v>
      </c>
      <c r="U14" s="4">
        <f>Hotel!B19</f>
        <v>150</v>
      </c>
    </row>
    <row r="15" spans="1:21" x14ac:dyDescent="0.25">
      <c r="A15" s="21" t="s">
        <v>11</v>
      </c>
      <c r="B15" s="2">
        <f t="shared" si="0"/>
        <v>14</v>
      </c>
      <c r="C15" s="3">
        <v>2</v>
      </c>
      <c r="D15" s="11">
        <v>2023</v>
      </c>
      <c r="E15" s="4">
        <f>Hotel!Q20</f>
        <v>560</v>
      </c>
      <c r="F15" s="4">
        <f>Hotel!R20</f>
        <v>1890</v>
      </c>
      <c r="G15" s="4">
        <f>Hotel!S20</f>
        <v>2400</v>
      </c>
      <c r="H15" s="4">
        <f>Hotel!T20</f>
        <v>920</v>
      </c>
      <c r="I15" s="4">
        <f>Hotel!U20</f>
        <v>6440</v>
      </c>
      <c r="J15" s="4">
        <f>Hotel!V20</f>
        <v>4570</v>
      </c>
      <c r="K15" s="4">
        <f>Hotel!W20</f>
        <v>3310</v>
      </c>
      <c r="L15" s="4">
        <f>Hotel!X20</f>
        <v>4890</v>
      </c>
      <c r="M15" s="4">
        <f>Hotel!Y20</f>
        <v>6160</v>
      </c>
      <c r="N15" s="4">
        <f>Hotel!Z20</f>
        <v>1860</v>
      </c>
      <c r="O15" s="4">
        <f>Hotel!AA20</f>
        <v>3410</v>
      </c>
      <c r="P15" s="4">
        <f>Hotel!AB20</f>
        <v>8000</v>
      </c>
      <c r="Q15" s="4">
        <f>Hotel!AC20</f>
        <v>16560</v>
      </c>
      <c r="R15" s="4">
        <f>Hotel!AU20</f>
        <v>498.74999999999994</v>
      </c>
      <c r="S15" s="4">
        <f>Hotel!BA20</f>
        <v>455.09100000000001</v>
      </c>
      <c r="T15" s="4" t="e">
        <f>Hotel!#REF!</f>
        <v>#REF!</v>
      </c>
      <c r="U15" s="4">
        <f>Hotel!B20</f>
        <v>179</v>
      </c>
    </row>
    <row r="16" spans="1:21" x14ac:dyDescent="0.25">
      <c r="A16" s="21" t="s">
        <v>11</v>
      </c>
      <c r="B16" s="2">
        <f t="shared" si="0"/>
        <v>15</v>
      </c>
      <c r="C16" s="3">
        <v>2</v>
      </c>
      <c r="D16" s="11">
        <v>2023</v>
      </c>
      <c r="E16" s="4">
        <f>Hotel!Q21</f>
        <v>520</v>
      </c>
      <c r="F16" s="4">
        <f>Hotel!R21</f>
        <v>1780</v>
      </c>
      <c r="G16" s="4">
        <f>Hotel!S21</f>
        <v>2160</v>
      </c>
      <c r="H16" s="4">
        <f>Hotel!T21</f>
        <v>860</v>
      </c>
      <c r="I16" s="4">
        <f>Hotel!U21</f>
        <v>5860</v>
      </c>
      <c r="J16" s="4">
        <f>Hotel!V21</f>
        <v>4260</v>
      </c>
      <c r="K16" s="4">
        <f>Hotel!W21</f>
        <v>3150</v>
      </c>
      <c r="L16" s="4">
        <f>Hotel!X21</f>
        <v>4750</v>
      </c>
      <c r="M16" s="4">
        <f>Hotel!Y21</f>
        <v>5780</v>
      </c>
      <c r="N16" s="4">
        <f>Hotel!Z21</f>
        <v>3730</v>
      </c>
      <c r="O16" s="4">
        <f>Hotel!AA21</f>
        <v>3270</v>
      </c>
      <c r="P16" s="4">
        <f>Hotel!AB21</f>
        <v>7650</v>
      </c>
      <c r="Q16" s="4">
        <f>Hotel!AC21</f>
        <v>15490</v>
      </c>
      <c r="R16" s="4">
        <f>Hotel!AU21</f>
        <v>1175.625</v>
      </c>
      <c r="S16" s="4">
        <f>Hotel!BA21</f>
        <v>403.22100000000006</v>
      </c>
      <c r="T16" s="4" t="e">
        <f>Hotel!#REF!</f>
        <v>#REF!</v>
      </c>
      <c r="U16" s="4">
        <f>Hotel!B21</f>
        <v>156</v>
      </c>
    </row>
    <row r="17" spans="1:21" x14ac:dyDescent="0.25">
      <c r="A17" s="21" t="s">
        <v>11</v>
      </c>
      <c r="B17" s="2">
        <f t="shared" si="0"/>
        <v>16</v>
      </c>
      <c r="C17" s="3">
        <v>2</v>
      </c>
      <c r="D17" s="11">
        <v>2023</v>
      </c>
      <c r="E17" s="4">
        <f>Hotel!Q22</f>
        <v>560</v>
      </c>
      <c r="F17" s="4">
        <f>Hotel!R22</f>
        <v>1860</v>
      </c>
      <c r="G17" s="4">
        <f>Hotel!S22</f>
        <v>2350</v>
      </c>
      <c r="H17" s="4">
        <f>Hotel!T22</f>
        <v>900</v>
      </c>
      <c r="I17" s="4">
        <f>Hotel!U22</f>
        <v>6560</v>
      </c>
      <c r="J17" s="4">
        <f>Hotel!V22</f>
        <v>4480</v>
      </c>
      <c r="K17" s="4">
        <f>Hotel!W22</f>
        <v>3170</v>
      </c>
      <c r="L17" s="4">
        <f>Hotel!X22</f>
        <v>4950</v>
      </c>
      <c r="M17" s="4">
        <f>Hotel!Y22</f>
        <v>5840</v>
      </c>
      <c r="N17" s="4">
        <f>Hotel!Z22</f>
        <v>2680</v>
      </c>
      <c r="O17" s="4">
        <f>Hotel!AA22</f>
        <v>3250</v>
      </c>
      <c r="P17" s="4">
        <f>Hotel!AB22</f>
        <v>7730</v>
      </c>
      <c r="Q17" s="4">
        <f>Hotel!AC22</f>
        <v>15500</v>
      </c>
      <c r="R17" s="4">
        <f>Hotel!AU22</f>
        <v>0</v>
      </c>
      <c r="S17" s="4">
        <f>Hotel!BA22</f>
        <v>450.17700000000002</v>
      </c>
      <c r="T17" s="4" t="e">
        <f>Hotel!#REF!</f>
        <v>#REF!</v>
      </c>
      <c r="U17" s="4">
        <f>Hotel!B22</f>
        <v>128</v>
      </c>
    </row>
    <row r="18" spans="1:21" x14ac:dyDescent="0.25">
      <c r="A18" s="21" t="s">
        <v>11</v>
      </c>
      <c r="B18" s="2">
        <f t="shared" si="0"/>
        <v>17</v>
      </c>
      <c r="C18" s="3">
        <v>2</v>
      </c>
      <c r="D18" s="11">
        <v>2023</v>
      </c>
      <c r="E18" s="4">
        <f>Hotel!Q23</f>
        <v>550</v>
      </c>
      <c r="F18" s="4">
        <f>Hotel!R23</f>
        <v>1820</v>
      </c>
      <c r="G18" s="4">
        <f>Hotel!S23</f>
        <v>2250</v>
      </c>
      <c r="H18" s="4">
        <f>Hotel!T23</f>
        <v>880</v>
      </c>
      <c r="I18" s="4">
        <f>Hotel!U23</f>
        <v>6060</v>
      </c>
      <c r="J18" s="4">
        <f>Hotel!V23</f>
        <v>4380</v>
      </c>
      <c r="K18" s="4">
        <f>Hotel!W23</f>
        <v>3160</v>
      </c>
      <c r="L18" s="4">
        <f>Hotel!X23</f>
        <v>4880</v>
      </c>
      <c r="M18" s="4">
        <f>Hotel!Y23</f>
        <v>5770</v>
      </c>
      <c r="N18" s="4">
        <f>Hotel!Z23</f>
        <v>2530</v>
      </c>
      <c r="O18" s="4">
        <f>Hotel!AA23</f>
        <v>3300</v>
      </c>
      <c r="P18" s="4">
        <f>Hotel!AB23</f>
        <v>7640</v>
      </c>
      <c r="Q18" s="4">
        <f>Hotel!AC23</f>
        <v>16070</v>
      </c>
      <c r="R18" s="4">
        <f>Hotel!AU23</f>
        <v>1122.1875</v>
      </c>
      <c r="S18" s="4">
        <f>Hotel!BA23</f>
        <v>281.73599999999999</v>
      </c>
      <c r="T18" s="4" t="e">
        <f>Hotel!#REF!</f>
        <v>#REF!</v>
      </c>
      <c r="U18" s="4">
        <f>Hotel!B23</f>
        <v>145</v>
      </c>
    </row>
    <row r="19" spans="1:21" x14ac:dyDescent="0.25">
      <c r="A19" s="21" t="s">
        <v>11</v>
      </c>
      <c r="B19" s="2">
        <f t="shared" si="0"/>
        <v>18</v>
      </c>
      <c r="C19" s="3">
        <v>2</v>
      </c>
      <c r="D19" s="11">
        <v>2023</v>
      </c>
      <c r="E19" s="4">
        <f>Hotel!Q24</f>
        <v>570</v>
      </c>
      <c r="F19" s="4">
        <f>Hotel!R24</f>
        <v>1910</v>
      </c>
      <c r="G19" s="4">
        <f>Hotel!S24</f>
        <v>2260</v>
      </c>
      <c r="H19" s="4">
        <f>Hotel!T24</f>
        <v>930</v>
      </c>
      <c r="I19" s="4">
        <f>Hotel!U24</f>
        <v>6610</v>
      </c>
      <c r="J19" s="4">
        <f>Hotel!V24</f>
        <v>4720</v>
      </c>
      <c r="K19" s="4">
        <f>Hotel!W24</f>
        <v>3730</v>
      </c>
      <c r="L19" s="4">
        <f>Hotel!X24</f>
        <v>5010</v>
      </c>
      <c r="M19" s="4">
        <f>Hotel!Y24</f>
        <v>6310</v>
      </c>
      <c r="N19" s="4">
        <f>Hotel!Z24</f>
        <v>2670</v>
      </c>
      <c r="O19" s="4">
        <f>Hotel!AA24</f>
        <v>3380</v>
      </c>
      <c r="P19" s="4">
        <f>Hotel!AB24</f>
        <v>7840</v>
      </c>
      <c r="Q19" s="4">
        <f>Hotel!AC24</f>
        <v>17010</v>
      </c>
      <c r="R19" s="4">
        <f>Hotel!AU24</f>
        <v>0</v>
      </c>
      <c r="S19" s="4">
        <f>Hotel!BA24</f>
        <v>444.71700000000004</v>
      </c>
      <c r="T19" s="4" t="e">
        <f>Hotel!#REF!</f>
        <v>#REF!</v>
      </c>
      <c r="U19" s="4">
        <f>Hotel!B24</f>
        <v>95</v>
      </c>
    </row>
    <row r="20" spans="1:21" x14ac:dyDescent="0.25">
      <c r="A20" s="21" t="s">
        <v>11</v>
      </c>
      <c r="B20" s="2">
        <f t="shared" si="0"/>
        <v>19</v>
      </c>
      <c r="C20" s="3">
        <v>2</v>
      </c>
      <c r="D20" s="11">
        <v>2023</v>
      </c>
      <c r="E20" s="4">
        <f>Hotel!Q25</f>
        <v>540</v>
      </c>
      <c r="F20" s="4">
        <f>Hotel!R25</f>
        <v>1820</v>
      </c>
      <c r="G20" s="4">
        <f>Hotel!S25</f>
        <v>2400</v>
      </c>
      <c r="H20" s="4">
        <f>Hotel!T25</f>
        <v>890</v>
      </c>
      <c r="I20" s="4">
        <f>Hotel!U25</f>
        <v>6180</v>
      </c>
      <c r="J20" s="4">
        <f>Hotel!V25</f>
        <v>4250</v>
      </c>
      <c r="K20" s="4">
        <f>Hotel!W25</f>
        <v>2910</v>
      </c>
      <c r="L20" s="4">
        <f>Hotel!X25</f>
        <v>4240</v>
      </c>
      <c r="M20" s="4">
        <f>Hotel!Y25</f>
        <v>5680</v>
      </c>
      <c r="N20" s="4">
        <f>Hotel!Z25</f>
        <v>2510</v>
      </c>
      <c r="O20" s="4">
        <f>Hotel!AA25</f>
        <v>3170</v>
      </c>
      <c r="P20" s="4">
        <f>Hotel!AB25</f>
        <v>7370</v>
      </c>
      <c r="Q20" s="4">
        <f>Hotel!AC25</f>
        <v>16080</v>
      </c>
      <c r="R20" s="4">
        <f>Hotel!AU25</f>
        <v>0</v>
      </c>
      <c r="S20" s="4">
        <f>Hotel!BA25</f>
        <v>410.59200000000004</v>
      </c>
      <c r="T20" s="4" t="e">
        <f>Hotel!#REF!</f>
        <v>#REF!</v>
      </c>
      <c r="U20" s="4">
        <f>Hotel!B25</f>
        <v>72</v>
      </c>
    </row>
    <row r="21" spans="1:21" x14ac:dyDescent="0.25">
      <c r="A21" s="21" t="s">
        <v>11</v>
      </c>
      <c r="B21" s="2">
        <f t="shared" si="0"/>
        <v>20</v>
      </c>
      <c r="C21" s="3">
        <v>2</v>
      </c>
      <c r="D21" s="11">
        <v>2023</v>
      </c>
      <c r="E21" s="4">
        <f>Hotel!Q26</f>
        <v>550</v>
      </c>
      <c r="F21" s="4">
        <f>Hotel!R26</f>
        <v>1810</v>
      </c>
      <c r="G21" s="4">
        <f>Hotel!S26</f>
        <v>2450</v>
      </c>
      <c r="H21" s="4">
        <f>Hotel!T26</f>
        <v>900</v>
      </c>
      <c r="I21" s="4">
        <f>Hotel!U26</f>
        <v>5420</v>
      </c>
      <c r="J21" s="4">
        <f>Hotel!V26</f>
        <v>4060</v>
      </c>
      <c r="K21" s="4">
        <f>Hotel!W26</f>
        <v>2770</v>
      </c>
      <c r="L21" s="4">
        <f>Hotel!X26</f>
        <v>4410</v>
      </c>
      <c r="M21" s="4">
        <f>Hotel!Y26</f>
        <v>5430</v>
      </c>
      <c r="N21" s="4">
        <f>Hotel!Z26</f>
        <v>2380</v>
      </c>
      <c r="O21" s="4">
        <f>Hotel!AA26</f>
        <v>3000</v>
      </c>
      <c r="P21" s="4">
        <f>Hotel!AB26</f>
        <v>7380</v>
      </c>
      <c r="Q21" s="4">
        <f>Hotel!AC26</f>
        <v>14250</v>
      </c>
      <c r="R21" s="4">
        <f>Hotel!AU26</f>
        <v>1122.1875</v>
      </c>
      <c r="S21" s="4">
        <f>Hotel!BA26</f>
        <v>391.75500000000005</v>
      </c>
      <c r="T21" s="4" t="e">
        <f>Hotel!#REF!</f>
        <v>#REF!</v>
      </c>
      <c r="U21" s="4">
        <f>Hotel!B26</f>
        <v>74</v>
      </c>
    </row>
    <row r="22" spans="1:21" x14ac:dyDescent="0.25">
      <c r="A22" s="21" t="s">
        <v>11</v>
      </c>
      <c r="B22" s="2">
        <f t="shared" si="0"/>
        <v>21</v>
      </c>
      <c r="C22" s="3">
        <v>2</v>
      </c>
      <c r="D22" s="11">
        <v>2023</v>
      </c>
      <c r="E22" s="4">
        <f>Hotel!Q27</f>
        <v>550</v>
      </c>
      <c r="F22" s="4">
        <f>Hotel!R27</f>
        <v>1850</v>
      </c>
      <c r="G22" s="4">
        <f>Hotel!S27</f>
        <v>2410</v>
      </c>
      <c r="H22" s="4">
        <f>Hotel!T27</f>
        <v>900</v>
      </c>
      <c r="I22" s="4">
        <f>Hotel!U27</f>
        <v>5220</v>
      </c>
      <c r="J22" s="4">
        <f>Hotel!V27</f>
        <v>4230</v>
      </c>
      <c r="K22" s="4">
        <f>Hotel!W27</f>
        <v>2740</v>
      </c>
      <c r="L22" s="4">
        <f>Hotel!X27</f>
        <v>4620</v>
      </c>
      <c r="M22" s="4">
        <f>Hotel!Y27</f>
        <v>5410</v>
      </c>
      <c r="N22" s="4">
        <f>Hotel!Z27</f>
        <v>2470</v>
      </c>
      <c r="O22" s="4">
        <f>Hotel!AA27</f>
        <v>2650</v>
      </c>
      <c r="P22" s="4">
        <f>Hotel!AB27</f>
        <v>7210</v>
      </c>
      <c r="Q22" s="4">
        <f>Hotel!AC27</f>
        <v>13080</v>
      </c>
      <c r="R22" s="4">
        <f>Hotel!AU27</f>
        <v>0</v>
      </c>
      <c r="S22" s="4">
        <f>Hotel!BA27</f>
        <v>442.26</v>
      </c>
      <c r="T22" s="4" t="e">
        <f>Hotel!#REF!</f>
        <v>#REF!</v>
      </c>
      <c r="U22" s="4">
        <f>Hotel!B27</f>
        <v>107</v>
      </c>
    </row>
    <row r="23" spans="1:21" x14ac:dyDescent="0.25">
      <c r="A23" s="21" t="s">
        <v>11</v>
      </c>
      <c r="B23" s="2">
        <f t="shared" si="0"/>
        <v>22</v>
      </c>
      <c r="C23" s="3">
        <v>2</v>
      </c>
      <c r="D23" s="11">
        <v>2023</v>
      </c>
      <c r="E23" s="4">
        <f>Hotel!Q28</f>
        <v>550</v>
      </c>
      <c r="F23" s="4">
        <f>Hotel!R28</f>
        <v>1830</v>
      </c>
      <c r="G23" s="4">
        <f>Hotel!S28</f>
        <v>2500</v>
      </c>
      <c r="H23" s="4">
        <f>Hotel!T28</f>
        <v>890</v>
      </c>
      <c r="I23" s="4">
        <f>Hotel!U28</f>
        <v>5650</v>
      </c>
      <c r="J23" s="4">
        <f>Hotel!V28</f>
        <v>4090</v>
      </c>
      <c r="K23" s="4">
        <f>Hotel!W28</f>
        <v>2760</v>
      </c>
      <c r="L23" s="4">
        <f>Hotel!X28</f>
        <v>4450</v>
      </c>
      <c r="M23" s="4">
        <f>Hotel!Y28</f>
        <v>5300</v>
      </c>
      <c r="N23" s="4">
        <f>Hotel!Z28</f>
        <v>2380</v>
      </c>
      <c r="O23" s="4">
        <f>Hotel!AA28</f>
        <v>2910</v>
      </c>
      <c r="P23" s="4">
        <f>Hotel!AB28</f>
        <v>7140</v>
      </c>
      <c r="Q23" s="4">
        <f>Hotel!AC28</f>
        <v>11580</v>
      </c>
      <c r="R23" s="4">
        <f>Hotel!AU28</f>
        <v>0</v>
      </c>
      <c r="S23" s="4">
        <f>Hotel!BA28</f>
        <v>418.78199999999998</v>
      </c>
      <c r="T23" s="4" t="e">
        <f>Hotel!#REF!</f>
        <v>#REF!</v>
      </c>
      <c r="U23" s="4">
        <f>Hotel!B28</f>
        <v>126</v>
      </c>
    </row>
    <row r="24" spans="1:21" x14ac:dyDescent="0.25">
      <c r="A24" s="21" t="s">
        <v>11</v>
      </c>
      <c r="B24" s="2">
        <f t="shared" si="0"/>
        <v>23</v>
      </c>
      <c r="C24" s="3">
        <v>2</v>
      </c>
      <c r="D24" s="11">
        <v>2023</v>
      </c>
      <c r="E24" s="4">
        <f>Hotel!Q29</f>
        <v>550</v>
      </c>
      <c r="F24" s="4">
        <f>Hotel!R29</f>
        <v>1840</v>
      </c>
      <c r="G24" s="4">
        <f>Hotel!S29</f>
        <v>2540</v>
      </c>
      <c r="H24" s="4">
        <f>Hotel!T29</f>
        <v>890</v>
      </c>
      <c r="I24" s="4">
        <f>Hotel!U29</f>
        <v>6150</v>
      </c>
      <c r="J24" s="4">
        <f>Hotel!V29</f>
        <v>4080</v>
      </c>
      <c r="K24" s="4">
        <f>Hotel!W29</f>
        <v>2880</v>
      </c>
      <c r="L24" s="4">
        <f>Hotel!X29</f>
        <v>4390</v>
      </c>
      <c r="M24" s="4">
        <f>Hotel!Y29</f>
        <v>5350</v>
      </c>
      <c r="N24" s="4">
        <f>Hotel!Z29</f>
        <v>2480</v>
      </c>
      <c r="O24" s="4">
        <f>Hotel!AA29</f>
        <v>2950</v>
      </c>
      <c r="P24" s="4">
        <f>Hotel!AB29</f>
        <v>7200</v>
      </c>
      <c r="Q24" s="4">
        <f>Hotel!AC29</f>
        <v>12660</v>
      </c>
      <c r="R24" s="4">
        <f>Hotel!AU29</f>
        <v>1300.3125</v>
      </c>
      <c r="S24" s="4">
        <f>Hotel!BA29</f>
        <v>419.05500000000001</v>
      </c>
      <c r="T24" s="4" t="e">
        <f>Hotel!#REF!</f>
        <v>#REF!</v>
      </c>
      <c r="U24" s="4">
        <f>Hotel!B29</f>
        <v>145</v>
      </c>
    </row>
    <row r="25" spans="1:21" x14ac:dyDescent="0.25">
      <c r="A25" s="21" t="s">
        <v>11</v>
      </c>
      <c r="B25" s="2">
        <f t="shared" si="0"/>
        <v>24</v>
      </c>
      <c r="C25" s="3">
        <v>2</v>
      </c>
      <c r="D25" s="11">
        <v>2023</v>
      </c>
      <c r="E25" s="4">
        <f>Hotel!Q30</f>
        <v>550</v>
      </c>
      <c r="F25" s="4">
        <f>Hotel!R30</f>
        <v>1850</v>
      </c>
      <c r="G25" s="4">
        <f>Hotel!S30</f>
        <v>2820</v>
      </c>
      <c r="H25" s="4">
        <f>Hotel!T30</f>
        <v>910</v>
      </c>
      <c r="I25" s="4">
        <f>Hotel!U30</f>
        <v>6090</v>
      </c>
      <c r="J25" s="4">
        <f>Hotel!V30</f>
        <v>4080</v>
      </c>
      <c r="K25" s="4">
        <f>Hotel!W30</f>
        <v>2700</v>
      </c>
      <c r="L25" s="4">
        <f>Hotel!X30</f>
        <v>4270</v>
      </c>
      <c r="M25" s="4">
        <f>Hotel!Y30</f>
        <v>5860</v>
      </c>
      <c r="N25" s="4">
        <f>Hotel!Z30</f>
        <v>2470</v>
      </c>
      <c r="O25" s="4">
        <f>Hotel!AA30</f>
        <v>3130</v>
      </c>
      <c r="P25" s="4">
        <f>Hotel!AB30</f>
        <v>7280</v>
      </c>
      <c r="Q25" s="4">
        <f>Hotel!AC30</f>
        <v>12830</v>
      </c>
      <c r="R25" s="4">
        <f>Hotel!AU30</f>
        <v>0</v>
      </c>
      <c r="S25" s="4">
        <f>Hotel!BA30</f>
        <v>313.404</v>
      </c>
      <c r="T25" s="4" t="e">
        <f>Hotel!#REF!</f>
        <v>#REF!</v>
      </c>
      <c r="U25" s="4">
        <f>Hotel!B30</f>
        <v>113</v>
      </c>
    </row>
    <row r="26" spans="1:21" x14ac:dyDescent="0.25">
      <c r="A26" s="21" t="s">
        <v>11</v>
      </c>
      <c r="B26" s="2">
        <f>B25+1</f>
        <v>25</v>
      </c>
      <c r="C26" s="3">
        <v>2</v>
      </c>
      <c r="D26" s="11">
        <v>2023</v>
      </c>
      <c r="E26" s="4">
        <f>Hotel!Q31</f>
        <v>550</v>
      </c>
      <c r="F26" s="4">
        <f>Hotel!R31</f>
        <v>1850</v>
      </c>
      <c r="G26" s="4">
        <f>Hotel!S31</f>
        <v>2850</v>
      </c>
      <c r="H26" s="4">
        <f>Hotel!T31</f>
        <v>930</v>
      </c>
      <c r="I26" s="4">
        <f>Hotel!U31</f>
        <v>5840</v>
      </c>
      <c r="J26" s="4">
        <f>Hotel!V31</f>
        <v>3980</v>
      </c>
      <c r="K26" s="4">
        <f>Hotel!W31</f>
        <v>2710</v>
      </c>
      <c r="L26" s="4">
        <f>Hotel!X31</f>
        <v>4070</v>
      </c>
      <c r="M26" s="4">
        <f>Hotel!Y31</f>
        <v>5860</v>
      </c>
      <c r="N26" s="4">
        <f>Hotel!Z31</f>
        <v>2420</v>
      </c>
      <c r="O26" s="4">
        <f>Hotel!AA31</f>
        <v>3080</v>
      </c>
      <c r="P26" s="4">
        <f>Hotel!AB31</f>
        <v>7250</v>
      </c>
      <c r="Q26" s="4">
        <f>Hotel!AC31</f>
        <v>12180</v>
      </c>
      <c r="R26" s="4">
        <f>Hotel!AU31</f>
        <v>1175.625</v>
      </c>
      <c r="S26" s="4">
        <f>Hotel!BA31</f>
        <v>340.43099999999998</v>
      </c>
      <c r="T26" s="4" t="e">
        <f>Hotel!#REF!</f>
        <v>#REF!</v>
      </c>
      <c r="U26" s="4">
        <f>Hotel!B31</f>
        <v>91</v>
      </c>
    </row>
    <row r="27" spans="1:21" x14ac:dyDescent="0.25">
      <c r="A27" s="21" t="s">
        <v>11</v>
      </c>
      <c r="B27" s="2">
        <f t="shared" si="0"/>
        <v>26</v>
      </c>
      <c r="C27" s="3">
        <v>2</v>
      </c>
      <c r="D27" s="11">
        <v>2023</v>
      </c>
      <c r="E27" s="4">
        <f>Hotel!Q32</f>
        <v>630</v>
      </c>
      <c r="F27" s="4">
        <f>Hotel!R32</f>
        <v>1790</v>
      </c>
      <c r="G27" s="4">
        <f>Hotel!S32</f>
        <v>3320</v>
      </c>
      <c r="H27" s="4">
        <f>Hotel!T32</f>
        <v>910</v>
      </c>
      <c r="I27" s="4">
        <f>Hotel!U32</f>
        <v>5470</v>
      </c>
      <c r="J27" s="4">
        <f>Hotel!V32</f>
        <v>3760</v>
      </c>
      <c r="K27" s="4">
        <f>Hotel!W32</f>
        <v>2560</v>
      </c>
      <c r="L27" s="4">
        <f>Hotel!X32</f>
        <v>3730</v>
      </c>
      <c r="M27" s="4">
        <f>Hotel!Y32</f>
        <v>5390</v>
      </c>
      <c r="N27" s="4">
        <f>Hotel!Z32</f>
        <v>2350</v>
      </c>
      <c r="O27" s="4">
        <f>Hotel!AA32</f>
        <v>2870</v>
      </c>
      <c r="P27" s="4">
        <f>Hotel!AB32</f>
        <v>7010</v>
      </c>
      <c r="Q27" s="4">
        <f>Hotel!AC32</f>
        <v>13280</v>
      </c>
      <c r="R27" s="4">
        <f>Hotel!AU32</f>
        <v>0</v>
      </c>
      <c r="S27" s="4">
        <f>Hotel!BA32</f>
        <v>356.53800000000001</v>
      </c>
      <c r="T27" s="4" t="e">
        <f>Hotel!#REF!</f>
        <v>#REF!</v>
      </c>
      <c r="U27" s="4">
        <f>Hotel!B32</f>
        <v>81</v>
      </c>
    </row>
    <row r="28" spans="1:21" x14ac:dyDescent="0.25">
      <c r="A28" s="21" t="s">
        <v>11</v>
      </c>
      <c r="B28" s="2">
        <f t="shared" si="0"/>
        <v>27</v>
      </c>
      <c r="C28" s="3">
        <v>2</v>
      </c>
      <c r="D28" s="11">
        <v>2023</v>
      </c>
      <c r="E28" s="4" t="str">
        <f>Hotel!Q33</f>
        <v>0</v>
      </c>
      <c r="F28" s="4" t="str">
        <f>Hotel!R33</f>
        <v>0</v>
      </c>
      <c r="G28" s="4" t="str">
        <f>Hotel!S33</f>
        <v>0</v>
      </c>
      <c r="H28" s="4" t="str">
        <f>Hotel!T33</f>
        <v>0</v>
      </c>
      <c r="I28" s="4" t="str">
        <f>Hotel!U33</f>
        <v>0</v>
      </c>
      <c r="J28" s="4" t="str">
        <f>Hotel!V33</f>
        <v>0</v>
      </c>
      <c r="K28" s="4" t="str">
        <f>Hotel!W33</f>
        <v>0</v>
      </c>
      <c r="L28" s="4" t="str">
        <f>Hotel!X33</f>
        <v>0</v>
      </c>
      <c r="M28" s="4" t="str">
        <f>Hotel!Y33</f>
        <v>0</v>
      </c>
      <c r="N28" s="4" t="str">
        <f>Hotel!Z33</f>
        <v>0</v>
      </c>
      <c r="O28" s="4" t="str">
        <f>Hotel!AA33</f>
        <v>0</v>
      </c>
      <c r="P28" s="4" t="str">
        <f>Hotel!AB33</f>
        <v>0</v>
      </c>
      <c r="Q28" s="4" t="str">
        <f>Hotel!AC33</f>
        <v>0</v>
      </c>
      <c r="R28" s="4">
        <f>Hotel!AU33</f>
        <v>0</v>
      </c>
      <c r="S28" s="4">
        <f>Hotel!BA33</f>
        <v>0</v>
      </c>
      <c r="T28" s="4" t="e">
        <f>Hotel!#REF!</f>
        <v>#REF!</v>
      </c>
      <c r="U28" s="4">
        <f>Hotel!B33</f>
        <v>0</v>
      </c>
    </row>
    <row r="29" spans="1:21" x14ac:dyDescent="0.25">
      <c r="A29" s="21" t="s">
        <v>11</v>
      </c>
      <c r="B29" s="2">
        <f t="shared" si="0"/>
        <v>28</v>
      </c>
      <c r="C29" s="3">
        <v>2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Hotel!AU34</f>
        <v>0</v>
      </c>
      <c r="S29" s="4">
        <f>Hotel!BA34</f>
        <v>0</v>
      </c>
      <c r="T29" s="4" t="e">
        <f>Hotel!#REF!</f>
        <v>#REF!</v>
      </c>
      <c r="U29" s="4">
        <f>Hotel!B34</f>
        <v>0</v>
      </c>
    </row>
    <row r="30" spans="1:21" x14ac:dyDescent="0.25">
      <c r="A30" s="21" t="s">
        <v>11</v>
      </c>
      <c r="B30" s="2">
        <f>B29+1</f>
        <v>29</v>
      </c>
      <c r="C30" s="3">
        <v>2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Hotel!AU35</f>
        <v>0</v>
      </c>
      <c r="S30" s="4">
        <f>Hotel!BA35</f>
        <v>0</v>
      </c>
      <c r="T30" s="4" t="e">
        <f>Hotel!#REF!</f>
        <v>#REF!</v>
      </c>
      <c r="U30" s="4">
        <f>Hotel!B35</f>
        <v>0</v>
      </c>
    </row>
    <row r="31" spans="1:21" x14ac:dyDescent="0.25">
      <c r="A31" s="21" t="s">
        <v>11</v>
      </c>
      <c r="B31" s="2">
        <f>B30+1</f>
        <v>30</v>
      </c>
      <c r="C31" s="3">
        <v>2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Hotel!AU36</f>
        <v>0</v>
      </c>
      <c r="S31" s="4">
        <f>Hotel!BA36</f>
        <v>0</v>
      </c>
      <c r="T31" s="4" t="e">
        <f>Hotel!#REF!</f>
        <v>#REF!</v>
      </c>
      <c r="U31" s="4">
        <f>Hotel!B36</f>
        <v>0</v>
      </c>
    </row>
    <row r="32" spans="1:21" x14ac:dyDescent="0.25">
      <c r="A32" s="21" t="s">
        <v>11</v>
      </c>
      <c r="B32" s="2">
        <f>B31+1</f>
        <v>31</v>
      </c>
      <c r="C32" s="3">
        <v>2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Hotel!AU37</f>
        <v>0</v>
      </c>
      <c r="S32" s="4">
        <f>Hotel!BA37</f>
        <v>0</v>
      </c>
      <c r="T32" s="4" t="e">
        <f>Hotel!#REF!</f>
        <v>#REF!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V10" zoomScale="93" zoomScaleNormal="93" workbookViewId="0">
      <selection activeCell="AT34" sqref="AT3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21" style="69" bestFit="1" customWidth="1"/>
    <col min="47" max="47" width="19.28515625" style="66" customWidth="1"/>
    <col min="48" max="48" width="7.28515625" customWidth="1"/>
    <col min="49" max="50" width="11.85546875" style="60" customWidth="1"/>
    <col min="51" max="51" width="11.85546875" style="45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44957</v>
      </c>
      <c r="B2" s="63">
        <v>116</v>
      </c>
      <c r="C2" s="64">
        <v>8814830</v>
      </c>
      <c r="D2" s="50">
        <v>21180080</v>
      </c>
      <c r="E2" s="50">
        <v>3940940</v>
      </c>
      <c r="F2" s="50">
        <v>4462750</v>
      </c>
      <c r="G2" s="50">
        <v>13260500</v>
      </c>
      <c r="H2" s="50">
        <v>7913930</v>
      </c>
      <c r="I2" s="50">
        <v>6822130</v>
      </c>
      <c r="J2" s="50">
        <v>8559530</v>
      </c>
      <c r="K2" s="50">
        <v>12355430</v>
      </c>
      <c r="L2" s="50">
        <v>5390070</v>
      </c>
      <c r="M2" s="50">
        <v>9757950</v>
      </c>
      <c r="N2" s="50">
        <v>16373790</v>
      </c>
      <c r="O2" s="50">
        <v>23059160</v>
      </c>
      <c r="Q2" s="25" t="s">
        <v>28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33</v>
      </c>
      <c r="W2" s="25" t="s">
        <v>34</v>
      </c>
      <c r="X2" s="25" t="s">
        <v>35</v>
      </c>
      <c r="Y2" s="25" t="s">
        <v>36</v>
      </c>
      <c r="Z2" s="25" t="s">
        <v>37</v>
      </c>
      <c r="AA2" s="25" t="s">
        <v>38</v>
      </c>
      <c r="AB2" s="25" t="s">
        <v>39</v>
      </c>
      <c r="AC2" s="25" t="s">
        <v>40</v>
      </c>
      <c r="AW2" s="61">
        <v>67633</v>
      </c>
      <c r="AX2" s="61"/>
      <c r="AY2" s="55">
        <v>407070</v>
      </c>
    </row>
    <row r="4" spans="1:54" ht="20.25" customHeight="1" x14ac:dyDescent="0.25">
      <c r="A4" s="26" t="s">
        <v>41</v>
      </c>
      <c r="B4" s="41" t="s">
        <v>42</v>
      </c>
      <c r="C4" s="27" t="s">
        <v>43</v>
      </c>
      <c r="D4" s="93" t="s">
        <v>44</v>
      </c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Q4" s="95" t="s">
        <v>45</v>
      </c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7"/>
      <c r="AD4" s="28" t="s">
        <v>46</v>
      </c>
      <c r="AF4" s="98" t="s">
        <v>47</v>
      </c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29" t="s">
        <v>48</v>
      </c>
      <c r="AT4" s="99" t="s">
        <v>49</v>
      </c>
      <c r="AU4" s="99" t="s">
        <v>50</v>
      </c>
      <c r="AW4" s="100" t="s">
        <v>51</v>
      </c>
      <c r="AX4" s="100" t="s">
        <v>52</v>
      </c>
      <c r="AY4" s="89" t="s">
        <v>53</v>
      </c>
      <c r="AZ4" s="90" t="s">
        <v>54</v>
      </c>
      <c r="BA4" s="90" t="s">
        <v>55</v>
      </c>
      <c r="BB4" s="92" t="s">
        <v>56</v>
      </c>
    </row>
    <row r="5" spans="1:54" ht="15.75" x14ac:dyDescent="0.25">
      <c r="A5" s="30">
        <v>2023</v>
      </c>
      <c r="B5" s="42" t="s">
        <v>57</v>
      </c>
      <c r="C5" s="25" t="s">
        <v>28</v>
      </c>
      <c r="D5" s="25" t="s">
        <v>29</v>
      </c>
      <c r="E5" s="25" t="s">
        <v>30</v>
      </c>
      <c r="F5" s="25" t="s">
        <v>31</v>
      </c>
      <c r="G5" s="25" t="s">
        <v>32</v>
      </c>
      <c r="H5" s="25" t="s">
        <v>33</v>
      </c>
      <c r="I5" s="25" t="s">
        <v>34</v>
      </c>
      <c r="J5" s="25" t="s">
        <v>35</v>
      </c>
      <c r="K5" s="25" t="s">
        <v>36</v>
      </c>
      <c r="L5" s="25" t="s">
        <v>37</v>
      </c>
      <c r="M5" s="25" t="s">
        <v>38</v>
      </c>
      <c r="N5" s="25" t="s">
        <v>39</v>
      </c>
      <c r="O5" s="25" t="s">
        <v>40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99"/>
      <c r="AU5" s="99"/>
      <c r="AW5" s="100"/>
      <c r="AX5" s="100"/>
      <c r="AY5" s="89"/>
      <c r="AZ5" s="91"/>
      <c r="BA5" s="91"/>
      <c r="BB5" s="92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W6" s="61">
        <v>67633</v>
      </c>
      <c r="AX6" s="61"/>
      <c r="AY6" s="55">
        <v>407070</v>
      </c>
    </row>
    <row r="7" spans="1:54" x14ac:dyDescent="0.25">
      <c r="A7" s="23">
        <v>44958</v>
      </c>
      <c r="B7" s="40">
        <v>141</v>
      </c>
      <c r="C7" s="50">
        <v>8815390</v>
      </c>
      <c r="D7" s="50">
        <v>21181850</v>
      </c>
      <c r="E7" s="50">
        <v>3943540</v>
      </c>
      <c r="F7" s="50">
        <v>4464120</v>
      </c>
      <c r="G7" s="50">
        <v>13266620</v>
      </c>
      <c r="H7" s="50">
        <v>7918000</v>
      </c>
      <c r="I7" s="50">
        <v>6825750</v>
      </c>
      <c r="J7" s="50">
        <v>8563700</v>
      </c>
      <c r="K7" s="50">
        <v>12361120</v>
      </c>
      <c r="L7" s="50">
        <v>5392510</v>
      </c>
      <c r="M7" s="50">
        <v>9760650</v>
      </c>
      <c r="N7" s="50">
        <v>16380730</v>
      </c>
      <c r="O7" s="50">
        <v>23072300</v>
      </c>
      <c r="Q7" s="37">
        <f t="shared" ref="Q7:AC7" si="0">IF((C7-C2&lt;0), "0",C7-C2)</f>
        <v>560</v>
      </c>
      <c r="R7" s="37">
        <f t="shared" si="0"/>
        <v>1770</v>
      </c>
      <c r="S7" s="37">
        <f t="shared" si="0"/>
        <v>2600</v>
      </c>
      <c r="T7" s="37">
        <f t="shared" si="0"/>
        <v>1370</v>
      </c>
      <c r="U7" s="37">
        <f t="shared" si="0"/>
        <v>6120</v>
      </c>
      <c r="V7" s="37">
        <f t="shared" si="0"/>
        <v>4070</v>
      </c>
      <c r="W7" s="37">
        <f t="shared" si="0"/>
        <v>3620</v>
      </c>
      <c r="X7" s="37">
        <f t="shared" si="0"/>
        <v>4170</v>
      </c>
      <c r="Y7" s="37">
        <f t="shared" si="0"/>
        <v>5690</v>
      </c>
      <c r="Z7" s="37">
        <f t="shared" si="0"/>
        <v>2440</v>
      </c>
      <c r="AA7" s="37">
        <f t="shared" si="0"/>
        <v>2700</v>
      </c>
      <c r="AB7" s="37">
        <f t="shared" si="0"/>
        <v>6940</v>
      </c>
      <c r="AC7" s="37">
        <f t="shared" si="0"/>
        <v>13140</v>
      </c>
      <c r="AD7" s="34">
        <f>SUM(Q7:AC7)</f>
        <v>55190</v>
      </c>
      <c r="AF7" s="20">
        <f t="shared" ref="AF7:AF36" si="1">Q7*$D$39</f>
        <v>2.8000000000000003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30.6</v>
      </c>
      <c r="AK7" s="20">
        <f t="shared" ref="AK7:AK36" si="6">V7*$D$39</f>
        <v>20.350000000000001</v>
      </c>
      <c r="AL7" s="20">
        <f t="shared" ref="AL7:AL36" si="7">W7*$D$39</f>
        <v>18.100000000000001</v>
      </c>
      <c r="AM7" s="20">
        <f t="shared" ref="AM7:AM36" si="8">X7*$D$39</f>
        <v>20.85</v>
      </c>
      <c r="AN7" s="20">
        <f t="shared" ref="AN7:AN36" si="9">Y7*$D$39</f>
        <v>28.45</v>
      </c>
      <c r="AO7" s="20">
        <f t="shared" ref="AO7:AO36" si="10">Z7*$D$39</f>
        <v>12.200000000000001</v>
      </c>
      <c r="AP7" s="20">
        <f t="shared" ref="AP7:AP36" si="11">AA7*$D$39</f>
        <v>13.5</v>
      </c>
      <c r="AQ7" s="20">
        <f t="shared" ref="AQ7:AQ36" si="12">AB7*$D$39</f>
        <v>34.700000000000003</v>
      </c>
      <c r="AR7" s="20">
        <f t="shared" ref="AR7:AR36" si="13">AC7*$D$39</f>
        <v>65.7</v>
      </c>
      <c r="AS7" s="35">
        <f>SUM(AF7:AR7)</f>
        <v>275.95</v>
      </c>
      <c r="AT7" s="65"/>
      <c r="AU7" s="67">
        <f>AT7*$AU$43</f>
        <v>0</v>
      </c>
      <c r="AW7" s="62">
        <v>0</v>
      </c>
      <c r="AX7" s="61" t="str">
        <f>(IF((AW7-AW6&lt;0),"0",AW7-AW6))</f>
        <v>0</v>
      </c>
      <c r="AY7" s="53">
        <v>408409</v>
      </c>
      <c r="AZ7" s="37">
        <f>(IF((AY7-AY6&lt;0),"0",AY7-AY6))*100</f>
        <v>133900</v>
      </c>
      <c r="BA7" s="37">
        <f>AZ7*$AZ$44*60%</f>
        <v>365.54699999999997</v>
      </c>
      <c r="BB7" s="59">
        <f>BA7*0.4444</f>
        <v>162.4490868</v>
      </c>
    </row>
    <row r="8" spans="1:54" x14ac:dyDescent="0.25">
      <c r="A8" s="23">
        <v>44959</v>
      </c>
      <c r="B8" s="40">
        <v>144</v>
      </c>
      <c r="C8" s="51">
        <v>8816000</v>
      </c>
      <c r="D8" s="51">
        <v>21183790</v>
      </c>
      <c r="E8" s="51">
        <v>3946450</v>
      </c>
      <c r="F8" s="51">
        <v>4465630</v>
      </c>
      <c r="G8" s="51">
        <v>13273320</v>
      </c>
      <c r="H8" s="51">
        <v>7922560</v>
      </c>
      <c r="I8" s="51">
        <v>6829330</v>
      </c>
      <c r="J8" s="51">
        <v>8568120</v>
      </c>
      <c r="K8" s="51">
        <v>12367480</v>
      </c>
      <c r="L8" s="51">
        <v>5395200</v>
      </c>
      <c r="M8" s="51">
        <v>9764080</v>
      </c>
      <c r="N8" s="51">
        <v>16388690</v>
      </c>
      <c r="O8" s="51">
        <v>23085410</v>
      </c>
      <c r="Q8" s="37">
        <f>IF((C8-C7&lt;0), "0",C8-C7)</f>
        <v>610</v>
      </c>
      <c r="R8" s="37">
        <f t="shared" ref="R8:AC8" si="14">IF((D8-D7&lt;0), "0",D8-D7)</f>
        <v>1940</v>
      </c>
      <c r="S8" s="37">
        <f t="shared" ref="S8:S35" si="15">IF((E8-E7&lt;0), "0",E8-E7)</f>
        <v>2910</v>
      </c>
      <c r="T8" s="37">
        <f t="shared" si="14"/>
        <v>1510</v>
      </c>
      <c r="U8" s="37">
        <f t="shared" si="14"/>
        <v>6700</v>
      </c>
      <c r="V8" s="37">
        <f t="shared" si="14"/>
        <v>4560</v>
      </c>
      <c r="W8" s="37">
        <f t="shared" si="14"/>
        <v>3580</v>
      </c>
      <c r="X8" s="37">
        <f t="shared" si="14"/>
        <v>4420</v>
      </c>
      <c r="Y8" s="37">
        <f t="shared" si="14"/>
        <v>6360</v>
      </c>
      <c r="Z8" s="37">
        <f t="shared" si="14"/>
        <v>2690</v>
      </c>
      <c r="AA8" s="37">
        <f t="shared" si="14"/>
        <v>3430</v>
      </c>
      <c r="AB8" s="37">
        <f t="shared" si="14"/>
        <v>7960</v>
      </c>
      <c r="AC8" s="37">
        <f t="shared" si="14"/>
        <v>13110</v>
      </c>
      <c r="AD8" s="35">
        <f>SUM(Q8:AC8)</f>
        <v>59780</v>
      </c>
      <c r="AF8" s="20">
        <f t="shared" si="1"/>
        <v>3.0500000000000003</v>
      </c>
      <c r="AG8" s="20">
        <f t="shared" si="2"/>
        <v>9.7000000000000011</v>
      </c>
      <c r="AH8" s="20">
        <f t="shared" si="3"/>
        <v>14.55</v>
      </c>
      <c r="AI8" s="20">
        <f t="shared" si="4"/>
        <v>7.55</v>
      </c>
      <c r="AJ8" s="20">
        <f t="shared" si="5"/>
        <v>33.5</v>
      </c>
      <c r="AK8" s="20">
        <f t="shared" si="6"/>
        <v>22.8</v>
      </c>
      <c r="AL8" s="20">
        <f t="shared" si="7"/>
        <v>17.900000000000002</v>
      </c>
      <c r="AM8" s="20">
        <f t="shared" si="8"/>
        <v>22.1</v>
      </c>
      <c r="AN8" s="20">
        <f t="shared" si="9"/>
        <v>31.8</v>
      </c>
      <c r="AO8" s="20">
        <f t="shared" si="10"/>
        <v>13.450000000000001</v>
      </c>
      <c r="AP8" s="20">
        <f t="shared" si="11"/>
        <v>17.150000000000002</v>
      </c>
      <c r="AQ8" s="20">
        <f t="shared" si="12"/>
        <v>39.800000000000004</v>
      </c>
      <c r="AR8" s="20">
        <f t="shared" si="13"/>
        <v>65.55</v>
      </c>
      <c r="AS8" s="35">
        <f>SUM(AF8:AR8)</f>
        <v>298.90000000000003</v>
      </c>
      <c r="AT8" s="65"/>
      <c r="AU8" s="67">
        <f t="shared" ref="AU8:AU37" si="16">AT8*$AU$43</f>
        <v>0</v>
      </c>
      <c r="AW8" s="62">
        <v>0</v>
      </c>
      <c r="AX8" s="61">
        <f t="shared" ref="AX8:AX39" si="17">(IF((AW8-AW7&lt;0),"0",AW8-AW7))</f>
        <v>0</v>
      </c>
      <c r="AY8" s="54">
        <v>410014</v>
      </c>
      <c r="AZ8" s="37">
        <f t="shared" ref="AZ8:AZ38" si="18">(IF((AY8-AY7&lt;0),"0",AY8-AY7))*100</f>
        <v>160500</v>
      </c>
      <c r="BA8" s="37">
        <f t="shared" ref="BA8:BA39" si="19">AZ8*$AZ$44*60%</f>
        <v>438.16500000000002</v>
      </c>
      <c r="BB8" s="59">
        <f t="shared" ref="BB8:BB38" si="20">BA8*0.4444</f>
        <v>194.72052600000001</v>
      </c>
    </row>
    <row r="9" spans="1:54" x14ac:dyDescent="0.25">
      <c r="A9" s="23">
        <v>44960</v>
      </c>
      <c r="B9" s="40">
        <v>184</v>
      </c>
      <c r="C9" s="51">
        <v>8816550</v>
      </c>
      <c r="D9" s="51">
        <v>21185540</v>
      </c>
      <c r="E9" s="51">
        <v>3949050</v>
      </c>
      <c r="F9" s="51">
        <v>4466990</v>
      </c>
      <c r="G9" s="51">
        <v>13279420</v>
      </c>
      <c r="H9" s="51">
        <v>7926690</v>
      </c>
      <c r="I9" s="51">
        <v>6832440</v>
      </c>
      <c r="J9" s="51">
        <v>8572210</v>
      </c>
      <c r="K9" s="51">
        <v>12373280</v>
      </c>
      <c r="L9" s="51">
        <v>5397730</v>
      </c>
      <c r="M9" s="51">
        <v>9767370</v>
      </c>
      <c r="N9" s="51">
        <v>16395700</v>
      </c>
      <c r="O9" s="51">
        <v>23098360</v>
      </c>
      <c r="Q9" s="37">
        <f t="shared" ref="Q9:Q30" si="21">IF((C9-C8&lt;0), "0",C9-C8)</f>
        <v>550</v>
      </c>
      <c r="R9" s="37">
        <f t="shared" ref="R9:R37" si="22">IF((D9-D8&lt;0), "0",D9-D8)</f>
        <v>1750</v>
      </c>
      <c r="S9" s="37">
        <f t="shared" si="15"/>
        <v>2600</v>
      </c>
      <c r="T9" s="37">
        <f t="shared" ref="T9:T35" si="23">IF((F9-F8&lt;0), "0",F9-F8)</f>
        <v>1360</v>
      </c>
      <c r="U9" s="37">
        <f t="shared" ref="U9:U35" si="24">IF((G9-G8&lt;0), "0",G9-G8)</f>
        <v>6100</v>
      </c>
      <c r="V9" s="37">
        <f t="shared" ref="V9:V35" si="25">IF((H9-H8&lt;0), "0",H9-H8)</f>
        <v>4130</v>
      </c>
      <c r="W9" s="37">
        <f t="shared" ref="W9:W35" si="26">IF((I9-I8&lt;0), "0",I9-I8)</f>
        <v>3110</v>
      </c>
      <c r="X9" s="37">
        <f t="shared" ref="X9:X37" si="27">IF((J9-J8&lt;0), "0",J9-J8)</f>
        <v>4090</v>
      </c>
      <c r="Y9" s="37">
        <f t="shared" ref="Y9:Y35" si="28">IF((K9-K8&lt;0), "0",K9-K8)</f>
        <v>5800</v>
      </c>
      <c r="Z9" s="37">
        <f t="shared" ref="Z9:Z35" si="29">IF((L9-L8&lt;0), "0",L9-L8)</f>
        <v>2530</v>
      </c>
      <c r="AA9" s="37">
        <f t="shared" ref="AA9:AA35" si="30">IF((M9-M8&lt;0), "0",M9-M8)</f>
        <v>3290</v>
      </c>
      <c r="AB9" s="37">
        <f t="shared" ref="AB9:AB37" si="31">IF((N9-N8&lt;0), "0",N9-N8)</f>
        <v>7010</v>
      </c>
      <c r="AC9" s="37">
        <f t="shared" ref="AC9:AC37" si="32">IF((O9-O8&lt;0), "0",O9-O8)</f>
        <v>12950</v>
      </c>
      <c r="AD9" s="35">
        <f t="shared" ref="AD9:AD37" si="33">SUM(Q9:AC9)</f>
        <v>55270</v>
      </c>
      <c r="AF9" s="20">
        <f t="shared" si="1"/>
        <v>2.75</v>
      </c>
      <c r="AG9" s="20">
        <f t="shared" si="2"/>
        <v>8.75</v>
      </c>
      <c r="AH9" s="20">
        <f t="shared" si="3"/>
        <v>13</v>
      </c>
      <c r="AI9" s="20">
        <f t="shared" si="4"/>
        <v>6.8</v>
      </c>
      <c r="AJ9" s="20">
        <f t="shared" si="5"/>
        <v>30.5</v>
      </c>
      <c r="AK9" s="20">
        <f t="shared" si="6"/>
        <v>20.650000000000002</v>
      </c>
      <c r="AL9" s="20">
        <f t="shared" si="7"/>
        <v>15.55</v>
      </c>
      <c r="AM9" s="20">
        <f t="shared" si="8"/>
        <v>20.45</v>
      </c>
      <c r="AN9" s="20">
        <f t="shared" si="9"/>
        <v>29</v>
      </c>
      <c r="AO9" s="20">
        <f t="shared" si="10"/>
        <v>12.65</v>
      </c>
      <c r="AP9" s="20">
        <f t="shared" si="11"/>
        <v>16.45</v>
      </c>
      <c r="AQ9" s="20">
        <f t="shared" si="12"/>
        <v>35.050000000000004</v>
      </c>
      <c r="AR9" s="20">
        <f t="shared" si="13"/>
        <v>64.75</v>
      </c>
      <c r="AS9" s="35">
        <f t="shared" ref="AS9:AS33" si="34">SUM(AF9:AR9)</f>
        <v>276.35000000000002</v>
      </c>
      <c r="AT9" s="65"/>
      <c r="AU9" s="67">
        <f t="shared" si="16"/>
        <v>0</v>
      </c>
      <c r="AW9" s="62">
        <v>0</v>
      </c>
      <c r="AX9" s="61">
        <f t="shared" si="17"/>
        <v>0</v>
      </c>
      <c r="AY9" s="54">
        <v>411340</v>
      </c>
      <c r="AZ9" s="37">
        <f t="shared" si="18"/>
        <v>132600</v>
      </c>
      <c r="BA9" s="37">
        <f t="shared" si="19"/>
        <v>361.99799999999999</v>
      </c>
      <c r="BB9" s="59">
        <f t="shared" si="20"/>
        <v>160.8719112</v>
      </c>
    </row>
    <row r="10" spans="1:54" x14ac:dyDescent="0.25">
      <c r="A10" s="23">
        <v>44961</v>
      </c>
      <c r="B10" s="40">
        <v>119</v>
      </c>
      <c r="C10" s="50">
        <v>8817150</v>
      </c>
      <c r="D10" s="50">
        <v>21187460</v>
      </c>
      <c r="E10" s="50">
        <v>3951770</v>
      </c>
      <c r="F10" s="50">
        <v>4468500</v>
      </c>
      <c r="G10" s="50">
        <v>13286080</v>
      </c>
      <c r="H10" s="50">
        <v>7931130</v>
      </c>
      <c r="I10" s="50">
        <v>6835660</v>
      </c>
      <c r="J10" s="50">
        <v>8576630</v>
      </c>
      <c r="K10" s="50">
        <v>12379870</v>
      </c>
      <c r="L10" s="50">
        <v>5400480</v>
      </c>
      <c r="M10" s="50">
        <v>9770770</v>
      </c>
      <c r="N10" s="50">
        <v>16403530</v>
      </c>
      <c r="O10" s="50">
        <v>23111880</v>
      </c>
      <c r="Q10" s="37">
        <f t="shared" si="21"/>
        <v>600</v>
      </c>
      <c r="R10" s="37">
        <f t="shared" si="22"/>
        <v>1920</v>
      </c>
      <c r="S10" s="37">
        <f t="shared" si="15"/>
        <v>2720</v>
      </c>
      <c r="T10" s="37">
        <f t="shared" si="23"/>
        <v>1510</v>
      </c>
      <c r="U10" s="37">
        <f t="shared" si="24"/>
        <v>6660</v>
      </c>
      <c r="V10" s="37">
        <f t="shared" si="25"/>
        <v>4440</v>
      </c>
      <c r="W10" s="37">
        <f t="shared" si="26"/>
        <v>3220</v>
      </c>
      <c r="X10" s="37">
        <f t="shared" si="27"/>
        <v>4420</v>
      </c>
      <c r="Y10" s="37">
        <f t="shared" si="28"/>
        <v>6590</v>
      </c>
      <c r="Z10" s="37">
        <f t="shared" si="29"/>
        <v>2750</v>
      </c>
      <c r="AA10" s="37">
        <f t="shared" si="30"/>
        <v>3400</v>
      </c>
      <c r="AB10" s="37">
        <f t="shared" si="31"/>
        <v>7830</v>
      </c>
      <c r="AC10" s="37">
        <f t="shared" si="32"/>
        <v>13520</v>
      </c>
      <c r="AD10" s="35">
        <f t="shared" si="33"/>
        <v>59580</v>
      </c>
      <c r="AF10" s="20">
        <f t="shared" si="1"/>
        <v>3</v>
      </c>
      <c r="AG10" s="20">
        <f t="shared" si="2"/>
        <v>9.6</v>
      </c>
      <c r="AH10" s="20">
        <f t="shared" si="3"/>
        <v>13.6</v>
      </c>
      <c r="AI10" s="20">
        <f t="shared" si="4"/>
        <v>7.55</v>
      </c>
      <c r="AJ10" s="20">
        <f t="shared" si="5"/>
        <v>33.299999999999997</v>
      </c>
      <c r="AK10" s="20">
        <f t="shared" si="6"/>
        <v>22.2</v>
      </c>
      <c r="AL10" s="20">
        <f t="shared" si="7"/>
        <v>16.100000000000001</v>
      </c>
      <c r="AM10" s="20">
        <f t="shared" si="8"/>
        <v>22.1</v>
      </c>
      <c r="AN10" s="20">
        <f t="shared" si="9"/>
        <v>32.950000000000003</v>
      </c>
      <c r="AO10" s="20">
        <f t="shared" si="10"/>
        <v>13.75</v>
      </c>
      <c r="AP10" s="20">
        <f t="shared" si="11"/>
        <v>17</v>
      </c>
      <c r="AQ10" s="20">
        <f t="shared" si="12"/>
        <v>39.15</v>
      </c>
      <c r="AR10" s="20">
        <f t="shared" si="13"/>
        <v>67.599999999999994</v>
      </c>
      <c r="AS10" s="35">
        <f t="shared" si="34"/>
        <v>297.89999999999998</v>
      </c>
      <c r="AT10" s="65"/>
      <c r="AU10" s="67">
        <f t="shared" si="16"/>
        <v>0</v>
      </c>
      <c r="AW10" s="62">
        <v>0</v>
      </c>
      <c r="AX10" s="61">
        <f t="shared" si="17"/>
        <v>0</v>
      </c>
      <c r="AY10" s="53">
        <v>412912</v>
      </c>
      <c r="AZ10" s="37">
        <f t="shared" si="18"/>
        <v>157200</v>
      </c>
      <c r="BA10" s="37">
        <f t="shared" si="19"/>
        <v>429.15600000000001</v>
      </c>
      <c r="BB10" s="59">
        <f t="shared" si="20"/>
        <v>190.71692640000001</v>
      </c>
    </row>
    <row r="11" spans="1:54" x14ac:dyDescent="0.25">
      <c r="A11" s="23">
        <v>44962</v>
      </c>
      <c r="B11" s="40">
        <v>125</v>
      </c>
      <c r="C11" s="50">
        <v>8817710</v>
      </c>
      <c r="D11" s="50">
        <v>21189230</v>
      </c>
      <c r="E11" s="50">
        <v>3954370</v>
      </c>
      <c r="F11" s="50">
        <v>4469890</v>
      </c>
      <c r="G11" s="50">
        <v>13291980</v>
      </c>
      <c r="H11" s="50">
        <v>7935160</v>
      </c>
      <c r="I11" s="50">
        <v>6838800</v>
      </c>
      <c r="J11" s="50">
        <v>8580650</v>
      </c>
      <c r="K11" s="50">
        <v>12385580</v>
      </c>
      <c r="L11" s="50">
        <v>5402920</v>
      </c>
      <c r="M11" s="50">
        <v>9773860</v>
      </c>
      <c r="N11" s="50">
        <v>16410700</v>
      </c>
      <c r="O11" s="50">
        <v>23123070</v>
      </c>
      <c r="Q11" s="37">
        <f t="shared" si="21"/>
        <v>560</v>
      </c>
      <c r="R11" s="37">
        <f t="shared" si="22"/>
        <v>1770</v>
      </c>
      <c r="S11" s="37">
        <f t="shared" si="15"/>
        <v>2600</v>
      </c>
      <c r="T11" s="37">
        <f t="shared" si="23"/>
        <v>1390</v>
      </c>
      <c r="U11" s="37">
        <f t="shared" si="24"/>
        <v>5900</v>
      </c>
      <c r="V11" s="37">
        <f t="shared" si="25"/>
        <v>4030</v>
      </c>
      <c r="W11" s="37">
        <f t="shared" si="26"/>
        <v>3140</v>
      </c>
      <c r="X11" s="37">
        <f t="shared" si="27"/>
        <v>4020</v>
      </c>
      <c r="Y11" s="37">
        <f t="shared" si="28"/>
        <v>5710</v>
      </c>
      <c r="Z11" s="37">
        <f t="shared" si="29"/>
        <v>2440</v>
      </c>
      <c r="AA11" s="37">
        <f t="shared" si="30"/>
        <v>3090</v>
      </c>
      <c r="AB11" s="37">
        <f t="shared" si="31"/>
        <v>7170</v>
      </c>
      <c r="AC11" s="37">
        <f t="shared" si="32"/>
        <v>11190</v>
      </c>
      <c r="AD11" s="35">
        <f t="shared" si="33"/>
        <v>53010</v>
      </c>
      <c r="AF11" s="20">
        <f t="shared" si="1"/>
        <v>2.8000000000000003</v>
      </c>
      <c r="AG11" s="20">
        <f t="shared" si="2"/>
        <v>8.85</v>
      </c>
      <c r="AH11" s="20">
        <f t="shared" si="3"/>
        <v>13</v>
      </c>
      <c r="AI11" s="20">
        <f t="shared" si="4"/>
        <v>6.95</v>
      </c>
      <c r="AJ11" s="20">
        <f t="shared" si="5"/>
        <v>29.5</v>
      </c>
      <c r="AK11" s="20">
        <f t="shared" si="6"/>
        <v>20.150000000000002</v>
      </c>
      <c r="AL11" s="20">
        <f t="shared" si="7"/>
        <v>15.700000000000001</v>
      </c>
      <c r="AM11" s="20">
        <f t="shared" si="8"/>
        <v>20.100000000000001</v>
      </c>
      <c r="AN11" s="20">
        <f t="shared" si="9"/>
        <v>28.55</v>
      </c>
      <c r="AO11" s="20">
        <f t="shared" si="10"/>
        <v>12.200000000000001</v>
      </c>
      <c r="AP11" s="20">
        <f t="shared" si="11"/>
        <v>15.450000000000001</v>
      </c>
      <c r="AQ11" s="20">
        <f t="shared" si="12"/>
        <v>35.85</v>
      </c>
      <c r="AR11" s="20">
        <f t="shared" si="13"/>
        <v>55.95</v>
      </c>
      <c r="AS11" s="35">
        <f t="shared" si="34"/>
        <v>265.05</v>
      </c>
      <c r="AT11" s="65"/>
      <c r="AU11" s="67">
        <f t="shared" si="16"/>
        <v>0</v>
      </c>
      <c r="AW11" s="62">
        <v>0</v>
      </c>
      <c r="AX11" s="61">
        <f t="shared" si="17"/>
        <v>0</v>
      </c>
      <c r="AY11" s="53">
        <v>414370</v>
      </c>
      <c r="AZ11" s="37">
        <f t="shared" si="18"/>
        <v>145800</v>
      </c>
      <c r="BA11" s="37">
        <f t="shared" si="19"/>
        <v>398.03399999999999</v>
      </c>
      <c r="BB11" s="59">
        <f t="shared" si="20"/>
        <v>176.8863096</v>
      </c>
    </row>
    <row r="12" spans="1:54" x14ac:dyDescent="0.25">
      <c r="A12" s="23">
        <v>44963</v>
      </c>
      <c r="B12" s="40">
        <v>159</v>
      </c>
      <c r="C12" s="51">
        <v>8818330</v>
      </c>
      <c r="D12" s="51">
        <v>21191210</v>
      </c>
      <c r="E12" s="51">
        <v>3957390</v>
      </c>
      <c r="F12" s="51">
        <v>4471300</v>
      </c>
      <c r="G12" s="51">
        <v>13298370</v>
      </c>
      <c r="H12" s="51">
        <v>7939620</v>
      </c>
      <c r="I12" s="51">
        <v>6842510</v>
      </c>
      <c r="J12" s="51">
        <v>8585120</v>
      </c>
      <c r="K12" s="51">
        <v>12391900</v>
      </c>
      <c r="L12" s="51">
        <v>5405680</v>
      </c>
      <c r="M12" s="51">
        <v>9777010</v>
      </c>
      <c r="N12" s="51">
        <v>16418530</v>
      </c>
      <c r="O12" s="51">
        <v>23136310</v>
      </c>
      <c r="Q12" s="37">
        <f t="shared" si="21"/>
        <v>620</v>
      </c>
      <c r="R12" s="37">
        <f t="shared" si="22"/>
        <v>1980</v>
      </c>
      <c r="S12" s="37">
        <f t="shared" si="15"/>
        <v>3020</v>
      </c>
      <c r="T12" s="37">
        <f t="shared" ref="T12:W14" si="35">IF((F12-F11&lt;0), "0",F12-F11)</f>
        <v>1410</v>
      </c>
      <c r="U12" s="37">
        <f t="shared" si="35"/>
        <v>6390</v>
      </c>
      <c r="V12" s="37">
        <f t="shared" si="35"/>
        <v>4460</v>
      </c>
      <c r="W12" s="37">
        <f t="shared" si="35"/>
        <v>3710</v>
      </c>
      <c r="X12" s="37">
        <f t="shared" si="27"/>
        <v>4470</v>
      </c>
      <c r="Y12" s="37">
        <f t="shared" si="28"/>
        <v>6320</v>
      </c>
      <c r="Z12" s="37">
        <f>IF((L12-L11&lt;0), "0",L12-L11)</f>
        <v>2760</v>
      </c>
      <c r="AA12" s="37">
        <f t="shared" si="30"/>
        <v>3150</v>
      </c>
      <c r="AB12" s="37">
        <f t="shared" si="31"/>
        <v>7830</v>
      </c>
      <c r="AC12" s="37">
        <f t="shared" si="32"/>
        <v>13240</v>
      </c>
      <c r="AD12" s="35">
        <f t="shared" si="33"/>
        <v>59360</v>
      </c>
      <c r="AF12" s="20">
        <f t="shared" si="1"/>
        <v>3.1</v>
      </c>
      <c r="AG12" s="20">
        <f t="shared" si="2"/>
        <v>9.9</v>
      </c>
      <c r="AH12" s="20">
        <f t="shared" si="3"/>
        <v>15.1</v>
      </c>
      <c r="AI12" s="20">
        <f t="shared" si="4"/>
        <v>7.05</v>
      </c>
      <c r="AJ12" s="20">
        <f t="shared" si="5"/>
        <v>31.95</v>
      </c>
      <c r="AK12" s="20">
        <f t="shared" si="6"/>
        <v>22.3</v>
      </c>
      <c r="AL12" s="20">
        <f t="shared" si="7"/>
        <v>18.55</v>
      </c>
      <c r="AM12" s="20">
        <f t="shared" si="8"/>
        <v>22.35</v>
      </c>
      <c r="AN12" s="20">
        <f t="shared" si="9"/>
        <v>31.6</v>
      </c>
      <c r="AO12" s="20">
        <f t="shared" si="10"/>
        <v>13.8</v>
      </c>
      <c r="AP12" s="20">
        <f t="shared" si="11"/>
        <v>15.75</v>
      </c>
      <c r="AQ12" s="20">
        <f t="shared" si="12"/>
        <v>39.15</v>
      </c>
      <c r="AR12" s="20">
        <f t="shared" si="13"/>
        <v>66.2</v>
      </c>
      <c r="AS12" s="35">
        <f t="shared" si="34"/>
        <v>296.8</v>
      </c>
      <c r="AT12" s="65"/>
      <c r="AU12" s="67">
        <f t="shared" si="16"/>
        <v>0</v>
      </c>
      <c r="AW12" s="62">
        <v>0</v>
      </c>
      <c r="AX12" s="61">
        <f t="shared" si="17"/>
        <v>0</v>
      </c>
      <c r="AY12" s="54">
        <v>415910</v>
      </c>
      <c r="AZ12" s="37">
        <f t="shared" si="18"/>
        <v>154000</v>
      </c>
      <c r="BA12" s="37">
        <f t="shared" si="19"/>
        <v>420.42</v>
      </c>
      <c r="BB12" s="59">
        <f t="shared" si="20"/>
        <v>186.83464800000002</v>
      </c>
    </row>
    <row r="13" spans="1:54" x14ac:dyDescent="0.25">
      <c r="A13" s="23">
        <v>44964</v>
      </c>
      <c r="B13" s="40">
        <v>140</v>
      </c>
      <c r="C13" s="57">
        <v>8818870</v>
      </c>
      <c r="D13" s="57">
        <v>21192930</v>
      </c>
      <c r="E13" s="57">
        <v>3959920</v>
      </c>
      <c r="F13" s="57">
        <v>4472410</v>
      </c>
      <c r="G13" s="57">
        <v>13303970</v>
      </c>
      <c r="H13" s="57">
        <v>7943510</v>
      </c>
      <c r="I13" s="57">
        <v>6845590</v>
      </c>
      <c r="J13" s="57">
        <v>8589310</v>
      </c>
      <c r="K13" s="57">
        <v>12397410</v>
      </c>
      <c r="L13" s="57">
        <v>5408080</v>
      </c>
      <c r="M13" s="57">
        <v>9780060</v>
      </c>
      <c r="N13" s="57">
        <v>16425420</v>
      </c>
      <c r="O13" s="57">
        <v>23147580</v>
      </c>
      <c r="Q13" s="37">
        <f t="shared" si="21"/>
        <v>540</v>
      </c>
      <c r="R13" s="37">
        <f t="shared" si="22"/>
        <v>1720</v>
      </c>
      <c r="S13" s="37">
        <f t="shared" si="15"/>
        <v>2530</v>
      </c>
      <c r="T13" s="37">
        <f t="shared" si="35"/>
        <v>1110</v>
      </c>
      <c r="U13" s="37">
        <f t="shared" si="35"/>
        <v>5600</v>
      </c>
      <c r="V13" s="37">
        <f t="shared" si="35"/>
        <v>3890</v>
      </c>
      <c r="W13" s="37">
        <f t="shared" si="35"/>
        <v>3080</v>
      </c>
      <c r="X13" s="37">
        <f t="shared" si="27"/>
        <v>4190</v>
      </c>
      <c r="Y13" s="37">
        <f t="shared" si="28"/>
        <v>5510</v>
      </c>
      <c r="Z13" s="37">
        <f>IF((L13-L12&lt;0), "0",L13-L12)</f>
        <v>2400</v>
      </c>
      <c r="AA13" s="37">
        <f t="shared" si="30"/>
        <v>3050</v>
      </c>
      <c r="AB13" s="37">
        <f t="shared" si="31"/>
        <v>6890</v>
      </c>
      <c r="AC13" s="37">
        <f t="shared" si="32"/>
        <v>11270</v>
      </c>
      <c r="AD13" s="35">
        <f t="shared" si="33"/>
        <v>51780</v>
      </c>
      <c r="AF13" s="20">
        <f t="shared" si="1"/>
        <v>2.7</v>
      </c>
      <c r="AG13" s="20">
        <f t="shared" si="2"/>
        <v>8.6</v>
      </c>
      <c r="AH13" s="20">
        <f t="shared" si="3"/>
        <v>12.65</v>
      </c>
      <c r="AI13" s="20">
        <f t="shared" si="4"/>
        <v>5.55</v>
      </c>
      <c r="AJ13" s="20">
        <f t="shared" si="5"/>
        <v>28</v>
      </c>
      <c r="AK13" s="20">
        <f t="shared" si="6"/>
        <v>19.45</v>
      </c>
      <c r="AL13" s="20">
        <f t="shared" si="7"/>
        <v>15.4</v>
      </c>
      <c r="AM13" s="20">
        <f t="shared" si="8"/>
        <v>20.95</v>
      </c>
      <c r="AN13" s="20">
        <f t="shared" si="9"/>
        <v>27.55</v>
      </c>
      <c r="AO13" s="20">
        <f t="shared" si="10"/>
        <v>12</v>
      </c>
      <c r="AP13" s="20">
        <f t="shared" si="11"/>
        <v>15.25</v>
      </c>
      <c r="AQ13" s="20">
        <f t="shared" si="12"/>
        <v>34.450000000000003</v>
      </c>
      <c r="AR13" s="20">
        <f t="shared" si="13"/>
        <v>56.35</v>
      </c>
      <c r="AS13" s="35">
        <f t="shared" si="34"/>
        <v>258.90000000000003</v>
      </c>
      <c r="AT13" s="65"/>
      <c r="AU13" s="67">
        <f t="shared" si="16"/>
        <v>0</v>
      </c>
      <c r="AW13" s="62">
        <v>0</v>
      </c>
      <c r="AX13" s="61">
        <f t="shared" si="17"/>
        <v>0</v>
      </c>
      <c r="AY13" s="58">
        <v>417130</v>
      </c>
      <c r="AZ13" s="37">
        <f t="shared" si="18"/>
        <v>122000</v>
      </c>
      <c r="BA13" s="37">
        <f t="shared" si="19"/>
        <v>333.06</v>
      </c>
      <c r="BB13" s="59">
        <f t="shared" si="20"/>
        <v>148.011864</v>
      </c>
    </row>
    <row r="14" spans="1:54" x14ac:dyDescent="0.25">
      <c r="A14" s="23">
        <v>44965</v>
      </c>
      <c r="B14" s="40">
        <v>142</v>
      </c>
      <c r="C14" s="51">
        <v>8819420</v>
      </c>
      <c r="D14" s="51">
        <v>21194770</v>
      </c>
      <c r="E14" s="51">
        <v>3962500</v>
      </c>
      <c r="F14" s="51">
        <v>4473600</v>
      </c>
      <c r="G14" s="51">
        <v>13310170</v>
      </c>
      <c r="H14" s="51">
        <v>7947770</v>
      </c>
      <c r="I14" s="51">
        <v>6849280</v>
      </c>
      <c r="J14" s="51">
        <v>8593770</v>
      </c>
      <c r="K14" s="51">
        <v>12403480</v>
      </c>
      <c r="L14" s="51">
        <v>5410610</v>
      </c>
      <c r="M14" s="51">
        <v>9783170</v>
      </c>
      <c r="N14" s="51">
        <v>16432710</v>
      </c>
      <c r="O14" s="51">
        <v>23159830</v>
      </c>
      <c r="P14" s="49"/>
      <c r="Q14" s="37">
        <f t="shared" si="21"/>
        <v>550</v>
      </c>
      <c r="R14" s="37">
        <f t="shared" si="22"/>
        <v>1840</v>
      </c>
      <c r="S14" s="37">
        <f t="shared" si="15"/>
        <v>2580</v>
      </c>
      <c r="T14" s="37">
        <f t="shared" si="35"/>
        <v>1190</v>
      </c>
      <c r="U14" s="37">
        <f t="shared" si="35"/>
        <v>6200</v>
      </c>
      <c r="V14" s="37">
        <f t="shared" si="35"/>
        <v>4260</v>
      </c>
      <c r="W14" s="37">
        <f t="shared" si="35"/>
        <v>3690</v>
      </c>
      <c r="X14" s="37">
        <f t="shared" si="27"/>
        <v>4460</v>
      </c>
      <c r="Y14" s="37">
        <f t="shared" si="28"/>
        <v>6070</v>
      </c>
      <c r="Z14" s="37">
        <f>IF((L14-L13&lt;0), "0",L14-L13)</f>
        <v>2530</v>
      </c>
      <c r="AA14" s="37">
        <f t="shared" si="30"/>
        <v>3110</v>
      </c>
      <c r="AB14" s="37">
        <f t="shared" si="31"/>
        <v>7290</v>
      </c>
      <c r="AC14" s="37">
        <f t="shared" si="32"/>
        <v>12250</v>
      </c>
      <c r="AD14" s="35">
        <f t="shared" si="33"/>
        <v>56020</v>
      </c>
      <c r="AF14" s="20">
        <f t="shared" si="1"/>
        <v>2.75</v>
      </c>
      <c r="AG14" s="20">
        <f t="shared" si="2"/>
        <v>9.2000000000000011</v>
      </c>
      <c r="AH14" s="20">
        <f t="shared" si="3"/>
        <v>12.9</v>
      </c>
      <c r="AI14" s="20">
        <f t="shared" si="4"/>
        <v>5.95</v>
      </c>
      <c r="AJ14" s="20">
        <f t="shared" si="5"/>
        <v>31</v>
      </c>
      <c r="AK14" s="20">
        <f t="shared" si="6"/>
        <v>21.3</v>
      </c>
      <c r="AL14" s="20">
        <f t="shared" si="7"/>
        <v>18.45</v>
      </c>
      <c r="AM14" s="20">
        <f t="shared" si="8"/>
        <v>22.3</v>
      </c>
      <c r="AN14" s="20">
        <f t="shared" si="9"/>
        <v>30.35</v>
      </c>
      <c r="AO14" s="20">
        <f t="shared" si="10"/>
        <v>12.65</v>
      </c>
      <c r="AP14" s="20">
        <f t="shared" si="11"/>
        <v>15.55</v>
      </c>
      <c r="AQ14" s="20">
        <f t="shared" si="12"/>
        <v>36.450000000000003</v>
      </c>
      <c r="AR14" s="20">
        <f t="shared" si="13"/>
        <v>61.25</v>
      </c>
      <c r="AS14" s="35">
        <f t="shared" si="34"/>
        <v>280.10000000000002</v>
      </c>
      <c r="AT14" s="65">
        <v>0</v>
      </c>
      <c r="AU14" s="67">
        <f t="shared" si="16"/>
        <v>0</v>
      </c>
      <c r="AW14" s="62">
        <v>0</v>
      </c>
      <c r="AX14" s="61">
        <f t="shared" si="17"/>
        <v>0</v>
      </c>
      <c r="AY14" s="54">
        <v>419059</v>
      </c>
      <c r="AZ14" s="37">
        <f t="shared" si="18"/>
        <v>192900</v>
      </c>
      <c r="BA14" s="37">
        <f t="shared" si="19"/>
        <v>526.61699999999996</v>
      </c>
      <c r="BB14" s="59">
        <f t="shared" si="20"/>
        <v>234.02859479999998</v>
      </c>
    </row>
    <row r="15" spans="1:54" x14ac:dyDescent="0.25">
      <c r="A15" s="23">
        <v>44966</v>
      </c>
      <c r="B15" s="40">
        <v>156</v>
      </c>
      <c r="C15" s="50">
        <v>8819980</v>
      </c>
      <c r="D15" s="50">
        <v>21196610</v>
      </c>
      <c r="E15" s="50">
        <v>3965000</v>
      </c>
      <c r="F15" s="50">
        <v>4474780</v>
      </c>
      <c r="G15" s="50">
        <v>13316780</v>
      </c>
      <c r="H15" s="50">
        <v>7952150</v>
      </c>
      <c r="I15" s="50">
        <v>6852420</v>
      </c>
      <c r="J15" s="50">
        <v>8598340</v>
      </c>
      <c r="K15" s="50">
        <v>12409270</v>
      </c>
      <c r="L15" s="50">
        <v>5413190</v>
      </c>
      <c r="M15" s="50">
        <v>9786500</v>
      </c>
      <c r="N15" s="50">
        <v>16440310</v>
      </c>
      <c r="O15" s="50">
        <v>23175530</v>
      </c>
      <c r="Q15" s="37">
        <f t="shared" si="21"/>
        <v>560</v>
      </c>
      <c r="R15" s="37">
        <f t="shared" si="22"/>
        <v>1840</v>
      </c>
      <c r="S15" s="37">
        <f t="shared" si="15"/>
        <v>2500</v>
      </c>
      <c r="T15" s="37">
        <f t="shared" si="23"/>
        <v>1180</v>
      </c>
      <c r="U15" s="37">
        <f t="shared" si="24"/>
        <v>6610</v>
      </c>
      <c r="V15" s="37">
        <f t="shared" si="25"/>
        <v>4380</v>
      </c>
      <c r="W15" s="37">
        <f t="shared" si="26"/>
        <v>3140</v>
      </c>
      <c r="X15" s="37">
        <f t="shared" si="27"/>
        <v>4570</v>
      </c>
      <c r="Y15" s="37">
        <f t="shared" si="28"/>
        <v>5790</v>
      </c>
      <c r="Z15" s="37">
        <f t="shared" si="29"/>
        <v>2580</v>
      </c>
      <c r="AA15" s="37">
        <f t="shared" si="30"/>
        <v>3330</v>
      </c>
      <c r="AB15" s="37">
        <f t="shared" si="31"/>
        <v>7600</v>
      </c>
      <c r="AC15" s="37">
        <f t="shared" si="32"/>
        <v>15700</v>
      </c>
      <c r="AD15" s="35">
        <f t="shared" si="33"/>
        <v>59780</v>
      </c>
      <c r="AF15" s="20">
        <f t="shared" si="1"/>
        <v>2.8000000000000003</v>
      </c>
      <c r="AG15" s="20">
        <f t="shared" si="2"/>
        <v>9.2000000000000011</v>
      </c>
      <c r="AH15" s="20">
        <f t="shared" si="3"/>
        <v>12.5</v>
      </c>
      <c r="AI15" s="20">
        <f t="shared" si="4"/>
        <v>5.9</v>
      </c>
      <c r="AJ15" s="20">
        <f t="shared" si="5"/>
        <v>33.049999999999997</v>
      </c>
      <c r="AK15" s="20">
        <f t="shared" si="6"/>
        <v>21.900000000000002</v>
      </c>
      <c r="AL15" s="20">
        <f t="shared" si="7"/>
        <v>15.700000000000001</v>
      </c>
      <c r="AM15" s="20">
        <f t="shared" si="8"/>
        <v>22.85</v>
      </c>
      <c r="AN15" s="20">
        <f t="shared" si="9"/>
        <v>28.95</v>
      </c>
      <c r="AO15" s="20">
        <f t="shared" si="10"/>
        <v>12.9</v>
      </c>
      <c r="AP15" s="20">
        <f t="shared" si="11"/>
        <v>16.649999999999999</v>
      </c>
      <c r="AQ15" s="20">
        <f t="shared" si="12"/>
        <v>38</v>
      </c>
      <c r="AR15" s="20">
        <f t="shared" si="13"/>
        <v>78.5</v>
      </c>
      <c r="AS15" s="35">
        <f t="shared" si="34"/>
        <v>298.89999999999998</v>
      </c>
      <c r="AT15" s="65">
        <v>6.3</v>
      </c>
      <c r="AU15" s="67">
        <f t="shared" si="16"/>
        <v>1122.1875</v>
      </c>
      <c r="AW15" s="62">
        <v>0</v>
      </c>
      <c r="AX15" s="61">
        <f t="shared" si="17"/>
        <v>0</v>
      </c>
      <c r="AY15" s="53">
        <v>420791</v>
      </c>
      <c r="AZ15" s="37">
        <f t="shared" si="18"/>
        <v>173200</v>
      </c>
      <c r="BA15" s="37">
        <f t="shared" si="19"/>
        <v>472.83600000000001</v>
      </c>
      <c r="BB15" s="59">
        <f t="shared" si="20"/>
        <v>210.12831840000001</v>
      </c>
    </row>
    <row r="16" spans="1:54" x14ac:dyDescent="0.25">
      <c r="A16" s="23">
        <v>44967</v>
      </c>
      <c r="B16" s="40">
        <v>161</v>
      </c>
      <c r="C16" s="51">
        <v>8820530</v>
      </c>
      <c r="D16" s="51">
        <v>21198460</v>
      </c>
      <c r="E16" s="51">
        <v>3967390</v>
      </c>
      <c r="F16" s="51">
        <v>4475960</v>
      </c>
      <c r="G16" s="51">
        <v>13322980</v>
      </c>
      <c r="H16" s="51">
        <v>7956450</v>
      </c>
      <c r="I16" s="51">
        <v>6855390</v>
      </c>
      <c r="J16" s="51">
        <v>8602820</v>
      </c>
      <c r="K16" s="51">
        <v>12415350</v>
      </c>
      <c r="L16" s="51">
        <v>5415930</v>
      </c>
      <c r="M16" s="51">
        <v>9789900</v>
      </c>
      <c r="N16" s="51">
        <v>16447960</v>
      </c>
      <c r="O16" s="51">
        <v>23189570</v>
      </c>
      <c r="Q16" s="37">
        <f t="shared" si="21"/>
        <v>550</v>
      </c>
      <c r="R16" s="37">
        <f t="shared" si="22"/>
        <v>1850</v>
      </c>
      <c r="S16" s="37">
        <f t="shared" si="15"/>
        <v>2390</v>
      </c>
      <c r="T16" s="37">
        <f t="shared" si="23"/>
        <v>1180</v>
      </c>
      <c r="U16" s="37">
        <f>IF((G16-G15&lt;0), "0",G16-G15)</f>
        <v>6200</v>
      </c>
      <c r="V16" s="37">
        <f>IF((H16-H15&lt;0), "0",H16-H15)</f>
        <v>4300</v>
      </c>
      <c r="W16" s="37">
        <f t="shared" si="26"/>
        <v>2970</v>
      </c>
      <c r="X16" s="37">
        <f t="shared" si="27"/>
        <v>4480</v>
      </c>
      <c r="Y16" s="37">
        <f t="shared" si="28"/>
        <v>6080</v>
      </c>
      <c r="Z16" s="37">
        <f t="shared" si="29"/>
        <v>2740</v>
      </c>
      <c r="AA16" s="37">
        <f t="shared" si="30"/>
        <v>3400</v>
      </c>
      <c r="AB16" s="37">
        <f t="shared" si="31"/>
        <v>7650</v>
      </c>
      <c r="AC16" s="37">
        <f t="shared" si="32"/>
        <v>14040</v>
      </c>
      <c r="AD16" s="35">
        <f t="shared" si="33"/>
        <v>57830</v>
      </c>
      <c r="AF16" s="20">
        <f t="shared" si="1"/>
        <v>2.75</v>
      </c>
      <c r="AG16" s="20">
        <f t="shared" si="2"/>
        <v>9.25</v>
      </c>
      <c r="AH16" s="20">
        <f t="shared" si="3"/>
        <v>11.950000000000001</v>
      </c>
      <c r="AI16" s="20">
        <f t="shared" si="4"/>
        <v>5.9</v>
      </c>
      <c r="AJ16" s="20">
        <f t="shared" si="5"/>
        <v>31</v>
      </c>
      <c r="AK16" s="20">
        <f t="shared" si="6"/>
        <v>21.5</v>
      </c>
      <c r="AL16" s="20">
        <f t="shared" si="7"/>
        <v>14.85</v>
      </c>
      <c r="AM16" s="20">
        <f t="shared" si="8"/>
        <v>22.400000000000002</v>
      </c>
      <c r="AN16" s="20">
        <f t="shared" si="9"/>
        <v>30.400000000000002</v>
      </c>
      <c r="AO16" s="20">
        <f t="shared" si="10"/>
        <v>13.700000000000001</v>
      </c>
      <c r="AP16" s="20">
        <f t="shared" si="11"/>
        <v>17</v>
      </c>
      <c r="AQ16" s="20">
        <f t="shared" si="12"/>
        <v>38.25</v>
      </c>
      <c r="AR16" s="20">
        <f t="shared" si="13"/>
        <v>70.2</v>
      </c>
      <c r="AS16" s="35">
        <f t="shared" si="34"/>
        <v>289.14999999999998</v>
      </c>
      <c r="AT16" s="65">
        <v>0</v>
      </c>
      <c r="AU16" s="67">
        <f t="shared" si="16"/>
        <v>0</v>
      </c>
      <c r="AW16" s="62">
        <v>0</v>
      </c>
      <c r="AX16" s="61">
        <f t="shared" si="17"/>
        <v>0</v>
      </c>
      <c r="AY16" s="54">
        <v>422008</v>
      </c>
      <c r="AZ16" s="37">
        <f t="shared" si="18"/>
        <v>121700</v>
      </c>
      <c r="BA16" s="37">
        <f t="shared" si="19"/>
        <v>332.24099999999999</v>
      </c>
      <c r="BB16" s="59">
        <f t="shared" si="20"/>
        <v>147.6479004</v>
      </c>
    </row>
    <row r="17" spans="1:54" x14ac:dyDescent="0.25">
      <c r="A17" s="23">
        <v>44968</v>
      </c>
      <c r="B17" s="40">
        <v>101</v>
      </c>
      <c r="C17" s="50">
        <v>8821100</v>
      </c>
      <c r="D17" s="50">
        <v>21200360</v>
      </c>
      <c r="E17" s="50">
        <v>3969890</v>
      </c>
      <c r="F17" s="50">
        <v>4477180</v>
      </c>
      <c r="G17" s="50">
        <v>13329510</v>
      </c>
      <c r="H17" s="50">
        <v>7961030</v>
      </c>
      <c r="I17" s="50">
        <v>6858420</v>
      </c>
      <c r="J17" s="50">
        <v>8607520</v>
      </c>
      <c r="K17" s="50">
        <v>12421440</v>
      </c>
      <c r="L17" s="50">
        <v>5418740</v>
      </c>
      <c r="M17" s="50">
        <v>9793220</v>
      </c>
      <c r="N17" s="50">
        <v>16455910</v>
      </c>
      <c r="O17" s="50">
        <v>23203820</v>
      </c>
      <c r="Q17" s="37">
        <f t="shared" si="21"/>
        <v>570</v>
      </c>
      <c r="R17" s="37">
        <f t="shared" si="22"/>
        <v>1900</v>
      </c>
      <c r="S17" s="37">
        <f t="shared" si="15"/>
        <v>2500</v>
      </c>
      <c r="T17" s="37">
        <f t="shared" si="23"/>
        <v>1220</v>
      </c>
      <c r="U17" s="37">
        <f>IF((G17-G16&lt;0), "0",G17-G16)</f>
        <v>6530</v>
      </c>
      <c r="V17" s="37">
        <f>IF((H17-H16&lt;0), "0",H17-H16)</f>
        <v>4580</v>
      </c>
      <c r="W17" s="37">
        <f t="shared" si="26"/>
        <v>3030</v>
      </c>
      <c r="X17" s="37">
        <f t="shared" si="27"/>
        <v>4700</v>
      </c>
      <c r="Y17" s="37">
        <f t="shared" si="28"/>
        <v>6090</v>
      </c>
      <c r="Z17" s="37">
        <f t="shared" si="29"/>
        <v>2810</v>
      </c>
      <c r="AA17" s="37">
        <f t="shared" si="30"/>
        <v>3320</v>
      </c>
      <c r="AB17" s="37">
        <f t="shared" si="31"/>
        <v>7950</v>
      </c>
      <c r="AC17" s="37">
        <f t="shared" si="32"/>
        <v>14250</v>
      </c>
      <c r="AD17" s="35">
        <f t="shared" si="33"/>
        <v>59450</v>
      </c>
      <c r="AF17" s="20">
        <f t="shared" si="1"/>
        <v>2.85</v>
      </c>
      <c r="AG17" s="20">
        <f t="shared" si="2"/>
        <v>9.5</v>
      </c>
      <c r="AH17" s="20">
        <f t="shared" si="3"/>
        <v>12.5</v>
      </c>
      <c r="AI17" s="20">
        <f t="shared" si="4"/>
        <v>6.1000000000000005</v>
      </c>
      <c r="AJ17" s="20">
        <f t="shared" si="5"/>
        <v>32.65</v>
      </c>
      <c r="AK17" s="20">
        <f t="shared" si="6"/>
        <v>22.900000000000002</v>
      </c>
      <c r="AL17" s="20">
        <f t="shared" si="7"/>
        <v>15.15</v>
      </c>
      <c r="AM17" s="20">
        <f t="shared" si="8"/>
        <v>23.5</v>
      </c>
      <c r="AN17" s="20">
        <f t="shared" si="9"/>
        <v>30.45</v>
      </c>
      <c r="AO17" s="20">
        <f t="shared" si="10"/>
        <v>14.05</v>
      </c>
      <c r="AP17" s="20">
        <f t="shared" si="11"/>
        <v>16.600000000000001</v>
      </c>
      <c r="AQ17" s="20">
        <f t="shared" si="12"/>
        <v>39.75</v>
      </c>
      <c r="AR17" s="20">
        <f t="shared" si="13"/>
        <v>71.25</v>
      </c>
      <c r="AS17" s="35">
        <f t="shared" si="34"/>
        <v>297.25</v>
      </c>
      <c r="AT17" s="65">
        <v>8.1</v>
      </c>
      <c r="AU17" s="67">
        <f t="shared" si="16"/>
        <v>1442.8125</v>
      </c>
      <c r="AW17" s="62">
        <v>0</v>
      </c>
      <c r="AX17" s="61">
        <f t="shared" si="17"/>
        <v>0</v>
      </c>
      <c r="AY17" s="56">
        <v>423725</v>
      </c>
      <c r="AZ17" s="37">
        <f t="shared" si="18"/>
        <v>171700</v>
      </c>
      <c r="BA17" s="37">
        <f t="shared" si="19"/>
        <v>468.74099999999999</v>
      </c>
      <c r="BB17" s="59">
        <f t="shared" si="20"/>
        <v>208.30850040000001</v>
      </c>
    </row>
    <row r="18" spans="1:54" x14ac:dyDescent="0.25">
      <c r="A18" s="23">
        <v>44969</v>
      </c>
      <c r="B18" s="40">
        <v>110</v>
      </c>
      <c r="C18" s="51">
        <v>8821630</v>
      </c>
      <c r="D18" s="51">
        <v>21202140</v>
      </c>
      <c r="E18" s="51">
        <v>3972380</v>
      </c>
      <c r="F18" s="51">
        <v>4478330</v>
      </c>
      <c r="G18" s="51">
        <v>13335200</v>
      </c>
      <c r="H18" s="51">
        <v>7964940</v>
      </c>
      <c r="I18" s="51">
        <v>6861250</v>
      </c>
      <c r="J18" s="51">
        <v>8611540</v>
      </c>
      <c r="K18" s="51">
        <v>12426740</v>
      </c>
      <c r="L18" s="51">
        <v>5421110</v>
      </c>
      <c r="M18" s="51">
        <v>9796200</v>
      </c>
      <c r="N18" s="51">
        <v>16463080</v>
      </c>
      <c r="O18" s="51">
        <v>23218330</v>
      </c>
      <c r="Q18" s="37">
        <f t="shared" si="21"/>
        <v>530</v>
      </c>
      <c r="R18" s="37">
        <f t="shared" si="22"/>
        <v>1780</v>
      </c>
      <c r="S18" s="37">
        <f t="shared" si="15"/>
        <v>2490</v>
      </c>
      <c r="T18" s="37">
        <f t="shared" si="23"/>
        <v>1150</v>
      </c>
      <c r="U18" s="37">
        <f t="shared" si="24"/>
        <v>5690</v>
      </c>
      <c r="V18" s="37">
        <f t="shared" si="25"/>
        <v>3910</v>
      </c>
      <c r="W18" s="37">
        <f t="shared" si="26"/>
        <v>2830</v>
      </c>
      <c r="X18" s="37">
        <f t="shared" si="27"/>
        <v>4020</v>
      </c>
      <c r="Y18" s="37">
        <f t="shared" si="28"/>
        <v>5300</v>
      </c>
      <c r="Z18" s="37">
        <f t="shared" si="29"/>
        <v>2370</v>
      </c>
      <c r="AA18" s="37">
        <f t="shared" si="30"/>
        <v>2980</v>
      </c>
      <c r="AB18" s="37">
        <f t="shared" si="31"/>
        <v>7170</v>
      </c>
      <c r="AC18" s="37">
        <f t="shared" si="32"/>
        <v>14510</v>
      </c>
      <c r="AD18" s="35">
        <f t="shared" si="33"/>
        <v>54730</v>
      </c>
      <c r="AF18" s="20">
        <f t="shared" si="1"/>
        <v>2.65</v>
      </c>
      <c r="AG18" s="20">
        <f t="shared" si="2"/>
        <v>8.9</v>
      </c>
      <c r="AH18" s="20">
        <f t="shared" si="3"/>
        <v>12.450000000000001</v>
      </c>
      <c r="AI18" s="20">
        <f t="shared" si="4"/>
        <v>5.75</v>
      </c>
      <c r="AJ18" s="20">
        <f t="shared" si="5"/>
        <v>28.45</v>
      </c>
      <c r="AK18" s="20">
        <f t="shared" si="6"/>
        <v>19.55</v>
      </c>
      <c r="AL18" s="20">
        <f t="shared" si="7"/>
        <v>14.15</v>
      </c>
      <c r="AM18" s="20">
        <f t="shared" si="8"/>
        <v>20.100000000000001</v>
      </c>
      <c r="AN18" s="20">
        <f t="shared" si="9"/>
        <v>26.5</v>
      </c>
      <c r="AO18" s="20">
        <f t="shared" si="10"/>
        <v>11.85</v>
      </c>
      <c r="AP18" s="20">
        <f t="shared" si="11"/>
        <v>14.9</v>
      </c>
      <c r="AQ18" s="20">
        <f t="shared" si="12"/>
        <v>35.85</v>
      </c>
      <c r="AR18" s="20">
        <f t="shared" si="13"/>
        <v>72.55</v>
      </c>
      <c r="AS18" s="35">
        <f t="shared" si="34"/>
        <v>273.64999999999998</v>
      </c>
      <c r="AT18" s="65">
        <v>4.4000000000000004</v>
      </c>
      <c r="AU18" s="67">
        <f t="shared" si="16"/>
        <v>783.75000000000011</v>
      </c>
      <c r="AW18" s="62">
        <v>68917</v>
      </c>
      <c r="AX18" s="61">
        <f t="shared" si="17"/>
        <v>68917</v>
      </c>
      <c r="AY18" s="54">
        <v>425261</v>
      </c>
      <c r="AZ18" s="37">
        <f t="shared" si="18"/>
        <v>153600</v>
      </c>
      <c r="BA18" s="37">
        <f t="shared" si="19"/>
        <v>419.32799999999997</v>
      </c>
      <c r="BB18" s="59">
        <f t="shared" si="20"/>
        <v>186.3493632</v>
      </c>
    </row>
    <row r="19" spans="1:54" x14ac:dyDescent="0.25">
      <c r="A19" s="23">
        <v>44970</v>
      </c>
      <c r="B19" s="40">
        <v>150</v>
      </c>
      <c r="C19" s="50">
        <v>8822200</v>
      </c>
      <c r="D19" s="50">
        <v>21204010</v>
      </c>
      <c r="E19" s="50">
        <v>3974770</v>
      </c>
      <c r="F19" s="50">
        <v>4479510</v>
      </c>
      <c r="G19" s="50">
        <v>13341110</v>
      </c>
      <c r="H19" s="50">
        <v>7969240</v>
      </c>
      <c r="I19" s="50">
        <v>6864270</v>
      </c>
      <c r="J19" s="50">
        <v>8616050</v>
      </c>
      <c r="K19" s="50">
        <v>12432590</v>
      </c>
      <c r="L19" s="50">
        <v>5423740</v>
      </c>
      <c r="M19" s="50">
        <v>9799150</v>
      </c>
      <c r="N19" s="50">
        <v>16470820</v>
      </c>
      <c r="O19" s="50">
        <v>23233730</v>
      </c>
      <c r="Q19" s="37">
        <f t="shared" si="21"/>
        <v>570</v>
      </c>
      <c r="R19" s="37">
        <f t="shared" si="22"/>
        <v>1870</v>
      </c>
      <c r="S19" s="37">
        <f t="shared" si="15"/>
        <v>2390</v>
      </c>
      <c r="T19" s="37">
        <f t="shared" si="23"/>
        <v>1180</v>
      </c>
      <c r="U19" s="37">
        <f t="shared" si="24"/>
        <v>5910</v>
      </c>
      <c r="V19" s="37">
        <f t="shared" si="25"/>
        <v>4300</v>
      </c>
      <c r="W19" s="37">
        <f t="shared" si="26"/>
        <v>3020</v>
      </c>
      <c r="X19" s="37">
        <f t="shared" si="27"/>
        <v>4510</v>
      </c>
      <c r="Y19" s="37">
        <f t="shared" si="28"/>
        <v>5850</v>
      </c>
      <c r="Z19" s="37">
        <f t="shared" si="29"/>
        <v>2630</v>
      </c>
      <c r="AA19" s="37">
        <f t="shared" si="30"/>
        <v>2950</v>
      </c>
      <c r="AB19" s="37">
        <f t="shared" si="31"/>
        <v>7740</v>
      </c>
      <c r="AC19" s="37">
        <f t="shared" si="32"/>
        <v>15400</v>
      </c>
      <c r="AD19" s="35">
        <f t="shared" si="33"/>
        <v>58320</v>
      </c>
      <c r="AF19" s="20">
        <f t="shared" si="1"/>
        <v>2.85</v>
      </c>
      <c r="AG19" s="20">
        <f t="shared" si="2"/>
        <v>9.35</v>
      </c>
      <c r="AH19" s="20">
        <f t="shared" si="3"/>
        <v>11.950000000000001</v>
      </c>
      <c r="AI19" s="20">
        <f t="shared" si="4"/>
        <v>5.9</v>
      </c>
      <c r="AJ19" s="20">
        <f t="shared" si="5"/>
        <v>29.55</v>
      </c>
      <c r="AK19" s="20">
        <f t="shared" si="6"/>
        <v>21.5</v>
      </c>
      <c r="AL19" s="20">
        <f t="shared" si="7"/>
        <v>15.1</v>
      </c>
      <c r="AM19" s="20">
        <f t="shared" si="8"/>
        <v>22.55</v>
      </c>
      <c r="AN19" s="20">
        <f t="shared" si="9"/>
        <v>29.25</v>
      </c>
      <c r="AO19" s="20">
        <f t="shared" si="10"/>
        <v>13.15</v>
      </c>
      <c r="AP19" s="20">
        <f t="shared" si="11"/>
        <v>14.75</v>
      </c>
      <c r="AQ19" s="20">
        <f t="shared" si="12"/>
        <v>38.700000000000003</v>
      </c>
      <c r="AR19" s="20">
        <f t="shared" si="13"/>
        <v>77</v>
      </c>
      <c r="AS19" s="35">
        <f t="shared" si="34"/>
        <v>291.60000000000002</v>
      </c>
      <c r="AT19" s="65">
        <v>0</v>
      </c>
      <c r="AU19" s="67">
        <f t="shared" si="16"/>
        <v>0</v>
      </c>
      <c r="AW19" s="62">
        <v>68949</v>
      </c>
      <c r="AX19" s="61">
        <f t="shared" si="17"/>
        <v>32</v>
      </c>
      <c r="AY19" s="53">
        <v>426772</v>
      </c>
      <c r="AZ19" s="37">
        <f t="shared" si="18"/>
        <v>151100</v>
      </c>
      <c r="BA19" s="37">
        <f t="shared" si="19"/>
        <v>412.50299999999999</v>
      </c>
      <c r="BB19" s="59">
        <f t="shared" si="20"/>
        <v>183.3163332</v>
      </c>
    </row>
    <row r="20" spans="1:54" x14ac:dyDescent="0.25">
      <c r="A20" s="23">
        <v>44971</v>
      </c>
      <c r="B20" s="40">
        <v>179</v>
      </c>
      <c r="C20" s="51">
        <v>8822760</v>
      </c>
      <c r="D20" s="51">
        <v>21205900</v>
      </c>
      <c r="E20" s="51">
        <v>3977170</v>
      </c>
      <c r="F20" s="51">
        <v>4480430</v>
      </c>
      <c r="G20" s="51">
        <v>13347550</v>
      </c>
      <c r="H20" s="51">
        <v>7973810</v>
      </c>
      <c r="I20" s="51">
        <v>6867580</v>
      </c>
      <c r="J20" s="51">
        <v>8620940</v>
      </c>
      <c r="K20" s="51">
        <v>12438750</v>
      </c>
      <c r="L20" s="51">
        <v>5425600</v>
      </c>
      <c r="M20" s="51">
        <v>9802560</v>
      </c>
      <c r="N20" s="51">
        <v>16478820</v>
      </c>
      <c r="O20" s="51">
        <v>23250290</v>
      </c>
      <c r="Q20" s="37">
        <f t="shared" si="21"/>
        <v>560</v>
      </c>
      <c r="R20" s="37">
        <f t="shared" si="22"/>
        <v>1890</v>
      </c>
      <c r="S20" s="37">
        <f t="shared" si="15"/>
        <v>2400</v>
      </c>
      <c r="T20" s="37">
        <f t="shared" si="23"/>
        <v>920</v>
      </c>
      <c r="U20" s="37">
        <f t="shared" si="24"/>
        <v>6440</v>
      </c>
      <c r="V20" s="37">
        <f t="shared" si="25"/>
        <v>4570</v>
      </c>
      <c r="W20" s="37">
        <f t="shared" si="26"/>
        <v>3310</v>
      </c>
      <c r="X20" s="37">
        <f t="shared" si="27"/>
        <v>4890</v>
      </c>
      <c r="Y20" s="37">
        <f t="shared" si="28"/>
        <v>6160</v>
      </c>
      <c r="Z20" s="37">
        <f t="shared" si="29"/>
        <v>1860</v>
      </c>
      <c r="AA20" s="37">
        <f t="shared" si="30"/>
        <v>3410</v>
      </c>
      <c r="AB20" s="37">
        <f t="shared" si="31"/>
        <v>8000</v>
      </c>
      <c r="AC20" s="37">
        <f t="shared" si="32"/>
        <v>16560</v>
      </c>
      <c r="AD20" s="35">
        <f t="shared" si="33"/>
        <v>60970</v>
      </c>
      <c r="AF20" s="20">
        <f t="shared" si="1"/>
        <v>2.8000000000000003</v>
      </c>
      <c r="AG20" s="20">
        <f t="shared" si="2"/>
        <v>9.4500000000000011</v>
      </c>
      <c r="AH20" s="20">
        <f t="shared" si="3"/>
        <v>12</v>
      </c>
      <c r="AI20" s="20">
        <f t="shared" si="4"/>
        <v>4.6000000000000005</v>
      </c>
      <c r="AJ20" s="20">
        <f t="shared" si="5"/>
        <v>32.200000000000003</v>
      </c>
      <c r="AK20" s="20">
        <f t="shared" si="6"/>
        <v>22.85</v>
      </c>
      <c r="AL20" s="20">
        <f t="shared" si="7"/>
        <v>16.55</v>
      </c>
      <c r="AM20" s="20">
        <f t="shared" si="8"/>
        <v>24.45</v>
      </c>
      <c r="AN20" s="20">
        <f t="shared" si="9"/>
        <v>30.8</v>
      </c>
      <c r="AO20" s="20">
        <f t="shared" si="10"/>
        <v>9.3000000000000007</v>
      </c>
      <c r="AP20" s="20">
        <f t="shared" si="11"/>
        <v>17.05</v>
      </c>
      <c r="AQ20" s="20">
        <f t="shared" si="12"/>
        <v>40</v>
      </c>
      <c r="AR20" s="20">
        <f t="shared" si="13"/>
        <v>82.8</v>
      </c>
      <c r="AS20" s="35">
        <f t="shared" si="34"/>
        <v>304.85000000000002</v>
      </c>
      <c r="AT20" s="65">
        <v>2.8</v>
      </c>
      <c r="AU20" s="67">
        <f t="shared" si="16"/>
        <v>498.74999999999994</v>
      </c>
      <c r="AW20" s="62">
        <v>68984</v>
      </c>
      <c r="AX20" s="61">
        <f t="shared" si="17"/>
        <v>35</v>
      </c>
      <c r="AY20" s="54">
        <v>428439</v>
      </c>
      <c r="AZ20" s="37">
        <f t="shared" si="18"/>
        <v>166700</v>
      </c>
      <c r="BA20" s="37">
        <f t="shared" si="19"/>
        <v>455.09100000000001</v>
      </c>
      <c r="BB20" s="59">
        <f t="shared" si="20"/>
        <v>202.24244040000002</v>
      </c>
    </row>
    <row r="21" spans="1:54" x14ac:dyDescent="0.25">
      <c r="A21" s="23">
        <v>44972</v>
      </c>
      <c r="B21" s="40">
        <v>156</v>
      </c>
      <c r="C21" s="50">
        <v>8823280</v>
      </c>
      <c r="D21" s="50">
        <v>21207680</v>
      </c>
      <c r="E21" s="50">
        <v>3979330</v>
      </c>
      <c r="F21" s="50">
        <v>4481290</v>
      </c>
      <c r="G21" s="50">
        <v>13353410</v>
      </c>
      <c r="H21" s="50">
        <v>7978070</v>
      </c>
      <c r="I21" s="50">
        <v>6870730</v>
      </c>
      <c r="J21" s="50">
        <v>8625690</v>
      </c>
      <c r="K21" s="50">
        <v>12444530</v>
      </c>
      <c r="L21" s="50">
        <v>5429330</v>
      </c>
      <c r="M21" s="50">
        <v>9805830</v>
      </c>
      <c r="N21" s="50">
        <v>16486470</v>
      </c>
      <c r="O21" s="50">
        <v>23265780</v>
      </c>
      <c r="Q21" s="37">
        <f t="shared" si="21"/>
        <v>520</v>
      </c>
      <c r="R21" s="37">
        <f t="shared" si="22"/>
        <v>1780</v>
      </c>
      <c r="S21" s="37">
        <f t="shared" si="15"/>
        <v>2160</v>
      </c>
      <c r="T21" s="37">
        <f t="shared" si="23"/>
        <v>860</v>
      </c>
      <c r="U21" s="37">
        <f t="shared" si="24"/>
        <v>5860</v>
      </c>
      <c r="V21" s="37">
        <f t="shared" si="25"/>
        <v>4260</v>
      </c>
      <c r="W21" s="37">
        <f t="shared" si="26"/>
        <v>3150</v>
      </c>
      <c r="X21" s="37">
        <f t="shared" si="27"/>
        <v>4750</v>
      </c>
      <c r="Y21" s="37">
        <f t="shared" si="28"/>
        <v>5780</v>
      </c>
      <c r="Z21" s="37">
        <f t="shared" si="29"/>
        <v>3730</v>
      </c>
      <c r="AA21" s="37">
        <f t="shared" si="30"/>
        <v>3270</v>
      </c>
      <c r="AB21" s="37">
        <f t="shared" si="31"/>
        <v>7650</v>
      </c>
      <c r="AC21" s="37">
        <f t="shared" si="32"/>
        <v>15490</v>
      </c>
      <c r="AD21" s="35">
        <f t="shared" si="33"/>
        <v>59260</v>
      </c>
      <c r="AF21" s="20">
        <f t="shared" si="1"/>
        <v>2.6</v>
      </c>
      <c r="AG21" s="20">
        <f t="shared" si="2"/>
        <v>8.9</v>
      </c>
      <c r="AH21" s="20">
        <f t="shared" si="3"/>
        <v>10.8</v>
      </c>
      <c r="AI21" s="20">
        <f t="shared" si="4"/>
        <v>4.3</v>
      </c>
      <c r="AJ21" s="20">
        <f t="shared" si="5"/>
        <v>29.3</v>
      </c>
      <c r="AK21" s="20">
        <f t="shared" si="6"/>
        <v>21.3</v>
      </c>
      <c r="AL21" s="20">
        <f t="shared" si="7"/>
        <v>15.75</v>
      </c>
      <c r="AM21" s="20">
        <f t="shared" si="8"/>
        <v>23.75</v>
      </c>
      <c r="AN21" s="20">
        <f t="shared" si="9"/>
        <v>28.900000000000002</v>
      </c>
      <c r="AO21" s="20">
        <f t="shared" si="10"/>
        <v>18.650000000000002</v>
      </c>
      <c r="AP21" s="20">
        <f t="shared" si="11"/>
        <v>16.350000000000001</v>
      </c>
      <c r="AQ21" s="20">
        <f t="shared" si="12"/>
        <v>38.25</v>
      </c>
      <c r="AR21" s="20">
        <f t="shared" si="13"/>
        <v>77.45</v>
      </c>
      <c r="AS21" s="35">
        <f t="shared" si="34"/>
        <v>296.3</v>
      </c>
      <c r="AT21" s="65">
        <v>6.6</v>
      </c>
      <c r="AU21" s="67">
        <f t="shared" si="16"/>
        <v>1175.625</v>
      </c>
      <c r="AW21" s="62">
        <v>69012</v>
      </c>
      <c r="AX21" s="61">
        <f t="shared" si="17"/>
        <v>28</v>
      </c>
      <c r="AY21" s="53">
        <v>429916</v>
      </c>
      <c r="AZ21" s="37">
        <f t="shared" si="18"/>
        <v>147700</v>
      </c>
      <c r="BA21" s="37">
        <f t="shared" si="19"/>
        <v>403.22100000000006</v>
      </c>
      <c r="BB21" s="59">
        <f t="shared" si="20"/>
        <v>179.19141240000005</v>
      </c>
    </row>
    <row r="22" spans="1:54" x14ac:dyDescent="0.25">
      <c r="A22" s="23">
        <v>44973</v>
      </c>
      <c r="B22" s="40">
        <v>128</v>
      </c>
      <c r="C22" s="51">
        <v>8823840</v>
      </c>
      <c r="D22" s="51">
        <v>21209540</v>
      </c>
      <c r="E22" s="51">
        <v>3981680</v>
      </c>
      <c r="F22" s="51">
        <v>4482190</v>
      </c>
      <c r="G22" s="51">
        <v>13359970</v>
      </c>
      <c r="H22" s="51">
        <v>7982550</v>
      </c>
      <c r="I22" s="51">
        <v>6873900</v>
      </c>
      <c r="J22" s="51">
        <v>8630640</v>
      </c>
      <c r="K22" s="51">
        <v>12450370</v>
      </c>
      <c r="L22" s="51">
        <v>5432010</v>
      </c>
      <c r="M22" s="51">
        <v>9809080</v>
      </c>
      <c r="N22" s="51">
        <v>16494200</v>
      </c>
      <c r="O22" s="51">
        <v>23281280</v>
      </c>
      <c r="Q22" s="37">
        <f t="shared" si="21"/>
        <v>560</v>
      </c>
      <c r="R22" s="37">
        <f t="shared" si="22"/>
        <v>1860</v>
      </c>
      <c r="S22" s="37">
        <f t="shared" si="15"/>
        <v>2350</v>
      </c>
      <c r="T22" s="37">
        <f t="shared" si="23"/>
        <v>900</v>
      </c>
      <c r="U22" s="37">
        <f t="shared" si="24"/>
        <v>6560</v>
      </c>
      <c r="V22" s="37">
        <f t="shared" si="25"/>
        <v>4480</v>
      </c>
      <c r="W22" s="37">
        <f t="shared" si="26"/>
        <v>3170</v>
      </c>
      <c r="X22" s="37">
        <f t="shared" si="27"/>
        <v>4950</v>
      </c>
      <c r="Y22" s="37">
        <f t="shared" si="28"/>
        <v>5840</v>
      </c>
      <c r="Z22" s="37">
        <f t="shared" si="29"/>
        <v>2680</v>
      </c>
      <c r="AA22" s="37">
        <f t="shared" si="30"/>
        <v>3250</v>
      </c>
      <c r="AB22" s="37">
        <f t="shared" si="31"/>
        <v>7730</v>
      </c>
      <c r="AC22" s="37">
        <f t="shared" si="32"/>
        <v>15500</v>
      </c>
      <c r="AD22" s="35">
        <f t="shared" si="33"/>
        <v>59830</v>
      </c>
      <c r="AF22" s="20">
        <f t="shared" si="1"/>
        <v>2.8000000000000003</v>
      </c>
      <c r="AG22" s="20">
        <f t="shared" si="2"/>
        <v>9.3000000000000007</v>
      </c>
      <c r="AH22" s="20">
        <f t="shared" si="3"/>
        <v>11.75</v>
      </c>
      <c r="AI22" s="20">
        <f t="shared" si="4"/>
        <v>4.5</v>
      </c>
      <c r="AJ22" s="20">
        <f t="shared" si="5"/>
        <v>32.799999999999997</v>
      </c>
      <c r="AK22" s="20">
        <f t="shared" si="6"/>
        <v>22.400000000000002</v>
      </c>
      <c r="AL22" s="20">
        <f t="shared" si="7"/>
        <v>15.85</v>
      </c>
      <c r="AM22" s="20">
        <f t="shared" si="8"/>
        <v>24.75</v>
      </c>
      <c r="AN22" s="20">
        <f t="shared" si="9"/>
        <v>29.2</v>
      </c>
      <c r="AO22" s="20">
        <f t="shared" si="10"/>
        <v>13.4</v>
      </c>
      <c r="AP22" s="20">
        <f t="shared" si="11"/>
        <v>16.25</v>
      </c>
      <c r="AQ22" s="20">
        <f t="shared" si="12"/>
        <v>38.65</v>
      </c>
      <c r="AR22" s="20">
        <f t="shared" si="13"/>
        <v>77.5</v>
      </c>
      <c r="AS22" s="35">
        <f t="shared" si="34"/>
        <v>299.14999999999998</v>
      </c>
      <c r="AT22" s="65">
        <v>0</v>
      </c>
      <c r="AU22" s="67">
        <f t="shared" si="16"/>
        <v>0</v>
      </c>
      <c r="AW22" s="62">
        <v>69054</v>
      </c>
      <c r="AX22" s="61">
        <f t="shared" si="17"/>
        <v>42</v>
      </c>
      <c r="AY22" s="54">
        <v>431565</v>
      </c>
      <c r="AZ22" s="37">
        <f t="shared" si="18"/>
        <v>164900</v>
      </c>
      <c r="BA22" s="37">
        <f t="shared" si="19"/>
        <v>450.17700000000002</v>
      </c>
      <c r="BB22" s="59">
        <f t="shared" si="20"/>
        <v>200.05865880000002</v>
      </c>
    </row>
    <row r="23" spans="1:54" x14ac:dyDescent="0.25">
      <c r="A23" s="23">
        <v>44974</v>
      </c>
      <c r="B23" s="40">
        <v>145</v>
      </c>
      <c r="C23" s="24">
        <v>8824390</v>
      </c>
      <c r="D23" s="24">
        <v>21211360</v>
      </c>
      <c r="E23" s="24">
        <v>3983930</v>
      </c>
      <c r="F23" s="24">
        <v>4483070</v>
      </c>
      <c r="G23" s="24">
        <v>13366030</v>
      </c>
      <c r="H23" s="24">
        <v>7986930</v>
      </c>
      <c r="I23" s="24">
        <v>6877060</v>
      </c>
      <c r="J23" s="24">
        <v>8635520</v>
      </c>
      <c r="K23" s="24">
        <v>12456140</v>
      </c>
      <c r="L23" s="24">
        <v>5434540</v>
      </c>
      <c r="M23" s="24">
        <v>9812380</v>
      </c>
      <c r="N23" s="24">
        <v>16501840</v>
      </c>
      <c r="O23" s="24">
        <v>23297350</v>
      </c>
      <c r="Q23" s="37">
        <f t="shared" si="21"/>
        <v>550</v>
      </c>
      <c r="R23" s="37">
        <f t="shared" si="22"/>
        <v>1820</v>
      </c>
      <c r="S23" s="37">
        <f t="shared" si="15"/>
        <v>2250</v>
      </c>
      <c r="T23" s="37">
        <f t="shared" si="23"/>
        <v>880</v>
      </c>
      <c r="U23" s="37">
        <f t="shared" si="24"/>
        <v>6060</v>
      </c>
      <c r="V23" s="37">
        <f t="shared" si="25"/>
        <v>4380</v>
      </c>
      <c r="W23" s="37">
        <f t="shared" si="26"/>
        <v>3160</v>
      </c>
      <c r="X23" s="37">
        <f t="shared" si="27"/>
        <v>4880</v>
      </c>
      <c r="Y23" s="37">
        <f t="shared" si="28"/>
        <v>5770</v>
      </c>
      <c r="Z23" s="37">
        <f t="shared" si="29"/>
        <v>2530</v>
      </c>
      <c r="AA23" s="37">
        <f t="shared" si="30"/>
        <v>3300</v>
      </c>
      <c r="AB23" s="37">
        <f t="shared" si="31"/>
        <v>7640</v>
      </c>
      <c r="AC23" s="37">
        <f t="shared" si="32"/>
        <v>16070</v>
      </c>
      <c r="AD23" s="35">
        <f t="shared" si="33"/>
        <v>59290</v>
      </c>
      <c r="AF23" s="20">
        <f t="shared" si="1"/>
        <v>2.75</v>
      </c>
      <c r="AG23" s="20">
        <f t="shared" si="2"/>
        <v>9.1</v>
      </c>
      <c r="AH23" s="20">
        <f t="shared" si="3"/>
        <v>11.25</v>
      </c>
      <c r="AI23" s="20">
        <f t="shared" si="4"/>
        <v>4.4000000000000004</v>
      </c>
      <c r="AJ23" s="20">
        <f t="shared" si="5"/>
        <v>30.3</v>
      </c>
      <c r="AK23" s="20">
        <f t="shared" si="6"/>
        <v>21.900000000000002</v>
      </c>
      <c r="AL23" s="20">
        <f t="shared" si="7"/>
        <v>15.8</v>
      </c>
      <c r="AM23" s="20">
        <f t="shared" si="8"/>
        <v>24.400000000000002</v>
      </c>
      <c r="AN23" s="20">
        <f t="shared" si="9"/>
        <v>28.85</v>
      </c>
      <c r="AO23" s="20">
        <f t="shared" si="10"/>
        <v>12.65</v>
      </c>
      <c r="AP23" s="20">
        <f t="shared" si="11"/>
        <v>16.5</v>
      </c>
      <c r="AQ23" s="20">
        <f t="shared" si="12"/>
        <v>38.200000000000003</v>
      </c>
      <c r="AR23" s="20">
        <f t="shared" si="13"/>
        <v>80.350000000000009</v>
      </c>
      <c r="AS23" s="35">
        <f t="shared" si="34"/>
        <v>296.45000000000005</v>
      </c>
      <c r="AT23" s="65">
        <v>6.3</v>
      </c>
      <c r="AU23" s="67">
        <f t="shared" si="16"/>
        <v>1122.1875</v>
      </c>
      <c r="AW23" s="62">
        <v>69119</v>
      </c>
      <c r="AX23" s="61">
        <f t="shared" si="17"/>
        <v>65</v>
      </c>
      <c r="AY23" s="52">
        <v>432597</v>
      </c>
      <c r="AZ23" s="37">
        <f t="shared" si="18"/>
        <v>103200</v>
      </c>
      <c r="BA23" s="37">
        <f t="shared" si="19"/>
        <v>281.73599999999999</v>
      </c>
      <c r="BB23" s="59">
        <f t="shared" si="20"/>
        <v>125.20347839999999</v>
      </c>
    </row>
    <row r="24" spans="1:54" x14ac:dyDescent="0.25">
      <c r="A24" s="23">
        <v>44975</v>
      </c>
      <c r="B24" s="40">
        <v>95</v>
      </c>
      <c r="C24" s="51">
        <v>8824960</v>
      </c>
      <c r="D24" s="51">
        <v>21213270</v>
      </c>
      <c r="E24" s="51">
        <v>3986190</v>
      </c>
      <c r="F24" s="51">
        <v>4484000</v>
      </c>
      <c r="G24" s="51">
        <v>13372640</v>
      </c>
      <c r="H24" s="51">
        <v>7991650</v>
      </c>
      <c r="I24" s="51">
        <v>6880790</v>
      </c>
      <c r="J24" s="51">
        <v>8640530</v>
      </c>
      <c r="K24" s="51">
        <v>12462450</v>
      </c>
      <c r="L24" s="51">
        <v>5437210</v>
      </c>
      <c r="M24" s="51">
        <v>9815760</v>
      </c>
      <c r="N24" s="51">
        <v>16509680</v>
      </c>
      <c r="O24" s="51">
        <v>23314360</v>
      </c>
      <c r="Q24" s="37">
        <f t="shared" si="21"/>
        <v>570</v>
      </c>
      <c r="R24" s="37">
        <f t="shared" si="22"/>
        <v>1910</v>
      </c>
      <c r="S24" s="37">
        <f t="shared" si="15"/>
        <v>2260</v>
      </c>
      <c r="T24" s="37">
        <f t="shared" si="23"/>
        <v>930</v>
      </c>
      <c r="U24" s="37">
        <f t="shared" si="24"/>
        <v>6610</v>
      </c>
      <c r="V24" s="37">
        <f t="shared" si="25"/>
        <v>4720</v>
      </c>
      <c r="W24" s="37">
        <f t="shared" si="26"/>
        <v>3730</v>
      </c>
      <c r="X24" s="37">
        <f t="shared" si="27"/>
        <v>5010</v>
      </c>
      <c r="Y24" s="37">
        <f t="shared" si="28"/>
        <v>6310</v>
      </c>
      <c r="Z24" s="37">
        <f t="shared" si="29"/>
        <v>2670</v>
      </c>
      <c r="AA24" s="37">
        <f t="shared" si="30"/>
        <v>3380</v>
      </c>
      <c r="AB24" s="37">
        <f t="shared" si="31"/>
        <v>7840</v>
      </c>
      <c r="AC24" s="37">
        <f t="shared" si="32"/>
        <v>17010</v>
      </c>
      <c r="AD24" s="35">
        <f t="shared" si="33"/>
        <v>62950</v>
      </c>
      <c r="AF24" s="20">
        <f t="shared" si="1"/>
        <v>2.85</v>
      </c>
      <c r="AG24" s="20">
        <f t="shared" si="2"/>
        <v>9.5500000000000007</v>
      </c>
      <c r="AH24" s="20">
        <f t="shared" si="3"/>
        <v>11.3</v>
      </c>
      <c r="AI24" s="20">
        <f t="shared" si="4"/>
        <v>4.6500000000000004</v>
      </c>
      <c r="AJ24" s="20">
        <f t="shared" si="5"/>
        <v>33.049999999999997</v>
      </c>
      <c r="AK24" s="20">
        <f t="shared" si="6"/>
        <v>23.6</v>
      </c>
      <c r="AL24" s="20">
        <f t="shared" si="7"/>
        <v>18.650000000000002</v>
      </c>
      <c r="AM24" s="20">
        <f t="shared" si="8"/>
        <v>25.05</v>
      </c>
      <c r="AN24" s="20">
        <f t="shared" si="9"/>
        <v>31.55</v>
      </c>
      <c r="AO24" s="20">
        <f t="shared" si="10"/>
        <v>13.35</v>
      </c>
      <c r="AP24" s="20">
        <f t="shared" si="11"/>
        <v>16.899999999999999</v>
      </c>
      <c r="AQ24" s="20">
        <f t="shared" si="12"/>
        <v>39.200000000000003</v>
      </c>
      <c r="AR24" s="20">
        <f t="shared" si="13"/>
        <v>85.05</v>
      </c>
      <c r="AS24" s="35">
        <f t="shared" si="34"/>
        <v>314.75000000000006</v>
      </c>
      <c r="AT24" s="65">
        <v>0</v>
      </c>
      <c r="AU24" s="67">
        <f t="shared" si="16"/>
        <v>0</v>
      </c>
      <c r="AW24" s="62">
        <v>69200</v>
      </c>
      <c r="AX24" s="61">
        <f t="shared" si="17"/>
        <v>81</v>
      </c>
      <c r="AY24" s="54">
        <v>434226</v>
      </c>
      <c r="AZ24" s="37">
        <f t="shared" si="18"/>
        <v>162900</v>
      </c>
      <c r="BA24" s="37">
        <f t="shared" si="19"/>
        <v>444.71700000000004</v>
      </c>
      <c r="BB24" s="59">
        <f t="shared" si="20"/>
        <v>197.63223480000002</v>
      </c>
    </row>
    <row r="25" spans="1:54" x14ac:dyDescent="0.25">
      <c r="A25" s="23">
        <v>44976</v>
      </c>
      <c r="B25" s="40">
        <v>72</v>
      </c>
      <c r="C25" s="24">
        <v>8825500</v>
      </c>
      <c r="D25" s="24">
        <v>21215090</v>
      </c>
      <c r="E25" s="24">
        <v>3988590</v>
      </c>
      <c r="F25" s="24">
        <v>4484890</v>
      </c>
      <c r="G25" s="24">
        <v>13378820</v>
      </c>
      <c r="H25" s="24">
        <v>7995900</v>
      </c>
      <c r="I25" s="24">
        <v>6883700</v>
      </c>
      <c r="J25" s="24">
        <v>8644770</v>
      </c>
      <c r="K25" s="24">
        <v>12468130</v>
      </c>
      <c r="L25" s="24">
        <v>5439720</v>
      </c>
      <c r="M25" s="24">
        <v>9818930</v>
      </c>
      <c r="N25" s="24">
        <v>16517050</v>
      </c>
      <c r="O25" s="24">
        <v>23330440</v>
      </c>
      <c r="Q25" s="37">
        <f t="shared" ref="Q25:AC27" si="36">IF((C25-C24&lt;0), "0",C25-C24)</f>
        <v>540</v>
      </c>
      <c r="R25" s="37">
        <f t="shared" si="22"/>
        <v>1820</v>
      </c>
      <c r="S25" s="37">
        <f t="shared" si="36"/>
        <v>2400</v>
      </c>
      <c r="T25" s="37">
        <f t="shared" si="36"/>
        <v>890</v>
      </c>
      <c r="U25" s="37">
        <f t="shared" si="36"/>
        <v>6180</v>
      </c>
      <c r="V25" s="37">
        <f t="shared" si="36"/>
        <v>4250</v>
      </c>
      <c r="W25" s="37">
        <f t="shared" si="36"/>
        <v>2910</v>
      </c>
      <c r="X25" s="37">
        <f t="shared" si="36"/>
        <v>4240</v>
      </c>
      <c r="Y25" s="37">
        <f t="shared" si="36"/>
        <v>5680</v>
      </c>
      <c r="Z25" s="37">
        <f t="shared" si="36"/>
        <v>2510</v>
      </c>
      <c r="AA25" s="37">
        <f t="shared" si="36"/>
        <v>3170</v>
      </c>
      <c r="AB25" s="37">
        <f t="shared" si="36"/>
        <v>7370</v>
      </c>
      <c r="AC25" s="37">
        <f t="shared" si="36"/>
        <v>16080</v>
      </c>
      <c r="AD25" s="35">
        <f t="shared" si="33"/>
        <v>58040</v>
      </c>
      <c r="AF25" s="20">
        <f t="shared" si="1"/>
        <v>2.7</v>
      </c>
      <c r="AG25" s="20">
        <f t="shared" si="2"/>
        <v>9.1</v>
      </c>
      <c r="AH25" s="20">
        <f t="shared" si="3"/>
        <v>12</v>
      </c>
      <c r="AI25" s="20">
        <f t="shared" si="4"/>
        <v>4.45</v>
      </c>
      <c r="AJ25" s="20">
        <f t="shared" si="5"/>
        <v>30.900000000000002</v>
      </c>
      <c r="AK25" s="20">
        <f t="shared" si="6"/>
        <v>21.25</v>
      </c>
      <c r="AL25" s="20">
        <f t="shared" si="7"/>
        <v>14.55</v>
      </c>
      <c r="AM25" s="20">
        <f t="shared" si="8"/>
        <v>21.2</v>
      </c>
      <c r="AN25" s="20">
        <f t="shared" si="9"/>
        <v>28.400000000000002</v>
      </c>
      <c r="AO25" s="20">
        <f t="shared" si="10"/>
        <v>12.55</v>
      </c>
      <c r="AP25" s="20">
        <f t="shared" si="11"/>
        <v>15.85</v>
      </c>
      <c r="AQ25" s="20">
        <f t="shared" si="12"/>
        <v>36.85</v>
      </c>
      <c r="AR25" s="20">
        <f t="shared" si="13"/>
        <v>80.400000000000006</v>
      </c>
      <c r="AS25" s="35">
        <f t="shared" si="34"/>
        <v>290.20000000000005</v>
      </c>
      <c r="AT25" s="65">
        <v>0</v>
      </c>
      <c r="AU25" s="67">
        <f t="shared" si="16"/>
        <v>0</v>
      </c>
      <c r="AW25" s="62">
        <v>69310</v>
      </c>
      <c r="AX25" s="61">
        <f t="shared" si="17"/>
        <v>110</v>
      </c>
      <c r="AY25" s="52">
        <v>435730</v>
      </c>
      <c r="AZ25" s="37">
        <f t="shared" si="18"/>
        <v>150400</v>
      </c>
      <c r="BA25" s="37">
        <f t="shared" si="19"/>
        <v>410.59200000000004</v>
      </c>
      <c r="BB25" s="59">
        <f t="shared" si="20"/>
        <v>182.46708480000004</v>
      </c>
    </row>
    <row r="26" spans="1:54" x14ac:dyDescent="0.25">
      <c r="A26" s="23">
        <v>44977</v>
      </c>
      <c r="B26" s="40">
        <v>74</v>
      </c>
      <c r="C26" s="51">
        <v>8826050</v>
      </c>
      <c r="D26" s="51">
        <v>21216900</v>
      </c>
      <c r="E26" s="51">
        <v>3991040</v>
      </c>
      <c r="F26" s="51">
        <v>4485790</v>
      </c>
      <c r="G26" s="51">
        <v>13384240</v>
      </c>
      <c r="H26" s="51">
        <v>7999960</v>
      </c>
      <c r="I26" s="51">
        <v>6886470</v>
      </c>
      <c r="J26" s="51">
        <v>8649180</v>
      </c>
      <c r="K26" s="51">
        <v>12473560</v>
      </c>
      <c r="L26" s="51">
        <v>5442100</v>
      </c>
      <c r="M26" s="51">
        <v>9821930</v>
      </c>
      <c r="N26" s="51">
        <v>16524430</v>
      </c>
      <c r="O26" s="51">
        <v>23344690</v>
      </c>
      <c r="Q26" s="37">
        <f t="shared" si="36"/>
        <v>550</v>
      </c>
      <c r="R26" s="37">
        <f t="shared" si="22"/>
        <v>1810</v>
      </c>
      <c r="S26" s="37">
        <f t="shared" si="36"/>
        <v>2450</v>
      </c>
      <c r="T26" s="37">
        <f t="shared" si="36"/>
        <v>900</v>
      </c>
      <c r="U26" s="37">
        <f t="shared" si="36"/>
        <v>5420</v>
      </c>
      <c r="V26" s="37">
        <f t="shared" si="36"/>
        <v>4060</v>
      </c>
      <c r="W26" s="37">
        <f t="shared" si="36"/>
        <v>2770</v>
      </c>
      <c r="X26" s="37">
        <f t="shared" si="36"/>
        <v>4410</v>
      </c>
      <c r="Y26" s="37">
        <f t="shared" si="36"/>
        <v>5430</v>
      </c>
      <c r="Z26" s="37">
        <f t="shared" si="36"/>
        <v>2380</v>
      </c>
      <c r="AA26" s="37">
        <f t="shared" si="36"/>
        <v>3000</v>
      </c>
      <c r="AB26" s="37">
        <f t="shared" si="36"/>
        <v>7380</v>
      </c>
      <c r="AC26" s="37">
        <f t="shared" si="36"/>
        <v>14250</v>
      </c>
      <c r="AD26" s="35">
        <f t="shared" si="33"/>
        <v>54810</v>
      </c>
      <c r="AF26" s="20">
        <f t="shared" si="1"/>
        <v>2.75</v>
      </c>
      <c r="AG26" s="20">
        <f t="shared" si="2"/>
        <v>9.0500000000000007</v>
      </c>
      <c r="AH26" s="20">
        <f t="shared" si="3"/>
        <v>12.25</v>
      </c>
      <c r="AI26" s="20">
        <f t="shared" si="4"/>
        <v>4.5</v>
      </c>
      <c r="AJ26" s="20">
        <f t="shared" si="5"/>
        <v>27.1</v>
      </c>
      <c r="AK26" s="20">
        <f t="shared" si="6"/>
        <v>20.3</v>
      </c>
      <c r="AL26" s="20">
        <f t="shared" si="7"/>
        <v>13.85</v>
      </c>
      <c r="AM26" s="20">
        <f t="shared" si="8"/>
        <v>22.05</v>
      </c>
      <c r="AN26" s="20">
        <f t="shared" si="9"/>
        <v>27.150000000000002</v>
      </c>
      <c r="AO26" s="20">
        <f t="shared" si="10"/>
        <v>11.9</v>
      </c>
      <c r="AP26" s="20">
        <f t="shared" si="11"/>
        <v>15</v>
      </c>
      <c r="AQ26" s="20">
        <f t="shared" si="12"/>
        <v>36.9</v>
      </c>
      <c r="AR26" s="20">
        <f t="shared" si="13"/>
        <v>71.25</v>
      </c>
      <c r="AS26" s="35">
        <f t="shared" si="34"/>
        <v>274.05</v>
      </c>
      <c r="AT26" s="65">
        <v>6.3</v>
      </c>
      <c r="AU26" s="67">
        <f t="shared" si="16"/>
        <v>1122.1875</v>
      </c>
      <c r="AW26" s="62">
        <v>69403</v>
      </c>
      <c r="AX26" s="61">
        <f t="shared" si="17"/>
        <v>93</v>
      </c>
      <c r="AY26" s="54">
        <v>437165</v>
      </c>
      <c r="AZ26" s="37">
        <f t="shared" si="18"/>
        <v>143500</v>
      </c>
      <c r="BA26" s="37">
        <f t="shared" si="19"/>
        <v>391.75500000000005</v>
      </c>
      <c r="BB26" s="59">
        <f t="shared" si="20"/>
        <v>174.09592200000003</v>
      </c>
    </row>
    <row r="27" spans="1:54" x14ac:dyDescent="0.25">
      <c r="A27" s="23">
        <v>44978</v>
      </c>
      <c r="B27" s="40">
        <v>107</v>
      </c>
      <c r="C27" s="24">
        <v>8826600</v>
      </c>
      <c r="D27" s="24">
        <v>21218750</v>
      </c>
      <c r="E27" s="24">
        <v>3993450</v>
      </c>
      <c r="F27" s="24">
        <v>4486690</v>
      </c>
      <c r="G27" s="24">
        <v>13389460</v>
      </c>
      <c r="H27" s="24">
        <v>8004190</v>
      </c>
      <c r="I27" s="24">
        <v>6889210</v>
      </c>
      <c r="J27" s="24">
        <v>8653800</v>
      </c>
      <c r="K27" s="24">
        <v>12478970</v>
      </c>
      <c r="L27" s="24">
        <v>5444570</v>
      </c>
      <c r="M27" s="24">
        <v>9824580</v>
      </c>
      <c r="N27" s="24">
        <v>16531640</v>
      </c>
      <c r="O27" s="24">
        <v>23357770</v>
      </c>
      <c r="Q27" s="37">
        <f t="shared" si="36"/>
        <v>550</v>
      </c>
      <c r="R27" s="37">
        <f t="shared" si="22"/>
        <v>1850</v>
      </c>
      <c r="S27" s="37">
        <f t="shared" si="36"/>
        <v>2410</v>
      </c>
      <c r="T27" s="37">
        <f t="shared" si="36"/>
        <v>900</v>
      </c>
      <c r="U27" s="37">
        <f t="shared" si="36"/>
        <v>5220</v>
      </c>
      <c r="V27" s="37">
        <f t="shared" si="36"/>
        <v>4230</v>
      </c>
      <c r="W27" s="37">
        <f t="shared" si="36"/>
        <v>2740</v>
      </c>
      <c r="X27" s="37">
        <f t="shared" si="36"/>
        <v>4620</v>
      </c>
      <c r="Y27" s="37">
        <f t="shared" si="36"/>
        <v>5410</v>
      </c>
      <c r="Z27" s="37">
        <f t="shared" si="36"/>
        <v>2470</v>
      </c>
      <c r="AA27" s="37">
        <f t="shared" si="36"/>
        <v>2650</v>
      </c>
      <c r="AB27" s="37">
        <f t="shared" si="36"/>
        <v>7210</v>
      </c>
      <c r="AC27" s="37">
        <f t="shared" si="36"/>
        <v>13080</v>
      </c>
      <c r="AD27" s="35">
        <f t="shared" si="33"/>
        <v>53340</v>
      </c>
      <c r="AF27" s="20">
        <f t="shared" si="1"/>
        <v>2.75</v>
      </c>
      <c r="AG27" s="20">
        <f t="shared" si="2"/>
        <v>9.25</v>
      </c>
      <c r="AH27" s="20">
        <f t="shared" si="3"/>
        <v>12.05</v>
      </c>
      <c r="AI27" s="20">
        <f t="shared" si="4"/>
        <v>4.5</v>
      </c>
      <c r="AJ27" s="20">
        <f t="shared" si="5"/>
        <v>26.1</v>
      </c>
      <c r="AK27" s="20">
        <f t="shared" si="6"/>
        <v>21.150000000000002</v>
      </c>
      <c r="AL27" s="20">
        <f t="shared" si="7"/>
        <v>13.700000000000001</v>
      </c>
      <c r="AM27" s="20">
        <f t="shared" si="8"/>
        <v>23.1</v>
      </c>
      <c r="AN27" s="20">
        <f t="shared" si="9"/>
        <v>27.05</v>
      </c>
      <c r="AO27" s="20">
        <f t="shared" si="10"/>
        <v>12.35</v>
      </c>
      <c r="AP27" s="20">
        <f t="shared" si="11"/>
        <v>13.25</v>
      </c>
      <c r="AQ27" s="20">
        <f t="shared" si="12"/>
        <v>36.050000000000004</v>
      </c>
      <c r="AR27" s="20">
        <f t="shared" si="13"/>
        <v>65.400000000000006</v>
      </c>
      <c r="AS27" s="35">
        <f t="shared" si="34"/>
        <v>266.70000000000005</v>
      </c>
      <c r="AT27" s="65">
        <v>0</v>
      </c>
      <c r="AU27" s="67">
        <f t="shared" si="16"/>
        <v>0</v>
      </c>
      <c r="AW27" s="62">
        <v>69672</v>
      </c>
      <c r="AX27" s="61">
        <f t="shared" si="17"/>
        <v>269</v>
      </c>
      <c r="AY27" s="52">
        <v>438785</v>
      </c>
      <c r="AZ27" s="37">
        <f t="shared" si="18"/>
        <v>162000</v>
      </c>
      <c r="BA27" s="37">
        <f t="shared" si="19"/>
        <v>442.26</v>
      </c>
      <c r="BB27" s="59">
        <f t="shared" si="20"/>
        <v>196.540344</v>
      </c>
    </row>
    <row r="28" spans="1:54" x14ac:dyDescent="0.25">
      <c r="A28" s="23">
        <v>44979</v>
      </c>
      <c r="B28" s="76">
        <v>126</v>
      </c>
      <c r="C28" s="70">
        <v>8827150</v>
      </c>
      <c r="D28" s="70">
        <v>21220580</v>
      </c>
      <c r="E28" s="70">
        <v>3995950</v>
      </c>
      <c r="F28" s="70">
        <v>4487580</v>
      </c>
      <c r="G28" s="70">
        <v>13395110</v>
      </c>
      <c r="H28" s="70">
        <v>8008280</v>
      </c>
      <c r="I28" s="70">
        <v>6891970</v>
      </c>
      <c r="J28" s="70">
        <v>8658250</v>
      </c>
      <c r="K28" s="70">
        <v>12484270</v>
      </c>
      <c r="L28" s="70">
        <v>5446950</v>
      </c>
      <c r="M28" s="70">
        <v>9827490</v>
      </c>
      <c r="N28" s="70">
        <v>16538780</v>
      </c>
      <c r="O28" s="70">
        <v>23369350</v>
      </c>
      <c r="Q28" s="74">
        <f t="shared" si="21"/>
        <v>550</v>
      </c>
      <c r="R28" s="37">
        <f t="shared" si="22"/>
        <v>1830</v>
      </c>
      <c r="S28" s="37">
        <f t="shared" si="15"/>
        <v>2500</v>
      </c>
      <c r="T28" s="37">
        <f t="shared" si="23"/>
        <v>890</v>
      </c>
      <c r="U28" s="37">
        <f t="shared" si="24"/>
        <v>5650</v>
      </c>
      <c r="V28" s="37">
        <f t="shared" si="25"/>
        <v>4090</v>
      </c>
      <c r="W28" s="37">
        <f t="shared" si="26"/>
        <v>2760</v>
      </c>
      <c r="X28" s="37">
        <f t="shared" si="27"/>
        <v>4450</v>
      </c>
      <c r="Y28" s="37">
        <f t="shared" si="28"/>
        <v>5300</v>
      </c>
      <c r="Z28" s="37">
        <f t="shared" si="29"/>
        <v>2380</v>
      </c>
      <c r="AA28" s="37">
        <f t="shared" si="30"/>
        <v>2910</v>
      </c>
      <c r="AB28" s="37">
        <f t="shared" si="31"/>
        <v>7140</v>
      </c>
      <c r="AC28" s="37">
        <f t="shared" si="32"/>
        <v>11580</v>
      </c>
      <c r="AD28" s="35">
        <f t="shared" si="33"/>
        <v>52030</v>
      </c>
      <c r="AF28" s="20">
        <f t="shared" si="1"/>
        <v>2.75</v>
      </c>
      <c r="AG28" s="20">
        <f t="shared" si="2"/>
        <v>9.15</v>
      </c>
      <c r="AH28" s="20">
        <f t="shared" si="3"/>
        <v>12.5</v>
      </c>
      <c r="AI28" s="20">
        <f t="shared" si="4"/>
        <v>4.45</v>
      </c>
      <c r="AJ28" s="20">
        <f t="shared" si="5"/>
        <v>28.25</v>
      </c>
      <c r="AK28" s="20">
        <f t="shared" si="6"/>
        <v>20.45</v>
      </c>
      <c r="AL28" s="20">
        <f t="shared" si="7"/>
        <v>13.8</v>
      </c>
      <c r="AM28" s="20">
        <f t="shared" si="8"/>
        <v>22.25</v>
      </c>
      <c r="AN28" s="20">
        <f t="shared" si="9"/>
        <v>26.5</v>
      </c>
      <c r="AO28" s="20">
        <f t="shared" si="10"/>
        <v>11.9</v>
      </c>
      <c r="AP28" s="20">
        <f t="shared" si="11"/>
        <v>14.55</v>
      </c>
      <c r="AQ28" s="20">
        <f t="shared" si="12"/>
        <v>35.700000000000003</v>
      </c>
      <c r="AR28" s="20">
        <f t="shared" si="13"/>
        <v>57.9</v>
      </c>
      <c r="AS28" s="35">
        <f t="shared" si="34"/>
        <v>260.14999999999998</v>
      </c>
      <c r="AT28" s="65">
        <v>0</v>
      </c>
      <c r="AU28" s="67">
        <f t="shared" si="16"/>
        <v>0</v>
      </c>
      <c r="AW28" s="82">
        <v>69810</v>
      </c>
      <c r="AX28" s="61">
        <f t="shared" si="17"/>
        <v>138</v>
      </c>
      <c r="AY28" s="83">
        <v>440319</v>
      </c>
      <c r="AZ28" s="74">
        <f t="shared" si="18"/>
        <v>153400</v>
      </c>
      <c r="BA28" s="37">
        <f t="shared" si="19"/>
        <v>418.78199999999998</v>
      </c>
      <c r="BB28" s="59">
        <f t="shared" si="20"/>
        <v>186.10672080000001</v>
      </c>
    </row>
    <row r="29" spans="1:54" x14ac:dyDescent="0.25">
      <c r="A29" s="23">
        <v>44980</v>
      </c>
      <c r="B29" s="63">
        <v>145</v>
      </c>
      <c r="C29" s="78">
        <v>8827700</v>
      </c>
      <c r="D29" s="78">
        <v>21222420</v>
      </c>
      <c r="E29" s="78">
        <v>3998490</v>
      </c>
      <c r="F29" s="78">
        <v>4488470</v>
      </c>
      <c r="G29" s="78">
        <v>13401260</v>
      </c>
      <c r="H29" s="78">
        <v>8012360</v>
      </c>
      <c r="I29" s="78">
        <v>6894850</v>
      </c>
      <c r="J29" s="78">
        <v>8662640</v>
      </c>
      <c r="K29" s="78">
        <v>12489620</v>
      </c>
      <c r="L29" s="78">
        <v>5449430</v>
      </c>
      <c r="M29" s="78">
        <v>9830440</v>
      </c>
      <c r="N29" s="79">
        <v>16545980</v>
      </c>
      <c r="O29" s="78">
        <v>23382010</v>
      </c>
      <c r="P29" s="71">
        <v>441854</v>
      </c>
      <c r="Q29" s="73">
        <f t="shared" si="21"/>
        <v>550</v>
      </c>
      <c r="R29" s="72">
        <f t="shared" si="22"/>
        <v>1840</v>
      </c>
      <c r="S29" s="37">
        <f t="shared" si="15"/>
        <v>2540</v>
      </c>
      <c r="T29" s="37">
        <f t="shared" si="23"/>
        <v>890</v>
      </c>
      <c r="U29" s="37">
        <f t="shared" si="24"/>
        <v>6150</v>
      </c>
      <c r="V29" s="37">
        <f t="shared" si="25"/>
        <v>4080</v>
      </c>
      <c r="W29" s="37">
        <f t="shared" si="26"/>
        <v>2880</v>
      </c>
      <c r="X29" s="37">
        <f t="shared" si="27"/>
        <v>4390</v>
      </c>
      <c r="Y29" s="37">
        <f t="shared" si="28"/>
        <v>5350</v>
      </c>
      <c r="Z29" s="37">
        <f t="shared" si="29"/>
        <v>2480</v>
      </c>
      <c r="AA29" s="37">
        <f t="shared" si="30"/>
        <v>2950</v>
      </c>
      <c r="AB29" s="37">
        <f t="shared" si="31"/>
        <v>7200</v>
      </c>
      <c r="AC29" s="37">
        <f t="shared" si="32"/>
        <v>12660</v>
      </c>
      <c r="AD29" s="35">
        <f t="shared" si="33"/>
        <v>53960</v>
      </c>
      <c r="AF29" s="20">
        <f t="shared" si="1"/>
        <v>2.75</v>
      </c>
      <c r="AG29" s="20">
        <f t="shared" si="2"/>
        <v>9.2000000000000011</v>
      </c>
      <c r="AH29" s="20">
        <f t="shared" si="3"/>
        <v>12.700000000000001</v>
      </c>
      <c r="AI29" s="20">
        <f t="shared" si="4"/>
        <v>4.45</v>
      </c>
      <c r="AJ29" s="20">
        <f t="shared" si="5"/>
        <v>30.75</v>
      </c>
      <c r="AK29" s="20">
        <f t="shared" si="6"/>
        <v>20.400000000000002</v>
      </c>
      <c r="AL29" s="20">
        <f t="shared" si="7"/>
        <v>14.4</v>
      </c>
      <c r="AM29" s="20">
        <f t="shared" si="8"/>
        <v>21.95</v>
      </c>
      <c r="AN29" s="20">
        <f t="shared" si="9"/>
        <v>26.75</v>
      </c>
      <c r="AO29" s="20">
        <f t="shared" si="10"/>
        <v>12.4</v>
      </c>
      <c r="AP29" s="20">
        <f t="shared" si="11"/>
        <v>14.75</v>
      </c>
      <c r="AQ29" s="20">
        <f t="shared" si="12"/>
        <v>36</v>
      </c>
      <c r="AR29" s="20">
        <f t="shared" si="13"/>
        <v>63.300000000000004</v>
      </c>
      <c r="AS29" s="35">
        <f t="shared" si="34"/>
        <v>269.8</v>
      </c>
      <c r="AT29" s="65">
        <v>7.3</v>
      </c>
      <c r="AU29" s="67">
        <f t="shared" si="16"/>
        <v>1300.3125</v>
      </c>
      <c r="AW29" s="87">
        <v>69938</v>
      </c>
      <c r="AX29" s="61">
        <f t="shared" si="17"/>
        <v>128</v>
      </c>
      <c r="AY29" s="81">
        <v>441854</v>
      </c>
      <c r="AZ29" s="73">
        <f t="shared" si="18"/>
        <v>153500</v>
      </c>
      <c r="BA29" s="72">
        <f t="shared" si="19"/>
        <v>419.05500000000001</v>
      </c>
      <c r="BB29" s="59">
        <f t="shared" si="20"/>
        <v>186.22804200000002</v>
      </c>
    </row>
    <row r="30" spans="1:54" x14ac:dyDescent="0.25">
      <c r="A30" s="23">
        <v>44981</v>
      </c>
      <c r="B30" s="63">
        <v>113</v>
      </c>
      <c r="C30" s="77">
        <v>8828250</v>
      </c>
      <c r="D30" s="77">
        <v>21224270</v>
      </c>
      <c r="E30" s="77">
        <v>4001310</v>
      </c>
      <c r="F30" s="77">
        <v>4489380</v>
      </c>
      <c r="G30" s="77">
        <v>13407350</v>
      </c>
      <c r="H30" s="77">
        <v>8016440</v>
      </c>
      <c r="I30" s="77">
        <v>6897550</v>
      </c>
      <c r="J30" s="77">
        <v>8666910</v>
      </c>
      <c r="K30" s="77">
        <v>12495480</v>
      </c>
      <c r="L30" s="77">
        <v>5451900</v>
      </c>
      <c r="M30" s="77">
        <v>9833570</v>
      </c>
      <c r="N30" s="77">
        <v>16553260</v>
      </c>
      <c r="O30" s="77">
        <v>23394840</v>
      </c>
      <c r="Q30" s="75">
        <f t="shared" si="21"/>
        <v>550</v>
      </c>
      <c r="R30" s="37">
        <f t="shared" si="22"/>
        <v>1850</v>
      </c>
      <c r="S30" s="37">
        <f t="shared" si="15"/>
        <v>2820</v>
      </c>
      <c r="T30" s="37">
        <f t="shared" si="23"/>
        <v>910</v>
      </c>
      <c r="U30" s="37">
        <f t="shared" si="24"/>
        <v>6090</v>
      </c>
      <c r="V30" s="37">
        <f t="shared" si="25"/>
        <v>4080</v>
      </c>
      <c r="W30" s="37">
        <f t="shared" si="26"/>
        <v>2700</v>
      </c>
      <c r="X30" s="37">
        <f t="shared" si="27"/>
        <v>4270</v>
      </c>
      <c r="Y30" s="37">
        <f t="shared" si="28"/>
        <v>5860</v>
      </c>
      <c r="Z30" s="37">
        <f t="shared" si="29"/>
        <v>2470</v>
      </c>
      <c r="AA30" s="37">
        <f t="shared" si="30"/>
        <v>3130</v>
      </c>
      <c r="AB30" s="37">
        <f t="shared" si="31"/>
        <v>7280</v>
      </c>
      <c r="AC30" s="37">
        <f t="shared" si="32"/>
        <v>12830</v>
      </c>
      <c r="AD30" s="35">
        <f t="shared" si="33"/>
        <v>54840</v>
      </c>
      <c r="AF30" s="20">
        <f t="shared" si="1"/>
        <v>2.75</v>
      </c>
      <c r="AG30" s="20">
        <f t="shared" si="2"/>
        <v>9.25</v>
      </c>
      <c r="AH30" s="20">
        <f t="shared" si="3"/>
        <v>14.1</v>
      </c>
      <c r="AI30" s="20">
        <f t="shared" si="4"/>
        <v>4.55</v>
      </c>
      <c r="AJ30" s="20">
        <f t="shared" si="5"/>
        <v>30.45</v>
      </c>
      <c r="AK30" s="20">
        <f t="shared" si="6"/>
        <v>20.400000000000002</v>
      </c>
      <c r="AL30" s="20">
        <f t="shared" si="7"/>
        <v>13.5</v>
      </c>
      <c r="AM30" s="20">
        <f t="shared" si="8"/>
        <v>21.35</v>
      </c>
      <c r="AN30" s="20">
        <f t="shared" si="9"/>
        <v>29.3</v>
      </c>
      <c r="AO30" s="20">
        <f t="shared" si="10"/>
        <v>12.35</v>
      </c>
      <c r="AP30" s="20">
        <f t="shared" si="11"/>
        <v>15.65</v>
      </c>
      <c r="AQ30" s="20">
        <f t="shared" si="12"/>
        <v>36.4</v>
      </c>
      <c r="AR30" s="20">
        <f t="shared" si="13"/>
        <v>64.150000000000006</v>
      </c>
      <c r="AS30" s="35">
        <f t="shared" si="34"/>
        <v>274.20000000000005</v>
      </c>
      <c r="AT30" s="65">
        <v>0</v>
      </c>
      <c r="AU30" s="67">
        <f t="shared" si="16"/>
        <v>0</v>
      </c>
      <c r="AW30" s="86">
        <v>70057</v>
      </c>
      <c r="AX30" s="61">
        <f t="shared" si="17"/>
        <v>119</v>
      </c>
      <c r="AY30" s="88">
        <v>443002</v>
      </c>
      <c r="AZ30" s="73">
        <f t="shared" si="18"/>
        <v>114800</v>
      </c>
      <c r="BA30" s="72">
        <f t="shared" si="19"/>
        <v>313.404</v>
      </c>
      <c r="BB30" s="59">
        <f t="shared" si="20"/>
        <v>139.27673759999999</v>
      </c>
    </row>
    <row r="31" spans="1:54" x14ac:dyDescent="0.25">
      <c r="A31" s="23">
        <v>44982</v>
      </c>
      <c r="B31" s="40">
        <v>91</v>
      </c>
      <c r="C31" s="80">
        <v>8828800</v>
      </c>
      <c r="D31" s="80">
        <v>21226120</v>
      </c>
      <c r="E31" s="80">
        <v>4004160</v>
      </c>
      <c r="F31" s="80">
        <v>4490310</v>
      </c>
      <c r="G31" s="80">
        <v>13413190</v>
      </c>
      <c r="H31" s="80">
        <v>8020420</v>
      </c>
      <c r="I31" s="80">
        <v>6900260</v>
      </c>
      <c r="J31" s="80">
        <v>8670980</v>
      </c>
      <c r="K31" s="80">
        <v>12501340</v>
      </c>
      <c r="L31" s="80">
        <v>5454320</v>
      </c>
      <c r="M31" s="80">
        <v>9836650</v>
      </c>
      <c r="N31" s="80">
        <v>16560510</v>
      </c>
      <c r="O31" s="80">
        <v>23407020</v>
      </c>
      <c r="Q31" s="37">
        <f>IF((C31-C30&lt;0), "0",C31-C30)</f>
        <v>550</v>
      </c>
      <c r="R31" s="37">
        <f t="shared" si="22"/>
        <v>1850</v>
      </c>
      <c r="S31" s="37">
        <f t="shared" si="15"/>
        <v>2850</v>
      </c>
      <c r="T31" s="37">
        <f t="shared" si="23"/>
        <v>930</v>
      </c>
      <c r="U31" s="37">
        <f t="shared" si="24"/>
        <v>5840</v>
      </c>
      <c r="V31" s="37">
        <f t="shared" si="25"/>
        <v>3980</v>
      </c>
      <c r="W31" s="37">
        <f t="shared" si="26"/>
        <v>2710</v>
      </c>
      <c r="X31" s="37">
        <f t="shared" si="27"/>
        <v>4070</v>
      </c>
      <c r="Y31" s="37">
        <f t="shared" si="28"/>
        <v>5860</v>
      </c>
      <c r="Z31" s="37">
        <f t="shared" si="29"/>
        <v>2420</v>
      </c>
      <c r="AA31" s="37">
        <f t="shared" si="30"/>
        <v>3080</v>
      </c>
      <c r="AB31" s="37">
        <f t="shared" si="31"/>
        <v>7250</v>
      </c>
      <c r="AC31" s="37">
        <f t="shared" si="32"/>
        <v>12180</v>
      </c>
      <c r="AD31" s="35">
        <f t="shared" si="33"/>
        <v>53570</v>
      </c>
      <c r="AF31" s="20">
        <f t="shared" si="1"/>
        <v>2.75</v>
      </c>
      <c r="AG31" s="20">
        <f t="shared" si="2"/>
        <v>9.25</v>
      </c>
      <c r="AH31" s="20">
        <f t="shared" si="3"/>
        <v>14.25</v>
      </c>
      <c r="AI31" s="20">
        <f t="shared" si="4"/>
        <v>4.6500000000000004</v>
      </c>
      <c r="AJ31" s="20">
        <f t="shared" si="5"/>
        <v>29.2</v>
      </c>
      <c r="AK31" s="20">
        <f t="shared" si="6"/>
        <v>19.900000000000002</v>
      </c>
      <c r="AL31" s="20">
        <f t="shared" si="7"/>
        <v>13.55</v>
      </c>
      <c r="AM31" s="20">
        <f t="shared" si="8"/>
        <v>20.350000000000001</v>
      </c>
      <c r="AN31" s="20">
        <f t="shared" si="9"/>
        <v>29.3</v>
      </c>
      <c r="AO31" s="20">
        <f t="shared" si="10"/>
        <v>12.1</v>
      </c>
      <c r="AP31" s="20">
        <f t="shared" si="11"/>
        <v>15.4</v>
      </c>
      <c r="AQ31" s="20">
        <f t="shared" si="12"/>
        <v>36.25</v>
      </c>
      <c r="AR31" s="20">
        <f t="shared" si="13"/>
        <v>60.9</v>
      </c>
      <c r="AS31" s="35">
        <f t="shared" si="34"/>
        <v>267.85000000000002</v>
      </c>
      <c r="AT31" s="65">
        <v>6.6</v>
      </c>
      <c r="AU31" s="67">
        <f t="shared" si="16"/>
        <v>1175.625</v>
      </c>
      <c r="AW31" s="84">
        <v>70169</v>
      </c>
      <c r="AX31" s="61">
        <f t="shared" si="17"/>
        <v>112</v>
      </c>
      <c r="AY31" s="85">
        <v>444249</v>
      </c>
      <c r="AZ31" s="75">
        <f t="shared" si="18"/>
        <v>124700</v>
      </c>
      <c r="BA31" s="37">
        <f t="shared" si="19"/>
        <v>340.43099999999998</v>
      </c>
      <c r="BB31" s="59">
        <f t="shared" si="20"/>
        <v>151.28753639999999</v>
      </c>
    </row>
    <row r="32" spans="1:54" x14ac:dyDescent="0.25">
      <c r="A32" s="23">
        <v>44983</v>
      </c>
      <c r="B32" s="40">
        <v>81</v>
      </c>
      <c r="C32" s="24">
        <v>8829430</v>
      </c>
      <c r="D32" s="51">
        <v>21227910</v>
      </c>
      <c r="E32" s="51">
        <v>4007480</v>
      </c>
      <c r="F32" s="51">
        <v>4491220</v>
      </c>
      <c r="G32" s="51">
        <v>13418660</v>
      </c>
      <c r="H32" s="51">
        <v>8024180</v>
      </c>
      <c r="I32" s="51">
        <v>6902820</v>
      </c>
      <c r="J32" s="51">
        <v>8674710</v>
      </c>
      <c r="K32" s="51">
        <v>12506730</v>
      </c>
      <c r="L32" s="51">
        <v>5456670</v>
      </c>
      <c r="M32" s="51">
        <v>9839520</v>
      </c>
      <c r="N32" s="51">
        <v>16567520</v>
      </c>
      <c r="O32" s="51">
        <v>23420300</v>
      </c>
      <c r="Q32" s="37">
        <f>IF((C32-C31&lt;0), "0",C32-C31)</f>
        <v>630</v>
      </c>
      <c r="R32" s="37">
        <f t="shared" si="22"/>
        <v>1790</v>
      </c>
      <c r="S32" s="37">
        <f t="shared" si="15"/>
        <v>3320</v>
      </c>
      <c r="T32" s="37">
        <f t="shared" si="23"/>
        <v>910</v>
      </c>
      <c r="U32" s="37">
        <f t="shared" si="24"/>
        <v>5470</v>
      </c>
      <c r="V32" s="37">
        <f t="shared" si="25"/>
        <v>3760</v>
      </c>
      <c r="W32" s="37">
        <f t="shared" si="26"/>
        <v>2560</v>
      </c>
      <c r="X32" s="37">
        <f t="shared" si="27"/>
        <v>3730</v>
      </c>
      <c r="Y32" s="37">
        <f t="shared" si="28"/>
        <v>5390</v>
      </c>
      <c r="Z32" s="37">
        <f t="shared" si="29"/>
        <v>2350</v>
      </c>
      <c r="AA32" s="37">
        <f t="shared" si="30"/>
        <v>2870</v>
      </c>
      <c r="AB32" s="37">
        <f t="shared" si="31"/>
        <v>7010</v>
      </c>
      <c r="AC32" s="37">
        <f t="shared" si="32"/>
        <v>13280</v>
      </c>
      <c r="AD32" s="35">
        <f t="shared" si="33"/>
        <v>53070</v>
      </c>
      <c r="AF32" s="20">
        <f t="shared" si="1"/>
        <v>3.15</v>
      </c>
      <c r="AG32" s="20">
        <f t="shared" si="2"/>
        <v>8.9500000000000011</v>
      </c>
      <c r="AH32" s="20">
        <f t="shared" si="3"/>
        <v>16.600000000000001</v>
      </c>
      <c r="AI32" s="20">
        <f t="shared" si="4"/>
        <v>4.55</v>
      </c>
      <c r="AJ32" s="20">
        <f t="shared" si="5"/>
        <v>27.35</v>
      </c>
      <c r="AK32" s="20">
        <f t="shared" si="6"/>
        <v>18.8</v>
      </c>
      <c r="AL32" s="20">
        <f t="shared" si="7"/>
        <v>12.8</v>
      </c>
      <c r="AM32" s="20">
        <f t="shared" si="8"/>
        <v>18.650000000000002</v>
      </c>
      <c r="AN32" s="20">
        <f t="shared" si="9"/>
        <v>26.95</v>
      </c>
      <c r="AO32" s="20">
        <f t="shared" si="10"/>
        <v>11.75</v>
      </c>
      <c r="AP32" s="20">
        <f t="shared" si="11"/>
        <v>14.35</v>
      </c>
      <c r="AQ32" s="20">
        <f t="shared" si="12"/>
        <v>35.050000000000004</v>
      </c>
      <c r="AR32" s="20">
        <f t="shared" si="13"/>
        <v>66.400000000000006</v>
      </c>
      <c r="AS32" s="35">
        <f t="shared" si="34"/>
        <v>265.35000000000002</v>
      </c>
      <c r="AT32" s="65">
        <v>0</v>
      </c>
      <c r="AU32" s="67">
        <f t="shared" si="16"/>
        <v>0</v>
      </c>
      <c r="AW32" s="62">
        <v>70288</v>
      </c>
      <c r="AX32" s="61">
        <f t="shared" si="17"/>
        <v>119</v>
      </c>
      <c r="AY32" s="54">
        <v>445555</v>
      </c>
      <c r="AZ32" s="37">
        <f t="shared" si="18"/>
        <v>130600</v>
      </c>
      <c r="BA32" s="37">
        <f t="shared" si="19"/>
        <v>356.53800000000001</v>
      </c>
      <c r="BB32" s="59">
        <f t="shared" si="20"/>
        <v>158.4454872</v>
      </c>
    </row>
    <row r="33" spans="1:54" x14ac:dyDescent="0.25">
      <c r="A33" s="23">
        <v>44984</v>
      </c>
      <c r="B33" s="40"/>
      <c r="C33" s="24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Q33" s="37" t="str">
        <f>IF((C33-C32&lt;0), "0",C33-C32)</f>
        <v>0</v>
      </c>
      <c r="R33" s="37" t="str">
        <f t="shared" si="22"/>
        <v>0</v>
      </c>
      <c r="S33" s="37" t="str">
        <f t="shared" si="15"/>
        <v>0</v>
      </c>
      <c r="T33" s="37" t="str">
        <f t="shared" si="23"/>
        <v>0</v>
      </c>
      <c r="U33" s="37" t="str">
        <f t="shared" si="24"/>
        <v>0</v>
      </c>
      <c r="V33" s="37" t="str">
        <f t="shared" si="25"/>
        <v>0</v>
      </c>
      <c r="W33" s="37" t="str">
        <f t="shared" si="26"/>
        <v>0</v>
      </c>
      <c r="X33" s="37" t="str">
        <f t="shared" si="27"/>
        <v>0</v>
      </c>
      <c r="Y33" s="37" t="str">
        <f t="shared" si="28"/>
        <v>0</v>
      </c>
      <c r="Z33" s="37" t="str">
        <f t="shared" si="29"/>
        <v>0</v>
      </c>
      <c r="AA33" s="37" t="str">
        <f t="shared" si="30"/>
        <v>0</v>
      </c>
      <c r="AB33" s="37" t="str">
        <f t="shared" si="31"/>
        <v>0</v>
      </c>
      <c r="AC33" s="37" t="str">
        <f t="shared" si="32"/>
        <v>0</v>
      </c>
      <c r="AD33" s="35">
        <f t="shared" si="33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4"/>
        <v>0</v>
      </c>
      <c r="AT33" s="65"/>
      <c r="AU33" s="67">
        <f t="shared" si="16"/>
        <v>0</v>
      </c>
      <c r="AW33" s="62">
        <v>0</v>
      </c>
      <c r="AX33" s="61" t="str">
        <f t="shared" si="17"/>
        <v>0</v>
      </c>
      <c r="AY33" s="53"/>
      <c r="AZ33" s="37">
        <f t="shared" si="18"/>
        <v>0</v>
      </c>
      <c r="BA33" s="37">
        <f t="shared" si="19"/>
        <v>0</v>
      </c>
      <c r="BB33" s="59">
        <f t="shared" si="20"/>
        <v>0</v>
      </c>
    </row>
    <row r="34" spans="1:54" x14ac:dyDescent="0.25">
      <c r="A34" s="23">
        <v>44985</v>
      </c>
      <c r="B34" s="48"/>
      <c r="C34" s="47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Q34" s="37">
        <f>IF((C34-C33&lt;0), "0",C34-C33)</f>
        <v>0</v>
      </c>
      <c r="R34" s="37">
        <f t="shared" si="22"/>
        <v>0</v>
      </c>
      <c r="S34" s="37">
        <f t="shared" si="15"/>
        <v>0</v>
      </c>
      <c r="T34" s="37">
        <f t="shared" si="23"/>
        <v>0</v>
      </c>
      <c r="U34" s="37">
        <f t="shared" si="24"/>
        <v>0</v>
      </c>
      <c r="V34" s="37">
        <f t="shared" si="25"/>
        <v>0</v>
      </c>
      <c r="W34" s="37">
        <f t="shared" si="26"/>
        <v>0</v>
      </c>
      <c r="X34" s="37">
        <f t="shared" si="27"/>
        <v>0</v>
      </c>
      <c r="Y34" s="37">
        <f t="shared" si="28"/>
        <v>0</v>
      </c>
      <c r="Z34" s="37">
        <f t="shared" si="29"/>
        <v>0</v>
      </c>
      <c r="AA34" s="37">
        <f t="shared" si="30"/>
        <v>0</v>
      </c>
      <c r="AB34" s="37">
        <f t="shared" si="31"/>
        <v>0</v>
      </c>
      <c r="AC34" s="37">
        <f t="shared" si="32"/>
        <v>0</v>
      </c>
      <c r="AD34" s="35">
        <f t="shared" si="33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T34" s="65"/>
      <c r="AU34" s="67">
        <f t="shared" si="16"/>
        <v>0</v>
      </c>
      <c r="AW34" s="62">
        <v>0</v>
      </c>
      <c r="AX34" s="61">
        <f t="shared" si="17"/>
        <v>0</v>
      </c>
      <c r="AY34" s="54"/>
      <c r="AZ34" s="37">
        <f t="shared" si="18"/>
        <v>0</v>
      </c>
      <c r="BA34" s="37">
        <f t="shared" si="19"/>
        <v>0</v>
      </c>
      <c r="BB34" s="59">
        <f t="shared" si="20"/>
        <v>0</v>
      </c>
    </row>
    <row r="35" spans="1:54" x14ac:dyDescent="0.25">
      <c r="A35" s="23"/>
      <c r="B35" s="40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Q35" s="37">
        <f>IF((C35-C34&lt;0), "0",C35-C34)</f>
        <v>0</v>
      </c>
      <c r="R35" s="37">
        <f t="shared" si="22"/>
        <v>0</v>
      </c>
      <c r="S35" s="37">
        <f t="shared" si="15"/>
        <v>0</v>
      </c>
      <c r="T35" s="37">
        <f t="shared" si="23"/>
        <v>0</v>
      </c>
      <c r="U35" s="37">
        <f t="shared" si="24"/>
        <v>0</v>
      </c>
      <c r="V35" s="37">
        <f t="shared" si="25"/>
        <v>0</v>
      </c>
      <c r="W35" s="37">
        <f t="shared" si="26"/>
        <v>0</v>
      </c>
      <c r="X35" s="37">
        <f t="shared" si="27"/>
        <v>0</v>
      </c>
      <c r="Y35" s="37">
        <f t="shared" si="28"/>
        <v>0</v>
      </c>
      <c r="Z35" s="37">
        <f t="shared" si="29"/>
        <v>0</v>
      </c>
      <c r="AA35" s="37">
        <f t="shared" si="30"/>
        <v>0</v>
      </c>
      <c r="AB35" s="37">
        <f t="shared" si="31"/>
        <v>0</v>
      </c>
      <c r="AC35" s="37">
        <f t="shared" si="32"/>
        <v>0</v>
      </c>
      <c r="AD35" s="35">
        <f t="shared" si="33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T35" s="65"/>
      <c r="AU35" s="67">
        <f t="shared" si="16"/>
        <v>0</v>
      </c>
      <c r="AW35" s="62">
        <v>0</v>
      </c>
      <c r="AX35" s="61">
        <f t="shared" si="17"/>
        <v>0</v>
      </c>
      <c r="AY35" s="58"/>
      <c r="AZ35" s="37">
        <f t="shared" si="18"/>
        <v>0</v>
      </c>
      <c r="BA35" s="37">
        <f t="shared" si="19"/>
        <v>0</v>
      </c>
      <c r="BB35" s="59">
        <f t="shared" si="20"/>
        <v>0</v>
      </c>
    </row>
    <row r="36" spans="1:54" x14ac:dyDescent="0.25">
      <c r="A36" s="23"/>
      <c r="B36" s="4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Q36" s="37">
        <f t="shared" ref="Q36:AA36" si="37">IF((C36-C35&lt;0), "0",C36-C35)</f>
        <v>0</v>
      </c>
      <c r="R36" s="37">
        <f t="shared" si="22"/>
        <v>0</v>
      </c>
      <c r="S36" s="37">
        <f t="shared" si="37"/>
        <v>0</v>
      </c>
      <c r="T36" s="37">
        <f t="shared" si="37"/>
        <v>0</v>
      </c>
      <c r="U36" s="37">
        <f t="shared" si="37"/>
        <v>0</v>
      </c>
      <c r="V36" s="37">
        <f t="shared" si="37"/>
        <v>0</v>
      </c>
      <c r="W36" s="37">
        <f t="shared" si="37"/>
        <v>0</v>
      </c>
      <c r="X36" s="37">
        <f t="shared" si="27"/>
        <v>0</v>
      </c>
      <c r="Y36" s="37">
        <f t="shared" si="37"/>
        <v>0</v>
      </c>
      <c r="Z36" s="37">
        <f t="shared" si="37"/>
        <v>0</v>
      </c>
      <c r="AA36" s="37">
        <f t="shared" si="37"/>
        <v>0</v>
      </c>
      <c r="AB36" s="37">
        <f t="shared" si="31"/>
        <v>0</v>
      </c>
      <c r="AC36" s="37">
        <f t="shared" si="32"/>
        <v>0</v>
      </c>
      <c r="AD36" s="35">
        <f t="shared" si="33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T36" s="65"/>
      <c r="AU36" s="67">
        <f t="shared" si="16"/>
        <v>0</v>
      </c>
      <c r="AW36" s="62">
        <v>0</v>
      </c>
      <c r="AX36" s="61">
        <f t="shared" si="17"/>
        <v>0</v>
      </c>
      <c r="AY36" s="56"/>
      <c r="AZ36" s="37">
        <f t="shared" si="18"/>
        <v>0</v>
      </c>
      <c r="BA36" s="37">
        <f t="shared" si="19"/>
        <v>0</v>
      </c>
      <c r="BB36" s="59">
        <f t="shared" si="20"/>
        <v>0</v>
      </c>
    </row>
    <row r="37" spans="1:54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22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7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31"/>
        <v>0</v>
      </c>
      <c r="AC37" s="37">
        <f t="shared" si="32"/>
        <v>0</v>
      </c>
      <c r="AD37" s="35">
        <f t="shared" si="33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T37" s="65"/>
      <c r="AU37" s="67">
        <f t="shared" si="16"/>
        <v>0</v>
      </c>
      <c r="AW37" s="62">
        <v>0</v>
      </c>
      <c r="AX37" s="61">
        <f t="shared" si="17"/>
        <v>0</v>
      </c>
      <c r="AY37" s="52"/>
      <c r="AZ37" s="37">
        <f t="shared" si="18"/>
        <v>0</v>
      </c>
      <c r="BA37" s="37">
        <f t="shared" si="19"/>
        <v>0</v>
      </c>
      <c r="BB37" s="59">
        <f t="shared" si="20"/>
        <v>0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14600</v>
      </c>
      <c r="R38" s="38">
        <f t="shared" ref="R38:AD38" si="60">SUM(R7:R37)</f>
        <v>47830</v>
      </c>
      <c r="S38" s="38">
        <f t="shared" si="60"/>
        <v>66540</v>
      </c>
      <c r="T38" s="38">
        <f t="shared" si="60"/>
        <v>28470</v>
      </c>
      <c r="U38" s="38">
        <f t="shared" si="60"/>
        <v>158160</v>
      </c>
      <c r="V38" s="38">
        <f t="shared" si="60"/>
        <v>110250</v>
      </c>
      <c r="W38" s="38">
        <f t="shared" si="60"/>
        <v>80690</v>
      </c>
      <c r="X38" s="38">
        <f t="shared" si="60"/>
        <v>115180</v>
      </c>
      <c r="Y38" s="38">
        <f t="shared" si="60"/>
        <v>151300</v>
      </c>
      <c r="Z38" s="38">
        <f t="shared" si="60"/>
        <v>66600</v>
      </c>
      <c r="AA38" s="38">
        <f t="shared" si="60"/>
        <v>81570</v>
      </c>
      <c r="AB38" s="38">
        <f t="shared" si="60"/>
        <v>193730</v>
      </c>
      <c r="AC38" s="38">
        <f t="shared" si="60"/>
        <v>361140</v>
      </c>
      <c r="AD38" s="38">
        <f t="shared" si="60"/>
        <v>1476060</v>
      </c>
      <c r="AF38" s="35">
        <f>SUM(AF7:AF37)</f>
        <v>73.000000000000014</v>
      </c>
      <c r="AG38" s="35">
        <f t="shared" ref="AG38:AU38" si="61">SUM(AG7:AG37)</f>
        <v>239.15</v>
      </c>
      <c r="AH38" s="35">
        <f t="shared" si="61"/>
        <v>332.70000000000005</v>
      </c>
      <c r="AI38" s="35">
        <f t="shared" si="61"/>
        <v>142.35000000000002</v>
      </c>
      <c r="AJ38" s="35">
        <f t="shared" si="61"/>
        <v>790.80000000000007</v>
      </c>
      <c r="AK38" s="35">
        <f t="shared" si="61"/>
        <v>551.25</v>
      </c>
      <c r="AL38" s="35">
        <f t="shared" si="61"/>
        <v>403.45000000000005</v>
      </c>
      <c r="AM38" s="35">
        <f t="shared" si="61"/>
        <v>575.90000000000009</v>
      </c>
      <c r="AN38" s="35">
        <f t="shared" si="61"/>
        <v>756.49999999999977</v>
      </c>
      <c r="AO38" s="35">
        <f t="shared" si="61"/>
        <v>333.00000000000006</v>
      </c>
      <c r="AP38" s="35">
        <f t="shared" si="61"/>
        <v>407.84999999999997</v>
      </c>
      <c r="AQ38" s="35">
        <f t="shared" si="61"/>
        <v>968.65000000000009</v>
      </c>
      <c r="AR38" s="35">
        <f t="shared" si="61"/>
        <v>1805.7000000000003</v>
      </c>
      <c r="AS38" s="35">
        <f t="shared" si="61"/>
        <v>7380.2999999999993</v>
      </c>
      <c r="AT38" s="65"/>
      <c r="AU38" s="68">
        <f t="shared" si="61"/>
        <v>9743.4375</v>
      </c>
      <c r="AW38" s="62">
        <v>0</v>
      </c>
      <c r="AX38" s="61">
        <f t="shared" si="17"/>
        <v>0</v>
      </c>
      <c r="AY38" s="46"/>
      <c r="AZ38" s="37">
        <f t="shared" si="18"/>
        <v>0</v>
      </c>
      <c r="BA38" s="37">
        <f>SUM(BA7:BA37)</f>
        <v>10506.405000000001</v>
      </c>
      <c r="BB38" s="59">
        <f t="shared" si="20"/>
        <v>4669.0463820000004</v>
      </c>
    </row>
    <row r="39" spans="1:54" x14ac:dyDescent="0.25">
      <c r="B39" s="39">
        <f>SUM(B7:B37)</f>
        <v>3344</v>
      </c>
      <c r="D39">
        <v>5.0000000000000001E-3</v>
      </c>
      <c r="AW39" s="62">
        <v>0</v>
      </c>
      <c r="AX39" s="61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57</v>
      </c>
    </row>
    <row r="43" spans="1:54" x14ac:dyDescent="0.25">
      <c r="AU43" s="66">
        <v>178.125</v>
      </c>
    </row>
    <row r="44" spans="1:54" x14ac:dyDescent="0.25">
      <c r="AW44" s="60">
        <v>0.52800000000000002</v>
      </c>
      <c r="AY44" s="45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U4:AU5"/>
    <mergeCell ref="AW4:AW5"/>
    <mergeCell ref="AX4:AX5"/>
    <mergeCell ref="AT4:AT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28c44d-ca75-4405-bcc1-fb925f2af39c" xsi:nil="true"/>
    <lcf76f155ced4ddcb4097134ff3c332f xmlns="e419f9df-0dd9-45a2-9af2-6e1ea94d9c6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14" ma:contentTypeDescription="Create a new document." ma:contentTypeScope="" ma:versionID="44d79bad1a4559d173980bca029fe8f4">
  <xsd:schema xmlns:xsd="http://www.w3.org/2001/XMLSchema" xmlns:xs="http://www.w3.org/2001/XMLSchema" xmlns:p="http://schemas.microsoft.com/office/2006/metadata/properties" xmlns:ns2="e419f9df-0dd9-45a2-9af2-6e1ea94d9c6f" xmlns:ns3="8128c44d-ca75-4405-bcc1-fb925f2af39c" targetNamespace="http://schemas.microsoft.com/office/2006/metadata/properties" ma:root="true" ma:fieldsID="674115f805a202c6a8e3959e38cf1acd" ns2:_="" ns3:_="">
    <xsd:import namespace="e419f9df-0dd9-45a2-9af2-6e1ea94d9c6f"/>
    <xsd:import namespace="8128c44d-ca75-4405-bcc1-fb925f2af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8c44d-ca75-4405-bcc1-fb925f2af39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8e4ae7e-4cf7-4068-bd3f-a9323f74dc14}" ma:internalName="TaxCatchAll" ma:showField="CatchAllData" ma:web="8128c44d-ca75-4405-bcc1-fb925f2af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  <ds:schemaRef ds:uri="8128c44d-ca75-4405-bcc1-fb925f2af39c"/>
    <ds:schemaRef ds:uri="e419f9df-0dd9-45a2-9af2-6e1ea94d9c6f"/>
  </ds:schemaRefs>
</ds:datastoreItem>
</file>

<file path=customXml/itemProps3.xml><?xml version="1.0" encoding="utf-8"?>
<ds:datastoreItem xmlns:ds="http://schemas.openxmlformats.org/officeDocument/2006/customXml" ds:itemID="{4D94BD37-345B-44E8-86DD-968EF536A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8128c44d-ca75-4405-bcc1-fb925f2af3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Choki Zangmo</cp:lastModifiedBy>
  <cp:revision/>
  <dcterms:created xsi:type="dcterms:W3CDTF">2017-05-22T13:08:25Z</dcterms:created>
  <dcterms:modified xsi:type="dcterms:W3CDTF">2023-02-27T08:27:55Z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  <property fmtid="{D5CDD505-2E9C-101B-9397-08002B2CF9AE}" pid="4" name="MediaServiceImageTags">
    <vt:lpwstr/>
  </property>
</Properties>
</file>