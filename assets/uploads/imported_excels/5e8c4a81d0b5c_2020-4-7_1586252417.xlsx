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I2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<sst xmlns="http://schemas.openxmlformats.org/spreadsheetml/2006/main" count="106" uniqueCount="33">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</sst>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I2" sqref="I2:I31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4</v>
      </c>
      <c r="D2" s="9">
        <v>2020</v>
      </c>
      <c r="E2" s="20">
        <f>Submetering!E2</f>
        <v>3759.75</v>
      </c>
      <c r="F2" s="16">
        <v>0.12</v>
      </c>
      <c r="G2" s="20">
        <f>Submetering!F2+Submetering!G2</f>
        <v>205.44006911469157</v>
      </c>
      <c r="H2" s="16">
        <v>0.71</v>
      </c>
      <c r="I2" s="20">
        <f>Submetering!J3+Submetering!I2+Submetering!H2</f>
        <v>19.684000000000001</v>
      </c>
      <c r="J2" s="16">
        <v>2.3196172978505634</v>
      </c>
      <c r="K2" s="20">
        <f>Submetering!K2</f>
        <v>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4</v>
      </c>
      <c r="D3" s="9">
        <v>2020</v>
      </c>
      <c r="E3" s="20">
        <f>Submetering!E3</f>
        <v>3820.5</v>
      </c>
      <c r="F3" s="16">
        <v>0.12</v>
      </c>
      <c r="G3" s="20">
        <f>Submetering!F3+Submetering!G3</f>
        <v>159.00686102616822</v>
      </c>
      <c r="H3" s="16">
        <v>0.71</v>
      </c>
      <c r="I3" s="20">
        <f>Submetering!J4+Submetering!I3+Submetering!H3</f>
        <v>21.478000000000002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4</v>
      </c>
      <c r="D4" s="9">
        <v>2020</v>
      </c>
      <c r="E4" s="20">
        <f>Submetering!E4</f>
        <v>3861</v>
      </c>
      <c r="F4" s="16">
        <v>0.12</v>
      </c>
      <c r="G4" s="20">
        <f>Submetering!F4+Submetering!G4</f>
        <v>158.02281834766356</v>
      </c>
      <c r="H4" s="16">
        <v>0.71</v>
      </c>
      <c r="I4" s="20">
        <f>Submetering!J5+Submetering!I4+Submetering!H4</f>
        <v>20.286000000000001</v>
      </c>
      <c r="J4" s="16">
        <v>2.3196172978505634</v>
      </c>
      <c r="K4" s="20">
        <f>Submetering!K4</f>
        <v>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4</v>
      </c>
      <c r="D5" s="9">
        <v>2020</v>
      </c>
      <c r="E5" s="20">
        <f>Submetering!E5</f>
        <v>3836.25</v>
      </c>
      <c r="F5" s="16">
        <v>0.12</v>
      </c>
      <c r="G5" s="20">
        <f>Submetering!F5+Submetering!G5</f>
        <v>96.379349045981314</v>
      </c>
      <c r="H5" s="16">
        <v>0.71</v>
      </c>
      <c r="I5" s="20">
        <f>Submetering!J6+Submetering!I5+Submetering!H5</f>
        <v>20.853283974499998</v>
      </c>
      <c r="J5" s="16">
        <v>2.3196172978505634</v>
      </c>
      <c r="K5" s="20">
        <f>Submetering!K5</f>
        <v>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4</v>
      </c>
      <c r="D6" s="9">
        <v>2020</v>
      </c>
      <c r="E6" s="20">
        <f>Submetering!E6</f>
        <v>3719.25</v>
      </c>
      <c r="F6" s="16">
        <v>0.12</v>
      </c>
      <c r="G6" s="20">
        <f>Submetering!F6+Submetering!G6</f>
        <v>101.12570145906543</v>
      </c>
      <c r="H6" s="16">
        <v>0.71</v>
      </c>
      <c r="I6" s="20">
        <f>Submetering!J7+Submetering!I6+Submetering!H6</f>
        <v>23.881716025500001</v>
      </c>
      <c r="J6" s="16">
        <v>2.3196172978505634</v>
      </c>
      <c r="K6" s="20">
        <f>Submetering!K6</f>
        <v>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4</v>
      </c>
      <c r="D7" s="9">
        <v>2020</v>
      </c>
      <c r="E7" s="20">
        <f>Submetering!E7</f>
        <v>3831.75</v>
      </c>
      <c r="F7" s="16">
        <v>0.12</v>
      </c>
      <c r="G7" s="20">
        <f>Submetering!F7+Submetering!G7</f>
        <v>82.12129346727103</v>
      </c>
      <c r="H7" s="16">
        <v>0.71</v>
      </c>
      <c r="I7" s="20">
        <f>Submetering!J8+Submetering!I7+Submetering!H7</f>
        <v>8.2460000000000004</v>
      </c>
      <c r="J7" s="16">
        <v>2.3196172978505634</v>
      </c>
      <c r="K7" s="20">
        <f>Submetering!K7</f>
        <v>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4</v>
      </c>
      <c r="D8" s="9">
        <v>2020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Submetering!J9+Submetering!I8+Submetering!H8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4</v>
      </c>
      <c r="D9" s="9">
        <v>2020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Submetering!J10+Submetering!I9+Submetering!H9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4</v>
      </c>
      <c r="D10" s="9">
        <v>2020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Submetering!J11+Submetering!I10+Submetering!H10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4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Submetering!J12+Submetering!I11+Submetering!H11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4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Submetering!J13+Submetering!I12+Submetering!H12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4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Submetering!J14+Submetering!I13+Submetering!H13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4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Submetering!J15+Submetering!I14+Submetering!H14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4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Submetering!J16+Submetering!I15+Submetering!H15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4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Submetering!J17+Submetering!I16+Submetering!H16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4</v>
      </c>
      <c r="D17" s="9">
        <v>2020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Submetering!J18+Submetering!I17+Submetering!H17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4</v>
      </c>
      <c r="D18" s="9">
        <v>2020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Submetering!J19+Submetering!I18+Submetering!H18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4</v>
      </c>
      <c r="D19" s="9">
        <v>2020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Submetering!J20+Submetering!I19+Submetering!H19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4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Submetering!J21+Submetering!I20+Submetering!H20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4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Submetering!J22+Submetering!I21+Submetering!H21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4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Submetering!J23+Submetering!I22+Submetering!H22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4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Submetering!J24+Submetering!I23+Submetering!H23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4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Submetering!J25+Submetering!I24+Submetering!H24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4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Submetering!J26+Submetering!I25+Submetering!H25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4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Submetering!J27+Submetering!I26+Submetering!H26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4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Submetering!J28+Submetering!I27+Submetering!H27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4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Submetering!J29+Submetering!I28+Submetering!H28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4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Submetering!J30+Submetering!I29+Submetering!H29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4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Submetering!J31+Submetering!I30+Submetering!H30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4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Submetering!J32+Submetering!I31+Submetering!H31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2" sqref="H1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4</v>
      </c>
      <c r="D2" s="6">
        <v>2020</v>
      </c>
      <c r="E2" s="20">
        <v>3759.75</v>
      </c>
      <c r="F2" s="20">
        <v>202.53693495046727</v>
      </c>
      <c r="G2" s="20">
        <v>2.9031341642242996</v>
      </c>
      <c r="H2" s="20">
        <v>0.68400000000000005</v>
      </c>
      <c r="I2" s="20">
        <v>6</v>
      </c>
      <c r="J2" s="20">
        <v>11.5997206704</v>
      </c>
      <c r="K2" s="20">
        <v>5</v>
      </c>
    </row>
    <row r="3" spans="1:12" x14ac:dyDescent="0.25">
      <c r="A3" s="17" t="s">
        <v>32</v>
      </c>
      <c r="B3" s="6">
        <f>B2+1</f>
        <v>2</v>
      </c>
      <c r="C3" s="6">
        <v>4</v>
      </c>
      <c r="D3" s="6">
        <v>2020</v>
      </c>
      <c r="E3" s="20">
        <v>3820.5</v>
      </c>
      <c r="F3" s="20">
        <v>158.00686102616822</v>
      </c>
      <c r="G3" s="20">
        <v>1</v>
      </c>
      <c r="H3" s="20">
        <v>0.47799999999999998</v>
      </c>
      <c r="I3" s="20">
        <v>10</v>
      </c>
      <c r="J3" s="20">
        <v>13</v>
      </c>
      <c r="K3" s="20">
        <v>4</v>
      </c>
    </row>
    <row r="4" spans="1:12" x14ac:dyDescent="0.25">
      <c r="A4" s="17" t="s">
        <v>32</v>
      </c>
      <c r="B4" s="6">
        <f t="shared" ref="B4:B31" si="0">B3+1</f>
        <v>3</v>
      </c>
      <c r="C4" s="6">
        <v>4</v>
      </c>
      <c r="D4" s="6">
        <v>2020</v>
      </c>
      <c r="E4" s="20">
        <v>3861</v>
      </c>
      <c r="F4" s="20">
        <v>156.02281834766356</v>
      </c>
      <c r="G4" s="20">
        <v>2</v>
      </c>
      <c r="H4" s="20">
        <v>0.28599999999999998</v>
      </c>
      <c r="I4" s="20">
        <v>7</v>
      </c>
      <c r="J4" s="20">
        <v>11</v>
      </c>
      <c r="K4" s="20">
        <v>4</v>
      </c>
    </row>
    <row r="5" spans="1:12" x14ac:dyDescent="0.25">
      <c r="A5" s="17" t="s">
        <v>32</v>
      </c>
      <c r="B5" s="6">
        <f t="shared" si="0"/>
        <v>4</v>
      </c>
      <c r="C5" s="6">
        <v>4</v>
      </c>
      <c r="D5" s="6">
        <v>2020</v>
      </c>
      <c r="E5" s="20">
        <v>3836.25</v>
      </c>
      <c r="F5" s="20">
        <v>92.379349045981314</v>
      </c>
      <c r="G5" s="20">
        <v>4</v>
      </c>
      <c r="H5" s="20">
        <v>0.45500000000000002</v>
      </c>
      <c r="I5" s="20">
        <v>8</v>
      </c>
      <c r="J5" s="20">
        <v>13</v>
      </c>
      <c r="K5" s="20">
        <v>4</v>
      </c>
    </row>
    <row r="6" spans="1:12" x14ac:dyDescent="0.25">
      <c r="A6" s="17" t="s">
        <v>32</v>
      </c>
      <c r="B6" s="6">
        <f t="shared" si="0"/>
        <v>5</v>
      </c>
      <c r="C6" s="6">
        <v>4</v>
      </c>
      <c r="D6" s="6">
        <v>2020</v>
      </c>
      <c r="E6" s="20">
        <v>3719.25</v>
      </c>
      <c r="F6" s="20">
        <v>92.125701459065425</v>
      </c>
      <c r="G6" s="20">
        <v>9</v>
      </c>
      <c r="H6" s="20">
        <v>0.28000000000000003</v>
      </c>
      <c r="I6" s="20">
        <v>11</v>
      </c>
      <c r="J6" s="20">
        <v>12.3982839745</v>
      </c>
      <c r="K6" s="20">
        <v>4</v>
      </c>
    </row>
    <row r="7" spans="1:12" x14ac:dyDescent="0.25">
      <c r="A7" s="17" t="s">
        <v>32</v>
      </c>
      <c r="B7" s="6">
        <f t="shared" si="0"/>
        <v>6</v>
      </c>
      <c r="C7" s="6">
        <v>4</v>
      </c>
      <c r="D7" s="6">
        <v>2020</v>
      </c>
      <c r="E7" s="20">
        <v>3831.75</v>
      </c>
      <c r="F7" s="20">
        <v>75.47978142074767</v>
      </c>
      <c r="G7" s="20">
        <v>6.6415120465233652</v>
      </c>
      <c r="H7" s="20">
        <v>0.246</v>
      </c>
      <c r="I7" s="20">
        <v>8</v>
      </c>
      <c r="J7" s="20">
        <v>12.6017160255</v>
      </c>
      <c r="K7" s="20">
        <v>5</v>
      </c>
    </row>
    <row r="8" spans="1:12" x14ac:dyDescent="0.25">
      <c r="A8" s="17" t="s">
        <v>32</v>
      </c>
      <c r="B8" s="6">
        <f t="shared" si="0"/>
        <v>7</v>
      </c>
      <c r="C8" s="6">
        <v>4</v>
      </c>
      <c r="D8" s="6">
        <v>2020</v>
      </c>
      <c r="I8" s="6"/>
      <c r="K8" s="20"/>
    </row>
    <row r="9" spans="1:12" x14ac:dyDescent="0.25">
      <c r="A9" s="17" t="s">
        <v>32</v>
      </c>
      <c r="B9" s="6">
        <f t="shared" si="0"/>
        <v>8</v>
      </c>
      <c r="C9" s="6">
        <v>4</v>
      </c>
      <c r="D9" s="6">
        <v>2020</v>
      </c>
      <c r="I9" s="6"/>
      <c r="K9" s="20"/>
    </row>
    <row r="10" spans="1:12" x14ac:dyDescent="0.25">
      <c r="A10" s="17" t="s">
        <v>32</v>
      </c>
      <c r="B10" s="6">
        <f t="shared" si="0"/>
        <v>9</v>
      </c>
      <c r="C10" s="6">
        <v>4</v>
      </c>
      <c r="D10" s="6">
        <v>2020</v>
      </c>
      <c r="I10" s="6"/>
      <c r="K10" s="20"/>
    </row>
    <row r="11" spans="1:12" x14ac:dyDescent="0.25">
      <c r="A11" s="17" t="s">
        <v>32</v>
      </c>
      <c r="B11" s="6">
        <f t="shared" si="0"/>
        <v>10</v>
      </c>
      <c r="C11" s="6">
        <v>4</v>
      </c>
      <c r="D11" s="6">
        <v>2020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4</v>
      </c>
      <c r="D12" s="6">
        <v>2020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4</v>
      </c>
      <c r="D13" s="6">
        <v>2020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4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4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4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4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4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4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4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4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4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4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4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4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4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4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4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4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4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4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2020-04-07T09:39:17Z</dcterms:modified>
</cp:coreProperties>
</file>