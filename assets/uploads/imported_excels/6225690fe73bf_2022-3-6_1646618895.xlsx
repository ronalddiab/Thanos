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D406A5E-8A68-4947-BFFD-F2CB487FE079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<sst xmlns="http://schemas.openxmlformats.org/spreadsheetml/2006/main" count="66" uniqueCount="32">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</sst>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</v>
          </cell>
        </row>
        <row r="23">
          <cell r="M23" t="e">
            <v>#DIV/0!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F2" sqref="F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0</v>
      </c>
      <c r="F2" s="34">
        <f>[1]見込!$G$3</f>
        <v>25</v>
      </c>
      <c r="G2" s="9">
        <f>'Otemachi Daily'!F5</f>
        <v>0</v>
      </c>
      <c r="H2" s="34" t="e">
        <f>[1]見込!$M$23</f>
        <v>#DIV/0!</v>
      </c>
      <c r="I2" s="9">
        <f>'Otemachi Daily'!H5</f>
        <v>0</v>
      </c>
      <c r="J2" s="34">
        <v>10.79</v>
      </c>
      <c r="K2" s="9">
        <f>'Otemachi Daily'!J5</f>
        <v>0</v>
      </c>
      <c r="L2" s="34">
        <v>7.22</v>
      </c>
      <c r="M2" s="9">
        <f>'Otemachi Daily'!L5</f>
        <v>0</v>
      </c>
      <c r="N2" s="34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0</v>
      </c>
      <c r="F3" s="34">
        <f>[1]見込!$G$3</f>
        <v>25</v>
      </c>
      <c r="G3" s="9">
        <f>'Otemachi Daily'!F6</f>
        <v>0</v>
      </c>
      <c r="H3" s="34" t="e">
        <f>[1]見込!$M$23</f>
        <v>#DIV/0!</v>
      </c>
      <c r="I3" s="9">
        <f>'Otemachi Daily'!H6</f>
        <v>0</v>
      </c>
      <c r="J3" s="34">
        <v>10.79</v>
      </c>
      <c r="K3" s="9">
        <f>'Otemachi Daily'!J6</f>
        <v>0</v>
      </c>
      <c r="L3" s="34">
        <v>7.22</v>
      </c>
      <c r="M3" s="9">
        <f>'Otemachi Daily'!L6</f>
        <v>0</v>
      </c>
      <c r="N3" s="34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0</v>
      </c>
      <c r="F4" s="34">
        <f>[1]見込!$G$3</f>
        <v>25</v>
      </c>
      <c r="G4" s="9">
        <f>'Otemachi Daily'!F7</f>
        <v>0</v>
      </c>
      <c r="H4" s="34" t="e">
        <f>[1]見込!$M$23</f>
        <v>#DIV/0!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0</v>
      </c>
      <c r="F5" s="34">
        <f>[1]見込!$G$3</f>
        <v>25</v>
      </c>
      <c r="G5" s="9">
        <f>'Otemachi Daily'!F8</f>
        <v>0</v>
      </c>
      <c r="H5" s="34" t="e">
        <f>[1]見込!$M$23</f>
        <v>#DIV/0!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0</v>
      </c>
      <c r="F6" s="34">
        <f>[1]見込!$G$3</f>
        <v>25</v>
      </c>
      <c r="G6" s="9">
        <f>'Otemachi Daily'!F9</f>
        <v>0</v>
      </c>
      <c r="H6" s="34" t="e">
        <f>[1]見込!$M$23</f>
        <v>#DIV/0!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0</v>
      </c>
      <c r="F7" s="34">
        <f>[1]見込!$G$3</f>
        <v>25</v>
      </c>
      <c r="G7" s="9">
        <f>'Otemachi Daily'!F10</f>
        <v>0</v>
      </c>
      <c r="H7" s="34" t="e">
        <f>[1]見込!$M$23</f>
        <v>#DIV/0!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0</v>
      </c>
      <c r="F8" s="34">
        <f>[1]見込!$G$3</f>
        <v>25</v>
      </c>
      <c r="G8" s="9">
        <f>'Otemachi Daily'!F11</f>
        <v>0</v>
      </c>
      <c r="H8" s="34" t="e">
        <f>[1]見込!$M$23</f>
        <v>#DIV/0!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0</v>
      </c>
      <c r="F9" s="34">
        <f>[1]見込!$G$3</f>
        <v>25</v>
      </c>
      <c r="G9" s="9">
        <f>'Otemachi Daily'!F12</f>
        <v>0</v>
      </c>
      <c r="H9" s="34" t="e">
        <f>[1]見込!$M$23</f>
        <v>#DIV/0!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0</v>
      </c>
      <c r="F10" s="34">
        <f>[1]見込!$G$3</f>
        <v>25</v>
      </c>
      <c r="G10" s="9">
        <f>'Otemachi Daily'!F13</f>
        <v>0</v>
      </c>
      <c r="H10" s="34" t="e">
        <f>[1]見込!$M$23</f>
        <v>#DIV/0!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0</v>
      </c>
      <c r="F11" s="34">
        <f>[1]見込!$G$3</f>
        <v>25</v>
      </c>
      <c r="G11" s="9">
        <f>'Otemachi Daily'!F14</f>
        <v>0</v>
      </c>
      <c r="H11" s="34" t="e">
        <f>[1]見込!$M$23</f>
        <v>#DIV/0!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0</v>
      </c>
      <c r="F12" s="34">
        <f>[1]見込!$G$3</f>
        <v>25</v>
      </c>
      <c r="G12" s="9">
        <f>'Otemachi Daily'!F15</f>
        <v>0</v>
      </c>
      <c r="H12" s="34" t="e">
        <f>[1]見込!$M$23</f>
        <v>#DIV/0!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0</v>
      </c>
      <c r="F13" s="34">
        <f>[1]見込!$G$3</f>
        <v>25</v>
      </c>
      <c r="G13" s="9">
        <f>'Otemachi Daily'!F16</f>
        <v>0</v>
      </c>
      <c r="H13" s="34" t="e">
        <f>[1]見込!$M$23</f>
        <v>#DIV/0!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0</v>
      </c>
      <c r="F14" s="34">
        <f>[1]見込!$G$3</f>
        <v>25</v>
      </c>
      <c r="G14" s="9">
        <f>'Otemachi Daily'!F17</f>
        <v>0</v>
      </c>
      <c r="H14" s="34" t="e">
        <f>[1]見込!$M$23</f>
        <v>#DIV/0!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0</v>
      </c>
      <c r="F15" s="34">
        <f>[1]見込!$G$3</f>
        <v>25</v>
      </c>
      <c r="G15" s="9">
        <f>'Otemachi Daily'!F18</f>
        <v>0</v>
      </c>
      <c r="H15" s="34" t="e">
        <f>[1]見込!$M$23</f>
        <v>#DIV/0!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0</v>
      </c>
      <c r="F16" s="34">
        <f>[1]見込!$G$3</f>
        <v>25</v>
      </c>
      <c r="G16" s="9">
        <f>'Otemachi Daily'!F19</f>
        <v>0</v>
      </c>
      <c r="H16" s="34" t="e">
        <f>[1]見込!$M$23</f>
        <v>#DIV/0!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0</v>
      </c>
      <c r="F17" s="34">
        <f>[1]見込!$G$3</f>
        <v>25</v>
      </c>
      <c r="G17" s="9">
        <f>'Otemachi Daily'!F20</f>
        <v>0</v>
      </c>
      <c r="H17" s="34" t="e">
        <f>[1]見込!$M$23</f>
        <v>#DIV/0!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0</v>
      </c>
      <c r="F18" s="34">
        <f>[1]見込!$G$3</f>
        <v>25</v>
      </c>
      <c r="G18" s="9">
        <f>'Otemachi Daily'!F21</f>
        <v>0</v>
      </c>
      <c r="H18" s="34" t="e">
        <f>[1]見込!$M$23</f>
        <v>#DIV/0!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0</v>
      </c>
      <c r="F19" s="34">
        <f>[1]見込!$G$3</f>
        <v>25</v>
      </c>
      <c r="G19" s="9">
        <f>'Otemachi Daily'!F22</f>
        <v>0</v>
      </c>
      <c r="H19" s="34" t="e">
        <f>[1]見込!$M$23</f>
        <v>#DIV/0!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0</v>
      </c>
      <c r="F20" s="34">
        <f>[1]見込!$G$3</f>
        <v>25</v>
      </c>
      <c r="G20" s="9">
        <f>'Otemachi Daily'!F23</f>
        <v>0</v>
      </c>
      <c r="H20" s="34" t="e">
        <f>[1]見込!$M$23</f>
        <v>#DIV/0!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0</v>
      </c>
      <c r="F21" s="34">
        <f>[1]見込!$G$3</f>
        <v>25</v>
      </c>
      <c r="G21" s="9">
        <f>'Otemachi Daily'!F24</f>
        <v>0</v>
      </c>
      <c r="H21" s="34" t="e">
        <f>[1]見込!$M$23</f>
        <v>#DIV/0!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0</v>
      </c>
      <c r="F22" s="34">
        <f>[1]見込!$G$3</f>
        <v>25</v>
      </c>
      <c r="G22" s="9">
        <f>'Otemachi Daily'!F25</f>
        <v>0</v>
      </c>
      <c r="H22" s="34" t="e">
        <f>[1]見込!$M$23</f>
        <v>#DIV/0!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0</v>
      </c>
      <c r="F23" s="34">
        <f>[1]見込!$G$3</f>
        <v>25</v>
      </c>
      <c r="G23" s="9">
        <f>'Otemachi Daily'!F26</f>
        <v>0</v>
      </c>
      <c r="H23" s="34" t="e">
        <f>[1]見込!$M$23</f>
        <v>#DIV/0!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0</v>
      </c>
      <c r="F24" s="34">
        <f>[1]見込!$G$3</f>
        <v>25</v>
      </c>
      <c r="G24" s="9">
        <f>'Otemachi Daily'!F27</f>
        <v>0</v>
      </c>
      <c r="H24" s="34" t="e">
        <f>[1]見込!$M$23</f>
        <v>#DIV/0!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0</v>
      </c>
      <c r="F25" s="34">
        <f>[1]見込!$G$3</f>
        <v>25</v>
      </c>
      <c r="G25" s="9">
        <f>'Otemachi Daily'!F28</f>
        <v>0</v>
      </c>
      <c r="H25" s="34" t="e">
        <f>[1]見込!$M$23</f>
        <v>#DIV/0!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0</v>
      </c>
      <c r="F26" s="34">
        <f>[1]見込!$G$3</f>
        <v>25</v>
      </c>
      <c r="G26" s="9">
        <f>'Otemachi Daily'!F29</f>
        <v>0</v>
      </c>
      <c r="H26" s="34" t="e">
        <f>[1]見込!$M$23</f>
        <v>#DIV/0!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0</v>
      </c>
      <c r="F27" s="34">
        <f>[1]見込!$G$3</f>
        <v>25</v>
      </c>
      <c r="G27" s="9">
        <f>'Otemachi Daily'!F30</f>
        <v>0</v>
      </c>
      <c r="H27" s="34" t="e">
        <f>[1]見込!$M$23</f>
        <v>#DIV/0!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0</v>
      </c>
      <c r="F28" s="34">
        <f>[1]見込!$G$3</f>
        <v>25</v>
      </c>
      <c r="G28" s="9">
        <f>'Otemachi Daily'!F31</f>
        <v>0</v>
      </c>
      <c r="H28" s="34" t="e">
        <f>[1]見込!$M$23</f>
        <v>#DIV/0!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0</v>
      </c>
      <c r="F29" s="34">
        <f>[1]見込!$G$3</f>
        <v>25</v>
      </c>
      <c r="G29" s="9">
        <f>'Otemachi Daily'!F32</f>
        <v>0</v>
      </c>
      <c r="H29" s="34" t="e">
        <f>[1]見込!$M$23</f>
        <v>#DIV/0!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0</v>
      </c>
      <c r="F30" s="34">
        <f>[1]見込!$G$3</f>
        <v>25</v>
      </c>
      <c r="G30" s="9">
        <f>'Otemachi Daily'!F33</f>
        <v>0</v>
      </c>
      <c r="H30" s="34" t="e">
        <f>[1]見込!$M$23</f>
        <v>#DIV/0!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0</v>
      </c>
      <c r="F31" s="34">
        <f>[1]見込!$G$3</f>
        <v>25</v>
      </c>
      <c r="G31" s="9">
        <f>'Otemachi Daily'!F34</f>
        <v>0</v>
      </c>
      <c r="H31" s="34" t="e">
        <f>[1]見込!$M$23</f>
        <v>#DIV/0!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0</v>
      </c>
      <c r="F32" s="34">
        <f>[1]見込!$G$3</f>
        <v>25</v>
      </c>
      <c r="G32" s="9">
        <f>'Otemachi Daily'!F35</f>
        <v>0</v>
      </c>
      <c r="H32" s="34" t="e">
        <f>[1]見込!$M$23</f>
        <v>#DIV/0!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1" sqref="Q11:R1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44621</v>
      </c>
      <c r="B5" s="37"/>
      <c r="C5" s="35">
        <f>[1]コスト!$G$147</f>
        <v>0</v>
      </c>
      <c r="D5" s="35">
        <f>C5</f>
        <v>0</v>
      </c>
      <c r="E5" s="35">
        <f>[1]コスト!$G$23</f>
        <v>0</v>
      </c>
      <c r="F5" s="35">
        <f>E5</f>
        <v>0</v>
      </c>
      <c r="G5" s="35">
        <f>[1]コスト!$G$115</f>
        <v>0</v>
      </c>
      <c r="H5" s="35">
        <f>G5</f>
        <v>0</v>
      </c>
      <c r="I5" s="35">
        <f>[1]コスト!$G$91</f>
        <v>0</v>
      </c>
      <c r="J5" s="35">
        <f>I5</f>
        <v>0</v>
      </c>
      <c r="K5" s="35">
        <f>[1]コスト!$G$41</f>
        <v>0</v>
      </c>
      <c r="L5" s="35">
        <f>K5</f>
        <v>0</v>
      </c>
      <c r="M5" s="35">
        <f>[1]使用量!$G$387</f>
        <v>0</v>
      </c>
      <c r="N5" s="35">
        <f>[1]使用量!$G$388</f>
        <v>0</v>
      </c>
      <c r="O5" s="26"/>
    </row>
    <row r="6" spans="1:15" ht="45" customHeight="1">
      <c r="A6" s="28">
        <v>44622</v>
      </c>
      <c r="B6" s="37"/>
      <c r="C6" s="35">
        <f>[1]コスト!$H$147</f>
        <v>0</v>
      </c>
      <c r="D6" s="35">
        <f t="shared" ref="D6:F35" si="0">C6</f>
        <v>0</v>
      </c>
      <c r="E6" s="35">
        <f>[1]コスト!$H$23</f>
        <v>0</v>
      </c>
      <c r="F6" s="35">
        <f t="shared" si="0"/>
        <v>0</v>
      </c>
      <c r="G6" s="35">
        <f>[1]コスト!$H$115</f>
        <v>0</v>
      </c>
      <c r="H6" s="35">
        <f t="shared" ref="H6" si="1">G6</f>
        <v>0</v>
      </c>
      <c r="I6" s="35">
        <f>[1]コスト!$H$91</f>
        <v>0</v>
      </c>
      <c r="J6" s="35">
        <f t="shared" ref="J6" si="2">I6</f>
        <v>0</v>
      </c>
      <c r="K6" s="35">
        <f>[1]コスト!$H$41</f>
        <v>0</v>
      </c>
      <c r="L6" s="35">
        <f t="shared" ref="L6" si="3">K6</f>
        <v>0</v>
      </c>
      <c r="M6" s="35">
        <f>[1]使用量!$H$387</f>
        <v>0</v>
      </c>
      <c r="N6" s="35">
        <f>[1]使用量!$H$388</f>
        <v>0</v>
      </c>
      <c r="O6" s="26"/>
    </row>
    <row r="7" spans="1:15" ht="45" customHeight="1">
      <c r="A7" s="28">
        <v>44623</v>
      </c>
      <c r="B7" s="37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</row>
    <row r="8" spans="1:15" ht="45" customHeight="1">
      <c r="A8" s="28">
        <v>44624</v>
      </c>
      <c r="B8" s="37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</row>
    <row r="9" spans="1:15" ht="45" customHeight="1">
      <c r="A9" s="28">
        <v>44625</v>
      </c>
      <c r="B9" s="37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</row>
    <row r="10" spans="1:15" ht="45" customHeight="1">
      <c r="A10" s="28">
        <v>44626</v>
      </c>
      <c r="B10" s="37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</row>
    <row r="11" spans="1:15" ht="45" customHeight="1">
      <c r="A11" s="28">
        <v>44627</v>
      </c>
      <c r="B11" s="37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</row>
    <row r="12" spans="1:15" ht="45" customHeight="1">
      <c r="A12" s="28">
        <v>44628</v>
      </c>
      <c r="B12" s="37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</row>
    <row r="13" spans="1:15" ht="45" customHeight="1">
      <c r="A13" s="28">
        <v>44629</v>
      </c>
      <c r="B13" s="37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</row>
    <row r="14" spans="1:15" ht="45" customHeight="1">
      <c r="A14" s="28">
        <v>44630</v>
      </c>
      <c r="B14" s="37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</row>
    <row r="15" spans="1:15" ht="45" customHeight="1">
      <c r="A15" s="28">
        <v>44631</v>
      </c>
      <c r="B15" s="37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</row>
    <row r="16" spans="1:15" ht="45" customHeight="1">
      <c r="A16" s="28">
        <v>44632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</row>
    <row r="17" spans="1:26" ht="45" customHeight="1">
      <c r="A17" s="28">
        <v>44633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</row>
    <row r="18" spans="1:26" ht="45" customHeight="1">
      <c r="A18" s="28">
        <v>44634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Z18" s="36"/>
    </row>
    <row r="19" spans="1:26" ht="45" customHeight="1">
      <c r="A19" s="28">
        <v>44635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44636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44637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44638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44639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44640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44641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44642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44643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44644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44645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44646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44647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44648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44649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44650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44651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2022-02-27T06:36:04Z</dcterms:modified>
</cp:coreProperties>
</file>