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Z37" i="7"/>
  <c r="CX37" i="7"/>
  <c r="CV37" i="7"/>
  <c r="CT37" i="7"/>
  <c r="CR37" i="7"/>
  <c r="CN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G37" i="7"/>
  <c r="E37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<sst xmlns="http://schemas.openxmlformats.org/spreadsheetml/2006/main" count="315" uniqueCount="148">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</sst>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27.472499999999997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>
        <f>Submetering!E6+Submetering!F6+Submetering!G6+Submetering!H6+Submetering!J6-Submetering!AV6</f>
        <v>14349.999999999669</v>
      </c>
      <c r="F6" s="11">
        <f t="shared" si="0"/>
        <v>0.58765030286592534</v>
      </c>
      <c r="G6" s="12">
        <f>(Submetering!AX6+Submetering!AY6+Submetering!AZ6+Submetering!BA6+Submetering!BB6)</f>
        <v>25.640999999999998</v>
      </c>
      <c r="H6" s="11">
        <f t="shared" si="1"/>
        <v>0.99</v>
      </c>
      <c r="I6" s="12">
        <f>'FS Desroches Daily'!CM8</f>
        <v>105</v>
      </c>
      <c r="J6" s="11">
        <f t="shared" si="2"/>
        <v>10.487297712684205</v>
      </c>
      <c r="K6" s="13">
        <f>'FS Desroches Daily'!CN8</f>
        <v>29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>
        <f>Submetering!E7+Submetering!F7+Submetering!G7+Submetering!H7+Submetering!J7-Submetering!AV7</f>
        <v>14429.999999999785</v>
      </c>
      <c r="F7" s="11">
        <f t="shared" si="0"/>
        <v>0.58765030286592534</v>
      </c>
      <c r="G7" s="12">
        <f>(Submetering!AX7+Submetering!AY7+Submetering!AZ7+Submetering!BA7+Submetering!BB7)</f>
        <v>21.977999999999998</v>
      </c>
      <c r="H7" s="11">
        <f t="shared" si="1"/>
        <v>0.99</v>
      </c>
      <c r="I7" s="12">
        <f>'FS Desroches Daily'!CM9</f>
        <v>109</v>
      </c>
      <c r="J7" s="11">
        <f t="shared" si="2"/>
        <v>10.487297712684205</v>
      </c>
      <c r="K7" s="13">
        <f>'FS Desroches Daily'!CN9</f>
        <v>31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>
        <f>Submetering!E8+Submetering!F8+Submetering!G8+Submetering!H8+Submetering!J8-Submetering!AV8</f>
        <v>13469.999999999609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103</v>
      </c>
      <c r="J8" s="11">
        <f t="shared" si="2"/>
        <v>10.487297712684205</v>
      </c>
      <c r="K8" s="13">
        <f>'FS Desroches Daily'!CN10</f>
        <v>31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 t="e">
        <f>Submetering!E9+Submetering!F9+Submetering!G9+Submetering!H9+Submetering!J9-Submetering!AV9</f>
        <v>#VALUE!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 t="e">
        <f>'FS Desroches Daily'!CM11</f>
        <v>#VALUE!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>
        <f>'FS Desroches Daily'!X8</f>
        <v>449.99999999998863</v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>
        <f>IF(LPG!F12-LPG!F11&lt;0,"0",(LPG!F12-LPG!F11)*1.8315)</f>
        <v>10.988999999999999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>
        <f>'FS Desroches Daily'!D8</f>
        <v>4000.0000000000036</v>
      </c>
      <c r="F6" s="32">
        <f>'FS Desroches Daily'!F8</f>
        <v>3499.9999999998367</v>
      </c>
      <c r="G6" s="31">
        <f>'FS Desroches Daily'!H8</f>
        <v>3499.9999999998367</v>
      </c>
      <c r="H6" s="32">
        <f>'FS Desroches Daily'!J8</f>
        <v>1900.0000000000127</v>
      </c>
      <c r="I6" s="31">
        <f>'FS Desroches Daily'!L8</f>
        <v>2299.9999999999686</v>
      </c>
      <c r="J6" s="32">
        <f>'FS Desroches Daily'!N8</f>
        <v>2199.9999999999795</v>
      </c>
      <c r="K6" s="13">
        <f>'FS Desroches Daily'!P8</f>
        <v>79</v>
      </c>
      <c r="L6" s="31">
        <f>'FS Desroches Daily'!R8</f>
        <v>8</v>
      </c>
      <c r="M6" s="31">
        <f>'FS Desroches Daily'!T8</f>
        <v>1.5</v>
      </c>
      <c r="N6" s="31">
        <f>'FS Desroches Daily'!V8</f>
        <v>554.60000000003492</v>
      </c>
      <c r="O6" s="31">
        <f>'FS Desroches Daily'!X8</f>
        <v>449.99999999998863</v>
      </c>
      <c r="P6" s="31">
        <f>'FS Desroches Daily'!Z8</f>
        <v>3400.0000000000696</v>
      </c>
      <c r="Q6" s="31">
        <f>'FS Desroches Daily'!AB8</f>
        <v>500</v>
      </c>
      <c r="R6" s="31">
        <f>'FS Desroches Daily'!AD8</f>
        <v>510.00000000004775</v>
      </c>
      <c r="S6" s="31">
        <f>'FS Desroches Daily'!AF8</f>
        <v>1139.9999999999864</v>
      </c>
      <c r="T6" s="31">
        <f>'FS Desroches Daily'!AH8</f>
        <v>51</v>
      </c>
      <c r="U6" s="35">
        <f>'FS Desroches Daily'!AJ8</f>
        <v>1129.9999999999955</v>
      </c>
      <c r="V6" s="35">
        <f>'FS Desroches Daily'!AL8</f>
        <v>339.99999999997499</v>
      </c>
      <c r="W6" s="35">
        <f>'FS Desroches Daily'!AN8</f>
        <v>299.99999999998295</v>
      </c>
      <c r="X6" s="35">
        <f>'FS Desroches Daily'!AP8</f>
        <v>359.99999999998522</v>
      </c>
      <c r="Y6" s="35">
        <f>'FS Desroches Daily'!AR8</f>
        <v>339.99999999997499</v>
      </c>
      <c r="Z6" s="35">
        <f>'FS Desroches Daily'!AT8</f>
        <v>379.99999999999545</v>
      </c>
      <c r="AA6" s="35">
        <f>'FS Desroches Daily'!AT8</f>
        <v>379.99999999999545</v>
      </c>
      <c r="AB6" s="35">
        <f>'FS Desroches Daily'!AV8</f>
        <v>279.99999999997272</v>
      </c>
      <c r="AC6" s="35">
        <f>'FS Desroches Daily'!AZ8</f>
        <v>359.9999999999568</v>
      </c>
      <c r="AD6" s="35">
        <f>'FS Desroches Daily'!BB8</f>
        <v>210.00000000003638</v>
      </c>
      <c r="AE6" s="35">
        <f>'FS Desroches Daily'!BD8</f>
        <v>100.00000000002274</v>
      </c>
      <c r="AF6" s="31">
        <f>'FS Desroches Daily'!BF8</f>
        <v>45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50.000000000011369</v>
      </c>
      <c r="AK6" s="32">
        <f>'FS Desroches Daily'!BP8</f>
        <v>70.000000000050022</v>
      </c>
      <c r="AL6" s="32">
        <f>'FS Desroches Daily'!BR8</f>
        <v>40</v>
      </c>
      <c r="AM6" s="32">
        <f>'FS Desroches Daily'!BT8</f>
        <v>69.999999999993179</v>
      </c>
      <c r="AN6" s="32">
        <f>'FS Desroches Daily'!BV8</f>
        <v>59</v>
      </c>
      <c r="AO6" s="32">
        <f>'FS Desroches Daily'!BX8</f>
        <v>60.000000000002274</v>
      </c>
      <c r="AP6" s="32">
        <f>'FS Desroches Daily'!BZ8</f>
        <v>51</v>
      </c>
      <c r="AQ6" s="31">
        <f>'FS Desroches Daily'!CB8</f>
        <v>55.5</v>
      </c>
      <c r="AR6" s="31">
        <f>'FS Desroches Daily'!CD8</f>
        <v>15.5</v>
      </c>
      <c r="AS6" s="31">
        <f>'FS Desroches Daily'!CF8</f>
        <v>7.8999999999996362</v>
      </c>
      <c r="AT6" s="31">
        <f>'FS Desroches Daily'!CH8</f>
        <v>50.400000000008731</v>
      </c>
      <c r="AU6" s="31">
        <f>'FS Desroches Daily'!CJ8</f>
        <v>323</v>
      </c>
      <c r="AV6" s="31">
        <f>'FS Desroches Daily'!CL8</f>
        <v>750</v>
      </c>
      <c r="AW6" s="31">
        <f>'FS Desroches Daily'!CM8</f>
        <v>105</v>
      </c>
      <c r="AX6" s="31">
        <f>IF(LPG!F13-LPG!F12&lt;0,"0",(LPG!F13-LPG!F12)*1.8315)</f>
        <v>12.820499999999999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7.3259999999999996</v>
      </c>
      <c r="BC6" s="13">
        <f>'FS Desroches Daily'!CN8</f>
        <v>29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>
        <f>'FS Desroches Daily'!D9</f>
        <v>4199.9999999999818</v>
      </c>
      <c r="F7" s="32">
        <f>'FS Desroches Daily'!F9</f>
        <v>3599.9999999996035</v>
      </c>
      <c r="G7" s="31">
        <f>'FS Desroches Daily'!H9</f>
        <v>3400.0000000000696</v>
      </c>
      <c r="H7" s="32">
        <f>'FS Desroches Daily'!J9</f>
        <v>1900.0000000000127</v>
      </c>
      <c r="I7" s="31">
        <f>'FS Desroches Daily'!L9</f>
        <v>2600.0000000001578</v>
      </c>
      <c r="J7" s="32">
        <f>'FS Desroches Daily'!N9</f>
        <v>2100.0000000002128</v>
      </c>
      <c r="K7" s="13">
        <f>'FS Desroches Daily'!P9</f>
        <v>0</v>
      </c>
      <c r="L7" s="31">
        <f>'FS Desroches Daily'!R9</f>
        <v>6</v>
      </c>
      <c r="M7" s="31">
        <f>'FS Desroches Daily'!T9</f>
        <v>1.6999999999998181</v>
      </c>
      <c r="N7" s="31">
        <f>'FS Desroches Daily'!V9</f>
        <v>542.5</v>
      </c>
      <c r="O7" s="31">
        <f>'FS Desroches Daily'!X9</f>
        <v>480.00000000001819</v>
      </c>
      <c r="P7" s="31">
        <f>'FS Desroches Daily'!Z9</f>
        <v>2999.9999999996694</v>
      </c>
      <c r="Q7" s="31">
        <f>'FS Desroches Daily'!AB9</f>
        <v>370.00000000000455</v>
      </c>
      <c r="R7" s="31">
        <f>'FS Desroches Daily'!AD9</f>
        <v>599.99999999996589</v>
      </c>
      <c r="S7" s="31">
        <f>'FS Desroches Daily'!AF9</f>
        <v>1170.0000000000728</v>
      </c>
      <c r="T7" s="31">
        <f>'FS Desroches Daily'!AH9</f>
        <v>45</v>
      </c>
      <c r="U7" s="35">
        <f>'FS Desroches Daily'!AJ9</f>
        <v>1090.0000000000318</v>
      </c>
      <c r="V7" s="35">
        <f>'FS Desroches Daily'!AL9</f>
        <v>250</v>
      </c>
      <c r="W7" s="35">
        <f>'FS Desroches Daily'!AN9</f>
        <v>230.00000000001819</v>
      </c>
      <c r="X7" s="35">
        <f>'FS Desroches Daily'!AP9</f>
        <v>360.00000000001364</v>
      </c>
      <c r="Y7" s="35">
        <f>'FS Desroches Daily'!AR9</f>
        <v>310.00000000000227</v>
      </c>
      <c r="Z7" s="35">
        <f>'FS Desroches Daily'!AT9</f>
        <v>379.99999999999545</v>
      </c>
      <c r="AA7" s="35">
        <f>'FS Desroches Daily'!AT9</f>
        <v>379.99999999999545</v>
      </c>
      <c r="AB7" s="35">
        <f>'FS Desroches Daily'!AV9</f>
        <v>300.00000000001137</v>
      </c>
      <c r="AC7" s="35">
        <f>'FS Desroches Daily'!AZ9</f>
        <v>360.00000000001364</v>
      </c>
      <c r="AD7" s="35">
        <f>'FS Desroches Daily'!BB9</f>
        <v>269.99999999998181</v>
      </c>
      <c r="AE7" s="35">
        <f>'FS Desroches Daily'!BD9</f>
        <v>120.00000000000455</v>
      </c>
      <c r="AF7" s="31">
        <f>'FS Desroches Daily'!BF9</f>
        <v>39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49.999999999982947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45</v>
      </c>
      <c r="AM7" s="32">
        <f>'FS Desroches Daily'!BT9</f>
        <v>70.0000000000216</v>
      </c>
      <c r="AN7" s="32">
        <f>'FS Desroches Daily'!BV9</f>
        <v>64</v>
      </c>
      <c r="AO7" s="32">
        <f>'FS Desroches Daily'!BX9</f>
        <v>49.999999999982947</v>
      </c>
      <c r="AP7" s="32">
        <f>'FS Desroches Daily'!BZ9</f>
        <v>61</v>
      </c>
      <c r="AQ7" s="31">
        <f>'FS Desroches Daily'!CB9</f>
        <v>50.5</v>
      </c>
      <c r="AR7" s="31">
        <f>'FS Desroches Daily'!CD9</f>
        <v>11.200000000000728</v>
      </c>
      <c r="AS7" s="31">
        <f>'FS Desroches Daily'!CF9</f>
        <v>7.1000000000003638</v>
      </c>
      <c r="AT7" s="31">
        <f>'FS Desroches Daily'!CH9</f>
        <v>47.799999999988358</v>
      </c>
      <c r="AU7" s="31">
        <f>'FS Desroches Daily'!CJ9</f>
        <v>345</v>
      </c>
      <c r="AV7" s="31">
        <f>'FS Desroches Daily'!CL9</f>
        <v>770.0000000000955</v>
      </c>
      <c r="AW7" s="31">
        <f>'FS Desroches Daily'!CM9</f>
        <v>109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31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>
        <f>'FS Desroches Daily'!D10</f>
        <v>3700.0000000002588</v>
      </c>
      <c r="F8" s="32">
        <f>'FS Desroches Daily'!F10</f>
        <v>3499.9999999998367</v>
      </c>
      <c r="G8" s="31">
        <f>'FS Desroches Daily'!H10</f>
        <v>3199.9999999996476</v>
      </c>
      <c r="H8" s="32">
        <f>'FS Desroches Daily'!J10</f>
        <v>1900.0000000000127</v>
      </c>
      <c r="I8" s="31">
        <f>'FS Desroches Daily'!L10</f>
        <v>2499.9999999999468</v>
      </c>
      <c r="J8" s="32">
        <f>'FS Desroches Daily'!N10</f>
        <v>1999.9999999997797</v>
      </c>
      <c r="K8" s="13">
        <f>'FS Desroches Daily'!P10</f>
        <v>58</v>
      </c>
      <c r="L8" s="31">
        <f>'FS Desroches Daily'!R10</f>
        <v>7</v>
      </c>
      <c r="M8" s="31">
        <f>'FS Desroches Daily'!T10</f>
        <v>1</v>
      </c>
      <c r="N8" s="31">
        <f>'FS Desroches Daily'!V10</f>
        <v>391</v>
      </c>
      <c r="O8" s="31">
        <f>'FS Desroches Daily'!X10</f>
        <v>420.00000000001592</v>
      </c>
      <c r="P8" s="31">
        <f>'FS Desroches Daily'!Z10</f>
        <v>3100.0000000003247</v>
      </c>
      <c r="Q8" s="31">
        <f>'FS Desroches Daily'!AB10</f>
        <v>450.00000000004547</v>
      </c>
      <c r="R8" s="31">
        <f>'FS Desroches Daily'!AD10</f>
        <v>480.00000000001819</v>
      </c>
      <c r="S8" s="31">
        <f>'FS Desroches Daily'!AF10</f>
        <v>899.99999999997726</v>
      </c>
      <c r="T8" s="31">
        <f>'FS Desroches Daily'!AH10</f>
        <v>40</v>
      </c>
      <c r="U8" s="35">
        <f>'FS Desroches Daily'!AJ10</f>
        <v>889.99999999998636</v>
      </c>
      <c r="V8" s="35">
        <f>'FS Desroches Daily'!AL10</f>
        <v>240.00000000000909</v>
      </c>
      <c r="W8" s="35">
        <f>'FS Desroches Daily'!AN10</f>
        <v>250</v>
      </c>
      <c r="X8" s="35">
        <f>'FS Desroches Daily'!AP10</f>
        <v>399.99999999997726</v>
      </c>
      <c r="Y8" s="35">
        <f>'FS Desroches Daily'!AR10</f>
        <v>290.00000000002046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250</v>
      </c>
      <c r="AC8" s="35">
        <f>'FS Desroches Daily'!AZ10</f>
        <v>269.99999999998181</v>
      </c>
      <c r="AD8" s="35">
        <f>'FS Desroches Daily'!BB10</f>
        <v>199.99999999998863</v>
      </c>
      <c r="AE8" s="35">
        <f>'FS Desroches Daily'!BD10</f>
        <v>79.999999999984084</v>
      </c>
      <c r="AF8" s="31">
        <f>'FS Desroches Daily'!BF10</f>
        <v>30</v>
      </c>
      <c r="AG8" s="32">
        <f>'FS Desroches Daily'!BH10</f>
        <v>59.999999999973852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40.000000000020464</v>
      </c>
      <c r="AK8" s="32">
        <f>'FS Desroches Daily'!BP10</f>
        <v>79.999999999984084</v>
      </c>
      <c r="AL8" s="32">
        <f>'FS Desroches Daily'!BR10</f>
        <v>42</v>
      </c>
      <c r="AM8" s="32">
        <f>'FS Desroches Daily'!BT10</f>
        <v>69.999999999993179</v>
      </c>
      <c r="AN8" s="32">
        <f>'FS Desroches Daily'!BV10</f>
        <v>65</v>
      </c>
      <c r="AO8" s="32">
        <f>'FS Desroches Daily'!BX10</f>
        <v>60.000000000002274</v>
      </c>
      <c r="AP8" s="32">
        <f>'FS Desroches Daily'!BZ10</f>
        <v>58</v>
      </c>
      <c r="AQ8" s="31">
        <f>'FS Desroches Daily'!CB10</f>
        <v>55.700000000004366</v>
      </c>
      <c r="AR8" s="31">
        <f>'FS Desroches Daily'!CD10</f>
        <v>13.600000000000364</v>
      </c>
      <c r="AS8" s="31">
        <f>'FS Desroches Daily'!CF10</f>
        <v>2.8999999999996362</v>
      </c>
      <c r="AT8" s="31">
        <f>'FS Desroches Daily'!CH10</f>
        <v>50.700000000011642</v>
      </c>
      <c r="AU8" s="31">
        <f>'FS Desroches Daily'!CJ10</f>
        <v>326</v>
      </c>
      <c r="AV8" s="31">
        <f>'FS Desroches Daily'!CL10</f>
        <v>829.99999999992724</v>
      </c>
      <c r="AW8" s="31">
        <f>'FS Desroches Daily'!CM10</f>
        <v>103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31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28300.000000000215</v>
      </c>
      <c r="F33" s="17">
        <f t="shared" ref="F33:BC33" si="0">SUM(F2:F32)</f>
        <v>25499.999999999189</v>
      </c>
      <c r="G33" s="17">
        <f t="shared" si="0"/>
        <v>23399.999999999643</v>
      </c>
      <c r="H33" s="17">
        <f t="shared" si="0"/>
        <v>12700.000000000156</v>
      </c>
      <c r="I33" s="17">
        <f t="shared" si="0"/>
        <v>15899.999999999805</v>
      </c>
      <c r="J33" s="17">
        <f t="shared" si="0"/>
        <v>13999.999999999791</v>
      </c>
      <c r="K33" s="17">
        <f t="shared" si="0"/>
        <v>319</v>
      </c>
      <c r="L33" s="17">
        <f t="shared" si="0"/>
        <v>48</v>
      </c>
      <c r="M33" s="17">
        <f t="shared" si="0"/>
        <v>9.7999999999999545</v>
      </c>
      <c r="N33" s="17">
        <f t="shared" si="0"/>
        <v>3311.1000000000349</v>
      </c>
      <c r="O33" s="17">
        <f t="shared" si="0"/>
        <v>3189.9999999999977</v>
      </c>
      <c r="P33" s="17">
        <f t="shared" si="0"/>
        <v>22400.000000000196</v>
      </c>
      <c r="Q33" s="17">
        <f t="shared" si="0"/>
        <v>2900.0000000000341</v>
      </c>
      <c r="R33" s="17">
        <f t="shared" si="0"/>
        <v>3569.9999999999932</v>
      </c>
      <c r="S33" s="17">
        <f t="shared" si="0"/>
        <v>6960.0000000000364</v>
      </c>
      <c r="T33" s="17">
        <f t="shared" si="0"/>
        <v>321</v>
      </c>
      <c r="U33" s="35">
        <f t="shared" si="0"/>
        <v>7190.0000000000546</v>
      </c>
      <c r="V33" s="35">
        <f t="shared" si="0"/>
        <v>2110.0000000000136</v>
      </c>
      <c r="W33" s="35">
        <f t="shared" si="0"/>
        <v>1980.0000000000182</v>
      </c>
      <c r="X33" s="35">
        <f t="shared" si="0"/>
        <v>2299.9999999999827</v>
      </c>
      <c r="Y33" s="35">
        <f t="shared" si="0"/>
        <v>2060.0000000000023</v>
      </c>
      <c r="Z33" s="35">
        <f t="shared" si="0"/>
        <v>2650.0000000000341</v>
      </c>
      <c r="AA33" s="35">
        <f t="shared" si="0"/>
        <v>2650.0000000000341</v>
      </c>
      <c r="AB33" s="35">
        <f t="shared" si="0"/>
        <v>1990.0000000000091</v>
      </c>
      <c r="AC33" s="35">
        <f t="shared" si="0"/>
        <v>2149.9999999999773</v>
      </c>
      <c r="AD33" s="35">
        <f t="shared" si="0"/>
        <v>1719.9999999999704</v>
      </c>
      <c r="AE33" s="35">
        <f t="shared" si="0"/>
        <v>680.00000000000682</v>
      </c>
      <c r="AF33" s="17">
        <f t="shared" si="0"/>
        <v>229</v>
      </c>
      <c r="AG33" s="32">
        <f t="shared" si="0"/>
        <v>389.99999999998636</v>
      </c>
      <c r="AH33" s="32">
        <f t="shared" si="0"/>
        <v>269.99999999998181</v>
      </c>
      <c r="AI33" s="32">
        <f t="shared" si="0"/>
        <v>340.00000000000341</v>
      </c>
      <c r="AJ33" s="32">
        <f t="shared" si="0"/>
        <v>320.0000000000216</v>
      </c>
      <c r="AK33" s="32">
        <f t="shared" si="0"/>
        <v>470.00000000002728</v>
      </c>
      <c r="AL33" s="32">
        <f t="shared" si="0"/>
        <v>268</v>
      </c>
      <c r="AM33" s="32">
        <f t="shared" si="0"/>
        <v>390.00000000001478</v>
      </c>
      <c r="AN33" s="32">
        <f t="shared" si="0"/>
        <v>363</v>
      </c>
      <c r="AO33" s="32">
        <f t="shared" si="0"/>
        <v>359.99999999998522</v>
      </c>
      <c r="AP33" s="32">
        <f t="shared" si="0"/>
        <v>357</v>
      </c>
      <c r="AQ33" s="17">
        <f t="shared" si="0"/>
        <v>374.30000000000291</v>
      </c>
      <c r="AR33" s="17">
        <f t="shared" si="0"/>
        <v>99.400000000001455</v>
      </c>
      <c r="AS33" s="17">
        <f t="shared" si="0"/>
        <v>37.399999999999636</v>
      </c>
      <c r="AT33" s="17">
        <f t="shared" si="0"/>
        <v>297.60000000000582</v>
      </c>
      <c r="AU33" s="17">
        <f t="shared" si="0"/>
        <v>2337</v>
      </c>
      <c r="AV33" s="17">
        <f t="shared" si="0"/>
        <v>5350.0000000000227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32.966999999999999</v>
      </c>
      <c r="BC33" s="17">
        <f t="shared" si="0"/>
        <v>252</v>
      </c>
    </row>
    <row r="35" spans="5:55" x14ac:dyDescent="0.25">
      <c r="E35" s="38">
        <f>E33/E37</f>
        <v>0.29777562659147411</v>
      </c>
      <c r="G35" s="29">
        <f>G33-M36</f>
        <v>20079.099999999609</v>
      </c>
      <c r="AE35" s="35">
        <f>SUM(U33:AE33)</f>
        <v>27480.000000000102</v>
      </c>
      <c r="AG35" s="32">
        <f>SUM(AG33:AP33)</f>
        <v>3528.0000000000209</v>
      </c>
    </row>
    <row r="36" spans="5:55" x14ac:dyDescent="0.25">
      <c r="G36" s="29">
        <f>G35-633*14</f>
        <v>11217.099999999609</v>
      </c>
      <c r="M36" s="29">
        <f>M33+N33</f>
        <v>3320.9000000000351</v>
      </c>
    </row>
    <row r="37" spans="5:55" x14ac:dyDescent="0.25">
      <c r="E37" s="17">
        <f>E33+F33+G33+H33+J33-633*14</f>
        <v>95037.999999998996</v>
      </c>
      <c r="G37" s="37">
        <f>M36/E37</f>
        <v>3.4942864959280187E-2</v>
      </c>
      <c r="M37" s="35">
        <f>AE35</f>
        <v>27480.000000000102</v>
      </c>
    </row>
    <row r="38" spans="5:55" x14ac:dyDescent="0.25">
      <c r="L38" s="27">
        <f>M38/E37</f>
        <v>3.7121993307940596E-2</v>
      </c>
      <c r="M38" s="29">
        <f>AG35</f>
        <v>3528.0000000000209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zoomScale="82" zoomScaleNormal="82" workbookViewId="0">
      <pane ySplit="1" topLeftCell="A2" activePane="bottomLeft" state="frozen"/>
      <selection pane="bottomLeft" activeCell="BJ20" sqref="BJ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>
        <v>2.948</v>
      </c>
      <c r="D8" s="64">
        <f t="shared" si="50"/>
        <v>4000.0000000000036</v>
      </c>
      <c r="E8" s="58">
        <v>4.0346000000000002</v>
      </c>
      <c r="F8" s="64">
        <f t="shared" si="51"/>
        <v>3499.9999999998367</v>
      </c>
      <c r="G8" s="58">
        <v>4.0091000000000001</v>
      </c>
      <c r="H8" s="64">
        <f t="shared" si="52"/>
        <v>3499.9999999998367</v>
      </c>
      <c r="I8" s="58">
        <v>2.0051000000000001</v>
      </c>
      <c r="J8" s="64">
        <f t="shared" si="53"/>
        <v>1900.0000000000127</v>
      </c>
      <c r="K8" s="58">
        <v>3.1581999999999999</v>
      </c>
      <c r="L8" s="64">
        <f t="shared" si="54"/>
        <v>2299.9999999999686</v>
      </c>
      <c r="M8" s="58">
        <v>1.7710999999999999</v>
      </c>
      <c r="N8" s="64">
        <f t="shared" si="55"/>
        <v>2199.9999999999795</v>
      </c>
      <c r="O8" s="58">
        <v>18027</v>
      </c>
      <c r="P8" s="67">
        <f t="shared" si="56"/>
        <v>79</v>
      </c>
      <c r="Q8" s="58">
        <v>2088</v>
      </c>
      <c r="R8" s="67">
        <f t="shared" si="57"/>
        <v>8</v>
      </c>
      <c r="S8" s="58">
        <v>1242.9000000000001</v>
      </c>
      <c r="T8" s="67">
        <f t="shared" si="58"/>
        <v>1.5</v>
      </c>
      <c r="U8" s="58">
        <v>511986.2</v>
      </c>
      <c r="V8" s="67">
        <f t="shared" si="59"/>
        <v>554.60000000003492</v>
      </c>
      <c r="W8" s="58">
        <v>478.39</v>
      </c>
      <c r="X8" s="65">
        <f t="shared" si="60"/>
        <v>449.99999999998863</v>
      </c>
      <c r="Y8" s="58">
        <v>3.5449000000000002</v>
      </c>
      <c r="Z8" s="65">
        <f t="shared" si="61"/>
        <v>3400.0000000000696</v>
      </c>
      <c r="AA8" s="58">
        <v>480.78</v>
      </c>
      <c r="AB8" s="65">
        <f t="shared" si="62"/>
        <v>500</v>
      </c>
      <c r="AC8" s="58">
        <v>466.04</v>
      </c>
      <c r="AD8" s="65">
        <f t="shared" si="63"/>
        <v>510.00000000004775</v>
      </c>
      <c r="AE8" s="58">
        <v>673.68</v>
      </c>
      <c r="AF8" s="65">
        <f t="shared" si="64"/>
        <v>1139.9999999999864</v>
      </c>
      <c r="AG8" s="58">
        <v>13990</v>
      </c>
      <c r="AH8" s="67">
        <f t="shared" si="65"/>
        <v>51</v>
      </c>
      <c r="AI8" s="58">
        <v>787.63</v>
      </c>
      <c r="AJ8" s="65">
        <f t="shared" si="66"/>
        <v>1129.9999999999955</v>
      </c>
      <c r="AK8" s="58">
        <v>262.89999999999998</v>
      </c>
      <c r="AL8" s="65">
        <f t="shared" si="67"/>
        <v>339.99999999997499</v>
      </c>
      <c r="AM8" s="58">
        <v>246.92</v>
      </c>
      <c r="AN8" s="65">
        <f t="shared" si="68"/>
        <v>299.99999999998295</v>
      </c>
      <c r="AO8" s="58">
        <v>237.63</v>
      </c>
      <c r="AP8" s="65">
        <f t="shared" si="69"/>
        <v>359.99999999998522</v>
      </c>
      <c r="AQ8" s="58">
        <v>294.56</v>
      </c>
      <c r="AR8" s="65">
        <f t="shared" si="70"/>
        <v>339.99999999997499</v>
      </c>
      <c r="AS8" s="58">
        <v>421.18</v>
      </c>
      <c r="AT8" s="65">
        <f t="shared" si="71"/>
        <v>379.99999999999545</v>
      </c>
      <c r="AU8" s="58">
        <v>326.32</v>
      </c>
      <c r="AV8" s="65">
        <f t="shared" si="72"/>
        <v>279.99999999997272</v>
      </c>
      <c r="AW8" s="58">
        <v>358.93</v>
      </c>
      <c r="AX8" s="65">
        <f t="shared" si="73"/>
        <v>209.99999999997954</v>
      </c>
      <c r="AY8" s="58">
        <v>393.52</v>
      </c>
      <c r="AZ8" s="65">
        <f t="shared" si="74"/>
        <v>359.9999999999568</v>
      </c>
      <c r="BA8" s="58">
        <v>413.05</v>
      </c>
      <c r="BB8" s="65">
        <f t="shared" si="75"/>
        <v>210.00000000003638</v>
      </c>
      <c r="BC8" s="58">
        <v>264.42</v>
      </c>
      <c r="BD8" s="65">
        <f t="shared" si="76"/>
        <v>100.00000000002274</v>
      </c>
      <c r="BE8" s="59">
        <v>48747</v>
      </c>
      <c r="BF8" s="67">
        <f t="shared" si="77"/>
        <v>45</v>
      </c>
      <c r="BG8" s="60">
        <v>244.77</v>
      </c>
      <c r="BH8" s="65">
        <f t="shared" si="78"/>
        <v>60.000000000002274</v>
      </c>
      <c r="BI8" s="60">
        <v>300.37</v>
      </c>
      <c r="BJ8" s="65">
        <f t="shared" si="79"/>
        <v>40.000000000020464</v>
      </c>
      <c r="BK8" s="60">
        <v>247.36</v>
      </c>
      <c r="BL8" s="65">
        <f t="shared" si="80"/>
        <v>50.000000000011369</v>
      </c>
      <c r="BM8" s="60">
        <v>234.47</v>
      </c>
      <c r="BN8" s="65">
        <f t="shared" si="81"/>
        <v>50.000000000011369</v>
      </c>
      <c r="BO8" s="60">
        <v>300.66000000000003</v>
      </c>
      <c r="BP8" s="65">
        <f t="shared" si="82"/>
        <v>70.000000000050022</v>
      </c>
      <c r="BQ8" s="60">
        <v>53126</v>
      </c>
      <c r="BR8" s="65">
        <f t="shared" si="83"/>
        <v>40</v>
      </c>
      <c r="BS8" s="60">
        <v>211.45</v>
      </c>
      <c r="BT8" s="65">
        <f t="shared" si="84"/>
        <v>69.999999999993179</v>
      </c>
      <c r="BU8" s="60">
        <v>50220</v>
      </c>
      <c r="BV8" s="65">
        <f t="shared" si="85"/>
        <v>59</v>
      </c>
      <c r="BW8" s="60">
        <v>239.68</v>
      </c>
      <c r="BX8" s="65">
        <f t="shared" si="86"/>
        <v>60.000000000002274</v>
      </c>
      <c r="BY8" s="60">
        <v>69947</v>
      </c>
      <c r="BZ8" s="67">
        <f t="shared" si="87"/>
        <v>51</v>
      </c>
      <c r="CA8" s="60">
        <v>44027.6</v>
      </c>
      <c r="CB8" s="67">
        <f t="shared" si="88"/>
        <v>55.5</v>
      </c>
      <c r="CC8" s="60">
        <v>14585.4</v>
      </c>
      <c r="CD8" s="67">
        <f t="shared" si="89"/>
        <v>15.5</v>
      </c>
      <c r="CE8" s="60">
        <v>7704</v>
      </c>
      <c r="CF8" s="67">
        <f t="shared" si="90"/>
        <v>7.8999999999996362</v>
      </c>
      <c r="CG8" s="60">
        <v>70541.100000000006</v>
      </c>
      <c r="CH8" s="67">
        <f t="shared" si="91"/>
        <v>50.400000000008731</v>
      </c>
      <c r="CI8" s="60">
        <v>1021004</v>
      </c>
      <c r="CJ8" s="67">
        <f t="shared" si="92"/>
        <v>323</v>
      </c>
      <c r="CK8" s="60">
        <v>925.43</v>
      </c>
      <c r="CL8" s="64">
        <f t="shared" si="93"/>
        <v>750</v>
      </c>
      <c r="CM8" s="65">
        <f t="shared" si="94"/>
        <v>105</v>
      </c>
      <c r="CN8" s="62">
        <v>29</v>
      </c>
      <c r="CO8" s="62">
        <v>71</v>
      </c>
      <c r="CP8" s="68">
        <v>23627</v>
      </c>
      <c r="CQ8" s="67">
        <f t="shared" si="95"/>
        <v>82</v>
      </c>
      <c r="CR8" s="68">
        <v>19658</v>
      </c>
      <c r="CS8" s="67">
        <f t="shared" si="96"/>
        <v>23</v>
      </c>
      <c r="CT8" s="75">
        <v>9063</v>
      </c>
      <c r="CU8" s="67">
        <f t="shared" si="97"/>
        <v>9</v>
      </c>
      <c r="CV8" s="68">
        <v>22496</v>
      </c>
      <c r="CW8" s="67">
        <f t="shared" si="98"/>
        <v>26</v>
      </c>
      <c r="CX8" s="58">
        <v>2046.1</v>
      </c>
      <c r="CY8" s="67">
        <f t="shared" si="99"/>
        <v>13.399999999999864</v>
      </c>
    </row>
    <row r="9" spans="1:103" ht="25.5" customHeight="1" thickBot="1" x14ac:dyDescent="0.45">
      <c r="A9" s="63">
        <v>44626</v>
      </c>
      <c r="B9" s="44"/>
      <c r="C9" s="58">
        <v>2.9521999999999999</v>
      </c>
      <c r="D9" s="64">
        <f t="shared" si="50"/>
        <v>4199.9999999999818</v>
      </c>
      <c r="E9" s="58">
        <v>4.0381999999999998</v>
      </c>
      <c r="F9" s="64">
        <f t="shared" si="51"/>
        <v>3599.9999999996035</v>
      </c>
      <c r="G9" s="58">
        <v>4.0125000000000002</v>
      </c>
      <c r="H9" s="64">
        <f t="shared" si="52"/>
        <v>3400.0000000000696</v>
      </c>
      <c r="I9" s="58">
        <v>2.0070000000000001</v>
      </c>
      <c r="J9" s="64">
        <f t="shared" si="53"/>
        <v>1900.0000000000127</v>
      </c>
      <c r="K9" s="58">
        <v>3.1608000000000001</v>
      </c>
      <c r="L9" s="64">
        <f t="shared" si="54"/>
        <v>2600.0000000001578</v>
      </c>
      <c r="M9" s="58">
        <v>1.7732000000000001</v>
      </c>
      <c r="N9" s="64">
        <f t="shared" si="55"/>
        <v>2100.0000000002128</v>
      </c>
      <c r="O9" s="58">
        <v>18027</v>
      </c>
      <c r="P9" s="67">
        <f t="shared" si="56"/>
        <v>0</v>
      </c>
      <c r="Q9" s="58">
        <v>2094</v>
      </c>
      <c r="R9" s="67">
        <f t="shared" si="57"/>
        <v>6</v>
      </c>
      <c r="S9" s="58">
        <v>1244.5999999999999</v>
      </c>
      <c r="T9" s="67">
        <f t="shared" si="58"/>
        <v>1.6999999999998181</v>
      </c>
      <c r="U9" s="58">
        <v>512528.7</v>
      </c>
      <c r="V9" s="67">
        <f t="shared" si="59"/>
        <v>542.5</v>
      </c>
      <c r="W9" s="58">
        <v>478.87</v>
      </c>
      <c r="X9" s="65">
        <f t="shared" si="60"/>
        <v>480.00000000001819</v>
      </c>
      <c r="Y9" s="58">
        <v>3.5478999999999998</v>
      </c>
      <c r="Z9" s="65">
        <f t="shared" si="61"/>
        <v>2999.9999999996694</v>
      </c>
      <c r="AA9" s="58">
        <v>481.15</v>
      </c>
      <c r="AB9" s="65">
        <f t="shared" si="62"/>
        <v>370.00000000000455</v>
      </c>
      <c r="AC9" s="58">
        <v>466.64</v>
      </c>
      <c r="AD9" s="65">
        <f t="shared" si="63"/>
        <v>599.99999999996589</v>
      </c>
      <c r="AE9" s="58">
        <v>674.85</v>
      </c>
      <c r="AF9" s="65">
        <f t="shared" si="64"/>
        <v>1170.0000000000728</v>
      </c>
      <c r="AG9" s="58">
        <v>14035</v>
      </c>
      <c r="AH9" s="67">
        <f t="shared" si="65"/>
        <v>45</v>
      </c>
      <c r="AI9" s="58">
        <v>788.72</v>
      </c>
      <c r="AJ9" s="65">
        <f t="shared" si="66"/>
        <v>1090.0000000000318</v>
      </c>
      <c r="AK9" s="58">
        <v>263.14999999999998</v>
      </c>
      <c r="AL9" s="65">
        <f t="shared" si="67"/>
        <v>250</v>
      </c>
      <c r="AM9" s="58">
        <v>247.15</v>
      </c>
      <c r="AN9" s="65">
        <f t="shared" si="68"/>
        <v>230.00000000001819</v>
      </c>
      <c r="AO9" s="58">
        <v>237.99</v>
      </c>
      <c r="AP9" s="65">
        <f t="shared" si="69"/>
        <v>360.00000000001364</v>
      </c>
      <c r="AQ9" s="58">
        <v>294.87</v>
      </c>
      <c r="AR9" s="65">
        <f t="shared" si="70"/>
        <v>310.00000000000227</v>
      </c>
      <c r="AS9" s="58">
        <v>421.56</v>
      </c>
      <c r="AT9" s="65">
        <f t="shared" si="71"/>
        <v>379.99999999999545</v>
      </c>
      <c r="AU9" s="58">
        <v>326.62</v>
      </c>
      <c r="AV9" s="65">
        <f t="shared" si="72"/>
        <v>300.00000000001137</v>
      </c>
      <c r="AW9" s="58">
        <v>359.13</v>
      </c>
      <c r="AX9" s="65">
        <f t="shared" si="73"/>
        <v>199.99999999998863</v>
      </c>
      <c r="AY9" s="58">
        <v>393.88</v>
      </c>
      <c r="AZ9" s="65">
        <f t="shared" si="74"/>
        <v>360.00000000001364</v>
      </c>
      <c r="BA9" s="58">
        <v>413.32</v>
      </c>
      <c r="BB9" s="65">
        <f t="shared" si="75"/>
        <v>269.99999999998181</v>
      </c>
      <c r="BC9" s="58">
        <v>264.54000000000002</v>
      </c>
      <c r="BD9" s="65">
        <f t="shared" si="76"/>
        <v>120.00000000000455</v>
      </c>
      <c r="BE9" s="59">
        <v>48786</v>
      </c>
      <c r="BF9" s="67">
        <f t="shared" si="77"/>
        <v>39</v>
      </c>
      <c r="BG9" s="60">
        <v>244.83</v>
      </c>
      <c r="BH9" s="65">
        <f t="shared" si="78"/>
        <v>60.000000000002274</v>
      </c>
      <c r="BI9" s="60">
        <v>300.41000000000003</v>
      </c>
      <c r="BJ9" s="65">
        <f t="shared" si="79"/>
        <v>40.000000000020464</v>
      </c>
      <c r="BK9" s="60">
        <v>247.41</v>
      </c>
      <c r="BL9" s="65">
        <f t="shared" si="80"/>
        <v>49.999999999982947</v>
      </c>
      <c r="BM9" s="60">
        <v>234.51</v>
      </c>
      <c r="BN9" s="65">
        <f t="shared" si="81"/>
        <v>39.999999999992042</v>
      </c>
      <c r="BO9" s="60">
        <v>300.72000000000003</v>
      </c>
      <c r="BP9" s="65">
        <f t="shared" si="82"/>
        <v>60.000000000002274</v>
      </c>
      <c r="BQ9" s="60">
        <v>53171</v>
      </c>
      <c r="BR9" s="65">
        <f t="shared" si="83"/>
        <v>45</v>
      </c>
      <c r="BS9" s="60">
        <v>211.52</v>
      </c>
      <c r="BT9" s="65">
        <f t="shared" si="84"/>
        <v>70.0000000000216</v>
      </c>
      <c r="BU9" s="60">
        <v>50284</v>
      </c>
      <c r="BV9" s="65">
        <f t="shared" si="85"/>
        <v>64</v>
      </c>
      <c r="BW9" s="60">
        <v>239.73</v>
      </c>
      <c r="BX9" s="65">
        <f t="shared" si="86"/>
        <v>49.999999999982947</v>
      </c>
      <c r="BY9" s="60">
        <v>70008</v>
      </c>
      <c r="BZ9" s="67">
        <f t="shared" si="87"/>
        <v>61</v>
      </c>
      <c r="CA9" s="60">
        <v>44078.1</v>
      </c>
      <c r="CB9" s="67">
        <f t="shared" si="88"/>
        <v>50.5</v>
      </c>
      <c r="CC9" s="60">
        <v>14596.6</v>
      </c>
      <c r="CD9" s="67">
        <f t="shared" si="89"/>
        <v>11.200000000000728</v>
      </c>
      <c r="CE9" s="60">
        <v>7711.1</v>
      </c>
      <c r="CF9" s="67">
        <f t="shared" si="90"/>
        <v>7.1000000000003638</v>
      </c>
      <c r="CG9" s="60">
        <v>70588.899999999994</v>
      </c>
      <c r="CH9" s="67">
        <f t="shared" si="91"/>
        <v>47.799999999988358</v>
      </c>
      <c r="CI9" s="60">
        <v>1021349</v>
      </c>
      <c r="CJ9" s="67">
        <f t="shared" si="92"/>
        <v>345</v>
      </c>
      <c r="CK9" s="60">
        <v>926.2</v>
      </c>
      <c r="CL9" s="64">
        <f t="shared" si="93"/>
        <v>770.0000000000955</v>
      </c>
      <c r="CM9" s="65">
        <f t="shared" si="94"/>
        <v>109</v>
      </c>
      <c r="CN9" s="62">
        <v>31</v>
      </c>
      <c r="CO9" s="62">
        <v>77</v>
      </c>
      <c r="CP9" s="68">
        <v>23713</v>
      </c>
      <c r="CQ9" s="67">
        <f t="shared" si="95"/>
        <v>86</v>
      </c>
      <c r="CR9" s="68">
        <v>19681</v>
      </c>
      <c r="CS9" s="67">
        <f t="shared" si="96"/>
        <v>23</v>
      </c>
      <c r="CT9" s="75">
        <v>9073</v>
      </c>
      <c r="CU9" s="67">
        <f t="shared" si="97"/>
        <v>10</v>
      </c>
      <c r="CV9" s="68">
        <v>22548</v>
      </c>
      <c r="CW9" s="67">
        <f t="shared" si="98"/>
        <v>52</v>
      </c>
      <c r="CX9" s="58">
        <v>2059.9</v>
      </c>
      <c r="CY9" s="67">
        <f t="shared" si="99"/>
        <v>13.800000000000182</v>
      </c>
    </row>
    <row r="10" spans="1:103" ht="25.5" customHeight="1" thickBot="1" x14ac:dyDescent="0.45">
      <c r="A10" s="63">
        <v>44627</v>
      </c>
      <c r="B10" s="44"/>
      <c r="C10" s="58">
        <v>2.9559000000000002</v>
      </c>
      <c r="D10" s="64">
        <f t="shared" si="50"/>
        <v>3700.0000000002588</v>
      </c>
      <c r="E10" s="58">
        <v>4.0416999999999996</v>
      </c>
      <c r="F10" s="64">
        <f t="shared" si="51"/>
        <v>3499.9999999998367</v>
      </c>
      <c r="G10" s="58">
        <v>4.0156999999999998</v>
      </c>
      <c r="H10" s="64">
        <f t="shared" si="52"/>
        <v>3199.9999999996476</v>
      </c>
      <c r="I10" s="58">
        <v>2.0089000000000001</v>
      </c>
      <c r="J10" s="64">
        <f t="shared" si="53"/>
        <v>1900.0000000000127</v>
      </c>
      <c r="K10" s="58">
        <v>3.1633</v>
      </c>
      <c r="L10" s="64">
        <f t="shared" si="54"/>
        <v>2499.9999999999468</v>
      </c>
      <c r="M10" s="58">
        <v>1.7751999999999999</v>
      </c>
      <c r="N10" s="64">
        <f t="shared" si="55"/>
        <v>1999.9999999997797</v>
      </c>
      <c r="O10" s="58">
        <v>18085</v>
      </c>
      <c r="P10" s="67">
        <f t="shared" si="56"/>
        <v>58</v>
      </c>
      <c r="Q10" s="58">
        <v>2101</v>
      </c>
      <c r="R10" s="67">
        <f t="shared" si="57"/>
        <v>7</v>
      </c>
      <c r="S10" s="58">
        <v>1245.5999999999999</v>
      </c>
      <c r="T10" s="67">
        <f t="shared" si="58"/>
        <v>1</v>
      </c>
      <c r="U10" s="58">
        <v>512919.7</v>
      </c>
      <c r="V10" s="67">
        <f t="shared" si="59"/>
        <v>391</v>
      </c>
      <c r="W10" s="58">
        <v>479.29</v>
      </c>
      <c r="X10" s="65">
        <f t="shared" si="60"/>
        <v>420.00000000001592</v>
      </c>
      <c r="Y10" s="58">
        <v>3.5510000000000002</v>
      </c>
      <c r="Z10" s="65">
        <f t="shared" si="61"/>
        <v>3100.0000000003247</v>
      </c>
      <c r="AA10" s="58">
        <v>481.6</v>
      </c>
      <c r="AB10" s="65">
        <f t="shared" si="62"/>
        <v>450.00000000004547</v>
      </c>
      <c r="AC10" s="58">
        <v>467.12</v>
      </c>
      <c r="AD10" s="65">
        <f t="shared" si="63"/>
        <v>480.00000000001819</v>
      </c>
      <c r="AE10" s="58">
        <v>675.75</v>
      </c>
      <c r="AF10" s="65">
        <f t="shared" si="64"/>
        <v>899.99999999997726</v>
      </c>
      <c r="AG10" s="58">
        <v>14075</v>
      </c>
      <c r="AH10" s="67">
        <f t="shared" si="65"/>
        <v>40</v>
      </c>
      <c r="AI10" s="58">
        <v>789.61</v>
      </c>
      <c r="AJ10" s="65">
        <f t="shared" si="66"/>
        <v>889.99999999998636</v>
      </c>
      <c r="AK10" s="58">
        <v>263.39</v>
      </c>
      <c r="AL10" s="65">
        <f t="shared" si="67"/>
        <v>240.00000000000909</v>
      </c>
      <c r="AM10" s="58">
        <v>247.4</v>
      </c>
      <c r="AN10" s="65">
        <f t="shared" si="68"/>
        <v>250</v>
      </c>
      <c r="AO10" s="58">
        <v>238.39</v>
      </c>
      <c r="AP10" s="65">
        <f t="shared" si="69"/>
        <v>399.99999999997726</v>
      </c>
      <c r="AQ10" s="58">
        <v>295.16000000000003</v>
      </c>
      <c r="AR10" s="65">
        <f t="shared" si="70"/>
        <v>290.00000000002046</v>
      </c>
      <c r="AS10" s="58">
        <v>421.92</v>
      </c>
      <c r="AT10" s="65">
        <f t="shared" si="71"/>
        <v>360.00000000001364</v>
      </c>
      <c r="AU10" s="58">
        <v>326.87</v>
      </c>
      <c r="AV10" s="65">
        <f t="shared" si="72"/>
        <v>250</v>
      </c>
      <c r="AW10" s="58">
        <v>359.41</v>
      </c>
      <c r="AX10" s="65">
        <f t="shared" si="73"/>
        <v>280.00000000002956</v>
      </c>
      <c r="AY10" s="58">
        <v>394.15</v>
      </c>
      <c r="AZ10" s="65">
        <f t="shared" si="74"/>
        <v>269.99999999998181</v>
      </c>
      <c r="BA10" s="58">
        <v>413.52</v>
      </c>
      <c r="BB10" s="65">
        <f t="shared" si="75"/>
        <v>199.99999999998863</v>
      </c>
      <c r="BC10" s="58">
        <v>264.62</v>
      </c>
      <c r="BD10" s="65">
        <f t="shared" si="76"/>
        <v>79.999999999984084</v>
      </c>
      <c r="BE10" s="59">
        <v>48816</v>
      </c>
      <c r="BF10" s="67">
        <f t="shared" si="77"/>
        <v>30</v>
      </c>
      <c r="BG10" s="60">
        <v>244.89</v>
      </c>
      <c r="BH10" s="65">
        <f t="shared" si="78"/>
        <v>59.999999999973852</v>
      </c>
      <c r="BI10" s="60">
        <v>300.45</v>
      </c>
      <c r="BJ10" s="65">
        <f t="shared" si="79"/>
        <v>39.99999999996362</v>
      </c>
      <c r="BK10" s="60">
        <v>247.46</v>
      </c>
      <c r="BL10" s="65">
        <f t="shared" si="80"/>
        <v>50.000000000011369</v>
      </c>
      <c r="BM10" s="60">
        <v>234.55</v>
      </c>
      <c r="BN10" s="65">
        <f t="shared" si="81"/>
        <v>40.000000000020464</v>
      </c>
      <c r="BO10" s="60">
        <v>300.8</v>
      </c>
      <c r="BP10" s="65">
        <f t="shared" si="82"/>
        <v>79.999999999984084</v>
      </c>
      <c r="BQ10" s="60">
        <v>53213</v>
      </c>
      <c r="BR10" s="65">
        <f t="shared" si="83"/>
        <v>42</v>
      </c>
      <c r="BS10" s="60">
        <v>211.59</v>
      </c>
      <c r="BT10" s="65">
        <f t="shared" si="84"/>
        <v>69.999999999993179</v>
      </c>
      <c r="BU10" s="60">
        <v>50349</v>
      </c>
      <c r="BV10" s="65">
        <f t="shared" si="85"/>
        <v>65</v>
      </c>
      <c r="BW10" s="60">
        <v>239.79</v>
      </c>
      <c r="BX10" s="65">
        <f t="shared" si="86"/>
        <v>60.000000000002274</v>
      </c>
      <c r="BY10" s="60">
        <v>70066</v>
      </c>
      <c r="BZ10" s="67">
        <f t="shared" si="87"/>
        <v>58</v>
      </c>
      <c r="CA10" s="60">
        <v>44133.8</v>
      </c>
      <c r="CB10" s="67">
        <f t="shared" si="88"/>
        <v>55.700000000004366</v>
      </c>
      <c r="CC10" s="60">
        <v>14610.2</v>
      </c>
      <c r="CD10" s="67">
        <f t="shared" si="89"/>
        <v>13.600000000000364</v>
      </c>
      <c r="CE10" s="60">
        <v>7714</v>
      </c>
      <c r="CF10" s="67">
        <f t="shared" si="90"/>
        <v>2.8999999999996362</v>
      </c>
      <c r="CG10" s="60">
        <v>70639.600000000006</v>
      </c>
      <c r="CH10" s="67">
        <f t="shared" si="91"/>
        <v>50.700000000011642</v>
      </c>
      <c r="CI10" s="60">
        <v>1021675</v>
      </c>
      <c r="CJ10" s="67">
        <f t="shared" si="92"/>
        <v>326</v>
      </c>
      <c r="CK10" s="60">
        <v>927.03</v>
      </c>
      <c r="CL10" s="64">
        <f t="shared" si="93"/>
        <v>829.99999999992724</v>
      </c>
      <c r="CM10" s="65">
        <f t="shared" si="94"/>
        <v>103</v>
      </c>
      <c r="CN10" s="62">
        <v>31</v>
      </c>
      <c r="CO10" s="62">
        <v>77</v>
      </c>
      <c r="CP10" s="68">
        <v>23794</v>
      </c>
      <c r="CQ10" s="67">
        <f t="shared" si="95"/>
        <v>81</v>
      </c>
      <c r="CR10" s="68">
        <v>19703</v>
      </c>
      <c r="CS10" s="67">
        <f t="shared" si="96"/>
        <v>22</v>
      </c>
      <c r="CT10" s="75">
        <v>9082</v>
      </c>
      <c r="CU10" s="67">
        <f t="shared" si="97"/>
        <v>9</v>
      </c>
      <c r="CV10" s="68">
        <v>22566</v>
      </c>
      <c r="CW10" s="67">
        <f t="shared" si="98"/>
        <v>18</v>
      </c>
      <c r="CX10" s="58">
        <v>2071.6</v>
      </c>
      <c r="CY10" s="67">
        <f t="shared" si="99"/>
        <v>11.699999999999818</v>
      </c>
    </row>
    <row r="11" spans="1:103" ht="25.5" customHeight="1" thickBot="1" x14ac:dyDescent="0.45">
      <c r="A11" s="63">
        <v>44628</v>
      </c>
      <c r="B11" s="44"/>
      <c r="C11" s="58"/>
      <c r="D11" s="64" t="str">
        <f t="shared" si="50"/>
        <v>0</v>
      </c>
      <c r="E11" s="58"/>
      <c r="F11" s="64" t="str">
        <f t="shared" si="51"/>
        <v>0</v>
      </c>
      <c r="G11" s="58"/>
      <c r="H11" s="64" t="str">
        <f t="shared" si="52"/>
        <v>0</v>
      </c>
      <c r="I11" s="58"/>
      <c r="J11" s="64" t="str">
        <f t="shared" si="53"/>
        <v>0</v>
      </c>
      <c r="K11" s="58"/>
      <c r="L11" s="64" t="str">
        <f t="shared" si="54"/>
        <v>0</v>
      </c>
      <c r="M11" s="58"/>
      <c r="N11" s="64" t="str">
        <f t="shared" si="55"/>
        <v/>
      </c>
      <c r="O11" s="58"/>
      <c r="P11" s="67" t="str">
        <f t="shared" si="56"/>
        <v/>
      </c>
      <c r="Q11" s="58"/>
      <c r="R11" s="67" t="str">
        <f t="shared" si="57"/>
        <v/>
      </c>
      <c r="S11" s="58"/>
      <c r="T11" s="67" t="str">
        <f t="shared" si="58"/>
        <v/>
      </c>
      <c r="U11" s="58"/>
      <c r="V11" s="67" t="str">
        <f t="shared" si="59"/>
        <v/>
      </c>
      <c r="W11" s="58"/>
      <c r="X11" s="65" t="str">
        <f t="shared" si="60"/>
        <v/>
      </c>
      <c r="Y11" s="58"/>
      <c r="Z11" s="65" t="str">
        <f t="shared" si="61"/>
        <v/>
      </c>
      <c r="AA11" s="58"/>
      <c r="AB11" s="65" t="str">
        <f t="shared" si="62"/>
        <v/>
      </c>
      <c r="AC11" s="58"/>
      <c r="AD11" s="65" t="str">
        <f t="shared" si="63"/>
        <v/>
      </c>
      <c r="AE11" s="58"/>
      <c r="AF11" s="65" t="str">
        <f t="shared" si="64"/>
        <v/>
      </c>
      <c r="AG11" s="58"/>
      <c r="AH11" s="67" t="str">
        <f t="shared" si="65"/>
        <v/>
      </c>
      <c r="AI11" s="58"/>
      <c r="AJ11" s="65" t="str">
        <f t="shared" si="66"/>
        <v/>
      </c>
      <c r="AK11" s="58"/>
      <c r="AL11" s="65" t="str">
        <f t="shared" si="67"/>
        <v/>
      </c>
      <c r="AM11" s="58"/>
      <c r="AN11" s="65" t="str">
        <f t="shared" si="68"/>
        <v/>
      </c>
      <c r="AO11" s="58"/>
      <c r="AP11" s="65" t="str">
        <f t="shared" si="69"/>
        <v/>
      </c>
      <c r="AQ11" s="58"/>
      <c r="AR11" s="65" t="str">
        <f t="shared" si="70"/>
        <v/>
      </c>
      <c r="AS11" s="58"/>
      <c r="AT11" s="65" t="str">
        <f t="shared" si="71"/>
        <v/>
      </c>
      <c r="AU11" s="58"/>
      <c r="AV11" s="65" t="str">
        <f t="shared" si="72"/>
        <v/>
      </c>
      <c r="AW11" s="58"/>
      <c r="AX11" s="65" t="str">
        <f t="shared" si="73"/>
        <v/>
      </c>
      <c r="AY11" s="58"/>
      <c r="AZ11" s="65" t="str">
        <f t="shared" si="74"/>
        <v/>
      </c>
      <c r="BA11" s="58"/>
      <c r="BB11" s="65" t="str">
        <f t="shared" si="75"/>
        <v/>
      </c>
      <c r="BC11" s="58"/>
      <c r="BD11" s="65" t="str">
        <f t="shared" si="76"/>
        <v/>
      </c>
      <c r="BE11" s="59"/>
      <c r="BF11" s="67" t="str">
        <f t="shared" si="77"/>
        <v/>
      </c>
      <c r="BG11" s="60"/>
      <c r="BH11" s="65" t="str">
        <f t="shared" si="78"/>
        <v/>
      </c>
      <c r="BI11" s="60"/>
      <c r="BJ11" s="65" t="str">
        <f t="shared" si="79"/>
        <v/>
      </c>
      <c r="BK11" s="60"/>
      <c r="BL11" s="65" t="str">
        <f t="shared" si="80"/>
        <v/>
      </c>
      <c r="BM11" s="60"/>
      <c r="BN11" s="65" t="str">
        <f t="shared" si="81"/>
        <v/>
      </c>
      <c r="BO11" s="60"/>
      <c r="BP11" s="65" t="str">
        <f t="shared" si="82"/>
        <v/>
      </c>
      <c r="BQ11" s="60"/>
      <c r="BR11" s="65" t="str">
        <f t="shared" si="83"/>
        <v/>
      </c>
      <c r="BS11" s="60"/>
      <c r="BT11" s="65" t="str">
        <f t="shared" si="84"/>
        <v/>
      </c>
      <c r="BU11" s="60"/>
      <c r="BV11" s="65" t="str">
        <f t="shared" si="85"/>
        <v/>
      </c>
      <c r="BW11" s="60"/>
      <c r="BX11" s="65" t="str">
        <f t="shared" si="86"/>
        <v/>
      </c>
      <c r="BY11" s="60"/>
      <c r="BZ11" s="67" t="str">
        <f t="shared" si="87"/>
        <v/>
      </c>
      <c r="CA11" s="60"/>
      <c r="CB11" s="67" t="str">
        <f t="shared" si="88"/>
        <v/>
      </c>
      <c r="CC11" s="60"/>
      <c r="CD11" s="67" t="str">
        <f t="shared" si="89"/>
        <v/>
      </c>
      <c r="CE11" s="60"/>
      <c r="CF11" s="67" t="str">
        <f t="shared" si="90"/>
        <v/>
      </c>
      <c r="CG11" s="60"/>
      <c r="CH11" s="67" t="str">
        <f t="shared" si="91"/>
        <v/>
      </c>
      <c r="CI11" s="60"/>
      <c r="CJ11" s="67" t="str">
        <f t="shared" si="92"/>
        <v/>
      </c>
      <c r="CK11" s="60"/>
      <c r="CL11" s="64" t="str">
        <f t="shared" si="93"/>
        <v/>
      </c>
      <c r="CM11" s="65" t="e">
        <f t="shared" si="94"/>
        <v>#VALUE!</v>
      </c>
      <c r="CN11" s="62"/>
      <c r="CO11" s="62"/>
      <c r="CP11" s="68"/>
      <c r="CQ11" s="67" t="str">
        <f t="shared" si="95"/>
        <v/>
      </c>
      <c r="CR11" s="68"/>
      <c r="CS11" s="67" t="str">
        <f t="shared" si="96"/>
        <v/>
      </c>
      <c r="CT11" s="75"/>
      <c r="CU11" s="67" t="str">
        <f t="shared" si="97"/>
        <v/>
      </c>
      <c r="CV11" s="68"/>
      <c r="CW11" s="67" t="str">
        <f t="shared" si="98"/>
        <v/>
      </c>
      <c r="CX11" s="58"/>
      <c r="CY11" s="67" t="str">
        <f t="shared" si="99"/>
        <v/>
      </c>
    </row>
    <row r="12" spans="1:103" ht="25.5" customHeight="1" thickBot="1" x14ac:dyDescent="0.45">
      <c r="A12" s="63">
        <v>44629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44630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44631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44632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44633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44634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44635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44636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44637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44638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44639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44640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44641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44642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44643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44644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44645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44646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4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4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4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4" ht="22.5" thickBot="1" x14ac:dyDescent="0.45">
      <c r="Q36" s="71"/>
      <c r="AX36" s="65"/>
    </row>
    <row r="37" spans="1:104" ht="22.5" thickBot="1" x14ac:dyDescent="0.45">
      <c r="D37" s="58">
        <v>2.9276</v>
      </c>
      <c r="E37" s="64">
        <f t="shared" ref="E37" si="100">IF((D37-D36&lt;0), "0",(D37-D36)*1000000)</f>
        <v>2927600</v>
      </c>
      <c r="F37" s="58">
        <v>4.0162000000000004</v>
      </c>
      <c r="G37" s="64">
        <f t="shared" ref="G37" si="101">IF((F37-F36&lt;0), "0",(F37-F36)*1000000)</f>
        <v>4016200.0000000005</v>
      </c>
      <c r="H37" s="58">
        <v>3.9923000000000002</v>
      </c>
      <c r="I37" s="64">
        <f t="shared" ref="I37" si="102">IF((H37-H36&lt;0), "0",(H37-H36)*1000000)</f>
        <v>3992300</v>
      </c>
      <c r="J37" s="58">
        <v>1.9962</v>
      </c>
      <c r="K37" s="64">
        <f t="shared" ref="K37" si="103">IF((J37-J36&lt;0), "0",(J37-J36)*1000000)</f>
        <v>1996200</v>
      </c>
      <c r="L37" s="58">
        <v>3.1474000000000002</v>
      </c>
      <c r="M37" s="64">
        <f t="shared" ref="M37" si="104">IF((L37-L36&lt;0), "0",(L37-L36)*1000000)</f>
        <v>3147400</v>
      </c>
      <c r="N37" s="58">
        <v>1.7612000000000001</v>
      </c>
      <c r="O37" s="64">
        <f t="shared" ref="O37" si="105">IF((N37-N36&lt;0), "",(N37-N36)*1000000)</f>
        <v>1761200</v>
      </c>
      <c r="P37" s="58">
        <v>17766</v>
      </c>
      <c r="Q37" s="67">
        <f t="shared" ref="Q37" si="106">IF((P37-P36&lt;0), "",P37-P36)</f>
        <v>17766</v>
      </c>
      <c r="R37" s="58">
        <v>2053</v>
      </c>
      <c r="S37" s="67">
        <f t="shared" ref="S37" si="107">IF((R37-R36&lt;0), "",R37-R36)</f>
        <v>2053</v>
      </c>
      <c r="T37" s="58">
        <v>1235.8</v>
      </c>
      <c r="U37" s="67">
        <f t="shared" ref="U37" si="108">IF((T37-T36&lt;0), "",T37-T36)</f>
        <v>1235.8</v>
      </c>
      <c r="V37" s="58">
        <v>509608.6</v>
      </c>
      <c r="W37" s="67">
        <f t="shared" ref="W37" si="109">IF((V37-V36&lt;0), "",V37-V36)</f>
        <v>509608.6</v>
      </c>
      <c r="X37" s="58">
        <v>476.1</v>
      </c>
      <c r="Y37" s="65">
        <f t="shared" ref="Y37" si="110">IF((X37-X36&lt;0), "",(X37-X36)*1000)</f>
        <v>476100</v>
      </c>
      <c r="Z37" s="58">
        <v>3.5286</v>
      </c>
      <c r="AA37" s="65">
        <f t="shared" ref="AA37" si="111">IF((Z37-Z36&lt;0), "",(Z37-Z36)*1000000)</f>
        <v>3528600</v>
      </c>
      <c r="AB37" s="58">
        <v>478.7</v>
      </c>
      <c r="AC37" s="65">
        <f t="shared" ref="AC37" si="112">IF((AB37-AB36&lt;0), "",(AB37-AB36)*1000)</f>
        <v>478700</v>
      </c>
      <c r="AD37" s="58">
        <v>463.55</v>
      </c>
      <c r="AE37" s="65">
        <f t="shared" ref="AE37" si="113">IF((AD37-AD36&lt;0), "",(AD37-AD36)*1000)</f>
        <v>463550</v>
      </c>
      <c r="AF37" s="58">
        <v>668.79</v>
      </c>
      <c r="AG37" s="65">
        <f t="shared" ref="AG37" si="114">IF((AF37-AF36&lt;0), "",(AF37-AF36)*1000)</f>
        <v>668790</v>
      </c>
      <c r="AH37" s="58">
        <v>13754</v>
      </c>
      <c r="AI37" s="67">
        <f t="shared" ref="AI37" si="115">IF((AH37-AH36&lt;0), "",AH37-AH36)</f>
        <v>13754</v>
      </c>
      <c r="AJ37" s="58">
        <v>782.42</v>
      </c>
      <c r="AK37" s="65">
        <f t="shared" ref="AK37" si="116">IF((AJ37-AJ36&lt;0), "",(AJ37-AJ36)*1000)</f>
        <v>782420</v>
      </c>
      <c r="AL37" s="58">
        <v>261.27999999999997</v>
      </c>
      <c r="AM37" s="65">
        <f t="shared" ref="AM37" si="117">IF((AL37-AL36&lt;0), "",(AL37-AL36)*1000)</f>
        <v>261279.99999999997</v>
      </c>
      <c r="AN37" s="58">
        <v>245.42</v>
      </c>
      <c r="AO37" s="65">
        <f t="shared" ref="AO37" si="118">IF((AN37-AN36&lt;0), "",(AN37-AN36)*1000)</f>
        <v>245420</v>
      </c>
      <c r="AP37" s="58">
        <v>236.09</v>
      </c>
      <c r="AQ37" s="65">
        <f t="shared" ref="AQ37" si="119">IF((AP37-AP36&lt;0), "",(AP37-AP36)*1000)</f>
        <v>236090</v>
      </c>
      <c r="AR37" s="58">
        <v>293.10000000000002</v>
      </c>
      <c r="AS37" s="65">
        <f t="shared" ref="AS37" si="120">IF((AR37-AR36&lt;0), "",(AR37-AR36)*1000)</f>
        <v>293100</v>
      </c>
      <c r="AT37" s="58">
        <v>419.27</v>
      </c>
      <c r="AU37" s="65">
        <f t="shared" ref="AU37" si="121">IF((AT37-AT36&lt;0), "",(AT37-AT36)*1000)</f>
        <v>419270</v>
      </c>
      <c r="AV37" s="58">
        <v>324.88</v>
      </c>
      <c r="AW37" s="65">
        <f t="shared" ref="AW37" si="122">IF((AV37-AV36&lt;0), "",(AV37-AV36)*1000)</f>
        <v>324880</v>
      </c>
      <c r="AX37" s="58">
        <v>357.59</v>
      </c>
      <c r="AY37" s="65">
        <f t="shared" ref="AY37" si="123">IF((AX37-AX36&lt;0), "",(AX37-AX36)*1000)</f>
        <v>357590</v>
      </c>
      <c r="AZ37" s="58">
        <v>392</v>
      </c>
      <c r="BA37" s="65">
        <f t="shared" ref="BA37" si="124">IF((AZ37-AZ36&lt;0), "",(AZ37-AZ36)*1000)</f>
        <v>392000</v>
      </c>
      <c r="BB37" s="58">
        <v>411.8</v>
      </c>
      <c r="BC37" s="65">
        <f t="shared" ref="BC37" si="125">IF((BB37-BB36&lt;0), "",(BB37-BB36)*1000)</f>
        <v>411800</v>
      </c>
      <c r="BD37" s="58">
        <v>263.94</v>
      </c>
      <c r="BE37" s="65">
        <f t="shared" ref="BE37" si="126">IF((BD37-BD36&lt;0), "",(BD37-BD36)*1000)</f>
        <v>263940</v>
      </c>
      <c r="BF37" s="59">
        <v>48602</v>
      </c>
      <c r="BG37" s="67">
        <f t="shared" ref="BG37" si="127">IF((BF37-BF36&lt;0), "",BF37-BF36)</f>
        <v>48602</v>
      </c>
      <c r="BH37" s="60">
        <v>244.5</v>
      </c>
      <c r="BI37" s="65">
        <f t="shared" ref="BI37" si="128">IF((BH37-BH36&lt;0), "",(BH37-BH36)*1000)</f>
        <v>244500</v>
      </c>
      <c r="BJ37" s="60">
        <v>300.18</v>
      </c>
      <c r="BK37" s="65">
        <f t="shared" ref="BK37" si="129">IF((BJ37-BJ36&lt;0), "",(BJ37-BJ36)*1000)</f>
        <v>300180</v>
      </c>
      <c r="BL37" s="60">
        <v>247.12</v>
      </c>
      <c r="BM37" s="65">
        <f t="shared" ref="BM37" si="130">IF((BL37-BL36&lt;0), "",(BL37-BL36)*1000)</f>
        <v>247120</v>
      </c>
      <c r="BN37" s="60">
        <v>234.23</v>
      </c>
      <c r="BO37" s="65">
        <f t="shared" ref="BO37" si="131">IF((BN37-BN36&lt;0), "",(BN37-BN36)*1000)</f>
        <v>234230</v>
      </c>
      <c r="BP37" s="60">
        <v>300.33</v>
      </c>
      <c r="BQ37" s="65">
        <f t="shared" ref="BQ37" si="132">IF((BP37-BP36&lt;0), "",(BP37-BP36)*1000)</f>
        <v>300330</v>
      </c>
      <c r="BR37" s="60">
        <v>52945</v>
      </c>
      <c r="BS37" s="65">
        <f t="shared" ref="BS37" si="133">IF((BR37-BR36&lt;0), "",BR37-BR36)</f>
        <v>52945</v>
      </c>
      <c r="BT37" s="60">
        <v>211.2</v>
      </c>
      <c r="BU37" s="65">
        <f t="shared" ref="BU37" si="134">IF((BT37-BT36&lt;0), "",(BT37-BT36)*1000)</f>
        <v>211200</v>
      </c>
      <c r="BV37" s="60">
        <v>49986</v>
      </c>
      <c r="BW37" s="65">
        <f t="shared" ref="BW37" si="135">IF((BV37-BV36&lt;0), "",BV37-BV36)</f>
        <v>49986</v>
      </c>
      <c r="BX37" s="60">
        <v>239.43</v>
      </c>
      <c r="BY37" s="65">
        <f t="shared" ref="BY37" si="136">IF((BX37-BX36&lt;0), "",(BX37-BX36)*1000)</f>
        <v>239430</v>
      </c>
      <c r="BZ37" s="60">
        <v>69709</v>
      </c>
      <c r="CA37" s="67">
        <f t="shared" ref="CA37" si="137">IF((BZ37-BZ36&lt;0), "",BZ37-BZ36)</f>
        <v>69709</v>
      </c>
      <c r="CB37" s="60">
        <v>43759.5</v>
      </c>
      <c r="CC37" s="67">
        <f t="shared" ref="CC37" si="138">IF((CB37-CB36&lt;0), "",CB37-CB36)</f>
        <v>43759.5</v>
      </c>
      <c r="CD37" s="60">
        <v>14510.8</v>
      </c>
      <c r="CE37" s="67">
        <f t="shared" ref="CE37" si="139">IF((CD37-CD36&lt;0), "",CD37-CD36)</f>
        <v>14510.8</v>
      </c>
      <c r="CF37" s="60">
        <v>7676.6</v>
      </c>
      <c r="CG37" s="67">
        <f t="shared" ref="CG37" si="140">IF((CF37-CF36&lt;0), "",CF37-CF36)</f>
        <v>7676.6</v>
      </c>
      <c r="CH37" s="60">
        <v>70342</v>
      </c>
      <c r="CI37" s="67">
        <f t="shared" ref="CI37" si="141">IF((CH37-CH36&lt;0), "",CH37-CH36)</f>
        <v>70342</v>
      </c>
      <c r="CJ37" s="60">
        <v>1019338</v>
      </c>
      <c r="CK37" s="67">
        <f t="shared" ref="CK37" si="142">IF((CJ37-CJ36&lt;0), "",CJ37-CJ36)</f>
        <v>1019338</v>
      </c>
      <c r="CL37" s="60">
        <v>921.68</v>
      </c>
      <c r="CM37" s="64">
        <f t="shared" ref="CM37" si="143">IF((CL37-CL36&lt;0), "",(CL37-CL36)*1000)</f>
        <v>921680</v>
      </c>
      <c r="CN37" s="65">
        <f t="shared" ref="CN37" si="144">CR37+CT37</f>
        <v>42701.3</v>
      </c>
      <c r="CO37" s="62">
        <v>41</v>
      </c>
      <c r="CP37" s="62">
        <v>97</v>
      </c>
      <c r="CQ37" s="68">
        <v>23176</v>
      </c>
      <c r="CR37" s="67">
        <f t="shared" ref="CR37" si="145">IF((CQ37-CQ36&lt;0), "",CQ37-CQ36)</f>
        <v>23176</v>
      </c>
      <c r="CS37" s="68">
        <v>19525.3</v>
      </c>
      <c r="CT37" s="67">
        <f t="shared" ref="CT37" si="146">IF((CS37-CS36&lt;0), "",CS37-CS36)</f>
        <v>19525.3</v>
      </c>
      <c r="CU37" s="75">
        <v>9017</v>
      </c>
      <c r="CV37" s="67">
        <f t="shared" ref="CV37" si="147">IF((CU37-CU36&lt;0), "",CU37-CU36)</f>
        <v>9017</v>
      </c>
      <c r="CW37" s="68">
        <v>22348</v>
      </c>
      <c r="CX37" s="67">
        <f t="shared" ref="CX37" si="148">IF((CW37-CW36&lt;0), "",CW37-CW36)</f>
        <v>22348</v>
      </c>
      <c r="CY37" s="58">
        <v>1982.6</v>
      </c>
      <c r="CZ37" s="67">
        <f t="shared" ref="CZ37" si="149">IF((CY37-CY36&lt;0), "",CY37-CY36)</f>
        <v>1982.6</v>
      </c>
    </row>
    <row r="38" spans="1:104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4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F19" sqref="F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>
        <v>0</v>
      </c>
      <c r="C12" s="40">
        <v>29</v>
      </c>
      <c r="D12" s="40">
        <v>71</v>
      </c>
      <c r="E12" s="41">
        <v>85</v>
      </c>
      <c r="F12" s="41">
        <v>6623</v>
      </c>
      <c r="G12" s="41">
        <v>0</v>
      </c>
      <c r="H12" s="41">
        <v>2092</v>
      </c>
      <c r="I12" s="41">
        <v>55</v>
      </c>
      <c r="J12" s="41">
        <v>541</v>
      </c>
      <c r="K12" s="42">
        <v>85</v>
      </c>
      <c r="L12" s="42">
        <v>65</v>
      </c>
      <c r="M12" s="42">
        <v>1611</v>
      </c>
      <c r="N12" s="39">
        <v>85</v>
      </c>
      <c r="O12" s="39">
        <v>55</v>
      </c>
      <c r="P12" s="39">
        <v>83</v>
      </c>
      <c r="Q12" s="39">
        <v>4731</v>
      </c>
      <c r="R12" s="77">
        <v>82</v>
      </c>
      <c r="S12" s="77">
        <v>220</v>
      </c>
      <c r="T12">
        <f t="shared" si="1"/>
        <v>0</v>
      </c>
    </row>
    <row r="13" spans="1:20" x14ac:dyDescent="0.25">
      <c r="A13" s="73">
        <v>44626</v>
      </c>
      <c r="B13" s="40">
        <v>0</v>
      </c>
      <c r="C13" s="40">
        <v>31</v>
      </c>
      <c r="D13" s="40">
        <v>77</v>
      </c>
      <c r="E13" s="41">
        <v>85</v>
      </c>
      <c r="F13" s="41">
        <v>6630</v>
      </c>
      <c r="G13" s="41">
        <v>0</v>
      </c>
      <c r="H13" s="41">
        <v>2094</v>
      </c>
      <c r="I13" s="41">
        <v>45</v>
      </c>
      <c r="J13" s="41">
        <v>541</v>
      </c>
      <c r="K13" s="42">
        <v>85</v>
      </c>
      <c r="L13" s="42">
        <v>65</v>
      </c>
      <c r="M13" s="42">
        <v>1612</v>
      </c>
      <c r="N13" s="39">
        <v>85</v>
      </c>
      <c r="O13" s="39">
        <v>55</v>
      </c>
      <c r="P13" s="39">
        <v>83</v>
      </c>
      <c r="Q13" s="39">
        <v>4735</v>
      </c>
      <c r="R13" s="77">
        <v>81</v>
      </c>
      <c r="S13" s="77">
        <v>220</v>
      </c>
      <c r="T13">
        <f t="shared" si="1"/>
        <v>0</v>
      </c>
    </row>
    <row r="14" spans="1:20" ht="17.25" customHeight="1" x14ac:dyDescent="0.25">
      <c r="A14" s="73">
        <v>44627</v>
      </c>
      <c r="B14" s="40"/>
      <c r="C14" s="40">
        <v>31</v>
      </c>
      <c r="D14" s="40">
        <v>77</v>
      </c>
      <c r="E14" s="41">
        <v>85</v>
      </c>
      <c r="F14" s="41">
        <v>6635</v>
      </c>
      <c r="G14" s="41">
        <v>0</v>
      </c>
      <c r="H14" s="41">
        <v>2097</v>
      </c>
      <c r="I14" s="41">
        <v>35</v>
      </c>
      <c r="J14" s="41">
        <v>541</v>
      </c>
      <c r="K14" s="42">
        <v>85</v>
      </c>
      <c r="L14" s="42">
        <v>61</v>
      </c>
      <c r="M14" s="42">
        <v>1614</v>
      </c>
      <c r="N14" s="39">
        <v>85</v>
      </c>
      <c r="O14" s="39">
        <v>45</v>
      </c>
      <c r="P14" s="39">
        <v>83</v>
      </c>
      <c r="Q14" s="39">
        <v>4737</v>
      </c>
      <c r="R14" s="77">
        <v>81</v>
      </c>
      <c r="S14" s="77">
        <v>220</v>
      </c>
      <c r="T14">
        <f t="shared" si="1"/>
        <v>0</v>
      </c>
    </row>
    <row r="15" spans="1:20" x14ac:dyDescent="0.25">
      <c r="A15" s="73">
        <v>44628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-220</v>
      </c>
    </row>
    <row r="16" spans="1:20" x14ac:dyDescent="0.25">
      <c r="A16" s="73">
        <v>44629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44630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44631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44632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44633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44634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44635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44636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44637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44638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44639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44640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44641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44642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44643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44644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44645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2022-03-08T18:08:45Z</dcterms:modified>
</cp:coreProperties>
</file>