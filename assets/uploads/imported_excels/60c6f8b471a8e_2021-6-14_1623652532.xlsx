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B92B42AE-261B-4FC5-9F00-7A72B22442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<sst xmlns="http://schemas.openxmlformats.org/spreadsheetml/2006/main" count="201" uniqueCount="128">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</sst>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13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274610.00000000151</v>
      </c>
      <c r="F33" s="104">
        <v>0</v>
      </c>
      <c r="G33" s="101">
        <f>SUM(G2:G32)</f>
        <v>75129</v>
      </c>
      <c r="H33" s="102">
        <v>0</v>
      </c>
      <c r="I33" s="103">
        <f>SUM(I2:I32)</f>
        <v>3903</v>
      </c>
      <c r="J33" s="104">
        <v>0</v>
      </c>
      <c r="K33" s="105">
        <v>0</v>
      </c>
      <c r="L33" s="102">
        <v>0</v>
      </c>
      <c r="M33" s="106">
        <f t="shared" ref="M33:O33" si="1">SUM(M2:M32)</f>
        <v>154</v>
      </c>
      <c r="N33" s="106">
        <f t="shared" si="1"/>
        <v>376</v>
      </c>
      <c r="O33" s="106">
        <f t="shared" si="1"/>
        <v>1145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6" sqref="T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/>
      <c r="W14" s="71"/>
      <c r="X14" s="71"/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/>
      <c r="W15" s="71"/>
      <c r="X15" s="71"/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312.89999999999998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/>
      <c r="W16" s="71"/>
      <c r="X16" s="71"/>
      <c r="Y16" s="17"/>
    </row>
    <row r="17" spans="1:25" ht="21" customHeight="1" x14ac:dyDescent="0.25">
      <c r="A17" s="8">
        <v>44361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154</v>
      </c>
      <c r="W35" s="78">
        <f>SUM(W4:W34)</f>
        <v>376</v>
      </c>
      <c r="X35" s="78">
        <f>SUM(X4:X34)</f>
        <v>1145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379.99999999999545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6008.3900000021858</v>
      </c>
    </row>
    <row r="16" spans="1:22" x14ac:dyDescent="0.25">
      <c r="A16" s="3">
        <f>'Kwh Reading'!A16</f>
        <v>44360</v>
      </c>
      <c r="B16" s="26">
        <f>TOTAL!E14</f>
        <v>0</v>
      </c>
      <c r="C16" s="4">
        <f>('Kwh Reading'!T17-'Kwh Reading'!T16)*1000</f>
        <v>-412850</v>
      </c>
      <c r="D16" s="2">
        <f>('Kwh Reading'!F17-'Kwh Reading'!F16)*1000000</f>
        <v>-2336500</v>
      </c>
      <c r="E16" s="2">
        <f>('Kwh Reading'!C17-'Kwh Reading'!C16)*1000</f>
        <v>-225470</v>
      </c>
      <c r="F16" s="2">
        <f>('Kwh Reading'!J17-'Kwh Reading'!J16)*1000</f>
        <v>-312900</v>
      </c>
      <c r="G16" s="2">
        <f>('Kwh Reading'!K17-'Kwh Reading'!K16)*1000</f>
        <v>-336290</v>
      </c>
      <c r="H16" s="2">
        <f>('Kwh Reading'!L17-'Kwh Reading'!L16)*1000</f>
        <v>-230500</v>
      </c>
      <c r="I16" s="2">
        <f>('Kwh Reading'!R17-'Kwh Reading'!R16)*1000</f>
        <v>-152290</v>
      </c>
      <c r="J16" s="2">
        <f>('Kwh Reading'!S17-'Kwh Reading'!S16)*1000</f>
        <v>-112850</v>
      </c>
      <c r="K16" s="2">
        <f>('Kwh Reading'!I17-'Kwh Reading'!I16)*1000</f>
        <v>-230150</v>
      </c>
      <c r="L16" s="2">
        <f>('Kwh Reading'!B17-'Kwh Reading'!B16)*1000</f>
        <v>-957020</v>
      </c>
      <c r="M16" s="2">
        <f>('Kwh Reading'!M17-'Kwh Reading'!M16)*1000</f>
        <v>-504360</v>
      </c>
      <c r="N16" s="2">
        <f>('Kwh Reading'!H17-'Kwh Reading'!H16)*1000</f>
        <v>-613920</v>
      </c>
      <c r="O16" s="2">
        <f>('Kwh Reading'!P17-'Kwh Reading'!P16)*1000</f>
        <v>-599850</v>
      </c>
      <c r="P16" s="2">
        <f>('Kwh Reading'!G17-'Kwh Reading'!G16)*1000</f>
        <v>-730660</v>
      </c>
      <c r="Q16" s="2">
        <f>('Kwh Reading'!Q17-'Kwh Reading'!Q16)*1000</f>
        <v>-448060</v>
      </c>
      <c r="R16" s="2">
        <f>('Kwh Reading'!N17-'Kwh Reading'!N16)*1000</f>
        <v>-458590</v>
      </c>
      <c r="S16" s="34">
        <f>'Kwh Reading'!E17-'Kwh Reading'!E16</f>
        <v>-8125871.3099999996</v>
      </c>
      <c r="T16" s="34">
        <f>'Kwh Reading'!D17-'Kwh Reading'!D16</f>
        <v>-7436505.0999999996</v>
      </c>
      <c r="U16" s="27">
        <f>('Kwh Reading'!O17-'Kwh Reading'!O16)*1000</f>
        <v>-147180</v>
      </c>
      <c r="V16" s="16">
        <f t="shared" si="1"/>
        <v>24371816.409999996</v>
      </c>
    </row>
    <row r="17" spans="1:22" x14ac:dyDescent="0.25">
      <c r="A17" s="3">
        <f>'Kwh Reading'!A17</f>
        <v>44361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44362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277380.00000000081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-310550.00000000006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-111340.00000000001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-448540.00000000006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24450792.77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780.00000000000114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6008.3900000021922</v>
      </c>
    </row>
    <row r="15" spans="1:12" x14ac:dyDescent="0.25">
      <c r="A15" s="14">
        <f>'Kwh Reading'!A16</f>
        <v>44360</v>
      </c>
      <c r="B15" s="83">
        <f>TOTAL!E14</f>
        <v>0</v>
      </c>
      <c r="C15" s="1">
        <f>'Kwh Consumption'!C16</f>
        <v>-412850</v>
      </c>
      <c r="D15" s="1">
        <f>'Kwh Consumption'!D16</f>
        <v>-2336500</v>
      </c>
      <c r="E15" s="1">
        <f>'Kwh Consumption'!E16</f>
        <v>-225470</v>
      </c>
      <c r="F15" s="1">
        <f>('Kwh Consumption'!F16+'Kwh Consumption'!G16+'Kwh Consumption'!H16)</f>
        <v>-879690</v>
      </c>
      <c r="G15" s="16">
        <f>('Kwh Consumption'!I16+'Kwh Consumption'!J16)</f>
        <v>-265140</v>
      </c>
      <c r="H15" s="1">
        <f>('Kwh Consumption'!K16+'Kwh Consumption'!L16)</f>
        <v>-1187170</v>
      </c>
      <c r="I15" s="1">
        <f>('Kwh Consumption'!M16+'Kwh Consumption'!N16+'Kwh Consumption'!O16+'Kwh Consumption'!P16+'Kwh Consumption'!Q16+'Kwh Consumption'!R16)</f>
        <v>-3355440</v>
      </c>
      <c r="J15" s="1">
        <f>('Kwh Consumption'!S16+'Kwh Consumption'!T16)</f>
        <v>-15562376.41</v>
      </c>
      <c r="K15" s="1">
        <f>'Kwh Consumption'!U16</f>
        <v>-147180</v>
      </c>
      <c r="L15" s="32">
        <f t="shared" si="0"/>
        <v>24371816.41</v>
      </c>
    </row>
    <row r="16" spans="1:12" x14ac:dyDescent="0.25">
      <c r="A16" s="14">
        <f>'Kwh Reading'!A17</f>
        <v>44361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44362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274610.00000000151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-15494502.770000001</v>
      </c>
      <c r="K34" s="75">
        <f t="shared" si="1"/>
        <v>-144040</v>
      </c>
      <c r="L34" s="75">
        <f t="shared" si="1"/>
        <v>24448022.770000003</v>
      </c>
      <c r="M34" s="84">
        <f>C34+D34+E34+F34+G34+H34+I34+J34+K34+L34</f>
        <v>274610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-2169230.3878000006</v>
      </c>
      <c r="K36" s="75">
        <f>K34*B36</f>
        <v>-20165.600000000002</v>
      </c>
      <c r="L36" s="75">
        <f>L34*B36</f>
        <v>3422723.1878000009</v>
      </c>
      <c r="M36" s="84">
        <f>C36+D36+E36+F36+G36+H36+I36+J36+K36+L36</f>
        <v>38445.399999999907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109.20000000000017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841.1746000003061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-57799.000000000007</v>
      </c>
      <c r="E15" s="1">
        <f>'Kwh Consumption'!D16*' Kwh area wise $ '!B15</f>
        <v>-327110.00000000006</v>
      </c>
      <c r="F15" s="1">
        <f>'Kwh Consumption'!E16*' Kwh area wise $ '!B15</f>
        <v>-31565.800000000003</v>
      </c>
      <c r="G15" s="1">
        <f>('Kwh Consumption'!F16+'Kwh Consumption'!G16+'Kwh Consumption'!H16)*' Kwh area wise $ '!B15</f>
        <v>-123156.6</v>
      </c>
      <c r="H15" s="16">
        <f>('Kwh Consumption'!I16+'Kwh Consumption'!J16)*' Kwh area wise $ '!B15</f>
        <v>-37119.600000000006</v>
      </c>
      <c r="I15" s="1">
        <f>('Kwh Consumption'!K16+'Kwh Consumption'!L16)*' Kwh area wise $ '!B15</f>
        <v>-166203.80000000002</v>
      </c>
      <c r="J15" s="1">
        <f>('Kwh Consumption'!M16+'Kwh Consumption'!N16+'Kwh Consumption'!O16+'Kwh Consumption'!P16+'Kwh Consumption'!Q16+'Kwh Consumption'!R16)*' Kwh area wise $ '!B15</f>
        <v>-469761.60000000003</v>
      </c>
      <c r="K15" s="1">
        <f>('Kwh Consumption'!S16+'Kwh Consumption'!T16)*' Kwh area wise $ '!B15</f>
        <v>-2178732.6974000004</v>
      </c>
      <c r="L15" s="1">
        <f>'Kwh Consumption'!U16*' Kwh area wise $ '!B15</f>
        <v>-20605.2</v>
      </c>
      <c r="M15" s="1">
        <f>'Kwh Consumption'!V16*' Kwh area wise $ '!B15</f>
        <v>3412054.2974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38833.200000000121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-20165.599999999999</v>
      </c>
      <c r="M34" s="75">
        <f>SUM(M3:M33)</f>
        <v>3423110.9878000002</v>
      </c>
      <c r="N34" s="84">
        <f>D34+E34+F34+G34+H34+I34+J34+K34+L34+M34</f>
        <v>38833.199999999255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5" sqref="R1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557</v>
      </c>
      <c r="R15" s="55">
        <v>6153</v>
      </c>
      <c r="T15" s="110"/>
      <c r="U15" s="110"/>
    </row>
    <row r="16" spans="1:21" x14ac:dyDescent="0.25">
      <c r="A16" s="54">
        <v>44361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44362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44363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12" sqref="C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79</v>
      </c>
      <c r="H15" s="89">
        <f t="shared" si="4"/>
        <v>6.0030395136778117E-2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13</v>
      </c>
      <c r="P15" s="99">
        <f t="shared" si="8"/>
        <v>9.8784194528875376E-3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0</v>
      </c>
      <c r="C16" s="66">
        <f>('Water Reading'!B16-'Water Reading'!B15)+('Water Reading'!C16-'Water Reading'!C15)</f>
        <v>-288572</v>
      </c>
      <c r="D16" s="67" t="e">
        <f t="shared" si="2"/>
        <v>#DIV/0!</v>
      </c>
      <c r="E16" s="87">
        <f>'Water Reading'!H16-'Water Reading'!H15</f>
        <v>-51921</v>
      </c>
      <c r="F16" s="89">
        <f t="shared" si="3"/>
        <v>0.17992390114078982</v>
      </c>
      <c r="G16" s="93">
        <f>('Water Reading'!D16-'Water Reading'!D15)-('Water Reading'!R16-'Water Reading'!R15)-('Water Reading'!Q16-'Water Reading'!Q15)</f>
        <v>-199902</v>
      </c>
      <c r="H16" s="89">
        <f t="shared" si="4"/>
        <v>0.69272833123102728</v>
      </c>
      <c r="I16" s="90">
        <f>'Water Reading'!P16-'Water Reading'!P15</f>
        <v>-26879</v>
      </c>
      <c r="J16" s="68">
        <f t="shared" si="5"/>
        <v>9.3144865059673149E-2</v>
      </c>
      <c r="K16" s="91">
        <f>('Water Reading'!I16-'Water Reading'!I15)-('Water Reading'!P16-'Water Reading'!P15)</f>
        <v>-36364</v>
      </c>
      <c r="L16" s="68">
        <f t="shared" si="6"/>
        <v>0.12601361185423396</v>
      </c>
      <c r="M16" s="90">
        <f>'Water Reading'!R16-'Water Reading'!R15</f>
        <v>-6153</v>
      </c>
      <c r="N16" s="92">
        <f t="shared" si="7"/>
        <v>2.1322235005475237E-2</v>
      </c>
      <c r="O16" s="90">
        <f>'Water Reading'!Q16-'Water Reading'!Q15</f>
        <v>-557</v>
      </c>
      <c r="P16" s="99">
        <f t="shared" si="8"/>
        <v>1.9301941976352522E-3</v>
      </c>
      <c r="Q16" s="91">
        <f>'Water Reading'!F16-'Water Reading'!F15</f>
        <v>-66915</v>
      </c>
      <c r="R16" s="100">
        <f t="shared" si="9"/>
        <v>0.23188320419167488</v>
      </c>
      <c r="S16" s="94">
        <f>'Water Reading'!E16-'Water Reading'!E15</f>
        <v>-246756</v>
      </c>
      <c r="T16" s="100">
        <f t="shared" si="10"/>
        <v>0.85509335625077965</v>
      </c>
      <c r="U16" s="90">
        <f>'Water Reading'!G16-'Water Reading'!G15</f>
        <v>-111340</v>
      </c>
      <c r="V16" s="100">
        <f t="shared" si="11"/>
        <v>0.38583091914669476</v>
      </c>
      <c r="W16" s="90">
        <f>'Water Reading'!J16-'Water Reading'!J15</f>
        <v>-19941</v>
      </c>
      <c r="X16" s="100">
        <f t="shared" si="12"/>
        <v>6.9102338411211064E-2</v>
      </c>
      <c r="Y16" s="66">
        <f t="shared" si="0"/>
        <v>-766728</v>
      </c>
      <c r="Z16" s="67" t="e">
        <f t="shared" si="1"/>
        <v>#DIV/0!</v>
      </c>
    </row>
    <row r="17" spans="1:26" x14ac:dyDescent="0.25">
      <c r="A17" s="8">
        <f>'Water Reading'!A16</f>
        <v>44361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44362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3944</v>
      </c>
      <c r="C35" s="75">
        <f>SUM(C4:C34)</f>
        <v>-282428</v>
      </c>
      <c r="D35" s="96">
        <f>C35/B35</f>
        <v>-71.609533468559832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-193.30121703853956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2021-06-13T04:49:56Z</dcterms:modified>
  <cp:category/>
  <cp:contentStatus/>
</cp:coreProperties>
</file>