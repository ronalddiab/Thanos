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4 - 2020" sheetId="1" r:id="rId3"/>
  </sheets>
  <definedNames>
    <definedName name="_xlnm.Print_Area" localSheetId="2">'04 - 2020'!$A$1:$J$36</definedName>
  </definedNames>
  <calcPr calcId="162913" calcMode="manual"/>
</workbook>
</file>

<file path=xl/calcChain.xml><?xml version="1.0" encoding="utf-8"?>
<calcChain xmlns="http://schemas.openxmlformats.org/spreadsheetml/2006/main">
  <c r="L12" i="3" l="1"/>
  <c r="I12" i="3"/>
  <c r="G12" i="3"/>
  <c r="E12" i="3"/>
  <c r="K12" i="3"/>
  <c r="J12" i="2"/>
  <c r="F12" i="2"/>
  <c r="E12" i="2"/>
  <c r="I12" i="2"/>
  <c r="H12" i="2"/>
  <c r="L11" i="3"/>
  <c r="I11" i="3"/>
  <c r="G11" i="3"/>
  <c r="E11" i="3"/>
  <c r="K11" i="3"/>
  <c r="H11" i="2"/>
  <c r="I11" i="2"/>
  <c r="J11" i="2"/>
  <c r="F11" i="2"/>
  <c r="E11" i="2"/>
  <c r="L10" i="3" l="1"/>
  <c r="I10" i="3"/>
  <c r="G10" i="3"/>
  <c r="E10" i="3"/>
  <c r="K10" i="3"/>
  <c r="J10" i="2"/>
  <c r="F10" i="2"/>
  <c r="E10" i="2"/>
  <c r="I10" i="2"/>
  <c r="H10" i="2"/>
  <c r="L9" i="3"/>
  <c r="I9" i="3"/>
  <c r="G9" i="3"/>
  <c r="E9" i="3"/>
  <c r="K9" i="3"/>
  <c r="J9" i="2"/>
  <c r="I9" i="2"/>
  <c r="H9" i="2"/>
  <c r="F9" i="2"/>
  <c r="E9" i="2"/>
  <c r="G8" i="3"/>
  <c r="I8" i="3"/>
  <c r="L8" i="3"/>
  <c r="E8" i="3"/>
  <c r="K8" i="3"/>
  <c r="J8" i="2"/>
  <c r="I8" i="2"/>
  <c r="H8" i="2"/>
  <c r="F8" i="2"/>
  <c r="E8" i="2"/>
  <c r="L7" i="3" l="1"/>
  <c r="I7" i="3"/>
  <c r="G7" i="3"/>
  <c r="E7" i="3"/>
  <c r="K7" i="3"/>
  <c r="L6" i="3"/>
  <c r="I6" i="3"/>
  <c r="G6" i="3"/>
  <c r="E6" i="3"/>
  <c r="K6" i="3"/>
  <c r="J7" i="2"/>
  <c r="F7" i="2"/>
  <c r="E7" i="2"/>
  <c r="I7" i="2"/>
  <c r="H7" i="2"/>
  <c r="J6" i="2"/>
  <c r="F6" i="2"/>
  <c r="E6" i="2"/>
  <c r="I6" i="2"/>
  <c r="H6" i="2"/>
  <c r="L5" i="3"/>
  <c r="I5" i="3"/>
  <c r="G5" i="3"/>
  <c r="E5" i="3"/>
  <c r="K5" i="3"/>
  <c r="J5" i="2"/>
  <c r="F5" i="2"/>
  <c r="E5" i="2"/>
  <c r="I5" i="2"/>
  <c r="H5" i="2"/>
  <c r="L4" i="3" l="1"/>
  <c r="I4" i="3"/>
  <c r="G4" i="3"/>
  <c r="E4" i="3"/>
  <c r="K4" i="3"/>
  <c r="L3" i="3"/>
  <c r="I3" i="3"/>
  <c r="G3" i="3"/>
  <c r="E3" i="3"/>
  <c r="K3" i="3"/>
  <c r="J4" i="2" l="1"/>
  <c r="I4" i="2"/>
  <c r="H4" i="2"/>
  <c r="F4" i="2"/>
  <c r="E4" i="2"/>
  <c r="J3" i="2" l="1"/>
  <c r="I3" i="2"/>
  <c r="H3" i="2"/>
  <c r="F3" i="2"/>
  <c r="E3" i="2"/>
  <c r="K38" i="1" l="1"/>
  <c r="J38" i="1"/>
  <c r="I38" i="1"/>
  <c r="I39" i="1" s="1"/>
  <c r="H38" i="1"/>
  <c r="H39" i="1" s="1"/>
  <c r="G38" i="1"/>
  <c r="F38" i="1"/>
  <c r="E38" i="1"/>
  <c r="D38" i="1"/>
  <c r="C38" i="1"/>
  <c r="B38" i="1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L21" i="3"/>
  <c r="K21" i="3"/>
  <c r="I21" i="3"/>
  <c r="G21" i="3"/>
  <c r="E21" i="3"/>
  <c r="J22" i="2"/>
  <c r="I22" i="2"/>
  <c r="H22" i="2"/>
  <c r="F22" i="2"/>
  <c r="E22" i="2"/>
  <c r="J21" i="2"/>
  <c r="I21" i="2"/>
  <c r="H21" i="2"/>
  <c r="F21" i="2"/>
  <c r="E21" i="2"/>
  <c r="L20" i="3" l="1"/>
  <c r="K20" i="3"/>
  <c r="I20" i="3"/>
  <c r="G20" i="3"/>
  <c r="E20" i="3"/>
  <c r="E20" i="2"/>
  <c r="F20" i="2"/>
  <c r="H20" i="2"/>
  <c r="I20" i="2"/>
  <c r="J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I2" i="3" l="1"/>
  <c r="L16" i="3"/>
  <c r="L15" i="3"/>
  <c r="L14" i="3"/>
  <c r="L2" i="3"/>
  <c r="L31" i="3" l="1"/>
  <c r="K31" i="3"/>
  <c r="I31" i="3"/>
  <c r="G31" i="3"/>
  <c r="E31" i="3"/>
  <c r="J31" i="2"/>
  <c r="I31" i="2"/>
  <c r="H31" i="2"/>
  <c r="F31" i="2"/>
  <c r="E31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K16" i="3" l="1"/>
  <c r="I16" i="3"/>
  <c r="G16" i="3"/>
  <c r="E16" i="3"/>
  <c r="K15" i="3"/>
  <c r="I15" i="3"/>
  <c r="G15" i="3"/>
  <c r="E15" i="3"/>
  <c r="J16" i="2"/>
  <c r="I16" i="2"/>
  <c r="H16" i="2"/>
  <c r="F16" i="2"/>
  <c r="E16" i="2"/>
  <c r="J15" i="2"/>
  <c r="I15" i="2"/>
  <c r="H15" i="2"/>
  <c r="F15" i="2"/>
  <c r="E15" i="2"/>
  <c r="K14" i="3" l="1"/>
  <c r="I14" i="3"/>
  <c r="G14" i="3"/>
  <c r="E14" i="3"/>
  <c r="J14" i="2"/>
  <c r="I14" i="2"/>
  <c r="H14" i="2"/>
  <c r="F14" i="2"/>
  <c r="E14" i="2"/>
  <c r="L30" i="3" l="1"/>
  <c r="K30" i="3"/>
  <c r="I30" i="3"/>
  <c r="G30" i="3"/>
  <c r="E30" i="3"/>
  <c r="J30" i="2"/>
  <c r="I30" i="2"/>
  <c r="H30" i="2"/>
  <c r="F30" i="2"/>
  <c r="E30" i="2"/>
  <c r="E2" i="3" l="1"/>
  <c r="E2" i="2"/>
  <c r="K2" i="3"/>
  <c r="G2" i="3"/>
  <c r="J2" i="2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<sst xmlns="http://schemas.openxmlformats.org/spreadsheetml/2006/main" count="104" uniqueCount="37">
  <si>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</si>
  <si>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</si>
  <si>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</si>
  <si>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</si>
  <si>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</si>
  <si>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</si>
  <si>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</si>
  <si>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</si>
  <si>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</si>
  <si>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</si>
  <si>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</si>
  <si>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</si>
  <si>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</si>
  <si>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</si>
  <si>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</si>
  <si>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</si>
  <si>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</si>
  <si>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</si>
  <si>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</si>
  <si>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</si>
  <si>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</si>
  <si>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</si>
  <si>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</si>
  <si>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</si>
  <si>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</si>
  <si>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</si>
  <si>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</si>
  <si>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</si>
  <si>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</si>
  <si>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</si>
  <si>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</si>
  <si>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</si>
  <si>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</si>
  <si>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</si>
  <si>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</si>
  <si>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</si>
  <si>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MARCH'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</si>
</sst>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\2\6\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164" fontId="6" fillId="0" borderId="10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5" xfId="0" applyNumberFormat="1" applyFont="1" applyBorder="1" applyAlignment="1" applyProtection="1">
      <alignment horizontal="center"/>
      <protection locked="0"/>
    </xf>
    <xf numFmtId="1" fontId="5" fillId="0" borderId="16" xfId="0" applyNumberFormat="1" applyFont="1" applyBorder="1" applyAlignment="1" applyProtection="1">
      <alignment horizontal="center"/>
      <protection locked="0"/>
    </xf>
    <xf numFmtId="1" fontId="5" fillId="0" borderId="16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Border="1" applyAlignment="1" applyProtection="1">
      <alignment horizontal="center" vertical="center"/>
      <protection locked="0"/>
    </xf>
    <xf numFmtId="1" fontId="5" fillId="0" borderId="16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L17" sqref="L17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9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4</v>
      </c>
      <c r="D2">
        <v>2020</v>
      </c>
      <c r="E2" s="26">
        <f>'04 - 2020'!B8-'04 - 2020'!B7+'04 - 2020'!C8-'04 - 2020'!C7</f>
        <v>3463</v>
      </c>
      <c r="F2" s="24">
        <v>0.11799999999999999</v>
      </c>
      <c r="G2" s="26">
        <f>(('04 - 2020'!E8-'04 - 2020'!E7)+('04 - 2020'!F8-'04 - 2020'!F7)+('04 - 2020'!G8-'04 - 2020'!G7))*1.81</f>
        <v>44.851799999998718</v>
      </c>
      <c r="H2" s="24">
        <v>0.99</v>
      </c>
      <c r="I2" s="26">
        <f>'04 - 2020'!J8-'04 - 2020'!J7</f>
        <v>5745</v>
      </c>
      <c r="J2" s="24">
        <v>8.1000000000000003E-2</v>
      </c>
      <c r="K2" s="60">
        <f>'04 - 2020'!H8-'04 - 2020'!H7</f>
        <v>0</v>
      </c>
      <c r="L2" s="26">
        <f>'04 - 2020'!I8-'04 - 2020'!I7</f>
        <v>28</v>
      </c>
      <c r="M2" s="25">
        <v>4.393629424766913</v>
      </c>
      <c r="N2" s="51">
        <v>0</v>
      </c>
    </row>
    <row r="3" spans="1:15" x14ac:dyDescent="0.25">
      <c r="A3" t="s">
        <v>27</v>
      </c>
      <c r="B3">
        <f>B2+1</f>
        <v>2</v>
      </c>
      <c r="C3" s="24">
        <v>4</v>
      </c>
      <c r="D3" s="24">
        <v>2020</v>
      </c>
      <c r="E3" s="26">
        <f>'04 - 2020'!B9-'04 - 2020'!B8+'04 - 2020'!C9-'04 - 2020'!C8</f>
        <v>2711</v>
      </c>
      <c r="F3" s="24">
        <v>0.11799999999999999</v>
      </c>
      <c r="G3" s="26">
        <f>(('04 - 2020'!E9-'04 - 2020'!E8)+('04 - 2020'!F9-'04 - 2020'!F8)+('04 - 2020'!G9-'04 - 2020'!G8))*1.81</f>
        <v>26.93280000000102</v>
      </c>
      <c r="H3" s="24">
        <v>0.99</v>
      </c>
      <c r="I3" s="26">
        <f>'04 - 2020'!J9-'04 - 2020'!J8</f>
        <v>4698</v>
      </c>
      <c r="J3" s="24">
        <v>8.1000000000000003E-2</v>
      </c>
      <c r="K3" s="60">
        <f>'04 - 2020'!H9-'04 - 2020'!H8</f>
        <v>0</v>
      </c>
      <c r="L3" s="26">
        <f>'04 - 2020'!I9-'04 - 2020'!I8</f>
        <v>23</v>
      </c>
      <c r="M3" s="25">
        <v>4.393629424766913</v>
      </c>
      <c r="N3" s="51">
        <v>0</v>
      </c>
    </row>
    <row r="4" spans="1:15" x14ac:dyDescent="0.25">
      <c r="A4" t="s">
        <v>27</v>
      </c>
      <c r="B4">
        <f t="shared" ref="B4:B31" si="0">B3+1</f>
        <v>3</v>
      </c>
      <c r="C4" s="24">
        <v>4</v>
      </c>
      <c r="D4" s="24">
        <v>2020</v>
      </c>
      <c r="E4" s="26">
        <f>'04 - 2020'!B10-'04 - 2020'!B9+'04 - 2020'!C10-'04 - 2020'!C9</f>
        <v>2703</v>
      </c>
      <c r="F4" s="24">
        <v>0.11799999999999999</v>
      </c>
      <c r="G4" s="26">
        <f>(('04 - 2020'!E10-'04 - 2020'!E9)+('04 - 2020'!F10-'04 - 2020'!F9)+('04 - 2020'!G10-'04 - 2020'!G9))*1.81</f>
        <v>20.398700000001615</v>
      </c>
      <c r="H4" s="24">
        <v>0.99</v>
      </c>
      <c r="I4" s="26">
        <f>'04 - 2020'!J10-'04 - 2020'!J9</f>
        <v>5439</v>
      </c>
      <c r="J4" s="24">
        <v>8.1000000000000003E-2</v>
      </c>
      <c r="K4" s="60">
        <f>'04 - 2020'!H10-'04 - 2020'!H9</f>
        <v>0</v>
      </c>
      <c r="L4" s="26">
        <f>'04 - 2020'!I10-'04 - 2020'!I9</f>
        <v>24</v>
      </c>
      <c r="M4" s="25">
        <v>4.3936294247669103</v>
      </c>
      <c r="N4" s="51">
        <v>0</v>
      </c>
    </row>
    <row r="5" spans="1:15" x14ac:dyDescent="0.25">
      <c r="A5" t="s">
        <v>27</v>
      </c>
      <c r="B5">
        <f t="shared" si="0"/>
        <v>4</v>
      </c>
      <c r="C5" s="24">
        <v>4</v>
      </c>
      <c r="D5" s="24">
        <v>2020</v>
      </c>
      <c r="E5" s="26">
        <f>'04 - 2020'!B11-'04 - 2020'!B10+'04 - 2020'!C11-'04 - 2020'!C10</f>
        <v>2677</v>
      </c>
      <c r="F5" s="24">
        <v>0.11799999999999999</v>
      </c>
      <c r="G5" s="26">
        <f>(('04 - 2020'!E11-'04 - 2020'!E10)+('04 - 2020'!F11-'04 - 2020'!F10)+('04 - 2020'!G11-'04 - 2020'!G10))*1.81</f>
        <v>18.606799999997893</v>
      </c>
      <c r="H5" s="24">
        <v>0.99</v>
      </c>
      <c r="I5" s="26">
        <f>'04 - 2020'!J11-'04 - 2020'!J10</f>
        <v>5418</v>
      </c>
      <c r="J5" s="24">
        <v>8.1000000000000003E-2</v>
      </c>
      <c r="K5" s="60">
        <f>'04 - 2020'!H11-'04 - 2020'!H10</f>
        <v>0</v>
      </c>
      <c r="L5" s="26">
        <f>'04 - 2020'!I11-'04 - 2020'!I10</f>
        <v>19</v>
      </c>
      <c r="M5" s="25">
        <v>4.3936294247669103</v>
      </c>
      <c r="N5" s="51">
        <v>0</v>
      </c>
    </row>
    <row r="6" spans="1:15" x14ac:dyDescent="0.25">
      <c r="A6" t="s">
        <v>27</v>
      </c>
      <c r="B6">
        <f t="shared" si="0"/>
        <v>5</v>
      </c>
      <c r="C6" s="24">
        <v>4</v>
      </c>
      <c r="D6" s="24">
        <v>2020</v>
      </c>
      <c r="E6" s="26">
        <f>'04 - 2020'!B12-'04 - 2020'!B11+'04 - 2020'!C12-'04 - 2020'!C11</f>
        <v>2572</v>
      </c>
      <c r="F6" s="24">
        <v>0.11799999999999999</v>
      </c>
      <c r="G6" s="26">
        <f>(('04 - 2020'!E12-'04 - 2020'!E11)+('04 - 2020'!F12-'04 - 2020'!F11)+('04 - 2020'!G12-'04 - 2020'!G11))*1.81</f>
        <v>18.950700000002108</v>
      </c>
      <c r="H6" s="24">
        <v>0.99</v>
      </c>
      <c r="I6" s="26">
        <f>'04 - 2020'!J12-'04 - 2020'!J11</f>
        <v>5447</v>
      </c>
      <c r="J6" s="24">
        <v>8.1000000000000003E-2</v>
      </c>
      <c r="K6" s="60">
        <f>'04 - 2020'!H12-'04 - 2020'!H11</f>
        <v>0</v>
      </c>
      <c r="L6" s="26">
        <f>'04 - 2020'!I12-'04 - 2020'!I11</f>
        <v>15</v>
      </c>
      <c r="M6" s="25">
        <v>4.3936294247669103</v>
      </c>
      <c r="N6" s="51">
        <v>0</v>
      </c>
    </row>
    <row r="7" spans="1:15" x14ac:dyDescent="0.25">
      <c r="A7" t="s">
        <v>27</v>
      </c>
      <c r="B7">
        <f t="shared" si="0"/>
        <v>6</v>
      </c>
      <c r="C7" s="24">
        <v>4</v>
      </c>
      <c r="D7" s="24">
        <v>2020</v>
      </c>
      <c r="E7" s="26">
        <f>'04 - 2020'!B13-'04 - 2020'!B12+'04 - 2020'!C13-'04 - 2020'!C12</f>
        <v>2677</v>
      </c>
      <c r="F7" s="24">
        <v>0.11799999999999999</v>
      </c>
      <c r="G7" s="26">
        <f>(('04 - 2020'!E13-'04 - 2020'!E12)+('04 - 2020'!F13-'04 - 2020'!F12)+('04 - 2020'!G13-'04 - 2020'!G12))*1.81</f>
        <v>20.652099999999738</v>
      </c>
      <c r="H7" s="24">
        <v>0.99</v>
      </c>
      <c r="I7" s="26">
        <f>'04 - 2020'!J13-'04 - 2020'!J12</f>
        <v>5759</v>
      </c>
      <c r="J7" s="24">
        <v>8.1000000000000003E-2</v>
      </c>
      <c r="K7" s="60">
        <f>'04 - 2020'!H13-'04 - 2020'!H12</f>
        <v>0</v>
      </c>
      <c r="L7" s="26">
        <f>'04 - 2020'!I13-'04 - 2020'!I12</f>
        <v>11</v>
      </c>
      <c r="M7" s="25">
        <v>4.3936294247669103</v>
      </c>
      <c r="N7" s="51">
        <v>0</v>
      </c>
    </row>
    <row r="8" spans="1:15" x14ac:dyDescent="0.25">
      <c r="A8" t="s">
        <v>27</v>
      </c>
      <c r="B8">
        <f t="shared" si="0"/>
        <v>7</v>
      </c>
      <c r="C8" s="24">
        <v>4</v>
      </c>
      <c r="D8" s="24">
        <v>2020</v>
      </c>
      <c r="E8" s="26">
        <f>'04 - 2020'!B14-'04 - 2020'!B13+'04 - 2020'!C14-'04 - 2020'!C13</f>
        <v>2719</v>
      </c>
      <c r="F8" s="24">
        <v>0.11799999999999999</v>
      </c>
      <c r="G8" s="26">
        <f>(('04 - 2020'!E14-'04 - 2020'!E13)+('04 - 2020'!F14-'04 - 2020'!F13)+('04 - 2020'!G14-'04 - 2020'!G13))*1.81</f>
        <v>20.851199999997498</v>
      </c>
      <c r="H8" s="24">
        <v>0.99</v>
      </c>
      <c r="I8" s="26">
        <f>'04 - 2020'!J14-'04 - 2020'!J13</f>
        <v>5158</v>
      </c>
      <c r="J8" s="24">
        <v>8.1000000000000003E-2</v>
      </c>
      <c r="K8" s="60">
        <f>'04 - 2020'!H14-'04 - 2020'!H13</f>
        <v>0</v>
      </c>
      <c r="L8" s="26">
        <f>'04 - 2020'!I14-'04 - 2020'!I13</f>
        <v>17</v>
      </c>
      <c r="M8" s="25">
        <v>4.3936294247669103</v>
      </c>
      <c r="N8" s="51">
        <v>0</v>
      </c>
      <c r="O8" s="26"/>
    </row>
    <row r="9" spans="1:15" x14ac:dyDescent="0.25">
      <c r="A9" t="s">
        <v>27</v>
      </c>
      <c r="B9">
        <f t="shared" si="0"/>
        <v>8</v>
      </c>
      <c r="C9" s="24">
        <v>4</v>
      </c>
      <c r="D9" s="24">
        <v>2020</v>
      </c>
      <c r="E9" s="26">
        <f>'04 - 2020'!B15-'04 - 2020'!B14+'04 - 2020'!C15-'04 - 2020'!C14</f>
        <v>2728</v>
      </c>
      <c r="F9" s="24">
        <v>0.11799999999999999</v>
      </c>
      <c r="G9" s="26">
        <f>(('04 - 2020'!E15-'04 - 2020'!E14)+('04 - 2020'!F15-'04 - 2020'!F14)+('04 - 2020'!G15-'04 - 2020'!G14))*1.81</f>
        <v>20.634000000002633</v>
      </c>
      <c r="H9" s="24">
        <v>0.99</v>
      </c>
      <c r="I9" s="26">
        <f>'04 - 2020'!J15-'04 - 2020'!J14</f>
        <v>5019</v>
      </c>
      <c r="J9" s="24">
        <v>8.1000000000000003E-2</v>
      </c>
      <c r="K9" s="60">
        <f>'04 - 2020'!H15-'04 - 2020'!H14</f>
        <v>0</v>
      </c>
      <c r="L9" s="26">
        <f>'04 - 2020'!I15-'04 - 2020'!I14</f>
        <v>17</v>
      </c>
      <c r="M9" s="25">
        <v>4.3936294247669103</v>
      </c>
      <c r="N9" s="51">
        <v>0</v>
      </c>
    </row>
    <row r="10" spans="1:15" x14ac:dyDescent="0.25">
      <c r="A10" t="s">
        <v>27</v>
      </c>
      <c r="B10">
        <f t="shared" si="0"/>
        <v>9</v>
      </c>
      <c r="C10" s="24">
        <v>4</v>
      </c>
      <c r="D10" s="24">
        <v>2020</v>
      </c>
      <c r="E10" s="26">
        <f>'04 - 2020'!B16-'04 - 2020'!B15+'04 - 2020'!C16-'04 - 2020'!C15</f>
        <v>2759</v>
      </c>
      <c r="F10" s="24">
        <v>0.11799999999999999</v>
      </c>
      <c r="G10" s="26">
        <f>(('04 - 2020'!E16-'04 - 2020'!E15)+('04 - 2020'!F16-'04 - 2020'!F15)+('04 - 2020'!G16-'04 - 2020'!G15))*1.81</f>
        <v>22.407799999998552</v>
      </c>
      <c r="H10" s="24">
        <v>0.99</v>
      </c>
      <c r="I10" s="26">
        <f>'04 - 2020'!J16-'04 - 2020'!J15</f>
        <v>5934</v>
      </c>
      <c r="J10" s="24">
        <v>8.1000000000000003E-2</v>
      </c>
      <c r="K10" s="60">
        <f>'04 - 2020'!H16-'04 - 2020'!H15</f>
        <v>0</v>
      </c>
      <c r="L10" s="26">
        <f>'04 - 2020'!I16-'04 - 2020'!I15</f>
        <v>23</v>
      </c>
      <c r="M10" s="25">
        <v>4.3936294247669103</v>
      </c>
      <c r="N10" s="51">
        <v>0</v>
      </c>
    </row>
    <row r="11" spans="1:15" x14ac:dyDescent="0.25">
      <c r="A11" t="s">
        <v>27</v>
      </c>
      <c r="B11">
        <f t="shared" si="0"/>
        <v>10</v>
      </c>
      <c r="C11" s="24">
        <v>4</v>
      </c>
      <c r="D11" s="24">
        <v>2020</v>
      </c>
      <c r="E11" s="26">
        <f>'04 - 2020'!B17-'04 - 2020'!B16+'04 - 2020'!C17-'04 - 2020'!C16</f>
        <v>2708</v>
      </c>
      <c r="F11" s="24">
        <v>0.11799999999999999</v>
      </c>
      <c r="G11" s="26">
        <f>(('04 - 2020'!E17-'04 - 2020'!E16)+('04 - 2020'!F17-'04 - 2020'!F16)+('04 - 2020'!G17-'04 - 2020'!G16))*1.81</f>
        <v>21.72</v>
      </c>
      <c r="H11" s="24">
        <v>0.99</v>
      </c>
      <c r="I11" s="26">
        <f>'04 - 2020'!J17-'04 - 2020'!J16</f>
        <v>5409</v>
      </c>
      <c r="J11" s="24">
        <v>8.1000000000000003E-2</v>
      </c>
      <c r="K11" s="60">
        <f>'04 - 2020'!H17-'04 - 2020'!H16</f>
        <v>0</v>
      </c>
      <c r="L11" s="26">
        <f>'04 - 2020'!I17-'04 - 2020'!I16</f>
        <v>23</v>
      </c>
      <c r="M11" s="25">
        <v>4.3936294247669103</v>
      </c>
      <c r="N11" s="51">
        <v>0</v>
      </c>
    </row>
    <row r="12" spans="1:15" x14ac:dyDescent="0.25">
      <c r="A12" t="s">
        <v>27</v>
      </c>
      <c r="B12">
        <f t="shared" si="0"/>
        <v>11</v>
      </c>
      <c r="C12" s="24">
        <v>4</v>
      </c>
      <c r="D12" s="24">
        <v>2020</v>
      </c>
      <c r="E12" s="26">
        <f>'04 - 2020'!B18-'04 - 2020'!B17+'04 - 2020'!C18-'04 - 2020'!C17</f>
        <v>2524</v>
      </c>
      <c r="F12" s="24">
        <v>0.11799999999999999</v>
      </c>
      <c r="G12" s="26">
        <f>(('04 - 2020'!E18-'04 - 2020'!E17)+('04 - 2020'!F18-'04 - 2020'!F17)+('04 - 2020'!G18-'04 - 2020'!G17))*1.81</f>
        <v>18.715400000000265</v>
      </c>
      <c r="H12" s="24">
        <v>0.99</v>
      </c>
      <c r="I12" s="26">
        <f>'04 - 2020'!J18-'04 - 2020'!J17</f>
        <v>5211</v>
      </c>
      <c r="J12" s="24">
        <v>8.1000000000000003E-2</v>
      </c>
      <c r="K12" s="60">
        <f>'04 - 2020'!H18-'04 - 2020'!H17</f>
        <v>0</v>
      </c>
      <c r="L12" s="26">
        <f>'04 - 2020'!I18-'04 - 2020'!I17</f>
        <v>25</v>
      </c>
      <c r="M12" s="25">
        <v>4.3936294247669103</v>
      </c>
      <c r="N12" s="26">
        <v>0</v>
      </c>
    </row>
    <row r="13" spans="1:15" x14ac:dyDescent="0.25">
      <c r="A13" t="s">
        <v>27</v>
      </c>
      <c r="B13">
        <f t="shared" si="0"/>
        <v>12</v>
      </c>
      <c r="C13" s="24">
        <v>4</v>
      </c>
      <c r="D13" s="24">
        <v>2020</v>
      </c>
      <c r="E13" s="26">
        <v>0</v>
      </c>
      <c r="F13" s="24">
        <v>0.11799999999999999</v>
      </c>
      <c r="G13" s="26">
        <v>0</v>
      </c>
      <c r="H13" s="24">
        <v>0.99</v>
      </c>
      <c r="I13" s="26">
        <v>0</v>
      </c>
      <c r="J13" s="24">
        <v>8.1000000000000003E-2</v>
      </c>
      <c r="K13" s="60">
        <v>0</v>
      </c>
      <c r="L13" s="26">
        <v>0</v>
      </c>
      <c r="M13" s="25">
        <v>4.393629424766913</v>
      </c>
      <c r="N13" s="26"/>
    </row>
    <row r="14" spans="1:15" x14ac:dyDescent="0.25">
      <c r="A14" t="s">
        <v>27</v>
      </c>
      <c r="B14">
        <f t="shared" si="0"/>
        <v>13</v>
      </c>
      <c r="C14" s="24">
        <v>4</v>
      </c>
      <c r="D14" s="24">
        <v>2020</v>
      </c>
      <c r="E14" s="26">
        <f>'04 - 2020'!B20-'04 - 2020'!B19+'04 - 2020'!C20-'04 - 2020'!C19</f>
        <v>0</v>
      </c>
      <c r="F14" s="24">
        <v>0.11799999999999999</v>
      </c>
      <c r="G14" s="26">
        <f>(('04 - 2020'!E20-'04 - 2020'!E19)+('04 - 2020'!F20-'04 - 2020'!F19)+('04 - 2020'!G20-'04 - 2020'!G19))*1.81</f>
        <v>0</v>
      </c>
      <c r="H14" s="24">
        <v>0.99</v>
      </c>
      <c r="I14" s="26">
        <f>'04 - 2020'!J20-'04 - 2020'!J19</f>
        <v>0</v>
      </c>
      <c r="J14" s="24">
        <v>8.1000000000000003E-2</v>
      </c>
      <c r="K14" s="60">
        <f>'04 - 2020'!H20-'04 - 2020'!H19</f>
        <v>0</v>
      </c>
      <c r="L14" s="26">
        <f>'04 - 2020'!I20-'04 - 2020'!I19</f>
        <v>0</v>
      </c>
      <c r="M14" s="25">
        <v>4.393629424766913</v>
      </c>
      <c r="N14" s="26"/>
      <c r="O14" s="26"/>
    </row>
    <row r="15" spans="1:15" x14ac:dyDescent="0.25">
      <c r="A15" t="s">
        <v>27</v>
      </c>
      <c r="B15">
        <f t="shared" si="0"/>
        <v>14</v>
      </c>
      <c r="C15" s="24">
        <v>4</v>
      </c>
      <c r="D15" s="24">
        <v>2020</v>
      </c>
      <c r="E15" s="26">
        <f>'04 - 2020'!B21-'04 - 2020'!B20+'04 - 2020'!C21-'04 - 2020'!C20</f>
        <v>0</v>
      </c>
      <c r="F15" s="24">
        <v>0.11799999999999999</v>
      </c>
      <c r="G15" s="26">
        <f>(('04 - 2020'!E21-'04 - 2020'!E20)+('04 - 2020'!F21-'04 - 2020'!F20)+('04 - 2020'!G21-'04 - 2020'!G20))*1.81</f>
        <v>0</v>
      </c>
      <c r="H15" s="24">
        <v>0.99</v>
      </c>
      <c r="I15" s="26">
        <f>'04 - 2020'!J21-'04 - 2020'!J20</f>
        <v>0</v>
      </c>
      <c r="J15" s="24">
        <v>8.1000000000000003E-2</v>
      </c>
      <c r="K15" s="60">
        <f>'04 - 2020'!H21-'04 - 2020'!H20</f>
        <v>0</v>
      </c>
      <c r="L15" s="26">
        <f>'04 - 2020'!I21-'04 - 2020'!I20</f>
        <v>0</v>
      </c>
      <c r="M15" s="25">
        <v>4.393629424766913</v>
      </c>
      <c r="N15" s="26"/>
    </row>
    <row r="16" spans="1:15" x14ac:dyDescent="0.25">
      <c r="A16" t="s">
        <v>27</v>
      </c>
      <c r="B16">
        <f t="shared" si="0"/>
        <v>15</v>
      </c>
      <c r="C16" s="24">
        <v>4</v>
      </c>
      <c r="D16" s="24">
        <v>2020</v>
      </c>
      <c r="E16" s="26">
        <f>'04 - 2020'!B22-'04 - 2020'!B21+'04 - 2020'!C22-'04 - 2020'!C21</f>
        <v>0</v>
      </c>
      <c r="F16" s="24">
        <v>0.11799999999999999</v>
      </c>
      <c r="G16" s="26">
        <f>(('04 - 2020'!E22-'04 - 2020'!E21)+('04 - 2020'!F22-'04 - 2020'!F21)+('04 - 2020'!G22-'04 - 2020'!G21))*1.81</f>
        <v>0</v>
      </c>
      <c r="H16" s="24">
        <v>0.99</v>
      </c>
      <c r="I16" s="26">
        <f>'04 - 2020'!J22-'04 - 2020'!J21</f>
        <v>0</v>
      </c>
      <c r="J16" s="24">
        <v>8.1000000000000003E-2</v>
      </c>
      <c r="K16" s="60">
        <f>'04 - 2020'!H22-'04 - 2020'!H21</f>
        <v>0</v>
      </c>
      <c r="L16" s="26">
        <f>'04 - 2020'!I22-'04 - 2020'!I21</f>
        <v>0</v>
      </c>
      <c r="M16" s="25">
        <v>4.393629424766913</v>
      </c>
      <c r="N16" s="26"/>
    </row>
    <row r="17" spans="1:16" x14ac:dyDescent="0.25">
      <c r="A17" t="s">
        <v>27</v>
      </c>
      <c r="B17">
        <f t="shared" si="0"/>
        <v>16</v>
      </c>
      <c r="C17" s="24">
        <v>4</v>
      </c>
      <c r="D17" s="24">
        <v>2020</v>
      </c>
      <c r="E17" s="26">
        <f>'04 - 2020'!B23-'04 - 2020'!B22+'04 - 2020'!C23-'04 - 2020'!C22</f>
        <v>0</v>
      </c>
      <c r="F17" s="24">
        <v>0.11799999999999999</v>
      </c>
      <c r="G17" s="26">
        <f>(('04 - 2020'!E23-'04 - 2020'!E22)+('04 - 2020'!F23-'04 - 2020'!F22)+('04 - 2020'!G23-'04 - 2020'!G22))*1.81</f>
        <v>0</v>
      </c>
      <c r="H17" s="24">
        <v>0.99</v>
      </c>
      <c r="I17" s="26">
        <f>'04 - 2020'!J23-'04 - 2020'!J22</f>
        <v>0</v>
      </c>
      <c r="J17" s="24">
        <v>8.1000000000000003E-2</v>
      </c>
      <c r="K17" s="60">
        <f>'04 - 2020'!H23-'04 - 2020'!H22</f>
        <v>0</v>
      </c>
      <c r="L17" s="26">
        <f>'04 - 2020'!I23-'04 - 2020'!I22</f>
        <v>0</v>
      </c>
      <c r="M17" s="25">
        <v>4.393629424766913</v>
      </c>
      <c r="N17" s="52"/>
    </row>
    <row r="18" spans="1:16" x14ac:dyDescent="0.25">
      <c r="A18" t="s">
        <v>27</v>
      </c>
      <c r="B18">
        <f t="shared" si="0"/>
        <v>17</v>
      </c>
      <c r="C18" s="24">
        <v>4</v>
      </c>
      <c r="D18" s="24">
        <v>2020</v>
      </c>
      <c r="E18" s="26">
        <f>'04 - 2020'!B24-'04 - 2020'!B23+'04 - 2020'!C24-'04 - 2020'!C23</f>
        <v>0</v>
      </c>
      <c r="F18" s="24">
        <v>0.11799999999999999</v>
      </c>
      <c r="G18" s="26">
        <f>(('04 - 2020'!E24-'04 - 2020'!E23)+('04 - 2020'!F24-'04 - 2020'!F23)+('04 - 2020'!G24-'04 - 2020'!G23))*1.81</f>
        <v>0</v>
      </c>
      <c r="H18" s="24">
        <v>0.99</v>
      </c>
      <c r="I18" s="26">
        <f>'04 - 2020'!J24-'04 - 2020'!J23</f>
        <v>0</v>
      </c>
      <c r="J18" s="24">
        <v>8.1000000000000003E-2</v>
      </c>
      <c r="K18" s="60">
        <f>'04 - 2020'!H24-'04 - 2020'!H23</f>
        <v>0</v>
      </c>
      <c r="L18" s="26">
        <f>'04 - 2020'!I24-'04 - 2020'!I23</f>
        <v>0</v>
      </c>
      <c r="M18" s="25">
        <v>4.393629424766913</v>
      </c>
      <c r="N18" s="52"/>
    </row>
    <row r="19" spans="1:16" x14ac:dyDescent="0.25">
      <c r="A19" t="s">
        <v>27</v>
      </c>
      <c r="B19">
        <f>B18+1</f>
        <v>18</v>
      </c>
      <c r="C19" s="24">
        <v>4</v>
      </c>
      <c r="D19" s="24">
        <v>2020</v>
      </c>
      <c r="E19" s="26">
        <f>'04 - 2020'!B25-'04 - 2020'!B24+'04 - 2020'!C25-'04 - 2020'!C24</f>
        <v>0</v>
      </c>
      <c r="F19" s="24">
        <v>0.11799999999999999</v>
      </c>
      <c r="G19" s="26">
        <f>(('04 - 2020'!E25-'04 - 2020'!E24)+('04 - 2020'!F25-'04 - 2020'!F24)+('04 - 2020'!G25-'04 - 2020'!G24))*1.81</f>
        <v>0</v>
      </c>
      <c r="H19" s="24">
        <v>0.99</v>
      </c>
      <c r="I19" s="26">
        <f>'04 - 2020'!J25-'04 - 2020'!J24</f>
        <v>0</v>
      </c>
      <c r="J19" s="24">
        <v>8.1000000000000003E-2</v>
      </c>
      <c r="K19" s="60">
        <f>'04 - 2020'!H25-'04 - 2020'!H24</f>
        <v>0</v>
      </c>
      <c r="L19" s="26">
        <f>'04 - 2020'!I25-'04 - 2020'!I24</f>
        <v>0</v>
      </c>
      <c r="M19" s="25">
        <v>4.393629424766913</v>
      </c>
      <c r="N19" s="52"/>
    </row>
    <row r="20" spans="1:16" x14ac:dyDescent="0.25">
      <c r="A20" t="s">
        <v>27</v>
      </c>
      <c r="B20">
        <f t="shared" si="0"/>
        <v>19</v>
      </c>
      <c r="C20" s="24">
        <v>4</v>
      </c>
      <c r="D20" s="24">
        <v>2020</v>
      </c>
      <c r="E20" s="26">
        <f>'04 - 2020'!B26-'04 - 2020'!B25+'04 - 2020'!C26-'04 - 2020'!C25</f>
        <v>0</v>
      </c>
      <c r="F20" s="24">
        <v>0.11799999999999999</v>
      </c>
      <c r="G20" s="26">
        <f>(('04 - 2020'!E26-'04 - 2020'!E25)+('04 - 2020'!F26-'04 - 2020'!F25)+('04 - 2020'!G26-'04 - 2020'!G25))*1.81</f>
        <v>0</v>
      </c>
      <c r="H20" s="24">
        <v>0.99</v>
      </c>
      <c r="I20" s="26">
        <f>'04 - 2020'!J26-'04 - 2020'!J25</f>
        <v>0</v>
      </c>
      <c r="J20" s="24">
        <v>8.1000000000000003E-2</v>
      </c>
      <c r="K20" s="60">
        <f>'04 - 2020'!H26-'04 - 2020'!H25</f>
        <v>0</v>
      </c>
      <c r="L20" s="26">
        <f>'04 - 2020'!I26-'04 - 2020'!I25</f>
        <v>0</v>
      </c>
      <c r="M20" s="25">
        <v>4.393629424766913</v>
      </c>
      <c r="N20" s="52"/>
    </row>
    <row r="21" spans="1:16" x14ac:dyDescent="0.25">
      <c r="A21" t="s">
        <v>27</v>
      </c>
      <c r="B21">
        <f t="shared" si="0"/>
        <v>20</v>
      </c>
      <c r="C21" s="24">
        <v>4</v>
      </c>
      <c r="D21" s="24">
        <v>2020</v>
      </c>
      <c r="E21" s="26">
        <f>'04 - 2020'!B27-'04 - 2020'!B26+'04 - 2020'!C27-'04 - 2020'!C26</f>
        <v>0</v>
      </c>
      <c r="F21" s="24">
        <v>0.11799999999999999</v>
      </c>
      <c r="G21" s="26">
        <f>(('04 - 2020'!E27-'04 - 2020'!E26)+('04 - 2020'!F27-'04 - 2020'!F26)+('04 - 2020'!G27-'04 - 2020'!G26))*1.81</f>
        <v>0</v>
      </c>
      <c r="H21" s="24">
        <v>0.99</v>
      </c>
      <c r="I21" s="26">
        <f>'04 - 2020'!J27-'04 - 2020'!J26</f>
        <v>0</v>
      </c>
      <c r="J21" s="24">
        <v>8.1000000000000003E-2</v>
      </c>
      <c r="K21" s="60">
        <f>'04 - 2020'!H27-'04 - 2020'!H26</f>
        <v>0</v>
      </c>
      <c r="L21" s="26">
        <f>'04 - 2020'!I27-'04 - 2020'!I26</f>
        <v>0</v>
      </c>
      <c r="M21" s="25">
        <v>4.393629424766913</v>
      </c>
      <c r="N21" s="52"/>
    </row>
    <row r="22" spans="1:16" x14ac:dyDescent="0.25">
      <c r="A22" t="s">
        <v>27</v>
      </c>
      <c r="B22">
        <f t="shared" si="0"/>
        <v>21</v>
      </c>
      <c r="C22" s="24">
        <v>4</v>
      </c>
      <c r="D22" s="24">
        <v>2020</v>
      </c>
      <c r="E22" s="26">
        <f>'04 - 2020'!B28-'04 - 2020'!B27+'04 - 2020'!C28-'04 - 2020'!C27</f>
        <v>0</v>
      </c>
      <c r="F22" s="24">
        <v>0.11799999999999999</v>
      </c>
      <c r="G22" s="26">
        <f>(('04 - 2020'!E28-'04 - 2020'!E27)+('04 - 2020'!F28-'04 - 2020'!F27)+('04 - 2020'!G28-'04 - 2020'!G27))*1.81</f>
        <v>0</v>
      </c>
      <c r="H22" s="24">
        <v>0.99</v>
      </c>
      <c r="I22" s="26">
        <f>'04 - 2020'!J28-'04 - 2020'!J27</f>
        <v>0</v>
      </c>
      <c r="J22" s="24">
        <v>8.1000000000000003E-2</v>
      </c>
      <c r="K22" s="60">
        <f>'04 - 2020'!H28-'04 - 2020'!H27</f>
        <v>0</v>
      </c>
      <c r="L22" s="26">
        <f>'04 - 2020'!I28-'04 - 2020'!I27</f>
        <v>0</v>
      </c>
      <c r="M22" s="25">
        <v>4.393629424766913</v>
      </c>
      <c r="N22" s="52"/>
    </row>
    <row r="23" spans="1:16" x14ac:dyDescent="0.25">
      <c r="A23" t="s">
        <v>27</v>
      </c>
      <c r="B23">
        <f t="shared" si="0"/>
        <v>22</v>
      </c>
      <c r="C23" s="24">
        <v>4</v>
      </c>
      <c r="D23" s="24">
        <v>2020</v>
      </c>
      <c r="E23" s="26">
        <f>'04 - 2020'!B29-'04 - 2020'!B28+'04 - 2020'!C29-'04 - 2020'!C28</f>
        <v>0</v>
      </c>
      <c r="F23" s="24">
        <v>0.11799999999999999</v>
      </c>
      <c r="G23" s="26">
        <f>(('04 - 2020'!E29-'04 - 2020'!E28)+('04 - 2020'!F29-'04 - 2020'!F28)+('04 - 2020'!G29-'04 - 2020'!G28))*1.81</f>
        <v>0</v>
      </c>
      <c r="H23" s="24">
        <v>0.99</v>
      </c>
      <c r="I23" s="26">
        <f>'04 - 2020'!J29-'04 - 2020'!J28</f>
        <v>0</v>
      </c>
      <c r="J23" s="24">
        <v>8.1000000000000003E-2</v>
      </c>
      <c r="K23" s="60">
        <f>'04 - 2020'!H29-'04 - 2020'!H28</f>
        <v>0</v>
      </c>
      <c r="L23" s="26">
        <f>'04 - 2020'!I29-'04 - 2020'!I28</f>
        <v>0</v>
      </c>
      <c r="M23" s="25">
        <v>4.393629424766913</v>
      </c>
      <c r="N23" s="52"/>
    </row>
    <row r="24" spans="1:16" x14ac:dyDescent="0.25">
      <c r="A24" t="s">
        <v>27</v>
      </c>
      <c r="B24">
        <f t="shared" si="0"/>
        <v>23</v>
      </c>
      <c r="C24" s="24">
        <v>4</v>
      </c>
      <c r="D24" s="24">
        <v>2020</v>
      </c>
      <c r="E24" s="26">
        <f>'04 - 2020'!B30-'04 - 2020'!B29+'04 - 2020'!C30-'04 - 2020'!C29</f>
        <v>0</v>
      </c>
      <c r="F24" s="24">
        <v>0.11799999999999999</v>
      </c>
      <c r="G24" s="26">
        <f>(('04 - 2020'!E30-'04 - 2020'!E29)+('04 - 2020'!F30-'04 - 2020'!F29)+('04 - 2020'!G30-'04 - 2020'!G29))*1.81</f>
        <v>0</v>
      </c>
      <c r="H24" s="24">
        <v>0.99</v>
      </c>
      <c r="I24" s="26">
        <f>'04 - 2020'!J30-'04 - 2020'!J29</f>
        <v>0</v>
      </c>
      <c r="J24" s="24">
        <v>8.1000000000000003E-2</v>
      </c>
      <c r="K24" s="60">
        <f>'04 - 2020'!H30-'04 - 2020'!H29</f>
        <v>0</v>
      </c>
      <c r="L24" s="26">
        <f>'04 - 2020'!I30-'04 - 2020'!I29</f>
        <v>0</v>
      </c>
      <c r="M24" s="25">
        <v>4.393629424766913</v>
      </c>
      <c r="N24" s="52"/>
    </row>
    <row r="25" spans="1:16" x14ac:dyDescent="0.25">
      <c r="A25" t="s">
        <v>27</v>
      </c>
      <c r="B25">
        <f t="shared" si="0"/>
        <v>24</v>
      </c>
      <c r="C25" s="24">
        <v>4</v>
      </c>
      <c r="D25" s="24">
        <v>2020</v>
      </c>
      <c r="E25" s="26">
        <f>'04 - 2020'!B31-'04 - 2020'!B30+'04 - 2020'!C31-'04 - 2020'!C30</f>
        <v>0</v>
      </c>
      <c r="F25" s="24">
        <v>0.11799999999999999</v>
      </c>
      <c r="G25" s="26">
        <f>(('04 - 2020'!E31-'04 - 2020'!E30)+('04 - 2020'!F31-'04 - 2020'!F30)+('04 - 2020'!G31-'04 - 2020'!G30))*1.81</f>
        <v>0</v>
      </c>
      <c r="H25" s="24">
        <v>0.99</v>
      </c>
      <c r="I25" s="26">
        <f>'04 - 2020'!J31-'04 - 2020'!J30</f>
        <v>0</v>
      </c>
      <c r="J25" s="24">
        <v>8.1000000000000003E-2</v>
      </c>
      <c r="K25" s="60">
        <f>'04 - 2020'!H31-'04 - 2020'!H30</f>
        <v>0</v>
      </c>
      <c r="L25" s="26">
        <f>'04 - 2020'!I31-'04 - 2020'!I30</f>
        <v>0</v>
      </c>
      <c r="M25" s="25">
        <v>4.393629424766913</v>
      </c>
      <c r="N25" s="52"/>
      <c r="P25" s="14"/>
    </row>
    <row r="26" spans="1:16" x14ac:dyDescent="0.25">
      <c r="A26" t="s">
        <v>27</v>
      </c>
      <c r="B26">
        <f>B25+1</f>
        <v>25</v>
      </c>
      <c r="C26" s="24">
        <v>4</v>
      </c>
      <c r="D26" s="24">
        <v>2020</v>
      </c>
      <c r="E26" s="26">
        <f>'04 - 2020'!B32-'04 - 2020'!B31+'04 - 2020'!C32-'04 - 2020'!C31</f>
        <v>0</v>
      </c>
      <c r="F26" s="24">
        <v>0.11799999999999999</v>
      </c>
      <c r="G26" s="26">
        <f>(('04 - 2020'!E32-'04 - 2020'!E31)+('04 - 2020'!F32-'04 - 2020'!F31)+('04 - 2020'!G32-'04 - 2020'!G31))*1.81</f>
        <v>0</v>
      </c>
      <c r="H26" s="24">
        <v>0.99</v>
      </c>
      <c r="I26" s="26">
        <f>'04 - 2020'!J32-'04 - 2020'!J31</f>
        <v>0</v>
      </c>
      <c r="J26" s="24">
        <v>8.1000000000000003E-2</v>
      </c>
      <c r="K26" s="60">
        <f>'04 - 2020'!H32-'04 - 2020'!H31</f>
        <v>0</v>
      </c>
      <c r="L26" s="26">
        <f>'04 - 2020'!I32-'04 - 2020'!I31</f>
        <v>0</v>
      </c>
      <c r="M26" s="25">
        <v>4.393629424766913</v>
      </c>
      <c r="N26" s="52"/>
    </row>
    <row r="27" spans="1:16" x14ac:dyDescent="0.25">
      <c r="A27" t="s">
        <v>27</v>
      </c>
      <c r="B27">
        <f t="shared" si="0"/>
        <v>26</v>
      </c>
      <c r="C27" s="24">
        <v>4</v>
      </c>
      <c r="D27" s="24">
        <v>2020</v>
      </c>
      <c r="E27" s="26">
        <v>0</v>
      </c>
      <c r="F27" s="24">
        <v>0.11799999999999999</v>
      </c>
      <c r="G27" s="26">
        <v>0</v>
      </c>
      <c r="H27" s="24">
        <v>0.99</v>
      </c>
      <c r="I27" s="26">
        <v>0</v>
      </c>
      <c r="J27" s="24">
        <v>8.1000000000000003E-2</v>
      </c>
      <c r="K27" s="60">
        <v>0</v>
      </c>
      <c r="L27" s="26">
        <v>0</v>
      </c>
      <c r="M27" s="25">
        <v>4.393629424766913</v>
      </c>
      <c r="N27" s="52"/>
    </row>
    <row r="28" spans="1:16" x14ac:dyDescent="0.25">
      <c r="A28" t="s">
        <v>27</v>
      </c>
      <c r="B28">
        <f t="shared" si="0"/>
        <v>27</v>
      </c>
      <c r="C28" s="24">
        <v>4</v>
      </c>
      <c r="D28" s="24">
        <v>2020</v>
      </c>
      <c r="E28" s="26">
        <f>'04 - 2020'!B34-'04 - 2020'!B33+'04 - 2020'!C34-'04 - 2020'!C33</f>
        <v>0</v>
      </c>
      <c r="F28" s="24">
        <v>0.11799999999999999</v>
      </c>
      <c r="G28" s="26">
        <f>(('04 - 2020'!E34-'04 - 2020'!E33)+('04 - 2020'!F34-'04 - 2020'!F33)+('04 - 2020'!G34-'04 - 2020'!G33))*1.81</f>
        <v>0</v>
      </c>
      <c r="H28" s="24">
        <v>0.99</v>
      </c>
      <c r="I28" s="26">
        <f>'04 - 2020'!J34-'04 - 2020'!J33</f>
        <v>0</v>
      </c>
      <c r="J28" s="24">
        <v>8.1000000000000003E-2</v>
      </c>
      <c r="K28" s="60">
        <f>'04 - 2020'!H34-'04 - 2020'!H33</f>
        <v>0</v>
      </c>
      <c r="L28" s="26">
        <f>'04 - 2020'!I34-'04 - 2020'!I33</f>
        <v>0</v>
      </c>
      <c r="M28" s="25">
        <v>4.393629424766913</v>
      </c>
      <c r="N28" s="52"/>
    </row>
    <row r="29" spans="1:16" x14ac:dyDescent="0.25">
      <c r="A29" t="s">
        <v>27</v>
      </c>
      <c r="B29">
        <f t="shared" si="0"/>
        <v>28</v>
      </c>
      <c r="C29" s="24">
        <v>4</v>
      </c>
      <c r="D29" s="24">
        <v>2020</v>
      </c>
      <c r="E29" s="26">
        <f>'04 - 2020'!B35-'04 - 2020'!B34+'04 - 2020'!C35-'04 - 2020'!C34</f>
        <v>0</v>
      </c>
      <c r="F29" s="24">
        <v>0.11799999999999999</v>
      </c>
      <c r="G29" s="26">
        <f>(('04 - 2020'!E35-'04 - 2020'!E34)+('04 - 2020'!F35-'04 - 2020'!F34)+('04 - 2020'!G35-'04 - 2020'!G34))*1.81</f>
        <v>0</v>
      </c>
      <c r="H29" s="24">
        <v>0.99</v>
      </c>
      <c r="I29" s="26">
        <f>'04 - 2020'!J35-'04 - 2020'!J34</f>
        <v>0</v>
      </c>
      <c r="J29" s="24">
        <v>8.1000000000000003E-2</v>
      </c>
      <c r="K29" s="60">
        <f>'04 - 2020'!H35-'04 - 2020'!H34</f>
        <v>0</v>
      </c>
      <c r="L29" s="26">
        <f>'04 - 2020'!I35-'04 - 2020'!I34</f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4</v>
      </c>
      <c r="D30" s="24">
        <v>2020</v>
      </c>
      <c r="E30" s="26">
        <f>'04 - 2020'!B36-'04 - 2020'!B35+'04 - 2020'!C36-'04 - 2020'!C35</f>
        <v>0</v>
      </c>
      <c r="F30" s="24">
        <v>0.11799999999999999</v>
      </c>
      <c r="G30" s="26">
        <f>(('04 - 2020'!E36-'04 - 2020'!E35)+('04 - 2020'!F36-'04 - 2020'!F35)+('04 - 2020'!G36-'04 - 2020'!G35))*1.81</f>
        <v>0</v>
      </c>
      <c r="H30" s="24">
        <v>0.99</v>
      </c>
      <c r="I30" s="26">
        <f>'04 - 2020'!J36-'04 - 2020'!J35</f>
        <v>0</v>
      </c>
      <c r="J30" s="24">
        <v>8.1000000000000003E-2</v>
      </c>
      <c r="K30" s="60">
        <f>'04 - 2020'!H36-'04 - 2020'!H35</f>
        <v>0</v>
      </c>
      <c r="L30" s="26">
        <f>'04 - 2020'!I36-'04 - 2020'!I35</f>
        <v>0</v>
      </c>
      <c r="M30" s="25">
        <v>4.393629424766913</v>
      </c>
      <c r="N30" s="52"/>
    </row>
    <row r="31" spans="1:16" x14ac:dyDescent="0.25">
      <c r="A31" s="24" t="s">
        <v>27</v>
      </c>
      <c r="B31" s="24">
        <f t="shared" si="0"/>
        <v>30</v>
      </c>
      <c r="C31" s="24">
        <v>4</v>
      </c>
      <c r="D31" s="24">
        <v>2020</v>
      </c>
      <c r="E31" s="26">
        <f>'04 - 2020'!B37-'04 - 2020'!B36+'04 - 2020'!C37-'04 - 2020'!C36</f>
        <v>0</v>
      </c>
      <c r="F31" s="24">
        <v>0.11799999999999999</v>
      </c>
      <c r="G31" s="26">
        <f>(('04 - 2020'!E37-'04 - 2020'!E36)+('04 - 2020'!F37-'04 - 2020'!F36)+('04 - 2020'!G37-'04 - 2020'!G36))*1.81</f>
        <v>0</v>
      </c>
      <c r="H31" s="24">
        <v>0.99</v>
      </c>
      <c r="I31" s="26">
        <f>'04 - 2020'!J37-'04 - 2020'!J36</f>
        <v>0</v>
      </c>
      <c r="J31" s="24">
        <v>8.1000000000000003E-2</v>
      </c>
      <c r="K31" s="60">
        <f>'04 - 2020'!H37-'04 - 2020'!H36</f>
        <v>0</v>
      </c>
      <c r="L31" s="26">
        <f>'04 - 2020'!I37-'04 - 2020'!I36</f>
        <v>0</v>
      </c>
      <c r="M31" s="2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J15" sqref="J1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4</v>
      </c>
      <c r="D2">
        <v>2020</v>
      </c>
      <c r="E2" s="26">
        <f>'04 - 2020'!B8-'04 - 2020'!B7</f>
        <v>640</v>
      </c>
      <c r="F2" s="26">
        <f>'04 - 2020'!C8-'04 - 2020'!C7</f>
        <v>2823</v>
      </c>
      <c r="G2" s="24">
        <v>0.11799999999999999</v>
      </c>
      <c r="H2" s="26">
        <f>'04 - 2020'!E8-'04 - 2020'!E7</f>
        <v>6.9500000000007276</v>
      </c>
      <c r="I2" s="26">
        <f>'04 - 2020'!F8-'04 - 2020'!F7</f>
        <v>0.32000000000016371</v>
      </c>
      <c r="J2" s="26">
        <f>'04 - 2020'!G8-'04 - 2020'!G7</f>
        <v>17.509999999998399</v>
      </c>
      <c r="K2" s="24">
        <v>0.74</v>
      </c>
      <c r="L2" s="51">
        <v>0</v>
      </c>
      <c r="M2" s="12"/>
    </row>
    <row r="3" spans="1:13" x14ac:dyDescent="0.25">
      <c r="A3" t="s">
        <v>27</v>
      </c>
      <c r="B3">
        <f>B2+1</f>
        <v>2</v>
      </c>
      <c r="C3" s="24">
        <v>4</v>
      </c>
      <c r="D3" s="24">
        <v>2020</v>
      </c>
      <c r="E3" s="26">
        <f>'04 - 2020'!B9-'04 - 2020'!B8</f>
        <v>420</v>
      </c>
      <c r="F3" s="26">
        <f>'04 - 2020'!C9-'04 - 2020'!C8</f>
        <v>2291</v>
      </c>
      <c r="G3" s="24">
        <v>0.11799999999999999</v>
      </c>
      <c r="H3" s="26">
        <f>'04 - 2020'!E9-'04 - 2020'!E8</f>
        <v>0</v>
      </c>
      <c r="I3" s="26">
        <f>'04 - 2020'!F9-'04 - 2020'!F8</f>
        <v>-0.32000000000016371</v>
      </c>
      <c r="J3" s="26">
        <f>'04 - 2020'!G9-'04 - 2020'!G8</f>
        <v>15.200000000000728</v>
      </c>
      <c r="K3" s="24">
        <v>0.74</v>
      </c>
      <c r="L3" s="51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4">
        <v>4</v>
      </c>
      <c r="D4" s="24">
        <v>2020</v>
      </c>
      <c r="E4" s="26">
        <f>'04 - 2020'!B10-'04 - 2020'!B9</f>
        <v>500</v>
      </c>
      <c r="F4" s="26">
        <f>'04 - 2020'!C10-'04 - 2020'!C9</f>
        <v>2203</v>
      </c>
      <c r="G4" s="24">
        <v>0.11799999999999999</v>
      </c>
      <c r="H4" s="26">
        <f>'04 - 2020'!E10-'04 - 2020'!E9</f>
        <v>0</v>
      </c>
      <c r="I4" s="26">
        <f>'04 - 2020'!F10-'04 - 2020'!F9</f>
        <v>0.32000000000016371</v>
      </c>
      <c r="J4" s="26">
        <f>'04 - 2020'!G10-'04 - 2020'!G9</f>
        <v>10.950000000000728</v>
      </c>
      <c r="K4" s="24">
        <v>0.74</v>
      </c>
      <c r="L4" s="51">
        <v>0</v>
      </c>
      <c r="M4" s="12"/>
    </row>
    <row r="5" spans="1:13" x14ac:dyDescent="0.25">
      <c r="A5" t="s">
        <v>27</v>
      </c>
      <c r="B5">
        <f t="shared" si="0"/>
        <v>4</v>
      </c>
      <c r="C5" s="24">
        <v>4</v>
      </c>
      <c r="D5" s="24">
        <v>2020</v>
      </c>
      <c r="E5" s="26">
        <f>'04 - 2020'!B11-'04 - 2020'!B10</f>
        <v>385</v>
      </c>
      <c r="F5" s="26">
        <f>'04 - 2020'!C11-'04 - 2020'!C10</f>
        <v>2292</v>
      </c>
      <c r="G5" s="24">
        <v>0.11799999999999999</v>
      </c>
      <c r="H5" s="26">
        <f>'04 - 2020'!E11-'04 - 2020'!E10</f>
        <v>0</v>
      </c>
      <c r="I5" s="26">
        <f>'04 - 2020'!F11-'04 - 2020'!F10</f>
        <v>0</v>
      </c>
      <c r="J5" s="26">
        <f>'04 - 2020'!G11-'04 - 2020'!G10</f>
        <v>10.279999999998836</v>
      </c>
      <c r="K5" s="24">
        <v>0.74</v>
      </c>
      <c r="L5" s="51">
        <v>0</v>
      </c>
      <c r="M5" s="12"/>
    </row>
    <row r="6" spans="1:13" x14ac:dyDescent="0.25">
      <c r="A6" t="s">
        <v>27</v>
      </c>
      <c r="B6">
        <f t="shared" si="0"/>
        <v>5</v>
      </c>
      <c r="C6" s="24">
        <v>4</v>
      </c>
      <c r="D6" s="24">
        <v>2020</v>
      </c>
      <c r="E6" s="26">
        <f>'04 - 2020'!B12-'04 - 2020'!B11</f>
        <v>406</v>
      </c>
      <c r="F6" s="26">
        <f>'04 - 2020'!C12-'04 - 2020'!C11</f>
        <v>2166</v>
      </c>
      <c r="G6" s="24">
        <v>0.11799999999999999</v>
      </c>
      <c r="H6" s="26">
        <f>'04 - 2020'!E12-'04 - 2020'!E11</f>
        <v>0</v>
      </c>
      <c r="I6" s="26">
        <f>'04 - 2020'!F12-'04 - 2020'!F11</f>
        <v>0</v>
      </c>
      <c r="J6" s="26">
        <f>'04 - 2020'!G12-'04 - 2020'!G11</f>
        <v>10.470000000001164</v>
      </c>
      <c r="K6" s="24">
        <v>0.74</v>
      </c>
      <c r="L6" s="51">
        <v>0</v>
      </c>
      <c r="M6" s="13"/>
    </row>
    <row r="7" spans="1:13" x14ac:dyDescent="0.25">
      <c r="A7" t="s">
        <v>27</v>
      </c>
      <c r="B7">
        <f t="shared" si="0"/>
        <v>6</v>
      </c>
      <c r="C7" s="24">
        <v>4</v>
      </c>
      <c r="D7" s="24">
        <v>2020</v>
      </c>
      <c r="E7" s="26">
        <f>'04 - 2020'!B13-'04 - 2020'!B12</f>
        <v>471</v>
      </c>
      <c r="F7" s="26">
        <f>'04 - 2020'!C13-'04 - 2020'!C12</f>
        <v>2206</v>
      </c>
      <c r="G7" s="24">
        <v>0.11799999999999999</v>
      </c>
      <c r="H7" s="26">
        <f>'04 - 2020'!E13-'04 - 2020'!E12</f>
        <v>0</v>
      </c>
      <c r="I7" s="26">
        <f>'04 - 2020'!F13-'04 - 2020'!F12</f>
        <v>0</v>
      </c>
      <c r="J7" s="26">
        <f>'04 - 2020'!G13-'04 - 2020'!G12</f>
        <v>11.409999999999854</v>
      </c>
      <c r="K7" s="24">
        <v>0.74</v>
      </c>
      <c r="L7" s="51">
        <v>0</v>
      </c>
      <c r="M7" s="13"/>
    </row>
    <row r="8" spans="1:13" x14ac:dyDescent="0.25">
      <c r="A8" t="s">
        <v>27</v>
      </c>
      <c r="B8">
        <f t="shared" si="0"/>
        <v>7</v>
      </c>
      <c r="C8" s="24">
        <v>4</v>
      </c>
      <c r="D8" s="24">
        <v>2020</v>
      </c>
      <c r="E8" s="26">
        <f>'04 - 2020'!B14-'04 - 2020'!B13</f>
        <v>458</v>
      </c>
      <c r="F8" s="26">
        <f>'04 - 2020'!C14-'04 - 2020'!C13</f>
        <v>2261</v>
      </c>
      <c r="G8" s="24">
        <v>0.11799999999999999</v>
      </c>
      <c r="H8" s="26">
        <f>'04 - 2020'!E14-'04 - 2020'!E13</f>
        <v>0.3999999999996362</v>
      </c>
      <c r="I8" s="26">
        <f>'04 - 2020'!F14-'04 - 2020'!F13</f>
        <v>0</v>
      </c>
      <c r="J8" s="26">
        <f>'04 - 2020'!G14-'04 - 2020'!G13</f>
        <v>11.119999999998981</v>
      </c>
      <c r="K8" s="24">
        <v>0.74</v>
      </c>
      <c r="L8" s="51">
        <v>0</v>
      </c>
      <c r="M8" s="13"/>
    </row>
    <row r="9" spans="1:13" x14ac:dyDescent="0.25">
      <c r="A9" t="s">
        <v>27</v>
      </c>
      <c r="B9">
        <f t="shared" si="0"/>
        <v>8</v>
      </c>
      <c r="C9" s="24">
        <v>4</v>
      </c>
      <c r="D9" s="24">
        <v>2020</v>
      </c>
      <c r="E9" s="26">
        <f>'04 - 2020'!B15-'04 - 2020'!B14</f>
        <v>490</v>
      </c>
      <c r="F9" s="26">
        <f>'04 - 2020'!C15-'04 - 2020'!C14</f>
        <v>2238</v>
      </c>
      <c r="G9" s="24">
        <v>0.11799999999999999</v>
      </c>
      <c r="H9" s="26">
        <f>'04 - 2020'!E15-'04 - 2020'!E14</f>
        <v>0.43000000000029104</v>
      </c>
      <c r="I9" s="26">
        <f>'04 - 2020'!F15-'04 - 2020'!F14</f>
        <v>0</v>
      </c>
      <c r="J9" s="26">
        <f>'04 - 2020'!G15-'04 - 2020'!G14</f>
        <v>10.970000000001164</v>
      </c>
      <c r="K9" s="24">
        <v>0.74</v>
      </c>
      <c r="L9" s="51">
        <v>0</v>
      </c>
      <c r="M9" s="13"/>
    </row>
    <row r="10" spans="1:13" x14ac:dyDescent="0.25">
      <c r="A10" t="s">
        <v>27</v>
      </c>
      <c r="B10">
        <f t="shared" si="0"/>
        <v>9</v>
      </c>
      <c r="C10" s="24">
        <v>4</v>
      </c>
      <c r="D10" s="24">
        <v>2020</v>
      </c>
      <c r="E10" s="26">
        <f>'04 - 2020'!B16-'04 - 2020'!B15</f>
        <v>500</v>
      </c>
      <c r="F10" s="26">
        <f>'04 - 2020'!C16-'04 - 2020'!C15</f>
        <v>2259</v>
      </c>
      <c r="G10" s="24">
        <v>0.11799999999999999</v>
      </c>
      <c r="H10" s="26">
        <f>'04 - 2020'!E16-'04 - 2020'!E15</f>
        <v>0.37999999999919964</v>
      </c>
      <c r="I10" s="26">
        <f>'04 - 2020'!F16-'04 - 2020'!F15</f>
        <v>0</v>
      </c>
      <c r="J10" s="26">
        <f>'04 - 2020'!G16-'04 - 2020'!G15</f>
        <v>12</v>
      </c>
      <c r="K10" s="24">
        <v>0.74</v>
      </c>
      <c r="L10" s="51">
        <v>0</v>
      </c>
      <c r="M10" s="13"/>
    </row>
    <row r="11" spans="1:13" x14ac:dyDescent="0.25">
      <c r="A11" t="s">
        <v>27</v>
      </c>
      <c r="B11">
        <f t="shared" si="0"/>
        <v>10</v>
      </c>
      <c r="C11" s="24">
        <v>4</v>
      </c>
      <c r="D11" s="24">
        <v>2020</v>
      </c>
      <c r="E11" s="26">
        <f>'04 - 2020'!B17-'04 - 2020'!B16</f>
        <v>454</v>
      </c>
      <c r="F11" s="26">
        <f>'04 - 2020'!C17-'04 - 2020'!C16</f>
        <v>2254</v>
      </c>
      <c r="G11" s="24">
        <v>0.11799999999999999</v>
      </c>
      <c r="H11" s="26">
        <f>'04 - 2020'!E17-'04 - 2020'!E16</f>
        <v>0.31999999999970896</v>
      </c>
      <c r="I11" s="26">
        <f>'04 - 2020'!F17-'04 - 2020'!F16</f>
        <v>0</v>
      </c>
      <c r="J11" s="26">
        <f>'04 - 2020'!G17-'04 - 2020'!G16</f>
        <v>11.680000000000291</v>
      </c>
      <c r="K11" s="24">
        <v>0.74</v>
      </c>
      <c r="L11" s="51">
        <v>0</v>
      </c>
      <c r="M11" s="13"/>
    </row>
    <row r="12" spans="1:13" x14ac:dyDescent="0.25">
      <c r="A12" t="s">
        <v>27</v>
      </c>
      <c r="B12">
        <f t="shared" si="0"/>
        <v>11</v>
      </c>
      <c r="C12" s="24">
        <v>4</v>
      </c>
      <c r="D12" s="24">
        <v>2020</v>
      </c>
      <c r="E12" s="26">
        <f>'04 - 2020'!B18-'04 - 2020'!B17</f>
        <v>339</v>
      </c>
      <c r="F12" s="26">
        <f>'04 - 2020'!C18-'04 - 2020'!C17</f>
        <v>2185</v>
      </c>
      <c r="G12" s="24">
        <v>0.11799999999999999</v>
      </c>
      <c r="H12" s="26">
        <f>'04 - 2020'!E18-'04 - 2020'!E17</f>
        <v>0.27000000000043656</v>
      </c>
      <c r="I12" s="26">
        <f>'04 - 2020'!F18-'04 - 2020'!F17</f>
        <v>0</v>
      </c>
      <c r="J12" s="26">
        <f>'04 - 2020'!G18-'04 - 2020'!G17</f>
        <v>10.069999999999709</v>
      </c>
      <c r="K12" s="24">
        <v>0.74</v>
      </c>
      <c r="L12" s="26">
        <v>0</v>
      </c>
      <c r="M12" s="13"/>
    </row>
    <row r="13" spans="1:13" x14ac:dyDescent="0.25">
      <c r="A13" t="s">
        <v>27</v>
      </c>
      <c r="B13">
        <f t="shared" si="0"/>
        <v>12</v>
      </c>
      <c r="C13" s="24">
        <v>4</v>
      </c>
      <c r="D13" s="24">
        <v>2020</v>
      </c>
      <c r="E13" s="26">
        <v>0</v>
      </c>
      <c r="F13" s="26">
        <v>0</v>
      </c>
      <c r="G13" s="24">
        <v>0.11799999999999999</v>
      </c>
      <c r="H13" s="26">
        <v>0</v>
      </c>
      <c r="I13" s="26">
        <v>0</v>
      </c>
      <c r="J13" s="26">
        <v>0</v>
      </c>
      <c r="K13" s="24">
        <v>0.74</v>
      </c>
      <c r="L13" s="26"/>
      <c r="M13" s="13"/>
    </row>
    <row r="14" spans="1:13" x14ac:dyDescent="0.25">
      <c r="A14" t="s">
        <v>27</v>
      </c>
      <c r="B14">
        <f t="shared" si="0"/>
        <v>13</v>
      </c>
      <c r="C14" s="24">
        <v>4</v>
      </c>
      <c r="D14" s="24">
        <v>2020</v>
      </c>
      <c r="E14" s="26">
        <f>'04 - 2020'!B20-'04 - 2020'!B19</f>
        <v>0</v>
      </c>
      <c r="F14" s="26">
        <f>'04 - 2020'!C20-'04 - 2020'!C19</f>
        <v>0</v>
      </c>
      <c r="G14" s="24">
        <v>0.11799999999999999</v>
      </c>
      <c r="H14" s="26">
        <f>'04 - 2020'!E20-'04 - 2020'!E19</f>
        <v>0</v>
      </c>
      <c r="I14" s="26">
        <f>'04 - 2020'!F20-'04 - 2020'!F19</f>
        <v>0</v>
      </c>
      <c r="J14" s="26">
        <f>'04 - 2020'!G20-'04 - 2020'!G19</f>
        <v>0</v>
      </c>
      <c r="K14" s="24">
        <v>0.74</v>
      </c>
      <c r="L14" s="26"/>
      <c r="M14" s="13"/>
    </row>
    <row r="15" spans="1:13" x14ac:dyDescent="0.25">
      <c r="A15" t="s">
        <v>27</v>
      </c>
      <c r="B15">
        <f t="shared" si="0"/>
        <v>14</v>
      </c>
      <c r="C15" s="24">
        <v>4</v>
      </c>
      <c r="D15" s="24">
        <v>2020</v>
      </c>
      <c r="E15" s="26">
        <f>'04 - 2020'!B21-'04 - 2020'!B20</f>
        <v>0</v>
      </c>
      <c r="F15" s="26">
        <f>'04 - 2020'!C21-'04 - 2020'!C20</f>
        <v>0</v>
      </c>
      <c r="G15" s="24">
        <v>0.11799999999999999</v>
      </c>
      <c r="H15" s="26">
        <f>'04 - 2020'!E21-'04 - 2020'!E20</f>
        <v>0</v>
      </c>
      <c r="I15" s="26">
        <f>'04 - 2020'!F21-'04 - 2020'!F20</f>
        <v>0</v>
      </c>
      <c r="J15" s="26">
        <f>'04 - 2020'!G21-'04 - 2020'!G20</f>
        <v>0</v>
      </c>
      <c r="K15" s="24">
        <v>0.74</v>
      </c>
      <c r="L15" s="26"/>
      <c r="M15" s="13"/>
    </row>
    <row r="16" spans="1:13" x14ac:dyDescent="0.25">
      <c r="A16" t="s">
        <v>27</v>
      </c>
      <c r="B16">
        <f t="shared" si="0"/>
        <v>15</v>
      </c>
      <c r="C16" s="24">
        <v>4</v>
      </c>
      <c r="D16" s="24">
        <v>2020</v>
      </c>
      <c r="E16" s="26">
        <f>'04 - 2020'!B22-'04 - 2020'!B21</f>
        <v>0</v>
      </c>
      <c r="F16" s="26">
        <f>'04 - 2020'!C22-'04 - 2020'!C21</f>
        <v>0</v>
      </c>
      <c r="G16" s="24">
        <v>0.11799999999999999</v>
      </c>
      <c r="H16" s="26">
        <f>'04 - 2020'!E22-'04 - 2020'!E21</f>
        <v>0</v>
      </c>
      <c r="I16" s="26">
        <f>'04 - 2020'!F22-'04 - 2020'!F21</f>
        <v>0</v>
      </c>
      <c r="J16" s="26">
        <f>'04 - 2020'!G22-'04 - 2020'!G21</f>
        <v>0</v>
      </c>
      <c r="K16" s="24">
        <v>0.74</v>
      </c>
      <c r="L16" s="26"/>
      <c r="M16" s="13"/>
    </row>
    <row r="17" spans="1:13" x14ac:dyDescent="0.25">
      <c r="A17" t="s">
        <v>27</v>
      </c>
      <c r="B17">
        <f t="shared" si="0"/>
        <v>16</v>
      </c>
      <c r="C17" s="24">
        <v>4</v>
      </c>
      <c r="D17" s="24">
        <v>2020</v>
      </c>
      <c r="E17" s="26">
        <f>'04 - 2020'!B23-'04 - 2020'!B22</f>
        <v>0</v>
      </c>
      <c r="F17" s="26">
        <f>'04 - 2020'!C23-'04 - 2020'!C22</f>
        <v>0</v>
      </c>
      <c r="G17" s="24">
        <v>0.11799999999999999</v>
      </c>
      <c r="H17" s="26">
        <f>'04 - 2020'!E23-'04 - 2020'!E22</f>
        <v>0</v>
      </c>
      <c r="I17" s="26">
        <f>'04 - 2020'!F23-'04 - 2020'!F22</f>
        <v>0</v>
      </c>
      <c r="J17" s="26">
        <f>'04 - 2020'!G23-'04 - 2020'!G22</f>
        <v>0</v>
      </c>
      <c r="K17" s="24">
        <v>0.74</v>
      </c>
      <c r="L17" s="26"/>
      <c r="M17" s="13"/>
    </row>
    <row r="18" spans="1:13" x14ac:dyDescent="0.25">
      <c r="A18" t="s">
        <v>27</v>
      </c>
      <c r="B18">
        <f t="shared" si="0"/>
        <v>17</v>
      </c>
      <c r="C18" s="24">
        <v>4</v>
      </c>
      <c r="D18" s="24">
        <v>2020</v>
      </c>
      <c r="E18" s="26">
        <f>'04 - 2020'!B24-'04 - 2020'!B23</f>
        <v>0</v>
      </c>
      <c r="F18" s="26">
        <f>'04 - 2020'!C24-'04 - 2020'!C23</f>
        <v>0</v>
      </c>
      <c r="G18" s="24">
        <v>0.11799999999999999</v>
      </c>
      <c r="H18" s="26">
        <f>'04 - 2020'!E24-'04 - 2020'!E23</f>
        <v>0</v>
      </c>
      <c r="I18" s="26">
        <f>'04 - 2020'!F24-'04 - 2020'!F23</f>
        <v>0</v>
      </c>
      <c r="J18" s="26">
        <f>'04 - 2020'!G24-'04 - 2020'!G23</f>
        <v>0</v>
      </c>
      <c r="K18" s="24">
        <v>0.74</v>
      </c>
      <c r="L18" s="26"/>
      <c r="M18" s="13"/>
    </row>
    <row r="19" spans="1:13" x14ac:dyDescent="0.25">
      <c r="A19" t="s">
        <v>27</v>
      </c>
      <c r="B19">
        <f>B18+1</f>
        <v>18</v>
      </c>
      <c r="C19" s="24">
        <v>4</v>
      </c>
      <c r="D19" s="24">
        <v>2020</v>
      </c>
      <c r="E19" s="26">
        <f>'04 - 2020'!B25-'04 - 2020'!B24</f>
        <v>0</v>
      </c>
      <c r="F19" s="26">
        <f>'04 - 2020'!C25-'04 - 2020'!C24</f>
        <v>0</v>
      </c>
      <c r="G19" s="24">
        <v>0.11799999999999999</v>
      </c>
      <c r="H19" s="26">
        <f>'04 - 2020'!E25-'04 - 2020'!E24</f>
        <v>0</v>
      </c>
      <c r="I19" s="26">
        <f>'04 - 2020'!F25-'04 - 2020'!F24</f>
        <v>0</v>
      </c>
      <c r="J19" s="26">
        <f>'04 - 2020'!G25-'04 - 2020'!G24</f>
        <v>0</v>
      </c>
      <c r="K19" s="24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4">
        <v>4</v>
      </c>
      <c r="D20" s="24">
        <v>2020</v>
      </c>
      <c r="E20" s="26">
        <f>'04 - 2020'!B26-'04 - 2020'!B25</f>
        <v>0</v>
      </c>
      <c r="F20" s="26">
        <f>'04 - 2020'!C26-'04 - 2020'!C25</f>
        <v>0</v>
      </c>
      <c r="G20" s="24">
        <v>0.11799999999999999</v>
      </c>
      <c r="H20" s="26">
        <f>'04 - 2020'!E26-'04 - 2020'!E25</f>
        <v>0</v>
      </c>
      <c r="I20" s="26">
        <f>'04 - 2020'!F26-'04 - 2020'!F25</f>
        <v>0</v>
      </c>
      <c r="J20" s="26">
        <f>'04 - 2020'!G26-'04 - 2020'!G25</f>
        <v>0</v>
      </c>
      <c r="K20" s="24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4">
        <v>4</v>
      </c>
      <c r="D21" s="24">
        <v>2020</v>
      </c>
      <c r="E21" s="26">
        <f>'04 - 2020'!B27-'04 - 2020'!B26</f>
        <v>0</v>
      </c>
      <c r="F21" s="26">
        <f>'04 - 2020'!C27-'04 - 2020'!C26</f>
        <v>0</v>
      </c>
      <c r="G21" s="24">
        <v>0.11799999999999999</v>
      </c>
      <c r="H21" s="26">
        <f>'04 - 2020'!E27-'04 - 2020'!E26</f>
        <v>0</v>
      </c>
      <c r="I21" s="26">
        <f>'04 - 2020'!F27-'04 - 2020'!F26</f>
        <v>0</v>
      </c>
      <c r="J21" s="26">
        <f>'04 - 2020'!G27-'04 - 2020'!G26</f>
        <v>0</v>
      </c>
      <c r="K21" s="24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4">
        <v>4</v>
      </c>
      <c r="D22" s="24">
        <v>2020</v>
      </c>
      <c r="E22" s="26">
        <f>'04 - 2020'!B28-'04 - 2020'!B27</f>
        <v>0</v>
      </c>
      <c r="F22" s="26">
        <f>'04 - 2020'!C28-'04 - 2020'!C27</f>
        <v>0</v>
      </c>
      <c r="G22" s="24">
        <v>0.11799999999999999</v>
      </c>
      <c r="H22" s="26">
        <f>'04 - 2020'!E28-'04 - 2020'!E27</f>
        <v>0</v>
      </c>
      <c r="I22" s="26">
        <f>'04 - 2020'!F28-'04 - 2020'!F27</f>
        <v>0</v>
      </c>
      <c r="J22" s="26">
        <f>'04 - 2020'!G28-'04 - 2020'!G27</f>
        <v>0</v>
      </c>
      <c r="K22" s="24">
        <v>0.74</v>
      </c>
      <c r="L22" s="26"/>
      <c r="M22" s="13"/>
    </row>
    <row r="23" spans="1:13" x14ac:dyDescent="0.25">
      <c r="A23" t="s">
        <v>27</v>
      </c>
      <c r="B23">
        <f t="shared" si="0"/>
        <v>22</v>
      </c>
      <c r="C23" s="24">
        <v>4</v>
      </c>
      <c r="D23" s="24">
        <v>2020</v>
      </c>
      <c r="E23" s="26">
        <f>'04 - 2020'!B29-'04 - 2020'!B28</f>
        <v>0</v>
      </c>
      <c r="F23" s="26">
        <f>'04 - 2020'!C29-'04 - 2020'!C28</f>
        <v>0</v>
      </c>
      <c r="G23" s="24">
        <v>0.11799999999999999</v>
      </c>
      <c r="H23" s="26">
        <f>'04 - 2020'!E29-'04 - 2020'!E28</f>
        <v>0</v>
      </c>
      <c r="I23" s="26">
        <f>'04 - 2020'!F29-'04 - 2020'!F28</f>
        <v>0</v>
      </c>
      <c r="J23" s="26">
        <f>'04 - 2020'!G29-'04 - 2020'!G28</f>
        <v>0</v>
      </c>
      <c r="K23" s="24">
        <v>0.74</v>
      </c>
      <c r="L23" s="26"/>
      <c r="M23" s="13"/>
    </row>
    <row r="24" spans="1:13" x14ac:dyDescent="0.25">
      <c r="A24" t="s">
        <v>27</v>
      </c>
      <c r="B24">
        <f t="shared" si="0"/>
        <v>23</v>
      </c>
      <c r="C24" s="24">
        <v>4</v>
      </c>
      <c r="D24" s="24">
        <v>2020</v>
      </c>
      <c r="E24" s="26">
        <f>'04 - 2020'!B30-'04 - 2020'!B29</f>
        <v>0</v>
      </c>
      <c r="F24" s="26">
        <f>'04 - 2020'!C30-'04 - 2020'!C29</f>
        <v>0</v>
      </c>
      <c r="G24" s="24">
        <v>0.11799999999999999</v>
      </c>
      <c r="H24" s="26">
        <f>'04 - 2020'!E30-'04 - 2020'!E29</f>
        <v>0</v>
      </c>
      <c r="I24" s="26">
        <f>'04 - 2020'!F30-'04 - 2020'!F29</f>
        <v>0</v>
      </c>
      <c r="J24" s="26">
        <f>'04 - 2020'!G30-'04 - 2020'!G29</f>
        <v>0</v>
      </c>
      <c r="K24" s="24">
        <v>0.74</v>
      </c>
      <c r="L24" s="26"/>
      <c r="M24" s="13"/>
    </row>
    <row r="25" spans="1:13" x14ac:dyDescent="0.25">
      <c r="A25" t="s">
        <v>27</v>
      </c>
      <c r="B25">
        <f t="shared" si="0"/>
        <v>24</v>
      </c>
      <c r="C25" s="24">
        <v>4</v>
      </c>
      <c r="D25" s="24">
        <v>2020</v>
      </c>
      <c r="E25" s="26">
        <f>'04 - 2020'!B31-'04 - 2020'!B30</f>
        <v>0</v>
      </c>
      <c r="F25" s="26">
        <f>'04 - 2020'!C31-'04 - 2020'!C30</f>
        <v>0</v>
      </c>
      <c r="G25" s="24">
        <v>0.11799999999999999</v>
      </c>
      <c r="H25" s="26">
        <f>'04 - 2020'!E31-'04 - 2020'!E30</f>
        <v>0</v>
      </c>
      <c r="I25" s="26">
        <f>'04 - 2020'!F31-'04 - 2020'!F30</f>
        <v>0</v>
      </c>
      <c r="J25" s="26">
        <f>'04 - 2020'!G31-'04 - 2020'!G30</f>
        <v>0</v>
      </c>
      <c r="K25" s="24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4">
        <v>4</v>
      </c>
      <c r="D26" s="24">
        <v>2020</v>
      </c>
      <c r="E26" s="26">
        <f>'04 - 2020'!B32-'04 - 2020'!B31</f>
        <v>0</v>
      </c>
      <c r="F26" s="26">
        <f>'04 - 2020'!C32-'04 - 2020'!C31</f>
        <v>0</v>
      </c>
      <c r="G26" s="24">
        <v>0.11799999999999999</v>
      </c>
      <c r="H26" s="26">
        <f>'04 - 2020'!E32-'04 - 2020'!E31</f>
        <v>0</v>
      </c>
      <c r="I26" s="26">
        <f>'04 - 2020'!F32-'04 - 2020'!F31</f>
        <v>0</v>
      </c>
      <c r="J26" s="26">
        <f>'04 - 2020'!G32-'04 - 2020'!G31</f>
        <v>0</v>
      </c>
      <c r="K26" s="24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4">
        <v>4</v>
      </c>
      <c r="D27" s="24">
        <v>2020</v>
      </c>
      <c r="E27" s="26">
        <v>0</v>
      </c>
      <c r="F27" s="26">
        <v>0</v>
      </c>
      <c r="G27" s="24">
        <v>0.11799999999999999</v>
      </c>
      <c r="H27" s="26">
        <v>0</v>
      </c>
      <c r="I27" s="26">
        <v>0</v>
      </c>
      <c r="J27" s="26">
        <v>0</v>
      </c>
      <c r="K27" s="24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4">
        <v>4</v>
      </c>
      <c r="D28" s="24">
        <v>2020</v>
      </c>
      <c r="E28" s="26">
        <f>'04 - 2020'!B34-'04 - 2020'!B33</f>
        <v>0</v>
      </c>
      <c r="F28" s="26">
        <f>'04 - 2020'!C34-'04 - 2020'!C33</f>
        <v>0</v>
      </c>
      <c r="G28" s="24">
        <v>0.11799999999999999</v>
      </c>
      <c r="H28" s="26">
        <f>'04 - 2020'!E34-'04 - 2020'!E33</f>
        <v>0</v>
      </c>
      <c r="I28" s="26">
        <f>'04 - 2020'!F34-'04 - 2020'!F33</f>
        <v>0</v>
      </c>
      <c r="J28" s="26">
        <f>'04 - 2020'!G34-'04 - 2020'!G33</f>
        <v>0</v>
      </c>
      <c r="K28" s="24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4">
        <v>4</v>
      </c>
      <c r="D29" s="24">
        <v>2020</v>
      </c>
      <c r="E29" s="26">
        <f>'04 - 2020'!B35-'04 - 2020'!B34</f>
        <v>0</v>
      </c>
      <c r="F29" s="26">
        <f>'04 - 2020'!C35-'04 - 2020'!C34</f>
        <v>0</v>
      </c>
      <c r="G29" s="24">
        <v>0.11799999999999999</v>
      </c>
      <c r="H29" s="26">
        <f>'04 - 2020'!E35-'04 - 2020'!E34</f>
        <v>0</v>
      </c>
      <c r="I29" s="26">
        <f>'04 - 2020'!F35-'04 - 2020'!F34</f>
        <v>0</v>
      </c>
      <c r="J29" s="26">
        <f>'04 - 2020'!G35-'04 - 2020'!G34</f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4</v>
      </c>
      <c r="D30" s="24">
        <v>2020</v>
      </c>
      <c r="E30" s="26">
        <f>'04 - 2020'!B36-'04 - 2020'!B35</f>
        <v>0</v>
      </c>
      <c r="F30" s="26">
        <f>'04 - 2020'!C36-'04 - 2020'!C35</f>
        <v>0</v>
      </c>
      <c r="G30" s="24">
        <v>0.11799999999999999</v>
      </c>
      <c r="H30" s="26">
        <f>'04 - 2020'!E36-'04 - 2020'!E35</f>
        <v>0</v>
      </c>
      <c r="I30" s="26">
        <f>'04 - 2020'!F36-'04 - 2020'!F35</f>
        <v>0</v>
      </c>
      <c r="J30" s="26">
        <f>'04 - 2020'!G36-'04 - 2020'!G35</f>
        <v>0</v>
      </c>
      <c r="K30" s="24">
        <v>0.74</v>
      </c>
      <c r="L30" s="6"/>
    </row>
    <row r="31" spans="1:13" x14ac:dyDescent="0.25">
      <c r="A31" s="24" t="s">
        <v>27</v>
      </c>
      <c r="B31" s="24">
        <v>30</v>
      </c>
      <c r="C31" s="24">
        <v>4</v>
      </c>
      <c r="D31" s="24">
        <v>2020</v>
      </c>
      <c r="E31" s="26">
        <f>'04 - 2020'!B37-'04 - 2020'!B36</f>
        <v>0</v>
      </c>
      <c r="F31" s="26">
        <f>'04 - 2020'!C37-'04 - 2020'!C36</f>
        <v>0</v>
      </c>
      <c r="G31" s="24">
        <v>0.11799999999999999</v>
      </c>
      <c r="H31" s="26">
        <f>'04 - 2020'!E37-'04 - 2020'!E36</f>
        <v>0</v>
      </c>
      <c r="I31" s="26">
        <f>'04 - 2020'!F37-'04 - 2020'!F36</f>
        <v>0</v>
      </c>
      <c r="J31" s="26">
        <f>'04 - 2020'!G37-'04 - 2020'!G36</f>
        <v>0</v>
      </c>
      <c r="K31" s="24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abSelected="1" zoomScaleNormal="100" workbookViewId="0">
      <selection activeCell="E24" sqref="E24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4" customFormat="1" x14ac:dyDescent="0.25">
      <c r="B2" s="26"/>
      <c r="H2" s="25"/>
    </row>
    <row r="3" spans="1:15" ht="18.75" x14ac:dyDescent="0.3">
      <c r="A3" s="76" t="s">
        <v>30</v>
      </c>
      <c r="B3" s="76"/>
      <c r="C3" s="76"/>
      <c r="D3" s="76"/>
      <c r="E3" s="76"/>
      <c r="F3" s="76"/>
      <c r="G3" s="76"/>
      <c r="H3" s="76"/>
      <c r="I3" s="76"/>
      <c r="J3" s="76"/>
      <c r="K3" s="24"/>
      <c r="L3" s="24"/>
      <c r="M3" s="24"/>
    </row>
    <row r="4" spans="1:15" ht="16.5" thickBot="1" x14ac:dyDescent="0.3">
      <c r="A4" s="69" t="s">
        <v>36</v>
      </c>
      <c r="B4" s="69"/>
      <c r="C4" s="69"/>
      <c r="D4" s="69"/>
      <c r="E4" s="69"/>
      <c r="F4" s="69"/>
      <c r="G4" s="69"/>
      <c r="H4" s="69"/>
      <c r="I4" s="69"/>
      <c r="J4" s="69"/>
      <c r="K4" s="24"/>
      <c r="L4" s="24"/>
      <c r="M4" s="24"/>
    </row>
    <row r="5" spans="1:15" ht="16.5" thickBot="1" x14ac:dyDescent="0.3">
      <c r="A5" s="2"/>
      <c r="B5" s="70">
        <v>19</v>
      </c>
      <c r="C5" s="71"/>
      <c r="D5" s="70" t="s">
        <v>0</v>
      </c>
      <c r="E5" s="72"/>
      <c r="F5" s="72"/>
      <c r="G5" s="73"/>
      <c r="H5" s="74" t="s">
        <v>1</v>
      </c>
      <c r="I5" s="75"/>
      <c r="J5" s="30" t="s">
        <v>2</v>
      </c>
      <c r="K5" s="3"/>
      <c r="L5" s="24"/>
      <c r="M5" s="24"/>
    </row>
    <row r="6" spans="1:15" ht="30" x14ac:dyDescent="0.25">
      <c r="A6" s="44" t="s">
        <v>3</v>
      </c>
      <c r="B6" s="45" t="s">
        <v>33</v>
      </c>
      <c r="C6" s="46" t="s">
        <v>34</v>
      </c>
      <c r="D6" s="46" t="s">
        <v>4</v>
      </c>
      <c r="E6" s="46" t="s">
        <v>5</v>
      </c>
      <c r="F6" s="46" t="s">
        <v>6</v>
      </c>
      <c r="G6" s="47" t="s">
        <v>7</v>
      </c>
      <c r="H6" s="46" t="s">
        <v>28</v>
      </c>
      <c r="I6" s="46" t="s">
        <v>29</v>
      </c>
      <c r="J6" s="46" t="s">
        <v>8</v>
      </c>
      <c r="K6" s="31" t="s">
        <v>31</v>
      </c>
      <c r="L6" s="32" t="s">
        <v>32</v>
      </c>
      <c r="M6" s="24"/>
    </row>
    <row r="7" spans="1:15" s="58" customFormat="1" ht="12.75" customHeight="1" x14ac:dyDescent="0.25">
      <c r="A7" s="55">
        <v>43921</v>
      </c>
      <c r="B7" s="61">
        <v>671054</v>
      </c>
      <c r="C7" s="61">
        <v>752767</v>
      </c>
      <c r="D7" s="16">
        <v>0.3</v>
      </c>
      <c r="E7" s="62">
        <v>10822.5</v>
      </c>
      <c r="F7" s="62">
        <v>2068.6799999999998</v>
      </c>
      <c r="G7" s="62">
        <v>18624.79</v>
      </c>
      <c r="H7" s="61">
        <v>14528</v>
      </c>
      <c r="I7" s="61">
        <v>92576</v>
      </c>
      <c r="J7" s="61">
        <v>38291700</v>
      </c>
      <c r="K7" s="56"/>
      <c r="L7" s="57"/>
      <c r="M7" s="49"/>
    </row>
    <row r="8" spans="1:15" ht="12.75" customHeight="1" x14ac:dyDescent="0.25">
      <c r="A8" s="48">
        <v>43922</v>
      </c>
      <c r="B8" s="37">
        <v>671694</v>
      </c>
      <c r="C8" s="38">
        <v>755590</v>
      </c>
      <c r="D8" s="39">
        <v>0.28999999999999998</v>
      </c>
      <c r="E8" s="40">
        <v>10829.45</v>
      </c>
      <c r="F8" s="40">
        <v>2069</v>
      </c>
      <c r="G8" s="40">
        <v>18642.3</v>
      </c>
      <c r="H8" s="41">
        <v>14528</v>
      </c>
      <c r="I8" s="41">
        <v>92604</v>
      </c>
      <c r="J8" s="41">
        <v>38297445</v>
      </c>
      <c r="K8" s="42"/>
      <c r="L8" s="43"/>
      <c r="M8" s="49"/>
    </row>
    <row r="9" spans="1:15" ht="12.75" customHeight="1" x14ac:dyDescent="0.25">
      <c r="A9" s="48">
        <v>43923</v>
      </c>
      <c r="B9" s="63">
        <v>672114</v>
      </c>
      <c r="C9" s="64">
        <v>757881</v>
      </c>
      <c r="D9" s="68">
        <v>26</v>
      </c>
      <c r="E9" s="65">
        <v>10829.45</v>
      </c>
      <c r="F9" s="65">
        <v>2068.6799999999998</v>
      </c>
      <c r="G9" s="65">
        <v>18657.5</v>
      </c>
      <c r="H9" s="66">
        <v>14528</v>
      </c>
      <c r="I9" s="67">
        <v>92627</v>
      </c>
      <c r="J9" s="66">
        <v>38302143</v>
      </c>
      <c r="K9" s="18"/>
      <c r="L9" s="33"/>
      <c r="M9" s="49"/>
    </row>
    <row r="10" spans="1:15" ht="12.75" customHeight="1" x14ac:dyDescent="0.25">
      <c r="A10" s="48">
        <v>43924</v>
      </c>
      <c r="B10" s="15">
        <v>672614</v>
      </c>
      <c r="C10" s="15">
        <v>760084</v>
      </c>
      <c r="D10" s="16">
        <v>0.23</v>
      </c>
      <c r="E10" s="23">
        <v>10829.45</v>
      </c>
      <c r="F10" s="23">
        <v>2069</v>
      </c>
      <c r="G10" s="23">
        <v>18668.45</v>
      </c>
      <c r="H10" s="19">
        <v>14528</v>
      </c>
      <c r="I10" s="15">
        <v>92651</v>
      </c>
      <c r="J10" s="15">
        <v>38307582</v>
      </c>
      <c r="K10" s="18"/>
      <c r="L10" s="33"/>
      <c r="M10" s="49"/>
    </row>
    <row r="11" spans="1:15" ht="12.75" customHeight="1" x14ac:dyDescent="0.25">
      <c r="A11" s="48">
        <v>43925</v>
      </c>
      <c r="B11" s="14">
        <v>672999</v>
      </c>
      <c r="C11" s="15">
        <v>762376</v>
      </c>
      <c r="D11" s="16">
        <v>0.21</v>
      </c>
      <c r="E11" s="40">
        <v>10829.45</v>
      </c>
      <c r="F11" s="40">
        <v>2069</v>
      </c>
      <c r="G11" s="23">
        <v>18678.73</v>
      </c>
      <c r="H11" s="41">
        <v>14528</v>
      </c>
      <c r="I11" s="15">
        <v>92670</v>
      </c>
      <c r="J11" s="15">
        <v>38313000</v>
      </c>
      <c r="K11" s="18"/>
      <c r="L11" s="33"/>
      <c r="M11" s="49"/>
    </row>
    <row r="12" spans="1:15" ht="12.75" customHeight="1" x14ac:dyDescent="0.25">
      <c r="A12" s="48">
        <v>43926</v>
      </c>
      <c r="B12" s="15">
        <v>673405</v>
      </c>
      <c r="C12" s="15">
        <v>764542</v>
      </c>
      <c r="D12" s="16">
        <v>0.85</v>
      </c>
      <c r="E12" s="40">
        <v>10829.45</v>
      </c>
      <c r="F12" s="40">
        <v>2069</v>
      </c>
      <c r="G12" s="23">
        <v>18689.2</v>
      </c>
      <c r="H12" s="41">
        <v>14528</v>
      </c>
      <c r="I12" s="15">
        <v>92685</v>
      </c>
      <c r="J12" s="15">
        <v>38318447</v>
      </c>
      <c r="K12" s="18"/>
      <c r="L12" s="33"/>
      <c r="M12" s="49"/>
    </row>
    <row r="13" spans="1:15" ht="12.75" customHeight="1" x14ac:dyDescent="0.25">
      <c r="A13" s="48">
        <v>43927</v>
      </c>
      <c r="B13" s="15">
        <v>673876</v>
      </c>
      <c r="C13" s="15">
        <v>766748</v>
      </c>
      <c r="D13" s="16">
        <v>0.83</v>
      </c>
      <c r="E13" s="40">
        <v>10829.45</v>
      </c>
      <c r="F13" s="40">
        <v>2069</v>
      </c>
      <c r="G13" s="23">
        <v>18700.61</v>
      </c>
      <c r="H13" s="41">
        <v>14528</v>
      </c>
      <c r="I13" s="17">
        <v>92696</v>
      </c>
      <c r="J13" s="17">
        <v>38324206</v>
      </c>
      <c r="K13" s="18"/>
      <c r="L13" s="33"/>
      <c r="M13" s="49"/>
    </row>
    <row r="14" spans="1:15" ht="12.75" customHeight="1" x14ac:dyDescent="0.25">
      <c r="A14" s="48">
        <v>43928</v>
      </c>
      <c r="B14" s="15">
        <v>674334</v>
      </c>
      <c r="C14" s="15">
        <v>769009</v>
      </c>
      <c r="D14" s="16">
        <v>0.82</v>
      </c>
      <c r="E14" s="23">
        <v>10829.85</v>
      </c>
      <c r="F14" s="23">
        <v>2069</v>
      </c>
      <c r="G14" s="17">
        <v>18711.73</v>
      </c>
      <c r="H14" s="15">
        <v>14528</v>
      </c>
      <c r="I14" s="15">
        <v>92713</v>
      </c>
      <c r="J14" s="15">
        <v>38329364</v>
      </c>
      <c r="K14" s="27"/>
      <c r="L14" s="33"/>
      <c r="M14" s="49"/>
      <c r="O14" s="26"/>
    </row>
    <row r="15" spans="1:15" ht="12.75" customHeight="1" x14ac:dyDescent="0.25">
      <c r="A15" s="48">
        <v>43929</v>
      </c>
      <c r="B15" s="19">
        <v>674824</v>
      </c>
      <c r="C15" s="15">
        <v>771247</v>
      </c>
      <c r="D15" s="16">
        <v>0.81</v>
      </c>
      <c r="E15" s="23">
        <v>10830.28</v>
      </c>
      <c r="F15" s="23">
        <v>2069</v>
      </c>
      <c r="G15" s="17">
        <v>18722.7</v>
      </c>
      <c r="H15" s="15">
        <v>14528</v>
      </c>
      <c r="I15" s="15">
        <v>92730</v>
      </c>
      <c r="J15" s="15">
        <v>38334383</v>
      </c>
      <c r="K15" s="18"/>
      <c r="L15" s="33"/>
      <c r="M15" s="49"/>
      <c r="O15" s="26"/>
    </row>
    <row r="16" spans="1:15" ht="12.75" customHeight="1" x14ac:dyDescent="0.25">
      <c r="A16" s="48">
        <v>43930</v>
      </c>
      <c r="B16" s="49">
        <v>675324</v>
      </c>
      <c r="C16" s="15">
        <v>773506</v>
      </c>
      <c r="D16" s="16">
        <v>0.8</v>
      </c>
      <c r="E16" s="23">
        <v>10830.66</v>
      </c>
      <c r="F16" s="23">
        <v>2069</v>
      </c>
      <c r="G16" s="17">
        <v>18734.7</v>
      </c>
      <c r="H16" s="15">
        <v>14528</v>
      </c>
      <c r="I16" s="15">
        <v>92753</v>
      </c>
      <c r="J16" s="15">
        <v>38340317</v>
      </c>
      <c r="K16" s="18"/>
      <c r="L16" s="33"/>
      <c r="M16" s="49"/>
    </row>
    <row r="17" spans="1:16" ht="12.75" customHeight="1" x14ac:dyDescent="0.25">
      <c r="A17" s="48">
        <v>43931</v>
      </c>
      <c r="B17" s="17">
        <v>675778</v>
      </c>
      <c r="C17" s="17">
        <v>775760</v>
      </c>
      <c r="D17" s="28">
        <v>0.79</v>
      </c>
      <c r="E17" s="23">
        <v>10830.98</v>
      </c>
      <c r="F17" s="23">
        <v>2069</v>
      </c>
      <c r="G17" s="17">
        <v>18746.38</v>
      </c>
      <c r="H17" s="15">
        <v>14528</v>
      </c>
      <c r="I17" s="17">
        <v>92776</v>
      </c>
      <c r="J17" s="17">
        <v>38345726</v>
      </c>
      <c r="K17" s="18"/>
      <c r="L17" s="33"/>
      <c r="M17" s="49"/>
    </row>
    <row r="18" spans="1:16" ht="12.75" customHeight="1" x14ac:dyDescent="0.25">
      <c r="A18" s="48">
        <v>43932</v>
      </c>
      <c r="B18" s="15">
        <v>676117</v>
      </c>
      <c r="C18" s="15">
        <v>777945</v>
      </c>
      <c r="D18" s="16">
        <v>0.79</v>
      </c>
      <c r="E18" s="23">
        <v>10831.25</v>
      </c>
      <c r="F18" s="23">
        <v>2069</v>
      </c>
      <c r="G18" s="17">
        <v>18756.45</v>
      </c>
      <c r="H18" s="15">
        <v>14528</v>
      </c>
      <c r="I18" s="15">
        <v>92801</v>
      </c>
      <c r="J18" s="15">
        <v>38350937</v>
      </c>
      <c r="K18" s="18"/>
      <c r="L18" s="33"/>
      <c r="M18" s="49"/>
      <c r="P18" s="26"/>
    </row>
    <row r="19" spans="1:16" ht="12.75" customHeight="1" x14ac:dyDescent="0.25">
      <c r="A19" s="48">
        <v>43933</v>
      </c>
      <c r="B19" s="15"/>
      <c r="C19" s="15"/>
      <c r="D19" s="16"/>
      <c r="E19" s="23"/>
      <c r="F19" s="23"/>
      <c r="G19" s="17"/>
      <c r="H19" s="15"/>
      <c r="I19" s="15"/>
      <c r="J19" s="15"/>
      <c r="K19" s="18"/>
      <c r="L19" s="33"/>
      <c r="M19" s="49"/>
      <c r="P19" s="26"/>
    </row>
    <row r="20" spans="1:16" ht="12.75" customHeight="1" x14ac:dyDescent="0.25">
      <c r="A20" s="48">
        <v>43934</v>
      </c>
      <c r="B20" s="15"/>
      <c r="C20" s="15"/>
      <c r="D20" s="16"/>
      <c r="E20" s="23"/>
      <c r="F20" s="23"/>
      <c r="G20" s="17"/>
      <c r="H20" s="15"/>
      <c r="I20" s="15"/>
      <c r="J20" s="15"/>
      <c r="K20" s="18"/>
      <c r="L20" s="33"/>
      <c r="M20" s="49"/>
    </row>
    <row r="21" spans="1:16" ht="12.75" customHeight="1" x14ac:dyDescent="0.25">
      <c r="A21" s="48">
        <v>43935</v>
      </c>
      <c r="B21" s="15"/>
      <c r="C21" s="15"/>
      <c r="D21" s="16"/>
      <c r="E21" s="23"/>
      <c r="F21" s="23"/>
      <c r="G21" s="17"/>
      <c r="H21" s="15"/>
      <c r="I21" s="15"/>
      <c r="J21" s="15"/>
      <c r="K21" s="18"/>
      <c r="L21" s="33"/>
      <c r="M21" s="49"/>
    </row>
    <row r="22" spans="1:16" ht="12.75" customHeight="1" x14ac:dyDescent="0.25">
      <c r="A22" s="48">
        <v>43936</v>
      </c>
      <c r="B22" s="15"/>
      <c r="C22" s="15"/>
      <c r="D22" s="16"/>
      <c r="E22" s="23"/>
      <c r="F22" s="23"/>
      <c r="G22" s="17"/>
      <c r="H22" s="15"/>
      <c r="I22" s="17"/>
      <c r="J22" s="15"/>
      <c r="K22" s="27"/>
      <c r="L22" s="33"/>
      <c r="M22" s="49"/>
    </row>
    <row r="23" spans="1:16" ht="12.75" customHeight="1" x14ac:dyDescent="0.25">
      <c r="A23" s="48">
        <v>43937</v>
      </c>
      <c r="B23" s="21"/>
      <c r="C23" s="21"/>
      <c r="D23" s="16"/>
      <c r="E23" s="29"/>
      <c r="F23" s="29"/>
      <c r="G23" s="17"/>
      <c r="H23" s="15"/>
      <c r="I23" s="15"/>
      <c r="J23" s="15"/>
      <c r="K23" s="27"/>
      <c r="L23" s="33"/>
      <c r="M23" s="49"/>
    </row>
    <row r="24" spans="1:16" ht="12.75" customHeight="1" x14ac:dyDescent="0.25">
      <c r="A24" s="48">
        <v>43938</v>
      </c>
      <c r="B24" s="21"/>
      <c r="C24" s="21"/>
      <c r="D24" s="16"/>
      <c r="E24" s="29"/>
      <c r="F24" s="29"/>
      <c r="G24" s="17"/>
      <c r="H24" s="15"/>
      <c r="I24" s="15"/>
      <c r="J24" s="15"/>
      <c r="K24" s="18"/>
      <c r="L24" s="34"/>
      <c r="M24" s="49"/>
    </row>
    <row r="25" spans="1:16" ht="12.75" customHeight="1" x14ac:dyDescent="0.25">
      <c r="A25" s="48">
        <v>43939</v>
      </c>
      <c r="B25" s="17"/>
      <c r="C25" s="17"/>
      <c r="D25" s="28"/>
      <c r="E25" s="29"/>
      <c r="F25" s="29"/>
      <c r="G25" s="17"/>
      <c r="H25" s="15"/>
      <c r="I25" s="15"/>
      <c r="J25" s="15"/>
      <c r="K25" s="27"/>
      <c r="L25" s="34"/>
      <c r="M25" s="49"/>
    </row>
    <row r="26" spans="1:16" ht="12.75" customHeight="1" x14ac:dyDescent="0.25">
      <c r="A26" s="48">
        <v>43940</v>
      </c>
      <c r="B26" s="17"/>
      <c r="C26" s="17"/>
      <c r="D26" s="28"/>
      <c r="E26" s="29"/>
      <c r="F26" s="29"/>
      <c r="G26" s="17"/>
      <c r="H26" s="15"/>
      <c r="I26" s="15"/>
      <c r="J26" s="15"/>
      <c r="K26" s="27"/>
      <c r="L26" s="34"/>
      <c r="M26" s="49"/>
    </row>
    <row r="27" spans="1:16" ht="12.75" customHeight="1" x14ac:dyDescent="0.25">
      <c r="A27" s="48">
        <v>43941</v>
      </c>
      <c r="B27" s="15"/>
      <c r="C27" s="15"/>
      <c r="D27" s="16"/>
      <c r="E27" s="29"/>
      <c r="F27" s="29"/>
      <c r="G27" s="17"/>
      <c r="H27" s="15"/>
      <c r="I27" s="15"/>
      <c r="J27" s="15"/>
      <c r="K27" s="18"/>
      <c r="L27" s="33"/>
      <c r="M27" s="49"/>
    </row>
    <row r="28" spans="1:16" ht="12.75" customHeight="1" x14ac:dyDescent="0.25">
      <c r="A28" s="48">
        <v>43942</v>
      </c>
      <c r="B28" s="14"/>
      <c r="C28" s="15"/>
      <c r="D28" s="16"/>
      <c r="E28" s="29"/>
      <c r="F28" s="29"/>
      <c r="G28" s="17"/>
      <c r="H28" s="15"/>
      <c r="I28" s="15"/>
      <c r="J28" s="15"/>
      <c r="K28" s="18"/>
      <c r="L28" s="33"/>
      <c r="M28" s="49"/>
    </row>
    <row r="29" spans="1:16" ht="12.75" customHeight="1" x14ac:dyDescent="0.25">
      <c r="A29" s="48">
        <v>43943</v>
      </c>
      <c r="B29" s="15"/>
      <c r="C29" s="15"/>
      <c r="D29" s="16"/>
      <c r="E29" s="29"/>
      <c r="F29" s="29"/>
      <c r="G29" s="17"/>
      <c r="H29" s="15"/>
      <c r="I29" s="15"/>
      <c r="J29" s="15"/>
      <c r="K29" s="18"/>
      <c r="L29" s="33"/>
      <c r="M29" s="49"/>
      <c r="P29" s="6"/>
    </row>
    <row r="30" spans="1:16" ht="12.75" customHeight="1" x14ac:dyDescent="0.25">
      <c r="A30" s="48">
        <v>43944</v>
      </c>
      <c r="B30" s="15"/>
      <c r="C30" s="15"/>
      <c r="D30" s="16"/>
      <c r="E30" s="29"/>
      <c r="F30" s="29"/>
      <c r="G30" s="17"/>
      <c r="H30" s="15"/>
      <c r="I30" s="15"/>
      <c r="J30" s="15"/>
      <c r="K30" s="18"/>
      <c r="L30" s="33"/>
      <c r="M30" s="49"/>
      <c r="P30" s="6"/>
    </row>
    <row r="31" spans="1:16" ht="12.75" customHeight="1" x14ac:dyDescent="0.25">
      <c r="A31" s="48">
        <v>43945</v>
      </c>
      <c r="B31" s="15"/>
      <c r="C31" s="15"/>
      <c r="D31" s="16"/>
      <c r="E31" s="29"/>
      <c r="F31" s="29"/>
      <c r="G31" s="17"/>
      <c r="H31" s="15"/>
      <c r="I31" s="15"/>
      <c r="J31" s="15"/>
      <c r="K31" s="18"/>
      <c r="L31" s="35"/>
      <c r="M31" s="49"/>
      <c r="P31" s="6"/>
    </row>
    <row r="32" spans="1:16" ht="12.75" customHeight="1" x14ac:dyDescent="0.25">
      <c r="A32" s="48">
        <v>43946</v>
      </c>
      <c r="B32" s="15"/>
      <c r="C32" s="15"/>
      <c r="D32" s="16"/>
      <c r="E32" s="29"/>
      <c r="F32" s="29"/>
      <c r="G32" s="17"/>
      <c r="H32" s="15"/>
      <c r="I32" s="15"/>
      <c r="J32" s="15"/>
      <c r="K32" s="18"/>
      <c r="L32" s="35"/>
      <c r="M32" s="49"/>
      <c r="P32" s="6"/>
    </row>
    <row r="33" spans="1:16" ht="12.75" customHeight="1" x14ac:dyDescent="0.25">
      <c r="A33" s="48">
        <v>43947</v>
      </c>
      <c r="B33" s="15"/>
      <c r="C33" s="15"/>
      <c r="D33" s="16"/>
      <c r="E33" s="29"/>
      <c r="F33" s="29"/>
      <c r="G33" s="17"/>
      <c r="H33" s="15"/>
      <c r="I33" s="15"/>
      <c r="J33" s="15"/>
      <c r="K33" s="18"/>
      <c r="L33" s="33"/>
      <c r="M33" s="49"/>
      <c r="P33" s="6"/>
    </row>
    <row r="34" spans="1:16" ht="12.75" customHeight="1" x14ac:dyDescent="0.25">
      <c r="A34" s="48">
        <v>43948</v>
      </c>
      <c r="B34" s="17"/>
      <c r="C34" s="20"/>
      <c r="D34" s="28"/>
      <c r="E34" s="29"/>
      <c r="F34" s="29"/>
      <c r="G34" s="17"/>
      <c r="H34" s="15"/>
      <c r="I34" s="17"/>
      <c r="J34" s="17"/>
      <c r="K34" s="18"/>
      <c r="L34" s="33"/>
      <c r="M34" s="49"/>
    </row>
    <row r="35" spans="1:16" ht="12.75" customHeight="1" x14ac:dyDescent="0.25">
      <c r="A35" s="48">
        <v>43949</v>
      </c>
      <c r="B35" s="15"/>
      <c r="C35" s="20"/>
      <c r="D35" s="16"/>
      <c r="E35" s="29"/>
      <c r="F35" s="29"/>
      <c r="G35" s="17"/>
      <c r="H35" s="17"/>
      <c r="I35" s="15"/>
      <c r="J35" s="15"/>
      <c r="K35" s="18"/>
      <c r="L35" s="33"/>
      <c r="M35" s="49"/>
    </row>
    <row r="36" spans="1:16" ht="12.75" customHeight="1" x14ac:dyDescent="0.25">
      <c r="A36" s="48">
        <v>43950</v>
      </c>
      <c r="B36" s="15"/>
      <c r="C36" s="20"/>
      <c r="D36" s="16"/>
      <c r="E36" s="29"/>
      <c r="F36" s="29"/>
      <c r="G36" s="17"/>
      <c r="H36" s="17"/>
      <c r="I36" s="15"/>
      <c r="J36" s="15"/>
      <c r="K36" s="18"/>
      <c r="L36" s="33"/>
      <c r="M36" s="49"/>
    </row>
    <row r="37" spans="1:16" s="24" customFormat="1" x14ac:dyDescent="0.25">
      <c r="A37" s="48">
        <v>43951</v>
      </c>
      <c r="B37" s="15"/>
      <c r="C37" s="15"/>
      <c r="D37" s="16"/>
      <c r="E37" s="29"/>
      <c r="F37" s="29"/>
      <c r="G37" s="17"/>
      <c r="H37" s="15"/>
      <c r="I37" s="15"/>
      <c r="J37" s="15"/>
      <c r="K37" s="18"/>
      <c r="L37" s="33"/>
      <c r="M37" s="49"/>
    </row>
    <row r="38" spans="1:16" x14ac:dyDescent="0.25">
      <c r="A38" s="50" t="s">
        <v>35</v>
      </c>
      <c r="B38" s="36">
        <f t="shared" ref="B38:K38" si="0">B37-B7</f>
        <v>-671054</v>
      </c>
      <c r="C38" s="36">
        <f t="shared" si="0"/>
        <v>-752767</v>
      </c>
      <c r="D38" s="36">
        <f t="shared" si="0"/>
        <v>-0.3</v>
      </c>
      <c r="E38" s="36">
        <f t="shared" si="0"/>
        <v>-10822.5</v>
      </c>
      <c r="F38" s="36">
        <f t="shared" si="0"/>
        <v>-2068.6799999999998</v>
      </c>
      <c r="G38" s="36">
        <f t="shared" si="0"/>
        <v>-18624.79</v>
      </c>
      <c r="H38" s="36">
        <f t="shared" si="0"/>
        <v>-14528</v>
      </c>
      <c r="I38" s="36">
        <f t="shared" si="0"/>
        <v>-92576</v>
      </c>
      <c r="J38" s="36">
        <f t="shared" si="0"/>
        <v>-38291700</v>
      </c>
      <c r="K38" s="36">
        <f t="shared" si="0"/>
        <v>0</v>
      </c>
      <c r="L38" s="24"/>
      <c r="M38" s="24"/>
    </row>
    <row r="39" spans="1:16" x14ac:dyDescent="0.25">
      <c r="A39" s="24"/>
      <c r="B39" s="24"/>
      <c r="C39" s="36"/>
      <c r="D39" s="24"/>
      <c r="E39" s="26"/>
      <c r="F39" s="26"/>
      <c r="G39" s="26"/>
      <c r="H39" s="22">
        <f>H38*219.969</f>
        <v>-3195709.6319999998</v>
      </c>
      <c r="I39" s="36">
        <f>I38*219.969</f>
        <v>-20363850.144000001</v>
      </c>
      <c r="J39" s="26"/>
      <c r="K39" s="24"/>
      <c r="L39" s="24"/>
      <c r="M39" s="24"/>
    </row>
    <row r="40" spans="1:16" x14ac:dyDescent="0.25">
      <c r="F40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04 - 2020</vt:lpstr>
      <vt:lpstr>'04 - 2020'!Print_Area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Loueen Delolmo</cp:lastModifiedBy>
  <dcterms:created xsi:type="dcterms:W3CDTF">2017-04-26T09:20:12Z</dcterms:created>
  <dcterms:modified xsi:type="dcterms:W3CDTF">2020-04-11T01:58:17Z</dcterms:modified>
</cp:coreProperties>
</file>