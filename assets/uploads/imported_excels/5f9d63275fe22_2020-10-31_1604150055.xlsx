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L28" i="7" l="1"/>
  <c r="AJ28" i="7"/>
  <c r="BV21" i="7" l="1"/>
  <c r="BR21" i="7"/>
  <c r="BL23" i="7"/>
  <c r="BL24" i="7"/>
  <c r="BL25" i="7"/>
  <c r="BL26" i="7"/>
  <c r="V21" i="7"/>
  <c r="BX21" i="7" l="1"/>
  <c r="BT21" i="7"/>
  <c r="BP21" i="7"/>
  <c r="AZ19" i="7" l="1"/>
  <c r="AP18" i="7" l="1"/>
  <c r="X17" i="7" l="1"/>
  <c r="X18" i="7"/>
  <c r="X19" i="7"/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<sst xmlns="http://schemas.openxmlformats.org/spreadsheetml/2006/main" count="313" uniqueCount="148">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</sst>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0" sqref="N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4230.0000000002346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13.200000000000045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3799.9999999994807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13.299999999999955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4260.0000000004629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14.900000000000091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4219.9999999996071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4690.0000000001355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22.5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4599.99999999995</v>
      </c>
      <c r="F16" s="11">
        <f t="shared" si="1"/>
        <v>0.58765030286592534</v>
      </c>
      <c r="G16" s="12">
        <f>(Submetering!AX16+Submetering!AY16+Submetering!AZ16+Submetering!BA16+Submetering!BB16)</f>
        <v>7.3259999999999996</v>
      </c>
      <c r="H16" s="11">
        <f t="shared" si="2"/>
        <v>0.99</v>
      </c>
      <c r="I16" s="12">
        <f>'FS Desroches Daily'!CM18</f>
        <v>18.5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4589.9999999999254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26.799999999999955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4760.0000000004829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12.599999999999909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4229.9999999997108</v>
      </c>
      <c r="F19" s="11">
        <f t="shared" si="1"/>
        <v>0.58765030286592534</v>
      </c>
      <c r="G19" s="12">
        <f>(Submetering!AX19+Submetering!AY19+Submetering!AZ19+Submetering!BA19+Submetering!BB19)</f>
        <v>3.6629999999999998</v>
      </c>
      <c r="H19" s="11">
        <f t="shared" si="2"/>
        <v>0.99</v>
      </c>
      <c r="I19" s="12">
        <f>'FS Desroches Daily'!CM21</f>
        <v>28.200000000000045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4689.999999999658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24.799999999999955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4670.0000000003429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37.700000000000045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4460.0000000002601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21.700000000000045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4619.9999999997553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31.900000000000091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4740.0000000000564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20.199999999999818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4929.9999999998217</v>
      </c>
      <c r="F25" s="11">
        <f t="shared" si="1"/>
        <v>0.58765030286592534</v>
      </c>
      <c r="G25" s="12">
        <f>(Submetering!AX25+Submetering!AY25+Submetering!AZ25+Submetering!BA25+Submetering!BB25)</f>
        <v>5.4944999999999995</v>
      </c>
      <c r="H25" s="11">
        <f t="shared" si="2"/>
        <v>0.99</v>
      </c>
      <c r="I25" s="12">
        <f>'FS Desroches Daily'!CM27</f>
        <v>27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3960.0000000000191</v>
      </c>
      <c r="F26" s="11">
        <f t="shared" si="1"/>
        <v>0.58765030286592534</v>
      </c>
      <c r="G26" s="12">
        <f>(Submetering!AX26+Submetering!AY26+Submetering!AZ26+Submetering!BA26+Submetering!BB26)</f>
        <v>3.6629999999999998</v>
      </c>
      <c r="H26" s="11">
        <f t="shared" si="2"/>
        <v>0.99</v>
      </c>
      <c r="I26" s="12">
        <f>'FS Desroches Daily'!CM28</f>
        <v>44.600000000000136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4480.00000000002</v>
      </c>
      <c r="F27" s="11">
        <f t="shared" si="1"/>
        <v>0.58765030286592534</v>
      </c>
      <c r="G27" s="12">
        <f>(Submetering!AX27+Submetering!AY27+Submetering!AZ27+Submetering!BA27+Submetering!BB27)</f>
        <v>3.6629999999999998</v>
      </c>
      <c r="H27" s="11">
        <f t="shared" si="2"/>
        <v>0.99</v>
      </c>
      <c r="I27" s="12">
        <f>'FS Desroches Daily'!CM29</f>
        <v>29.599999999999909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4359.99999999994</v>
      </c>
      <c r="F28" s="11">
        <f t="shared" si="1"/>
        <v>0.58765030286592534</v>
      </c>
      <c r="G28" s="12">
        <f>(Submetering!AX28+Submetering!AY28+Submetering!AZ28+Submetering!BA28+Submetering!BB28)</f>
        <v>5.4944999999999995</v>
      </c>
      <c r="H28" s="11">
        <f t="shared" si="2"/>
        <v>0.99</v>
      </c>
      <c r="I28" s="12">
        <f>'FS Desroches Daily'!CM30</f>
        <v>32.299999999999955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4990.0000000000691</v>
      </c>
      <c r="F29" s="11">
        <f t="shared" si="1"/>
        <v>0.58765030286592534</v>
      </c>
      <c r="G29" s="12">
        <f>(Submetering!AX29+Submetering!AY29+Submetering!AZ29+Submetering!BA29+Submetering!BB29)</f>
        <v>5.4944999999999995</v>
      </c>
      <c r="H29" s="11">
        <f t="shared" si="2"/>
        <v>0.99</v>
      </c>
      <c r="I29" s="12">
        <f>'FS Desroches Daily'!CM31</f>
        <v>27.400000000000091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3990.0000000000255</v>
      </c>
      <c r="F30" s="11">
        <f t="shared" si="1"/>
        <v>0.58765030286592534</v>
      </c>
      <c r="G30" s="12">
        <f>(Submetering!AX30+Submetering!AY30+Submetering!AZ30+Submetering!BA30+Submetering!BB30)</f>
        <v>3.6629999999999998</v>
      </c>
      <c r="H30" s="11">
        <f t="shared" si="2"/>
        <v>0.99</v>
      </c>
      <c r="I30" s="12">
        <f>'FS Desroches Daily'!CM32</f>
        <v>15.700000000000045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4859.9999999997381</v>
      </c>
      <c r="F31" s="11">
        <f t="shared" si="1"/>
        <v>0.58765030286592534</v>
      </c>
      <c r="G31" s="12">
        <f>(Submetering!AX31+Submetering!AY31+Submetering!AZ31+Submetering!BA31+Submetering!BB31)</f>
        <v>1.8314999999999999</v>
      </c>
      <c r="H31" s="11">
        <f t="shared" si="2"/>
        <v>0.99</v>
      </c>
      <c r="I31" s="12">
        <f>'FS Desroches Daily'!CM33</f>
        <v>25.799999999999955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 t="e">
        <f>Submetering!E32+Submetering!F32+Submetering!G32+Submetering!H32+Submetering!J32-Submetering!AV32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'FS Desroches Daily'!CM34</f>
        <v>#VALUE!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1200.0000000000898</v>
      </c>
      <c r="F11" s="32">
        <f>'FS Desroches Daily'!F13</f>
        <v>599.99999999993395</v>
      </c>
      <c r="G11" s="31">
        <f>'FS Desroches Daily'!H13</f>
        <v>1500.0000000000568</v>
      </c>
      <c r="H11" s="32">
        <f>'FS Desroches Daily'!J13</f>
        <v>800.00000000013392</v>
      </c>
      <c r="I11" s="31">
        <f>'FS Desroches Daily'!L13</f>
        <v>1700.0000000000348</v>
      </c>
      <c r="J11" s="32">
        <f>'FS Desroches Daily'!N13</f>
        <v>599.99999999993395</v>
      </c>
      <c r="K11" s="13">
        <f>'FS Desroches Daily'!P13</f>
        <v>1</v>
      </c>
      <c r="L11" s="31">
        <f>'FS Desroches Daily'!R13</f>
        <v>6</v>
      </c>
      <c r="M11" s="31">
        <f>'FS Desroches Daily'!T13</f>
        <v>99</v>
      </c>
      <c r="N11" s="31">
        <f>'FS Desroches Daily'!V13</f>
        <v>56</v>
      </c>
      <c r="O11" s="31">
        <f>'FS Desroches Daily'!X13</f>
        <v>89.999999999974989</v>
      </c>
      <c r="P11" s="31">
        <f>'FS Desroches Daily'!Z13</f>
        <v>499.99999999972289</v>
      </c>
      <c r="Q11" s="31">
        <f>'FS Desroches Daily'!AB13</f>
        <v>99.999999999965894</v>
      </c>
      <c r="R11" s="31">
        <f>'FS Desroches Daily'!AD13</f>
        <v>160.00000000002501</v>
      </c>
      <c r="S11" s="31">
        <f>'FS Desroches Daily'!AF13</f>
        <v>230.00000000001819</v>
      </c>
      <c r="T11" s="31">
        <f>'FS Desroches Daily'!AH13</f>
        <v>1.3000000000001819</v>
      </c>
      <c r="U11" s="35">
        <f>'FS Desroches Daily'!AJ13</f>
        <v>250</v>
      </c>
      <c r="V11" s="35">
        <f>'FS Desroches Daily'!AL13</f>
        <v>150.00000000000568</v>
      </c>
      <c r="W11" s="35">
        <f>'FS Desroches Daily'!AN13</f>
        <v>139.99999999998636</v>
      </c>
      <c r="X11" s="35">
        <f>'FS Desroches Daily'!AP13</f>
        <v>149.99999999997726</v>
      </c>
      <c r="Y11" s="35">
        <f>'FS Desroches Daily'!AR13</f>
        <v>39.999999999992042</v>
      </c>
      <c r="Z11" s="35">
        <f>'FS Desroches Daily'!AT13</f>
        <v>39.99999999996362</v>
      </c>
      <c r="AA11" s="35">
        <f>'FS Desroches Daily'!AT13</f>
        <v>39.99999999996362</v>
      </c>
      <c r="AB11" s="35">
        <f>'FS Desroches Daily'!AV13</f>
        <v>20.000000000038654</v>
      </c>
      <c r="AC11" s="35">
        <f>'FS Desroches Daily'!AZ13</f>
        <v>40.000000000020464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23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9.9999999999909051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8</v>
      </c>
      <c r="AM11" s="32">
        <f>'FS Desroches Daily'!BT13</f>
        <v>9.9999999999909051</v>
      </c>
      <c r="AN11" s="32">
        <f>'FS Desroches Daily'!BV13</f>
        <v>37</v>
      </c>
      <c r="AO11" s="32">
        <f>'FS Desroches Daily'!BX13</f>
        <v>30.000000000001137</v>
      </c>
      <c r="AP11" s="32">
        <f>'FS Desroches Daily'!BZ13</f>
        <v>19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24.099999999998545</v>
      </c>
      <c r="AU11" s="31">
        <f>'FS Desroches Daily'!CJ13</f>
        <v>211</v>
      </c>
      <c r="AV11" s="31">
        <f>'FS Desroches Daily'!CL13</f>
        <v>469.9999999999136</v>
      </c>
      <c r="AW11" s="31">
        <f>'FS Desroches Daily'!CM13</f>
        <v>13.200000000000045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999.99999999988984</v>
      </c>
      <c r="F12" s="32">
        <f>'FS Desroches Daily'!F14</f>
        <v>599.99999999993395</v>
      </c>
      <c r="G12" s="31">
        <f>'FS Desroches Daily'!H14</f>
        <v>1199.9999999998679</v>
      </c>
      <c r="H12" s="32">
        <f>'FS Desroches Daily'!J14</f>
        <v>899.99999999990087</v>
      </c>
      <c r="I12" s="31">
        <f>'FS Desroches Daily'!L14</f>
        <v>1500.0000000000568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5</v>
      </c>
      <c r="M12" s="31">
        <f>'FS Desroches Daily'!T14</f>
        <v>55.800000000046566</v>
      </c>
      <c r="N12" s="31">
        <f>'FS Desroches Daily'!V14</f>
        <v>44.800000000046566</v>
      </c>
      <c r="O12" s="31">
        <f>'FS Desroches Daily'!X14</f>
        <v>79.999999999984084</v>
      </c>
      <c r="P12" s="31">
        <f>'FS Desroches Daily'!Z14</f>
        <v>300.000000000189</v>
      </c>
      <c r="Q12" s="31">
        <f>'FS Desroches Daily'!AB14</f>
        <v>90.000000000031832</v>
      </c>
      <c r="R12" s="31">
        <f>'FS Desroches Daily'!AD14</f>
        <v>139.99999999998636</v>
      </c>
      <c r="S12" s="31">
        <f>'FS Desroches Daily'!AF14</f>
        <v>89.999999999974989</v>
      </c>
      <c r="T12" s="31">
        <f>'FS Desroches Daily'!AH14</f>
        <v>1.2999999999999545</v>
      </c>
      <c r="U12" s="35">
        <f>'FS Desroches Daily'!AJ14</f>
        <v>230.00000000001819</v>
      </c>
      <c r="V12" s="35">
        <f>'FS Desroches Daily'!AL14</f>
        <v>150.00000000000568</v>
      </c>
      <c r="W12" s="35">
        <f>'FS Desroches Daily'!AN14</f>
        <v>140.00000000001478</v>
      </c>
      <c r="X12" s="35">
        <f>'FS Desroches Daily'!AP14</f>
        <v>140.00000000001478</v>
      </c>
      <c r="Y12" s="35">
        <f>'FS Desroches Daily'!AR14</f>
        <v>20.000000000010232</v>
      </c>
      <c r="Z12" s="35">
        <f>'FS Desroches Daily'!AT14</f>
        <v>30.000000000029559</v>
      </c>
      <c r="AA12" s="35">
        <f>'FS Desroches Daily'!AT14</f>
        <v>30.000000000029559</v>
      </c>
      <c r="AB12" s="35">
        <f>'FS Desroches Daily'!AV14</f>
        <v>29.999999999972715</v>
      </c>
      <c r="AC12" s="35">
        <f>'FS Desroches Daily'!AZ14</f>
        <v>19.99999999998181</v>
      </c>
      <c r="AD12" s="35">
        <f>'FS Desroches Daily'!BB14</f>
        <v>9.9999999999909051</v>
      </c>
      <c r="AE12" s="35">
        <f>'FS Desroches Daily'!BD14</f>
        <v>30.000000000001137</v>
      </c>
      <c r="AF12" s="31">
        <f>'FS Desroches Daily'!BF14</f>
        <v>14</v>
      </c>
      <c r="AG12" s="32">
        <f>'FS Desroches Daily'!BH14</f>
        <v>19.99999999998181</v>
      </c>
      <c r="AH12" s="32">
        <f>'FS Desroches Daily'!BJ14</f>
        <v>9.9999999999909051</v>
      </c>
      <c r="AI12" s="32">
        <f>'FS Desroches Daily'!BL14</f>
        <v>0</v>
      </c>
      <c r="AJ12" s="32">
        <f>'FS Desroches Daily'!BN14</f>
        <v>30.000000000001137</v>
      </c>
      <c r="AK12" s="32">
        <f>'FS Desroches Daily'!BP14</f>
        <v>20.000000000038654</v>
      </c>
      <c r="AL12" s="32">
        <f>'FS Desroches Daily'!BR14</f>
        <v>8</v>
      </c>
      <c r="AM12" s="32">
        <f>'FS Desroches Daily'!BT14</f>
        <v>9.9999999999909051</v>
      </c>
      <c r="AN12" s="32">
        <f>'FS Desroches Daily'!BV14</f>
        <v>40</v>
      </c>
      <c r="AO12" s="32">
        <f>'FS Desroches Daily'!BX14</f>
        <v>19.99999999998181</v>
      </c>
      <c r="AP12" s="32">
        <f>'FS Desroches Daily'!BZ14</f>
        <v>19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12.700000000004366</v>
      </c>
      <c r="AU12" s="31">
        <f>'FS Desroches Daily'!CJ14</f>
        <v>189</v>
      </c>
      <c r="AV12" s="31">
        <f>'FS Desroches Daily'!CL14</f>
        <v>300.00000000006821</v>
      </c>
      <c r="AW12" s="31">
        <f>'FS Desroches Daily'!CM14</f>
        <v>13.299999999999955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1200.0000000000898</v>
      </c>
      <c r="F13" s="32">
        <f>'FS Desroches Daily'!F15</f>
        <v>599.99999999993395</v>
      </c>
      <c r="G13" s="31">
        <f>'FS Desroches Daily'!H15</f>
        <v>1400.0000000002899</v>
      </c>
      <c r="H13" s="32">
        <f>'FS Desroches Daily'!J15</f>
        <v>800.00000000013392</v>
      </c>
      <c r="I13" s="31">
        <f>'FS Desroches Daily'!L15</f>
        <v>1700.0000000000348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5</v>
      </c>
      <c r="M13" s="31">
        <f>'FS Desroches Daily'!T15</f>
        <v>146</v>
      </c>
      <c r="N13" s="31">
        <f>'FS Desroches Daily'!V15</f>
        <v>88.5</v>
      </c>
      <c r="O13" s="31">
        <f>'FS Desroches Daily'!X15</f>
        <v>80.000000000040927</v>
      </c>
      <c r="P13" s="31">
        <f>'FS Desroches Daily'!Z15</f>
        <v>500.00000000016701</v>
      </c>
      <c r="Q13" s="31">
        <f>'FS Desroches Daily'!AB15</f>
        <v>79.999999999984084</v>
      </c>
      <c r="R13" s="31">
        <f>'FS Desroches Daily'!AD15</f>
        <v>149.99999999997726</v>
      </c>
      <c r="S13" s="31">
        <f>'FS Desroches Daily'!AF15</f>
        <v>250</v>
      </c>
      <c r="T13" s="31">
        <f>'FS Desroches Daily'!AH15</f>
        <v>0.89999999999986358</v>
      </c>
      <c r="U13" s="35">
        <f>'FS Desroches Daily'!AJ15</f>
        <v>239.99999999995225</v>
      </c>
      <c r="V13" s="35">
        <f>'FS Desroches Daily'!AL15</f>
        <v>129.99999999999545</v>
      </c>
      <c r="W13" s="35">
        <f>'FS Desroches Daily'!AN15</f>
        <v>129.99999999999545</v>
      </c>
      <c r="X13" s="35">
        <f>'FS Desroches Daily'!AP15</f>
        <v>199.99999999998863</v>
      </c>
      <c r="Y13" s="35">
        <f>'FS Desroches Daily'!AR15</f>
        <v>49.999999999982947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19.99999999998181</v>
      </c>
      <c r="AC13" s="35">
        <f>'FS Desroches Daily'!AZ15</f>
        <v>29.999999999972715</v>
      </c>
      <c r="AD13" s="35">
        <f>'FS Desroches Daily'!BB15</f>
        <v>29.999999999972715</v>
      </c>
      <c r="AE13" s="35">
        <f>'FS Desroches Daily'!BD15</f>
        <v>9.9999999999909051</v>
      </c>
      <c r="AF13" s="31">
        <f>'FS Desroches Daily'!BF15</f>
        <v>26</v>
      </c>
      <c r="AG13" s="32">
        <f>'FS Desroches Daily'!BH15</f>
        <v>20.000000000010232</v>
      </c>
      <c r="AH13" s="32">
        <f>'FS Desroches Daily'!BJ15</f>
        <v>10.000000000047748</v>
      </c>
      <c r="AI13" s="32">
        <f>'FS Desroches Daily'!BL15</f>
        <v>0</v>
      </c>
      <c r="AJ13" s="32">
        <f>'FS Desroches Daily'!BN15</f>
        <v>30.000000000001137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10.000000000019327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21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18.69999999999709</v>
      </c>
      <c r="AU13" s="31">
        <f>'FS Desroches Daily'!CJ15</f>
        <v>199</v>
      </c>
      <c r="AV13" s="31">
        <f>'FS Desroches Daily'!CL15</f>
        <v>339.99999999991815</v>
      </c>
      <c r="AW13" s="31">
        <f>'FS Desroches Daily'!CM15</f>
        <v>14.900000000000091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1199.9999999998679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899.99999999990087</v>
      </c>
      <c r="I14" s="31">
        <f>'FS Desroches Daily'!L16</f>
        <v>1599.9999999998238</v>
      </c>
      <c r="J14" s="32">
        <f>'FS Desroches Daily'!N16</f>
        <v>500.00000000016701</v>
      </c>
      <c r="K14" s="13">
        <f>'FS Desroches Daily'!P16</f>
        <v>0</v>
      </c>
      <c r="L14" s="31">
        <f>'FS Desroches Daily'!R16</f>
        <v>5</v>
      </c>
      <c r="M14" s="31">
        <f>'FS Desroches Daily'!T16</f>
        <v>152.19999999995343</v>
      </c>
      <c r="N14" s="31">
        <f>'FS Desroches Daily'!V16</f>
        <v>100.79999999998836</v>
      </c>
      <c r="O14" s="31">
        <f>'FS Desroches Daily'!X16</f>
        <v>79.999999999984084</v>
      </c>
      <c r="P14" s="31">
        <f>'FS Desroches Daily'!Z16</f>
        <v>399.99999999995595</v>
      </c>
      <c r="Q14" s="31">
        <f>'FS Desroches Daily'!AB16</f>
        <v>89.999999999974989</v>
      </c>
      <c r="R14" s="31">
        <f>'FS Desroches Daily'!AD16</f>
        <v>140.0000000000432</v>
      </c>
      <c r="S14" s="31">
        <f>'FS Desroches Daily'!AF16</f>
        <v>180.00000000000682</v>
      </c>
      <c r="T14" s="31">
        <f>'FS Desroches Daily'!AH16</f>
        <v>1.1000000000001364</v>
      </c>
      <c r="U14" s="35">
        <f>'FS Desroches Daily'!AJ16</f>
        <v>240.00000000000909</v>
      </c>
      <c r="V14" s="35">
        <f>'FS Desroches Daily'!AL16</f>
        <v>159.99999999999659</v>
      </c>
      <c r="W14" s="35">
        <f>'FS Desroches Daily'!AN16</f>
        <v>157.19999999999999</v>
      </c>
      <c r="X14" s="35">
        <f>'FS Desroches Daily'!AP16</f>
        <v>159.99999999999659</v>
      </c>
      <c r="Y14" s="35">
        <f>'FS Desroches Daily'!AR16</f>
        <v>40.000000000020464</v>
      </c>
      <c r="Z14" s="35">
        <f>'FS Desroches Daily'!AT16</f>
        <v>29.999999999972715</v>
      </c>
      <c r="AA14" s="35">
        <f>'FS Desroches Daily'!AT16</f>
        <v>29.999999999972715</v>
      </c>
      <c r="AB14" s="35">
        <f>'FS Desroches Daily'!AV16</f>
        <v>30.000000000029559</v>
      </c>
      <c r="AC14" s="35">
        <f>'FS Desroches Daily'!AZ16</f>
        <v>30.000000000029559</v>
      </c>
      <c r="AD14" s="35">
        <f>'FS Desroches Daily'!BB16</f>
        <v>30.000000000029559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20.000000000010232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6</v>
      </c>
      <c r="AM14" s="32">
        <f>'FS Desroches Daily'!BT16</f>
        <v>9.9999999999909051</v>
      </c>
      <c r="AN14" s="32">
        <f>'FS Desroches Daily'!BV16</f>
        <v>41</v>
      </c>
      <c r="AO14" s="32">
        <f>'FS Desroches Daily'!BX16</f>
        <v>20.000000000010232</v>
      </c>
      <c r="AP14" s="32">
        <f>'FS Desroches Daily'!BZ16</f>
        <v>20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22.700000000004366</v>
      </c>
      <c r="AU14" s="31">
        <f>'FS Desroches Daily'!CJ16</f>
        <v>202</v>
      </c>
      <c r="AV14" s="31">
        <f>'FS Desroches Daily'!CL16</f>
        <v>380.00000000010914</v>
      </c>
      <c r="AW14" s="31">
        <f>'FS Desroches Daily'!CM16</f>
        <v>16.299999999999955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1300.0000000000789</v>
      </c>
      <c r="F15" s="32">
        <f>'FS Desroches Daily'!F17</f>
        <v>700.00000000014495</v>
      </c>
      <c r="G15" s="31">
        <f>'FS Desroches Daily'!H17</f>
        <v>1599.9999999998238</v>
      </c>
      <c r="H15" s="32">
        <f>'FS Desroches Daily'!J17</f>
        <v>900.0000000001229</v>
      </c>
      <c r="I15" s="31">
        <f>'FS Desroches Daily'!L17</f>
        <v>1700.0000000000348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0</v>
      </c>
      <c r="M15" s="31">
        <f>'FS Desroches Daily'!T17</f>
        <v>156.80000000004657</v>
      </c>
      <c r="N15" s="31">
        <f>'FS Desroches Daily'!V17</f>
        <v>109</v>
      </c>
      <c r="O15" s="31">
        <f>'FS Desroches Daily'!X17</f>
        <v>129.99999999999545</v>
      </c>
      <c r="P15" s="31">
        <f>'FS Desroches Daily'!Z17</f>
        <v>399.99999999995595</v>
      </c>
      <c r="Q15" s="31">
        <f>'FS Desroches Daily'!AB17</f>
        <v>80.000000000040927</v>
      </c>
      <c r="R15" s="31">
        <f>'FS Desroches Daily'!AD17</f>
        <v>139.99999999998636</v>
      </c>
      <c r="S15" s="31">
        <f>'FS Desroches Daily'!AF17</f>
        <v>189.99999999999773</v>
      </c>
      <c r="T15" s="31">
        <f>'FS Desroches Daily'!AH17</f>
        <v>1</v>
      </c>
      <c r="U15" s="35">
        <f>'FS Desroches Daily'!AJ17</f>
        <v>240.00000000000909</v>
      </c>
      <c r="V15" s="35">
        <f>'FS Desroches Daily'!AL17</f>
        <v>159.99999999999659</v>
      </c>
      <c r="W15" s="35">
        <f>'FS Desroches Daily'!AN17</f>
        <v>200.00000000001705</v>
      </c>
      <c r="X15" s="35">
        <f>'FS Desroches Daily'!AP17</f>
        <v>230.00000000001819</v>
      </c>
      <c r="Y15" s="35">
        <f>'FS Desroches Daily'!AR17</f>
        <v>49.999999999982947</v>
      </c>
      <c r="Z15" s="35">
        <f>'FS Desroches Daily'!AT17</f>
        <v>40.000000000020464</v>
      </c>
      <c r="AA15" s="35">
        <f>'FS Desroches Daily'!AT17</f>
        <v>40.000000000020464</v>
      </c>
      <c r="AB15" s="35">
        <f>'FS Desroches Daily'!AV17</f>
        <v>29.999999999972715</v>
      </c>
      <c r="AC15" s="35">
        <f>'FS Desroches Daily'!AZ17</f>
        <v>39.99999999996362</v>
      </c>
      <c r="AD15" s="35">
        <f>'FS Desroches Daily'!BB17</f>
        <v>29.999999999972715</v>
      </c>
      <c r="AE15" s="35">
        <f>'FS Desroches Daily'!BD17</f>
        <v>20.000000000010232</v>
      </c>
      <c r="AF15" s="31">
        <f>'FS Desroches Daily'!BF17</f>
        <v>31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5</v>
      </c>
      <c r="AM15" s="32">
        <f>'FS Desroches Daily'!BT17</f>
        <v>20.000000000010232</v>
      </c>
      <c r="AN15" s="32">
        <f>'FS Desroches Daily'!BV17</f>
        <v>32</v>
      </c>
      <c r="AO15" s="32">
        <f>'FS Desroches Daily'!BX17</f>
        <v>30.000000000001137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16.299999999995634</v>
      </c>
      <c r="AU15" s="31">
        <f>'FS Desroches Daily'!CJ17</f>
        <v>202</v>
      </c>
      <c r="AV15" s="31">
        <f>'FS Desroches Daily'!CL17</f>
        <v>409.99999999996817</v>
      </c>
      <c r="AW15" s="31">
        <f>'FS Desroches Daily'!CM17</f>
        <v>22.5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1400.0000000000678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899.99999999990087</v>
      </c>
      <c r="I16" s="31">
        <f>'FS Desroches Daily'!L18</f>
        <v>1799.9999999998017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0</v>
      </c>
      <c r="M16" s="31">
        <f>'FS Desroches Daily'!T18</f>
        <v>226</v>
      </c>
      <c r="N16" s="31">
        <f>'FS Desroches Daily'!V18</f>
        <v>144.70000000001164</v>
      </c>
      <c r="O16" s="31">
        <f>'FS Desroches Daily'!X18</f>
        <v>89.999999999974989</v>
      </c>
      <c r="P16" s="31">
        <f>'FS Desroches Daily'!Z18</f>
        <v>499.99999999972289</v>
      </c>
      <c r="Q16" s="31">
        <f>'FS Desroches Daily'!AB18</f>
        <v>89.999999999974989</v>
      </c>
      <c r="R16" s="31">
        <f>'FS Desroches Daily'!AD18</f>
        <v>149.99999999997726</v>
      </c>
      <c r="S16" s="31">
        <f>'FS Desroches Daily'!AF18</f>
        <v>180.00000000000682</v>
      </c>
      <c r="T16" s="31">
        <f>'FS Desroches Daily'!AH18</f>
        <v>1.2000000000000455</v>
      </c>
      <c r="U16" s="35">
        <f>'FS Desroches Daily'!AJ18</f>
        <v>240.00000000000909</v>
      </c>
      <c r="V16" s="35">
        <f>'FS Desroches Daily'!AL18</f>
        <v>170.00000000001592</v>
      </c>
      <c r="W16" s="35">
        <f>'FS Desroches Daily'!AN18</f>
        <v>250</v>
      </c>
      <c r="X16" s="35">
        <f>'FS Desroches Daily'!AP18</f>
        <v>199.99999999998863</v>
      </c>
      <c r="Y16" s="35">
        <f>'FS Desroches Daily'!AR18</f>
        <v>50.000000000011369</v>
      </c>
      <c r="Z16" s="35">
        <f>'FS Desroches Daily'!AT18</f>
        <v>39.99999999996362</v>
      </c>
      <c r="AA16" s="35">
        <f>'FS Desroches Daily'!AT18</f>
        <v>39.99999999996362</v>
      </c>
      <c r="AB16" s="35">
        <f>'FS Desroches Daily'!AV18</f>
        <v>40.000000000020464</v>
      </c>
      <c r="AC16" s="35">
        <f>'FS Desroches Daily'!AZ18</f>
        <v>30.000000000029559</v>
      </c>
      <c r="AD16" s="35">
        <f>'FS Desroches Daily'!BB18</f>
        <v>30.000000000029559</v>
      </c>
      <c r="AE16" s="35">
        <f>'FS Desroches Daily'!BD18</f>
        <v>30.000000000001137</v>
      </c>
      <c r="AF16" s="31">
        <f>'FS Desroches Daily'!BF18</f>
        <v>37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0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14</v>
      </c>
      <c r="AM16" s="32">
        <f>'FS Desroches Daily'!BT18</f>
        <v>9.9999999999909051</v>
      </c>
      <c r="AN16" s="32">
        <f>'FS Desroches Daily'!BV18</f>
        <v>30</v>
      </c>
      <c r="AO16" s="32">
        <f>'FS Desroches Daily'!BX18</f>
        <v>9.9999999999909051</v>
      </c>
      <c r="AP16" s="32">
        <f>'FS Desroches Daily'!BZ18</f>
        <v>30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21.80000000000291</v>
      </c>
      <c r="AU16" s="31">
        <f>'FS Desroches Daily'!CJ18</f>
        <v>235</v>
      </c>
      <c r="AV16" s="31">
        <f>'FS Desroches Daily'!CL18</f>
        <v>299.99999999995453</v>
      </c>
      <c r="AW16" s="31">
        <f>'FS Desroches Daily'!CM18</f>
        <v>18.5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1299.9999999998568</v>
      </c>
      <c r="F17" s="32">
        <f>'FS Desroches Daily'!F19</f>
        <v>700.00000000014495</v>
      </c>
      <c r="G17" s="31">
        <f>'FS Desroches Daily'!H19</f>
        <v>1500.0000000000568</v>
      </c>
      <c r="H17" s="32">
        <f>'FS Desroches Daily'!J19</f>
        <v>899.99999999990087</v>
      </c>
      <c r="I17" s="31">
        <f>'FS Desroches Daily'!L19</f>
        <v>1700.0000000000348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0</v>
      </c>
      <c r="M17" s="31">
        <f>'FS Desroches Daily'!T19</f>
        <v>218.19999999995343</v>
      </c>
      <c r="N17" s="31">
        <f>'FS Desroches Daily'!V19</f>
        <v>108.5</v>
      </c>
      <c r="O17" s="31">
        <f>'FS Desroches Daily'!X19</f>
        <v>60.000000000002274</v>
      </c>
      <c r="P17" s="31">
        <f>'FS Desroches Daily'!Z19</f>
        <v>399.99999999995595</v>
      </c>
      <c r="Q17" s="31">
        <f>'FS Desroches Daily'!AB19</f>
        <v>69.999999999993179</v>
      </c>
      <c r="R17" s="31">
        <f>'FS Desroches Daily'!AD19</f>
        <v>160.00000000002501</v>
      </c>
      <c r="S17" s="31">
        <f>'FS Desroches Daily'!AF19</f>
        <v>240.00000000000909</v>
      </c>
      <c r="T17" s="31">
        <f>'FS Desroches Daily'!AH19</f>
        <v>1</v>
      </c>
      <c r="U17" s="35">
        <f>'FS Desroches Daily'!AJ19</f>
        <v>250</v>
      </c>
      <c r="V17" s="35">
        <f>'FS Desroches Daily'!AL19</f>
        <v>150.00000000000568</v>
      </c>
      <c r="W17" s="35">
        <f>'FS Desroches Daily'!AN19</f>
        <v>229.99999999998977</v>
      </c>
      <c r="X17" s="35">
        <f>'FS Desroches Daily'!AP19</f>
        <v>200.00000000001705</v>
      </c>
      <c r="Y17" s="35">
        <f>'FS Desroches Daily'!AR19</f>
        <v>39.999999999992042</v>
      </c>
      <c r="Z17" s="35">
        <f>'FS Desroches Daily'!AU20</f>
        <v>268.19</v>
      </c>
      <c r="AA17" s="35">
        <f>'FS Desroches Daily'!AU20</f>
        <v>268.19</v>
      </c>
      <c r="AB17" s="35">
        <f>'FS Desroches Daily'!AV19</f>
        <v>30.000000000029559</v>
      </c>
      <c r="AC17" s="35">
        <f>'FS Desroches Daily'!AZ19</f>
        <v>29.999999999972715</v>
      </c>
      <c r="AD17" s="35">
        <f>'FS Desroches Daily'!BB19</f>
        <v>29.999999999972715</v>
      </c>
      <c r="AE17" s="35">
        <f>'FS Desroches Daily'!BD19</f>
        <v>19.99999999998181</v>
      </c>
      <c r="AF17" s="31">
        <f>'FS Desroches Daily'!BF19</f>
        <v>32</v>
      </c>
      <c r="AG17" s="32">
        <f>'FS Desroches Daily'!BH19</f>
        <v>19.99999999998181</v>
      </c>
      <c r="AH17" s="32">
        <f>'FS Desroches Daily'!BJ19</f>
        <v>20.000000000038654</v>
      </c>
      <c r="AI17" s="32">
        <f>'FS Desroches Daily'!BL19</f>
        <v>10.000000000019327</v>
      </c>
      <c r="AJ17" s="32">
        <f>'FS Desroches Daily'!BN19</f>
        <v>30.000000000001137</v>
      </c>
      <c r="AK17" s="32">
        <f>'FS Desroches Daily'!BP19</f>
        <v>20.000000000038654</v>
      </c>
      <c r="AL17" s="32">
        <f>'FS Desroches Daily'!BR19</f>
        <v>16</v>
      </c>
      <c r="AM17" s="32">
        <f>'FS Desroches Daily'!BT19</f>
        <v>20.000000000010232</v>
      </c>
      <c r="AN17" s="32">
        <f>'FS Desroches Daily'!BV19</f>
        <v>43</v>
      </c>
      <c r="AO17" s="32">
        <f>'FS Desroches Daily'!BX19</f>
        <v>20.000000000010232</v>
      </c>
      <c r="AP17" s="32">
        <f>'FS Desroches Daily'!BZ19</f>
        <v>21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17.099999999998545</v>
      </c>
      <c r="AU17" s="31">
        <f>'FS Desroches Daily'!CJ19</f>
        <v>227</v>
      </c>
      <c r="AV17" s="31">
        <f>'FS Desroches Daily'!CL19</f>
        <v>409.99999999996817</v>
      </c>
      <c r="AW17" s="31">
        <f>'FS Desroches Daily'!CM19</f>
        <v>26.799999999999955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1300.0000000000789</v>
      </c>
      <c r="F18" s="32">
        <f>'FS Desroches Daily'!F20</f>
        <v>700.00000000014495</v>
      </c>
      <c r="G18" s="31">
        <f>'FS Desroches Daily'!H20</f>
        <v>1700.0000000000348</v>
      </c>
      <c r="H18" s="32">
        <f>'FS Desroches Daily'!J20</f>
        <v>1000.0000000001119</v>
      </c>
      <c r="I18" s="31">
        <f>'FS Desroches Daily'!L20</f>
        <v>1800.0000000002458</v>
      </c>
      <c r="J18" s="32">
        <f>'FS Desroches Daily'!N20</f>
        <v>500.00000000016701</v>
      </c>
      <c r="K18" s="13">
        <f>'FS Desroches Daily'!P20</f>
        <v>1</v>
      </c>
      <c r="L18" s="31">
        <f>'FS Desroches Daily'!R20</f>
        <v>0</v>
      </c>
      <c r="M18" s="31">
        <f>'FS Desroches Daily'!T20</f>
        <v>176.40000000002328</v>
      </c>
      <c r="N18" s="31">
        <f>'FS Desroches Daily'!V20</f>
        <v>109.09999999997672</v>
      </c>
      <c r="O18" s="31">
        <f>'FS Desroches Daily'!X20</f>
        <v>210.00000000003638</v>
      </c>
      <c r="P18" s="31">
        <f>'FS Desroches Daily'!Z20</f>
        <v>500.00000000016701</v>
      </c>
      <c r="Q18" s="31">
        <f>'FS Desroches Daily'!AB20</f>
        <v>100.00000000002274</v>
      </c>
      <c r="R18" s="31">
        <f>'FS Desroches Daily'!AD20</f>
        <v>159.99999999996817</v>
      </c>
      <c r="S18" s="31">
        <f>'FS Desroches Daily'!AF20</f>
        <v>159.99999999996817</v>
      </c>
      <c r="T18" s="31">
        <f>'FS Desroches Daily'!AH20</f>
        <v>1</v>
      </c>
      <c r="U18" s="35">
        <f>'FS Desroches Daily'!AJ20</f>
        <v>240.00000000000909</v>
      </c>
      <c r="V18" s="35">
        <f>'FS Desroches Daily'!AL20</f>
        <v>159.99999999999659</v>
      </c>
      <c r="W18" s="35">
        <f>'FS Desroches Daily'!AN20</f>
        <v>259.99999999999091</v>
      </c>
      <c r="X18" s="35">
        <f>'FS Desroches Daily'!AP20</f>
        <v>199.99999999998863</v>
      </c>
      <c r="Y18" s="35">
        <f>'FS Desroches Daily'!AR20</f>
        <v>50.000000000011369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29.999999999972715</v>
      </c>
      <c r="AC18" s="35">
        <f>'FS Desroches Daily'!AZ20</f>
        <v>40.000000000020464</v>
      </c>
      <c r="AD18" s="35">
        <f>'FS Desroches Daily'!BB20</f>
        <v>30.000000000029559</v>
      </c>
      <c r="AE18" s="35">
        <f>'FS Desroches Daily'!BD20</f>
        <v>30.000000000001137</v>
      </c>
      <c r="AF18" s="31">
        <f>'FS Desroches Daily'!BF20</f>
        <v>36</v>
      </c>
      <c r="AG18" s="32">
        <f>'FS Desroches Daily'!BH20</f>
        <v>10.000000000019327</v>
      </c>
      <c r="AH18" s="32">
        <f>'FS Desroches Daily'!BJ20</f>
        <v>19.99999999998181</v>
      </c>
      <c r="AI18" s="32">
        <f>'FS Desroches Daily'!BL20</f>
        <v>0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15</v>
      </c>
      <c r="AM18" s="32">
        <f>'FS Desroches Daily'!BT20</f>
        <v>9.9999999999909051</v>
      </c>
      <c r="AN18" s="32">
        <f>'FS Desroches Daily'!BV20</f>
        <v>49</v>
      </c>
      <c r="AO18" s="32">
        <f>'FS Desroches Daily'!BX20</f>
        <v>9.9999999999909051</v>
      </c>
      <c r="AP18" s="32">
        <f>'FS Desroches Daily'!BZ20</f>
        <v>23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23</v>
      </c>
      <c r="AU18" s="31">
        <f>'FS Desroches Daily'!CJ20</f>
        <v>233</v>
      </c>
      <c r="AV18" s="31">
        <f>'FS Desroches Daily'!CL20</f>
        <v>440.00000000005457</v>
      </c>
      <c r="AW18" s="31">
        <f>'FS Desroches Daily'!CM20</f>
        <v>12.599999999999909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1299.9999999998568</v>
      </c>
      <c r="F19" s="32">
        <f>'FS Desroches Daily'!F21</f>
        <v>599.99999999993395</v>
      </c>
      <c r="G19" s="31">
        <f>'FS Desroches Daily'!H21</f>
        <v>1300.0000000000789</v>
      </c>
      <c r="H19" s="32">
        <f>'FS Desroches Daily'!J21</f>
        <v>899.99999999990087</v>
      </c>
      <c r="I19" s="31">
        <f>'FS Desroches Daily'!L21</f>
        <v>1799.9999999998017</v>
      </c>
      <c r="J19" s="32">
        <f>'FS Desroches Daily'!N21</f>
        <v>499.99999999994492</v>
      </c>
      <c r="K19" s="13">
        <f>'FS Desroches Daily'!P21</f>
        <v>1</v>
      </c>
      <c r="L19" s="31">
        <f>'FS Desroches Daily'!R21</f>
        <v>0</v>
      </c>
      <c r="M19" s="31">
        <f>'FS Desroches Daily'!T21</f>
        <v>115</v>
      </c>
      <c r="N19" s="31">
        <f>'FS Desroches Daily'!V21</f>
        <v>57.200000000011642</v>
      </c>
      <c r="O19" s="31">
        <f>'FS Desroches Daily'!X21</f>
        <v>99.999999999965894</v>
      </c>
      <c r="P19" s="31">
        <f>'FS Desroches Daily'!Z21</f>
        <v>399.99999999995595</v>
      </c>
      <c r="Q19" s="31">
        <f>'FS Desroches Daily'!AB21</f>
        <v>99.999999999965894</v>
      </c>
      <c r="R19" s="31">
        <f>'FS Desroches Daily'!AD21</f>
        <v>150.00000000003411</v>
      </c>
      <c r="S19" s="31">
        <f>'FS Desroches Daily'!AF21</f>
        <v>140.0000000000432</v>
      </c>
      <c r="T19" s="31">
        <f>'FS Desroches Daily'!AH21</f>
        <v>1.0999999999999091</v>
      </c>
      <c r="U19" s="35">
        <f>'FS Desroches Daily'!AJ21</f>
        <v>259.99999999999091</v>
      </c>
      <c r="V19" s="35">
        <f>'FS Desroches Daily'!AL21</f>
        <v>159.99999999999659</v>
      </c>
      <c r="W19" s="35">
        <f>'FS Desroches Daily'!AN21</f>
        <v>270.00000000001023</v>
      </c>
      <c r="X19" s="35">
        <f>'FS Desroches Daily'!AP21</f>
        <v>159.99999999999659</v>
      </c>
      <c r="Y19" s="35">
        <f>'FS Desroches Daily'!AR21</f>
        <v>30.000000000001137</v>
      </c>
      <c r="Z19" s="35">
        <f>'FS Desroches Daily'!AT21</f>
        <v>40.000000000020464</v>
      </c>
      <c r="AA19" s="35">
        <f>'FS Desroches Daily'!AT21</f>
        <v>40.000000000020464</v>
      </c>
      <c r="AB19" s="35">
        <f>'FS Desroches Daily'!AV21</f>
        <v>30.000000000029559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28</v>
      </c>
      <c r="AG19" s="32">
        <f>'FS Desroches Daily'!BH21</f>
        <v>19.99999999998181</v>
      </c>
      <c r="AH19" s="32">
        <f>'FS Desroches Daily'!BJ21</f>
        <v>9.9999999999909051</v>
      </c>
      <c r="AI19" s="32">
        <f>'FS Desroches Daily'!BL21</f>
        <v>0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14</v>
      </c>
      <c r="AM19" s="32">
        <f>'FS Desroches Daily'!BT21</f>
        <v>20.000000000010232</v>
      </c>
      <c r="AN19" s="32">
        <f>'FS Desroches Daily'!BV21</f>
        <v>50</v>
      </c>
      <c r="AO19" s="32">
        <f>'FS Desroches Daily'!BX21</f>
        <v>10.000000000019327</v>
      </c>
      <c r="AP19" s="32">
        <f>'FS Desroches Daily'!BZ21</f>
        <v>24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15.30000000000291</v>
      </c>
      <c r="AU19" s="31">
        <f>'FS Desroches Daily'!CJ21</f>
        <v>223</v>
      </c>
      <c r="AV19" s="31">
        <f>'FS Desroches Daily'!CL21</f>
        <v>370.00000000000455</v>
      </c>
      <c r="AW19" s="31">
        <f>'FS Desroches Daily'!CM21</f>
        <v>28.200000000000045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1300.0000000000789</v>
      </c>
      <c r="F20" s="32">
        <f>'FS Desroches Daily'!F22</f>
        <v>699.99999999970089</v>
      </c>
      <c r="G20" s="31">
        <f>'FS Desroches Daily'!H22</f>
        <v>1799.9999999998017</v>
      </c>
      <c r="H20" s="32">
        <f>'FS Desroches Daily'!J22</f>
        <v>800.00000000013392</v>
      </c>
      <c r="I20" s="31">
        <f>'FS Desroches Daily'!L22</f>
        <v>1600.0000000002678</v>
      </c>
      <c r="J20" s="32">
        <f>'FS Desroches Daily'!N22</f>
        <v>599.99999999993395</v>
      </c>
      <c r="K20" s="13">
        <f>'FS Desroches Daily'!P22</f>
        <v>0</v>
      </c>
      <c r="L20" s="31">
        <f>'FS Desroches Daily'!R22</f>
        <v>0</v>
      </c>
      <c r="M20" s="31">
        <f>'FS Desroches Daily'!T22</f>
        <v>398.20000000006985</v>
      </c>
      <c r="N20" s="31">
        <f>'FS Desroches Daily'!V22</f>
        <v>163.79999999998836</v>
      </c>
      <c r="O20" s="31">
        <f>'FS Desroches Daily'!X22</f>
        <v>110.00000000001364</v>
      </c>
      <c r="P20" s="31">
        <f>'FS Desroches Daily'!Z22</f>
        <v>500.00000000016701</v>
      </c>
      <c r="Q20" s="31">
        <f>'FS Desroches Daily'!AB22</f>
        <v>100.00000000002274</v>
      </c>
      <c r="R20" s="31">
        <f>'FS Desroches Daily'!AD22</f>
        <v>159.99999999996817</v>
      </c>
      <c r="S20" s="31">
        <f>'FS Desroches Daily'!AF22</f>
        <v>259.99999999999091</v>
      </c>
      <c r="T20" s="31">
        <f>'FS Desroches Daily'!AH22</f>
        <v>1</v>
      </c>
      <c r="U20" s="35">
        <f>'FS Desroches Daily'!AJ22</f>
        <v>199.99999999998863</v>
      </c>
      <c r="V20" s="35">
        <f>'FS Desroches Daily'!AL22</f>
        <v>159.99999999999659</v>
      </c>
      <c r="W20" s="35">
        <f>'FS Desroches Daily'!AN22</f>
        <v>280.00000000000114</v>
      </c>
      <c r="X20" s="35">
        <f>'FS Desroches Daily'!AP22</f>
        <v>180.00000000000682</v>
      </c>
      <c r="Y20" s="35">
        <f>'FS Desroches Daily'!AR22</f>
        <v>39.999999999992042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39.99999999996362</v>
      </c>
      <c r="AC20" s="35">
        <f>'FS Desroches Daily'!AZ22</f>
        <v>19.99999999998181</v>
      </c>
      <c r="AD20" s="35">
        <f>'FS Desroches Daily'!BB22</f>
        <v>30.000000000029559</v>
      </c>
      <c r="AE20" s="35">
        <f>'FS Desroches Daily'!BD22</f>
        <v>30.000000000001137</v>
      </c>
      <c r="AF20" s="31">
        <f>'FS Desroches Daily'!BF22</f>
        <v>19</v>
      </c>
      <c r="AG20" s="32">
        <f>'FS Desroches Daily'!BH22</f>
        <v>20.000000000010232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20.000000000010232</v>
      </c>
      <c r="AK20" s="32">
        <f>'FS Desroches Daily'!BP22</f>
        <v>20.000000000038654</v>
      </c>
      <c r="AL20" s="32">
        <f>'FS Desroches Daily'!BR22</f>
        <v>13</v>
      </c>
      <c r="AM20" s="32">
        <f>'FS Desroches Daily'!BT22</f>
        <v>9.9999999999909051</v>
      </c>
      <c r="AN20" s="32">
        <f>'FS Desroches Daily'!BV22</f>
        <v>46</v>
      </c>
      <c r="AO20" s="32">
        <f>'FS Desroches Daily'!BX22</f>
        <v>9.9999999999909051</v>
      </c>
      <c r="AP20" s="32">
        <f>'FS Desroches Daily'!BZ22</f>
        <v>20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21.69999999999709</v>
      </c>
      <c r="AU20" s="31">
        <f>'FS Desroches Daily'!CJ22</f>
        <v>213</v>
      </c>
      <c r="AV20" s="31">
        <f>'FS Desroches Daily'!CL22</f>
        <v>509.99999999999091</v>
      </c>
      <c r="AW20" s="31">
        <f>'FS Desroches Daily'!CM22</f>
        <v>24.799999999999955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1300.0000000000789</v>
      </c>
      <c r="F21" s="32">
        <f>'FS Desroches Daily'!F23</f>
        <v>600.00000000037801</v>
      </c>
      <c r="G21" s="31">
        <f>'FS Desroches Daily'!H23</f>
        <v>1900.0000000000127</v>
      </c>
      <c r="H21" s="32">
        <f>'FS Desroches Daily'!J23</f>
        <v>899.99999999990087</v>
      </c>
      <c r="I21" s="31">
        <f>'FS Desroches Daily'!L23</f>
        <v>1799.9999999998017</v>
      </c>
      <c r="J21" s="32">
        <f>'FS Desroches Daily'!N23</f>
        <v>499.99999999994492</v>
      </c>
      <c r="K21" s="13">
        <f>'FS Desroches Daily'!P23</f>
        <v>1</v>
      </c>
      <c r="L21" s="31">
        <f>'FS Desroches Daily'!R23</f>
        <v>8</v>
      </c>
      <c r="M21" s="31">
        <f>'FS Desroches Daily'!T23</f>
        <v>350.59999999997672</v>
      </c>
      <c r="N21" s="31">
        <f>'FS Desroches Daily'!V23</f>
        <v>182.90000000002328</v>
      </c>
      <c r="O21" s="31">
        <f>'FS Desroches Daily'!X23</f>
        <v>100.00000000002274</v>
      </c>
      <c r="P21" s="31">
        <f>'FS Desroches Daily'!Z23</f>
        <v>399.99999999995595</v>
      </c>
      <c r="Q21" s="31">
        <f>'FS Desroches Daily'!AB23</f>
        <v>60.000000000002274</v>
      </c>
      <c r="R21" s="31">
        <f>'FS Desroches Daily'!AD23</f>
        <v>140.0000000000432</v>
      </c>
      <c r="S21" s="31">
        <f>'FS Desroches Daily'!AF23</f>
        <v>189.99999999999773</v>
      </c>
      <c r="T21" s="31">
        <f>'FS Desroches Daily'!AH23</f>
        <v>1.0999999999999091</v>
      </c>
      <c r="U21" s="35">
        <f>'FS Desroches Daily'!AJ23</f>
        <v>199.99999999998863</v>
      </c>
      <c r="V21" s="35">
        <f>'FS Desroches Daily'!AL23</f>
        <v>150.00000000000568</v>
      </c>
      <c r="W21" s="35">
        <f>'FS Desroches Daily'!AN23</f>
        <v>259.99999999999091</v>
      </c>
      <c r="X21" s="35">
        <f>'FS Desroches Daily'!AP23</f>
        <v>169.99999999998749</v>
      </c>
      <c r="Y21" s="35">
        <f>'FS Desroches Daily'!AR23</f>
        <v>50.000000000011369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50.000000000011369</v>
      </c>
      <c r="AC21" s="35">
        <f>'FS Desroches Daily'!AZ23</f>
        <v>39.99999999996362</v>
      </c>
      <c r="AD21" s="35">
        <f>'FS Desroches Daily'!BB23</f>
        <v>29.999999999972715</v>
      </c>
      <c r="AE21" s="35">
        <f>'FS Desroches Daily'!BD23</f>
        <v>30.000000000001137</v>
      </c>
      <c r="AF21" s="31">
        <f>'FS Desroches Daily'!BF23</f>
        <v>24</v>
      </c>
      <c r="AG21" s="32">
        <f>'FS Desroches Daily'!BH23</f>
        <v>9.9999999999909051</v>
      </c>
      <c r="AH21" s="32">
        <f>'FS Desroches Daily'!BJ23</f>
        <v>20.000000000038654</v>
      </c>
      <c r="AI21" s="32">
        <f>'FS Desroches Daily'!BL23</f>
        <v>0</v>
      </c>
      <c r="AJ21" s="32">
        <f>'FS Desroches Daily'!BN23</f>
        <v>20.000000000010232</v>
      </c>
      <c r="AK21" s="32">
        <f>'FS Desroches Daily'!BP23</f>
        <v>19.99999999998181</v>
      </c>
      <c r="AL21" s="32">
        <f>'FS Desroches Daily'!BR23</f>
        <v>15</v>
      </c>
      <c r="AM21" s="32">
        <f>'FS Desroches Daily'!BT23</f>
        <v>20.000000000010232</v>
      </c>
      <c r="AN21" s="32">
        <f>'FS Desroches Daily'!BV23</f>
        <v>50</v>
      </c>
      <c r="AO21" s="32">
        <f>'FS Desroches Daily'!BX23</f>
        <v>20.000000000010232</v>
      </c>
      <c r="AP21" s="32">
        <f>'FS Desroches Daily'!BZ23</f>
        <v>27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17.19999999999709</v>
      </c>
      <c r="AU21" s="31">
        <f>'FS Desroches Daily'!CJ23</f>
        <v>217</v>
      </c>
      <c r="AV21" s="31">
        <f>'FS Desroches Daily'!CL23</f>
        <v>529.99999999997272</v>
      </c>
      <c r="AW21" s="31">
        <f>'FS Desroches Daily'!CM23</f>
        <v>37.700000000000045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1199.9999999998679</v>
      </c>
      <c r="F22" s="32">
        <f>'FS Desroches Daily'!F24</f>
        <v>599.99999999993395</v>
      </c>
      <c r="G22" s="31">
        <f>'FS Desroches Daily'!H24</f>
        <v>1800.0000000002458</v>
      </c>
      <c r="H22" s="32">
        <f>'FS Desroches Daily'!J24</f>
        <v>900.0000000001229</v>
      </c>
      <c r="I22" s="31">
        <f>'FS Desroches Daily'!L24</f>
        <v>1700.0000000000348</v>
      </c>
      <c r="J22" s="32">
        <f>'FS Desroches Daily'!N24</f>
        <v>500.00000000016701</v>
      </c>
      <c r="K22" s="13">
        <f>'FS Desroches Daily'!P24</f>
        <v>0</v>
      </c>
      <c r="L22" s="31">
        <f>'FS Desroches Daily'!R24</f>
        <v>10</v>
      </c>
      <c r="M22" s="31">
        <f>'FS Desroches Daily'!T24</f>
        <v>299</v>
      </c>
      <c r="N22" s="31">
        <f>'FS Desroches Daily'!V24</f>
        <v>148.89999999996508</v>
      </c>
      <c r="O22" s="31">
        <f>'FS Desroches Daily'!X24</f>
        <v>89.999999999974989</v>
      </c>
      <c r="P22" s="31">
        <f>'FS Desroches Daily'!Z24</f>
        <v>399.99999999995595</v>
      </c>
      <c r="Q22" s="31">
        <f>'FS Desroches Daily'!AB24</f>
        <v>60.000000000002274</v>
      </c>
      <c r="R22" s="31">
        <f>'FS Desroches Daily'!AD24</f>
        <v>139.99999999998636</v>
      </c>
      <c r="S22" s="31">
        <f>'FS Desroches Daily'!AF24</f>
        <v>180.00000000000682</v>
      </c>
      <c r="T22" s="31">
        <f>'FS Desroches Daily'!AH24</f>
        <v>1.2000000000000455</v>
      </c>
      <c r="U22" s="35">
        <f>'FS Desroches Daily'!AJ24</f>
        <v>200.00000000004547</v>
      </c>
      <c r="V22" s="35">
        <f>'FS Desroches Daily'!AL24</f>
        <v>159.99999999999659</v>
      </c>
      <c r="W22" s="35">
        <f>'FS Desroches Daily'!AN24</f>
        <v>280.00000000000114</v>
      </c>
      <c r="X22" s="35">
        <f>'FS Desroches Daily'!AP24</f>
        <v>150.00000000000568</v>
      </c>
      <c r="Y22" s="35">
        <f>'FS Desroches Daily'!AR24</f>
        <v>39.999999999992042</v>
      </c>
      <c r="Z22" s="35">
        <f>'FS Desroches Daily'!AT24</f>
        <v>50.000000000011369</v>
      </c>
      <c r="AA22" s="35">
        <f>'FS Desroches Daily'!AT24</f>
        <v>50.000000000011369</v>
      </c>
      <c r="AB22" s="35">
        <f>'FS Desroches Daily'!AV24</f>
        <v>40.000000000020464</v>
      </c>
      <c r="AC22" s="35">
        <f>'FS Desroches Daily'!AZ24</f>
        <v>30.000000000029559</v>
      </c>
      <c r="AD22" s="35">
        <f>'FS Desroches Daily'!BB24</f>
        <v>20.000000000038654</v>
      </c>
      <c r="AE22" s="35">
        <f>'FS Desroches Daily'!BD24</f>
        <v>20.000000000010232</v>
      </c>
      <c r="AF22" s="31">
        <f>'FS Desroches Daily'!BF24</f>
        <v>21</v>
      </c>
      <c r="AG22" s="32">
        <f>'FS Desroches Daily'!BH24</f>
        <v>9.9999999999909051</v>
      </c>
      <c r="AH22" s="32">
        <f>'FS Desroches Daily'!BJ24</f>
        <v>9.9999999999909051</v>
      </c>
      <c r="AI22" s="32">
        <f>'FS Desroches Daily'!BL24</f>
        <v>9.9999999999909051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16</v>
      </c>
      <c r="AM22" s="32">
        <f>'FS Desroches Daily'!BT24</f>
        <v>9.9999999999909051</v>
      </c>
      <c r="AN22" s="32">
        <f>'FS Desroches Daily'!BV24</f>
        <v>50</v>
      </c>
      <c r="AO22" s="32">
        <f>'FS Desroches Daily'!BX24</f>
        <v>9.9999999999909051</v>
      </c>
      <c r="AP22" s="32">
        <f>'FS Desroches Daily'!BZ24</f>
        <v>27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15.400000000001455</v>
      </c>
      <c r="AU22" s="31">
        <f>'FS Desroches Daily'!CJ24</f>
        <v>205</v>
      </c>
      <c r="AV22" s="31">
        <f>'FS Desroches Daily'!CL24</f>
        <v>540.00000000007731</v>
      </c>
      <c r="AW22" s="31">
        <f>'FS Desroches Daily'!CM24</f>
        <v>21.700000000000045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1300.0000000000789</v>
      </c>
      <c r="F23" s="32">
        <f>'FS Desroches Daily'!F25</f>
        <v>699.99999999970089</v>
      </c>
      <c r="G23" s="31">
        <f>'FS Desroches Daily'!H25</f>
        <v>1700.0000000000348</v>
      </c>
      <c r="H23" s="32">
        <f>'FS Desroches Daily'!J25</f>
        <v>899.99999999990087</v>
      </c>
      <c r="I23" s="31">
        <f>'FS Desroches Daily'!L25</f>
        <v>1700.0000000000348</v>
      </c>
      <c r="J23" s="32">
        <f>'FS Desroches Daily'!N25</f>
        <v>499.99999999994492</v>
      </c>
      <c r="K23" s="13">
        <f>'FS Desroches Daily'!P25</f>
        <v>1</v>
      </c>
      <c r="L23" s="31">
        <f>'FS Desroches Daily'!R25</f>
        <v>10</v>
      </c>
      <c r="M23" s="31">
        <f>'FS Desroches Daily'!T25</f>
        <v>331.40000000002328</v>
      </c>
      <c r="N23" s="31">
        <f>'FS Desroches Daily'!V25</f>
        <v>173.5</v>
      </c>
      <c r="O23" s="31">
        <f>'FS Desroches Daily'!X25</f>
        <v>150.00000000003411</v>
      </c>
      <c r="P23" s="31">
        <f>'FS Desroches Daily'!Z25</f>
        <v>399.99999999995595</v>
      </c>
      <c r="Q23" s="31">
        <f>'FS Desroches Daily'!AB25</f>
        <v>89.999999999974989</v>
      </c>
      <c r="R23" s="31">
        <f>'FS Desroches Daily'!AD25</f>
        <v>129.99999999999545</v>
      </c>
      <c r="S23" s="31">
        <f>'FS Desroches Daily'!AF25</f>
        <v>189.99999999999773</v>
      </c>
      <c r="T23" s="31">
        <f>'FS Desroches Daily'!AH25</f>
        <v>1.1000000000001364</v>
      </c>
      <c r="U23" s="35">
        <f>'FS Desroches Daily'!AJ25</f>
        <v>250</v>
      </c>
      <c r="V23" s="35">
        <f>'FS Desroches Daily'!AL25</f>
        <v>150.00000000000568</v>
      </c>
      <c r="W23" s="35">
        <f>'FS Desroches Daily'!AN25</f>
        <v>259.99999999999091</v>
      </c>
      <c r="X23" s="35">
        <f>'FS Desroches Daily'!AP25</f>
        <v>159.99999999999659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29.999999999972715</v>
      </c>
      <c r="AC23" s="35">
        <f>'FS Desroches Daily'!AZ25</f>
        <v>29.999999999972715</v>
      </c>
      <c r="AD23" s="35">
        <f>'FS Desroches Daily'!BB25</f>
        <v>29.999999999972715</v>
      </c>
      <c r="AE23" s="35">
        <f>'FS Desroches Daily'!BD25</f>
        <v>19.99999999998181</v>
      </c>
      <c r="AF23" s="31">
        <f>'FS Desroches Daily'!BF25</f>
        <v>28</v>
      </c>
      <c r="AG23" s="32">
        <f>'FS Desroches Daily'!BH25</f>
        <v>0</v>
      </c>
      <c r="AH23" s="32">
        <f>'FS Desroches Daily'!BJ25</f>
        <v>19.99999999998181</v>
      </c>
      <c r="AI23" s="32">
        <f>'FS Desroches Daily'!BL25</f>
        <v>9.9999999999909051</v>
      </c>
      <c r="AJ23" s="32">
        <f>'FS Desroches Daily'!BN25</f>
        <v>9.9999999999909051</v>
      </c>
      <c r="AK23" s="32">
        <f>'FS Desroches Daily'!BP25</f>
        <v>30.000000000029559</v>
      </c>
      <c r="AL23" s="32">
        <f>'FS Desroches Daily'!BR25</f>
        <v>14</v>
      </c>
      <c r="AM23" s="32">
        <f>'FS Desroches Daily'!BT25</f>
        <v>19.99999999998181</v>
      </c>
      <c r="AN23" s="32">
        <f>'FS Desroches Daily'!BV25</f>
        <v>35</v>
      </c>
      <c r="AO23" s="32">
        <f>'FS Desroches Daily'!BX25</f>
        <v>9.9999999999909051</v>
      </c>
      <c r="AP23" s="32">
        <f>'FS Desroches Daily'!BZ25</f>
        <v>27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22.80000000000291</v>
      </c>
      <c r="AU23" s="31">
        <f>'FS Desroches Daily'!CJ25</f>
        <v>209</v>
      </c>
      <c r="AV23" s="31">
        <f>'FS Desroches Daily'!CL25</f>
        <v>479.9999999999045</v>
      </c>
      <c r="AW23" s="31">
        <f>'FS Desroches Daily'!CM25</f>
        <v>31.900000000000091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1200.0000000000898</v>
      </c>
      <c r="F24" s="32">
        <f>'FS Desroches Daily'!F26</f>
        <v>700.00000000014495</v>
      </c>
      <c r="G24" s="31">
        <f>'FS Desroches Daily'!H26</f>
        <v>1799.9999999998017</v>
      </c>
      <c r="H24" s="32">
        <f>'FS Desroches Daily'!J26</f>
        <v>900.0000000001229</v>
      </c>
      <c r="I24" s="31">
        <f>'FS Desroches Daily'!L26</f>
        <v>1700.0000000000348</v>
      </c>
      <c r="J24" s="32">
        <f>'FS Desroches Daily'!N26</f>
        <v>599.99999999993395</v>
      </c>
      <c r="K24" s="13">
        <f>'FS Desroches Daily'!P26</f>
        <v>0</v>
      </c>
      <c r="L24" s="31">
        <f>'FS Desroches Daily'!R26</f>
        <v>10</v>
      </c>
      <c r="M24" s="31">
        <f>'FS Desroches Daily'!T26</f>
        <v>389.19999999995343</v>
      </c>
      <c r="N24" s="31">
        <f>'FS Desroches Daily'!V26</f>
        <v>188.70000000001164</v>
      </c>
      <c r="O24" s="31">
        <f>'FS Desroches Daily'!X26</f>
        <v>109.9999999999568</v>
      </c>
      <c r="P24" s="31">
        <f>'FS Desroches Daily'!Z26</f>
        <v>500.00000000016701</v>
      </c>
      <c r="Q24" s="31">
        <f>'FS Desroches Daily'!AB26</f>
        <v>90.000000000031832</v>
      </c>
      <c r="R24" s="31">
        <f>'FS Desroches Daily'!AD26</f>
        <v>159.99999999996817</v>
      </c>
      <c r="S24" s="31">
        <f>'FS Desroches Daily'!AF26</f>
        <v>239.99999999995225</v>
      </c>
      <c r="T24" s="31">
        <f>'FS Desroches Daily'!AH26</f>
        <v>1.0999999999999091</v>
      </c>
      <c r="U24" s="35">
        <f>'FS Desroches Daily'!AJ26</f>
        <v>250</v>
      </c>
      <c r="V24" s="35">
        <f>'FS Desroches Daily'!AL26</f>
        <v>159.99999999999659</v>
      </c>
      <c r="W24" s="35">
        <f>'FS Desroches Daily'!AN26</f>
        <v>280.00000000000114</v>
      </c>
      <c r="X24" s="35">
        <f>'FS Desroches Daily'!AP26</f>
        <v>159.99999999999659</v>
      </c>
      <c r="Y24" s="35">
        <f>'FS Desroches Daily'!AR26</f>
        <v>39.999999999992042</v>
      </c>
      <c r="Z24" s="35">
        <f>'FS Desroches Daily'!AT26</f>
        <v>40.000000000020464</v>
      </c>
      <c r="AA24" s="35">
        <f>'FS Desroches Daily'!AT26</f>
        <v>40.000000000020464</v>
      </c>
      <c r="AB24" s="35">
        <f>'FS Desroches Daily'!AV26</f>
        <v>30.000000000029559</v>
      </c>
      <c r="AC24" s="35">
        <f>'FS Desroches Daily'!AZ26</f>
        <v>30.000000000029559</v>
      </c>
      <c r="AD24" s="35">
        <f>'FS Desroches Daily'!BB26</f>
        <v>40.000000000020464</v>
      </c>
      <c r="AE24" s="35">
        <f>'FS Desroches Daily'!BD26</f>
        <v>30.000000000001137</v>
      </c>
      <c r="AF24" s="31">
        <f>'FS Desroches Daily'!BF26</f>
        <v>31</v>
      </c>
      <c r="AG24" s="32">
        <f>'FS Desroches Daily'!BH26</f>
        <v>0</v>
      </c>
      <c r="AH24" s="32">
        <f>'FS Desroches Daily'!BJ26</f>
        <v>19.99999999998181</v>
      </c>
      <c r="AI24" s="32">
        <f>'FS Desroches Daily'!BL26</f>
        <v>10.000000000019327</v>
      </c>
      <c r="AJ24" s="32">
        <f>'FS Desroches Daily'!BN26</f>
        <v>20.000000000010232</v>
      </c>
      <c r="AK24" s="32">
        <f>'FS Desroches Daily'!BP26</f>
        <v>19.99999999998181</v>
      </c>
      <c r="AL24" s="32">
        <f>'FS Desroches Daily'!BR26</f>
        <v>14</v>
      </c>
      <c r="AM24" s="32">
        <f>'FS Desroches Daily'!BT26</f>
        <v>20.000000000010232</v>
      </c>
      <c r="AN24" s="32">
        <f>'FS Desroches Daily'!BV26</f>
        <v>30</v>
      </c>
      <c r="AO24" s="32">
        <f>'FS Desroches Daily'!BX26</f>
        <v>9.9999999999909051</v>
      </c>
      <c r="AP24" s="32">
        <f>'FS Desroches Daily'!BZ26</f>
        <v>25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16.900000000001455</v>
      </c>
      <c r="AU24" s="31">
        <f>'FS Desroches Daily'!CJ26</f>
        <v>207</v>
      </c>
      <c r="AV24" s="31">
        <f>'FS Desroches Daily'!CL26</f>
        <v>460.00000000003638</v>
      </c>
      <c r="AW24" s="31">
        <f>'FS Desroches Daily'!CM26</f>
        <v>20.199999999999818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1399.9999999998458</v>
      </c>
      <c r="F25" s="32">
        <f>'FS Desroches Daily'!F27</f>
        <v>599.99999999993395</v>
      </c>
      <c r="G25" s="31">
        <f>'FS Desroches Daily'!H27</f>
        <v>1900.0000000000127</v>
      </c>
      <c r="H25" s="32">
        <f>'FS Desroches Daily'!J27</f>
        <v>899.99999999990087</v>
      </c>
      <c r="I25" s="31">
        <f>'FS Desroches Daily'!L27</f>
        <v>1900.0000000000127</v>
      </c>
      <c r="J25" s="32">
        <f>'FS Desroches Daily'!N27</f>
        <v>600.00000000015598</v>
      </c>
      <c r="K25" s="13">
        <f>'FS Desroches Daily'!P27</f>
        <v>0</v>
      </c>
      <c r="L25" s="31">
        <f>'FS Desroches Daily'!R27</f>
        <v>11</v>
      </c>
      <c r="M25" s="31">
        <f>'FS Desroches Daily'!T27</f>
        <v>324.40000000002328</v>
      </c>
      <c r="N25" s="31">
        <f>'FS Desroches Daily'!V27</f>
        <v>156.79999999998836</v>
      </c>
      <c r="O25" s="31">
        <f>'FS Desroches Daily'!X27</f>
        <v>100.00000000002274</v>
      </c>
      <c r="P25" s="31">
        <f>'FS Desroches Daily'!Z27</f>
        <v>399.99999999995595</v>
      </c>
      <c r="Q25" s="31">
        <f>'FS Desroches Daily'!AB27</f>
        <v>120.00000000000455</v>
      </c>
      <c r="R25" s="31">
        <f>'FS Desroches Daily'!AD27</f>
        <v>170.00000000001592</v>
      </c>
      <c r="S25" s="31">
        <f>'FS Desroches Daily'!AF27</f>
        <v>140.0000000000432</v>
      </c>
      <c r="T25" s="31">
        <f>'FS Desroches Daily'!AH27</f>
        <v>1.2000000000000455</v>
      </c>
      <c r="U25" s="35">
        <f>'FS Desroches Daily'!AJ27</f>
        <v>269.99999999998181</v>
      </c>
      <c r="V25" s="35">
        <f>'FS Desroches Daily'!AL27</f>
        <v>169.99999999998749</v>
      </c>
      <c r="W25" s="35">
        <f>'FS Desroches Daily'!AN27</f>
        <v>290.00000000002046</v>
      </c>
      <c r="X25" s="35">
        <f>'FS Desroches Daily'!AP27</f>
        <v>180.00000000000682</v>
      </c>
      <c r="Y25" s="35">
        <f>'FS Desroches Daily'!AR27</f>
        <v>40.000000000020464</v>
      </c>
      <c r="Z25" s="35">
        <f>'FS Desroches Daily'!AT27</f>
        <v>40.000000000020464</v>
      </c>
      <c r="AA25" s="35">
        <f>'FS Desroches Daily'!AT27</f>
        <v>40.000000000020464</v>
      </c>
      <c r="AB25" s="35">
        <f>'FS Desroches Daily'!AV27</f>
        <v>39.99999999996362</v>
      </c>
      <c r="AC25" s="35">
        <f>'FS Desroches Daily'!AZ27</f>
        <v>29.999999999972715</v>
      </c>
      <c r="AD25" s="35">
        <f>'FS Desroches Daily'!BB27</f>
        <v>19.99999999998181</v>
      </c>
      <c r="AE25" s="35">
        <f>'FS Desroches Daily'!BD27</f>
        <v>30.000000000001137</v>
      </c>
      <c r="AF25" s="31">
        <f>'FS Desroches Daily'!BF27</f>
        <v>34</v>
      </c>
      <c r="AG25" s="32">
        <f>'FS Desroches Daily'!BH27</f>
        <v>10.000000000019327</v>
      </c>
      <c r="AH25" s="32">
        <f>'FS Desroches Daily'!BJ27</f>
        <v>20.000000000038654</v>
      </c>
      <c r="AI25" s="32">
        <f>'FS Desroches Daily'!BL27</f>
        <v>9.9999999999909051</v>
      </c>
      <c r="AJ25" s="32">
        <f>'FS Desroches Daily'!BN27</f>
        <v>20.000000000010232</v>
      </c>
      <c r="AK25" s="32">
        <f>'FS Desroches Daily'!BP27</f>
        <v>30.000000000029559</v>
      </c>
      <c r="AL25" s="32">
        <f>'FS Desroches Daily'!BR27</f>
        <v>20</v>
      </c>
      <c r="AM25" s="32">
        <f>'FS Desroches Daily'!BT27</f>
        <v>30.000000000001137</v>
      </c>
      <c r="AN25" s="32">
        <f>'FS Desroches Daily'!BV27</f>
        <v>29</v>
      </c>
      <c r="AO25" s="32">
        <f>'FS Desroches Daily'!BX27</f>
        <v>10.000000000019327</v>
      </c>
      <c r="AP25" s="32">
        <f>'FS Desroches Daily'!BZ27</f>
        <v>29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24.299999999995634</v>
      </c>
      <c r="AU25" s="31">
        <f>'FS Desroches Daily'!CJ27</f>
        <v>234</v>
      </c>
      <c r="AV25" s="31">
        <f>'FS Desroches Daily'!CL27</f>
        <v>470.00000000002728</v>
      </c>
      <c r="AW25" s="31">
        <f>'FS Desroches Daily'!CM27</f>
        <v>27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1100.000000000101</v>
      </c>
      <c r="F26" s="32">
        <f>'FS Desroches Daily'!F28</f>
        <v>599.99999999993395</v>
      </c>
      <c r="G26" s="31">
        <f>'FS Desroches Daily'!H28</f>
        <v>1399.9999999998458</v>
      </c>
      <c r="H26" s="32">
        <f>'FS Desroches Daily'!J28</f>
        <v>900.0000000001229</v>
      </c>
      <c r="I26" s="31">
        <f>'FS Desroches Daily'!L28</f>
        <v>1700.0000000000348</v>
      </c>
      <c r="J26" s="32">
        <f>'FS Desroches Daily'!N28</f>
        <v>399.99999999995595</v>
      </c>
      <c r="K26" s="13">
        <f>'FS Desroches Daily'!P28</f>
        <v>0</v>
      </c>
      <c r="L26" s="31">
        <f>'FS Desroches Daily'!R28</f>
        <v>9</v>
      </c>
      <c r="M26" s="31">
        <f>'FS Desroches Daily'!T28</f>
        <v>71.799999999930151</v>
      </c>
      <c r="N26" s="31">
        <f>'FS Desroches Daily'!V28</f>
        <v>53.200000000011642</v>
      </c>
      <c r="O26" s="31">
        <f>'FS Desroches Daily'!X28</f>
        <v>89.999999999974989</v>
      </c>
      <c r="P26" s="31">
        <f>'FS Desroches Daily'!Z28</f>
        <v>399.99999999995595</v>
      </c>
      <c r="Q26" s="31">
        <f>'FS Desroches Daily'!AB28</f>
        <v>99.999999999965894</v>
      </c>
      <c r="R26" s="31">
        <f>'FS Desroches Daily'!AD28</f>
        <v>150.00000000003411</v>
      </c>
      <c r="S26" s="31">
        <f>'FS Desroches Daily'!AF28</f>
        <v>139.99999999998636</v>
      </c>
      <c r="T26" s="31">
        <f>'FS Desroches Daily'!AH28</f>
        <v>1.2000000000000455</v>
      </c>
      <c r="U26" s="35">
        <f>'FS Desroches Daily'!AJ28</f>
        <v>240.00000000000909</v>
      </c>
      <c r="V26" s="35">
        <f>'FS Desroches Daily'!AL28</f>
        <v>150.00000000000568</v>
      </c>
      <c r="W26" s="35">
        <f>'FS Desroches Daily'!AN28</f>
        <v>129.99999999999545</v>
      </c>
      <c r="X26" s="35">
        <f>'FS Desroches Daily'!AP28</f>
        <v>140.00000000001478</v>
      </c>
      <c r="Y26" s="35">
        <f>'FS Desroches Daily'!AR28</f>
        <v>30.000000000001137</v>
      </c>
      <c r="Z26" s="35">
        <f>'FS Desroches Daily'!AT28</f>
        <v>39.99999999996362</v>
      </c>
      <c r="AA26" s="35">
        <f>'FS Desroches Daily'!AT28</f>
        <v>39.99999999996362</v>
      </c>
      <c r="AB26" s="35">
        <f>'FS Desroches Daily'!AV28</f>
        <v>30.000000000029559</v>
      </c>
      <c r="AC26" s="35">
        <f>'FS Desroches Daily'!AZ28</f>
        <v>20.000000000038654</v>
      </c>
      <c r="AD26" s="35">
        <f>'FS Desroches Daily'!BB28</f>
        <v>19.99999999998181</v>
      </c>
      <c r="AE26" s="35">
        <f>'FS Desroches Daily'!BD28</f>
        <v>20.000000000010232</v>
      </c>
      <c r="AF26" s="31">
        <f>'FS Desroches Daily'!BF28</f>
        <v>21</v>
      </c>
      <c r="AG26" s="32">
        <f>'FS Desroches Daily'!BH28</f>
        <v>0</v>
      </c>
      <c r="AH26" s="32">
        <f>'FS Desroches Daily'!BJ28</f>
        <v>9.9999999999909051</v>
      </c>
      <c r="AI26" s="32">
        <f>'FS Desroches Daily'!BL28</f>
        <v>9.9999999999909051</v>
      </c>
      <c r="AJ26" s="32">
        <f>'FS Desroches Daily'!BN28</f>
        <v>19.99999999998181</v>
      </c>
      <c r="AK26" s="32">
        <f>'FS Desroches Daily'!BP28</f>
        <v>19.99999999998181</v>
      </c>
      <c r="AL26" s="32">
        <f>'FS Desroches Daily'!BR28</f>
        <v>17</v>
      </c>
      <c r="AM26" s="32">
        <f>'FS Desroches Daily'!BT28</f>
        <v>20.000000000010232</v>
      </c>
      <c r="AN26" s="32">
        <f>'FS Desroches Daily'!BV28</f>
        <v>28</v>
      </c>
      <c r="AO26" s="32">
        <f>'FS Desroches Daily'!BX28</f>
        <v>9.9999999999909051</v>
      </c>
      <c r="AP26" s="32">
        <f>'FS Desroches Daily'!BZ28</f>
        <v>26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16.099999999998545</v>
      </c>
      <c r="AU26" s="31">
        <f>'FS Desroches Daily'!CJ28</f>
        <v>195</v>
      </c>
      <c r="AV26" s="31">
        <f>'FS Desroches Daily'!CL28</f>
        <v>439.99999999994088</v>
      </c>
      <c r="AW26" s="31">
        <f>'FS Desroches Daily'!CM28</f>
        <v>44.600000000000136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3.6629999999999998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1099.9999999998788</v>
      </c>
      <c r="F27" s="32">
        <f>'FS Desroches Daily'!F29</f>
        <v>600.00000000037801</v>
      </c>
      <c r="G27" s="31">
        <f>'FS Desroches Daily'!H29</f>
        <v>1900.0000000000127</v>
      </c>
      <c r="H27" s="32">
        <f>'FS Desroches Daily'!J29</f>
        <v>799.99999999991189</v>
      </c>
      <c r="I27" s="31">
        <f>'FS Desroches Daily'!L29</f>
        <v>1700.0000000000348</v>
      </c>
      <c r="J27" s="32">
        <f>'FS Desroches Daily'!N29</f>
        <v>599.99999999993395</v>
      </c>
      <c r="K27" s="13">
        <f>'FS Desroches Daily'!P29</f>
        <v>1</v>
      </c>
      <c r="L27" s="31">
        <f>'FS Desroches Daily'!R29</f>
        <v>10</v>
      </c>
      <c r="M27" s="31">
        <f>'FS Desroches Daily'!T29</f>
        <v>395.20000000006985</v>
      </c>
      <c r="N27" s="31">
        <f>'FS Desroches Daily'!V29</f>
        <v>187.09999999997672</v>
      </c>
      <c r="O27" s="31">
        <f>'FS Desroches Daily'!X29</f>
        <v>110.00000000001364</v>
      </c>
      <c r="P27" s="31">
        <f>'FS Desroches Daily'!Z29</f>
        <v>500.00000000016701</v>
      </c>
      <c r="Q27" s="31">
        <f>'FS Desroches Daily'!AB29</f>
        <v>90.000000000031832</v>
      </c>
      <c r="R27" s="31">
        <f>'FS Desroches Daily'!AD29</f>
        <v>169.99999999995907</v>
      </c>
      <c r="S27" s="31">
        <f>'FS Desroches Daily'!AF29</f>
        <v>189.99999999999773</v>
      </c>
      <c r="T27" s="31">
        <f>'FS Desroches Daily'!AH29</f>
        <v>1.5</v>
      </c>
      <c r="U27" s="35">
        <f>'FS Desroches Daily'!AJ29</f>
        <v>250</v>
      </c>
      <c r="V27" s="35">
        <f>'FS Desroches Daily'!AL29</f>
        <v>170.00000000001592</v>
      </c>
      <c r="W27" s="35">
        <f>'FS Desroches Daily'!AN29</f>
        <v>129.99999999999545</v>
      </c>
      <c r="X27" s="35">
        <f>'FS Desroches Daily'!AP29</f>
        <v>129.99999999999545</v>
      </c>
      <c r="Y27" s="35">
        <f>'FS Desroches Daily'!AR29</f>
        <v>30.000000000001137</v>
      </c>
      <c r="Z27" s="35">
        <f>'FS Desroches Daily'!AT29</f>
        <v>40.000000000020464</v>
      </c>
      <c r="AA27" s="35">
        <f>'FS Desroches Daily'!AT29</f>
        <v>40.000000000020464</v>
      </c>
      <c r="AB27" s="35">
        <f>'FS Desroches Daily'!AV29</f>
        <v>29.999999999972715</v>
      </c>
      <c r="AC27" s="35">
        <f>'FS Desroches Daily'!AZ29</f>
        <v>29.999999999972715</v>
      </c>
      <c r="AD27" s="35">
        <f>'FS Desroches Daily'!BB29</f>
        <v>30.000000000029559</v>
      </c>
      <c r="AE27" s="35">
        <f>'FS Desroches Daily'!BD29</f>
        <v>30.000000000001137</v>
      </c>
      <c r="AF27" s="31">
        <f>'FS Desroches Daily'!BF29</f>
        <v>29</v>
      </c>
      <c r="AG27" s="32">
        <f>'FS Desroches Daily'!BH29</f>
        <v>0</v>
      </c>
      <c r="AH27" s="32">
        <f>'FS Desroches Daily'!BJ29</f>
        <v>19.99999999998181</v>
      </c>
      <c r="AI27" s="32">
        <f>'FS Desroches Daily'!BL29</f>
        <v>10.000000000019327</v>
      </c>
      <c r="AJ27" s="32">
        <f>'FS Desroches Daily'!BN29</f>
        <v>20.000000000010232</v>
      </c>
      <c r="AK27" s="32">
        <f>'FS Desroches Daily'!BP29</f>
        <v>19.99999999998181</v>
      </c>
      <c r="AL27" s="32">
        <f>'FS Desroches Daily'!BR29</f>
        <v>15</v>
      </c>
      <c r="AM27" s="32">
        <f>'FS Desroches Daily'!BT29</f>
        <v>30.000000000001137</v>
      </c>
      <c r="AN27" s="32">
        <f>'FS Desroches Daily'!BV29</f>
        <v>23</v>
      </c>
      <c r="AO27" s="32">
        <f>'FS Desroches Daily'!BX29</f>
        <v>20.000000000010232</v>
      </c>
      <c r="AP27" s="32">
        <f>'FS Desroches Daily'!BZ29</f>
        <v>27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15.30000000000291</v>
      </c>
      <c r="AU27" s="31">
        <f>'FS Desroches Daily'!CJ29</f>
        <v>210</v>
      </c>
      <c r="AV27" s="31">
        <f>'FS Desroches Daily'!CL29</f>
        <v>520.0000000000955</v>
      </c>
      <c r="AW27" s="31">
        <f>'FS Desroches Daily'!CM29</f>
        <v>29.599999999999909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3.6629999999999998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1100.000000000101</v>
      </c>
      <c r="F28" s="32">
        <f>'FS Desroches Daily'!F30</f>
        <v>699.99999999970089</v>
      </c>
      <c r="G28" s="31">
        <f>'FS Desroches Daily'!H30</f>
        <v>1800.0000000002458</v>
      </c>
      <c r="H28" s="32">
        <f>'FS Desroches Daily'!J30</f>
        <v>799.99999999991189</v>
      </c>
      <c r="I28" s="31">
        <f>'FS Desroches Daily'!L30</f>
        <v>1799.9999999998017</v>
      </c>
      <c r="J28" s="32">
        <f>'FS Desroches Daily'!N30</f>
        <v>499.99999999994492</v>
      </c>
      <c r="K28" s="13">
        <f>'FS Desroches Daily'!P30</f>
        <v>3</v>
      </c>
      <c r="L28" s="31">
        <f>'FS Desroches Daily'!R30</f>
        <v>9</v>
      </c>
      <c r="M28" s="31">
        <f>'FS Desroches Daily'!T30</f>
        <v>330.79999999993015</v>
      </c>
      <c r="N28" s="31">
        <f>'FS Desroches Daily'!V30</f>
        <v>192</v>
      </c>
      <c r="O28" s="31">
        <f>'FS Desroches Daily'!X30</f>
        <v>90.000000000031832</v>
      </c>
      <c r="P28" s="31">
        <f>'FS Desroches Daily'!Z30</f>
        <v>399.99999999995595</v>
      </c>
      <c r="Q28" s="31">
        <f>'FS Desroches Daily'!AB30</f>
        <v>120.00000000000455</v>
      </c>
      <c r="R28" s="31">
        <f>'FS Desroches Daily'!AD30</f>
        <v>150.00000000003411</v>
      </c>
      <c r="S28" s="31">
        <f>'FS Desroches Daily'!AF30</f>
        <v>149.99999999997726</v>
      </c>
      <c r="T28" s="31">
        <f>'FS Desroches Daily'!AH30</f>
        <v>1.3999999999998636</v>
      </c>
      <c r="U28" s="35">
        <f>'FS Desroches Daily'!AJ30</f>
        <v>240.00000000000909</v>
      </c>
      <c r="V28" s="35">
        <f>'FS Desroches Daily'!AL30</f>
        <v>169.99999999998749</v>
      </c>
      <c r="W28" s="35">
        <f>'FS Desroches Daily'!AN30</f>
        <v>129.99999999999545</v>
      </c>
      <c r="X28" s="35">
        <f>'FS Desroches Daily'!AP30</f>
        <v>139.99999999998636</v>
      </c>
      <c r="Y28" s="35">
        <f>'FS Desroches Daily'!AR30</f>
        <v>30.000000000001137</v>
      </c>
      <c r="Z28" s="35">
        <f>'FS Desroches Daily'!AT30</f>
        <v>50.000000000011369</v>
      </c>
      <c r="AA28" s="35">
        <f>'FS Desroches Daily'!AT30</f>
        <v>50.000000000011369</v>
      </c>
      <c r="AB28" s="35">
        <f>'FS Desroches Daily'!AV30</f>
        <v>30.000000000029559</v>
      </c>
      <c r="AC28" s="35">
        <f>'FS Desroches Daily'!AZ30</f>
        <v>30.000000000029559</v>
      </c>
      <c r="AD28" s="35">
        <f>'FS Desroches Daily'!BB30</f>
        <v>29.999999999972715</v>
      </c>
      <c r="AE28" s="35">
        <f>'FS Desroches Daily'!BD30</f>
        <v>19.99999999998181</v>
      </c>
      <c r="AF28" s="31">
        <f>'FS Desroches Daily'!BF30</f>
        <v>38</v>
      </c>
      <c r="AG28" s="32">
        <f>'FS Desroches Daily'!BH30</f>
        <v>9.9999999999909051</v>
      </c>
      <c r="AH28" s="32">
        <f>'FS Desroches Daily'!BJ30</f>
        <v>9.9999999999909051</v>
      </c>
      <c r="AI28" s="32">
        <f>'FS Desroches Daily'!BL30</f>
        <v>0</v>
      </c>
      <c r="AJ28" s="32">
        <f>'FS Desroches Daily'!BN30</f>
        <v>20.000000000010232</v>
      </c>
      <c r="AK28" s="32">
        <f>'FS Desroches Daily'!BP30</f>
        <v>9.9999999999909051</v>
      </c>
      <c r="AL28" s="32">
        <f>'FS Desroches Daily'!BR30</f>
        <v>8</v>
      </c>
      <c r="AM28" s="32">
        <f>'FS Desroches Daily'!BT30</f>
        <v>9.9999999999909051</v>
      </c>
      <c r="AN28" s="32">
        <f>'FS Desroches Daily'!BV30</f>
        <v>15</v>
      </c>
      <c r="AO28" s="32">
        <f>'FS Desroches Daily'!BX30</f>
        <v>9.9999999999909051</v>
      </c>
      <c r="AP28" s="32">
        <f>'FS Desroches Daily'!BZ30</f>
        <v>17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17.599999999998545</v>
      </c>
      <c r="AU28" s="31">
        <f>'FS Desroches Daily'!CJ30</f>
        <v>208</v>
      </c>
      <c r="AV28" s="31">
        <f>'FS Desroches Daily'!CL30</f>
        <v>539.99999999996362</v>
      </c>
      <c r="AW28" s="31">
        <f>'FS Desroches Daily'!CM30</f>
        <v>32.299999999999955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1400.0000000000678</v>
      </c>
      <c r="F29" s="32">
        <f>'FS Desroches Daily'!F31</f>
        <v>799.99999999991189</v>
      </c>
      <c r="G29" s="31">
        <f>'FS Desroches Daily'!H31</f>
        <v>1799.9999999998017</v>
      </c>
      <c r="H29" s="32">
        <f>'FS Desroches Daily'!J31</f>
        <v>800.00000000013392</v>
      </c>
      <c r="I29" s="31">
        <f>'FS Desroches Daily'!L31</f>
        <v>1900.0000000000127</v>
      </c>
      <c r="J29" s="32">
        <f>'FS Desroches Daily'!N31</f>
        <v>700.00000000014495</v>
      </c>
      <c r="K29" s="13">
        <f>'FS Desroches Daily'!P31</f>
        <v>1</v>
      </c>
      <c r="L29" s="31">
        <f>'FS Desroches Daily'!R31</f>
        <v>6</v>
      </c>
      <c r="M29" s="31">
        <f>'FS Desroches Daily'!T31</f>
        <v>240.60000000009313</v>
      </c>
      <c r="N29" s="31">
        <f>'FS Desroches Daily'!V31</f>
        <v>131.30000000004657</v>
      </c>
      <c r="O29" s="31">
        <f>'FS Desroches Daily'!X31</f>
        <v>109.9999999999568</v>
      </c>
      <c r="P29" s="31">
        <f>'FS Desroches Daily'!Z31</f>
        <v>599.99999999993395</v>
      </c>
      <c r="Q29" s="31">
        <f>'FS Desroches Daily'!AB31</f>
        <v>189.99999999999773</v>
      </c>
      <c r="R29" s="31">
        <f>'FS Desroches Daily'!AD31</f>
        <v>180.00000000000682</v>
      </c>
      <c r="S29" s="31">
        <f>'FS Desroches Daily'!AF31</f>
        <v>160.00000000002501</v>
      </c>
      <c r="T29" s="31">
        <f>'FS Desroches Daily'!AH31</f>
        <v>1.2999999999999545</v>
      </c>
      <c r="U29" s="35">
        <f>'FS Desroches Daily'!AJ31</f>
        <v>269.99999999998181</v>
      </c>
      <c r="V29" s="35">
        <f>'FS Desroches Daily'!AL31</f>
        <v>189.99999999999773</v>
      </c>
      <c r="W29" s="35">
        <f>'FS Desroches Daily'!AN31</f>
        <v>260.00000000001933</v>
      </c>
      <c r="X29" s="35">
        <f>'FS Desroches Daily'!AP31</f>
        <v>189.99999999999773</v>
      </c>
      <c r="Y29" s="35">
        <f>'FS Desroches Daily'!AR31</f>
        <v>39.999999999992042</v>
      </c>
      <c r="Z29" s="35">
        <f>'FS Desroches Daily'!AT31</f>
        <v>39.99999999996362</v>
      </c>
      <c r="AA29" s="35">
        <f>'FS Desroches Daily'!AT31</f>
        <v>39.99999999996362</v>
      </c>
      <c r="AB29" s="35">
        <f>'FS Desroches Daily'!AV31</f>
        <v>39.99999999996362</v>
      </c>
      <c r="AC29" s="35">
        <f>'FS Desroches Daily'!AZ31</f>
        <v>39.99999999996362</v>
      </c>
      <c r="AD29" s="35">
        <f>'FS Desroches Daily'!BB31</f>
        <v>40.000000000020464</v>
      </c>
      <c r="AE29" s="35">
        <f>'FS Desroches Daily'!BD31</f>
        <v>30.000000000001137</v>
      </c>
      <c r="AF29" s="31">
        <f>'FS Desroches Daily'!BF31</f>
        <v>20</v>
      </c>
      <c r="AG29" s="32">
        <f>'FS Desroches Daily'!BH31</f>
        <v>0</v>
      </c>
      <c r="AH29" s="32">
        <f>'FS Desroches Daily'!BJ31</f>
        <v>9.9999999999909051</v>
      </c>
      <c r="AI29" s="32">
        <f>'FS Desroches Daily'!BL31</f>
        <v>0</v>
      </c>
      <c r="AJ29" s="32">
        <f>'FS Desroches Daily'!BN31</f>
        <v>9.9999999999909051</v>
      </c>
      <c r="AK29" s="32">
        <f>'FS Desroches Daily'!BP31</f>
        <v>20.000000000038654</v>
      </c>
      <c r="AL29" s="32">
        <f>'FS Desroches Daily'!BR31</f>
        <v>3</v>
      </c>
      <c r="AM29" s="32">
        <f>'FS Desroches Daily'!BT31</f>
        <v>9.9999999999909051</v>
      </c>
      <c r="AN29" s="32">
        <f>'FS Desroches Daily'!BV31</f>
        <v>10</v>
      </c>
      <c r="AO29" s="32">
        <f>'FS Desroches Daily'!BX31</f>
        <v>20.000000000010232</v>
      </c>
      <c r="AP29" s="32">
        <f>'FS Desroches Daily'!BZ31</f>
        <v>18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31.200000000004366</v>
      </c>
      <c r="AU29" s="31">
        <f>'FS Desroches Daily'!CJ31</f>
        <v>231</v>
      </c>
      <c r="AV29" s="31">
        <f>'FS Desroches Daily'!CL31</f>
        <v>509.99999999999091</v>
      </c>
      <c r="AW29" s="31">
        <f>'FS Desroches Daily'!CM31</f>
        <v>27.400000000000091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5.4944999999999995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1399.9999999998458</v>
      </c>
      <c r="F30" s="32">
        <f>'FS Desroches Daily'!F32</f>
        <v>600.00000000037801</v>
      </c>
      <c r="G30" s="31">
        <f>'FS Desroches Daily'!H32</f>
        <v>1199.9999999998679</v>
      </c>
      <c r="H30" s="32">
        <f>'FS Desroches Daily'!J32</f>
        <v>599.99999999993395</v>
      </c>
      <c r="I30" s="31">
        <f>'FS Desroches Daily'!L32</f>
        <v>1599.9999999998238</v>
      </c>
      <c r="J30" s="32">
        <f>'FS Desroches Daily'!N32</f>
        <v>499.99999999994492</v>
      </c>
      <c r="K30" s="13">
        <f>'FS Desroches Daily'!P32</f>
        <v>1</v>
      </c>
      <c r="L30" s="31">
        <f>'FS Desroches Daily'!R32</f>
        <v>2</v>
      </c>
      <c r="M30" s="31">
        <f>'FS Desroches Daily'!T32</f>
        <v>114.59999999997672</v>
      </c>
      <c r="N30" s="31">
        <f>'FS Desroches Daily'!V32</f>
        <v>84.299999999988358</v>
      </c>
      <c r="O30" s="31">
        <f>'FS Desroches Daily'!X32</f>
        <v>90.000000000031832</v>
      </c>
      <c r="P30" s="31">
        <f>'FS Desroches Daily'!Z32</f>
        <v>399.99999999995595</v>
      </c>
      <c r="Q30" s="31">
        <f>'FS Desroches Daily'!AB32</f>
        <v>149.99999999997726</v>
      </c>
      <c r="R30" s="31">
        <f>'FS Desroches Daily'!AD32</f>
        <v>129.99999999999545</v>
      </c>
      <c r="S30" s="31">
        <f>'FS Desroches Daily'!AF32</f>
        <v>129.99999999999545</v>
      </c>
      <c r="T30" s="31">
        <f>'FS Desroches Daily'!AH32</f>
        <v>1.2000000000000455</v>
      </c>
      <c r="U30" s="35">
        <f>'FS Desroches Daily'!AJ32</f>
        <v>230.00000000001819</v>
      </c>
      <c r="V30" s="35">
        <f>'FS Desroches Daily'!AL32</f>
        <v>170.00000000001592</v>
      </c>
      <c r="W30" s="35">
        <f>'FS Desroches Daily'!AN32</f>
        <v>339.99999999997499</v>
      </c>
      <c r="X30" s="35">
        <f>'FS Desroches Daily'!AP32</f>
        <v>290.00000000002046</v>
      </c>
      <c r="Y30" s="35">
        <f>'FS Desroches Daily'!AR32</f>
        <v>30.000000000001137</v>
      </c>
      <c r="Z30" s="35">
        <f>'FS Desroches Daily'!AT32</f>
        <v>40.000000000020464</v>
      </c>
      <c r="AA30" s="35">
        <f>'FS Desroches Daily'!AT32</f>
        <v>40.000000000020464</v>
      </c>
      <c r="AB30" s="35">
        <f>'FS Desroches Daily'!AV32</f>
        <v>40.000000000020464</v>
      </c>
      <c r="AC30" s="35">
        <f>'FS Desroches Daily'!AZ32</f>
        <v>30.000000000029559</v>
      </c>
      <c r="AD30" s="35">
        <f>'FS Desroches Daily'!BB32</f>
        <v>19.99999999998181</v>
      </c>
      <c r="AE30" s="35">
        <f>'FS Desroches Daily'!BD32</f>
        <v>30.000000000001137</v>
      </c>
      <c r="AF30" s="31">
        <f>'FS Desroches Daily'!BF32</f>
        <v>26</v>
      </c>
      <c r="AG30" s="32">
        <f>'FS Desroches Daily'!BH32</f>
        <v>0</v>
      </c>
      <c r="AH30" s="32">
        <f>'FS Desroches Daily'!BJ32</f>
        <v>20.000000000038654</v>
      </c>
      <c r="AI30" s="32">
        <f>'FS Desroches Daily'!BL32</f>
        <v>0</v>
      </c>
      <c r="AJ30" s="32">
        <f>'FS Desroches Daily'!BN32</f>
        <v>20.000000000010232</v>
      </c>
      <c r="AK30" s="32">
        <f>'FS Desroches Daily'!BP32</f>
        <v>9.9999999999909051</v>
      </c>
      <c r="AL30" s="32">
        <f>'FS Desroches Daily'!BR32</f>
        <v>3</v>
      </c>
      <c r="AM30" s="32">
        <f>'FS Desroches Daily'!BT32</f>
        <v>10.000000000019327</v>
      </c>
      <c r="AN30" s="32">
        <f>'FS Desroches Daily'!BV32</f>
        <v>11</v>
      </c>
      <c r="AO30" s="32">
        <f>'FS Desroches Daily'!BX32</f>
        <v>9.9999999999909051</v>
      </c>
      <c r="AP30" s="32">
        <f>'FS Desroches Daily'!BZ32</f>
        <v>20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17.899999999994179</v>
      </c>
      <c r="AU30" s="31">
        <f>'FS Desroches Daily'!CJ32</f>
        <v>192</v>
      </c>
      <c r="AV30" s="31">
        <f>'FS Desroches Daily'!CL32</f>
        <v>309.99999999994543</v>
      </c>
      <c r="AW30" s="31">
        <f>'FS Desroches Daily'!CM32</f>
        <v>15.700000000000045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3.6629999999999998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1600.0000000000459</v>
      </c>
      <c r="F31" s="32">
        <f>'FS Desroches Daily'!F33</f>
        <v>699.99999999970089</v>
      </c>
      <c r="G31" s="31">
        <f>'FS Desroches Daily'!H33</f>
        <v>1800.0000000002458</v>
      </c>
      <c r="H31" s="32">
        <f>'FS Desroches Daily'!J33</f>
        <v>799.99999999991189</v>
      </c>
      <c r="I31" s="31">
        <f>'FS Desroches Daily'!L33</f>
        <v>1800.0000000002458</v>
      </c>
      <c r="J31" s="32">
        <f>'FS Desroches Daily'!N33</f>
        <v>599.99999999993395</v>
      </c>
      <c r="K31" s="13">
        <f>'FS Desroches Daily'!P33</f>
        <v>1</v>
      </c>
      <c r="L31" s="31">
        <f>'FS Desroches Daily'!R33</f>
        <v>2</v>
      </c>
      <c r="M31" s="31">
        <f>'FS Desroches Daily'!T33</f>
        <v>185.79999999993015</v>
      </c>
      <c r="N31" s="31">
        <f>'FS Desroches Daily'!V33</f>
        <v>105.39999999996508</v>
      </c>
      <c r="O31" s="31">
        <f>'FS Desroches Daily'!X33</f>
        <v>99.999999999965894</v>
      </c>
      <c r="P31" s="31">
        <f>'FS Desroches Daily'!Z33</f>
        <v>500.00000000016701</v>
      </c>
      <c r="Q31" s="31">
        <f>'FS Desroches Daily'!AB33</f>
        <v>129.99999999999545</v>
      </c>
      <c r="R31" s="31">
        <f>'FS Desroches Daily'!AD33</f>
        <v>159.99999999996817</v>
      </c>
      <c r="S31" s="31">
        <f>'FS Desroches Daily'!AF33</f>
        <v>240.00000000000909</v>
      </c>
      <c r="T31" s="31">
        <f>'FS Desroches Daily'!AH33</f>
        <v>1.2999999999999545</v>
      </c>
      <c r="U31" s="35">
        <f>'FS Desroches Daily'!AJ33</f>
        <v>259.99999999999091</v>
      </c>
      <c r="V31" s="35">
        <f>'FS Desroches Daily'!AL33</f>
        <v>199.99999999998863</v>
      </c>
      <c r="W31" s="35">
        <f>'FS Desroches Daily'!AN33</f>
        <v>340.00000000000341</v>
      </c>
      <c r="X31" s="35">
        <f>'FS Desroches Daily'!AP33</f>
        <v>259.99999999999091</v>
      </c>
      <c r="Y31" s="35">
        <f>'FS Desroches Daily'!AR33</f>
        <v>30.000000000001137</v>
      </c>
      <c r="Z31" s="35">
        <f>'FS Desroches Daily'!AT33</f>
        <v>30.000000000029559</v>
      </c>
      <c r="AA31" s="35">
        <f>'FS Desroches Daily'!AT33</f>
        <v>30.000000000029559</v>
      </c>
      <c r="AB31" s="35">
        <f>'FS Desroches Daily'!AV33</f>
        <v>29.999999999972715</v>
      </c>
      <c r="AC31" s="35">
        <f>'FS Desroches Daily'!AZ33</f>
        <v>29.999999999972715</v>
      </c>
      <c r="AD31" s="35">
        <f>'FS Desroches Daily'!BB33</f>
        <v>30.000000000029559</v>
      </c>
      <c r="AE31" s="35">
        <f>'FS Desroches Daily'!BD33</f>
        <v>30.000000000001137</v>
      </c>
      <c r="AF31" s="31">
        <f>'FS Desroches Daily'!BF33</f>
        <v>29</v>
      </c>
      <c r="AG31" s="32">
        <f>'FS Desroches Daily'!BH33</f>
        <v>9.9999999999909051</v>
      </c>
      <c r="AH31" s="32">
        <f>'FS Desroches Daily'!BJ33</f>
        <v>9.9999999999909051</v>
      </c>
      <c r="AI31" s="32">
        <f>'FS Desroches Daily'!BL33</f>
        <v>0</v>
      </c>
      <c r="AJ31" s="32">
        <f>'FS Desroches Daily'!BN33</f>
        <v>9.9999999999909051</v>
      </c>
      <c r="AK31" s="32">
        <f>'FS Desroches Daily'!BP33</f>
        <v>19.99999999998181</v>
      </c>
      <c r="AL31" s="32">
        <f>'FS Desroches Daily'!BR33</f>
        <v>3</v>
      </c>
      <c r="AM31" s="32">
        <f>'FS Desroches Daily'!BT33</f>
        <v>9.9999999999909051</v>
      </c>
      <c r="AN31" s="32">
        <f>'FS Desroches Daily'!BV33</f>
        <v>9</v>
      </c>
      <c r="AO31" s="32">
        <f>'FS Desroches Daily'!BX33</f>
        <v>9.9999999999909051</v>
      </c>
      <c r="AP31" s="32">
        <f>'FS Desroches Daily'!BZ33</f>
        <v>17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0.20000000000436557</v>
      </c>
      <c r="AU31" s="31">
        <f>'FS Desroches Daily'!CJ33</f>
        <v>208</v>
      </c>
      <c r="AV31" s="31">
        <f>'FS Desroches Daily'!CL33</f>
        <v>640.00000000010004</v>
      </c>
      <c r="AW31" s="31">
        <f>'FS Desroches Daily'!CM33</f>
        <v>25.799999999999955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1.8314999999999999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 t="str">
        <f>'FS Desroches Daily'!D34</f>
        <v>0</v>
      </c>
      <c r="F32" s="32" t="str">
        <f>'FS Desroches Daily'!F34</f>
        <v>0</v>
      </c>
      <c r="G32" s="31" t="str">
        <f>'FS Desroches Daily'!H34</f>
        <v>0</v>
      </c>
      <c r="H32" s="32" t="str">
        <f>'FS Desroches Daily'!J34</f>
        <v>0</v>
      </c>
      <c r="I32" s="31" t="str">
        <f>'FS Desroches Daily'!L34</f>
        <v>0</v>
      </c>
      <c r="J32" s="32" t="str">
        <f>'FS Desroches Daily'!N34</f>
        <v/>
      </c>
      <c r="K32" s="13" t="str">
        <f>'FS Desroches Daily'!P34</f>
        <v/>
      </c>
      <c r="L32" s="31" t="str">
        <f>'FS Desroches Daily'!R34</f>
        <v/>
      </c>
      <c r="M32" s="31" t="str">
        <f>'FS Desroches Daily'!T34</f>
        <v/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 t="str">
        <f>'FS Desroches Daily'!BF34</f>
        <v/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 t="str">
        <f>'FS Desroches Daily'!CF34</f>
        <v/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36599.999999999978</v>
      </c>
      <c r="F33" s="17">
        <f t="shared" ref="F33:BC33" si="1">SUM(F2:F32)</f>
        <v>19200.000000000113</v>
      </c>
      <c r="G33" s="17">
        <f t="shared" si="1"/>
        <v>46899.999999999964</v>
      </c>
      <c r="H33" s="17">
        <f t="shared" si="1"/>
        <v>25599.999999999858</v>
      </c>
      <c r="I33" s="17">
        <f t="shared" si="1"/>
        <v>51000.000000000189</v>
      </c>
      <c r="J33" s="17">
        <f t="shared" si="1"/>
        <v>16399.999999999978</v>
      </c>
      <c r="K33" s="17">
        <f t="shared" si="1"/>
        <v>21</v>
      </c>
      <c r="L33" s="17">
        <f t="shared" si="1"/>
        <v>151</v>
      </c>
      <c r="M33" s="17">
        <f t="shared" si="1"/>
        <v>6068</v>
      </c>
      <c r="N33" s="17">
        <f t="shared" si="1"/>
        <v>3364.0999999999767</v>
      </c>
      <c r="O33" s="17">
        <f t="shared" si="1"/>
        <v>2959.9999999999795</v>
      </c>
      <c r="P33" s="17">
        <f t="shared" si="1"/>
        <v>13300.000000000096</v>
      </c>
      <c r="Q33" s="17">
        <f t="shared" si="1"/>
        <v>2879.9999999999955</v>
      </c>
      <c r="R33" s="17">
        <f t="shared" si="1"/>
        <v>4449.9999999999891</v>
      </c>
      <c r="S33" s="17">
        <f t="shared" si="1"/>
        <v>5900.0000000000355</v>
      </c>
      <c r="T33" s="17">
        <f t="shared" si="1"/>
        <v>35.699999999999818</v>
      </c>
      <c r="U33" s="35">
        <f t="shared" si="1"/>
        <v>7180.0000000000073</v>
      </c>
      <c r="V33" s="35">
        <f t="shared" si="1"/>
        <v>4719.9999999999982</v>
      </c>
      <c r="W33" s="35">
        <f t="shared" si="1"/>
        <v>5907.1999999999989</v>
      </c>
      <c r="X33" s="35">
        <f t="shared" si="1"/>
        <v>5050.0000000000109</v>
      </c>
      <c r="Y33" s="35">
        <f t="shared" si="1"/>
        <v>1110.0000000000136</v>
      </c>
      <c r="Z33" s="35">
        <f t="shared" si="1"/>
        <v>1348.1899999999841</v>
      </c>
      <c r="AA33" s="35">
        <f t="shared" si="1"/>
        <v>1348.1899999999841</v>
      </c>
      <c r="AB33" s="35">
        <f t="shared" si="1"/>
        <v>969.99999999997044</v>
      </c>
      <c r="AC33" s="35">
        <f t="shared" si="1"/>
        <v>879.99999999999545</v>
      </c>
      <c r="AD33" s="35">
        <f t="shared" si="1"/>
        <v>819.99999999999318</v>
      </c>
      <c r="AE33" s="35">
        <f t="shared" si="1"/>
        <v>709.99999999997954</v>
      </c>
      <c r="AF33" s="17">
        <f t="shared" si="1"/>
        <v>825</v>
      </c>
      <c r="AG33" s="32">
        <f t="shared" si="1"/>
        <v>299.99999999998295</v>
      </c>
      <c r="AH33" s="32">
        <f t="shared" si="1"/>
        <v>399.99999999997726</v>
      </c>
      <c r="AI33" s="32">
        <f t="shared" si="1"/>
        <v>140.00000000001478</v>
      </c>
      <c r="AJ33" s="32">
        <f t="shared" si="1"/>
        <v>770.00000000001023</v>
      </c>
      <c r="AK33" s="32">
        <f t="shared" si="1"/>
        <v>649.99999999997726</v>
      </c>
      <c r="AL33" s="32">
        <f t="shared" si="1"/>
        <v>332</v>
      </c>
      <c r="AM33" s="32">
        <f t="shared" si="1"/>
        <v>500</v>
      </c>
      <c r="AN33" s="32">
        <f t="shared" si="1"/>
        <v>965</v>
      </c>
      <c r="AO33" s="32">
        <f t="shared" si="1"/>
        <v>549.99999999998295</v>
      </c>
      <c r="AP33" s="32">
        <f t="shared" si="1"/>
        <v>687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565.30000000000291</v>
      </c>
      <c r="AU33" s="17">
        <f t="shared" si="1"/>
        <v>6236</v>
      </c>
      <c r="AV33" s="17">
        <f t="shared" si="1"/>
        <v>12580.00000000004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142.85699999999997</v>
      </c>
      <c r="BC33" s="17">
        <f t="shared" si="1"/>
        <v>0</v>
      </c>
    </row>
    <row r="35" spans="5:55" x14ac:dyDescent="0.25">
      <c r="E35" s="38">
        <f>E33/E37</f>
        <v>0.26943859597461689</v>
      </c>
      <c r="G35" s="29">
        <f>G33-M36</f>
        <v>37467.899999999987</v>
      </c>
      <c r="AE35" s="35">
        <f>SUM(U33:AE33)</f>
        <v>30043.579999999936</v>
      </c>
      <c r="AG35" s="32">
        <f>SUM(AG33:AP33)</f>
        <v>5293.9999999999454</v>
      </c>
    </row>
    <row r="36" spans="5:55" x14ac:dyDescent="0.25">
      <c r="G36" s="29">
        <f>G35-633*14</f>
        <v>28605.899999999987</v>
      </c>
      <c r="M36" s="29">
        <f>M33+N33</f>
        <v>9432.0999999999767</v>
      </c>
    </row>
    <row r="37" spans="5:55" x14ac:dyDescent="0.25">
      <c r="E37" s="17">
        <f>E33+F33+G33+H33+J33-633*14</f>
        <v>135837.99999999988</v>
      </c>
      <c r="G37" s="37">
        <f>M36/E37</f>
        <v>6.9436387461534951E-2</v>
      </c>
      <c r="M37" s="35">
        <f>AE35</f>
        <v>30043.579999999936</v>
      </c>
    </row>
    <row r="38" spans="5:55" x14ac:dyDescent="0.25">
      <c r="L38" s="27">
        <f>M38/E37</f>
        <v>3.8972894182776177E-2</v>
      </c>
      <c r="M38" s="29">
        <f>AG35</f>
        <v>5293.9999999999454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A1" zoomScale="80" zoomScaleNormal="80" workbookViewId="0">
      <pane ySplit="1" topLeftCell="A23" activePane="bottomLeft" state="frozen"/>
      <selection pane="bottomLeft" activeCell="BG37" sqref="BG3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>
        <v>1.8539000000000001</v>
      </c>
      <c r="D13" s="64">
        <f t="shared" si="0"/>
        <v>1200.0000000000898</v>
      </c>
      <c r="E13" s="58">
        <v>2.7843</v>
      </c>
      <c r="F13" s="64">
        <f t="shared" si="1"/>
        <v>599.99999999993395</v>
      </c>
      <c r="G13" s="58">
        <v>2.7536</v>
      </c>
      <c r="H13" s="64">
        <f t="shared" si="2"/>
        <v>1500.0000000000568</v>
      </c>
      <c r="I13" s="58">
        <v>1.3364</v>
      </c>
      <c r="J13" s="64">
        <f t="shared" si="3"/>
        <v>800.00000000013392</v>
      </c>
      <c r="K13" s="58">
        <v>2.12</v>
      </c>
      <c r="L13" s="64">
        <f t="shared" si="4"/>
        <v>1700.0000000000348</v>
      </c>
      <c r="M13" s="58">
        <v>1.2598</v>
      </c>
      <c r="N13" s="64">
        <f t="shared" si="5"/>
        <v>599.99999999993395</v>
      </c>
      <c r="O13" s="58">
        <v>12668</v>
      </c>
      <c r="P13" s="67">
        <f t="shared" si="43"/>
        <v>1</v>
      </c>
      <c r="Q13" s="58">
        <v>5849</v>
      </c>
      <c r="R13" s="67">
        <f t="shared" si="6"/>
        <v>6</v>
      </c>
      <c r="S13" s="58">
        <v>858007.2</v>
      </c>
      <c r="T13" s="67">
        <f t="shared" si="7"/>
        <v>99</v>
      </c>
      <c r="U13" s="58">
        <v>350560.6</v>
      </c>
      <c r="V13" s="67">
        <f t="shared" si="8"/>
        <v>56</v>
      </c>
      <c r="W13" s="58">
        <v>343.19</v>
      </c>
      <c r="X13" s="65">
        <f t="shared" si="9"/>
        <v>89.999999999974989</v>
      </c>
      <c r="Y13" s="58">
        <v>2.4407999999999999</v>
      </c>
      <c r="Z13" s="65">
        <f t="shared" si="10"/>
        <v>499.99999999972289</v>
      </c>
      <c r="AA13" s="58">
        <v>335.2</v>
      </c>
      <c r="AB13" s="65">
        <f t="shared" si="11"/>
        <v>99.999999999965894</v>
      </c>
      <c r="AC13" s="58">
        <v>322.73</v>
      </c>
      <c r="AD13" s="65">
        <f t="shared" si="12"/>
        <v>160.00000000002501</v>
      </c>
      <c r="AE13" s="58">
        <v>504.79</v>
      </c>
      <c r="AF13" s="65">
        <f t="shared" si="13"/>
        <v>230.00000000001819</v>
      </c>
      <c r="AG13" s="58">
        <v>1398.9</v>
      </c>
      <c r="AH13" s="67">
        <f t="shared" si="14"/>
        <v>1.3000000000001819</v>
      </c>
      <c r="AI13" s="58">
        <v>477.18</v>
      </c>
      <c r="AJ13" s="65">
        <f t="shared" si="15"/>
        <v>250</v>
      </c>
      <c r="AK13" s="58">
        <v>164.82</v>
      </c>
      <c r="AL13" s="65">
        <f t="shared" si="15"/>
        <v>150.00000000000568</v>
      </c>
      <c r="AM13" s="58">
        <v>161.38</v>
      </c>
      <c r="AN13" s="65">
        <f t="shared" si="15"/>
        <v>139.99999999998636</v>
      </c>
      <c r="AO13" s="58">
        <v>156.69999999999999</v>
      </c>
      <c r="AP13" s="65">
        <f t="shared" si="15"/>
        <v>149.99999999997726</v>
      </c>
      <c r="AQ13" s="58">
        <v>221.91</v>
      </c>
      <c r="AR13" s="65">
        <f t="shared" si="16"/>
        <v>39.999999999992042</v>
      </c>
      <c r="AS13" s="58">
        <v>347.34</v>
      </c>
      <c r="AT13" s="65">
        <f t="shared" si="17"/>
        <v>39.99999999996362</v>
      </c>
      <c r="AU13" s="58">
        <v>267.98</v>
      </c>
      <c r="AV13" s="65">
        <f t="shared" si="18"/>
        <v>20.000000000038654</v>
      </c>
      <c r="AW13" s="58">
        <v>295.44</v>
      </c>
      <c r="AX13" s="65">
        <f t="shared" si="19"/>
        <v>19.99999999998181</v>
      </c>
      <c r="AY13" s="58">
        <v>346.72</v>
      </c>
      <c r="AZ13" s="65">
        <f t="shared" si="20"/>
        <v>40.000000000020464</v>
      </c>
      <c r="BA13" s="58">
        <v>366.49</v>
      </c>
      <c r="BB13" s="65">
        <f t="shared" si="21"/>
        <v>19.99999999998181</v>
      </c>
      <c r="BC13" s="58">
        <v>233.03</v>
      </c>
      <c r="BD13" s="65">
        <f t="shared" si="22"/>
        <v>20.000000000010232</v>
      </c>
      <c r="BE13" s="59">
        <v>31915</v>
      </c>
      <c r="BF13" s="67">
        <f t="shared" si="39"/>
        <v>23</v>
      </c>
      <c r="BG13" s="60">
        <v>226.24</v>
      </c>
      <c r="BH13" s="65">
        <f t="shared" si="23"/>
        <v>10.000000000019327</v>
      </c>
      <c r="BI13" s="60">
        <v>284.27</v>
      </c>
      <c r="BJ13" s="65">
        <f t="shared" si="40"/>
        <v>9.9999999999909051</v>
      </c>
      <c r="BK13" s="60">
        <v>231.54</v>
      </c>
      <c r="BL13" s="65">
        <f t="shared" si="24"/>
        <v>9.9999999999909051</v>
      </c>
      <c r="BM13" s="60">
        <v>215.82</v>
      </c>
      <c r="BN13" s="65">
        <f t="shared" si="25"/>
        <v>39.999999999992042</v>
      </c>
      <c r="BO13" s="60">
        <v>280.83</v>
      </c>
      <c r="BP13" s="65">
        <f t="shared" si="26"/>
        <v>19.99999999998181</v>
      </c>
      <c r="BQ13" s="60">
        <v>40113</v>
      </c>
      <c r="BR13" s="65">
        <f t="shared" si="27"/>
        <v>8</v>
      </c>
      <c r="BS13" s="60">
        <v>194.47</v>
      </c>
      <c r="BT13" s="65">
        <f t="shared" si="42"/>
        <v>9.9999999999909051</v>
      </c>
      <c r="BU13" s="60">
        <v>32248</v>
      </c>
      <c r="BV13" s="65">
        <f t="shared" si="29"/>
        <v>37</v>
      </c>
      <c r="BW13" s="60">
        <v>225.93</v>
      </c>
      <c r="BX13" s="65">
        <f t="shared" si="30"/>
        <v>30.000000000001137</v>
      </c>
      <c r="BY13" s="60">
        <v>50785</v>
      </c>
      <c r="BZ13" s="67">
        <f t="shared" si="31"/>
        <v>19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50546.2</v>
      </c>
      <c r="CH13" s="67">
        <f t="shared" si="35"/>
        <v>24.099999999998545</v>
      </c>
      <c r="CI13" s="60">
        <v>882074</v>
      </c>
      <c r="CJ13" s="67">
        <f t="shared" si="36"/>
        <v>211</v>
      </c>
      <c r="CK13" s="60">
        <v>616.41999999999996</v>
      </c>
      <c r="CL13" s="64">
        <f t="shared" si="37"/>
        <v>469.9999999999136</v>
      </c>
      <c r="CM13" s="65">
        <f t="shared" si="41"/>
        <v>13.200000000000045</v>
      </c>
      <c r="CN13" s="62">
        <v>0</v>
      </c>
      <c r="CO13" s="62">
        <v>0</v>
      </c>
      <c r="CP13" s="68">
        <v>1193.7</v>
      </c>
      <c r="CQ13" s="67">
        <f>IF((CP13-CP12&lt;0), "",CP13-CP12)</f>
        <v>8.2000000000000455</v>
      </c>
      <c r="CR13" s="68">
        <v>10605</v>
      </c>
      <c r="CS13" s="67">
        <f t="shared" si="38"/>
        <v>5</v>
      </c>
      <c r="CT13" s="75">
        <v>3250</v>
      </c>
      <c r="CU13" s="67">
        <f t="shared" si="38"/>
        <v>11</v>
      </c>
      <c r="CV13" s="68">
        <v>9482</v>
      </c>
      <c r="CW13" s="67">
        <f t="shared" si="38"/>
        <v>15</v>
      </c>
    </row>
    <row r="14" spans="1:102" ht="25.5" customHeight="1" thickBot="1" x14ac:dyDescent="0.45">
      <c r="A14" s="63">
        <v>44115</v>
      </c>
      <c r="B14" s="44"/>
      <c r="C14" s="58">
        <v>1.8549</v>
      </c>
      <c r="D14" s="64">
        <f t="shared" si="0"/>
        <v>999.99999999988984</v>
      </c>
      <c r="E14" s="58">
        <v>2.7848999999999999</v>
      </c>
      <c r="F14" s="64">
        <f t="shared" si="1"/>
        <v>599.99999999993395</v>
      </c>
      <c r="G14" s="58">
        <v>2.7547999999999999</v>
      </c>
      <c r="H14" s="64">
        <f t="shared" si="2"/>
        <v>1199.9999999998679</v>
      </c>
      <c r="I14" s="58">
        <v>1.3372999999999999</v>
      </c>
      <c r="J14" s="64">
        <f t="shared" si="3"/>
        <v>899.99999999990087</v>
      </c>
      <c r="K14" s="58">
        <v>2.1215000000000002</v>
      </c>
      <c r="L14" s="64">
        <f t="shared" si="4"/>
        <v>1500.0000000000568</v>
      </c>
      <c r="M14" s="58">
        <v>1.2602</v>
      </c>
      <c r="N14" s="64">
        <f t="shared" si="5"/>
        <v>399.99999999995595</v>
      </c>
      <c r="O14" s="58">
        <v>12668</v>
      </c>
      <c r="P14" s="67">
        <f t="shared" ref="P14:P34" si="44">IF((O14-O13&lt;0), "",O14-O13)</f>
        <v>0</v>
      </c>
      <c r="Q14" s="58">
        <v>5854</v>
      </c>
      <c r="R14" s="67">
        <f t="shared" si="6"/>
        <v>5</v>
      </c>
      <c r="S14" s="58">
        <v>858063</v>
      </c>
      <c r="T14" s="67">
        <f t="shared" si="7"/>
        <v>55.800000000046566</v>
      </c>
      <c r="U14" s="58">
        <v>350605.4</v>
      </c>
      <c r="V14" s="67">
        <f t="shared" si="8"/>
        <v>44.800000000046566</v>
      </c>
      <c r="W14" s="58">
        <v>343.27</v>
      </c>
      <c r="X14" s="65">
        <f t="shared" si="9"/>
        <v>79.999999999984084</v>
      </c>
      <c r="Y14" s="58">
        <v>2.4411</v>
      </c>
      <c r="Z14" s="65">
        <f t="shared" si="10"/>
        <v>300.000000000189</v>
      </c>
      <c r="AA14" s="58">
        <v>335.29</v>
      </c>
      <c r="AB14" s="65">
        <f t="shared" si="11"/>
        <v>90.000000000031832</v>
      </c>
      <c r="AC14" s="58">
        <v>322.87</v>
      </c>
      <c r="AD14" s="65">
        <f t="shared" si="12"/>
        <v>139.99999999998636</v>
      </c>
      <c r="AE14" s="58">
        <v>504.88</v>
      </c>
      <c r="AF14" s="65">
        <f t="shared" si="13"/>
        <v>89.999999999974989</v>
      </c>
      <c r="AG14" s="58">
        <v>1400.2</v>
      </c>
      <c r="AH14" s="67">
        <f t="shared" si="14"/>
        <v>1.2999999999999545</v>
      </c>
      <c r="AI14" s="58">
        <v>477.41</v>
      </c>
      <c r="AJ14" s="65">
        <f t="shared" si="15"/>
        <v>230.00000000001819</v>
      </c>
      <c r="AK14" s="58">
        <v>164.97</v>
      </c>
      <c r="AL14" s="65">
        <f t="shared" si="15"/>
        <v>150.00000000000568</v>
      </c>
      <c r="AM14" s="58">
        <v>161.52000000000001</v>
      </c>
      <c r="AN14" s="65">
        <f t="shared" si="15"/>
        <v>140.00000000001478</v>
      </c>
      <c r="AO14" s="58">
        <v>156.84</v>
      </c>
      <c r="AP14" s="65">
        <f t="shared" si="15"/>
        <v>140.00000000001478</v>
      </c>
      <c r="AQ14" s="58">
        <v>221.93</v>
      </c>
      <c r="AR14" s="65">
        <f t="shared" si="16"/>
        <v>20.000000000010232</v>
      </c>
      <c r="AS14" s="58">
        <v>347.37</v>
      </c>
      <c r="AT14" s="65">
        <f t="shared" si="17"/>
        <v>30.000000000029559</v>
      </c>
      <c r="AU14" s="58">
        <v>268.01</v>
      </c>
      <c r="AV14" s="65">
        <f t="shared" si="18"/>
        <v>29.999999999972715</v>
      </c>
      <c r="AW14" s="58">
        <v>295.45999999999998</v>
      </c>
      <c r="AX14" s="65">
        <f t="shared" si="19"/>
        <v>19.99999999998181</v>
      </c>
      <c r="AY14" s="58">
        <v>346.74</v>
      </c>
      <c r="AZ14" s="65">
        <f t="shared" si="20"/>
        <v>19.99999999998181</v>
      </c>
      <c r="BA14" s="58">
        <v>366.5</v>
      </c>
      <c r="BB14" s="65">
        <f t="shared" si="21"/>
        <v>9.9999999999909051</v>
      </c>
      <c r="BC14" s="58">
        <v>233.06</v>
      </c>
      <c r="BD14" s="65">
        <f t="shared" si="22"/>
        <v>30.000000000001137</v>
      </c>
      <c r="BE14" s="59">
        <v>31929</v>
      </c>
      <c r="BF14" s="67">
        <f t="shared" si="39"/>
        <v>14</v>
      </c>
      <c r="BG14" s="60">
        <v>226.26</v>
      </c>
      <c r="BH14" s="65">
        <f t="shared" si="23"/>
        <v>19.99999999998181</v>
      </c>
      <c r="BI14" s="60">
        <v>284.27999999999997</v>
      </c>
      <c r="BJ14" s="65">
        <f t="shared" si="40"/>
        <v>9.9999999999909051</v>
      </c>
      <c r="BK14" s="60">
        <v>231.54</v>
      </c>
      <c r="BL14" s="65">
        <f t="shared" si="24"/>
        <v>0</v>
      </c>
      <c r="BM14" s="60">
        <v>215.85</v>
      </c>
      <c r="BN14" s="65">
        <f t="shared" si="25"/>
        <v>30.000000000001137</v>
      </c>
      <c r="BO14" s="60">
        <v>280.85000000000002</v>
      </c>
      <c r="BP14" s="65">
        <f t="shared" si="26"/>
        <v>20.000000000038654</v>
      </c>
      <c r="BQ14" s="60">
        <v>40121</v>
      </c>
      <c r="BR14" s="65">
        <f t="shared" si="27"/>
        <v>8</v>
      </c>
      <c r="BS14" s="60">
        <v>194.48</v>
      </c>
      <c r="BT14" s="65">
        <f t="shared" si="42"/>
        <v>9.9999999999909051</v>
      </c>
      <c r="BU14" s="60">
        <v>32288</v>
      </c>
      <c r="BV14" s="65">
        <f t="shared" si="29"/>
        <v>40</v>
      </c>
      <c r="BW14" s="60">
        <v>225.95</v>
      </c>
      <c r="BX14" s="65">
        <f t="shared" si="30"/>
        <v>19.99999999998181</v>
      </c>
      <c r="BY14" s="60">
        <v>50804</v>
      </c>
      <c r="BZ14" s="67">
        <f t="shared" si="31"/>
        <v>19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50558.9</v>
      </c>
      <c r="CH14" s="67">
        <f t="shared" si="35"/>
        <v>12.700000000004366</v>
      </c>
      <c r="CI14" s="60">
        <v>882263</v>
      </c>
      <c r="CJ14" s="67">
        <f t="shared" si="36"/>
        <v>189</v>
      </c>
      <c r="CK14" s="60">
        <v>616.72</v>
      </c>
      <c r="CL14" s="64">
        <f t="shared" si="37"/>
        <v>300.00000000006821</v>
      </c>
      <c r="CM14" s="65">
        <f t="shared" si="41"/>
        <v>13.299999999999955</v>
      </c>
      <c r="CN14" s="62">
        <v>0</v>
      </c>
      <c r="CO14" s="62">
        <v>0</v>
      </c>
      <c r="CP14" s="68">
        <v>1199</v>
      </c>
      <c r="CQ14" s="67">
        <f t="shared" si="38"/>
        <v>5.2999999999999545</v>
      </c>
      <c r="CR14" s="68">
        <v>10613</v>
      </c>
      <c r="CS14" s="67">
        <f t="shared" si="38"/>
        <v>8</v>
      </c>
      <c r="CT14" s="75">
        <v>3262</v>
      </c>
      <c r="CU14" s="67">
        <f t="shared" si="38"/>
        <v>12</v>
      </c>
      <c r="CV14" s="68">
        <v>9501</v>
      </c>
      <c r="CW14" s="67">
        <f t="shared" si="38"/>
        <v>19</v>
      </c>
    </row>
    <row r="15" spans="1:102" ht="25.5" customHeight="1" thickBot="1" x14ac:dyDescent="0.45">
      <c r="A15" s="63">
        <v>44116</v>
      </c>
      <c r="B15" s="44"/>
      <c r="C15" s="58">
        <v>1.8561000000000001</v>
      </c>
      <c r="D15" s="64">
        <f t="shared" si="0"/>
        <v>1200.0000000000898</v>
      </c>
      <c r="E15" s="58">
        <v>2.7854999999999999</v>
      </c>
      <c r="F15" s="64">
        <f t="shared" si="1"/>
        <v>599.99999999993395</v>
      </c>
      <c r="G15" s="58">
        <v>2.7562000000000002</v>
      </c>
      <c r="H15" s="64">
        <f t="shared" si="2"/>
        <v>1400.0000000002899</v>
      </c>
      <c r="I15" s="58">
        <v>1.3381000000000001</v>
      </c>
      <c r="J15" s="64">
        <f t="shared" si="3"/>
        <v>800.00000000013392</v>
      </c>
      <c r="K15" s="58">
        <v>2.1232000000000002</v>
      </c>
      <c r="L15" s="64">
        <f t="shared" si="4"/>
        <v>1700.0000000000348</v>
      </c>
      <c r="M15" s="58">
        <v>1.2607999999999999</v>
      </c>
      <c r="N15" s="64">
        <f t="shared" si="5"/>
        <v>599.99999999993395</v>
      </c>
      <c r="O15" s="58">
        <v>12669</v>
      </c>
      <c r="P15" s="67">
        <f t="shared" si="44"/>
        <v>1</v>
      </c>
      <c r="Q15" s="58">
        <v>5859</v>
      </c>
      <c r="R15" s="67">
        <f t="shared" si="6"/>
        <v>5</v>
      </c>
      <c r="S15" s="58">
        <v>858209</v>
      </c>
      <c r="T15" s="67">
        <f t="shared" si="7"/>
        <v>146</v>
      </c>
      <c r="U15" s="58">
        <v>350693.9</v>
      </c>
      <c r="V15" s="67">
        <f t="shared" si="8"/>
        <v>88.5</v>
      </c>
      <c r="W15" s="58">
        <v>343.35</v>
      </c>
      <c r="X15" s="65">
        <f t="shared" si="9"/>
        <v>80.000000000040927</v>
      </c>
      <c r="Y15" s="58">
        <v>2.4416000000000002</v>
      </c>
      <c r="Z15" s="65">
        <f t="shared" si="10"/>
        <v>500.00000000016701</v>
      </c>
      <c r="AA15" s="58">
        <v>335.37</v>
      </c>
      <c r="AB15" s="65">
        <f t="shared" si="11"/>
        <v>79.999999999984084</v>
      </c>
      <c r="AC15" s="58">
        <v>323.02</v>
      </c>
      <c r="AD15" s="65">
        <f t="shared" si="12"/>
        <v>149.99999999997726</v>
      </c>
      <c r="AE15" s="58">
        <v>505.13</v>
      </c>
      <c r="AF15" s="65">
        <f t="shared" si="13"/>
        <v>250</v>
      </c>
      <c r="AG15" s="58">
        <v>1401.1</v>
      </c>
      <c r="AH15" s="67">
        <f t="shared" si="14"/>
        <v>0.89999999999986358</v>
      </c>
      <c r="AI15" s="58">
        <v>477.65</v>
      </c>
      <c r="AJ15" s="65">
        <f t="shared" si="15"/>
        <v>239.99999999995225</v>
      </c>
      <c r="AK15" s="58">
        <v>165.1</v>
      </c>
      <c r="AL15" s="65">
        <f t="shared" si="15"/>
        <v>129.99999999999545</v>
      </c>
      <c r="AM15" s="58">
        <v>161.65</v>
      </c>
      <c r="AN15" s="65">
        <f t="shared" si="15"/>
        <v>129.99999999999545</v>
      </c>
      <c r="AO15" s="58">
        <v>157.04</v>
      </c>
      <c r="AP15" s="65">
        <f t="shared" si="15"/>
        <v>199.99999999998863</v>
      </c>
      <c r="AQ15" s="58">
        <v>221.98</v>
      </c>
      <c r="AR15" s="65">
        <f t="shared" si="16"/>
        <v>49.999999999982947</v>
      </c>
      <c r="AS15" s="58">
        <v>347.41</v>
      </c>
      <c r="AT15" s="65">
        <f t="shared" si="17"/>
        <v>40.000000000020464</v>
      </c>
      <c r="AU15" s="58">
        <v>268.02999999999997</v>
      </c>
      <c r="AV15" s="65">
        <f t="shared" si="18"/>
        <v>19.99999999998181</v>
      </c>
      <c r="AW15" s="58">
        <v>295.49</v>
      </c>
      <c r="AX15" s="65">
        <f t="shared" si="19"/>
        <v>30.000000000029559</v>
      </c>
      <c r="AY15" s="58">
        <v>346.77</v>
      </c>
      <c r="AZ15" s="65">
        <f t="shared" si="20"/>
        <v>29.999999999972715</v>
      </c>
      <c r="BA15" s="58">
        <v>366.53</v>
      </c>
      <c r="BB15" s="65">
        <f t="shared" si="21"/>
        <v>29.999999999972715</v>
      </c>
      <c r="BC15" s="58">
        <v>233.07</v>
      </c>
      <c r="BD15" s="65">
        <f t="shared" si="22"/>
        <v>9.9999999999909051</v>
      </c>
      <c r="BE15" s="59">
        <v>31955</v>
      </c>
      <c r="BF15" s="67">
        <f t="shared" si="39"/>
        <v>26</v>
      </c>
      <c r="BG15" s="60">
        <v>226.28</v>
      </c>
      <c r="BH15" s="65">
        <f t="shared" si="23"/>
        <v>20.000000000010232</v>
      </c>
      <c r="BI15" s="60">
        <v>284.29000000000002</v>
      </c>
      <c r="BJ15" s="65">
        <f t="shared" si="40"/>
        <v>10.000000000047748</v>
      </c>
      <c r="BK15" s="60">
        <v>231.54</v>
      </c>
      <c r="BL15" s="65">
        <f t="shared" si="24"/>
        <v>0</v>
      </c>
      <c r="BM15" s="60">
        <v>215.88</v>
      </c>
      <c r="BN15" s="65">
        <f t="shared" si="25"/>
        <v>30.000000000001137</v>
      </c>
      <c r="BO15" s="60">
        <v>280.87</v>
      </c>
      <c r="BP15" s="65">
        <f t="shared" si="26"/>
        <v>19.99999999998181</v>
      </c>
      <c r="BQ15" s="60">
        <v>40129</v>
      </c>
      <c r="BR15" s="65">
        <f t="shared" si="27"/>
        <v>8</v>
      </c>
      <c r="BS15" s="60">
        <v>194.49</v>
      </c>
      <c r="BT15" s="65">
        <f t="shared" si="42"/>
        <v>10.000000000019327</v>
      </c>
      <c r="BU15" s="60">
        <v>32323</v>
      </c>
      <c r="BV15" s="65">
        <f t="shared" si="29"/>
        <v>35</v>
      </c>
      <c r="BW15" s="60">
        <v>225.98</v>
      </c>
      <c r="BX15" s="65">
        <f t="shared" si="30"/>
        <v>30.000000000001137</v>
      </c>
      <c r="BY15" s="60">
        <v>50825</v>
      </c>
      <c r="BZ15" s="67">
        <f t="shared" si="31"/>
        <v>21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50577.599999999999</v>
      </c>
      <c r="CH15" s="67">
        <f t="shared" si="35"/>
        <v>18.69999999999709</v>
      </c>
      <c r="CI15" s="60">
        <v>882462</v>
      </c>
      <c r="CJ15" s="67">
        <f t="shared" si="36"/>
        <v>199</v>
      </c>
      <c r="CK15" s="60">
        <v>617.05999999999995</v>
      </c>
      <c r="CL15" s="64">
        <f t="shared" si="37"/>
        <v>339.99999999991815</v>
      </c>
      <c r="CM15" s="65">
        <f t="shared" si="41"/>
        <v>14.900000000000091</v>
      </c>
      <c r="CN15" s="62">
        <v>0</v>
      </c>
      <c r="CO15" s="62">
        <v>0</v>
      </c>
      <c r="CP15" s="68">
        <v>1206.9000000000001</v>
      </c>
      <c r="CQ15" s="67">
        <f t="shared" si="38"/>
        <v>7.9000000000000909</v>
      </c>
      <c r="CR15" s="68">
        <v>10620</v>
      </c>
      <c r="CS15" s="67">
        <f t="shared" si="38"/>
        <v>7</v>
      </c>
      <c r="CT15" s="75">
        <v>3273</v>
      </c>
      <c r="CU15" s="67">
        <f t="shared" si="38"/>
        <v>11</v>
      </c>
      <c r="CV15" s="68">
        <v>9517</v>
      </c>
      <c r="CW15" s="67">
        <f t="shared" si="38"/>
        <v>16</v>
      </c>
    </row>
    <row r="16" spans="1:102" ht="25.5" customHeight="1" thickBot="1" x14ac:dyDescent="0.45">
      <c r="A16" s="63">
        <v>44117</v>
      </c>
      <c r="B16" s="44"/>
      <c r="C16" s="58">
        <v>1.8573</v>
      </c>
      <c r="D16" s="64">
        <f t="shared" si="0"/>
        <v>1199.9999999998679</v>
      </c>
      <c r="E16" s="58">
        <v>2.7860999999999998</v>
      </c>
      <c r="F16" s="64">
        <f t="shared" si="1"/>
        <v>599.99999999993395</v>
      </c>
      <c r="G16" s="58">
        <v>2.7576000000000001</v>
      </c>
      <c r="H16" s="64">
        <f t="shared" si="2"/>
        <v>1399.9999999998458</v>
      </c>
      <c r="I16" s="58">
        <v>1.339</v>
      </c>
      <c r="J16" s="64">
        <f t="shared" si="3"/>
        <v>899.99999999990087</v>
      </c>
      <c r="K16" s="58">
        <v>2.1248</v>
      </c>
      <c r="L16" s="64">
        <f t="shared" si="4"/>
        <v>1599.9999999998238</v>
      </c>
      <c r="M16" s="58">
        <v>1.2613000000000001</v>
      </c>
      <c r="N16" s="64">
        <f t="shared" si="5"/>
        <v>500.00000000016701</v>
      </c>
      <c r="O16" s="58">
        <v>12669</v>
      </c>
      <c r="P16" s="67">
        <f t="shared" si="44"/>
        <v>0</v>
      </c>
      <c r="Q16" s="58">
        <v>5864</v>
      </c>
      <c r="R16" s="67">
        <f t="shared" si="6"/>
        <v>5</v>
      </c>
      <c r="S16" s="58">
        <v>858361.2</v>
      </c>
      <c r="T16" s="67">
        <f t="shared" si="7"/>
        <v>152.19999999995343</v>
      </c>
      <c r="U16" s="58">
        <v>350794.7</v>
      </c>
      <c r="V16" s="67">
        <f t="shared" si="8"/>
        <v>100.79999999998836</v>
      </c>
      <c r="W16" s="58">
        <v>343.43</v>
      </c>
      <c r="X16" s="65">
        <f t="shared" si="9"/>
        <v>79.999999999984084</v>
      </c>
      <c r="Y16" s="58">
        <v>2.4420000000000002</v>
      </c>
      <c r="Z16" s="65">
        <f t="shared" si="10"/>
        <v>399.99999999995595</v>
      </c>
      <c r="AA16" s="58">
        <v>335.46</v>
      </c>
      <c r="AB16" s="65">
        <f t="shared" si="11"/>
        <v>89.999999999974989</v>
      </c>
      <c r="AC16" s="58">
        <v>323.16000000000003</v>
      </c>
      <c r="AD16" s="65">
        <f t="shared" si="12"/>
        <v>140.0000000000432</v>
      </c>
      <c r="AE16" s="58">
        <v>505.31</v>
      </c>
      <c r="AF16" s="65">
        <f t="shared" si="13"/>
        <v>180.00000000000682</v>
      </c>
      <c r="AG16" s="58">
        <v>1402.2</v>
      </c>
      <c r="AH16" s="67">
        <f t="shared" si="14"/>
        <v>1.1000000000001364</v>
      </c>
      <c r="AI16" s="58">
        <v>477.89</v>
      </c>
      <c r="AJ16" s="65">
        <f t="shared" si="15"/>
        <v>240.00000000000909</v>
      </c>
      <c r="AK16" s="58">
        <v>165.26</v>
      </c>
      <c r="AL16" s="65">
        <f t="shared" si="15"/>
        <v>159.99999999999659</v>
      </c>
      <c r="AM16" s="58">
        <v>161.85</v>
      </c>
      <c r="AN16" s="65">
        <v>157.19999999999999</v>
      </c>
      <c r="AO16" s="58">
        <v>157.19999999999999</v>
      </c>
      <c r="AP16" s="65">
        <f t="shared" si="15"/>
        <v>159.99999999999659</v>
      </c>
      <c r="AQ16" s="58">
        <v>222.02</v>
      </c>
      <c r="AR16" s="65">
        <f t="shared" si="16"/>
        <v>40.000000000020464</v>
      </c>
      <c r="AS16" s="58">
        <v>347.44</v>
      </c>
      <c r="AT16" s="65">
        <f t="shared" si="17"/>
        <v>29.999999999972715</v>
      </c>
      <c r="AU16" s="58">
        <v>268.06</v>
      </c>
      <c r="AV16" s="65">
        <f t="shared" si="18"/>
        <v>30.000000000029559</v>
      </c>
      <c r="AW16" s="58">
        <v>295.51</v>
      </c>
      <c r="AX16" s="65">
        <f t="shared" si="19"/>
        <v>19.99999999998181</v>
      </c>
      <c r="AY16" s="58">
        <v>346.8</v>
      </c>
      <c r="AZ16" s="65">
        <f t="shared" si="20"/>
        <v>30.000000000029559</v>
      </c>
      <c r="BA16" s="58">
        <v>366.56</v>
      </c>
      <c r="BB16" s="65">
        <f t="shared" si="21"/>
        <v>30.000000000029559</v>
      </c>
      <c r="BC16" s="58">
        <v>233.1</v>
      </c>
      <c r="BD16" s="65">
        <f t="shared" si="22"/>
        <v>30.000000000001137</v>
      </c>
      <c r="BE16" s="59">
        <v>31984</v>
      </c>
      <c r="BF16" s="67">
        <f t="shared" si="39"/>
        <v>29</v>
      </c>
      <c r="BG16" s="60">
        <v>226.3</v>
      </c>
      <c r="BH16" s="65">
        <f t="shared" si="23"/>
        <v>20.000000000010232</v>
      </c>
      <c r="BI16" s="60">
        <v>284.31</v>
      </c>
      <c r="BJ16" s="65">
        <f t="shared" si="40"/>
        <v>19.99999999998181</v>
      </c>
      <c r="BK16" s="60">
        <v>231.54</v>
      </c>
      <c r="BL16" s="65">
        <f t="shared" si="24"/>
        <v>0</v>
      </c>
      <c r="BM16" s="60">
        <v>215.92</v>
      </c>
      <c r="BN16" s="65">
        <f t="shared" si="25"/>
        <v>39.999999999992042</v>
      </c>
      <c r="BO16" s="60">
        <v>280.89999999999998</v>
      </c>
      <c r="BP16" s="65">
        <f t="shared" si="26"/>
        <v>29.999999999972715</v>
      </c>
      <c r="BQ16" s="60">
        <v>40135</v>
      </c>
      <c r="BR16" s="65">
        <f t="shared" si="27"/>
        <v>6</v>
      </c>
      <c r="BS16" s="60">
        <v>194.5</v>
      </c>
      <c r="BT16" s="65">
        <f t="shared" si="42"/>
        <v>9.9999999999909051</v>
      </c>
      <c r="BU16" s="60">
        <v>32364</v>
      </c>
      <c r="BV16" s="65">
        <f t="shared" si="29"/>
        <v>41</v>
      </c>
      <c r="BW16" s="60">
        <v>226</v>
      </c>
      <c r="BX16" s="65">
        <f t="shared" si="30"/>
        <v>20.000000000010232</v>
      </c>
      <c r="BY16" s="60">
        <v>50845</v>
      </c>
      <c r="BZ16" s="67">
        <f t="shared" si="31"/>
        <v>20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50600.3</v>
      </c>
      <c r="CH16" s="67">
        <f t="shared" si="35"/>
        <v>22.700000000004366</v>
      </c>
      <c r="CI16" s="60">
        <v>882664</v>
      </c>
      <c r="CJ16" s="67">
        <f t="shared" si="36"/>
        <v>202</v>
      </c>
      <c r="CK16" s="60">
        <v>617.44000000000005</v>
      </c>
      <c r="CL16" s="64">
        <f t="shared" si="37"/>
        <v>380.00000000010914</v>
      </c>
      <c r="CM16" s="65">
        <f t="shared" si="41"/>
        <v>16.299999999999955</v>
      </c>
      <c r="CN16" s="62">
        <v>0</v>
      </c>
      <c r="CO16" s="62">
        <v>0</v>
      </c>
      <c r="CP16" s="68">
        <v>1217.2</v>
      </c>
      <c r="CQ16" s="67">
        <f t="shared" si="38"/>
        <v>10.299999999999955</v>
      </c>
      <c r="CR16" s="68">
        <v>10626</v>
      </c>
      <c r="CS16" s="67">
        <f t="shared" si="38"/>
        <v>6</v>
      </c>
      <c r="CT16" s="75">
        <v>3283</v>
      </c>
      <c r="CU16" s="67">
        <f t="shared" si="38"/>
        <v>10</v>
      </c>
      <c r="CV16" s="68">
        <v>9536</v>
      </c>
      <c r="CW16" s="67">
        <f t="shared" si="38"/>
        <v>19</v>
      </c>
    </row>
    <row r="17" spans="1:101" ht="25.5" customHeight="1" thickBot="1" x14ac:dyDescent="0.45">
      <c r="A17" s="63">
        <v>44118</v>
      </c>
      <c r="B17" s="44"/>
      <c r="C17" s="58">
        <v>1.8586</v>
      </c>
      <c r="D17" s="64">
        <f t="shared" si="0"/>
        <v>1300.0000000000789</v>
      </c>
      <c r="E17" s="58">
        <v>2.7867999999999999</v>
      </c>
      <c r="F17" s="64">
        <f t="shared" si="1"/>
        <v>700.00000000014495</v>
      </c>
      <c r="G17" s="58">
        <v>2.7591999999999999</v>
      </c>
      <c r="H17" s="64">
        <f t="shared" si="2"/>
        <v>1599.9999999998238</v>
      </c>
      <c r="I17" s="58">
        <v>1.3399000000000001</v>
      </c>
      <c r="J17" s="64">
        <f t="shared" si="3"/>
        <v>900.0000000001229</v>
      </c>
      <c r="K17" s="58">
        <v>2.1265000000000001</v>
      </c>
      <c r="L17" s="64">
        <f t="shared" si="4"/>
        <v>1700.0000000000348</v>
      </c>
      <c r="M17" s="58">
        <v>1.2619</v>
      </c>
      <c r="N17" s="64">
        <f t="shared" si="5"/>
        <v>599.99999999993395</v>
      </c>
      <c r="O17" s="58">
        <v>12670</v>
      </c>
      <c r="P17" s="67">
        <f t="shared" si="44"/>
        <v>1</v>
      </c>
      <c r="Q17" s="58">
        <v>5864</v>
      </c>
      <c r="R17" s="67">
        <f t="shared" si="6"/>
        <v>0</v>
      </c>
      <c r="S17" s="58">
        <v>858518</v>
      </c>
      <c r="T17" s="67">
        <f t="shared" si="7"/>
        <v>156.80000000004657</v>
      </c>
      <c r="U17" s="58">
        <v>350903.7</v>
      </c>
      <c r="V17" s="67">
        <f t="shared" si="8"/>
        <v>109</v>
      </c>
      <c r="W17" s="58">
        <v>343.56</v>
      </c>
      <c r="X17" s="65">
        <f t="shared" si="9"/>
        <v>129.99999999999545</v>
      </c>
      <c r="Y17" s="58">
        <v>2.4424000000000001</v>
      </c>
      <c r="Z17" s="65">
        <f t="shared" si="10"/>
        <v>399.99999999995595</v>
      </c>
      <c r="AA17" s="58">
        <v>335.54</v>
      </c>
      <c r="AB17" s="65">
        <f t="shared" si="11"/>
        <v>80.000000000040927</v>
      </c>
      <c r="AC17" s="58">
        <v>323.3</v>
      </c>
      <c r="AD17" s="65">
        <f t="shared" si="12"/>
        <v>139.99999999998636</v>
      </c>
      <c r="AE17" s="58">
        <v>505.5</v>
      </c>
      <c r="AF17" s="65">
        <f t="shared" si="13"/>
        <v>189.99999999999773</v>
      </c>
      <c r="AG17" s="58">
        <v>1403.2</v>
      </c>
      <c r="AH17" s="67">
        <f t="shared" si="14"/>
        <v>1</v>
      </c>
      <c r="AI17" s="58">
        <v>478.13</v>
      </c>
      <c r="AJ17" s="65">
        <f t="shared" si="15"/>
        <v>240.00000000000909</v>
      </c>
      <c r="AK17" s="58">
        <v>165.42</v>
      </c>
      <c r="AL17" s="65">
        <f t="shared" si="15"/>
        <v>159.99999999999659</v>
      </c>
      <c r="AM17" s="58">
        <v>162.05000000000001</v>
      </c>
      <c r="AN17" s="65">
        <f t="shared" si="15"/>
        <v>200.00000000001705</v>
      </c>
      <c r="AO17" s="58">
        <v>157.43</v>
      </c>
      <c r="AP17" s="65">
        <f t="shared" si="15"/>
        <v>230.00000000001819</v>
      </c>
      <c r="AQ17" s="58">
        <v>222.07</v>
      </c>
      <c r="AR17" s="65">
        <f t="shared" si="16"/>
        <v>49.999999999982947</v>
      </c>
      <c r="AS17" s="58">
        <v>347.48</v>
      </c>
      <c r="AT17" s="65">
        <f t="shared" si="17"/>
        <v>40.000000000020464</v>
      </c>
      <c r="AU17" s="58">
        <v>268.08999999999997</v>
      </c>
      <c r="AV17" s="65">
        <f t="shared" si="18"/>
        <v>29.999999999972715</v>
      </c>
      <c r="AW17" s="58">
        <v>295.54000000000002</v>
      </c>
      <c r="AX17" s="65">
        <f t="shared" si="19"/>
        <v>30.000000000029559</v>
      </c>
      <c r="AY17" s="58">
        <v>346.84</v>
      </c>
      <c r="AZ17" s="65">
        <f t="shared" si="20"/>
        <v>39.99999999996362</v>
      </c>
      <c r="BA17" s="58">
        <v>366.59</v>
      </c>
      <c r="BB17" s="65">
        <f t="shared" si="21"/>
        <v>29.999999999972715</v>
      </c>
      <c r="BC17" s="58">
        <v>233.12</v>
      </c>
      <c r="BD17" s="65">
        <f t="shared" si="22"/>
        <v>20.000000000010232</v>
      </c>
      <c r="BE17" s="59">
        <v>32015</v>
      </c>
      <c r="BF17" s="67">
        <f t="shared" si="39"/>
        <v>31</v>
      </c>
      <c r="BG17" s="60">
        <v>226.31</v>
      </c>
      <c r="BH17" s="65">
        <f t="shared" si="23"/>
        <v>9.9999999999909051</v>
      </c>
      <c r="BI17" s="60">
        <v>284.32</v>
      </c>
      <c r="BJ17" s="65">
        <f t="shared" si="40"/>
        <v>9.9999999999909051</v>
      </c>
      <c r="BK17" s="60">
        <v>231.54</v>
      </c>
      <c r="BL17" s="65">
        <f t="shared" si="24"/>
        <v>0</v>
      </c>
      <c r="BM17" s="60">
        <v>215.95</v>
      </c>
      <c r="BN17" s="65">
        <f t="shared" si="25"/>
        <v>30.000000000001137</v>
      </c>
      <c r="BO17" s="60">
        <v>280.92</v>
      </c>
      <c r="BP17" s="65">
        <f t="shared" si="26"/>
        <v>20.000000000038654</v>
      </c>
      <c r="BQ17" s="60">
        <v>40140</v>
      </c>
      <c r="BR17" s="65">
        <f t="shared" si="27"/>
        <v>5</v>
      </c>
      <c r="BS17" s="60">
        <v>194.52</v>
      </c>
      <c r="BT17" s="65">
        <f t="shared" si="42"/>
        <v>20.000000000010232</v>
      </c>
      <c r="BU17" s="60">
        <v>32396</v>
      </c>
      <c r="BV17" s="65">
        <f t="shared" si="29"/>
        <v>32</v>
      </c>
      <c r="BW17" s="60">
        <v>226.03</v>
      </c>
      <c r="BX17" s="65">
        <f t="shared" si="30"/>
        <v>30.000000000001137</v>
      </c>
      <c r="BY17" s="60">
        <v>50867</v>
      </c>
      <c r="BZ17" s="67">
        <f t="shared" si="31"/>
        <v>22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50616.6</v>
      </c>
      <c r="CH17" s="67">
        <f t="shared" si="35"/>
        <v>16.299999999995634</v>
      </c>
      <c r="CI17" s="60">
        <v>882866</v>
      </c>
      <c r="CJ17" s="67">
        <f t="shared" si="36"/>
        <v>202</v>
      </c>
      <c r="CK17" s="60">
        <v>617.85</v>
      </c>
      <c r="CL17" s="64">
        <f t="shared" si="37"/>
        <v>409.99999999996817</v>
      </c>
      <c r="CM17" s="65">
        <f t="shared" si="41"/>
        <v>22.5</v>
      </c>
      <c r="CN17" s="62">
        <v>0</v>
      </c>
      <c r="CO17" s="62">
        <v>0</v>
      </c>
      <c r="CP17" s="68">
        <v>1226.7</v>
      </c>
      <c r="CQ17" s="67">
        <f t="shared" si="38"/>
        <v>9.5</v>
      </c>
      <c r="CR17" s="68">
        <v>10639</v>
      </c>
      <c r="CS17" s="67">
        <f t="shared" si="38"/>
        <v>13</v>
      </c>
      <c r="CT17" s="75">
        <v>3295</v>
      </c>
      <c r="CU17" s="67">
        <f t="shared" si="38"/>
        <v>12</v>
      </c>
      <c r="CV17" s="68">
        <v>9554</v>
      </c>
      <c r="CW17" s="67">
        <f t="shared" si="38"/>
        <v>18</v>
      </c>
    </row>
    <row r="18" spans="1:101" ht="25.5" customHeight="1" thickBot="1" x14ac:dyDescent="0.45">
      <c r="A18" s="63">
        <v>44119</v>
      </c>
      <c r="B18" s="44"/>
      <c r="C18" s="58">
        <v>1.86</v>
      </c>
      <c r="D18" s="64">
        <f t="shared" si="0"/>
        <v>1400.0000000000678</v>
      </c>
      <c r="E18" s="58">
        <v>2.7873999999999999</v>
      </c>
      <c r="F18" s="64">
        <f t="shared" si="1"/>
        <v>599.99999999993395</v>
      </c>
      <c r="G18" s="58">
        <v>2.7606999999999999</v>
      </c>
      <c r="H18" s="64">
        <f t="shared" si="2"/>
        <v>1500.0000000000568</v>
      </c>
      <c r="I18" s="58">
        <v>1.3408</v>
      </c>
      <c r="J18" s="64">
        <f t="shared" si="3"/>
        <v>899.99999999990087</v>
      </c>
      <c r="K18" s="58">
        <v>2.1282999999999999</v>
      </c>
      <c r="L18" s="64">
        <f t="shared" si="4"/>
        <v>1799.9999999998017</v>
      </c>
      <c r="M18" s="58">
        <v>1.2624</v>
      </c>
      <c r="N18" s="64">
        <f t="shared" si="5"/>
        <v>499.99999999994492</v>
      </c>
      <c r="O18" s="58">
        <v>12670</v>
      </c>
      <c r="P18" s="67">
        <f t="shared" si="44"/>
        <v>0</v>
      </c>
      <c r="Q18" s="58">
        <v>5864</v>
      </c>
      <c r="R18" s="67">
        <f t="shared" si="6"/>
        <v>0</v>
      </c>
      <c r="S18" s="58">
        <v>858744</v>
      </c>
      <c r="T18" s="67">
        <f t="shared" si="7"/>
        <v>226</v>
      </c>
      <c r="U18" s="58">
        <v>351048.4</v>
      </c>
      <c r="V18" s="67">
        <f t="shared" si="8"/>
        <v>144.70000000001164</v>
      </c>
      <c r="W18" s="58">
        <v>343.65</v>
      </c>
      <c r="X18" s="65">
        <f t="shared" si="9"/>
        <v>89.999999999974989</v>
      </c>
      <c r="Y18" s="58">
        <v>2.4428999999999998</v>
      </c>
      <c r="Z18" s="65">
        <f t="shared" si="10"/>
        <v>499.99999999972289</v>
      </c>
      <c r="AA18" s="58">
        <v>335.63</v>
      </c>
      <c r="AB18" s="65">
        <f t="shared" si="11"/>
        <v>89.999999999974989</v>
      </c>
      <c r="AC18" s="58">
        <v>323.45</v>
      </c>
      <c r="AD18" s="65">
        <f t="shared" si="12"/>
        <v>149.99999999997726</v>
      </c>
      <c r="AE18" s="58">
        <v>505.68</v>
      </c>
      <c r="AF18" s="65">
        <f t="shared" si="13"/>
        <v>180.00000000000682</v>
      </c>
      <c r="AG18" s="58">
        <v>1404.4</v>
      </c>
      <c r="AH18" s="67">
        <f t="shared" si="14"/>
        <v>1.2000000000000455</v>
      </c>
      <c r="AI18" s="58">
        <v>478.37</v>
      </c>
      <c r="AJ18" s="65">
        <f t="shared" si="15"/>
        <v>240.00000000000909</v>
      </c>
      <c r="AK18" s="58">
        <v>165.59</v>
      </c>
      <c r="AL18" s="65">
        <f t="shared" si="15"/>
        <v>170.00000000001592</v>
      </c>
      <c r="AM18" s="58">
        <v>162.30000000000001</v>
      </c>
      <c r="AN18" s="65">
        <f t="shared" si="15"/>
        <v>250</v>
      </c>
      <c r="AO18" s="58">
        <v>157.63</v>
      </c>
      <c r="AP18" s="65">
        <f t="shared" si="15"/>
        <v>199.99999999998863</v>
      </c>
      <c r="AQ18" s="58">
        <v>222.12</v>
      </c>
      <c r="AR18" s="65">
        <f t="shared" si="16"/>
        <v>50.000000000011369</v>
      </c>
      <c r="AS18" s="58">
        <v>347.52</v>
      </c>
      <c r="AT18" s="65">
        <f t="shared" si="17"/>
        <v>39.99999999996362</v>
      </c>
      <c r="AU18" s="58">
        <v>268.13</v>
      </c>
      <c r="AV18" s="65">
        <f t="shared" si="18"/>
        <v>40.000000000020464</v>
      </c>
      <c r="AW18" s="58">
        <v>295.57</v>
      </c>
      <c r="AX18" s="65">
        <f t="shared" si="19"/>
        <v>29.999999999972715</v>
      </c>
      <c r="AY18" s="58">
        <v>346.87</v>
      </c>
      <c r="AZ18" s="65">
        <f t="shared" si="20"/>
        <v>30.000000000029559</v>
      </c>
      <c r="BA18" s="58">
        <v>366.62</v>
      </c>
      <c r="BB18" s="65">
        <f t="shared" si="21"/>
        <v>30.000000000029559</v>
      </c>
      <c r="BC18" s="58">
        <v>233.15</v>
      </c>
      <c r="BD18" s="65">
        <f t="shared" si="22"/>
        <v>30.000000000001137</v>
      </c>
      <c r="BE18" s="59">
        <v>32052</v>
      </c>
      <c r="BF18" s="67">
        <f t="shared" si="39"/>
        <v>37</v>
      </c>
      <c r="BG18" s="60">
        <v>226.33</v>
      </c>
      <c r="BH18" s="65">
        <f t="shared" si="23"/>
        <v>20.000000000010232</v>
      </c>
      <c r="BI18" s="60">
        <v>284.33</v>
      </c>
      <c r="BJ18" s="65">
        <f t="shared" si="40"/>
        <v>9.9999999999909051</v>
      </c>
      <c r="BK18" s="60">
        <v>231.54</v>
      </c>
      <c r="BL18" s="65">
        <f t="shared" si="24"/>
        <v>0</v>
      </c>
      <c r="BM18" s="60">
        <v>215.98</v>
      </c>
      <c r="BN18" s="65">
        <f t="shared" si="25"/>
        <v>30.000000000001137</v>
      </c>
      <c r="BO18" s="60">
        <v>280.95</v>
      </c>
      <c r="BP18" s="65">
        <f t="shared" si="26"/>
        <v>29.999999999972715</v>
      </c>
      <c r="BQ18" s="60">
        <v>40154</v>
      </c>
      <c r="BR18" s="65">
        <f t="shared" si="27"/>
        <v>14</v>
      </c>
      <c r="BS18" s="60">
        <v>194.53</v>
      </c>
      <c r="BT18" s="65">
        <f t="shared" si="42"/>
        <v>9.9999999999909051</v>
      </c>
      <c r="BU18" s="60">
        <v>32426</v>
      </c>
      <c r="BV18" s="65">
        <f t="shared" si="29"/>
        <v>30</v>
      </c>
      <c r="BW18" s="60">
        <v>226.04</v>
      </c>
      <c r="BX18" s="65">
        <f t="shared" si="30"/>
        <v>9.9999999999909051</v>
      </c>
      <c r="BY18" s="60">
        <v>50897</v>
      </c>
      <c r="BZ18" s="67">
        <f t="shared" si="31"/>
        <v>30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50638.400000000001</v>
      </c>
      <c r="CH18" s="67">
        <f t="shared" si="35"/>
        <v>21.80000000000291</v>
      </c>
      <c r="CI18" s="60">
        <v>883101</v>
      </c>
      <c r="CJ18" s="67">
        <f t="shared" si="36"/>
        <v>235</v>
      </c>
      <c r="CK18" s="60">
        <v>618.15</v>
      </c>
      <c r="CL18" s="64">
        <f t="shared" si="37"/>
        <v>299.99999999995453</v>
      </c>
      <c r="CM18" s="65">
        <f t="shared" si="41"/>
        <v>18.5</v>
      </c>
      <c r="CN18" s="62">
        <v>0</v>
      </c>
      <c r="CO18" s="62">
        <v>0</v>
      </c>
      <c r="CP18" s="68">
        <v>1236.2</v>
      </c>
      <c r="CQ18" s="67">
        <f t="shared" si="38"/>
        <v>9.5</v>
      </c>
      <c r="CR18" s="68">
        <v>10648</v>
      </c>
      <c r="CS18" s="67">
        <f t="shared" si="38"/>
        <v>9</v>
      </c>
      <c r="CT18" s="75">
        <v>3306</v>
      </c>
      <c r="CU18" s="67">
        <f t="shared" si="38"/>
        <v>11</v>
      </c>
      <c r="CV18" s="68">
        <v>9571</v>
      </c>
      <c r="CW18" s="67">
        <f t="shared" si="38"/>
        <v>17</v>
      </c>
    </row>
    <row r="19" spans="1:101" ht="25.5" customHeight="1" thickBot="1" x14ac:dyDescent="0.45">
      <c r="A19" s="63">
        <v>44120</v>
      </c>
      <c r="B19" s="44"/>
      <c r="C19" s="58">
        <v>1.8613</v>
      </c>
      <c r="D19" s="64">
        <f t="shared" si="0"/>
        <v>1299.9999999998568</v>
      </c>
      <c r="E19" s="58">
        <v>2.7881</v>
      </c>
      <c r="F19" s="64">
        <f t="shared" si="1"/>
        <v>700.00000000014495</v>
      </c>
      <c r="G19" s="58">
        <v>2.7622</v>
      </c>
      <c r="H19" s="64">
        <f t="shared" si="2"/>
        <v>1500.0000000000568</v>
      </c>
      <c r="I19" s="58">
        <v>1.3416999999999999</v>
      </c>
      <c r="J19" s="64">
        <f t="shared" si="3"/>
        <v>899.99999999990087</v>
      </c>
      <c r="K19" s="58">
        <v>2.13</v>
      </c>
      <c r="L19" s="64">
        <f t="shared" si="4"/>
        <v>1700.0000000000348</v>
      </c>
      <c r="M19" s="58">
        <v>1.2629999999999999</v>
      </c>
      <c r="N19" s="64">
        <f t="shared" si="5"/>
        <v>599.99999999993395</v>
      </c>
      <c r="O19" s="58">
        <v>12671</v>
      </c>
      <c r="P19" s="67">
        <f t="shared" si="44"/>
        <v>1</v>
      </c>
      <c r="Q19" s="58">
        <v>5864</v>
      </c>
      <c r="R19" s="67">
        <f t="shared" si="6"/>
        <v>0</v>
      </c>
      <c r="S19" s="58">
        <v>858962.2</v>
      </c>
      <c r="T19" s="67">
        <f t="shared" si="7"/>
        <v>218.19999999995343</v>
      </c>
      <c r="U19" s="58">
        <v>351156.9</v>
      </c>
      <c r="V19" s="67">
        <f t="shared" si="8"/>
        <v>108.5</v>
      </c>
      <c r="W19" s="58">
        <v>343.71</v>
      </c>
      <c r="X19" s="65">
        <f t="shared" si="9"/>
        <v>60.000000000002274</v>
      </c>
      <c r="Y19" s="58">
        <v>2.4432999999999998</v>
      </c>
      <c r="Z19" s="65">
        <f t="shared" si="10"/>
        <v>399.99999999995595</v>
      </c>
      <c r="AA19" s="58">
        <v>335.7</v>
      </c>
      <c r="AB19" s="65">
        <f t="shared" si="11"/>
        <v>69.999999999993179</v>
      </c>
      <c r="AC19" s="58">
        <v>323.61</v>
      </c>
      <c r="AD19" s="65">
        <f t="shared" si="12"/>
        <v>160.00000000002501</v>
      </c>
      <c r="AE19" s="58">
        <v>505.92</v>
      </c>
      <c r="AF19" s="65">
        <f t="shared" si="13"/>
        <v>240.00000000000909</v>
      </c>
      <c r="AG19" s="58">
        <v>1405.4</v>
      </c>
      <c r="AH19" s="67">
        <f t="shared" si="14"/>
        <v>1</v>
      </c>
      <c r="AI19" s="58">
        <v>478.62</v>
      </c>
      <c r="AJ19" s="65">
        <f t="shared" si="15"/>
        <v>250</v>
      </c>
      <c r="AK19" s="58">
        <v>165.74</v>
      </c>
      <c r="AL19" s="65">
        <f t="shared" si="15"/>
        <v>150.00000000000568</v>
      </c>
      <c r="AM19" s="58">
        <v>162.53</v>
      </c>
      <c r="AN19" s="65">
        <f t="shared" si="15"/>
        <v>229.99999999998977</v>
      </c>
      <c r="AO19" s="58">
        <v>157.83000000000001</v>
      </c>
      <c r="AP19" s="65">
        <f t="shared" si="15"/>
        <v>200.00000000001705</v>
      </c>
      <c r="AQ19" s="58">
        <v>222.16</v>
      </c>
      <c r="AR19" s="65">
        <f t="shared" si="16"/>
        <v>39.999999999992042</v>
      </c>
      <c r="AS19" s="58">
        <v>347.56</v>
      </c>
      <c r="AT19" s="65">
        <f t="shared" si="17"/>
        <v>40.000000000020464</v>
      </c>
      <c r="AU19" s="58">
        <v>268.16000000000003</v>
      </c>
      <c r="AV19" s="65">
        <f t="shared" si="18"/>
        <v>30.000000000029559</v>
      </c>
      <c r="AW19" s="58">
        <v>295.60000000000002</v>
      </c>
      <c r="AX19" s="65">
        <f t="shared" si="19"/>
        <v>30.000000000029559</v>
      </c>
      <c r="AY19" s="58">
        <v>346.9</v>
      </c>
      <c r="AZ19" s="65">
        <f t="shared" si="20"/>
        <v>29.999999999972715</v>
      </c>
      <c r="BA19" s="58">
        <v>366.65</v>
      </c>
      <c r="BB19" s="65">
        <f t="shared" si="21"/>
        <v>29.999999999972715</v>
      </c>
      <c r="BC19" s="58">
        <v>233.17</v>
      </c>
      <c r="BD19" s="65">
        <f t="shared" si="22"/>
        <v>19.99999999998181</v>
      </c>
      <c r="BE19" s="59">
        <v>32084</v>
      </c>
      <c r="BF19" s="67">
        <f t="shared" si="39"/>
        <v>32</v>
      </c>
      <c r="BG19" s="60">
        <v>226.35</v>
      </c>
      <c r="BH19" s="65">
        <f t="shared" si="23"/>
        <v>19.99999999998181</v>
      </c>
      <c r="BI19" s="60">
        <v>284.35000000000002</v>
      </c>
      <c r="BJ19" s="65">
        <f t="shared" si="40"/>
        <v>20.000000000038654</v>
      </c>
      <c r="BK19" s="60">
        <v>231.55</v>
      </c>
      <c r="BL19" s="65">
        <f t="shared" si="24"/>
        <v>10.000000000019327</v>
      </c>
      <c r="BM19" s="60">
        <v>216.01</v>
      </c>
      <c r="BN19" s="65">
        <f t="shared" si="25"/>
        <v>30.000000000001137</v>
      </c>
      <c r="BO19" s="60">
        <v>280.97000000000003</v>
      </c>
      <c r="BP19" s="65">
        <f t="shared" si="26"/>
        <v>20.000000000038654</v>
      </c>
      <c r="BQ19" s="60">
        <v>40170</v>
      </c>
      <c r="BR19" s="65">
        <f t="shared" si="27"/>
        <v>16</v>
      </c>
      <c r="BS19" s="60">
        <v>194.55</v>
      </c>
      <c r="BT19" s="65">
        <f t="shared" si="42"/>
        <v>20.000000000010232</v>
      </c>
      <c r="BU19" s="60">
        <v>32469</v>
      </c>
      <c r="BV19" s="65">
        <f t="shared" si="29"/>
        <v>43</v>
      </c>
      <c r="BW19" s="60">
        <v>226.06</v>
      </c>
      <c r="BX19" s="65">
        <f t="shared" si="30"/>
        <v>20.000000000010232</v>
      </c>
      <c r="BY19" s="60">
        <v>50918</v>
      </c>
      <c r="BZ19" s="67">
        <f t="shared" si="31"/>
        <v>21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50655.5</v>
      </c>
      <c r="CH19" s="67">
        <f t="shared" si="35"/>
        <v>17.099999999998545</v>
      </c>
      <c r="CI19" s="60">
        <v>883328</v>
      </c>
      <c r="CJ19" s="67">
        <f t="shared" si="36"/>
        <v>227</v>
      </c>
      <c r="CK19" s="60">
        <v>618.55999999999995</v>
      </c>
      <c r="CL19" s="64">
        <f t="shared" si="37"/>
        <v>409.99999999996817</v>
      </c>
      <c r="CM19" s="65">
        <f t="shared" si="41"/>
        <v>26.799999999999955</v>
      </c>
      <c r="CN19" s="62">
        <v>0</v>
      </c>
      <c r="CO19" s="62">
        <v>0</v>
      </c>
      <c r="CP19" s="68">
        <v>1253</v>
      </c>
      <c r="CQ19" s="67">
        <f t="shared" si="38"/>
        <v>16.799999999999955</v>
      </c>
      <c r="CR19" s="68">
        <v>10658</v>
      </c>
      <c r="CS19" s="67">
        <f t="shared" si="38"/>
        <v>10</v>
      </c>
      <c r="CT19" s="75">
        <v>3317</v>
      </c>
      <c r="CU19" s="67">
        <f t="shared" si="38"/>
        <v>11</v>
      </c>
      <c r="CV19" s="68">
        <v>9596</v>
      </c>
      <c r="CW19" s="67">
        <f t="shared" si="38"/>
        <v>25</v>
      </c>
    </row>
    <row r="20" spans="1:101" ht="25.5" customHeight="1" thickBot="1" x14ac:dyDescent="0.45">
      <c r="A20" s="63">
        <v>44121</v>
      </c>
      <c r="B20" s="44"/>
      <c r="C20" s="58">
        <v>1.8626</v>
      </c>
      <c r="D20" s="64">
        <f t="shared" si="0"/>
        <v>1300.0000000000789</v>
      </c>
      <c r="E20" s="58">
        <v>2.7888000000000002</v>
      </c>
      <c r="F20" s="64">
        <f t="shared" si="1"/>
        <v>700.00000000014495</v>
      </c>
      <c r="G20" s="58">
        <v>2.7639</v>
      </c>
      <c r="H20" s="64">
        <f t="shared" si="2"/>
        <v>1700.0000000000348</v>
      </c>
      <c r="I20" s="58">
        <v>1.3427</v>
      </c>
      <c r="J20" s="64">
        <f t="shared" si="3"/>
        <v>1000.0000000001119</v>
      </c>
      <c r="K20" s="58">
        <v>2.1318000000000001</v>
      </c>
      <c r="L20" s="64">
        <f t="shared" si="4"/>
        <v>1800.0000000002458</v>
      </c>
      <c r="M20" s="58">
        <v>1.2635000000000001</v>
      </c>
      <c r="N20" s="64">
        <f t="shared" si="5"/>
        <v>500.00000000016701</v>
      </c>
      <c r="O20" s="58">
        <v>12672</v>
      </c>
      <c r="P20" s="67">
        <f t="shared" si="44"/>
        <v>1</v>
      </c>
      <c r="Q20" s="58">
        <v>5864</v>
      </c>
      <c r="R20" s="67">
        <f t="shared" si="6"/>
        <v>0</v>
      </c>
      <c r="S20" s="58">
        <v>859138.6</v>
      </c>
      <c r="T20" s="67">
        <f t="shared" si="7"/>
        <v>176.40000000002328</v>
      </c>
      <c r="U20" s="58">
        <v>351266</v>
      </c>
      <c r="V20" s="67">
        <f t="shared" si="8"/>
        <v>109.09999999997672</v>
      </c>
      <c r="W20" s="58">
        <v>343.92</v>
      </c>
      <c r="X20" s="65">
        <f t="shared" si="9"/>
        <v>210.00000000003638</v>
      </c>
      <c r="Y20" s="58">
        <v>2.4438</v>
      </c>
      <c r="Z20" s="65">
        <f t="shared" si="10"/>
        <v>500.00000000016701</v>
      </c>
      <c r="AA20" s="58">
        <v>335.8</v>
      </c>
      <c r="AB20" s="65">
        <f t="shared" si="11"/>
        <v>100.00000000002274</v>
      </c>
      <c r="AC20" s="58">
        <v>323.77</v>
      </c>
      <c r="AD20" s="65">
        <f t="shared" si="12"/>
        <v>159.99999999996817</v>
      </c>
      <c r="AE20" s="58">
        <v>506.08</v>
      </c>
      <c r="AF20" s="65">
        <f t="shared" si="13"/>
        <v>159.99999999996817</v>
      </c>
      <c r="AG20" s="58">
        <v>1406.4</v>
      </c>
      <c r="AH20" s="67">
        <f t="shared" si="14"/>
        <v>1</v>
      </c>
      <c r="AI20" s="58">
        <v>478.86</v>
      </c>
      <c r="AJ20" s="65">
        <f t="shared" si="15"/>
        <v>240.00000000000909</v>
      </c>
      <c r="AK20" s="58">
        <v>165.9</v>
      </c>
      <c r="AL20" s="65">
        <f t="shared" si="15"/>
        <v>159.99999999999659</v>
      </c>
      <c r="AM20" s="58">
        <v>162.79</v>
      </c>
      <c r="AN20" s="65">
        <f t="shared" si="15"/>
        <v>259.99999999999091</v>
      </c>
      <c r="AO20" s="58">
        <v>158.03</v>
      </c>
      <c r="AP20" s="65">
        <f t="shared" si="15"/>
        <v>199.99999999998863</v>
      </c>
      <c r="AQ20" s="58">
        <v>222.21</v>
      </c>
      <c r="AR20" s="65">
        <f t="shared" si="16"/>
        <v>50.000000000011369</v>
      </c>
      <c r="AS20" s="58">
        <v>347.59</v>
      </c>
      <c r="AT20" s="65">
        <f t="shared" si="17"/>
        <v>29.999999999972715</v>
      </c>
      <c r="AU20" s="58">
        <v>268.19</v>
      </c>
      <c r="AV20" s="65">
        <f t="shared" si="18"/>
        <v>29.999999999972715</v>
      </c>
      <c r="AW20" s="58">
        <v>295.62</v>
      </c>
      <c r="AX20" s="65">
        <f t="shared" si="19"/>
        <v>19.99999999998181</v>
      </c>
      <c r="AY20" s="58">
        <v>346.94</v>
      </c>
      <c r="AZ20" s="65">
        <f t="shared" si="20"/>
        <v>40.000000000020464</v>
      </c>
      <c r="BA20" s="58">
        <v>366.68</v>
      </c>
      <c r="BB20" s="65">
        <f t="shared" si="21"/>
        <v>30.000000000029559</v>
      </c>
      <c r="BC20" s="58">
        <v>233.2</v>
      </c>
      <c r="BD20" s="65">
        <f t="shared" si="22"/>
        <v>30.000000000001137</v>
      </c>
      <c r="BE20" s="59">
        <v>32120</v>
      </c>
      <c r="BF20" s="67">
        <f t="shared" si="39"/>
        <v>36</v>
      </c>
      <c r="BG20" s="60">
        <v>226.36</v>
      </c>
      <c r="BH20" s="65">
        <f t="shared" si="23"/>
        <v>10.000000000019327</v>
      </c>
      <c r="BI20" s="60">
        <v>284.37</v>
      </c>
      <c r="BJ20" s="65">
        <f t="shared" si="40"/>
        <v>19.99999999998181</v>
      </c>
      <c r="BK20" s="60">
        <v>231.55</v>
      </c>
      <c r="BL20" s="65">
        <f t="shared" si="24"/>
        <v>0</v>
      </c>
      <c r="BM20" s="60">
        <v>216.04</v>
      </c>
      <c r="BN20" s="65">
        <f t="shared" si="25"/>
        <v>30.000000000001137</v>
      </c>
      <c r="BO20" s="60">
        <v>280.99</v>
      </c>
      <c r="BP20" s="65">
        <f t="shared" si="26"/>
        <v>19.99999999998181</v>
      </c>
      <c r="BQ20" s="60">
        <v>40185</v>
      </c>
      <c r="BR20" s="65">
        <f t="shared" si="27"/>
        <v>15</v>
      </c>
      <c r="BS20" s="60">
        <v>194.56</v>
      </c>
      <c r="BT20" s="65">
        <f t="shared" si="42"/>
        <v>9.9999999999909051</v>
      </c>
      <c r="BU20" s="60">
        <v>32518</v>
      </c>
      <c r="BV20" s="65">
        <f t="shared" si="29"/>
        <v>49</v>
      </c>
      <c r="BW20" s="60">
        <v>226.07</v>
      </c>
      <c r="BX20" s="65">
        <f t="shared" si="30"/>
        <v>9.9999999999909051</v>
      </c>
      <c r="BY20" s="60">
        <v>50941</v>
      </c>
      <c r="BZ20" s="67">
        <f t="shared" si="31"/>
        <v>23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50678.5</v>
      </c>
      <c r="CH20" s="67">
        <f t="shared" si="35"/>
        <v>23</v>
      </c>
      <c r="CI20" s="60">
        <v>883561</v>
      </c>
      <c r="CJ20" s="67">
        <f t="shared" si="36"/>
        <v>233</v>
      </c>
      <c r="CK20" s="60">
        <v>619</v>
      </c>
      <c r="CL20" s="64">
        <f t="shared" si="37"/>
        <v>440.00000000005457</v>
      </c>
      <c r="CM20" s="65">
        <f t="shared" si="41"/>
        <v>12.599999999999909</v>
      </c>
      <c r="CN20" s="62">
        <v>0</v>
      </c>
      <c r="CO20" s="62">
        <v>0</v>
      </c>
      <c r="CP20" s="68">
        <v>1263.5999999999999</v>
      </c>
      <c r="CQ20" s="67">
        <f t="shared" si="38"/>
        <v>10.599999999999909</v>
      </c>
      <c r="CR20" s="68">
        <v>10660</v>
      </c>
      <c r="CS20" s="67">
        <f t="shared" si="38"/>
        <v>2</v>
      </c>
      <c r="CT20" s="75">
        <v>3328</v>
      </c>
      <c r="CU20" s="67">
        <f t="shared" si="38"/>
        <v>11</v>
      </c>
      <c r="CV20" s="68">
        <v>9612</v>
      </c>
      <c r="CW20" s="67">
        <f t="shared" si="38"/>
        <v>16</v>
      </c>
    </row>
    <row r="21" spans="1:101" ht="25.5" customHeight="1" thickBot="1" x14ac:dyDescent="0.45">
      <c r="A21" s="63">
        <v>44122</v>
      </c>
      <c r="B21" s="44"/>
      <c r="C21" s="58">
        <v>1.8638999999999999</v>
      </c>
      <c r="D21" s="64">
        <f t="shared" si="0"/>
        <v>1299.9999999998568</v>
      </c>
      <c r="E21" s="58">
        <v>2.7894000000000001</v>
      </c>
      <c r="F21" s="64">
        <f t="shared" si="1"/>
        <v>599.99999999993395</v>
      </c>
      <c r="G21" s="58">
        <v>2.7652000000000001</v>
      </c>
      <c r="H21" s="64">
        <f t="shared" si="2"/>
        <v>1300.0000000000789</v>
      </c>
      <c r="I21" s="58">
        <v>1.3435999999999999</v>
      </c>
      <c r="J21" s="64">
        <f t="shared" si="3"/>
        <v>899.99999999990087</v>
      </c>
      <c r="K21" s="58">
        <v>2.1335999999999999</v>
      </c>
      <c r="L21" s="64">
        <f t="shared" si="4"/>
        <v>1799.9999999998017</v>
      </c>
      <c r="M21" s="58">
        <v>1.264</v>
      </c>
      <c r="N21" s="64">
        <f t="shared" si="5"/>
        <v>499.99999999994492</v>
      </c>
      <c r="O21" s="58">
        <v>12673</v>
      </c>
      <c r="P21" s="67">
        <f t="shared" si="44"/>
        <v>1</v>
      </c>
      <c r="Q21" s="58">
        <v>5864</v>
      </c>
      <c r="R21" s="67">
        <f t="shared" si="6"/>
        <v>0</v>
      </c>
      <c r="S21" s="58">
        <v>859253.6</v>
      </c>
      <c r="T21" s="67">
        <f t="shared" si="7"/>
        <v>115</v>
      </c>
      <c r="U21" s="58">
        <v>351323.2</v>
      </c>
      <c r="V21" s="67">
        <f t="shared" si="8"/>
        <v>57.200000000011642</v>
      </c>
      <c r="W21" s="58">
        <v>344.02</v>
      </c>
      <c r="X21" s="65">
        <f t="shared" si="9"/>
        <v>99.999999999965894</v>
      </c>
      <c r="Y21" s="58">
        <v>2.4441999999999999</v>
      </c>
      <c r="Z21" s="65">
        <f t="shared" si="10"/>
        <v>399.99999999995595</v>
      </c>
      <c r="AA21" s="58">
        <v>335.9</v>
      </c>
      <c r="AB21" s="65">
        <f t="shared" si="11"/>
        <v>99.999999999965894</v>
      </c>
      <c r="AC21" s="58">
        <v>323.92</v>
      </c>
      <c r="AD21" s="65">
        <f t="shared" si="12"/>
        <v>150.00000000003411</v>
      </c>
      <c r="AE21" s="58">
        <v>506.22</v>
      </c>
      <c r="AF21" s="65">
        <f t="shared" si="13"/>
        <v>140.0000000000432</v>
      </c>
      <c r="AG21" s="58">
        <v>1407.5</v>
      </c>
      <c r="AH21" s="67">
        <f t="shared" si="14"/>
        <v>1.0999999999999091</v>
      </c>
      <c r="AI21" s="58">
        <v>479.12</v>
      </c>
      <c r="AJ21" s="65">
        <f t="shared" si="15"/>
        <v>259.99999999999091</v>
      </c>
      <c r="AK21" s="58">
        <v>166.06</v>
      </c>
      <c r="AL21" s="65">
        <f t="shared" si="15"/>
        <v>159.99999999999659</v>
      </c>
      <c r="AM21" s="58">
        <v>163.06</v>
      </c>
      <c r="AN21" s="65">
        <f t="shared" si="15"/>
        <v>270.00000000001023</v>
      </c>
      <c r="AO21" s="58">
        <v>158.19</v>
      </c>
      <c r="AP21" s="65">
        <f t="shared" si="15"/>
        <v>159.99999999999659</v>
      </c>
      <c r="AQ21" s="58">
        <v>222.24</v>
      </c>
      <c r="AR21" s="65">
        <f t="shared" si="16"/>
        <v>30.000000000001137</v>
      </c>
      <c r="AS21" s="58">
        <v>347.63</v>
      </c>
      <c r="AT21" s="65">
        <f t="shared" si="17"/>
        <v>40.000000000020464</v>
      </c>
      <c r="AU21" s="58">
        <v>268.22000000000003</v>
      </c>
      <c r="AV21" s="65">
        <f t="shared" si="18"/>
        <v>30.000000000029559</v>
      </c>
      <c r="AW21" s="58">
        <v>295.64999999999998</v>
      </c>
      <c r="AX21" s="65">
        <f t="shared" si="19"/>
        <v>29.999999999972715</v>
      </c>
      <c r="AY21" s="58">
        <v>346.97</v>
      </c>
      <c r="AZ21" s="65">
        <f t="shared" si="20"/>
        <v>30.000000000029559</v>
      </c>
      <c r="BA21" s="58">
        <v>366.71</v>
      </c>
      <c r="BB21" s="65">
        <f t="shared" si="21"/>
        <v>29.999999999972715</v>
      </c>
      <c r="BC21" s="58">
        <v>233.22</v>
      </c>
      <c r="BD21" s="65">
        <f t="shared" si="22"/>
        <v>20.000000000010232</v>
      </c>
      <c r="BE21" s="59">
        <v>32148</v>
      </c>
      <c r="BF21" s="67">
        <f t="shared" si="39"/>
        <v>28</v>
      </c>
      <c r="BG21" s="60">
        <v>226.38</v>
      </c>
      <c r="BH21" s="65">
        <f t="shared" si="23"/>
        <v>19.99999999998181</v>
      </c>
      <c r="BI21" s="60">
        <v>284.38</v>
      </c>
      <c r="BJ21" s="65">
        <f t="shared" si="40"/>
        <v>9.9999999999909051</v>
      </c>
      <c r="BK21" s="60">
        <v>231.55</v>
      </c>
      <c r="BL21" s="65">
        <f t="shared" si="24"/>
        <v>0</v>
      </c>
      <c r="BM21" s="60">
        <v>216.07</v>
      </c>
      <c r="BN21" s="65">
        <f t="shared" si="25"/>
        <v>30.000000000001137</v>
      </c>
      <c r="BO21" s="60">
        <v>281.02</v>
      </c>
      <c r="BP21" s="65">
        <f t="shared" si="26"/>
        <v>29.999999999972715</v>
      </c>
      <c r="BQ21" s="60">
        <v>40199</v>
      </c>
      <c r="BR21" s="65">
        <f t="shared" si="27"/>
        <v>14</v>
      </c>
      <c r="BS21" s="60">
        <v>194.58</v>
      </c>
      <c r="BT21" s="65">
        <f t="shared" si="42"/>
        <v>20.000000000010232</v>
      </c>
      <c r="BU21" s="60">
        <v>32568</v>
      </c>
      <c r="BV21" s="65">
        <f t="shared" si="29"/>
        <v>50</v>
      </c>
      <c r="BW21" s="60">
        <v>226.08</v>
      </c>
      <c r="BX21" s="65">
        <f t="shared" si="30"/>
        <v>10.000000000019327</v>
      </c>
      <c r="BY21" s="60">
        <v>50965</v>
      </c>
      <c r="BZ21" s="67">
        <f t="shared" si="31"/>
        <v>24</v>
      </c>
      <c r="CA21" s="60">
        <v>27515.599999999999</v>
      </c>
      <c r="CB21" s="67">
        <f t="shared" si="32"/>
        <v>0</v>
      </c>
      <c r="CC21" s="60">
        <v>11255.6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50693.8</v>
      </c>
      <c r="CH21" s="67">
        <f t="shared" si="35"/>
        <v>15.30000000000291</v>
      </c>
      <c r="CI21" s="60">
        <v>883784</v>
      </c>
      <c r="CJ21" s="67">
        <f t="shared" si="36"/>
        <v>223</v>
      </c>
      <c r="CK21" s="60">
        <v>619.37</v>
      </c>
      <c r="CL21" s="64">
        <f t="shared" si="37"/>
        <v>370.00000000000455</v>
      </c>
      <c r="CM21" s="65">
        <f t="shared" si="41"/>
        <v>28.200000000000045</v>
      </c>
      <c r="CN21" s="62">
        <v>0</v>
      </c>
      <c r="CO21" s="62">
        <v>0</v>
      </c>
      <c r="CP21" s="68">
        <v>1272.8</v>
      </c>
      <c r="CQ21" s="67">
        <f t="shared" si="38"/>
        <v>9.2000000000000455</v>
      </c>
      <c r="CR21" s="68">
        <v>10679</v>
      </c>
      <c r="CS21" s="67">
        <f t="shared" si="38"/>
        <v>19</v>
      </c>
      <c r="CT21" s="75">
        <v>3340</v>
      </c>
      <c r="CU21" s="67">
        <f t="shared" si="38"/>
        <v>12</v>
      </c>
      <c r="CV21" s="68">
        <v>9633</v>
      </c>
      <c r="CW21" s="67">
        <f t="shared" si="38"/>
        <v>21</v>
      </c>
    </row>
    <row r="22" spans="1:101" ht="25.5" customHeight="1" thickBot="1" x14ac:dyDescent="0.45">
      <c r="A22" s="63">
        <v>44123</v>
      </c>
      <c r="B22" s="44"/>
      <c r="C22" s="58">
        <v>1.8652</v>
      </c>
      <c r="D22" s="64">
        <f t="shared" si="0"/>
        <v>1300.0000000000789</v>
      </c>
      <c r="E22" s="58">
        <v>2.7900999999999998</v>
      </c>
      <c r="F22" s="64">
        <f t="shared" si="1"/>
        <v>699.99999999970089</v>
      </c>
      <c r="G22" s="58">
        <v>2.7669999999999999</v>
      </c>
      <c r="H22" s="64">
        <f t="shared" si="2"/>
        <v>1799.9999999998017</v>
      </c>
      <c r="I22" s="58">
        <v>1.3444</v>
      </c>
      <c r="J22" s="64">
        <f t="shared" si="3"/>
        <v>800.00000000013392</v>
      </c>
      <c r="K22" s="58">
        <v>2.1352000000000002</v>
      </c>
      <c r="L22" s="64">
        <f t="shared" si="4"/>
        <v>1600.0000000002678</v>
      </c>
      <c r="M22" s="58">
        <v>1.2645999999999999</v>
      </c>
      <c r="N22" s="64">
        <f t="shared" si="5"/>
        <v>599.99999999993395</v>
      </c>
      <c r="O22" s="58">
        <v>12673</v>
      </c>
      <c r="P22" s="67">
        <f t="shared" si="44"/>
        <v>0</v>
      </c>
      <c r="Q22" s="58">
        <v>5864</v>
      </c>
      <c r="R22" s="67">
        <f t="shared" si="6"/>
        <v>0</v>
      </c>
      <c r="S22" s="58">
        <v>859651.8</v>
      </c>
      <c r="T22" s="67">
        <f t="shared" si="7"/>
        <v>398.20000000006985</v>
      </c>
      <c r="U22" s="58">
        <v>351487</v>
      </c>
      <c r="V22" s="67">
        <f t="shared" si="8"/>
        <v>163.79999999998836</v>
      </c>
      <c r="W22" s="58">
        <v>344.13</v>
      </c>
      <c r="X22" s="65">
        <f t="shared" si="9"/>
        <v>110.00000000001364</v>
      </c>
      <c r="Y22" s="58">
        <v>2.4447000000000001</v>
      </c>
      <c r="Z22" s="65">
        <f t="shared" si="10"/>
        <v>500.00000000016701</v>
      </c>
      <c r="AA22" s="58">
        <v>336</v>
      </c>
      <c r="AB22" s="65">
        <f t="shared" si="11"/>
        <v>100.00000000002274</v>
      </c>
      <c r="AC22" s="58">
        <v>324.08</v>
      </c>
      <c r="AD22" s="65">
        <f t="shared" si="12"/>
        <v>159.99999999996817</v>
      </c>
      <c r="AE22" s="58">
        <v>506.48</v>
      </c>
      <c r="AF22" s="65">
        <f t="shared" si="13"/>
        <v>259.99999999999091</v>
      </c>
      <c r="AG22" s="58">
        <v>1408.5</v>
      </c>
      <c r="AH22" s="67">
        <f t="shared" si="14"/>
        <v>1</v>
      </c>
      <c r="AI22" s="58">
        <v>479.32</v>
      </c>
      <c r="AJ22" s="65">
        <f t="shared" si="15"/>
        <v>199.99999999998863</v>
      </c>
      <c r="AK22" s="58">
        <v>166.22</v>
      </c>
      <c r="AL22" s="65">
        <f t="shared" si="15"/>
        <v>159.99999999999659</v>
      </c>
      <c r="AM22" s="58">
        <v>163.34</v>
      </c>
      <c r="AN22" s="65">
        <f t="shared" si="15"/>
        <v>280.00000000000114</v>
      </c>
      <c r="AO22" s="58">
        <v>158.37</v>
      </c>
      <c r="AP22" s="65">
        <f t="shared" si="15"/>
        <v>180.00000000000682</v>
      </c>
      <c r="AQ22" s="58">
        <v>222.28</v>
      </c>
      <c r="AR22" s="65">
        <f t="shared" si="16"/>
        <v>39.999999999992042</v>
      </c>
      <c r="AS22" s="58">
        <v>347.67</v>
      </c>
      <c r="AT22" s="65">
        <f t="shared" si="17"/>
        <v>40.000000000020464</v>
      </c>
      <c r="AU22" s="58">
        <v>268.26</v>
      </c>
      <c r="AV22" s="65">
        <f t="shared" si="18"/>
        <v>39.99999999996362</v>
      </c>
      <c r="AW22" s="58">
        <v>295.68</v>
      </c>
      <c r="AX22" s="65">
        <f t="shared" si="19"/>
        <v>30.000000000029559</v>
      </c>
      <c r="AY22" s="58">
        <v>346.99</v>
      </c>
      <c r="AZ22" s="65">
        <f t="shared" si="20"/>
        <v>19.99999999998181</v>
      </c>
      <c r="BA22" s="58">
        <v>366.74</v>
      </c>
      <c r="BB22" s="65">
        <f t="shared" si="21"/>
        <v>30.000000000029559</v>
      </c>
      <c r="BC22" s="58">
        <v>233.25</v>
      </c>
      <c r="BD22" s="65">
        <f t="shared" si="22"/>
        <v>30.000000000001137</v>
      </c>
      <c r="BE22" s="59">
        <v>32167</v>
      </c>
      <c r="BF22" s="67">
        <f t="shared" si="39"/>
        <v>19</v>
      </c>
      <c r="BG22" s="60">
        <v>226.4</v>
      </c>
      <c r="BH22" s="65">
        <f t="shared" si="23"/>
        <v>20.000000000010232</v>
      </c>
      <c r="BI22" s="60">
        <v>284.39</v>
      </c>
      <c r="BJ22" s="65">
        <f t="shared" si="40"/>
        <v>9.9999999999909051</v>
      </c>
      <c r="BK22" s="60">
        <v>231.55</v>
      </c>
      <c r="BL22" s="65">
        <f t="shared" si="24"/>
        <v>0</v>
      </c>
      <c r="BM22" s="60">
        <v>216.09</v>
      </c>
      <c r="BN22" s="65">
        <f t="shared" si="25"/>
        <v>20.000000000010232</v>
      </c>
      <c r="BO22" s="60">
        <v>281.04000000000002</v>
      </c>
      <c r="BP22" s="65">
        <f t="shared" si="26"/>
        <v>20.000000000038654</v>
      </c>
      <c r="BQ22" s="60">
        <v>40212</v>
      </c>
      <c r="BR22" s="65">
        <f t="shared" si="27"/>
        <v>13</v>
      </c>
      <c r="BS22" s="60">
        <v>194.59</v>
      </c>
      <c r="BT22" s="65">
        <f t="shared" si="42"/>
        <v>9.9999999999909051</v>
      </c>
      <c r="BU22" s="60">
        <v>32614</v>
      </c>
      <c r="BV22" s="65">
        <f t="shared" si="29"/>
        <v>46</v>
      </c>
      <c r="BW22" s="60">
        <v>226.09</v>
      </c>
      <c r="BX22" s="65">
        <f t="shared" si="30"/>
        <v>9.9999999999909051</v>
      </c>
      <c r="BY22" s="60">
        <v>50985</v>
      </c>
      <c r="BZ22" s="67">
        <f t="shared" si="31"/>
        <v>20</v>
      </c>
      <c r="CA22" s="60">
        <v>27515.599999999999</v>
      </c>
      <c r="CB22" s="67">
        <f t="shared" si="32"/>
        <v>0</v>
      </c>
      <c r="CC22" s="60">
        <v>11255.6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50715.5</v>
      </c>
      <c r="CH22" s="67">
        <f t="shared" si="35"/>
        <v>21.69999999999709</v>
      </c>
      <c r="CI22" s="60">
        <v>883997</v>
      </c>
      <c r="CJ22" s="67">
        <f t="shared" si="36"/>
        <v>213</v>
      </c>
      <c r="CK22" s="60">
        <v>619.88</v>
      </c>
      <c r="CL22" s="64">
        <f t="shared" si="37"/>
        <v>509.99999999999091</v>
      </c>
      <c r="CM22" s="65">
        <f t="shared" si="41"/>
        <v>24.799999999999955</v>
      </c>
      <c r="CN22" s="62">
        <v>0</v>
      </c>
      <c r="CO22" s="62">
        <v>0</v>
      </c>
      <c r="CP22" s="68">
        <v>1288.5999999999999</v>
      </c>
      <c r="CQ22" s="67">
        <f t="shared" si="38"/>
        <v>15.799999999999955</v>
      </c>
      <c r="CR22" s="68">
        <v>10688</v>
      </c>
      <c r="CS22" s="67">
        <f t="shared" si="38"/>
        <v>9</v>
      </c>
      <c r="CT22" s="75">
        <v>3351</v>
      </c>
      <c r="CU22" s="67">
        <f t="shared" si="38"/>
        <v>11</v>
      </c>
      <c r="CV22" s="68">
        <v>9653</v>
      </c>
      <c r="CW22" s="67">
        <f t="shared" si="38"/>
        <v>20</v>
      </c>
    </row>
    <row r="23" spans="1:101" ht="25.5" customHeight="1" thickBot="1" x14ac:dyDescent="0.45">
      <c r="A23" s="63">
        <v>44124</v>
      </c>
      <c r="B23" s="44"/>
      <c r="C23" s="58">
        <v>1.8665</v>
      </c>
      <c r="D23" s="64">
        <f t="shared" si="0"/>
        <v>1300.0000000000789</v>
      </c>
      <c r="E23" s="58">
        <v>2.7907000000000002</v>
      </c>
      <c r="F23" s="64">
        <f t="shared" si="1"/>
        <v>600.00000000037801</v>
      </c>
      <c r="G23" s="58">
        <v>2.7688999999999999</v>
      </c>
      <c r="H23" s="64">
        <f t="shared" si="2"/>
        <v>1900.0000000000127</v>
      </c>
      <c r="I23" s="58">
        <v>1.3452999999999999</v>
      </c>
      <c r="J23" s="64">
        <f t="shared" si="3"/>
        <v>899.99999999990087</v>
      </c>
      <c r="K23" s="58">
        <v>2.137</v>
      </c>
      <c r="L23" s="64">
        <f t="shared" si="4"/>
        <v>1799.9999999998017</v>
      </c>
      <c r="M23" s="58">
        <v>1.2650999999999999</v>
      </c>
      <c r="N23" s="64">
        <f t="shared" si="5"/>
        <v>499.99999999994492</v>
      </c>
      <c r="O23" s="58">
        <v>12674</v>
      </c>
      <c r="P23" s="67">
        <f t="shared" si="44"/>
        <v>1</v>
      </c>
      <c r="Q23" s="58">
        <v>5872</v>
      </c>
      <c r="R23" s="67">
        <f t="shared" si="6"/>
        <v>8</v>
      </c>
      <c r="S23" s="58">
        <v>860002.4</v>
      </c>
      <c r="T23" s="67">
        <f t="shared" si="7"/>
        <v>350.59999999997672</v>
      </c>
      <c r="U23" s="58">
        <v>351669.9</v>
      </c>
      <c r="V23" s="67">
        <f t="shared" si="8"/>
        <v>182.90000000002328</v>
      </c>
      <c r="W23" s="58">
        <v>344.23</v>
      </c>
      <c r="X23" s="65">
        <f t="shared" si="9"/>
        <v>100.00000000002274</v>
      </c>
      <c r="Y23" s="58">
        <v>2.4451000000000001</v>
      </c>
      <c r="Z23" s="65">
        <f t="shared" si="10"/>
        <v>399.99999999995595</v>
      </c>
      <c r="AA23" s="58">
        <v>336.06</v>
      </c>
      <c r="AB23" s="65">
        <f t="shared" si="11"/>
        <v>60.000000000002274</v>
      </c>
      <c r="AC23" s="58">
        <v>324.22000000000003</v>
      </c>
      <c r="AD23" s="65">
        <f t="shared" si="12"/>
        <v>140.0000000000432</v>
      </c>
      <c r="AE23" s="58">
        <v>506.67</v>
      </c>
      <c r="AF23" s="65">
        <f t="shared" si="13"/>
        <v>189.99999999999773</v>
      </c>
      <c r="AG23" s="58">
        <v>1409.6</v>
      </c>
      <c r="AH23" s="67">
        <f t="shared" si="14"/>
        <v>1.0999999999999091</v>
      </c>
      <c r="AI23" s="58">
        <v>479.52</v>
      </c>
      <c r="AJ23" s="65">
        <f t="shared" si="15"/>
        <v>199.99999999998863</v>
      </c>
      <c r="AK23" s="58">
        <v>166.37</v>
      </c>
      <c r="AL23" s="65">
        <f t="shared" si="15"/>
        <v>150.00000000000568</v>
      </c>
      <c r="AM23" s="58">
        <v>163.6</v>
      </c>
      <c r="AN23" s="65">
        <f t="shared" si="15"/>
        <v>259.99999999999091</v>
      </c>
      <c r="AO23" s="58">
        <v>158.54</v>
      </c>
      <c r="AP23" s="65">
        <f t="shared" si="15"/>
        <v>169.99999999998749</v>
      </c>
      <c r="AQ23" s="58">
        <v>222.33</v>
      </c>
      <c r="AR23" s="65">
        <f t="shared" si="16"/>
        <v>50.000000000011369</v>
      </c>
      <c r="AS23" s="58">
        <v>347.7</v>
      </c>
      <c r="AT23" s="65">
        <f t="shared" si="17"/>
        <v>29.999999999972715</v>
      </c>
      <c r="AU23" s="58">
        <v>268.31</v>
      </c>
      <c r="AV23" s="65">
        <f t="shared" si="18"/>
        <v>50.000000000011369</v>
      </c>
      <c r="AW23" s="58">
        <v>295.7</v>
      </c>
      <c r="AX23" s="65">
        <f t="shared" si="19"/>
        <v>19.99999999998181</v>
      </c>
      <c r="AY23" s="58">
        <v>347.03</v>
      </c>
      <c r="AZ23" s="65">
        <f t="shared" si="20"/>
        <v>39.99999999996362</v>
      </c>
      <c r="BA23" s="58">
        <v>366.77</v>
      </c>
      <c r="BB23" s="65">
        <f t="shared" si="21"/>
        <v>29.999999999972715</v>
      </c>
      <c r="BC23" s="58">
        <v>233.28</v>
      </c>
      <c r="BD23" s="65">
        <f t="shared" si="22"/>
        <v>30.000000000001137</v>
      </c>
      <c r="BE23" s="59">
        <v>32191</v>
      </c>
      <c r="BF23" s="67">
        <f t="shared" si="39"/>
        <v>24</v>
      </c>
      <c r="BG23" s="60">
        <v>226.41</v>
      </c>
      <c r="BH23" s="65">
        <f t="shared" si="23"/>
        <v>9.9999999999909051</v>
      </c>
      <c r="BI23" s="60">
        <v>284.41000000000003</v>
      </c>
      <c r="BJ23" s="65">
        <f t="shared" si="40"/>
        <v>20.000000000038654</v>
      </c>
      <c r="BK23" s="60">
        <v>231.55</v>
      </c>
      <c r="BL23" s="65">
        <f t="shared" si="24"/>
        <v>0</v>
      </c>
      <c r="BM23" s="60">
        <v>216.11</v>
      </c>
      <c r="BN23" s="65">
        <f t="shared" si="25"/>
        <v>20.000000000010232</v>
      </c>
      <c r="BO23" s="60">
        <v>281.06</v>
      </c>
      <c r="BP23" s="65">
        <f t="shared" si="26"/>
        <v>19.99999999998181</v>
      </c>
      <c r="BQ23" s="60">
        <v>40227</v>
      </c>
      <c r="BR23" s="65">
        <f t="shared" si="27"/>
        <v>15</v>
      </c>
      <c r="BS23" s="60">
        <v>194.61</v>
      </c>
      <c r="BT23" s="65">
        <f t="shared" si="42"/>
        <v>20.000000000010232</v>
      </c>
      <c r="BU23" s="60">
        <v>32664</v>
      </c>
      <c r="BV23" s="65">
        <f t="shared" si="29"/>
        <v>50</v>
      </c>
      <c r="BW23" s="60">
        <v>226.11</v>
      </c>
      <c r="BX23" s="65">
        <f t="shared" si="30"/>
        <v>20.000000000010232</v>
      </c>
      <c r="BY23" s="60">
        <v>51012</v>
      </c>
      <c r="BZ23" s="67">
        <f t="shared" si="31"/>
        <v>27</v>
      </c>
      <c r="CA23" s="60">
        <v>27515.599999999999</v>
      </c>
      <c r="CB23" s="67">
        <f t="shared" si="32"/>
        <v>0</v>
      </c>
      <c r="CC23" s="60">
        <v>11255.6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50732.7</v>
      </c>
      <c r="CH23" s="67">
        <f t="shared" si="35"/>
        <v>17.19999999999709</v>
      </c>
      <c r="CI23" s="60">
        <v>884214</v>
      </c>
      <c r="CJ23" s="67">
        <f t="shared" si="36"/>
        <v>217</v>
      </c>
      <c r="CK23" s="60">
        <v>620.41</v>
      </c>
      <c r="CL23" s="64">
        <f t="shared" si="37"/>
        <v>529.99999999997272</v>
      </c>
      <c r="CM23" s="65">
        <f t="shared" si="41"/>
        <v>37.700000000000045</v>
      </c>
      <c r="CN23" s="62">
        <v>0</v>
      </c>
      <c r="CO23" s="62">
        <v>0</v>
      </c>
      <c r="CP23" s="68">
        <v>1307.3</v>
      </c>
      <c r="CQ23" s="67">
        <f t="shared" si="38"/>
        <v>18.700000000000045</v>
      </c>
      <c r="CR23" s="68">
        <v>10707</v>
      </c>
      <c r="CS23" s="67">
        <f t="shared" si="38"/>
        <v>19</v>
      </c>
      <c r="CT23" s="75">
        <v>3362</v>
      </c>
      <c r="CU23" s="67">
        <f t="shared" si="38"/>
        <v>11</v>
      </c>
      <c r="CV23" s="68">
        <v>9673</v>
      </c>
      <c r="CW23" s="67">
        <f t="shared" si="38"/>
        <v>20</v>
      </c>
    </row>
    <row r="24" spans="1:101" ht="25.5" customHeight="1" thickBot="1" x14ac:dyDescent="0.45">
      <c r="A24" s="63">
        <v>44125</v>
      </c>
      <c r="B24" s="44"/>
      <c r="C24" s="58">
        <v>1.8676999999999999</v>
      </c>
      <c r="D24" s="64">
        <f t="shared" si="0"/>
        <v>1199.9999999998679</v>
      </c>
      <c r="E24" s="58">
        <v>2.7913000000000001</v>
      </c>
      <c r="F24" s="64">
        <f t="shared" si="1"/>
        <v>599.99999999993395</v>
      </c>
      <c r="G24" s="58">
        <v>2.7707000000000002</v>
      </c>
      <c r="H24" s="64">
        <f t="shared" si="2"/>
        <v>1800.0000000002458</v>
      </c>
      <c r="I24" s="58">
        <v>1.3462000000000001</v>
      </c>
      <c r="J24" s="64">
        <f t="shared" si="3"/>
        <v>900.0000000001229</v>
      </c>
      <c r="K24" s="58">
        <v>2.1387</v>
      </c>
      <c r="L24" s="64">
        <f t="shared" si="4"/>
        <v>1700.0000000000348</v>
      </c>
      <c r="M24" s="58">
        <v>1.2656000000000001</v>
      </c>
      <c r="N24" s="64">
        <f t="shared" si="5"/>
        <v>500.00000000016701</v>
      </c>
      <c r="O24" s="58">
        <v>12674</v>
      </c>
      <c r="P24" s="67">
        <f t="shared" si="44"/>
        <v>0</v>
      </c>
      <c r="Q24" s="58">
        <v>5882</v>
      </c>
      <c r="R24" s="67">
        <f t="shared" si="6"/>
        <v>10</v>
      </c>
      <c r="S24" s="58">
        <v>860301.4</v>
      </c>
      <c r="T24" s="67">
        <f t="shared" si="7"/>
        <v>299</v>
      </c>
      <c r="U24" s="58">
        <v>351818.8</v>
      </c>
      <c r="V24" s="67">
        <f t="shared" si="8"/>
        <v>148.89999999996508</v>
      </c>
      <c r="W24" s="58">
        <v>344.32</v>
      </c>
      <c r="X24" s="65">
        <f t="shared" si="9"/>
        <v>89.999999999974989</v>
      </c>
      <c r="Y24" s="58">
        <v>2.4455</v>
      </c>
      <c r="Z24" s="65">
        <f t="shared" si="10"/>
        <v>399.99999999995595</v>
      </c>
      <c r="AA24" s="58">
        <v>336.12</v>
      </c>
      <c r="AB24" s="65">
        <f t="shared" si="11"/>
        <v>60.000000000002274</v>
      </c>
      <c r="AC24" s="58">
        <v>324.36</v>
      </c>
      <c r="AD24" s="65">
        <f t="shared" si="12"/>
        <v>139.99999999998636</v>
      </c>
      <c r="AE24" s="58">
        <v>506.85</v>
      </c>
      <c r="AF24" s="65">
        <f t="shared" si="13"/>
        <v>180.00000000000682</v>
      </c>
      <c r="AG24" s="58">
        <v>1410.8</v>
      </c>
      <c r="AH24" s="67">
        <f t="shared" si="14"/>
        <v>1.2000000000000455</v>
      </c>
      <c r="AI24" s="58">
        <v>479.72</v>
      </c>
      <c r="AJ24" s="65">
        <f t="shared" si="15"/>
        <v>200.00000000004547</v>
      </c>
      <c r="AK24" s="58">
        <v>166.53</v>
      </c>
      <c r="AL24" s="65">
        <f t="shared" si="15"/>
        <v>159.99999999999659</v>
      </c>
      <c r="AM24" s="58">
        <v>163.88</v>
      </c>
      <c r="AN24" s="65">
        <f t="shared" si="15"/>
        <v>280.00000000000114</v>
      </c>
      <c r="AO24" s="58">
        <v>158.69</v>
      </c>
      <c r="AP24" s="65">
        <f t="shared" si="15"/>
        <v>150.00000000000568</v>
      </c>
      <c r="AQ24" s="58">
        <v>222.37</v>
      </c>
      <c r="AR24" s="65">
        <f t="shared" si="16"/>
        <v>39.999999999992042</v>
      </c>
      <c r="AS24" s="58">
        <v>347.75</v>
      </c>
      <c r="AT24" s="65">
        <f t="shared" si="17"/>
        <v>50.000000000011369</v>
      </c>
      <c r="AU24" s="58">
        <v>268.35000000000002</v>
      </c>
      <c r="AV24" s="65">
        <f t="shared" si="18"/>
        <v>40.000000000020464</v>
      </c>
      <c r="AW24" s="58">
        <v>295.73</v>
      </c>
      <c r="AX24" s="65">
        <f t="shared" si="19"/>
        <v>30.000000000029559</v>
      </c>
      <c r="AY24" s="58">
        <v>347.06</v>
      </c>
      <c r="AZ24" s="65">
        <f t="shared" si="20"/>
        <v>30.000000000029559</v>
      </c>
      <c r="BA24" s="58">
        <v>366.79</v>
      </c>
      <c r="BB24" s="65">
        <f t="shared" si="21"/>
        <v>20.000000000038654</v>
      </c>
      <c r="BC24" s="58">
        <v>233.3</v>
      </c>
      <c r="BD24" s="65">
        <f t="shared" si="22"/>
        <v>20.000000000010232</v>
      </c>
      <c r="BE24" s="59">
        <v>32212</v>
      </c>
      <c r="BF24" s="67">
        <f t="shared" si="39"/>
        <v>21</v>
      </c>
      <c r="BG24" s="60">
        <v>226.42</v>
      </c>
      <c r="BH24" s="65">
        <f t="shared" si="23"/>
        <v>9.9999999999909051</v>
      </c>
      <c r="BI24" s="60">
        <v>284.42</v>
      </c>
      <c r="BJ24" s="65">
        <f t="shared" si="40"/>
        <v>9.9999999999909051</v>
      </c>
      <c r="BK24" s="60">
        <v>231.56</v>
      </c>
      <c r="BL24" s="65">
        <f t="shared" si="24"/>
        <v>9.9999999999909051</v>
      </c>
      <c r="BM24" s="60">
        <v>216.13</v>
      </c>
      <c r="BN24" s="65">
        <f t="shared" si="25"/>
        <v>19.99999999998181</v>
      </c>
      <c r="BO24" s="60">
        <v>281.08</v>
      </c>
      <c r="BP24" s="65">
        <f t="shared" si="26"/>
        <v>19.99999999998181</v>
      </c>
      <c r="BQ24" s="60">
        <v>40243</v>
      </c>
      <c r="BR24" s="65">
        <f t="shared" si="27"/>
        <v>16</v>
      </c>
      <c r="BS24" s="60">
        <v>194.62</v>
      </c>
      <c r="BT24" s="65">
        <f t="shared" si="42"/>
        <v>9.9999999999909051</v>
      </c>
      <c r="BU24" s="60">
        <v>32714</v>
      </c>
      <c r="BV24" s="65">
        <f t="shared" si="29"/>
        <v>50</v>
      </c>
      <c r="BW24" s="60">
        <v>226.12</v>
      </c>
      <c r="BX24" s="65">
        <f t="shared" si="30"/>
        <v>9.9999999999909051</v>
      </c>
      <c r="BY24" s="60">
        <v>51039</v>
      </c>
      <c r="BZ24" s="67">
        <f t="shared" si="31"/>
        <v>27</v>
      </c>
      <c r="CA24" s="60">
        <v>27515.599999999999</v>
      </c>
      <c r="CB24" s="67">
        <f t="shared" si="32"/>
        <v>0</v>
      </c>
      <c r="CC24" s="60">
        <v>11255.6</v>
      </c>
      <c r="CD24" s="67">
        <f t="shared" si="33"/>
        <v>0</v>
      </c>
      <c r="CE24" s="60">
        <v>5489.7</v>
      </c>
      <c r="CF24" s="67">
        <f t="shared" si="34"/>
        <v>0</v>
      </c>
      <c r="CG24" s="60">
        <v>50748.1</v>
      </c>
      <c r="CH24" s="67">
        <f t="shared" si="35"/>
        <v>15.400000000001455</v>
      </c>
      <c r="CI24" s="60">
        <v>884419</v>
      </c>
      <c r="CJ24" s="67">
        <f t="shared" si="36"/>
        <v>205</v>
      </c>
      <c r="CK24" s="60">
        <v>620.95000000000005</v>
      </c>
      <c r="CL24" s="64">
        <f t="shared" si="37"/>
        <v>540.00000000007731</v>
      </c>
      <c r="CM24" s="65">
        <f t="shared" si="41"/>
        <v>21.700000000000045</v>
      </c>
      <c r="CN24" s="62">
        <v>0</v>
      </c>
      <c r="CO24" s="62">
        <v>0</v>
      </c>
      <c r="CP24" s="68">
        <v>1320</v>
      </c>
      <c r="CQ24" s="67">
        <f t="shared" si="38"/>
        <v>12.700000000000045</v>
      </c>
      <c r="CR24" s="68">
        <v>10716</v>
      </c>
      <c r="CS24" s="67">
        <f t="shared" si="38"/>
        <v>9</v>
      </c>
      <c r="CT24" s="75">
        <v>3374</v>
      </c>
      <c r="CU24" s="67">
        <f t="shared" si="38"/>
        <v>12</v>
      </c>
      <c r="CV24" s="68">
        <v>9692</v>
      </c>
      <c r="CW24" s="67">
        <f t="shared" si="38"/>
        <v>19</v>
      </c>
    </row>
    <row r="25" spans="1:101" ht="25.5" customHeight="1" thickBot="1" x14ac:dyDescent="0.45">
      <c r="A25" s="63">
        <v>44126</v>
      </c>
      <c r="B25" s="44"/>
      <c r="C25" s="58">
        <v>1.869</v>
      </c>
      <c r="D25" s="64">
        <f t="shared" si="0"/>
        <v>1300.0000000000789</v>
      </c>
      <c r="E25" s="58">
        <v>2.7919999999999998</v>
      </c>
      <c r="F25" s="64">
        <f t="shared" si="1"/>
        <v>699.99999999970089</v>
      </c>
      <c r="G25" s="58">
        <v>2.7724000000000002</v>
      </c>
      <c r="H25" s="64">
        <f t="shared" si="2"/>
        <v>1700.0000000000348</v>
      </c>
      <c r="I25" s="58">
        <v>1.3471</v>
      </c>
      <c r="J25" s="64">
        <f t="shared" si="3"/>
        <v>899.99999999990087</v>
      </c>
      <c r="K25" s="58">
        <v>2.1404000000000001</v>
      </c>
      <c r="L25" s="64">
        <f t="shared" si="4"/>
        <v>1700.0000000000348</v>
      </c>
      <c r="M25" s="58">
        <v>1.2661</v>
      </c>
      <c r="N25" s="64">
        <f t="shared" si="5"/>
        <v>499.99999999994492</v>
      </c>
      <c r="O25" s="58">
        <v>12675</v>
      </c>
      <c r="P25" s="67">
        <f t="shared" si="44"/>
        <v>1</v>
      </c>
      <c r="Q25" s="58">
        <v>5892</v>
      </c>
      <c r="R25" s="67">
        <f t="shared" si="6"/>
        <v>10</v>
      </c>
      <c r="S25" s="58">
        <v>860632.8</v>
      </c>
      <c r="T25" s="67">
        <f t="shared" si="7"/>
        <v>331.40000000002328</v>
      </c>
      <c r="U25" s="58">
        <v>351992.3</v>
      </c>
      <c r="V25" s="67">
        <f t="shared" si="8"/>
        <v>173.5</v>
      </c>
      <c r="W25" s="58">
        <v>344.47</v>
      </c>
      <c r="X25" s="65">
        <f t="shared" si="9"/>
        <v>150.00000000003411</v>
      </c>
      <c r="Y25" s="58">
        <v>2.4459</v>
      </c>
      <c r="Z25" s="65">
        <f t="shared" si="10"/>
        <v>399.99999999995595</v>
      </c>
      <c r="AA25" s="58">
        <v>336.21</v>
      </c>
      <c r="AB25" s="65">
        <f t="shared" si="11"/>
        <v>89.999999999974989</v>
      </c>
      <c r="AC25" s="58">
        <v>324.49</v>
      </c>
      <c r="AD25" s="65">
        <f t="shared" si="12"/>
        <v>129.99999999999545</v>
      </c>
      <c r="AE25" s="58">
        <v>507.04</v>
      </c>
      <c r="AF25" s="65">
        <f t="shared" si="13"/>
        <v>189.99999999999773</v>
      </c>
      <c r="AG25" s="58">
        <v>1411.9</v>
      </c>
      <c r="AH25" s="67">
        <f t="shared" si="14"/>
        <v>1.1000000000001364</v>
      </c>
      <c r="AI25" s="58">
        <v>479.97</v>
      </c>
      <c r="AJ25" s="65">
        <f t="shared" si="15"/>
        <v>250</v>
      </c>
      <c r="AK25" s="58">
        <v>166.68</v>
      </c>
      <c r="AL25" s="65">
        <f t="shared" si="15"/>
        <v>150.00000000000568</v>
      </c>
      <c r="AM25" s="58">
        <v>164.14</v>
      </c>
      <c r="AN25" s="65">
        <f t="shared" si="15"/>
        <v>259.99999999999091</v>
      </c>
      <c r="AO25" s="58">
        <v>158.85</v>
      </c>
      <c r="AP25" s="65">
        <f t="shared" si="15"/>
        <v>159.99999999999659</v>
      </c>
      <c r="AQ25" s="58">
        <v>222.41</v>
      </c>
      <c r="AR25" s="65">
        <f t="shared" si="16"/>
        <v>39.999999999992042</v>
      </c>
      <c r="AS25" s="58">
        <v>347.78</v>
      </c>
      <c r="AT25" s="65">
        <f t="shared" si="17"/>
        <v>29.999999999972715</v>
      </c>
      <c r="AU25" s="58">
        <v>268.38</v>
      </c>
      <c r="AV25" s="65">
        <f t="shared" si="18"/>
        <v>29.999999999972715</v>
      </c>
      <c r="AW25" s="58">
        <v>295.75</v>
      </c>
      <c r="AX25" s="65">
        <f t="shared" si="19"/>
        <v>19.99999999998181</v>
      </c>
      <c r="AY25" s="58">
        <v>347.09</v>
      </c>
      <c r="AZ25" s="65">
        <f t="shared" si="20"/>
        <v>29.999999999972715</v>
      </c>
      <c r="BA25" s="58">
        <v>366.82</v>
      </c>
      <c r="BB25" s="65">
        <f t="shared" si="21"/>
        <v>29.999999999972715</v>
      </c>
      <c r="BC25" s="58">
        <v>233.32</v>
      </c>
      <c r="BD25" s="65">
        <f t="shared" si="22"/>
        <v>19.99999999998181</v>
      </c>
      <c r="BE25" s="59">
        <v>32240</v>
      </c>
      <c r="BF25" s="67">
        <f t="shared" si="39"/>
        <v>28</v>
      </c>
      <c r="BG25" s="60">
        <v>226.42</v>
      </c>
      <c r="BH25" s="65">
        <f t="shared" si="23"/>
        <v>0</v>
      </c>
      <c r="BI25" s="60">
        <v>284.44</v>
      </c>
      <c r="BJ25" s="65">
        <f t="shared" si="40"/>
        <v>19.99999999998181</v>
      </c>
      <c r="BK25" s="60">
        <v>231.57</v>
      </c>
      <c r="BL25" s="65">
        <f t="shared" si="24"/>
        <v>9.9999999999909051</v>
      </c>
      <c r="BM25" s="60">
        <v>216.14</v>
      </c>
      <c r="BN25" s="65">
        <f t="shared" si="25"/>
        <v>9.9999999999909051</v>
      </c>
      <c r="BO25" s="60">
        <v>281.11</v>
      </c>
      <c r="BP25" s="65">
        <f t="shared" si="26"/>
        <v>30.000000000029559</v>
      </c>
      <c r="BQ25" s="60">
        <v>40257</v>
      </c>
      <c r="BR25" s="65">
        <f t="shared" si="27"/>
        <v>14</v>
      </c>
      <c r="BS25" s="60">
        <v>194.64</v>
      </c>
      <c r="BT25" s="65">
        <f t="shared" si="42"/>
        <v>19.99999999998181</v>
      </c>
      <c r="BU25" s="60">
        <v>32749</v>
      </c>
      <c r="BV25" s="65">
        <f t="shared" si="29"/>
        <v>35</v>
      </c>
      <c r="BW25" s="60">
        <v>226.13</v>
      </c>
      <c r="BX25" s="65">
        <f t="shared" si="30"/>
        <v>9.9999999999909051</v>
      </c>
      <c r="BY25" s="60">
        <v>51066</v>
      </c>
      <c r="BZ25" s="67">
        <f t="shared" si="31"/>
        <v>27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50770.9</v>
      </c>
      <c r="CH25" s="67">
        <f t="shared" si="35"/>
        <v>22.80000000000291</v>
      </c>
      <c r="CI25" s="60">
        <v>884628</v>
      </c>
      <c r="CJ25" s="67">
        <f t="shared" si="36"/>
        <v>209</v>
      </c>
      <c r="CK25" s="60">
        <v>621.42999999999995</v>
      </c>
      <c r="CL25" s="64">
        <f t="shared" si="37"/>
        <v>479.9999999999045</v>
      </c>
      <c r="CM25" s="65">
        <f t="shared" si="41"/>
        <v>31.900000000000091</v>
      </c>
      <c r="CN25" s="62">
        <v>0</v>
      </c>
      <c r="CO25" s="62">
        <v>0</v>
      </c>
      <c r="CP25" s="68">
        <v>1336.9</v>
      </c>
      <c r="CQ25" s="67">
        <f t="shared" si="38"/>
        <v>16.900000000000091</v>
      </c>
      <c r="CR25" s="68">
        <v>10731</v>
      </c>
      <c r="CS25" s="67">
        <f t="shared" si="38"/>
        <v>15</v>
      </c>
      <c r="CT25" s="75">
        <v>3385</v>
      </c>
      <c r="CU25" s="67">
        <f t="shared" si="38"/>
        <v>11</v>
      </c>
      <c r="CV25" s="68">
        <v>9712</v>
      </c>
      <c r="CW25" s="67">
        <f t="shared" si="38"/>
        <v>20</v>
      </c>
    </row>
    <row r="26" spans="1:101" ht="25.5" customHeight="1" thickBot="1" x14ac:dyDescent="0.45">
      <c r="A26" s="63">
        <v>44127</v>
      </c>
      <c r="B26" s="44"/>
      <c r="C26" s="58">
        <v>1.8702000000000001</v>
      </c>
      <c r="D26" s="64">
        <f t="shared" si="0"/>
        <v>1200.0000000000898</v>
      </c>
      <c r="E26" s="58">
        <v>2.7927</v>
      </c>
      <c r="F26" s="64">
        <f t="shared" si="1"/>
        <v>700.00000000014495</v>
      </c>
      <c r="G26" s="58">
        <v>2.7742</v>
      </c>
      <c r="H26" s="64">
        <f t="shared" si="2"/>
        <v>1799.9999999998017</v>
      </c>
      <c r="I26" s="58">
        <v>1.3480000000000001</v>
      </c>
      <c r="J26" s="64">
        <f t="shared" si="3"/>
        <v>900.0000000001229</v>
      </c>
      <c r="K26" s="58">
        <v>2.1421000000000001</v>
      </c>
      <c r="L26" s="64">
        <f t="shared" si="4"/>
        <v>1700.0000000000348</v>
      </c>
      <c r="M26" s="58">
        <v>1.2666999999999999</v>
      </c>
      <c r="N26" s="64">
        <f t="shared" si="5"/>
        <v>599.99999999993395</v>
      </c>
      <c r="O26" s="58">
        <v>12675</v>
      </c>
      <c r="P26" s="67">
        <f t="shared" si="44"/>
        <v>0</v>
      </c>
      <c r="Q26" s="58">
        <v>5902</v>
      </c>
      <c r="R26" s="67">
        <f t="shared" si="6"/>
        <v>10</v>
      </c>
      <c r="S26" s="58">
        <v>861022</v>
      </c>
      <c r="T26" s="67">
        <f t="shared" si="7"/>
        <v>389.19999999995343</v>
      </c>
      <c r="U26" s="58">
        <v>352181</v>
      </c>
      <c r="V26" s="67">
        <f t="shared" si="8"/>
        <v>188.70000000001164</v>
      </c>
      <c r="W26" s="58">
        <v>344.58</v>
      </c>
      <c r="X26" s="65">
        <f t="shared" si="9"/>
        <v>109.9999999999568</v>
      </c>
      <c r="Y26" s="58">
        <v>2.4464000000000001</v>
      </c>
      <c r="Z26" s="65">
        <f t="shared" si="10"/>
        <v>500.00000000016701</v>
      </c>
      <c r="AA26" s="58">
        <v>336.3</v>
      </c>
      <c r="AB26" s="65">
        <f t="shared" si="11"/>
        <v>90.000000000031832</v>
      </c>
      <c r="AC26" s="58">
        <v>324.64999999999998</v>
      </c>
      <c r="AD26" s="65">
        <f t="shared" si="12"/>
        <v>159.99999999996817</v>
      </c>
      <c r="AE26" s="58">
        <v>507.28</v>
      </c>
      <c r="AF26" s="65">
        <f t="shared" si="13"/>
        <v>239.99999999995225</v>
      </c>
      <c r="AG26" s="58">
        <v>1413</v>
      </c>
      <c r="AH26" s="67">
        <f t="shared" si="14"/>
        <v>1.0999999999999091</v>
      </c>
      <c r="AI26" s="58">
        <v>480.22</v>
      </c>
      <c r="AJ26" s="65">
        <f t="shared" si="15"/>
        <v>250</v>
      </c>
      <c r="AK26" s="58">
        <v>166.84</v>
      </c>
      <c r="AL26" s="65">
        <f t="shared" si="15"/>
        <v>159.99999999999659</v>
      </c>
      <c r="AM26" s="58">
        <v>164.42</v>
      </c>
      <c r="AN26" s="65">
        <f t="shared" si="15"/>
        <v>280.00000000000114</v>
      </c>
      <c r="AO26" s="58">
        <v>159.01</v>
      </c>
      <c r="AP26" s="65">
        <f t="shared" si="15"/>
        <v>159.99999999999659</v>
      </c>
      <c r="AQ26" s="58">
        <v>222.45</v>
      </c>
      <c r="AR26" s="65">
        <f t="shared" si="16"/>
        <v>39.999999999992042</v>
      </c>
      <c r="AS26" s="58">
        <v>347.82</v>
      </c>
      <c r="AT26" s="65">
        <f t="shared" si="17"/>
        <v>40.000000000020464</v>
      </c>
      <c r="AU26" s="58">
        <v>268.41000000000003</v>
      </c>
      <c r="AV26" s="65">
        <f t="shared" si="18"/>
        <v>30.000000000029559</v>
      </c>
      <c r="AW26" s="58">
        <v>295.77999999999997</v>
      </c>
      <c r="AX26" s="65">
        <f t="shared" si="19"/>
        <v>29.999999999972715</v>
      </c>
      <c r="AY26" s="58">
        <v>347.12</v>
      </c>
      <c r="AZ26" s="65">
        <f t="shared" si="20"/>
        <v>30.000000000029559</v>
      </c>
      <c r="BA26" s="58">
        <v>366.86</v>
      </c>
      <c r="BB26" s="65">
        <f t="shared" si="21"/>
        <v>40.000000000020464</v>
      </c>
      <c r="BC26" s="58">
        <v>233.35</v>
      </c>
      <c r="BD26" s="65">
        <f t="shared" si="22"/>
        <v>30.000000000001137</v>
      </c>
      <c r="BE26" s="59">
        <v>32271</v>
      </c>
      <c r="BF26" s="67">
        <f t="shared" si="39"/>
        <v>31</v>
      </c>
      <c r="BG26" s="60">
        <v>226.42</v>
      </c>
      <c r="BH26" s="65">
        <f t="shared" si="23"/>
        <v>0</v>
      </c>
      <c r="BI26" s="60">
        <v>284.45999999999998</v>
      </c>
      <c r="BJ26" s="65">
        <f t="shared" si="40"/>
        <v>19.99999999998181</v>
      </c>
      <c r="BK26" s="60">
        <v>231.58</v>
      </c>
      <c r="BL26" s="65">
        <f t="shared" si="24"/>
        <v>10.000000000019327</v>
      </c>
      <c r="BM26" s="60">
        <v>216.16</v>
      </c>
      <c r="BN26" s="65">
        <f t="shared" si="25"/>
        <v>20.000000000010232</v>
      </c>
      <c r="BO26" s="60">
        <v>281.13</v>
      </c>
      <c r="BP26" s="65">
        <f t="shared" si="26"/>
        <v>19.99999999998181</v>
      </c>
      <c r="BQ26" s="60">
        <v>40271</v>
      </c>
      <c r="BR26" s="65">
        <f t="shared" si="27"/>
        <v>14</v>
      </c>
      <c r="BS26" s="60">
        <v>194.66</v>
      </c>
      <c r="BT26" s="65">
        <f t="shared" si="42"/>
        <v>20.000000000010232</v>
      </c>
      <c r="BU26" s="60">
        <v>32779</v>
      </c>
      <c r="BV26" s="65">
        <f t="shared" si="29"/>
        <v>30</v>
      </c>
      <c r="BW26" s="60">
        <v>226.14</v>
      </c>
      <c r="BX26" s="65">
        <f t="shared" si="30"/>
        <v>9.9999999999909051</v>
      </c>
      <c r="BY26" s="60">
        <v>51091</v>
      </c>
      <c r="BZ26" s="67">
        <f t="shared" si="31"/>
        <v>25</v>
      </c>
      <c r="CA26" s="60">
        <v>27515.599999999999</v>
      </c>
      <c r="CB26" s="67">
        <f t="shared" si="32"/>
        <v>0</v>
      </c>
      <c r="CC26" s="60">
        <v>11255.6</v>
      </c>
      <c r="CD26" s="67">
        <f t="shared" si="33"/>
        <v>0</v>
      </c>
      <c r="CE26" s="60">
        <v>5489.7</v>
      </c>
      <c r="CF26" s="67">
        <f t="shared" si="34"/>
        <v>0</v>
      </c>
      <c r="CG26" s="60">
        <v>50787.8</v>
      </c>
      <c r="CH26" s="67">
        <f t="shared" si="35"/>
        <v>16.900000000001455</v>
      </c>
      <c r="CI26" s="60">
        <v>884835</v>
      </c>
      <c r="CJ26" s="67">
        <f t="shared" si="36"/>
        <v>207</v>
      </c>
      <c r="CK26" s="60">
        <v>621.89</v>
      </c>
      <c r="CL26" s="64">
        <f t="shared" si="37"/>
        <v>460.00000000003638</v>
      </c>
      <c r="CM26" s="65">
        <f t="shared" si="41"/>
        <v>20.199999999999818</v>
      </c>
      <c r="CN26" s="62">
        <v>0</v>
      </c>
      <c r="CO26" s="62">
        <v>0</v>
      </c>
      <c r="CP26" s="68">
        <v>1351.1</v>
      </c>
      <c r="CQ26" s="67">
        <f t="shared" si="38"/>
        <v>14.199999999999818</v>
      </c>
      <c r="CR26" s="68">
        <v>10737</v>
      </c>
      <c r="CS26" s="67">
        <f t="shared" si="38"/>
        <v>6</v>
      </c>
      <c r="CT26" s="75">
        <v>3397</v>
      </c>
      <c r="CU26" s="67">
        <f t="shared" si="38"/>
        <v>12</v>
      </c>
      <c r="CV26" s="68">
        <v>9732</v>
      </c>
      <c r="CW26" s="67">
        <f t="shared" si="38"/>
        <v>20</v>
      </c>
    </row>
    <row r="27" spans="1:101" ht="25.5" customHeight="1" thickBot="1" x14ac:dyDescent="0.45">
      <c r="A27" s="63">
        <v>44128</v>
      </c>
      <c r="B27" s="44"/>
      <c r="C27" s="58">
        <v>1.8715999999999999</v>
      </c>
      <c r="D27" s="64">
        <f t="shared" si="0"/>
        <v>1399.9999999998458</v>
      </c>
      <c r="E27" s="58">
        <v>2.7932999999999999</v>
      </c>
      <c r="F27" s="64">
        <f t="shared" si="1"/>
        <v>599.99999999993395</v>
      </c>
      <c r="G27" s="58">
        <v>2.7761</v>
      </c>
      <c r="H27" s="64">
        <f t="shared" si="2"/>
        <v>1900.0000000000127</v>
      </c>
      <c r="I27" s="58">
        <v>1.3489</v>
      </c>
      <c r="J27" s="64">
        <f t="shared" si="3"/>
        <v>899.99999999990087</v>
      </c>
      <c r="K27" s="58">
        <v>2.1440000000000001</v>
      </c>
      <c r="L27" s="64">
        <f t="shared" si="4"/>
        <v>1900.0000000000127</v>
      </c>
      <c r="M27" s="58">
        <v>1.2673000000000001</v>
      </c>
      <c r="N27" s="64">
        <f t="shared" si="5"/>
        <v>600.00000000015598</v>
      </c>
      <c r="O27" s="58">
        <v>12675</v>
      </c>
      <c r="P27" s="67">
        <f t="shared" si="44"/>
        <v>0</v>
      </c>
      <c r="Q27" s="58">
        <v>5913</v>
      </c>
      <c r="R27" s="67">
        <f t="shared" si="6"/>
        <v>11</v>
      </c>
      <c r="S27" s="58">
        <v>861346.4</v>
      </c>
      <c r="T27" s="67">
        <f t="shared" si="7"/>
        <v>324.40000000002328</v>
      </c>
      <c r="U27" s="58">
        <v>352337.8</v>
      </c>
      <c r="V27" s="67">
        <f t="shared" si="8"/>
        <v>156.79999999998836</v>
      </c>
      <c r="W27" s="58">
        <v>344.68</v>
      </c>
      <c r="X27" s="65">
        <f t="shared" si="9"/>
        <v>100.00000000002274</v>
      </c>
      <c r="Y27" s="58">
        <v>2.4468000000000001</v>
      </c>
      <c r="Z27" s="65">
        <f t="shared" si="10"/>
        <v>399.99999999995595</v>
      </c>
      <c r="AA27" s="58">
        <v>336.42</v>
      </c>
      <c r="AB27" s="65">
        <f t="shared" si="11"/>
        <v>120.00000000000455</v>
      </c>
      <c r="AC27" s="58">
        <v>324.82</v>
      </c>
      <c r="AD27" s="65">
        <f t="shared" si="12"/>
        <v>170.00000000001592</v>
      </c>
      <c r="AE27" s="58">
        <v>507.42</v>
      </c>
      <c r="AF27" s="65">
        <f t="shared" si="13"/>
        <v>140.0000000000432</v>
      </c>
      <c r="AG27" s="58">
        <v>1414.2</v>
      </c>
      <c r="AH27" s="67">
        <f t="shared" si="14"/>
        <v>1.2000000000000455</v>
      </c>
      <c r="AI27" s="58">
        <v>480.49</v>
      </c>
      <c r="AJ27" s="65">
        <f t="shared" si="15"/>
        <v>269.99999999998181</v>
      </c>
      <c r="AK27" s="58">
        <v>167.01</v>
      </c>
      <c r="AL27" s="65">
        <f t="shared" si="15"/>
        <v>169.99999999998749</v>
      </c>
      <c r="AM27" s="58">
        <v>164.71</v>
      </c>
      <c r="AN27" s="65">
        <f t="shared" si="15"/>
        <v>290.00000000002046</v>
      </c>
      <c r="AO27" s="58">
        <v>159.19</v>
      </c>
      <c r="AP27" s="65">
        <f t="shared" si="15"/>
        <v>180.00000000000682</v>
      </c>
      <c r="AQ27" s="58">
        <v>222.49</v>
      </c>
      <c r="AR27" s="65">
        <f t="shared" si="16"/>
        <v>40.000000000020464</v>
      </c>
      <c r="AS27" s="58">
        <v>347.86</v>
      </c>
      <c r="AT27" s="65">
        <f t="shared" si="17"/>
        <v>40.000000000020464</v>
      </c>
      <c r="AU27" s="58">
        <v>268.45</v>
      </c>
      <c r="AV27" s="65">
        <f t="shared" si="18"/>
        <v>39.99999999996362</v>
      </c>
      <c r="AW27" s="58">
        <v>295.81</v>
      </c>
      <c r="AX27" s="65">
        <f t="shared" si="19"/>
        <v>30.000000000029559</v>
      </c>
      <c r="AY27" s="58">
        <v>347.15</v>
      </c>
      <c r="AZ27" s="65">
        <f t="shared" si="20"/>
        <v>29.999999999972715</v>
      </c>
      <c r="BA27" s="58">
        <v>366.88</v>
      </c>
      <c r="BB27" s="65">
        <f t="shared" si="21"/>
        <v>19.99999999998181</v>
      </c>
      <c r="BC27" s="58">
        <v>233.38</v>
      </c>
      <c r="BD27" s="65">
        <f t="shared" si="22"/>
        <v>30.000000000001137</v>
      </c>
      <c r="BE27" s="59">
        <v>32305</v>
      </c>
      <c r="BF27" s="67">
        <f t="shared" si="39"/>
        <v>34</v>
      </c>
      <c r="BG27" s="60">
        <v>226.43</v>
      </c>
      <c r="BH27" s="65">
        <f t="shared" si="23"/>
        <v>10.000000000019327</v>
      </c>
      <c r="BI27" s="60">
        <v>284.48</v>
      </c>
      <c r="BJ27" s="65">
        <f t="shared" si="40"/>
        <v>20.000000000038654</v>
      </c>
      <c r="BK27" s="60">
        <v>231.59</v>
      </c>
      <c r="BL27" s="65">
        <f t="shared" si="24"/>
        <v>9.9999999999909051</v>
      </c>
      <c r="BM27" s="60">
        <v>216.18</v>
      </c>
      <c r="BN27" s="65">
        <f t="shared" si="25"/>
        <v>20.000000000010232</v>
      </c>
      <c r="BO27" s="60">
        <v>281.16000000000003</v>
      </c>
      <c r="BP27" s="65">
        <f t="shared" si="26"/>
        <v>30.000000000029559</v>
      </c>
      <c r="BQ27" s="60">
        <v>40291</v>
      </c>
      <c r="BR27" s="65">
        <f t="shared" si="27"/>
        <v>20</v>
      </c>
      <c r="BS27" s="60">
        <v>194.69</v>
      </c>
      <c r="BT27" s="65">
        <f t="shared" si="42"/>
        <v>30.000000000001137</v>
      </c>
      <c r="BU27" s="60">
        <v>32808</v>
      </c>
      <c r="BV27" s="65">
        <f t="shared" si="29"/>
        <v>29</v>
      </c>
      <c r="BW27" s="60">
        <v>226.15</v>
      </c>
      <c r="BX27" s="65">
        <f t="shared" si="30"/>
        <v>10.000000000019327</v>
      </c>
      <c r="BY27" s="60">
        <v>51120</v>
      </c>
      <c r="BZ27" s="67">
        <f t="shared" si="31"/>
        <v>29</v>
      </c>
      <c r="CA27" s="60">
        <v>27515.599999999999</v>
      </c>
      <c r="CB27" s="67">
        <f t="shared" si="32"/>
        <v>0</v>
      </c>
      <c r="CC27" s="60">
        <v>11255.6</v>
      </c>
      <c r="CD27" s="67">
        <f t="shared" si="33"/>
        <v>0</v>
      </c>
      <c r="CE27" s="60">
        <v>5489.7</v>
      </c>
      <c r="CF27" s="67">
        <f t="shared" si="34"/>
        <v>0</v>
      </c>
      <c r="CG27" s="60">
        <v>50812.1</v>
      </c>
      <c r="CH27" s="67">
        <f t="shared" si="35"/>
        <v>24.299999999995634</v>
      </c>
      <c r="CI27" s="60">
        <v>885069</v>
      </c>
      <c r="CJ27" s="67">
        <f t="shared" si="36"/>
        <v>234</v>
      </c>
      <c r="CK27" s="60">
        <v>622.36</v>
      </c>
      <c r="CL27" s="64">
        <f t="shared" si="37"/>
        <v>470.00000000002728</v>
      </c>
      <c r="CM27" s="65">
        <f t="shared" si="41"/>
        <v>27</v>
      </c>
      <c r="CN27" s="62">
        <v>0</v>
      </c>
      <c r="CO27" s="62">
        <v>0</v>
      </c>
      <c r="CP27" s="68">
        <v>1370.1</v>
      </c>
      <c r="CQ27" s="67">
        <f t="shared" si="38"/>
        <v>19</v>
      </c>
      <c r="CR27" s="68">
        <v>10745</v>
      </c>
      <c r="CS27" s="67">
        <f t="shared" si="38"/>
        <v>8</v>
      </c>
      <c r="CT27" s="75">
        <v>3409</v>
      </c>
      <c r="CU27" s="67">
        <f t="shared" si="38"/>
        <v>12</v>
      </c>
      <c r="CV27" s="68">
        <v>9749</v>
      </c>
      <c r="CW27" s="67">
        <f t="shared" si="38"/>
        <v>17</v>
      </c>
    </row>
    <row r="28" spans="1:101" ht="25.5" customHeight="1" thickBot="1" x14ac:dyDescent="0.45">
      <c r="A28" s="63">
        <v>44129</v>
      </c>
      <c r="B28" s="44"/>
      <c r="C28" s="58">
        <v>1.8727</v>
      </c>
      <c r="D28" s="64">
        <f t="shared" si="0"/>
        <v>1100.000000000101</v>
      </c>
      <c r="E28" s="58">
        <v>2.7938999999999998</v>
      </c>
      <c r="F28" s="64">
        <f t="shared" si="1"/>
        <v>599.99999999993395</v>
      </c>
      <c r="G28" s="58">
        <v>2.7774999999999999</v>
      </c>
      <c r="H28" s="64">
        <f t="shared" si="2"/>
        <v>1399.9999999998458</v>
      </c>
      <c r="I28" s="58">
        <v>1.3498000000000001</v>
      </c>
      <c r="J28" s="64">
        <f t="shared" si="3"/>
        <v>900.0000000001229</v>
      </c>
      <c r="K28" s="58">
        <v>2.1457000000000002</v>
      </c>
      <c r="L28" s="64">
        <f t="shared" si="4"/>
        <v>1700.0000000000348</v>
      </c>
      <c r="M28" s="58">
        <v>1.2677</v>
      </c>
      <c r="N28" s="64">
        <f t="shared" si="5"/>
        <v>399.99999999995595</v>
      </c>
      <c r="O28" s="58">
        <v>12675</v>
      </c>
      <c r="P28" s="67">
        <f t="shared" si="44"/>
        <v>0</v>
      </c>
      <c r="Q28" s="58">
        <v>5922</v>
      </c>
      <c r="R28" s="67">
        <f t="shared" si="6"/>
        <v>9</v>
      </c>
      <c r="S28" s="58">
        <v>861418.2</v>
      </c>
      <c r="T28" s="67">
        <f t="shared" si="7"/>
        <v>71.799999999930151</v>
      </c>
      <c r="U28" s="58">
        <v>352391</v>
      </c>
      <c r="V28" s="67">
        <f t="shared" si="8"/>
        <v>53.200000000011642</v>
      </c>
      <c r="W28" s="58">
        <v>344.77</v>
      </c>
      <c r="X28" s="65">
        <f t="shared" si="9"/>
        <v>89.999999999974989</v>
      </c>
      <c r="Y28" s="58">
        <v>2.4472</v>
      </c>
      <c r="Z28" s="65">
        <f t="shared" si="10"/>
        <v>399.99999999995595</v>
      </c>
      <c r="AA28" s="58">
        <v>336.52</v>
      </c>
      <c r="AB28" s="65">
        <f t="shared" si="11"/>
        <v>99.999999999965894</v>
      </c>
      <c r="AC28" s="58">
        <v>324.97000000000003</v>
      </c>
      <c r="AD28" s="65">
        <f t="shared" si="12"/>
        <v>150.00000000003411</v>
      </c>
      <c r="AE28" s="58">
        <v>507.56</v>
      </c>
      <c r="AF28" s="65">
        <f t="shared" si="13"/>
        <v>139.99999999998636</v>
      </c>
      <c r="AG28" s="58">
        <v>1415.4</v>
      </c>
      <c r="AH28" s="67">
        <f t="shared" si="14"/>
        <v>1.2000000000000455</v>
      </c>
      <c r="AI28" s="58">
        <v>480.73</v>
      </c>
      <c r="AJ28" s="65">
        <f t="shared" si="15"/>
        <v>240.00000000000909</v>
      </c>
      <c r="AK28" s="58">
        <v>167.16</v>
      </c>
      <c r="AL28" s="65">
        <f t="shared" si="15"/>
        <v>150.00000000000568</v>
      </c>
      <c r="AM28" s="58">
        <v>164.84</v>
      </c>
      <c r="AN28" s="65">
        <f t="shared" si="15"/>
        <v>129.99999999999545</v>
      </c>
      <c r="AO28" s="58">
        <v>159.33000000000001</v>
      </c>
      <c r="AP28" s="65">
        <f t="shared" si="15"/>
        <v>140.00000000001478</v>
      </c>
      <c r="AQ28" s="58">
        <v>222.52</v>
      </c>
      <c r="AR28" s="65">
        <f t="shared" si="16"/>
        <v>30.000000000001137</v>
      </c>
      <c r="AS28" s="58">
        <v>347.9</v>
      </c>
      <c r="AT28" s="65">
        <f t="shared" si="17"/>
        <v>39.99999999996362</v>
      </c>
      <c r="AU28" s="58">
        <v>268.48</v>
      </c>
      <c r="AV28" s="65">
        <f t="shared" si="18"/>
        <v>30.000000000029559</v>
      </c>
      <c r="AW28" s="58">
        <v>295.83</v>
      </c>
      <c r="AX28" s="65">
        <f t="shared" si="19"/>
        <v>19.99999999998181</v>
      </c>
      <c r="AY28" s="58">
        <v>347.17</v>
      </c>
      <c r="AZ28" s="65">
        <f t="shared" si="20"/>
        <v>20.000000000038654</v>
      </c>
      <c r="BA28" s="58">
        <v>366.9</v>
      </c>
      <c r="BB28" s="65">
        <f t="shared" si="21"/>
        <v>19.99999999998181</v>
      </c>
      <c r="BC28" s="58">
        <v>233.4</v>
      </c>
      <c r="BD28" s="65">
        <f t="shared" si="22"/>
        <v>20.000000000010232</v>
      </c>
      <c r="BE28" s="59">
        <v>32326</v>
      </c>
      <c r="BF28" s="67">
        <f t="shared" si="39"/>
        <v>21</v>
      </c>
      <c r="BG28" s="60">
        <v>226.43</v>
      </c>
      <c r="BH28" s="65">
        <f t="shared" si="23"/>
        <v>0</v>
      </c>
      <c r="BI28" s="60">
        <v>284.49</v>
      </c>
      <c r="BJ28" s="65">
        <f t="shared" si="40"/>
        <v>9.9999999999909051</v>
      </c>
      <c r="BK28" s="60">
        <v>231.6</v>
      </c>
      <c r="BL28" s="65">
        <f t="shared" si="24"/>
        <v>9.9999999999909051</v>
      </c>
      <c r="BM28" s="60">
        <v>216.2</v>
      </c>
      <c r="BN28" s="65">
        <f t="shared" si="25"/>
        <v>19.99999999998181</v>
      </c>
      <c r="BO28" s="60">
        <v>281.18</v>
      </c>
      <c r="BP28" s="65">
        <f t="shared" si="26"/>
        <v>19.99999999998181</v>
      </c>
      <c r="BQ28" s="60">
        <v>40308</v>
      </c>
      <c r="BR28" s="65">
        <f t="shared" si="27"/>
        <v>17</v>
      </c>
      <c r="BS28" s="60">
        <v>194.71</v>
      </c>
      <c r="BT28" s="65">
        <f t="shared" si="42"/>
        <v>20.000000000010232</v>
      </c>
      <c r="BU28" s="60">
        <v>32836</v>
      </c>
      <c r="BV28" s="65">
        <f t="shared" si="29"/>
        <v>28</v>
      </c>
      <c r="BW28" s="60">
        <v>226.16</v>
      </c>
      <c r="BX28" s="65">
        <f t="shared" si="30"/>
        <v>9.9999999999909051</v>
      </c>
      <c r="BY28" s="60">
        <v>51146</v>
      </c>
      <c r="BZ28" s="67">
        <f t="shared" si="31"/>
        <v>26</v>
      </c>
      <c r="CA28" s="60">
        <v>27515.599999999999</v>
      </c>
      <c r="CB28" s="67">
        <f t="shared" si="32"/>
        <v>0</v>
      </c>
      <c r="CC28" s="60">
        <v>11255.6</v>
      </c>
      <c r="CD28" s="67">
        <f t="shared" si="33"/>
        <v>0</v>
      </c>
      <c r="CE28" s="60">
        <v>5489.7</v>
      </c>
      <c r="CF28" s="67">
        <f t="shared" si="34"/>
        <v>0</v>
      </c>
      <c r="CG28" s="60">
        <v>50828.2</v>
      </c>
      <c r="CH28" s="67">
        <f t="shared" si="35"/>
        <v>16.099999999998545</v>
      </c>
      <c r="CI28" s="60">
        <v>885264</v>
      </c>
      <c r="CJ28" s="67">
        <f t="shared" si="36"/>
        <v>195</v>
      </c>
      <c r="CK28" s="60">
        <v>622.79999999999995</v>
      </c>
      <c r="CL28" s="64">
        <f t="shared" si="37"/>
        <v>439.99999999994088</v>
      </c>
      <c r="CM28" s="65">
        <f t="shared" si="41"/>
        <v>44.600000000000136</v>
      </c>
      <c r="CN28" s="62">
        <v>0</v>
      </c>
      <c r="CO28" s="62">
        <v>0</v>
      </c>
      <c r="CP28" s="68">
        <v>1380.7</v>
      </c>
      <c r="CQ28" s="67">
        <f t="shared" si="38"/>
        <v>10.600000000000136</v>
      </c>
      <c r="CR28" s="68">
        <v>10779</v>
      </c>
      <c r="CS28" s="67">
        <f t="shared" si="38"/>
        <v>34</v>
      </c>
      <c r="CT28" s="75">
        <v>3422</v>
      </c>
      <c r="CU28" s="67">
        <f t="shared" si="38"/>
        <v>13</v>
      </c>
      <c r="CV28" s="68">
        <v>9777</v>
      </c>
      <c r="CW28" s="67">
        <f t="shared" si="38"/>
        <v>28</v>
      </c>
    </row>
    <row r="29" spans="1:101" ht="25.5" customHeight="1" thickBot="1" x14ac:dyDescent="0.45">
      <c r="A29" s="63">
        <v>44130</v>
      </c>
      <c r="B29" s="44"/>
      <c r="C29" s="58">
        <v>1.8737999999999999</v>
      </c>
      <c r="D29" s="64">
        <f t="shared" si="0"/>
        <v>1099.9999999998788</v>
      </c>
      <c r="E29" s="58">
        <v>2.7945000000000002</v>
      </c>
      <c r="F29" s="64">
        <f t="shared" si="1"/>
        <v>600.00000000037801</v>
      </c>
      <c r="G29" s="58">
        <v>2.7793999999999999</v>
      </c>
      <c r="H29" s="64">
        <f t="shared" si="2"/>
        <v>1900.0000000000127</v>
      </c>
      <c r="I29" s="58">
        <v>1.3506</v>
      </c>
      <c r="J29" s="64">
        <f t="shared" si="3"/>
        <v>799.99999999991189</v>
      </c>
      <c r="K29" s="58">
        <v>2.1474000000000002</v>
      </c>
      <c r="L29" s="64">
        <f t="shared" si="4"/>
        <v>1700.0000000000348</v>
      </c>
      <c r="M29" s="58">
        <v>1.2683</v>
      </c>
      <c r="N29" s="64">
        <f t="shared" si="5"/>
        <v>599.99999999993395</v>
      </c>
      <c r="O29" s="58">
        <v>12676</v>
      </c>
      <c r="P29" s="67">
        <f t="shared" si="44"/>
        <v>1</v>
      </c>
      <c r="Q29" s="58">
        <v>5932</v>
      </c>
      <c r="R29" s="67">
        <f t="shared" si="6"/>
        <v>10</v>
      </c>
      <c r="S29" s="58">
        <v>861813.4</v>
      </c>
      <c r="T29" s="67">
        <f t="shared" si="7"/>
        <v>395.20000000006985</v>
      </c>
      <c r="U29" s="58">
        <v>352578.1</v>
      </c>
      <c r="V29" s="67">
        <f t="shared" si="8"/>
        <v>187.09999999997672</v>
      </c>
      <c r="W29" s="58">
        <v>344.88</v>
      </c>
      <c r="X29" s="65">
        <f t="shared" si="9"/>
        <v>110.00000000001364</v>
      </c>
      <c r="Y29" s="58">
        <v>2.4477000000000002</v>
      </c>
      <c r="Z29" s="65">
        <f t="shared" si="10"/>
        <v>500.00000000016701</v>
      </c>
      <c r="AA29" s="58">
        <v>336.61</v>
      </c>
      <c r="AB29" s="65">
        <f t="shared" si="11"/>
        <v>90.000000000031832</v>
      </c>
      <c r="AC29" s="58">
        <v>325.14</v>
      </c>
      <c r="AD29" s="65">
        <f t="shared" si="12"/>
        <v>169.99999999995907</v>
      </c>
      <c r="AE29" s="58">
        <v>507.75</v>
      </c>
      <c r="AF29" s="65">
        <f t="shared" si="13"/>
        <v>189.99999999999773</v>
      </c>
      <c r="AG29" s="58">
        <v>1416.9</v>
      </c>
      <c r="AH29" s="67">
        <f t="shared" si="14"/>
        <v>1.5</v>
      </c>
      <c r="AI29" s="58">
        <v>480.98</v>
      </c>
      <c r="AJ29" s="65">
        <f t="shared" si="15"/>
        <v>250</v>
      </c>
      <c r="AK29" s="58">
        <v>167.33</v>
      </c>
      <c r="AL29" s="65">
        <f t="shared" si="15"/>
        <v>170.00000000001592</v>
      </c>
      <c r="AM29" s="58">
        <v>164.97</v>
      </c>
      <c r="AN29" s="65">
        <f t="shared" si="15"/>
        <v>129.99999999999545</v>
      </c>
      <c r="AO29" s="58">
        <v>159.46</v>
      </c>
      <c r="AP29" s="65">
        <f t="shared" si="15"/>
        <v>129.99999999999545</v>
      </c>
      <c r="AQ29" s="58">
        <v>222.55</v>
      </c>
      <c r="AR29" s="65">
        <f t="shared" si="16"/>
        <v>30.000000000001137</v>
      </c>
      <c r="AS29" s="58">
        <v>347.94</v>
      </c>
      <c r="AT29" s="65">
        <f t="shared" si="17"/>
        <v>40.000000000020464</v>
      </c>
      <c r="AU29" s="58">
        <v>268.51</v>
      </c>
      <c r="AV29" s="65">
        <f t="shared" si="18"/>
        <v>29.999999999972715</v>
      </c>
      <c r="AW29" s="58">
        <v>295.86</v>
      </c>
      <c r="AX29" s="65">
        <f t="shared" si="19"/>
        <v>30.000000000029559</v>
      </c>
      <c r="AY29" s="58">
        <v>347.2</v>
      </c>
      <c r="AZ29" s="65">
        <f t="shared" si="20"/>
        <v>29.999999999972715</v>
      </c>
      <c r="BA29" s="58">
        <v>366.93</v>
      </c>
      <c r="BB29" s="65">
        <f t="shared" si="21"/>
        <v>30.000000000029559</v>
      </c>
      <c r="BC29" s="58">
        <v>233.43</v>
      </c>
      <c r="BD29" s="65">
        <f t="shared" si="22"/>
        <v>30.000000000001137</v>
      </c>
      <c r="BE29" s="59">
        <v>32355</v>
      </c>
      <c r="BF29" s="67">
        <f t="shared" si="39"/>
        <v>29</v>
      </c>
      <c r="BG29" s="60">
        <v>226.43</v>
      </c>
      <c r="BH29" s="65">
        <f t="shared" si="23"/>
        <v>0</v>
      </c>
      <c r="BI29" s="60">
        <v>284.51</v>
      </c>
      <c r="BJ29" s="65">
        <f t="shared" si="40"/>
        <v>19.99999999998181</v>
      </c>
      <c r="BK29" s="60">
        <v>231.61</v>
      </c>
      <c r="BL29" s="65">
        <f t="shared" si="24"/>
        <v>10.000000000019327</v>
      </c>
      <c r="BM29" s="60">
        <v>216.22</v>
      </c>
      <c r="BN29" s="65">
        <f t="shared" si="25"/>
        <v>20.000000000010232</v>
      </c>
      <c r="BO29" s="60">
        <v>281.2</v>
      </c>
      <c r="BP29" s="65">
        <f t="shared" si="26"/>
        <v>19.99999999998181</v>
      </c>
      <c r="BQ29" s="60">
        <v>40323</v>
      </c>
      <c r="BR29" s="65">
        <f t="shared" si="27"/>
        <v>15</v>
      </c>
      <c r="BS29" s="60">
        <v>194.74</v>
      </c>
      <c r="BT29" s="65">
        <f t="shared" si="42"/>
        <v>30.000000000001137</v>
      </c>
      <c r="BU29" s="60">
        <v>32859</v>
      </c>
      <c r="BV29" s="65">
        <f t="shared" si="29"/>
        <v>23</v>
      </c>
      <c r="BW29" s="60">
        <v>226.18</v>
      </c>
      <c r="BX29" s="65">
        <f t="shared" si="30"/>
        <v>20.000000000010232</v>
      </c>
      <c r="BY29" s="60">
        <v>51173</v>
      </c>
      <c r="BZ29" s="67">
        <f t="shared" si="31"/>
        <v>27</v>
      </c>
      <c r="CA29" s="60">
        <v>27515.599999999999</v>
      </c>
      <c r="CB29" s="67">
        <f t="shared" si="32"/>
        <v>0</v>
      </c>
      <c r="CC29" s="60">
        <v>11255.6</v>
      </c>
      <c r="CD29" s="67">
        <f t="shared" si="33"/>
        <v>0</v>
      </c>
      <c r="CE29" s="60">
        <v>5489.7</v>
      </c>
      <c r="CF29" s="67">
        <f t="shared" si="34"/>
        <v>0</v>
      </c>
      <c r="CG29" s="60">
        <v>50843.5</v>
      </c>
      <c r="CH29" s="67">
        <f t="shared" si="35"/>
        <v>15.30000000000291</v>
      </c>
      <c r="CI29" s="60">
        <v>885474</v>
      </c>
      <c r="CJ29" s="67">
        <f t="shared" si="36"/>
        <v>210</v>
      </c>
      <c r="CK29" s="60">
        <v>623.32000000000005</v>
      </c>
      <c r="CL29" s="64">
        <f t="shared" si="37"/>
        <v>520.0000000000955</v>
      </c>
      <c r="CM29" s="65">
        <f t="shared" si="41"/>
        <v>29.599999999999909</v>
      </c>
      <c r="CN29" s="62">
        <v>0</v>
      </c>
      <c r="CO29" s="62">
        <v>0</v>
      </c>
      <c r="CP29" s="68">
        <v>1392.3</v>
      </c>
      <c r="CQ29" s="67">
        <f t="shared" si="38"/>
        <v>11.599999999999909</v>
      </c>
      <c r="CR29" s="68">
        <v>10797</v>
      </c>
      <c r="CS29" s="67">
        <f t="shared" si="38"/>
        <v>18</v>
      </c>
      <c r="CT29" s="75">
        <v>3435</v>
      </c>
      <c r="CU29" s="67">
        <f t="shared" si="38"/>
        <v>13</v>
      </c>
      <c r="CV29" s="68">
        <v>9799</v>
      </c>
      <c r="CW29" s="67">
        <f t="shared" si="38"/>
        <v>22</v>
      </c>
    </row>
    <row r="30" spans="1:101" ht="25.5" customHeight="1" thickBot="1" x14ac:dyDescent="0.45">
      <c r="A30" s="63">
        <v>44131</v>
      </c>
      <c r="B30" s="44"/>
      <c r="C30" s="58">
        <v>1.8749</v>
      </c>
      <c r="D30" s="64">
        <f t="shared" si="0"/>
        <v>1100.000000000101</v>
      </c>
      <c r="E30" s="58">
        <v>2.7951999999999999</v>
      </c>
      <c r="F30" s="64">
        <f t="shared" si="1"/>
        <v>699.99999999970089</v>
      </c>
      <c r="G30" s="58">
        <v>2.7812000000000001</v>
      </c>
      <c r="H30" s="64">
        <f t="shared" si="2"/>
        <v>1800.0000000002458</v>
      </c>
      <c r="I30" s="58">
        <v>1.3513999999999999</v>
      </c>
      <c r="J30" s="64">
        <f t="shared" si="3"/>
        <v>799.99999999991189</v>
      </c>
      <c r="K30" s="58">
        <v>2.1492</v>
      </c>
      <c r="L30" s="64">
        <f t="shared" si="4"/>
        <v>1799.9999999998017</v>
      </c>
      <c r="M30" s="58">
        <v>1.2687999999999999</v>
      </c>
      <c r="N30" s="64">
        <f t="shared" si="5"/>
        <v>499.99999999994492</v>
      </c>
      <c r="O30" s="58">
        <v>12679</v>
      </c>
      <c r="P30" s="67">
        <f t="shared" si="44"/>
        <v>3</v>
      </c>
      <c r="Q30" s="58">
        <v>5941</v>
      </c>
      <c r="R30" s="67">
        <f t="shared" si="6"/>
        <v>9</v>
      </c>
      <c r="S30" s="58">
        <v>862144.2</v>
      </c>
      <c r="T30" s="67">
        <f t="shared" si="7"/>
        <v>330.79999999993015</v>
      </c>
      <c r="U30" s="58">
        <v>352770.1</v>
      </c>
      <c r="V30" s="67">
        <f t="shared" si="8"/>
        <v>192</v>
      </c>
      <c r="W30" s="58">
        <v>344.97</v>
      </c>
      <c r="X30" s="65">
        <f t="shared" si="9"/>
        <v>90.000000000031832</v>
      </c>
      <c r="Y30" s="58">
        <v>2.4481000000000002</v>
      </c>
      <c r="Z30" s="65">
        <f t="shared" si="10"/>
        <v>399.99999999995595</v>
      </c>
      <c r="AA30" s="58">
        <v>336.73</v>
      </c>
      <c r="AB30" s="65">
        <f t="shared" si="11"/>
        <v>120.00000000000455</v>
      </c>
      <c r="AC30" s="58">
        <v>325.29000000000002</v>
      </c>
      <c r="AD30" s="65">
        <f t="shared" si="12"/>
        <v>150.00000000003411</v>
      </c>
      <c r="AE30" s="58">
        <v>507.9</v>
      </c>
      <c r="AF30" s="65">
        <f t="shared" si="13"/>
        <v>149.99999999997726</v>
      </c>
      <c r="AG30" s="58">
        <v>1418.3</v>
      </c>
      <c r="AH30" s="67">
        <f t="shared" si="14"/>
        <v>1.3999999999998636</v>
      </c>
      <c r="AI30" s="58">
        <v>481.22</v>
      </c>
      <c r="AJ30" s="65">
        <f t="shared" si="15"/>
        <v>240.00000000000909</v>
      </c>
      <c r="AK30" s="58">
        <v>167.5</v>
      </c>
      <c r="AL30" s="65">
        <f t="shared" si="15"/>
        <v>169.99999999998749</v>
      </c>
      <c r="AM30" s="58">
        <v>165.1</v>
      </c>
      <c r="AN30" s="65">
        <f t="shared" si="15"/>
        <v>129.99999999999545</v>
      </c>
      <c r="AO30" s="58">
        <v>159.6</v>
      </c>
      <c r="AP30" s="65">
        <f t="shared" si="15"/>
        <v>139.99999999998636</v>
      </c>
      <c r="AQ30" s="58">
        <v>222.58</v>
      </c>
      <c r="AR30" s="65">
        <f t="shared" si="16"/>
        <v>30.000000000001137</v>
      </c>
      <c r="AS30" s="58">
        <v>347.99</v>
      </c>
      <c r="AT30" s="65">
        <f t="shared" si="17"/>
        <v>50.000000000011369</v>
      </c>
      <c r="AU30" s="58">
        <v>268.54000000000002</v>
      </c>
      <c r="AV30" s="65">
        <f t="shared" si="18"/>
        <v>30.000000000029559</v>
      </c>
      <c r="AW30" s="58">
        <v>295.88</v>
      </c>
      <c r="AX30" s="65">
        <f t="shared" si="19"/>
        <v>19.99999999998181</v>
      </c>
      <c r="AY30" s="58">
        <v>347.23</v>
      </c>
      <c r="AZ30" s="65">
        <f t="shared" si="20"/>
        <v>30.000000000029559</v>
      </c>
      <c r="BA30" s="58">
        <v>366.96</v>
      </c>
      <c r="BB30" s="65">
        <f t="shared" si="21"/>
        <v>29.999999999972715</v>
      </c>
      <c r="BC30" s="58">
        <v>233.45</v>
      </c>
      <c r="BD30" s="65">
        <f t="shared" si="22"/>
        <v>19.99999999998181</v>
      </c>
      <c r="BE30" s="59">
        <v>32393</v>
      </c>
      <c r="BF30" s="67">
        <f t="shared" si="39"/>
        <v>38</v>
      </c>
      <c r="BG30" s="60">
        <v>226.44</v>
      </c>
      <c r="BH30" s="65">
        <f t="shared" si="23"/>
        <v>9.9999999999909051</v>
      </c>
      <c r="BI30" s="60">
        <v>284.52</v>
      </c>
      <c r="BJ30" s="65">
        <f t="shared" si="40"/>
        <v>9.9999999999909051</v>
      </c>
      <c r="BK30" s="60">
        <v>231.61</v>
      </c>
      <c r="BL30" s="65">
        <f t="shared" si="24"/>
        <v>0</v>
      </c>
      <c r="BM30" s="60">
        <v>216.24</v>
      </c>
      <c r="BN30" s="65">
        <f t="shared" si="25"/>
        <v>20.000000000010232</v>
      </c>
      <c r="BO30" s="60">
        <v>281.20999999999998</v>
      </c>
      <c r="BP30" s="65">
        <f t="shared" si="26"/>
        <v>9.9999999999909051</v>
      </c>
      <c r="BQ30" s="60">
        <v>40331</v>
      </c>
      <c r="BR30" s="65">
        <f t="shared" si="27"/>
        <v>8</v>
      </c>
      <c r="BS30" s="60">
        <v>194.75</v>
      </c>
      <c r="BT30" s="65">
        <f t="shared" si="42"/>
        <v>9.9999999999909051</v>
      </c>
      <c r="BU30" s="60">
        <v>32874</v>
      </c>
      <c r="BV30" s="65">
        <f t="shared" si="29"/>
        <v>15</v>
      </c>
      <c r="BW30" s="60">
        <v>226.19</v>
      </c>
      <c r="BX30" s="65">
        <f t="shared" si="30"/>
        <v>9.9999999999909051</v>
      </c>
      <c r="BY30" s="60">
        <v>51190</v>
      </c>
      <c r="BZ30" s="67">
        <f t="shared" si="31"/>
        <v>17</v>
      </c>
      <c r="CA30" s="60">
        <v>27515.599999999999</v>
      </c>
      <c r="CB30" s="67">
        <f t="shared" si="32"/>
        <v>0</v>
      </c>
      <c r="CC30" s="60">
        <v>11255.6</v>
      </c>
      <c r="CD30" s="67">
        <f t="shared" si="33"/>
        <v>0</v>
      </c>
      <c r="CE30" s="60">
        <v>5489.7</v>
      </c>
      <c r="CF30" s="67">
        <f t="shared" si="34"/>
        <v>0</v>
      </c>
      <c r="CG30" s="60">
        <v>50861.1</v>
      </c>
      <c r="CH30" s="67">
        <f t="shared" si="35"/>
        <v>17.599999999998545</v>
      </c>
      <c r="CI30" s="60">
        <v>885682</v>
      </c>
      <c r="CJ30" s="67">
        <f t="shared" si="36"/>
        <v>208</v>
      </c>
      <c r="CK30" s="60">
        <v>623.86</v>
      </c>
      <c r="CL30" s="64">
        <f t="shared" si="37"/>
        <v>539.99999999996362</v>
      </c>
      <c r="CM30" s="65">
        <f t="shared" si="41"/>
        <v>32.299999999999955</v>
      </c>
      <c r="CN30" s="62">
        <v>0</v>
      </c>
      <c r="CO30" s="62">
        <v>0</v>
      </c>
      <c r="CP30" s="68">
        <v>1419.6</v>
      </c>
      <c r="CQ30" s="67">
        <f t="shared" si="38"/>
        <v>27.299999999999955</v>
      </c>
      <c r="CR30" s="68">
        <v>10802</v>
      </c>
      <c r="CS30" s="67">
        <f t="shared" si="38"/>
        <v>5</v>
      </c>
      <c r="CT30" s="75">
        <v>3446</v>
      </c>
      <c r="CU30" s="67">
        <f t="shared" si="38"/>
        <v>11</v>
      </c>
      <c r="CV30" s="68">
        <v>9814</v>
      </c>
      <c r="CW30" s="67">
        <f t="shared" si="38"/>
        <v>15</v>
      </c>
    </row>
    <row r="31" spans="1:101" ht="25.5" customHeight="1" thickBot="1" x14ac:dyDescent="0.45">
      <c r="A31" s="63">
        <v>44132</v>
      </c>
      <c r="B31" s="66"/>
      <c r="C31" s="58">
        <v>1.8763000000000001</v>
      </c>
      <c r="D31" s="64">
        <f t="shared" si="0"/>
        <v>1400.0000000000678</v>
      </c>
      <c r="E31" s="58">
        <v>2.7959999999999998</v>
      </c>
      <c r="F31" s="64">
        <f t="shared" si="1"/>
        <v>799.99999999991189</v>
      </c>
      <c r="G31" s="58">
        <v>2.7829999999999999</v>
      </c>
      <c r="H31" s="64">
        <f t="shared" si="2"/>
        <v>1799.9999999998017</v>
      </c>
      <c r="I31" s="58">
        <v>1.3522000000000001</v>
      </c>
      <c r="J31" s="64">
        <f t="shared" si="3"/>
        <v>800.00000000013392</v>
      </c>
      <c r="K31" s="58">
        <v>2.1511</v>
      </c>
      <c r="L31" s="64">
        <f t="shared" si="4"/>
        <v>1900.0000000000127</v>
      </c>
      <c r="M31" s="58">
        <v>1.2695000000000001</v>
      </c>
      <c r="N31" s="64">
        <f t="shared" si="5"/>
        <v>700.00000000014495</v>
      </c>
      <c r="O31" s="58">
        <v>12680</v>
      </c>
      <c r="P31" s="67">
        <f t="shared" si="44"/>
        <v>1</v>
      </c>
      <c r="Q31" s="58">
        <v>5947</v>
      </c>
      <c r="R31" s="67">
        <f t="shared" si="6"/>
        <v>6</v>
      </c>
      <c r="S31" s="58">
        <v>862384.8</v>
      </c>
      <c r="T31" s="67">
        <f t="shared" si="7"/>
        <v>240.60000000009313</v>
      </c>
      <c r="U31" s="58">
        <v>352901.4</v>
      </c>
      <c r="V31" s="67">
        <f t="shared" si="8"/>
        <v>131.30000000004657</v>
      </c>
      <c r="W31" s="58">
        <v>345.08</v>
      </c>
      <c r="X31" s="65">
        <f t="shared" si="9"/>
        <v>109.9999999999568</v>
      </c>
      <c r="Y31" s="58">
        <v>2.4487000000000001</v>
      </c>
      <c r="Z31" s="65">
        <f t="shared" si="10"/>
        <v>599.99999999993395</v>
      </c>
      <c r="AA31" s="58">
        <v>336.92</v>
      </c>
      <c r="AB31" s="65">
        <f t="shared" si="11"/>
        <v>189.99999999999773</v>
      </c>
      <c r="AC31" s="58">
        <v>325.47000000000003</v>
      </c>
      <c r="AD31" s="65">
        <f t="shared" si="12"/>
        <v>180.00000000000682</v>
      </c>
      <c r="AE31" s="58">
        <v>508.06</v>
      </c>
      <c r="AF31" s="65">
        <f t="shared" si="13"/>
        <v>160.00000000002501</v>
      </c>
      <c r="AG31" s="58">
        <v>1419.6</v>
      </c>
      <c r="AH31" s="67">
        <f t="shared" si="14"/>
        <v>1.2999999999999545</v>
      </c>
      <c r="AI31" s="58">
        <v>481.49</v>
      </c>
      <c r="AJ31" s="65">
        <f t="shared" si="15"/>
        <v>269.99999999998181</v>
      </c>
      <c r="AK31" s="58">
        <v>167.69</v>
      </c>
      <c r="AL31" s="65">
        <f t="shared" si="15"/>
        <v>189.99999999999773</v>
      </c>
      <c r="AM31" s="58">
        <v>165.36</v>
      </c>
      <c r="AN31" s="65">
        <f t="shared" si="15"/>
        <v>260.00000000001933</v>
      </c>
      <c r="AO31" s="58">
        <v>159.79</v>
      </c>
      <c r="AP31" s="65">
        <f t="shared" si="15"/>
        <v>189.99999999999773</v>
      </c>
      <c r="AQ31" s="58">
        <v>222.62</v>
      </c>
      <c r="AR31" s="65">
        <f t="shared" si="16"/>
        <v>39.999999999992042</v>
      </c>
      <c r="AS31" s="58">
        <v>348.03</v>
      </c>
      <c r="AT31" s="65">
        <f t="shared" si="17"/>
        <v>39.99999999996362</v>
      </c>
      <c r="AU31" s="58">
        <v>268.58</v>
      </c>
      <c r="AV31" s="65">
        <f t="shared" si="18"/>
        <v>39.99999999996362</v>
      </c>
      <c r="AW31" s="58">
        <v>295.91000000000003</v>
      </c>
      <c r="AX31" s="65">
        <f t="shared" si="19"/>
        <v>30.000000000029559</v>
      </c>
      <c r="AY31" s="58">
        <v>347.27</v>
      </c>
      <c r="AZ31" s="65">
        <f t="shared" si="20"/>
        <v>39.99999999996362</v>
      </c>
      <c r="BA31" s="58">
        <v>367</v>
      </c>
      <c r="BB31" s="65">
        <f t="shared" si="21"/>
        <v>40.000000000020464</v>
      </c>
      <c r="BC31" s="58">
        <v>233.48</v>
      </c>
      <c r="BD31" s="65">
        <f t="shared" si="22"/>
        <v>30.000000000001137</v>
      </c>
      <c r="BE31" s="59">
        <v>32413</v>
      </c>
      <c r="BF31" s="67">
        <f t="shared" si="39"/>
        <v>20</v>
      </c>
      <c r="BG31" s="60">
        <v>226.44</v>
      </c>
      <c r="BH31" s="65">
        <f t="shared" si="23"/>
        <v>0</v>
      </c>
      <c r="BI31" s="60">
        <v>284.52999999999997</v>
      </c>
      <c r="BJ31" s="65">
        <f t="shared" si="40"/>
        <v>9.9999999999909051</v>
      </c>
      <c r="BK31" s="60">
        <v>231.61</v>
      </c>
      <c r="BL31" s="65">
        <f t="shared" si="24"/>
        <v>0</v>
      </c>
      <c r="BM31" s="60">
        <v>216.25</v>
      </c>
      <c r="BN31" s="65">
        <f t="shared" si="25"/>
        <v>9.9999999999909051</v>
      </c>
      <c r="BO31" s="60">
        <v>281.23</v>
      </c>
      <c r="BP31" s="65">
        <f t="shared" si="26"/>
        <v>20.000000000038654</v>
      </c>
      <c r="BQ31" s="60">
        <v>40334</v>
      </c>
      <c r="BR31" s="65">
        <f t="shared" si="27"/>
        <v>3</v>
      </c>
      <c r="BS31" s="60">
        <v>194.76</v>
      </c>
      <c r="BT31" s="65">
        <f t="shared" si="42"/>
        <v>9.9999999999909051</v>
      </c>
      <c r="BU31" s="60">
        <v>32884</v>
      </c>
      <c r="BV31" s="65">
        <f t="shared" si="29"/>
        <v>10</v>
      </c>
      <c r="BW31" s="60">
        <v>226.21</v>
      </c>
      <c r="BX31" s="65">
        <f t="shared" si="30"/>
        <v>20.000000000010232</v>
      </c>
      <c r="BY31" s="60">
        <v>51208</v>
      </c>
      <c r="BZ31" s="67">
        <f t="shared" si="31"/>
        <v>18</v>
      </c>
      <c r="CA31" s="60">
        <v>27515.599999999999</v>
      </c>
      <c r="CB31" s="67">
        <f t="shared" si="32"/>
        <v>0</v>
      </c>
      <c r="CC31" s="60">
        <v>11255.6</v>
      </c>
      <c r="CD31" s="67">
        <f t="shared" si="33"/>
        <v>0</v>
      </c>
      <c r="CE31" s="60">
        <v>5489.7</v>
      </c>
      <c r="CF31" s="67">
        <f t="shared" si="34"/>
        <v>0</v>
      </c>
      <c r="CG31" s="60">
        <v>50892.3</v>
      </c>
      <c r="CH31" s="67">
        <f t="shared" si="35"/>
        <v>31.200000000004366</v>
      </c>
      <c r="CI31" s="60">
        <v>885913</v>
      </c>
      <c r="CJ31" s="67">
        <f t="shared" si="36"/>
        <v>231</v>
      </c>
      <c r="CK31" s="60">
        <v>624.37</v>
      </c>
      <c r="CL31" s="64">
        <f t="shared" si="37"/>
        <v>509.99999999999091</v>
      </c>
      <c r="CM31" s="65">
        <f t="shared" si="41"/>
        <v>27.400000000000091</v>
      </c>
      <c r="CN31" s="62">
        <v>0</v>
      </c>
      <c r="CO31" s="62">
        <v>0</v>
      </c>
      <c r="CP31" s="68">
        <v>1435</v>
      </c>
      <c r="CQ31" s="67">
        <f t="shared" si="38"/>
        <v>15.400000000000091</v>
      </c>
      <c r="CR31" s="68">
        <v>10814</v>
      </c>
      <c r="CS31" s="67">
        <f t="shared" si="38"/>
        <v>12</v>
      </c>
      <c r="CT31" s="75">
        <v>3458</v>
      </c>
      <c r="CU31" s="67">
        <f t="shared" si="38"/>
        <v>12</v>
      </c>
      <c r="CV31" s="68">
        <v>9835</v>
      </c>
      <c r="CW31" s="67">
        <f t="shared" si="38"/>
        <v>21</v>
      </c>
    </row>
    <row r="32" spans="1:101" ht="25.5" customHeight="1" thickBot="1" x14ac:dyDescent="0.45">
      <c r="A32" s="63">
        <v>44133</v>
      </c>
      <c r="B32" s="68"/>
      <c r="C32" s="58">
        <v>1.8776999999999999</v>
      </c>
      <c r="D32" s="64">
        <f t="shared" si="0"/>
        <v>1399.9999999998458</v>
      </c>
      <c r="E32" s="58">
        <v>2.7966000000000002</v>
      </c>
      <c r="F32" s="64">
        <f t="shared" si="1"/>
        <v>600.00000000037801</v>
      </c>
      <c r="G32" s="58">
        <v>2.7841999999999998</v>
      </c>
      <c r="H32" s="64">
        <f t="shared" si="2"/>
        <v>1199.9999999998679</v>
      </c>
      <c r="I32" s="58">
        <v>1.3528</v>
      </c>
      <c r="J32" s="64">
        <f t="shared" si="3"/>
        <v>599.99999999993395</v>
      </c>
      <c r="K32" s="58">
        <v>2.1526999999999998</v>
      </c>
      <c r="L32" s="64">
        <f t="shared" si="4"/>
        <v>1599.9999999998238</v>
      </c>
      <c r="M32" s="58">
        <v>1.27</v>
      </c>
      <c r="N32" s="64">
        <f t="shared" si="5"/>
        <v>499.99999999994492</v>
      </c>
      <c r="O32" s="58">
        <v>12681</v>
      </c>
      <c r="P32" s="67">
        <f t="shared" si="44"/>
        <v>1</v>
      </c>
      <c r="Q32" s="58">
        <v>5949</v>
      </c>
      <c r="R32" s="67">
        <f t="shared" si="6"/>
        <v>2</v>
      </c>
      <c r="S32" s="58">
        <v>862499.4</v>
      </c>
      <c r="T32" s="67">
        <f t="shared" si="7"/>
        <v>114.59999999997672</v>
      </c>
      <c r="U32" s="58">
        <v>352985.7</v>
      </c>
      <c r="V32" s="67">
        <f t="shared" si="8"/>
        <v>84.299999999988358</v>
      </c>
      <c r="W32" s="58">
        <v>345.17</v>
      </c>
      <c r="X32" s="65">
        <f t="shared" si="9"/>
        <v>90.000000000031832</v>
      </c>
      <c r="Y32" s="58">
        <v>2.4491000000000001</v>
      </c>
      <c r="Z32" s="65">
        <f t="shared" si="10"/>
        <v>399.99999999995595</v>
      </c>
      <c r="AA32" s="58">
        <v>337.07</v>
      </c>
      <c r="AB32" s="65">
        <f t="shared" si="11"/>
        <v>149.99999999997726</v>
      </c>
      <c r="AC32" s="58">
        <v>325.60000000000002</v>
      </c>
      <c r="AD32" s="65">
        <f t="shared" si="12"/>
        <v>129.99999999999545</v>
      </c>
      <c r="AE32" s="58">
        <v>508.19</v>
      </c>
      <c r="AF32" s="65">
        <f t="shared" si="13"/>
        <v>129.99999999999545</v>
      </c>
      <c r="AG32" s="58">
        <v>1420.8</v>
      </c>
      <c r="AH32" s="67">
        <f t="shared" si="14"/>
        <v>1.2000000000000455</v>
      </c>
      <c r="AI32" s="58">
        <v>481.72</v>
      </c>
      <c r="AJ32" s="65">
        <f t="shared" si="15"/>
        <v>230.00000000001819</v>
      </c>
      <c r="AK32" s="58">
        <v>167.86</v>
      </c>
      <c r="AL32" s="65">
        <f t="shared" si="15"/>
        <v>170.00000000001592</v>
      </c>
      <c r="AM32" s="58">
        <v>165.7</v>
      </c>
      <c r="AN32" s="65">
        <f t="shared" si="15"/>
        <v>339.99999999997499</v>
      </c>
      <c r="AO32" s="58">
        <v>160.08000000000001</v>
      </c>
      <c r="AP32" s="65">
        <f t="shared" si="15"/>
        <v>290.00000000002046</v>
      </c>
      <c r="AQ32" s="58">
        <v>222.65</v>
      </c>
      <c r="AR32" s="65">
        <f t="shared" si="16"/>
        <v>30.000000000001137</v>
      </c>
      <c r="AS32" s="58">
        <v>348.07</v>
      </c>
      <c r="AT32" s="65">
        <f t="shared" si="17"/>
        <v>40.000000000020464</v>
      </c>
      <c r="AU32" s="58">
        <v>268.62</v>
      </c>
      <c r="AV32" s="65">
        <f t="shared" si="18"/>
        <v>40.000000000020464</v>
      </c>
      <c r="AW32" s="58">
        <v>295.94</v>
      </c>
      <c r="AX32" s="65">
        <f t="shared" si="19"/>
        <v>29.999999999972715</v>
      </c>
      <c r="AY32" s="58">
        <v>347.3</v>
      </c>
      <c r="AZ32" s="65">
        <f t="shared" si="20"/>
        <v>30.000000000029559</v>
      </c>
      <c r="BA32" s="58">
        <v>367.02</v>
      </c>
      <c r="BB32" s="65">
        <f t="shared" si="21"/>
        <v>19.99999999998181</v>
      </c>
      <c r="BC32" s="58">
        <v>233.51</v>
      </c>
      <c r="BD32" s="65">
        <f t="shared" si="22"/>
        <v>30.000000000001137</v>
      </c>
      <c r="BE32" s="59">
        <v>32439</v>
      </c>
      <c r="BF32" s="67">
        <f t="shared" si="39"/>
        <v>26</v>
      </c>
      <c r="BG32" s="60">
        <v>226.44</v>
      </c>
      <c r="BH32" s="65">
        <f t="shared" si="23"/>
        <v>0</v>
      </c>
      <c r="BI32" s="60">
        <v>284.55</v>
      </c>
      <c r="BJ32" s="65">
        <f t="shared" si="40"/>
        <v>20.000000000038654</v>
      </c>
      <c r="BK32" s="60">
        <v>231.61</v>
      </c>
      <c r="BL32" s="65">
        <f t="shared" si="24"/>
        <v>0</v>
      </c>
      <c r="BM32" s="60">
        <v>216.27</v>
      </c>
      <c r="BN32" s="65">
        <f t="shared" si="25"/>
        <v>20.000000000010232</v>
      </c>
      <c r="BO32" s="60">
        <v>281.24</v>
      </c>
      <c r="BP32" s="65">
        <f t="shared" si="26"/>
        <v>9.9999999999909051</v>
      </c>
      <c r="BQ32" s="60">
        <v>40337</v>
      </c>
      <c r="BR32" s="65">
        <f t="shared" si="27"/>
        <v>3</v>
      </c>
      <c r="BS32" s="60">
        <v>194.77</v>
      </c>
      <c r="BT32" s="65">
        <f t="shared" si="42"/>
        <v>10.000000000019327</v>
      </c>
      <c r="BU32" s="60">
        <v>32895</v>
      </c>
      <c r="BV32" s="65">
        <f t="shared" si="29"/>
        <v>11</v>
      </c>
      <c r="BW32" s="60">
        <v>226.22</v>
      </c>
      <c r="BX32" s="65">
        <f t="shared" si="30"/>
        <v>9.9999999999909051</v>
      </c>
      <c r="BY32" s="60">
        <v>51228</v>
      </c>
      <c r="BZ32" s="67">
        <f t="shared" si="31"/>
        <v>20</v>
      </c>
      <c r="CA32" s="60">
        <v>27515.599999999999</v>
      </c>
      <c r="CB32" s="67">
        <f t="shared" si="32"/>
        <v>0</v>
      </c>
      <c r="CC32" s="60">
        <v>11255.6</v>
      </c>
      <c r="CD32" s="67">
        <f t="shared" si="33"/>
        <v>0</v>
      </c>
      <c r="CE32" s="60">
        <v>5489.7</v>
      </c>
      <c r="CF32" s="67">
        <f t="shared" si="34"/>
        <v>0</v>
      </c>
      <c r="CG32" s="60">
        <v>50910.2</v>
      </c>
      <c r="CH32" s="67">
        <f t="shared" si="35"/>
        <v>17.899999999994179</v>
      </c>
      <c r="CI32" s="60">
        <v>886105</v>
      </c>
      <c r="CJ32" s="67">
        <f t="shared" si="36"/>
        <v>192</v>
      </c>
      <c r="CK32" s="60">
        <v>624.67999999999995</v>
      </c>
      <c r="CL32" s="64">
        <f t="shared" si="37"/>
        <v>309.99999999994543</v>
      </c>
      <c r="CM32" s="65">
        <f t="shared" si="41"/>
        <v>15.700000000000045</v>
      </c>
      <c r="CN32" s="62">
        <v>0</v>
      </c>
      <c r="CO32" s="62">
        <v>0</v>
      </c>
      <c r="CP32" s="68">
        <v>1439.7</v>
      </c>
      <c r="CQ32" s="67">
        <f t="shared" si="38"/>
        <v>4.7000000000000455</v>
      </c>
      <c r="CR32" s="68">
        <v>10825</v>
      </c>
      <c r="CS32" s="67">
        <f t="shared" si="38"/>
        <v>11</v>
      </c>
      <c r="CT32" s="75">
        <v>3468</v>
      </c>
      <c r="CU32" s="67">
        <f t="shared" si="38"/>
        <v>10</v>
      </c>
      <c r="CV32" s="68">
        <v>9850</v>
      </c>
      <c r="CW32" s="67">
        <f t="shared" si="38"/>
        <v>15</v>
      </c>
    </row>
    <row r="33" spans="1:101" ht="25.5" customHeight="1" thickBot="1" x14ac:dyDescent="0.45">
      <c r="A33" s="63">
        <v>44134</v>
      </c>
      <c r="B33" s="68"/>
      <c r="C33" s="58">
        <v>1.8793</v>
      </c>
      <c r="D33" s="64">
        <f t="shared" si="0"/>
        <v>1600.0000000000459</v>
      </c>
      <c r="E33" s="58">
        <v>2.7972999999999999</v>
      </c>
      <c r="F33" s="64">
        <f t="shared" si="1"/>
        <v>699.99999999970089</v>
      </c>
      <c r="G33" s="58">
        <v>2.786</v>
      </c>
      <c r="H33" s="64">
        <f t="shared" si="2"/>
        <v>1800.0000000002458</v>
      </c>
      <c r="I33" s="58">
        <v>1.3535999999999999</v>
      </c>
      <c r="J33" s="64">
        <f t="shared" si="3"/>
        <v>799.99999999991189</v>
      </c>
      <c r="K33" s="58">
        <v>2.1545000000000001</v>
      </c>
      <c r="L33" s="64">
        <f t="shared" si="4"/>
        <v>1800.0000000002458</v>
      </c>
      <c r="M33" s="58">
        <v>1.2706</v>
      </c>
      <c r="N33" s="64">
        <f t="shared" si="5"/>
        <v>599.99999999993395</v>
      </c>
      <c r="O33" s="58">
        <v>12682</v>
      </c>
      <c r="P33" s="67">
        <f t="shared" si="44"/>
        <v>1</v>
      </c>
      <c r="Q33" s="58">
        <v>5951</v>
      </c>
      <c r="R33" s="67">
        <f t="shared" si="6"/>
        <v>2</v>
      </c>
      <c r="S33" s="58">
        <v>862685.2</v>
      </c>
      <c r="T33" s="67">
        <f t="shared" si="7"/>
        <v>185.79999999993015</v>
      </c>
      <c r="U33" s="58">
        <v>353091.1</v>
      </c>
      <c r="V33" s="67">
        <f t="shared" si="8"/>
        <v>105.39999999996508</v>
      </c>
      <c r="W33" s="58">
        <v>345.27</v>
      </c>
      <c r="X33" s="65">
        <f t="shared" si="9"/>
        <v>99.999999999965894</v>
      </c>
      <c r="Y33" s="58">
        <v>2.4496000000000002</v>
      </c>
      <c r="Z33" s="65">
        <f t="shared" si="10"/>
        <v>500.00000000016701</v>
      </c>
      <c r="AA33" s="58">
        <v>337.2</v>
      </c>
      <c r="AB33" s="65">
        <f t="shared" si="11"/>
        <v>129.99999999999545</v>
      </c>
      <c r="AC33" s="58">
        <v>325.76</v>
      </c>
      <c r="AD33" s="65">
        <f t="shared" si="12"/>
        <v>159.99999999996817</v>
      </c>
      <c r="AE33" s="58">
        <v>508.43</v>
      </c>
      <c r="AF33" s="65">
        <f t="shared" si="13"/>
        <v>240.00000000000909</v>
      </c>
      <c r="AG33" s="58">
        <v>1422.1</v>
      </c>
      <c r="AH33" s="67">
        <f t="shared" si="14"/>
        <v>1.2999999999999545</v>
      </c>
      <c r="AI33" s="58">
        <v>481.98</v>
      </c>
      <c r="AJ33" s="65">
        <f t="shared" si="15"/>
        <v>259.99999999999091</v>
      </c>
      <c r="AK33" s="58">
        <v>168.06</v>
      </c>
      <c r="AL33" s="65">
        <f t="shared" si="15"/>
        <v>199.99999999998863</v>
      </c>
      <c r="AM33" s="58">
        <v>166.04</v>
      </c>
      <c r="AN33" s="65">
        <f t="shared" si="15"/>
        <v>340.00000000000341</v>
      </c>
      <c r="AO33" s="58">
        <v>160.34</v>
      </c>
      <c r="AP33" s="65">
        <f t="shared" si="15"/>
        <v>259.99999999999091</v>
      </c>
      <c r="AQ33" s="58">
        <v>222.68</v>
      </c>
      <c r="AR33" s="65">
        <f t="shared" si="16"/>
        <v>30.000000000001137</v>
      </c>
      <c r="AS33" s="58">
        <v>348.1</v>
      </c>
      <c r="AT33" s="65">
        <f t="shared" si="17"/>
        <v>30.000000000029559</v>
      </c>
      <c r="AU33" s="58">
        <v>268.64999999999998</v>
      </c>
      <c r="AV33" s="65">
        <f t="shared" si="18"/>
        <v>29.999999999972715</v>
      </c>
      <c r="AW33" s="58">
        <v>295.97000000000003</v>
      </c>
      <c r="AX33" s="65">
        <f t="shared" si="19"/>
        <v>30.000000000029559</v>
      </c>
      <c r="AY33" s="58">
        <v>347.33</v>
      </c>
      <c r="AZ33" s="65">
        <f t="shared" si="20"/>
        <v>29.999999999972715</v>
      </c>
      <c r="BA33" s="58">
        <v>367.05</v>
      </c>
      <c r="BB33" s="65">
        <f t="shared" si="21"/>
        <v>30.000000000029559</v>
      </c>
      <c r="BC33" s="58">
        <v>233.54</v>
      </c>
      <c r="BD33" s="65">
        <f t="shared" si="22"/>
        <v>30.000000000001137</v>
      </c>
      <c r="BE33" s="59">
        <v>32468</v>
      </c>
      <c r="BF33" s="67">
        <f t="shared" si="39"/>
        <v>29</v>
      </c>
      <c r="BG33" s="60">
        <v>226.45</v>
      </c>
      <c r="BH33" s="65">
        <f t="shared" si="23"/>
        <v>9.9999999999909051</v>
      </c>
      <c r="BI33" s="60">
        <v>284.56</v>
      </c>
      <c r="BJ33" s="65">
        <f t="shared" si="40"/>
        <v>9.9999999999909051</v>
      </c>
      <c r="BK33" s="60">
        <v>231.61</v>
      </c>
      <c r="BL33" s="65">
        <f t="shared" si="24"/>
        <v>0</v>
      </c>
      <c r="BM33" s="60">
        <v>216.28</v>
      </c>
      <c r="BN33" s="65">
        <f t="shared" si="25"/>
        <v>9.9999999999909051</v>
      </c>
      <c r="BO33" s="60">
        <v>281.26</v>
      </c>
      <c r="BP33" s="65">
        <f t="shared" si="26"/>
        <v>19.99999999998181</v>
      </c>
      <c r="BQ33" s="60">
        <v>40340</v>
      </c>
      <c r="BR33" s="65">
        <f t="shared" si="27"/>
        <v>3</v>
      </c>
      <c r="BS33" s="60">
        <v>194.78</v>
      </c>
      <c r="BT33" s="65">
        <f t="shared" si="42"/>
        <v>9.9999999999909051</v>
      </c>
      <c r="BU33" s="60">
        <v>32904</v>
      </c>
      <c r="BV33" s="65">
        <f t="shared" si="29"/>
        <v>9</v>
      </c>
      <c r="BW33" s="60">
        <v>226.23</v>
      </c>
      <c r="BX33" s="65">
        <f t="shared" si="30"/>
        <v>9.9999999999909051</v>
      </c>
      <c r="BY33" s="60">
        <v>51245</v>
      </c>
      <c r="BZ33" s="67">
        <f t="shared" si="31"/>
        <v>17</v>
      </c>
      <c r="CA33" s="60">
        <v>27515.599999999999</v>
      </c>
      <c r="CB33" s="67">
        <f t="shared" si="32"/>
        <v>0</v>
      </c>
      <c r="CC33" s="60">
        <v>11255.6</v>
      </c>
      <c r="CD33" s="67">
        <f t="shared" si="33"/>
        <v>0</v>
      </c>
      <c r="CE33" s="60">
        <v>5489.7</v>
      </c>
      <c r="CF33" s="67">
        <f t="shared" si="34"/>
        <v>0</v>
      </c>
      <c r="CG33" s="60">
        <v>50910.400000000001</v>
      </c>
      <c r="CH33" s="67">
        <f t="shared" si="35"/>
        <v>0.20000000000436557</v>
      </c>
      <c r="CI33" s="60">
        <v>886313</v>
      </c>
      <c r="CJ33" s="67">
        <f t="shared" si="36"/>
        <v>208</v>
      </c>
      <c r="CK33" s="60">
        <v>625.32000000000005</v>
      </c>
      <c r="CL33" s="64">
        <f t="shared" si="37"/>
        <v>640.00000000010004</v>
      </c>
      <c r="CM33" s="65">
        <f t="shared" si="41"/>
        <v>25.799999999999955</v>
      </c>
      <c r="CN33" s="62">
        <v>0</v>
      </c>
      <c r="CO33" s="62">
        <v>0</v>
      </c>
      <c r="CP33" s="68">
        <v>1454.5</v>
      </c>
      <c r="CQ33" s="67">
        <f t="shared" si="38"/>
        <v>14.799999999999955</v>
      </c>
      <c r="CR33" s="68">
        <v>10836</v>
      </c>
      <c r="CS33" s="67">
        <f t="shared" si="38"/>
        <v>11</v>
      </c>
      <c r="CT33" s="75">
        <v>3479</v>
      </c>
      <c r="CU33" s="67">
        <f t="shared" si="38"/>
        <v>11</v>
      </c>
      <c r="CV33" s="68">
        <v>9872</v>
      </c>
      <c r="CW33" s="67">
        <f t="shared" si="38"/>
        <v>22</v>
      </c>
    </row>
    <row r="34" spans="1:101" ht="25.5" customHeight="1" thickBot="1" x14ac:dyDescent="0.45">
      <c r="A34" s="63">
        <v>44135</v>
      </c>
      <c r="B34" s="68"/>
      <c r="C34" s="58"/>
      <c r="D34" s="64" t="str">
        <f t="shared" si="0"/>
        <v>0</v>
      </c>
      <c r="E34" s="58"/>
      <c r="F34" s="64" t="str">
        <f t="shared" si="1"/>
        <v>0</v>
      </c>
      <c r="G34" s="58"/>
      <c r="H34" s="64" t="str">
        <f t="shared" si="2"/>
        <v>0</v>
      </c>
      <c r="I34" s="58"/>
      <c r="J34" s="64" t="str">
        <f t="shared" si="3"/>
        <v>0</v>
      </c>
      <c r="K34" s="58"/>
      <c r="L34" s="64" t="str">
        <f t="shared" si="4"/>
        <v>0</v>
      </c>
      <c r="M34" s="58"/>
      <c r="N34" s="64" t="str">
        <f t="shared" si="5"/>
        <v/>
      </c>
      <c r="O34" s="58"/>
      <c r="P34" s="67" t="str">
        <f t="shared" si="44"/>
        <v/>
      </c>
      <c r="Q34" s="58"/>
      <c r="R34" s="67" t="str">
        <f t="shared" si="6"/>
        <v/>
      </c>
      <c r="S34" s="58"/>
      <c r="T34" s="67" t="str">
        <f t="shared" si="7"/>
        <v/>
      </c>
      <c r="U34" s="58"/>
      <c r="V34" s="67" t="str">
        <f t="shared" si="8"/>
        <v/>
      </c>
      <c r="W34" s="58"/>
      <c r="X34" s="65" t="str">
        <f t="shared" si="9"/>
        <v/>
      </c>
      <c r="Y34" s="58"/>
      <c r="Z34" s="65" t="str">
        <f t="shared" si="10"/>
        <v/>
      </c>
      <c r="AA34" s="58"/>
      <c r="AB34" s="65" t="str">
        <f t="shared" si="11"/>
        <v/>
      </c>
      <c r="AC34" s="58"/>
      <c r="AD34" s="65" t="str">
        <f t="shared" si="12"/>
        <v/>
      </c>
      <c r="AE34" s="58"/>
      <c r="AF34" s="65" t="str">
        <f t="shared" si="13"/>
        <v/>
      </c>
      <c r="AG34" s="58"/>
      <c r="AH34" s="67" t="str">
        <f t="shared" si="14"/>
        <v/>
      </c>
      <c r="AI34" s="58"/>
      <c r="AJ34" s="65" t="str">
        <f t="shared" si="15"/>
        <v/>
      </c>
      <c r="AK34" s="58"/>
      <c r="AL34" s="65" t="str">
        <f t="shared" si="15"/>
        <v/>
      </c>
      <c r="AM34" s="58"/>
      <c r="AN34" s="65" t="str">
        <f t="shared" si="15"/>
        <v/>
      </c>
      <c r="AO34" s="58"/>
      <c r="AP34" s="65" t="str">
        <f t="shared" si="15"/>
        <v/>
      </c>
      <c r="AQ34" s="58"/>
      <c r="AR34" s="65" t="str">
        <f t="shared" si="16"/>
        <v/>
      </c>
      <c r="AS34" s="58"/>
      <c r="AT34" s="65" t="str">
        <f t="shared" si="17"/>
        <v/>
      </c>
      <c r="AU34" s="58"/>
      <c r="AV34" s="65" t="str">
        <f t="shared" si="18"/>
        <v/>
      </c>
      <c r="AW34" s="58"/>
      <c r="AX34" s="65" t="str">
        <f t="shared" si="19"/>
        <v/>
      </c>
      <c r="AY34" s="58"/>
      <c r="AZ34" s="65" t="str">
        <f t="shared" si="20"/>
        <v/>
      </c>
      <c r="BA34" s="58"/>
      <c r="BB34" s="65" t="str">
        <f t="shared" si="21"/>
        <v/>
      </c>
      <c r="BC34" s="58"/>
      <c r="BD34" s="65" t="str">
        <f t="shared" si="22"/>
        <v/>
      </c>
      <c r="BE34" s="59"/>
      <c r="BF34" s="67" t="str">
        <f t="shared" si="39"/>
        <v/>
      </c>
      <c r="BG34" s="60"/>
      <c r="BH34" s="65" t="str">
        <f t="shared" si="23"/>
        <v/>
      </c>
      <c r="BI34" s="60"/>
      <c r="BJ34" s="65" t="str">
        <f t="shared" si="40"/>
        <v/>
      </c>
      <c r="BK34" s="60"/>
      <c r="BL34" s="65" t="str">
        <f t="shared" si="24"/>
        <v/>
      </c>
      <c r="BM34" s="60"/>
      <c r="BN34" s="65" t="str">
        <f>IF((BM34-BM33&lt;0), "",(BM34-BM33)*1000)</f>
        <v/>
      </c>
      <c r="BO34" s="60"/>
      <c r="BP34" s="65" t="str">
        <f t="shared" si="26"/>
        <v/>
      </c>
      <c r="BQ34" s="60"/>
      <c r="BR34" s="65" t="str">
        <f t="shared" si="27"/>
        <v/>
      </c>
      <c r="BS34" s="60"/>
      <c r="BT34" s="65" t="str">
        <f t="shared" si="42"/>
        <v/>
      </c>
      <c r="BU34" s="60"/>
      <c r="BV34" s="65" t="str">
        <f t="shared" si="29"/>
        <v/>
      </c>
      <c r="BW34" s="60"/>
      <c r="BX34" s="65" t="str">
        <f t="shared" si="30"/>
        <v/>
      </c>
      <c r="BY34" s="60"/>
      <c r="BZ34" s="67" t="str">
        <f t="shared" si="31"/>
        <v/>
      </c>
      <c r="CA34" s="60"/>
      <c r="CB34" s="67" t="str">
        <f t="shared" ref="CB34" si="45">IF((CA34-CA33&lt;0), "",CA34-CA33)</f>
        <v/>
      </c>
      <c r="CC34" s="60"/>
      <c r="CD34" s="67" t="str">
        <f t="shared" si="33"/>
        <v/>
      </c>
      <c r="CE34" s="60"/>
      <c r="CF34" s="67" t="str">
        <f t="shared" ref="CF34" si="46">IF((CE34-CE33&lt;0), "",CE34-CE33)</f>
        <v/>
      </c>
      <c r="CG34" s="60"/>
      <c r="CH34" s="67" t="str">
        <f t="shared" si="35"/>
        <v/>
      </c>
      <c r="CI34" s="60"/>
      <c r="CJ34" s="67" t="str">
        <f t="shared" si="36"/>
        <v/>
      </c>
      <c r="CK34" s="60"/>
      <c r="CL34" s="64" t="str">
        <f t="shared" si="37"/>
        <v/>
      </c>
      <c r="CM34" s="65" t="e">
        <f t="shared" si="41"/>
        <v>#VALUE!</v>
      </c>
      <c r="CN34" s="62">
        <v>0</v>
      </c>
      <c r="CO34" s="62">
        <v>0</v>
      </c>
      <c r="CP34" s="68"/>
      <c r="CQ34" s="67" t="str">
        <f t="shared" si="38"/>
        <v/>
      </c>
      <c r="CR34" s="68"/>
      <c r="CS34" s="67" t="str">
        <f t="shared" si="38"/>
        <v/>
      </c>
      <c r="CT34" s="75"/>
      <c r="CU34" s="67" t="str">
        <f t="shared" si="38"/>
        <v/>
      </c>
      <c r="CV34" s="68"/>
      <c r="CW34" s="67" t="str">
        <f t="shared" si="38"/>
        <v/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5" zoomScaleNormal="100" workbookViewId="0">
      <selection activeCell="S40" sqref="S4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23</v>
      </c>
      <c r="O18" s="39">
        <v>1</v>
      </c>
      <c r="P18" s="39">
        <v>1</v>
      </c>
      <c r="Q18" s="39">
        <v>2896</v>
      </c>
      <c r="R18" s="78">
        <v>20</v>
      </c>
      <c r="S18" s="78">
        <v>196</v>
      </c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20</v>
      </c>
      <c r="O19" s="39">
        <v>1</v>
      </c>
      <c r="P19" s="39">
        <v>1</v>
      </c>
      <c r="Q19" s="39">
        <v>2898</v>
      </c>
      <c r="R19" s="78">
        <v>20</v>
      </c>
      <c r="S19" s="78">
        <v>196</v>
      </c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17</v>
      </c>
      <c r="O20" s="39">
        <v>1</v>
      </c>
      <c r="P20" s="39">
        <v>1</v>
      </c>
      <c r="Q20" s="39">
        <v>2901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16</v>
      </c>
      <c r="O21" s="39">
        <v>1</v>
      </c>
      <c r="P21" s="39">
        <v>1</v>
      </c>
      <c r="Q21" s="39">
        <v>2903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14</v>
      </c>
      <c r="O22" s="39">
        <v>1</v>
      </c>
      <c r="P22" s="39">
        <v>1</v>
      </c>
      <c r="Q22" s="39">
        <v>2905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11</v>
      </c>
      <c r="O23" s="39">
        <v>1</v>
      </c>
      <c r="P23" s="39">
        <v>1</v>
      </c>
      <c r="Q23" s="39">
        <v>2909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7</v>
      </c>
      <c r="O24" s="39">
        <v>1</v>
      </c>
      <c r="P24" s="39">
        <v>1</v>
      </c>
      <c r="Q24" s="39">
        <v>2911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80</v>
      </c>
      <c r="O25" s="39">
        <v>85</v>
      </c>
      <c r="P25" s="39">
        <v>83</v>
      </c>
      <c r="Q25" s="39">
        <v>2913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76</v>
      </c>
      <c r="O26" s="39">
        <v>85</v>
      </c>
      <c r="P26" s="39">
        <v>83</v>
      </c>
      <c r="Q26" s="39">
        <v>2915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74</v>
      </c>
      <c r="O27" s="39">
        <v>85</v>
      </c>
      <c r="P27" s="39">
        <v>83</v>
      </c>
      <c r="Q27" s="39">
        <v>2918</v>
      </c>
      <c r="R27" s="78">
        <v>20</v>
      </c>
      <c r="S27" s="78">
        <v>196</v>
      </c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71</v>
      </c>
      <c r="O28" s="39">
        <v>85</v>
      </c>
      <c r="P28" s="39">
        <v>83</v>
      </c>
      <c r="Q28" s="39">
        <v>2920</v>
      </c>
      <c r="R28" s="78">
        <v>20</v>
      </c>
      <c r="S28" s="78">
        <v>196</v>
      </c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66</v>
      </c>
      <c r="O29" s="39">
        <v>85</v>
      </c>
      <c r="P29" s="39">
        <v>83</v>
      </c>
      <c r="Q29" s="39">
        <v>2924</v>
      </c>
      <c r="R29" s="78">
        <v>20</v>
      </c>
      <c r="S29" s="78">
        <v>196</v>
      </c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64</v>
      </c>
      <c r="O30" s="39">
        <v>85</v>
      </c>
      <c r="P30" s="39">
        <v>83</v>
      </c>
      <c r="Q30" s="39">
        <v>2927</v>
      </c>
      <c r="R30" s="78">
        <v>20</v>
      </c>
      <c r="S30" s="78">
        <v>196</v>
      </c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61</v>
      </c>
      <c r="O31" s="39">
        <v>85</v>
      </c>
      <c r="P31" s="39">
        <v>83</v>
      </c>
      <c r="Q31" s="39">
        <v>2930</v>
      </c>
      <c r="R31" s="78">
        <v>20</v>
      </c>
      <c r="S31" s="78">
        <v>196</v>
      </c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55</v>
      </c>
      <c r="O32" s="39">
        <v>85</v>
      </c>
      <c r="P32" s="39">
        <v>83</v>
      </c>
      <c r="Q32" s="39">
        <v>2933</v>
      </c>
      <c r="R32" s="78">
        <v>20</v>
      </c>
      <c r="S32" s="78">
        <v>196</v>
      </c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54</v>
      </c>
      <c r="O33" s="39">
        <v>85</v>
      </c>
      <c r="P33" s="39">
        <v>83</v>
      </c>
      <c r="Q33" s="39">
        <v>2935</v>
      </c>
      <c r="R33" s="78">
        <v>20</v>
      </c>
      <c r="S33" s="78">
        <v>196</v>
      </c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51</v>
      </c>
      <c r="O34" s="39">
        <v>85</v>
      </c>
      <c r="P34" s="39">
        <v>83</v>
      </c>
      <c r="Q34" s="39">
        <v>2937</v>
      </c>
      <c r="R34" s="78">
        <v>20</v>
      </c>
      <c r="S34" s="78">
        <v>196</v>
      </c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>
        <v>86</v>
      </c>
      <c r="F35" s="41">
        <v>4775</v>
      </c>
      <c r="G35" s="41">
        <v>87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46</v>
      </c>
      <c r="O35" s="39">
        <v>85</v>
      </c>
      <c r="P35" s="39">
        <v>83</v>
      </c>
      <c r="Q35" s="39">
        <v>2940</v>
      </c>
      <c r="R35" s="78">
        <v>20</v>
      </c>
      <c r="S35" s="78">
        <v>196</v>
      </c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>
        <v>86</v>
      </c>
      <c r="F36" s="41">
        <v>4775</v>
      </c>
      <c r="G36" s="41">
        <v>87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>
        <v>43</v>
      </c>
      <c r="O36" s="39">
        <v>85</v>
      </c>
      <c r="P36" s="39">
        <v>83</v>
      </c>
      <c r="Q36" s="39">
        <v>2943</v>
      </c>
      <c r="R36" s="78">
        <v>20</v>
      </c>
      <c r="S36" s="78">
        <v>196</v>
      </c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>
        <v>86</v>
      </c>
      <c r="F37" s="41">
        <v>4775</v>
      </c>
      <c r="G37" s="41">
        <v>87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>
        <v>41</v>
      </c>
      <c r="O37" s="39">
        <v>85</v>
      </c>
      <c r="P37" s="39">
        <v>83</v>
      </c>
      <c r="Q37" s="39">
        <v>2945</v>
      </c>
      <c r="R37" s="78">
        <v>20</v>
      </c>
      <c r="S37" s="78">
        <v>196</v>
      </c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>
        <v>86</v>
      </c>
      <c r="F38" s="41">
        <v>4775</v>
      </c>
      <c r="G38" s="41">
        <v>87</v>
      </c>
      <c r="H38" s="41">
        <v>1374</v>
      </c>
      <c r="I38" s="41">
        <v>85</v>
      </c>
      <c r="J38" s="41">
        <v>273</v>
      </c>
      <c r="K38" s="42">
        <v>85</v>
      </c>
      <c r="L38" s="42">
        <v>86</v>
      </c>
      <c r="M38" s="42">
        <v>1152</v>
      </c>
      <c r="N38" s="39">
        <v>82</v>
      </c>
      <c r="O38" s="39">
        <v>85</v>
      </c>
      <c r="P38" s="39">
        <v>83</v>
      </c>
      <c r="Q38" s="39">
        <v>2946</v>
      </c>
      <c r="R38" s="78">
        <v>20</v>
      </c>
      <c r="S38" s="78">
        <v>196</v>
      </c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-196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2020-10-31T13:11:30Z</dcterms:modified>
</cp:coreProperties>
</file>