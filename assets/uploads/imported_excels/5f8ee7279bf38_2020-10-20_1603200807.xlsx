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21" i="7" l="1"/>
  <c r="BR21" i="7"/>
  <c r="BL23" i="7"/>
  <c r="BL24" i="7"/>
  <c r="BL25" i="7"/>
  <c r="BL26" i="7"/>
  <c r="V21" i="7"/>
  <c r="BX21" i="7" l="1"/>
  <c r="BT21" i="7"/>
  <c r="BP21" i="7"/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<sst xmlns="http://schemas.openxmlformats.org/spreadsheetml/2006/main" count="313" uniqueCount="148">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</sst>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0" sqref="N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4229.9999999997108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28.200000000000045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4689.999999999658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24.799999999999955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109.09999999997672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1299.9999999998568</v>
      </c>
      <c r="F19" s="32">
        <f>'FS Desroches Daily'!F21</f>
        <v>599.99999999993395</v>
      </c>
      <c r="G19" s="31">
        <f>'FS Desroches Daily'!H21</f>
        <v>1300.0000000000789</v>
      </c>
      <c r="H19" s="32">
        <f>'FS Desroches Daily'!J21</f>
        <v>899.99999999990087</v>
      </c>
      <c r="I19" s="31">
        <f>'FS Desroches Daily'!L21</f>
        <v>1799.9999999998017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115</v>
      </c>
      <c r="N19" s="31">
        <f>'FS Desroches Daily'!V21</f>
        <v>57.200000000011642</v>
      </c>
      <c r="O19" s="31">
        <f>'FS Desroches Daily'!X21</f>
        <v>99.999999999965894</v>
      </c>
      <c r="P19" s="31">
        <f>'FS Desroches Daily'!Z21</f>
        <v>399.99999999995595</v>
      </c>
      <c r="Q19" s="31">
        <f>'FS Desroches Daily'!AB21</f>
        <v>99.999999999965894</v>
      </c>
      <c r="R19" s="31">
        <f>'FS Desroches Daily'!AD21</f>
        <v>150.00000000003411</v>
      </c>
      <c r="S19" s="31">
        <f>'FS Desroches Daily'!AF21</f>
        <v>140.0000000000432</v>
      </c>
      <c r="T19" s="31">
        <f>'FS Desroches Daily'!AH21</f>
        <v>1.0999999999999091</v>
      </c>
      <c r="U19" s="35">
        <f>'FS Desroches Daily'!AJ21</f>
        <v>259.99999999999091</v>
      </c>
      <c r="V19" s="35">
        <f>'FS Desroches Daily'!AL21</f>
        <v>159.99999999999659</v>
      </c>
      <c r="W19" s="35">
        <f>'FS Desroches Daily'!AN21</f>
        <v>270.00000000001023</v>
      </c>
      <c r="X19" s="35">
        <f>'FS Desroches Daily'!AP21</f>
        <v>159.99999999999659</v>
      </c>
      <c r="Y19" s="35">
        <f>'FS Desroches Daily'!AR21</f>
        <v>30.000000000001137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30.000000000029559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28</v>
      </c>
      <c r="AG19" s="32">
        <f>'FS Desroches Daily'!BH21</f>
        <v>19.99999999998181</v>
      </c>
      <c r="AH19" s="32">
        <f>'FS Desroches Daily'!BJ21</f>
        <v>9.9999999999909051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14</v>
      </c>
      <c r="AM19" s="32">
        <f>'FS Desroches Daily'!BT21</f>
        <v>20.000000000010232</v>
      </c>
      <c r="AN19" s="32">
        <f>'FS Desroches Daily'!BV21</f>
        <v>50</v>
      </c>
      <c r="AO19" s="32">
        <f>'FS Desroches Daily'!BX21</f>
        <v>10.000000000019327</v>
      </c>
      <c r="AP19" s="32">
        <f>'FS Desroches Daily'!BZ21</f>
        <v>24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15.30000000000291</v>
      </c>
      <c r="AU19" s="31">
        <f>'FS Desroches Daily'!CJ21</f>
        <v>223</v>
      </c>
      <c r="AV19" s="31">
        <f>'FS Desroches Daily'!CL21</f>
        <v>370.00000000000455</v>
      </c>
      <c r="AW19" s="31">
        <f>'FS Desroches Daily'!CM21</f>
        <v>28.200000000000045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1300.0000000000789</v>
      </c>
      <c r="F20" s="32">
        <f>'FS Desroches Daily'!F22</f>
        <v>699.99999999970089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1600.0000000002678</v>
      </c>
      <c r="J20" s="32">
        <f>'FS Desroches Daily'!N22</f>
        <v>599.99999999993395</v>
      </c>
      <c r="K20" s="13">
        <f>'FS Desroches Daily'!P22</f>
        <v>0</v>
      </c>
      <c r="L20" s="31">
        <f>'FS Desroches Daily'!R22</f>
        <v>0</v>
      </c>
      <c r="M20" s="31">
        <f>'FS Desroches Daily'!T22</f>
        <v>398.20000000006985</v>
      </c>
      <c r="N20" s="31">
        <f>'FS Desroches Daily'!V22</f>
        <v>163.79999999998836</v>
      </c>
      <c r="O20" s="31">
        <f>'FS Desroches Daily'!X22</f>
        <v>110.00000000001364</v>
      </c>
      <c r="P20" s="31">
        <f>'FS Desroches Daily'!Z22</f>
        <v>500.00000000016701</v>
      </c>
      <c r="Q20" s="31">
        <f>'FS Desroches Daily'!AB22</f>
        <v>100.00000000002274</v>
      </c>
      <c r="R20" s="31">
        <f>'FS Desroches Daily'!AD22</f>
        <v>159.99999999996817</v>
      </c>
      <c r="S20" s="31">
        <f>'FS Desroches Daily'!AF22</f>
        <v>259.99999999999091</v>
      </c>
      <c r="T20" s="31">
        <f>'FS Desroches Daily'!AH22</f>
        <v>1</v>
      </c>
      <c r="U20" s="35">
        <f>'FS Desroches Daily'!AJ22</f>
        <v>199.99999999998863</v>
      </c>
      <c r="V20" s="35">
        <f>'FS Desroches Daily'!AL22</f>
        <v>159.99999999999659</v>
      </c>
      <c r="W20" s="35">
        <f>'FS Desroches Daily'!AN22</f>
        <v>280.00000000000114</v>
      </c>
      <c r="X20" s="35">
        <f>'FS Desroches Daily'!AP22</f>
        <v>180.00000000000682</v>
      </c>
      <c r="Y20" s="35">
        <f>'FS Desroches Daily'!AR22</f>
        <v>39.999999999992042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39.99999999996362</v>
      </c>
      <c r="AC20" s="35">
        <f>'FS Desroches Daily'!AZ22</f>
        <v>19.99999999998181</v>
      </c>
      <c r="AD20" s="35">
        <f>'FS Desroches Daily'!BB22</f>
        <v>30.000000000029559</v>
      </c>
      <c r="AE20" s="35">
        <f>'FS Desroches Daily'!BD22</f>
        <v>30.000000000001137</v>
      </c>
      <c r="AF20" s="31">
        <f>'FS Desroches Daily'!BF22</f>
        <v>19</v>
      </c>
      <c r="AG20" s="32">
        <f>'FS Desroches Daily'!BH22</f>
        <v>20.000000000010232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13</v>
      </c>
      <c r="AM20" s="32">
        <f>'FS Desroches Daily'!BT22</f>
        <v>9.9999999999909051</v>
      </c>
      <c r="AN20" s="32">
        <f>'FS Desroches Daily'!BV22</f>
        <v>46</v>
      </c>
      <c r="AO20" s="32">
        <f>'FS Desroches Daily'!BX22</f>
        <v>9.9999999999909051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21.69999999999709</v>
      </c>
      <c r="AU20" s="31">
        <f>'FS Desroches Daily'!CJ22</f>
        <v>213</v>
      </c>
      <c r="AV20" s="31">
        <f>'FS Desroches Daily'!CL22</f>
        <v>509.99999999999091</v>
      </c>
      <c r="AW20" s="31">
        <f>'FS Desroches Daily'!CM22</f>
        <v>24.799999999999955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22499.999999999967</v>
      </c>
      <c r="F33" s="17">
        <f t="shared" ref="F33:BC33" si="1">SUM(F2:F32)</f>
        <v>12000.000000000013</v>
      </c>
      <c r="G33" s="17">
        <f t="shared" si="1"/>
        <v>27899.999999999818</v>
      </c>
      <c r="H33" s="17">
        <f t="shared" si="1"/>
        <v>16399.999999999975</v>
      </c>
      <c r="I33" s="17">
        <f t="shared" si="1"/>
        <v>31700.000000000298</v>
      </c>
      <c r="J33" s="17">
        <f t="shared" si="1"/>
        <v>10399.999999999967</v>
      </c>
      <c r="K33" s="17">
        <f t="shared" si="1"/>
        <v>12</v>
      </c>
      <c r="L33" s="17">
        <f t="shared" si="1"/>
        <v>64</v>
      </c>
      <c r="M33" s="17">
        <f t="shared" si="1"/>
        <v>3034.6000000000931</v>
      </c>
      <c r="N33" s="17">
        <f t="shared" si="1"/>
        <v>1760</v>
      </c>
      <c r="O33" s="17">
        <f t="shared" si="1"/>
        <v>1819.9999999999932</v>
      </c>
      <c r="P33" s="17">
        <f t="shared" si="1"/>
        <v>8399.9999999999654</v>
      </c>
      <c r="Q33" s="17">
        <f t="shared" si="1"/>
        <v>1680.0000000000068</v>
      </c>
      <c r="R33" s="17">
        <f t="shared" si="1"/>
        <v>2769.9999999999818</v>
      </c>
      <c r="S33" s="17">
        <f t="shared" si="1"/>
        <v>3950.0000000000455</v>
      </c>
      <c r="T33" s="17">
        <f t="shared" si="1"/>
        <v>22.099999999999909</v>
      </c>
      <c r="U33" s="35">
        <f t="shared" si="1"/>
        <v>4519.9999999999818</v>
      </c>
      <c r="V33" s="35">
        <f t="shared" si="1"/>
        <v>2879.9999999999945</v>
      </c>
      <c r="W33" s="35">
        <f t="shared" si="1"/>
        <v>3207.2000000000107</v>
      </c>
      <c r="X33" s="35">
        <f t="shared" si="1"/>
        <v>3080.0000000000123</v>
      </c>
      <c r="Y33" s="35">
        <f t="shared" si="1"/>
        <v>710.00000000000796</v>
      </c>
      <c r="Z33" s="35">
        <f t="shared" si="1"/>
        <v>918.18999999997732</v>
      </c>
      <c r="AA33" s="35">
        <f t="shared" si="1"/>
        <v>918.18999999997732</v>
      </c>
      <c r="AB33" s="35">
        <f t="shared" si="1"/>
        <v>579.99999999998408</v>
      </c>
      <c r="AC33" s="35">
        <f t="shared" si="1"/>
        <v>540.00000000002046</v>
      </c>
      <c r="AD33" s="35">
        <f t="shared" si="1"/>
        <v>509.99999999999091</v>
      </c>
      <c r="AE33" s="35">
        <f t="shared" si="1"/>
        <v>419.99999999998749</v>
      </c>
      <c r="AF33" s="17">
        <f t="shared" si="1"/>
        <v>524</v>
      </c>
      <c r="AG33" s="32">
        <f t="shared" si="1"/>
        <v>250</v>
      </c>
      <c r="AH33" s="32">
        <f t="shared" si="1"/>
        <v>229.99999999996135</v>
      </c>
      <c r="AI33" s="32">
        <f t="shared" si="1"/>
        <v>80.000000000012506</v>
      </c>
      <c r="AJ33" s="32">
        <f t="shared" si="1"/>
        <v>580.00000000001251</v>
      </c>
      <c r="AK33" s="32">
        <f t="shared" si="1"/>
        <v>430.00000000000682</v>
      </c>
      <c r="AL33" s="32">
        <f t="shared" si="1"/>
        <v>204</v>
      </c>
      <c r="AM33" s="32">
        <f t="shared" si="1"/>
        <v>310.00000000000227</v>
      </c>
      <c r="AN33" s="32">
        <f t="shared" si="1"/>
        <v>675</v>
      </c>
      <c r="AO33" s="32">
        <f t="shared" si="1"/>
        <v>409.99999999999659</v>
      </c>
      <c r="AP33" s="32">
        <f t="shared" si="1"/>
        <v>427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370.40000000000146</v>
      </c>
      <c r="AU33" s="17">
        <f t="shared" si="1"/>
        <v>3920</v>
      </c>
      <c r="AV33" s="17">
        <f t="shared" si="1"/>
        <v>7139.9999999999864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91.574999999999974</v>
      </c>
      <c r="BC33" s="17">
        <f t="shared" si="1"/>
        <v>0</v>
      </c>
    </row>
    <row r="35" spans="5:55" x14ac:dyDescent="0.25">
      <c r="E35" s="38">
        <f>E33/E37</f>
        <v>0.28006671811596057</v>
      </c>
      <c r="G35" s="29">
        <f>G33-M36</f>
        <v>23105.399999999725</v>
      </c>
      <c r="AE35" s="35">
        <f>SUM(U33:AE33)</f>
        <v>18283.579999999947</v>
      </c>
      <c r="AG35" s="32">
        <f>SUM(AG33:AP33)</f>
        <v>3595.9999999999918</v>
      </c>
    </row>
    <row r="36" spans="5:55" x14ac:dyDescent="0.25">
      <c r="G36" s="29">
        <f>G35-633*14</f>
        <v>14243.399999999725</v>
      </c>
      <c r="M36" s="29">
        <f>M33+N33</f>
        <v>4794.6000000000931</v>
      </c>
    </row>
    <row r="37" spans="5:55" x14ac:dyDescent="0.25">
      <c r="E37" s="17">
        <f>E33+F33+G33+H33+J33-633*14</f>
        <v>80337.999999999738</v>
      </c>
      <c r="G37" s="37">
        <f>M36/E37</f>
        <v>5.9680350519058338E-2</v>
      </c>
      <c r="M37" s="35">
        <f>AE35</f>
        <v>18283.579999999947</v>
      </c>
    </row>
    <row r="38" spans="5:55" x14ac:dyDescent="0.25">
      <c r="L38" s="27">
        <f>M38/E37</f>
        <v>4.4760885259777485E-2</v>
      </c>
      <c r="M38" s="29">
        <f>AG35</f>
        <v>3595.9999999999918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V1" zoomScale="80" zoomScaleNormal="80" workbookViewId="0">
      <pane ySplit="1" topLeftCell="A8" activePane="bottomLeft" state="frozen"/>
      <selection pane="bottomLeft" activeCell="BF23" sqref="BF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351266</v>
      </c>
      <c r="V20" s="67">
        <f t="shared" si="8"/>
        <v>109.09999999997672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>
        <v>1.8638999999999999</v>
      </c>
      <c r="D21" s="64">
        <f t="shared" si="0"/>
        <v>1299.9999999998568</v>
      </c>
      <c r="E21" s="58">
        <v>2.7894000000000001</v>
      </c>
      <c r="F21" s="64">
        <f t="shared" si="1"/>
        <v>599.99999999993395</v>
      </c>
      <c r="G21" s="58">
        <v>2.7652000000000001</v>
      </c>
      <c r="H21" s="64">
        <f t="shared" si="2"/>
        <v>1300.0000000000789</v>
      </c>
      <c r="I21" s="58">
        <v>1.3435999999999999</v>
      </c>
      <c r="J21" s="64">
        <f t="shared" si="3"/>
        <v>899.99999999990087</v>
      </c>
      <c r="K21" s="58">
        <v>2.1335999999999999</v>
      </c>
      <c r="L21" s="64">
        <f t="shared" si="4"/>
        <v>1799.9999999998017</v>
      </c>
      <c r="M21" s="58">
        <v>1.264</v>
      </c>
      <c r="N21" s="64">
        <f t="shared" si="5"/>
        <v>499.99999999994492</v>
      </c>
      <c r="O21" s="58">
        <v>12673</v>
      </c>
      <c r="P21" s="67">
        <f t="shared" si="44"/>
        <v>1</v>
      </c>
      <c r="Q21" s="58">
        <v>5864</v>
      </c>
      <c r="R21" s="67">
        <f t="shared" si="6"/>
        <v>0</v>
      </c>
      <c r="S21" s="58">
        <v>859253.6</v>
      </c>
      <c r="T21" s="67">
        <f t="shared" si="7"/>
        <v>115</v>
      </c>
      <c r="U21" s="58">
        <v>351323.2</v>
      </c>
      <c r="V21" s="67">
        <f t="shared" si="8"/>
        <v>57.200000000011642</v>
      </c>
      <c r="W21" s="58">
        <v>344.02</v>
      </c>
      <c r="X21" s="65">
        <f t="shared" si="9"/>
        <v>99.999999999965894</v>
      </c>
      <c r="Y21" s="58">
        <v>2.4441999999999999</v>
      </c>
      <c r="Z21" s="65">
        <f t="shared" si="10"/>
        <v>399.99999999995595</v>
      </c>
      <c r="AA21" s="58">
        <v>335.9</v>
      </c>
      <c r="AB21" s="65">
        <f t="shared" si="11"/>
        <v>99.999999999965894</v>
      </c>
      <c r="AC21" s="58">
        <v>323.92</v>
      </c>
      <c r="AD21" s="65">
        <f t="shared" si="12"/>
        <v>150.00000000003411</v>
      </c>
      <c r="AE21" s="58">
        <v>506.22</v>
      </c>
      <c r="AF21" s="65">
        <f t="shared" si="13"/>
        <v>140.0000000000432</v>
      </c>
      <c r="AG21" s="58">
        <v>1407.5</v>
      </c>
      <c r="AH21" s="67">
        <f t="shared" si="14"/>
        <v>1.0999999999999091</v>
      </c>
      <c r="AI21" s="58">
        <v>479.12</v>
      </c>
      <c r="AJ21" s="65">
        <f t="shared" si="15"/>
        <v>259.99999999999091</v>
      </c>
      <c r="AK21" s="58">
        <v>166.06</v>
      </c>
      <c r="AL21" s="65">
        <f t="shared" si="15"/>
        <v>159.99999999999659</v>
      </c>
      <c r="AM21" s="58">
        <v>163.06</v>
      </c>
      <c r="AN21" s="65">
        <f t="shared" si="15"/>
        <v>270.00000000001023</v>
      </c>
      <c r="AO21" s="58">
        <v>158.19</v>
      </c>
      <c r="AP21" s="65">
        <f t="shared" si="15"/>
        <v>159.99999999999659</v>
      </c>
      <c r="AQ21" s="58">
        <v>222.24</v>
      </c>
      <c r="AR21" s="65">
        <f t="shared" si="16"/>
        <v>30.000000000001137</v>
      </c>
      <c r="AS21" s="58">
        <v>347.63</v>
      </c>
      <c r="AT21" s="65">
        <f t="shared" si="17"/>
        <v>40.000000000020464</v>
      </c>
      <c r="AU21" s="58">
        <v>268.22000000000003</v>
      </c>
      <c r="AV21" s="65">
        <f t="shared" si="18"/>
        <v>30.000000000029559</v>
      </c>
      <c r="AW21" s="58">
        <v>295.64999999999998</v>
      </c>
      <c r="AX21" s="65">
        <f t="shared" si="19"/>
        <v>29.999999999972715</v>
      </c>
      <c r="AY21" s="58">
        <v>346.97</v>
      </c>
      <c r="AZ21" s="65">
        <f t="shared" si="20"/>
        <v>30.000000000029559</v>
      </c>
      <c r="BA21" s="58">
        <v>366.71</v>
      </c>
      <c r="BB21" s="65">
        <f t="shared" si="21"/>
        <v>29.999999999972715</v>
      </c>
      <c r="BC21" s="58">
        <v>233.22</v>
      </c>
      <c r="BD21" s="65">
        <f t="shared" si="22"/>
        <v>20.000000000010232</v>
      </c>
      <c r="BE21" s="59">
        <v>32148</v>
      </c>
      <c r="BF21" s="67">
        <f t="shared" si="39"/>
        <v>28</v>
      </c>
      <c r="BG21" s="60">
        <v>226.38</v>
      </c>
      <c r="BH21" s="65">
        <f t="shared" si="23"/>
        <v>19.99999999998181</v>
      </c>
      <c r="BI21" s="60">
        <v>284.38</v>
      </c>
      <c r="BJ21" s="65">
        <f t="shared" si="40"/>
        <v>9.9999999999909051</v>
      </c>
      <c r="BK21" s="60">
        <v>231.55</v>
      </c>
      <c r="BL21" s="65">
        <f t="shared" si="24"/>
        <v>0</v>
      </c>
      <c r="BM21" s="60">
        <v>216.07</v>
      </c>
      <c r="BN21" s="65">
        <f t="shared" si="25"/>
        <v>30.000000000001137</v>
      </c>
      <c r="BO21" s="60">
        <v>281.02</v>
      </c>
      <c r="BP21" s="65">
        <f t="shared" si="26"/>
        <v>29.999999999972715</v>
      </c>
      <c r="BQ21" s="60">
        <v>40199</v>
      </c>
      <c r="BR21" s="65">
        <f t="shared" si="27"/>
        <v>14</v>
      </c>
      <c r="BS21" s="60">
        <v>194.58</v>
      </c>
      <c r="BT21" s="65">
        <f t="shared" si="42"/>
        <v>20.000000000010232</v>
      </c>
      <c r="BU21" s="60">
        <v>32568</v>
      </c>
      <c r="BV21" s="65">
        <f t="shared" si="29"/>
        <v>50</v>
      </c>
      <c r="BW21" s="60">
        <v>226.08</v>
      </c>
      <c r="BX21" s="65">
        <f t="shared" si="30"/>
        <v>10.000000000019327</v>
      </c>
      <c r="BY21" s="60">
        <v>50965</v>
      </c>
      <c r="BZ21" s="67">
        <f t="shared" si="31"/>
        <v>24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50693.8</v>
      </c>
      <c r="CH21" s="67">
        <f t="shared" si="35"/>
        <v>15.30000000000291</v>
      </c>
      <c r="CI21" s="60">
        <v>883784</v>
      </c>
      <c r="CJ21" s="67">
        <f t="shared" si="36"/>
        <v>223</v>
      </c>
      <c r="CK21" s="60">
        <v>619.37</v>
      </c>
      <c r="CL21" s="64">
        <f t="shared" si="37"/>
        <v>370.00000000000455</v>
      </c>
      <c r="CM21" s="65">
        <f t="shared" si="41"/>
        <v>28.200000000000045</v>
      </c>
      <c r="CN21" s="62">
        <v>0</v>
      </c>
      <c r="CO21" s="62">
        <v>0</v>
      </c>
      <c r="CP21" s="68">
        <v>1272.8</v>
      </c>
      <c r="CQ21" s="67">
        <f t="shared" si="38"/>
        <v>9.2000000000000455</v>
      </c>
      <c r="CR21" s="68">
        <v>10679</v>
      </c>
      <c r="CS21" s="67">
        <f t="shared" si="38"/>
        <v>19</v>
      </c>
      <c r="CT21" s="75">
        <v>3340</v>
      </c>
      <c r="CU21" s="67">
        <f t="shared" si="38"/>
        <v>12</v>
      </c>
      <c r="CV21" s="68">
        <v>9633</v>
      </c>
      <c r="CW21" s="67">
        <f t="shared" si="38"/>
        <v>21</v>
      </c>
    </row>
    <row r="22" spans="1:101" ht="25.5" customHeight="1" thickBot="1" x14ac:dyDescent="0.45">
      <c r="A22" s="63">
        <v>44123</v>
      </c>
      <c r="B22" s="44"/>
      <c r="C22" s="58">
        <v>1.8652</v>
      </c>
      <c r="D22" s="64">
        <f t="shared" si="0"/>
        <v>1300.0000000000789</v>
      </c>
      <c r="E22" s="58">
        <v>2.7900999999999998</v>
      </c>
      <c r="F22" s="64">
        <f t="shared" si="1"/>
        <v>699.99999999970089</v>
      </c>
      <c r="G22" s="58">
        <v>2.7669999999999999</v>
      </c>
      <c r="H22" s="64">
        <f t="shared" si="2"/>
        <v>1799.9999999998017</v>
      </c>
      <c r="I22" s="58">
        <v>1.3444</v>
      </c>
      <c r="J22" s="64">
        <f t="shared" si="3"/>
        <v>800.00000000013392</v>
      </c>
      <c r="K22" s="58">
        <v>2.1352000000000002</v>
      </c>
      <c r="L22" s="64">
        <f t="shared" si="4"/>
        <v>1600.0000000002678</v>
      </c>
      <c r="M22" s="58">
        <v>1.2645999999999999</v>
      </c>
      <c r="N22" s="64">
        <f t="shared" si="5"/>
        <v>599.99999999993395</v>
      </c>
      <c r="O22" s="58">
        <v>12673</v>
      </c>
      <c r="P22" s="67">
        <f t="shared" si="44"/>
        <v>0</v>
      </c>
      <c r="Q22" s="58">
        <v>5864</v>
      </c>
      <c r="R22" s="67">
        <f t="shared" si="6"/>
        <v>0</v>
      </c>
      <c r="S22" s="58">
        <v>859651.8</v>
      </c>
      <c r="T22" s="67">
        <f t="shared" si="7"/>
        <v>398.20000000006985</v>
      </c>
      <c r="U22" s="58">
        <v>351487</v>
      </c>
      <c r="V22" s="67">
        <f t="shared" si="8"/>
        <v>163.79999999998836</v>
      </c>
      <c r="W22" s="58">
        <v>344.13</v>
      </c>
      <c r="X22" s="65">
        <f t="shared" si="9"/>
        <v>110.00000000001364</v>
      </c>
      <c r="Y22" s="58">
        <v>2.4447000000000001</v>
      </c>
      <c r="Z22" s="65">
        <f t="shared" si="10"/>
        <v>500.00000000016701</v>
      </c>
      <c r="AA22" s="58">
        <v>336</v>
      </c>
      <c r="AB22" s="65">
        <f t="shared" si="11"/>
        <v>100.00000000002274</v>
      </c>
      <c r="AC22" s="58">
        <v>324.08</v>
      </c>
      <c r="AD22" s="65">
        <f t="shared" si="12"/>
        <v>159.99999999996817</v>
      </c>
      <c r="AE22" s="58">
        <v>506.48</v>
      </c>
      <c r="AF22" s="65">
        <f t="shared" si="13"/>
        <v>259.99999999999091</v>
      </c>
      <c r="AG22" s="58">
        <v>1408.5</v>
      </c>
      <c r="AH22" s="67">
        <f t="shared" si="14"/>
        <v>1</v>
      </c>
      <c r="AI22" s="58">
        <v>479.32</v>
      </c>
      <c r="AJ22" s="65">
        <f t="shared" si="15"/>
        <v>199.99999999998863</v>
      </c>
      <c r="AK22" s="58">
        <v>166.22</v>
      </c>
      <c r="AL22" s="65">
        <f t="shared" si="15"/>
        <v>159.99999999999659</v>
      </c>
      <c r="AM22" s="58">
        <v>163.34</v>
      </c>
      <c r="AN22" s="65">
        <f t="shared" si="15"/>
        <v>280.00000000000114</v>
      </c>
      <c r="AO22" s="58">
        <v>158.37</v>
      </c>
      <c r="AP22" s="65">
        <f t="shared" si="15"/>
        <v>180.00000000000682</v>
      </c>
      <c r="AQ22" s="58">
        <v>222.28</v>
      </c>
      <c r="AR22" s="65">
        <f t="shared" si="16"/>
        <v>39.999999999992042</v>
      </c>
      <c r="AS22" s="58">
        <v>347.67</v>
      </c>
      <c r="AT22" s="65">
        <f t="shared" si="17"/>
        <v>40.000000000020464</v>
      </c>
      <c r="AU22" s="58">
        <v>268.26</v>
      </c>
      <c r="AV22" s="65">
        <f t="shared" si="18"/>
        <v>39.99999999996362</v>
      </c>
      <c r="AW22" s="58">
        <v>295.68</v>
      </c>
      <c r="AX22" s="65">
        <f t="shared" si="19"/>
        <v>30.000000000029559</v>
      </c>
      <c r="AY22" s="58">
        <v>346.99</v>
      </c>
      <c r="AZ22" s="65">
        <f t="shared" si="20"/>
        <v>19.99999999998181</v>
      </c>
      <c r="BA22" s="58">
        <v>366.74</v>
      </c>
      <c r="BB22" s="65">
        <f t="shared" si="21"/>
        <v>30.000000000029559</v>
      </c>
      <c r="BC22" s="58">
        <v>233.25</v>
      </c>
      <c r="BD22" s="65">
        <f t="shared" si="22"/>
        <v>30.000000000001137</v>
      </c>
      <c r="BE22" s="59">
        <v>32167</v>
      </c>
      <c r="BF22" s="67">
        <f t="shared" si="39"/>
        <v>19</v>
      </c>
      <c r="BG22" s="60">
        <v>226.4</v>
      </c>
      <c r="BH22" s="65">
        <f t="shared" si="23"/>
        <v>20.000000000010232</v>
      </c>
      <c r="BI22" s="60">
        <v>284.39</v>
      </c>
      <c r="BJ22" s="65">
        <f t="shared" si="40"/>
        <v>9.9999999999909051</v>
      </c>
      <c r="BK22" s="60">
        <v>231.55</v>
      </c>
      <c r="BL22" s="65">
        <f t="shared" si="24"/>
        <v>0</v>
      </c>
      <c r="BM22" s="60">
        <v>216.09</v>
      </c>
      <c r="BN22" s="65">
        <f t="shared" si="25"/>
        <v>20.000000000010232</v>
      </c>
      <c r="BO22" s="60">
        <v>281.04000000000002</v>
      </c>
      <c r="BP22" s="65">
        <f t="shared" si="26"/>
        <v>20.000000000038654</v>
      </c>
      <c r="BQ22" s="60">
        <v>40212</v>
      </c>
      <c r="BR22" s="65">
        <f t="shared" si="27"/>
        <v>13</v>
      </c>
      <c r="BS22" s="60">
        <v>194.59</v>
      </c>
      <c r="BT22" s="65">
        <f t="shared" si="42"/>
        <v>9.9999999999909051</v>
      </c>
      <c r="BU22" s="60">
        <v>32614</v>
      </c>
      <c r="BV22" s="65">
        <f t="shared" si="29"/>
        <v>46</v>
      </c>
      <c r="BW22" s="60">
        <v>226.09</v>
      </c>
      <c r="BX22" s="65">
        <f t="shared" si="30"/>
        <v>9.9999999999909051</v>
      </c>
      <c r="BY22" s="60">
        <v>50985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50715.5</v>
      </c>
      <c r="CH22" s="67">
        <f t="shared" si="35"/>
        <v>21.69999999999709</v>
      </c>
      <c r="CI22" s="60">
        <v>883997</v>
      </c>
      <c r="CJ22" s="67">
        <f t="shared" si="36"/>
        <v>213</v>
      </c>
      <c r="CK22" s="60">
        <v>619.88</v>
      </c>
      <c r="CL22" s="64">
        <f t="shared" si="37"/>
        <v>509.99999999999091</v>
      </c>
      <c r="CM22" s="65">
        <f t="shared" si="41"/>
        <v>24.799999999999955</v>
      </c>
      <c r="CN22" s="62">
        <v>0</v>
      </c>
      <c r="CO22" s="62">
        <v>0</v>
      </c>
      <c r="CP22" s="68">
        <v>1288.5999999999999</v>
      </c>
      <c r="CQ22" s="67">
        <f t="shared" si="38"/>
        <v>15.799999999999955</v>
      </c>
      <c r="CR22" s="68">
        <v>10688</v>
      </c>
      <c r="CS22" s="67">
        <f t="shared" si="38"/>
        <v>9</v>
      </c>
      <c r="CT22" s="75">
        <v>3351</v>
      </c>
      <c r="CU22" s="67">
        <f t="shared" si="38"/>
        <v>11</v>
      </c>
      <c r="CV22" s="68">
        <v>9653</v>
      </c>
      <c r="CW22" s="67">
        <f t="shared" si="38"/>
        <v>20</v>
      </c>
    </row>
    <row r="23" spans="1:101" ht="25.5" customHeight="1" thickBot="1" x14ac:dyDescent="0.45">
      <c r="A23" s="63">
        <v>44124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44"/>
        <v/>
      </c>
      <c r="Q23" s="58"/>
      <c r="R23" s="67" t="str">
        <f t="shared" si="6"/>
        <v/>
      </c>
      <c r="S23" s="58"/>
      <c r="T23" s="67" t="str">
        <f t="shared" si="7"/>
        <v/>
      </c>
      <c r="U23" s="58"/>
      <c r="V23" s="67" t="str">
        <f t="shared" si="8"/>
        <v/>
      </c>
      <c r="W23" s="58"/>
      <c r="X23" s="65" t="str">
        <f t="shared" si="9"/>
        <v/>
      </c>
      <c r="Y23" s="58"/>
      <c r="Z23" s="65" t="str">
        <f t="shared" si="10"/>
        <v/>
      </c>
      <c r="AA23" s="58"/>
      <c r="AB23" s="65" t="str">
        <f t="shared" si="11"/>
        <v/>
      </c>
      <c r="AC23" s="58"/>
      <c r="AD23" s="65" t="str">
        <f t="shared" si="12"/>
        <v/>
      </c>
      <c r="AE23" s="58"/>
      <c r="AF23" s="65" t="str">
        <f t="shared" si="13"/>
        <v/>
      </c>
      <c r="AG23" s="58"/>
      <c r="AH23" s="67" t="str">
        <f t="shared" si="14"/>
        <v/>
      </c>
      <c r="AI23" s="58"/>
      <c r="AJ23" s="65" t="str">
        <f t="shared" si="15"/>
        <v/>
      </c>
      <c r="AK23" s="58"/>
      <c r="AL23" s="65" t="str">
        <f t="shared" si="15"/>
        <v/>
      </c>
      <c r="AM23" s="58"/>
      <c r="AN23" s="65" t="str">
        <f t="shared" si="15"/>
        <v/>
      </c>
      <c r="AO23" s="58"/>
      <c r="AP23" s="65" t="str">
        <f t="shared" si="15"/>
        <v/>
      </c>
      <c r="AQ23" s="58"/>
      <c r="AR23" s="65" t="str">
        <f t="shared" si="16"/>
        <v/>
      </c>
      <c r="AS23" s="58"/>
      <c r="AT23" s="65" t="str">
        <f t="shared" si="17"/>
        <v/>
      </c>
      <c r="AU23" s="58"/>
      <c r="AV23" s="65" t="str">
        <f t="shared" si="18"/>
        <v/>
      </c>
      <c r="AW23" s="58"/>
      <c r="AX23" s="65" t="str">
        <f t="shared" si="19"/>
        <v/>
      </c>
      <c r="AY23" s="58"/>
      <c r="AZ23" s="65" t="str">
        <f t="shared" si="20"/>
        <v/>
      </c>
      <c r="BA23" s="58"/>
      <c r="BB23" s="65" t="str">
        <f t="shared" si="21"/>
        <v/>
      </c>
      <c r="BC23" s="58"/>
      <c r="BD23" s="65" t="str">
        <f t="shared" si="22"/>
        <v/>
      </c>
      <c r="BE23" s="59"/>
      <c r="BF23" s="67" t="str">
        <f t="shared" si="39"/>
        <v/>
      </c>
      <c r="BG23" s="60"/>
      <c r="BH23" s="65" t="str">
        <f t="shared" si="23"/>
        <v/>
      </c>
      <c r="BI23" s="60"/>
      <c r="BJ23" s="65" t="str">
        <f t="shared" si="40"/>
        <v/>
      </c>
      <c r="BK23" s="60"/>
      <c r="BL23" s="65" t="str">
        <f t="shared" si="24"/>
        <v/>
      </c>
      <c r="BM23" s="60"/>
      <c r="BN23" s="65" t="str">
        <f t="shared" si="25"/>
        <v/>
      </c>
      <c r="BO23" s="60"/>
      <c r="BP23" s="65" t="str">
        <f t="shared" si="26"/>
        <v/>
      </c>
      <c r="BQ23" s="60"/>
      <c r="BR23" s="65" t="str">
        <f t="shared" si="27"/>
        <v/>
      </c>
      <c r="BS23" s="60"/>
      <c r="BT23" s="65" t="str">
        <f t="shared" si="42"/>
        <v/>
      </c>
      <c r="BU23" s="60"/>
      <c r="BV23" s="65" t="str">
        <f t="shared" si="29"/>
        <v/>
      </c>
      <c r="BW23" s="60"/>
      <c r="BX23" s="65" t="str">
        <f t="shared" si="30"/>
        <v/>
      </c>
      <c r="BY23" s="60"/>
      <c r="BZ23" s="67" t="str">
        <f t="shared" si="31"/>
        <v/>
      </c>
      <c r="CA23" s="60"/>
      <c r="CB23" s="67" t="str">
        <f t="shared" si="32"/>
        <v/>
      </c>
      <c r="CC23" s="60"/>
      <c r="CD23" s="67" t="str">
        <f t="shared" si="33"/>
        <v/>
      </c>
      <c r="CE23" s="60"/>
      <c r="CF23" s="67" t="str">
        <f t="shared" si="34"/>
        <v/>
      </c>
      <c r="CG23" s="60"/>
      <c r="CH23" s="67" t="str">
        <f t="shared" si="35"/>
        <v/>
      </c>
      <c r="CI23" s="60"/>
      <c r="CJ23" s="67" t="str">
        <f t="shared" si="36"/>
        <v/>
      </c>
      <c r="CK23" s="60"/>
      <c r="CL23" s="64" t="str">
        <f t="shared" si="37"/>
        <v/>
      </c>
      <c r="CM23" s="65" t="e">
        <f t="shared" si="41"/>
        <v>#VALUE!</v>
      </c>
      <c r="CN23" s="62">
        <v>0</v>
      </c>
      <c r="CO23" s="62">
        <v>0</v>
      </c>
      <c r="CP23" s="68"/>
      <c r="CQ23" s="67" t="str">
        <f t="shared" si="38"/>
        <v/>
      </c>
      <c r="CR23" s="68"/>
      <c r="CS23" s="67" t="str">
        <f t="shared" si="38"/>
        <v/>
      </c>
      <c r="CT23" s="75"/>
      <c r="CU23" s="67" t="str">
        <f t="shared" si="38"/>
        <v/>
      </c>
      <c r="CV23" s="68"/>
      <c r="CW23" s="67" t="str">
        <f t="shared" si="38"/>
        <v/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W35" sqref="W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76</v>
      </c>
      <c r="O26" s="39">
        <v>85</v>
      </c>
      <c r="P26" s="39">
        <v>83</v>
      </c>
      <c r="Q26" s="39">
        <v>2915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74</v>
      </c>
      <c r="O27" s="39">
        <v>85</v>
      </c>
      <c r="P27" s="39">
        <v>83</v>
      </c>
      <c r="Q27" s="39">
        <v>2918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-196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2020-10-20T13:11:01Z</dcterms:modified>
</cp:coreProperties>
</file>