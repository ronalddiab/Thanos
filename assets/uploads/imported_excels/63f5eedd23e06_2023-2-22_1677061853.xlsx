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ki.zangmo\Desktop\HEP\2020\OC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" i="9" l="1"/>
  <c r="D3" i="9"/>
  <c r="C4" i="9"/>
  <c r="D4" i="9"/>
  <c r="C5" i="9"/>
  <c r="D5" i="9"/>
  <c r="C6" i="9"/>
  <c r="D6" i="9"/>
  <c r="C7" i="9"/>
  <c r="D7" i="9"/>
  <c r="C8" i="9"/>
  <c r="D8" i="9"/>
  <c r="C9" i="9"/>
  <c r="D9" i="9"/>
  <c r="C10" i="9"/>
  <c r="D10" i="9"/>
  <c r="C11" i="9"/>
  <c r="D11" i="9"/>
  <c r="C12" i="9"/>
  <c r="D12" i="9"/>
  <c r="C13" i="9"/>
  <c r="D13" i="9"/>
  <c r="C14" i="9"/>
  <c r="D14" i="9"/>
  <c r="C15" i="9"/>
  <c r="D15" i="9"/>
  <c r="C16" i="9"/>
  <c r="D16" i="9"/>
  <c r="C17" i="9"/>
  <c r="D17" i="9"/>
  <c r="C18" i="9"/>
  <c r="D18" i="9"/>
  <c r="C19" i="9"/>
  <c r="D19" i="9"/>
  <c r="C20" i="9"/>
  <c r="D20" i="9"/>
  <c r="C21" i="9"/>
  <c r="D21" i="9"/>
  <c r="C22" i="9"/>
  <c r="D22" i="9"/>
  <c r="C23" i="9"/>
  <c r="D23" i="9"/>
  <c r="C24" i="9"/>
  <c r="D24" i="9"/>
  <c r="C25" i="9"/>
  <c r="D25" i="9"/>
  <c r="C26" i="9"/>
  <c r="D26" i="9"/>
  <c r="C27" i="9"/>
  <c r="D27" i="9"/>
  <c r="C28" i="9"/>
  <c r="D28" i="9"/>
  <c r="C29" i="9"/>
  <c r="D29" i="9"/>
  <c r="C30" i="9"/>
  <c r="D30" i="9"/>
  <c r="C31" i="9"/>
  <c r="D31" i="9"/>
  <c r="C32" i="9"/>
  <c r="D32" i="9"/>
  <c r="D2" i="9"/>
  <c r="C2" i="9"/>
  <c r="AZ8" i="7" l="1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Z35" i="7"/>
  <c r="AZ36" i="7"/>
  <c r="AZ37" i="7"/>
  <c r="AZ38" i="7"/>
  <c r="AX37" i="7" l="1"/>
  <c r="AX38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7" i="7"/>
  <c r="AW7" i="7"/>
  <c r="AW8" i="7"/>
  <c r="AW9" i="7"/>
  <c r="AW10" i="7"/>
  <c r="AW11" i="7"/>
  <c r="AW12" i="7"/>
  <c r="AW13" i="7"/>
  <c r="AW14" i="7"/>
  <c r="AW15" i="7"/>
  <c r="AW16" i="7"/>
  <c r="AW17" i="7"/>
  <c r="AW18" i="7"/>
  <c r="AW19" i="7"/>
  <c r="AW20" i="7"/>
  <c r="AW21" i="7"/>
  <c r="AW22" i="7"/>
  <c r="AW23" i="7"/>
  <c r="AW24" i="7"/>
  <c r="AW25" i="7"/>
  <c r="AW26" i="7"/>
  <c r="AW27" i="7"/>
  <c r="AW28" i="7"/>
  <c r="AW29" i="7"/>
  <c r="AW30" i="7"/>
  <c r="AW31" i="7"/>
  <c r="AW32" i="7"/>
  <c r="AW33" i="7"/>
  <c r="AW34" i="7"/>
  <c r="AW35" i="7"/>
  <c r="AW36" i="7"/>
  <c r="AW37" i="7"/>
  <c r="AW38" i="7"/>
  <c r="AW39" i="7"/>
  <c r="AX39" i="7" s="1"/>
  <c r="T3" i="9" l="1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2" i="9"/>
  <c r="R3" i="9"/>
  <c r="I3" i="5" s="1"/>
  <c r="R4" i="9"/>
  <c r="I4" i="5" s="1"/>
  <c r="R5" i="9"/>
  <c r="I5" i="5" s="1"/>
  <c r="R6" i="9"/>
  <c r="I6" i="5" s="1"/>
  <c r="R7" i="9"/>
  <c r="I7" i="5" s="1"/>
  <c r="R8" i="9"/>
  <c r="I8" i="5" s="1"/>
  <c r="R9" i="9"/>
  <c r="I9" i="5" s="1"/>
  <c r="R10" i="9"/>
  <c r="I10" i="5" s="1"/>
  <c r="R11" i="9"/>
  <c r="I11" i="5" s="1"/>
  <c r="R12" i="9"/>
  <c r="I12" i="5" s="1"/>
  <c r="R13" i="9"/>
  <c r="I13" i="5" s="1"/>
  <c r="R14" i="9"/>
  <c r="I14" i="5" s="1"/>
  <c r="R15" i="9"/>
  <c r="I15" i="5" s="1"/>
  <c r="R16" i="9"/>
  <c r="I16" i="5" s="1"/>
  <c r="R17" i="9"/>
  <c r="I17" i="5" s="1"/>
  <c r="R18" i="9"/>
  <c r="I18" i="5" s="1"/>
  <c r="R19" i="9"/>
  <c r="I19" i="5" s="1"/>
  <c r="R20" i="9"/>
  <c r="I20" i="5" s="1"/>
  <c r="R21" i="9"/>
  <c r="I21" i="5" s="1"/>
  <c r="R22" i="9"/>
  <c r="I22" i="5" s="1"/>
  <c r="R23" i="9"/>
  <c r="I23" i="5" s="1"/>
  <c r="R24" i="9"/>
  <c r="I24" i="5" s="1"/>
  <c r="R25" i="9"/>
  <c r="I25" i="5" s="1"/>
  <c r="R26" i="9"/>
  <c r="I26" i="5" s="1"/>
  <c r="R27" i="9"/>
  <c r="I27" i="5" s="1"/>
  <c r="R28" i="9"/>
  <c r="I28" i="5" s="1"/>
  <c r="R29" i="9"/>
  <c r="I29" i="5" s="1"/>
  <c r="R30" i="9"/>
  <c r="I30" i="5" s="1"/>
  <c r="R31" i="9"/>
  <c r="I31" i="5" s="1"/>
  <c r="R32" i="9"/>
  <c r="I32" i="5" s="1"/>
  <c r="R2" i="9"/>
  <c r="I2" i="5" s="1"/>
  <c r="AT38" i="7"/>
  <c r="AZ47" i="7" l="1"/>
  <c r="AZ46" i="7"/>
  <c r="BA39" i="7"/>
  <c r="BA8" i="7"/>
  <c r="BA9" i="7"/>
  <c r="BA10" i="7"/>
  <c r="BA11" i="7"/>
  <c r="BA12" i="7"/>
  <c r="BA13" i="7"/>
  <c r="BA14" i="7"/>
  <c r="BA15" i="7"/>
  <c r="BA16" i="7"/>
  <c r="BA17" i="7"/>
  <c r="BA18" i="7"/>
  <c r="BA19" i="7"/>
  <c r="BA20" i="7"/>
  <c r="BA21" i="7"/>
  <c r="BA22" i="7"/>
  <c r="BA23" i="7"/>
  <c r="BA24" i="7"/>
  <c r="BA25" i="7"/>
  <c r="BA26" i="7"/>
  <c r="BA27" i="7"/>
  <c r="BA28" i="7"/>
  <c r="BA29" i="7"/>
  <c r="BA30" i="7"/>
  <c r="BA31" i="7"/>
  <c r="BA32" i="7"/>
  <c r="BA33" i="7"/>
  <c r="BA34" i="7"/>
  <c r="BA35" i="7"/>
  <c r="BA36" i="7"/>
  <c r="BA37" i="7"/>
  <c r="AZ7" i="7"/>
  <c r="BA7" i="7" s="1"/>
  <c r="S27" i="9" l="1"/>
  <c r="BB32" i="7"/>
  <c r="S19" i="9"/>
  <c r="BB24" i="7"/>
  <c r="S11" i="9"/>
  <c r="BB16" i="7"/>
  <c r="S3" i="9"/>
  <c r="BB8" i="7"/>
  <c r="S30" i="9"/>
  <c r="BB35" i="7"/>
  <c r="S22" i="9"/>
  <c r="BB27" i="7"/>
  <c r="S10" i="9"/>
  <c r="BB15" i="7"/>
  <c r="S25" i="9"/>
  <c r="BB30" i="7"/>
  <c r="S13" i="9"/>
  <c r="BB18" i="7"/>
  <c r="S5" i="9"/>
  <c r="BB10" i="7"/>
  <c r="S31" i="9"/>
  <c r="BB36" i="7"/>
  <c r="S23" i="9"/>
  <c r="BB28" i="7"/>
  <c r="S15" i="9"/>
  <c r="BB20" i="7"/>
  <c r="S7" i="9"/>
  <c r="BB12" i="7"/>
  <c r="S2" i="9"/>
  <c r="BB7" i="7"/>
  <c r="BA38" i="7"/>
  <c r="BB38" i="7" s="1"/>
  <c r="S26" i="9"/>
  <c r="BB31" i="7"/>
  <c r="S18" i="9"/>
  <c r="BB23" i="7"/>
  <c r="S14" i="9"/>
  <c r="BB19" i="7"/>
  <c r="S6" i="9"/>
  <c r="BB11" i="7"/>
  <c r="S29" i="9"/>
  <c r="BB34" i="7"/>
  <c r="S21" i="9"/>
  <c r="BB26" i="7"/>
  <c r="S17" i="9"/>
  <c r="BB22" i="7"/>
  <c r="S9" i="9"/>
  <c r="BB14" i="7"/>
  <c r="S32" i="9"/>
  <c r="BB37" i="7"/>
  <c r="S28" i="9"/>
  <c r="BB33" i="7"/>
  <c r="S24" i="9"/>
  <c r="BB29" i="7"/>
  <c r="S20" i="9"/>
  <c r="BB25" i="7"/>
  <c r="S16" i="9"/>
  <c r="BB21" i="7"/>
  <c r="S12" i="9"/>
  <c r="BB17" i="7"/>
  <c r="S8" i="9"/>
  <c r="BB13" i="7"/>
  <c r="S4" i="9"/>
  <c r="BB9" i="7"/>
  <c r="K32" i="5"/>
  <c r="B39" i="7" l="1"/>
  <c r="U32" i="9" l="1"/>
  <c r="B32" i="9"/>
  <c r="B32" i="5"/>
  <c r="Q33" i="7" l="1"/>
  <c r="U16" i="9" l="1"/>
  <c r="U17" i="9"/>
  <c r="G32" i="5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X36" i="7" l="1"/>
  <c r="X37" i="7"/>
  <c r="L32" i="9" s="1"/>
  <c r="AB34" i="7" l="1"/>
  <c r="AB35" i="7"/>
  <c r="AB36" i="7"/>
  <c r="AB37" i="7"/>
  <c r="P32" i="9" s="1"/>
  <c r="P29" i="9" l="1"/>
  <c r="P30" i="9"/>
  <c r="U15" i="9"/>
  <c r="U18" i="9"/>
  <c r="U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K29" i="5" l="1"/>
  <c r="U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G31" i="5"/>
  <c r="AD37" i="7"/>
  <c r="AM37" i="7"/>
  <c r="AK37" i="7"/>
  <c r="AJ37" i="7"/>
  <c r="AP37" i="7"/>
  <c r="AH37" i="7"/>
  <c r="AO37" i="7"/>
  <c r="AG37" i="7"/>
  <c r="AR37" i="7"/>
  <c r="AF37" i="7"/>
  <c r="AL37" i="7"/>
  <c r="AQ37" i="7"/>
  <c r="AI37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30" i="5"/>
  <c r="K31" i="5"/>
  <c r="V21" i="7"/>
  <c r="U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K2" i="5"/>
  <c r="U3" i="9"/>
  <c r="U4" i="9"/>
  <c r="U5" i="9"/>
  <c r="U6" i="9"/>
  <c r="U7" i="9"/>
  <c r="U8" i="9"/>
  <c r="U9" i="9"/>
  <c r="U10" i="9"/>
  <c r="U11" i="9"/>
  <c r="U12" i="9"/>
  <c r="U13" i="9"/>
  <c r="U14" i="9"/>
  <c r="U20" i="9"/>
  <c r="U21" i="9"/>
  <c r="U22" i="9"/>
  <c r="U23" i="9"/>
  <c r="U24" i="9"/>
  <c r="U25" i="9"/>
  <c r="U26" i="9"/>
  <c r="U27" i="9"/>
  <c r="U28" i="9"/>
  <c r="U30" i="9"/>
  <c r="U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G30" i="5"/>
  <c r="G29" i="5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G28" i="5"/>
  <c r="AO33" i="7"/>
  <c r="N28" i="9"/>
  <c r="AN33" i="7"/>
  <c r="M28" i="9"/>
  <c r="AM33" i="7"/>
  <c r="L28" i="9"/>
  <c r="AG33" i="7"/>
  <c r="F28" i="9"/>
  <c r="G27" i="5"/>
  <c r="AO32" i="7"/>
  <c r="N27" i="9"/>
  <c r="AN32" i="7"/>
  <c r="M27" i="9"/>
  <c r="AJ32" i="7"/>
  <c r="I27" i="9"/>
  <c r="AI32" i="7"/>
  <c r="H27" i="9"/>
  <c r="G26" i="5"/>
  <c r="AL31" i="7"/>
  <c r="K26" i="9"/>
  <c r="AK31" i="7"/>
  <c r="J26" i="9"/>
  <c r="AH31" i="7"/>
  <c r="G26" i="9"/>
  <c r="G25" i="5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G24" i="5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G23" i="5"/>
  <c r="AR28" i="7"/>
  <c r="Q23" i="9"/>
  <c r="AO28" i="7"/>
  <c r="N23" i="9"/>
  <c r="AN28" i="7"/>
  <c r="M23" i="9"/>
  <c r="AL28" i="7"/>
  <c r="K23" i="9"/>
  <c r="AJ28" i="7"/>
  <c r="I23" i="9"/>
  <c r="AF28" i="7"/>
  <c r="E23" i="9"/>
  <c r="G22" i="5"/>
  <c r="AO27" i="7"/>
  <c r="N22" i="9"/>
  <c r="AK27" i="7"/>
  <c r="J22" i="9"/>
  <c r="AI27" i="7"/>
  <c r="H22" i="9"/>
  <c r="AH27" i="7"/>
  <c r="G22" i="9"/>
  <c r="AG27" i="7"/>
  <c r="F22" i="9"/>
  <c r="AF27" i="7"/>
  <c r="E22" i="9"/>
  <c r="G21" i="5"/>
  <c r="AR26" i="7"/>
  <c r="Q21" i="9"/>
  <c r="AO26" i="7"/>
  <c r="N21" i="9"/>
  <c r="AL26" i="7"/>
  <c r="K21" i="9"/>
  <c r="AK26" i="7"/>
  <c r="J21" i="9"/>
  <c r="AH26" i="7"/>
  <c r="G21" i="9"/>
  <c r="AG26" i="7"/>
  <c r="F21" i="9"/>
  <c r="G20" i="5"/>
  <c r="AR25" i="7"/>
  <c r="Q20" i="9"/>
  <c r="AL25" i="7"/>
  <c r="K20" i="9"/>
  <c r="AJ25" i="7"/>
  <c r="I20" i="9"/>
  <c r="AG25" i="7"/>
  <c r="F20" i="9"/>
  <c r="S38" i="7"/>
  <c r="G2" i="5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G3" i="5"/>
  <c r="G4" i="5"/>
  <c r="G5" i="5"/>
  <c r="G19" i="5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G18" i="5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G15" i="5"/>
  <c r="AO20" i="7"/>
  <c r="N15" i="9"/>
  <c r="AL20" i="7"/>
  <c r="K15" i="9"/>
  <c r="AJ20" i="7"/>
  <c r="I15" i="9"/>
  <c r="AG20" i="7"/>
  <c r="F15" i="9"/>
  <c r="AF20" i="7"/>
  <c r="E15" i="9"/>
  <c r="G14" i="5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G12" i="5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G11" i="5"/>
  <c r="G10" i="5"/>
  <c r="G9" i="5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G8" i="5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G6" i="5"/>
  <c r="G7" i="5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O36" i="7"/>
  <c r="AI25" i="7"/>
  <c r="AJ35" i="7"/>
  <c r="AF36" i="7"/>
  <c r="AD36" i="7"/>
  <c r="AD35" i="7"/>
  <c r="AD34" i="7"/>
  <c r="AD33" i="7"/>
  <c r="AD32" i="7"/>
  <c r="AD31" i="7"/>
  <c r="AM28" i="7"/>
  <c r="G16" i="5"/>
  <c r="AG21" i="7"/>
  <c r="AN7" i="7"/>
  <c r="AL33" i="7"/>
  <c r="AL32" i="7"/>
  <c r="AG8" i="7"/>
  <c r="AO35" i="7"/>
  <c r="AF11" i="7"/>
  <c r="AJ33" i="7"/>
  <c r="AQ28" i="7"/>
  <c r="AI26" i="7"/>
  <c r="AQ24" i="7"/>
  <c r="G17" i="5"/>
  <c r="AK17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<sst xmlns="http://schemas.openxmlformats.org/spreadsheetml/2006/main" count="139" uniqueCount="59">
  <si>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</si>
  <si>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</si>
  <si>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</si>
  <si>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</si>
  <si>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</si>
  <si>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</si>
  <si>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</si>
  <si>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</si>
  <si>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</si>
  <si>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</si>
  <si>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</si>
  <si>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</si>
  <si>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</si>
  <si>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</si>
  <si>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</si>
  <si>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</si>
  <si>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</si>
  <si>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</si>
  <si>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</si>
  <si>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</si>
  <si>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</si>
  <si>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</si>
  <si>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</si>
  <si>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</si>
  <si>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</si>
  <si>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</si>
  <si>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</si>
  <si>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</si>
  <si>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</si>
  <si>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</si>
  <si>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</si>
  <si>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</si>
  <si>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</si>
  <si>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</si>
  <si>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</si>
  <si>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</si>
  <si>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</si>
  <si>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</si>
  <si>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</si>
  <si>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</si>
  <si>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</si>
  <si>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</si>
  <si>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</si>
  <si>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</si>
  <si>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</si>
  <si>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</si>
  <si>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</si>
  <si>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</si>
  <si>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</si>
  <si>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 xml:space="preserve">Total Fuel Oil  (Liters) </t>
  </si>
  <si>
    <t>Fuel Oil  $/Liter</t>
  </si>
  <si>
    <t>Fuel Consumption (Liters)</t>
  </si>
  <si>
    <t xml:space="preserve">Fuel (Liters) </t>
  </si>
  <si>
    <t>CT Water Meter Reading</t>
  </si>
  <si>
    <t>Cooling Towers Water</t>
  </si>
  <si>
    <t>CT Consumption Gallons</t>
  </si>
  <si>
    <t>CT Consumption Cubic Meter</t>
  </si>
  <si>
    <t/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</si>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</sst>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21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sz val="11"/>
      <color rgb="FF0070C0"/>
      <name val="Calibri"/>
      <family val="2"/>
      <scheme val="minor"/>
    </font>
    <font>
      <b/>
      <i/>
      <sz val="10"/>
      <color rgb="FF0070C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2" fontId="2" fillId="0" borderId="2" xfId="0" applyNumberFormat="1" applyFont="1" applyBorder="1"/>
    <xf numFmtId="0" fontId="16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5" borderId="2" xfId="0" quotePrefix="1" applyNumberFormat="1" applyFont="1" applyFill="1" applyBorder="1" applyAlignment="1">
      <alignment horizontal="center"/>
    </xf>
    <xf numFmtId="0" fontId="19" fillId="4" borderId="2" xfId="0" quotePrefix="1" applyNumberFormat="1" applyFont="1" applyFill="1" applyBorder="1" applyAlignment="1">
      <alignment horizontal="center"/>
    </xf>
    <xf numFmtId="164" fontId="1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  <xf numFmtId="0" fontId="17" fillId="0" borderId="10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  <xf numFmtId="0" fontId="10" fillId="2" borderId="2" xfId="0" applyFont="1" applyFill="1" applyBorder="1"/>
    <xf numFmtId="1" fontId="10" fillId="2" borderId="2" xfId="0" applyNumberFormat="1" applyFont="1" applyFill="1" applyBorder="1" applyAlignment="1"/>
    <xf numFmtId="164" fontId="0" fillId="2" borderId="2" xfId="0" applyNumberFormat="1" applyFill="1" applyBorder="1"/>
    <xf numFmtId="0" fontId="7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opLeftCell="A16" zoomScale="130" zoomScaleNormal="130" workbookViewId="0">
      <selection activeCell="C2" sqref="C2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10" width="11.5703125" style="2"/>
    <col min="11" max="11" width="11.5703125" style="4"/>
  </cols>
  <sheetData>
    <row r="1" spans="1:11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6" t="s">
        <v>49</v>
      </c>
      <c r="J1" s="6" t="s">
        <v>50</v>
      </c>
      <c r="K1" s="44" t="s">
        <v>6</v>
      </c>
    </row>
    <row r="2" spans="1:11" s="13" customFormat="1" x14ac:dyDescent="0.25">
      <c r="A2" s="21" t="s">
        <v>31</v>
      </c>
      <c r="B2" s="11">
        <v>1</v>
      </c>
      <c r="C2" s="3">
        <v>10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67340</v>
      </c>
      <c r="F2" s="11">
        <v>5.0000000000000001E-3</v>
      </c>
      <c r="G2" s="12">
        <f>Submetering!S2</f>
        <v>667.48500000000001</v>
      </c>
      <c r="H2" s="11">
        <v>0.44440000000000002</v>
      </c>
      <c r="I2" s="12">
        <f>Submetering!R2</f>
        <v>0</v>
      </c>
      <c r="J2" s="11">
        <v>0.14000000000000001</v>
      </c>
      <c r="K2" s="12">
        <f>Hotel!B7</f>
        <v>162</v>
      </c>
    </row>
    <row r="3" spans="1:11" s="15" customFormat="1" x14ac:dyDescent="0.25">
      <c r="A3" s="21" t="s">
        <v>31</v>
      </c>
      <c r="B3" s="14">
        <f>B2+1</f>
        <v>2</v>
      </c>
      <c r="C3" s="3">
        <v>10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65080</v>
      </c>
      <c r="F3" s="11">
        <v>5.0000000000000001E-3</v>
      </c>
      <c r="G3" s="12">
        <f>Submetering!S3</f>
        <v>572.48099999999999</v>
      </c>
      <c r="H3" s="11">
        <v>0.44440000000000002</v>
      </c>
      <c r="I3" s="12">
        <f>Submetering!R3</f>
        <v>0</v>
      </c>
      <c r="J3" s="11">
        <v>0.14000000000000001</v>
      </c>
      <c r="K3" s="12">
        <f>Hotel!B8</f>
        <v>177</v>
      </c>
    </row>
    <row r="4" spans="1:11" s="15" customFormat="1" x14ac:dyDescent="0.25">
      <c r="A4" s="21" t="s">
        <v>31</v>
      </c>
      <c r="B4" s="14">
        <f t="shared" ref="B4:B32" si="0">B3+1</f>
        <v>3</v>
      </c>
      <c r="C4" s="3">
        <v>10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63390</v>
      </c>
      <c r="F4" s="11">
        <v>5.0000000000000001E-3</v>
      </c>
      <c r="G4" s="12">
        <f>Submetering!S4</f>
        <v>761.12399999999991</v>
      </c>
      <c r="H4" s="11">
        <v>0.44440000000000002</v>
      </c>
      <c r="I4" s="12">
        <f>Submetering!R4</f>
        <v>0</v>
      </c>
      <c r="J4" s="11">
        <v>0.14000000000000001</v>
      </c>
      <c r="K4" s="12">
        <f>Hotel!B9</f>
        <v>93</v>
      </c>
    </row>
    <row r="5" spans="1:11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66200</v>
      </c>
      <c r="F5" s="11">
        <v>5.0000000000000001E-3</v>
      </c>
      <c r="G5" s="12">
        <f>Submetering!S5</f>
        <v>655.47300000000007</v>
      </c>
      <c r="H5" s="11">
        <v>0.44440000000000002</v>
      </c>
      <c r="I5" s="12">
        <f>Submetering!R5</f>
        <v>0</v>
      </c>
      <c r="J5" s="11">
        <v>0.14000000000000001</v>
      </c>
      <c r="K5" s="12">
        <f>Hotel!B10</f>
        <v>65</v>
      </c>
    </row>
    <row r="6" spans="1:11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57310</v>
      </c>
      <c r="F6" s="11">
        <v>5.0000000000000001E-3</v>
      </c>
      <c r="G6" s="12">
        <f>Submetering!S6</f>
        <v>517.88099999999997</v>
      </c>
      <c r="H6" s="11">
        <v>0.44440000000000002</v>
      </c>
      <c r="I6" s="12">
        <f>Submetering!R6</f>
        <v>0</v>
      </c>
      <c r="J6" s="11">
        <v>0.14000000000000001</v>
      </c>
      <c r="K6" s="12">
        <f>Hotel!B11</f>
        <v>57</v>
      </c>
    </row>
    <row r="7" spans="1:11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62890</v>
      </c>
      <c r="F7" s="11">
        <v>5.0000000000000001E-3</v>
      </c>
      <c r="G7" s="12">
        <f>Submetering!S7</f>
        <v>570.57000000000005</v>
      </c>
      <c r="H7" s="11">
        <v>0.44440000000000002</v>
      </c>
      <c r="I7" s="12">
        <f>Submetering!R7</f>
        <v>0</v>
      </c>
      <c r="J7" s="11">
        <v>0.14000000000000001</v>
      </c>
      <c r="K7" s="12">
        <f>Hotel!B12</f>
        <v>61</v>
      </c>
    </row>
    <row r="8" spans="1:11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62050</v>
      </c>
      <c r="F8" s="11">
        <v>5.0000000000000001E-3</v>
      </c>
      <c r="G8" s="12">
        <f>Submetering!S8</f>
        <v>732.73199999999997</v>
      </c>
      <c r="H8" s="11">
        <v>0.44440000000000002</v>
      </c>
      <c r="I8" s="12">
        <f>Submetering!R8</f>
        <v>0</v>
      </c>
      <c r="J8" s="11">
        <v>0.14000000000000001</v>
      </c>
      <c r="K8" s="12">
        <f>Hotel!B13</f>
        <v>63</v>
      </c>
    </row>
    <row r="9" spans="1:11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58710</v>
      </c>
      <c r="F9" s="11">
        <v>5.0000000000000001E-3</v>
      </c>
      <c r="G9" s="12">
        <f>Submetering!S9</f>
        <v>419.87400000000002</v>
      </c>
      <c r="H9" s="11">
        <v>0.44440000000000002</v>
      </c>
      <c r="I9" s="12">
        <f>Submetering!R9</f>
        <v>0</v>
      </c>
      <c r="J9" s="11">
        <v>0.14000000000000001</v>
      </c>
      <c r="K9" s="12">
        <f>Hotel!B14</f>
        <v>136</v>
      </c>
    </row>
    <row r="10" spans="1:11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63490</v>
      </c>
      <c r="F10" s="11">
        <v>5.0000000000000001E-3</v>
      </c>
      <c r="G10" s="12">
        <f>Submetering!S10</f>
        <v>723.44999999999993</v>
      </c>
      <c r="H10" s="11">
        <v>0.44440000000000002</v>
      </c>
      <c r="I10" s="12">
        <f>Submetering!R10</f>
        <v>0</v>
      </c>
      <c r="J10" s="11">
        <v>0.14000000000000001</v>
      </c>
      <c r="K10" s="12">
        <f>Hotel!B15</f>
        <v>172</v>
      </c>
    </row>
    <row r="11" spans="1:11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62400</v>
      </c>
      <c r="F11" s="11">
        <v>5.0000000000000001E-3</v>
      </c>
      <c r="G11" s="12">
        <f>Submetering!S11</f>
        <v>575.21100000000001</v>
      </c>
      <c r="H11" s="11">
        <v>0.44440000000000002</v>
      </c>
      <c r="I11" s="12">
        <f>Submetering!R11</f>
        <v>0</v>
      </c>
      <c r="J11" s="11">
        <v>0.14000000000000001</v>
      </c>
      <c r="K11" s="12">
        <f>Hotel!B16</f>
        <v>101</v>
      </c>
    </row>
    <row r="12" spans="1:11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59900</v>
      </c>
      <c r="F12" s="11">
        <v>5.0000000000000001E-3</v>
      </c>
      <c r="G12" s="12">
        <f>Submetering!S12</f>
        <v>585.85800000000006</v>
      </c>
      <c r="H12" s="11">
        <v>0.44440000000000002</v>
      </c>
      <c r="I12" s="12">
        <f>Submetering!R12</f>
        <v>0</v>
      </c>
      <c r="J12" s="11">
        <v>0.14000000000000001</v>
      </c>
      <c r="K12" s="12">
        <f>Hotel!B17</f>
        <v>71</v>
      </c>
    </row>
    <row r="13" spans="1:11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60690</v>
      </c>
      <c r="F13" s="11">
        <v>5.0000000000000001E-3</v>
      </c>
      <c r="G13" s="12">
        <f>Submetering!S13</f>
        <v>610.97400000000005</v>
      </c>
      <c r="H13" s="11">
        <v>0.44440000000000002</v>
      </c>
      <c r="I13" s="12">
        <f>Submetering!R13</f>
        <v>0</v>
      </c>
      <c r="J13" s="11">
        <v>0.14000000000000001</v>
      </c>
      <c r="K13" s="12">
        <f>Hotel!B18</f>
        <v>69</v>
      </c>
    </row>
    <row r="14" spans="1:11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59680</v>
      </c>
      <c r="F14" s="11">
        <v>5.0000000000000001E-3</v>
      </c>
      <c r="G14" s="12">
        <f>Submetering!S14</f>
        <v>534.80700000000002</v>
      </c>
      <c r="H14" s="11">
        <v>0.44440000000000002</v>
      </c>
      <c r="I14" s="12">
        <f>Submetering!R14</f>
        <v>0</v>
      </c>
      <c r="J14" s="11">
        <v>0.14000000000000001</v>
      </c>
      <c r="K14" s="12">
        <f>Hotel!B19</f>
        <v>59</v>
      </c>
    </row>
    <row r="15" spans="1:11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59280</v>
      </c>
      <c r="F15" s="11">
        <v>5.0000000000000001E-3</v>
      </c>
      <c r="G15" s="12">
        <f>Submetering!S15</f>
        <v>530.16599999999994</v>
      </c>
      <c r="H15" s="11">
        <v>0.44440000000000002</v>
      </c>
      <c r="I15" s="12">
        <f>Submetering!R15</f>
        <v>0</v>
      </c>
      <c r="J15" s="11">
        <v>0.14000000000000001</v>
      </c>
      <c r="K15" s="12">
        <f>Hotel!B20</f>
        <v>71</v>
      </c>
    </row>
    <row r="16" spans="1:11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58980</v>
      </c>
      <c r="F16" s="11">
        <v>5.0000000000000001E-3</v>
      </c>
      <c r="G16" s="12">
        <f>Submetering!S16</f>
        <v>430.52100000000002</v>
      </c>
      <c r="H16" s="11">
        <v>0.44440000000000002</v>
      </c>
      <c r="I16" s="12">
        <f>Submetering!R16</f>
        <v>0</v>
      </c>
      <c r="J16" s="11">
        <v>0.14000000000000001</v>
      </c>
      <c r="K16" s="12">
        <f>Hotel!B21</f>
        <v>109</v>
      </c>
    </row>
    <row r="17" spans="1:11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63900</v>
      </c>
      <c r="F17" s="11">
        <v>5.0000000000000001E-3</v>
      </c>
      <c r="G17" s="12">
        <f>Submetering!S17</f>
        <v>614.25</v>
      </c>
      <c r="H17" s="11">
        <v>0.44440000000000002</v>
      </c>
      <c r="I17" s="12">
        <f>Submetering!R17</f>
        <v>0</v>
      </c>
      <c r="J17" s="11">
        <v>0.14000000000000001</v>
      </c>
      <c r="K17" s="12">
        <f>Hotel!B22</f>
        <v>137</v>
      </c>
    </row>
    <row r="18" spans="1:11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63090</v>
      </c>
      <c r="F18" s="11">
        <v>5.0000000000000001E-3</v>
      </c>
      <c r="G18" s="12">
        <f>Submetering!S18</f>
        <v>558.55799999999999</v>
      </c>
      <c r="H18" s="11">
        <v>0.44440000000000002</v>
      </c>
      <c r="I18" s="12">
        <f>Submetering!R18</f>
        <v>0</v>
      </c>
      <c r="J18" s="11">
        <v>0.14000000000000001</v>
      </c>
      <c r="K18" s="12">
        <f>Hotel!B23</f>
        <v>61</v>
      </c>
    </row>
    <row r="19" spans="1:11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53520</v>
      </c>
      <c r="F19" s="11">
        <v>5.0000000000000001E-3</v>
      </c>
      <c r="G19" s="12">
        <f>Submetering!S19</f>
        <v>518.42700000000002</v>
      </c>
      <c r="H19" s="11">
        <v>0.44440000000000002</v>
      </c>
      <c r="I19" s="12">
        <f>Submetering!R19</f>
        <v>0</v>
      </c>
      <c r="J19" s="11">
        <v>0.14000000000000001</v>
      </c>
      <c r="K19" s="12">
        <f>Hotel!B24</f>
        <v>49</v>
      </c>
    </row>
    <row r="20" spans="1:11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59510</v>
      </c>
      <c r="F20" s="11">
        <v>5.0000000000000001E-3</v>
      </c>
      <c r="G20" s="12">
        <f>Submetering!S20</f>
        <v>469.83300000000003</v>
      </c>
      <c r="H20" s="11">
        <v>0.44440000000000002</v>
      </c>
      <c r="I20" s="12">
        <f>Submetering!R20</f>
        <v>0</v>
      </c>
      <c r="J20" s="11">
        <v>0.14000000000000001</v>
      </c>
      <c r="K20" s="12">
        <f>Hotel!B25</f>
        <v>55</v>
      </c>
    </row>
    <row r="21" spans="1:11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62260</v>
      </c>
      <c r="F21" s="11">
        <v>5.0000000000000001E-3</v>
      </c>
      <c r="G21" s="12">
        <f>Submetering!S21</f>
        <v>543.54300000000001</v>
      </c>
      <c r="H21" s="11">
        <v>0.44440000000000002</v>
      </c>
      <c r="I21" s="12">
        <f>Submetering!R21</f>
        <v>0</v>
      </c>
      <c r="J21" s="11">
        <v>0.14000000000000001</v>
      </c>
      <c r="K21" s="12">
        <f>Hotel!B26</f>
        <v>56</v>
      </c>
    </row>
    <row r="22" spans="1:11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58620</v>
      </c>
      <c r="F22" s="11">
        <v>5.0000000000000001E-3</v>
      </c>
      <c r="G22" s="12">
        <f>Submetering!S22</f>
        <v>205.02300000000002</v>
      </c>
      <c r="H22" s="11">
        <v>0.44440000000000002</v>
      </c>
      <c r="I22" s="12">
        <f>Submetering!R22</f>
        <v>0</v>
      </c>
      <c r="J22" s="11">
        <v>0.14000000000000001</v>
      </c>
      <c r="K22" s="12">
        <f>Hotel!B27</f>
        <v>68</v>
      </c>
    </row>
    <row r="23" spans="1:11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65100</v>
      </c>
      <c r="F23" s="11">
        <v>5.0000000000000001E-3</v>
      </c>
      <c r="G23" s="12">
        <f>Submetering!S23</f>
        <v>904.995</v>
      </c>
      <c r="H23" s="11">
        <v>0.44440000000000002</v>
      </c>
      <c r="I23" s="12">
        <f>Submetering!R23</f>
        <v>0</v>
      </c>
      <c r="J23" s="11">
        <v>0.14000000000000001</v>
      </c>
      <c r="K23" s="12">
        <f>Hotel!B28</f>
        <v>120</v>
      </c>
    </row>
    <row r="24" spans="1:11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57030</v>
      </c>
      <c r="F24" s="11">
        <v>5.0000000000000001E-3</v>
      </c>
      <c r="G24" s="12">
        <f>Submetering!S24</f>
        <v>434.07</v>
      </c>
      <c r="H24" s="11">
        <v>0.44440000000000002</v>
      </c>
      <c r="I24" s="12">
        <f>Submetering!R24</f>
        <v>0</v>
      </c>
      <c r="J24" s="11">
        <v>0.14000000000000001</v>
      </c>
      <c r="K24" s="12">
        <f>Hotel!B29</f>
        <v>142</v>
      </c>
    </row>
    <row r="25" spans="1:11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61140</v>
      </c>
      <c r="F25" s="11">
        <v>5.0000000000000001E-3</v>
      </c>
      <c r="G25" s="12">
        <f>Submetering!S25</f>
        <v>491.673</v>
      </c>
      <c r="H25" s="11">
        <v>0.44440000000000002</v>
      </c>
      <c r="I25" s="12">
        <f>Submetering!R25</f>
        <v>0</v>
      </c>
      <c r="J25" s="11">
        <v>0.14000000000000001</v>
      </c>
      <c r="K25" s="12">
        <f>Hotel!B30</f>
        <v>77</v>
      </c>
    </row>
    <row r="26" spans="1:11" s="15" customFormat="1" x14ac:dyDescent="0.25">
      <c r="A26" s="21" t="s">
        <v>31</v>
      </c>
      <c r="B26" s="14">
        <f>B25+1</f>
        <v>25</v>
      </c>
      <c r="C26" s="3">
        <v>10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56760</v>
      </c>
      <c r="F26" s="11">
        <v>5.0000000000000001E-3</v>
      </c>
      <c r="G26" s="12">
        <f>Submetering!S26</f>
        <v>633.90599999999995</v>
      </c>
      <c r="H26" s="11">
        <v>0.44440000000000002</v>
      </c>
      <c r="I26" s="12">
        <f>Submetering!R26</f>
        <v>0</v>
      </c>
      <c r="J26" s="11">
        <v>0.14000000000000001</v>
      </c>
      <c r="K26" s="12">
        <f>Hotel!B31</f>
        <v>61</v>
      </c>
    </row>
    <row r="27" spans="1:11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60130</v>
      </c>
      <c r="F27" s="11">
        <v>5.0000000000000001E-3</v>
      </c>
      <c r="G27" s="12">
        <f>Submetering!S27</f>
        <v>465.46500000000003</v>
      </c>
      <c r="H27" s="11">
        <v>0.44440000000000002</v>
      </c>
      <c r="I27" s="12">
        <f>Submetering!R27</f>
        <v>0</v>
      </c>
      <c r="J27" s="11">
        <v>0.14000000000000001</v>
      </c>
      <c r="K27" s="12">
        <f>Hotel!B32</f>
        <v>60</v>
      </c>
    </row>
    <row r="28" spans="1:11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57920</v>
      </c>
      <c r="F28" s="11">
        <v>5.0000000000000001E-3</v>
      </c>
      <c r="G28" s="12">
        <f>Submetering!S28</f>
        <v>462.73500000000001</v>
      </c>
      <c r="H28" s="11">
        <v>0.44440000000000002</v>
      </c>
      <c r="I28" s="12">
        <f>Submetering!R28</f>
        <v>0</v>
      </c>
      <c r="J28" s="11">
        <v>0.14000000000000001</v>
      </c>
      <c r="K28" s="12">
        <f>Hotel!B33</f>
        <v>77</v>
      </c>
    </row>
    <row r="29" spans="1:11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61592</v>
      </c>
      <c r="F29" s="11">
        <v>5.0000000000000001E-3</v>
      </c>
      <c r="G29" s="12">
        <f>Submetering!S29</f>
        <v>775.32</v>
      </c>
      <c r="H29" s="11">
        <v>0.44440000000000002</v>
      </c>
      <c r="I29" s="12">
        <f>Submetering!R29</f>
        <v>0</v>
      </c>
      <c r="J29" s="11">
        <v>0.14000000000000001</v>
      </c>
      <c r="K29" s="12">
        <f>Hotel!B34</f>
        <v>104</v>
      </c>
    </row>
    <row r="30" spans="1:11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57208</v>
      </c>
      <c r="F30" s="11">
        <v>5.0000000000000001E-3</v>
      </c>
      <c r="G30" s="12">
        <f>Submetering!S30</f>
        <v>524.43299999999999</v>
      </c>
      <c r="H30" s="11">
        <v>0.44440000000000002</v>
      </c>
      <c r="I30" s="12">
        <f>Submetering!R30</f>
        <v>0</v>
      </c>
      <c r="J30" s="11">
        <v>0.14000000000000001</v>
      </c>
      <c r="K30" s="12">
        <f>Hotel!B35</f>
        <v>161</v>
      </c>
    </row>
    <row r="31" spans="1:11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60410</v>
      </c>
      <c r="F31" s="11">
        <v>5.0000000000000001E-3</v>
      </c>
      <c r="G31" s="12">
        <f>Submetering!S31</f>
        <v>552.55200000000002</v>
      </c>
      <c r="H31" s="11">
        <v>0.44440000000000002</v>
      </c>
      <c r="I31" s="12">
        <f>Submetering!R31</f>
        <v>0</v>
      </c>
      <c r="J31" s="11">
        <v>0.14000000000000001</v>
      </c>
      <c r="K31" s="12">
        <f>Hotel!B36</f>
        <v>153</v>
      </c>
    </row>
    <row r="32" spans="1:11" x14ac:dyDescent="0.25">
      <c r="A32" s="21" t="s">
        <v>31</v>
      </c>
      <c r="B32" s="14">
        <f t="shared" si="0"/>
        <v>31</v>
      </c>
      <c r="C32" s="3">
        <v>10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62322</v>
      </c>
      <c r="F32" s="11">
        <v>5.0000000000000001E-3</v>
      </c>
      <c r="G32" s="12">
        <f>Submetering!S32</f>
        <v>621.07499999999993</v>
      </c>
      <c r="H32" s="11">
        <v>0.44440000000000002</v>
      </c>
      <c r="I32" s="12">
        <f>Submetering!R32</f>
        <v>0</v>
      </c>
      <c r="J32" s="11">
        <v>0.14000000000000001</v>
      </c>
      <c r="K32" s="12">
        <f>Hotel!B37</f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32"/>
  <sheetViews>
    <sheetView workbookViewId="0">
      <selection activeCell="C2" sqref="C2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20" width="11.5703125" style="4"/>
    <col min="21" max="21" width="11.5703125" style="2"/>
  </cols>
  <sheetData>
    <row r="1" spans="1:21" s="1" customFormat="1" ht="45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52</v>
      </c>
      <c r="S1" s="17" t="s">
        <v>45</v>
      </c>
      <c r="T1" s="17" t="s">
        <v>54</v>
      </c>
      <c r="U1" s="18" t="s">
        <v>6</v>
      </c>
    </row>
    <row r="2" spans="1:21" x14ac:dyDescent="0.25">
      <c r="A2" s="21" t="s">
        <v>31</v>
      </c>
      <c r="B2" s="2">
        <v>1</v>
      </c>
      <c r="C2" s="3">
        <f>TOTAL!C2</f>
        <v>10</v>
      </c>
      <c r="D2" s="11">
        <f>TOTAL!D2</f>
        <v>2020</v>
      </c>
      <c r="E2" s="4">
        <f>Hotel!Q7</f>
        <v>1010</v>
      </c>
      <c r="F2" s="4">
        <f>Hotel!R7</f>
        <v>16790</v>
      </c>
      <c r="G2" s="4">
        <f>Hotel!S7</f>
        <v>4560</v>
      </c>
      <c r="H2" s="4">
        <f>Hotel!T7</f>
        <v>1640</v>
      </c>
      <c r="I2" s="4">
        <f>Hotel!U7</f>
        <v>5270</v>
      </c>
      <c r="J2" s="4">
        <f>Hotel!V7</f>
        <v>3500</v>
      </c>
      <c r="K2" s="4">
        <f>Hotel!W7</f>
        <v>2390</v>
      </c>
      <c r="L2" s="4">
        <f>Hotel!X7</f>
        <v>3690</v>
      </c>
      <c r="M2" s="4">
        <f>Hotel!Y7</f>
        <v>5250</v>
      </c>
      <c r="N2" s="4">
        <f>Hotel!Z7</f>
        <v>3140</v>
      </c>
      <c r="O2" s="4">
        <f>Hotel!AA7</f>
        <v>3710</v>
      </c>
      <c r="P2" s="4">
        <f>Hotel!AB7</f>
        <v>7040</v>
      </c>
      <c r="Q2" s="4">
        <f>Hotel!AC7</f>
        <v>9350</v>
      </c>
      <c r="R2" s="4">
        <f>Hotel!AT7</f>
        <v>0</v>
      </c>
      <c r="S2" s="4">
        <f>Hotel!BA7</f>
        <v>667.48500000000001</v>
      </c>
      <c r="T2" s="4">
        <f>Hotel!AX7</f>
        <v>0</v>
      </c>
      <c r="U2" s="4">
        <f>Hotel!B7</f>
        <v>162</v>
      </c>
    </row>
    <row r="3" spans="1:21" x14ac:dyDescent="0.25">
      <c r="A3" s="21" t="s">
        <v>31</v>
      </c>
      <c r="B3" s="2">
        <f>B2+1</f>
        <v>2</v>
      </c>
      <c r="C3" s="3">
        <f>TOTAL!C3</f>
        <v>10</v>
      </c>
      <c r="D3" s="11">
        <f>TOTAL!D3</f>
        <v>2020</v>
      </c>
      <c r="E3" s="4">
        <f>Hotel!Q8</f>
        <v>970</v>
      </c>
      <c r="F3" s="4">
        <f>Hotel!R8</f>
        <v>16000</v>
      </c>
      <c r="G3" s="4">
        <f>Hotel!S8</f>
        <v>4320</v>
      </c>
      <c r="H3" s="4">
        <f>Hotel!T8</f>
        <v>1580</v>
      </c>
      <c r="I3" s="4">
        <f>Hotel!U8</f>
        <v>5320</v>
      </c>
      <c r="J3" s="4">
        <f>Hotel!V8</f>
        <v>3400</v>
      </c>
      <c r="K3" s="4">
        <f>Hotel!W8</f>
        <v>2310</v>
      </c>
      <c r="L3" s="4">
        <f>Hotel!X8</f>
        <v>3650</v>
      </c>
      <c r="M3" s="4">
        <f>Hotel!Y8</f>
        <v>5320</v>
      </c>
      <c r="N3" s="4">
        <f>Hotel!Z8</f>
        <v>3020</v>
      </c>
      <c r="O3" s="4">
        <f>Hotel!AA8</f>
        <v>3730</v>
      </c>
      <c r="P3" s="4">
        <f>Hotel!AB8</f>
        <v>6940</v>
      </c>
      <c r="Q3" s="4">
        <f>Hotel!AC8</f>
        <v>8520</v>
      </c>
      <c r="R3" s="4">
        <f>Hotel!AT8</f>
        <v>0</v>
      </c>
      <c r="S3" s="4">
        <f>Hotel!BA8</f>
        <v>572.48099999999999</v>
      </c>
      <c r="T3" s="4">
        <f>Hotel!AX8</f>
        <v>0</v>
      </c>
      <c r="U3" s="4">
        <f>Hotel!B8</f>
        <v>177</v>
      </c>
    </row>
    <row r="4" spans="1:21" x14ac:dyDescent="0.25">
      <c r="A4" s="21" t="s">
        <v>31</v>
      </c>
      <c r="B4" s="2">
        <f t="shared" ref="B4:B29" si="0">B3+1</f>
        <v>3</v>
      </c>
      <c r="C4" s="3">
        <f>TOTAL!C4</f>
        <v>10</v>
      </c>
      <c r="D4" s="11">
        <f>TOTAL!D4</f>
        <v>2020</v>
      </c>
      <c r="E4" s="4">
        <f>Hotel!Q9</f>
        <v>1000</v>
      </c>
      <c r="F4" s="4">
        <f>Hotel!R9</f>
        <v>14420</v>
      </c>
      <c r="G4" s="4">
        <f>Hotel!S9</f>
        <v>3740</v>
      </c>
      <c r="H4" s="4">
        <f>Hotel!T9</f>
        <v>1610</v>
      </c>
      <c r="I4" s="4">
        <f>Hotel!U9</f>
        <v>4980</v>
      </c>
      <c r="J4" s="4">
        <f>Hotel!V9</f>
        <v>3380</v>
      </c>
      <c r="K4" s="4">
        <f>Hotel!W9</f>
        <v>2380</v>
      </c>
      <c r="L4" s="4">
        <f>Hotel!X9</f>
        <v>3600</v>
      </c>
      <c r="M4" s="4">
        <f>Hotel!Y9</f>
        <v>5540</v>
      </c>
      <c r="N4" s="4">
        <f>Hotel!Z9</f>
        <v>2890</v>
      </c>
      <c r="O4" s="4">
        <f>Hotel!AA9</f>
        <v>3530</v>
      </c>
      <c r="P4" s="4">
        <f>Hotel!AB9</f>
        <v>7010</v>
      </c>
      <c r="Q4" s="4">
        <f>Hotel!AC9</f>
        <v>9310</v>
      </c>
      <c r="R4" s="4">
        <f>Hotel!AT9</f>
        <v>0</v>
      </c>
      <c r="S4" s="4">
        <f>Hotel!BA9</f>
        <v>761.12399999999991</v>
      </c>
      <c r="T4" s="4">
        <f>Hotel!AX9</f>
        <v>0</v>
      </c>
      <c r="U4" s="4">
        <f>Hotel!B9</f>
        <v>93</v>
      </c>
    </row>
    <row r="5" spans="1:21" x14ac:dyDescent="0.25">
      <c r="A5" s="21" t="s">
        <v>31</v>
      </c>
      <c r="B5" s="2">
        <f t="shared" si="0"/>
        <v>4</v>
      </c>
      <c r="C5" s="3">
        <f>TOTAL!C5</f>
        <v>10</v>
      </c>
      <c r="D5" s="11">
        <f>TOTAL!D5</f>
        <v>2020</v>
      </c>
      <c r="E5" s="4">
        <f>Hotel!Q10</f>
        <v>1100</v>
      </c>
      <c r="F5" s="4">
        <f>Hotel!R10</f>
        <v>14960</v>
      </c>
      <c r="G5" s="4">
        <f>Hotel!S10</f>
        <v>3810</v>
      </c>
      <c r="H5" s="4">
        <f>Hotel!T10</f>
        <v>1720</v>
      </c>
      <c r="I5" s="4">
        <f>Hotel!U10</f>
        <v>4920</v>
      </c>
      <c r="J5" s="4">
        <f>Hotel!V10</f>
        <v>3590</v>
      </c>
      <c r="K5" s="4">
        <f>Hotel!W10</f>
        <v>2570</v>
      </c>
      <c r="L5" s="4">
        <f>Hotel!X10</f>
        <v>3780</v>
      </c>
      <c r="M5" s="4">
        <f>Hotel!Y10</f>
        <v>5570</v>
      </c>
      <c r="N5" s="4">
        <f>Hotel!Z10</f>
        <v>2860</v>
      </c>
      <c r="O5" s="4">
        <f>Hotel!AA10</f>
        <v>3520</v>
      </c>
      <c r="P5" s="4">
        <f>Hotel!AB10</f>
        <v>7360</v>
      </c>
      <c r="Q5" s="4">
        <f>Hotel!AC10</f>
        <v>10440</v>
      </c>
      <c r="R5" s="4">
        <f>Hotel!AT10</f>
        <v>0</v>
      </c>
      <c r="S5" s="4">
        <f>Hotel!BA10</f>
        <v>655.47300000000007</v>
      </c>
      <c r="T5" s="4">
        <f>Hotel!AX10</f>
        <v>0</v>
      </c>
      <c r="U5" s="4">
        <f>Hotel!B10</f>
        <v>65</v>
      </c>
    </row>
    <row r="6" spans="1:21" x14ac:dyDescent="0.25">
      <c r="A6" s="21" t="s">
        <v>31</v>
      </c>
      <c r="B6" s="2">
        <f t="shared" si="0"/>
        <v>5</v>
      </c>
      <c r="C6" s="3">
        <f>TOTAL!C6</f>
        <v>10</v>
      </c>
      <c r="D6" s="11">
        <f>TOTAL!D6</f>
        <v>2020</v>
      </c>
      <c r="E6" s="4">
        <f>Hotel!Q11</f>
        <v>910</v>
      </c>
      <c r="F6" s="4">
        <f>Hotel!R11</f>
        <v>13620</v>
      </c>
      <c r="G6" s="4">
        <f>Hotel!S11</f>
        <v>3580</v>
      </c>
      <c r="H6" s="4">
        <f>Hotel!T11</f>
        <v>1430</v>
      </c>
      <c r="I6" s="4">
        <f>Hotel!U11</f>
        <v>4210</v>
      </c>
      <c r="J6" s="4">
        <f>Hotel!V11</f>
        <v>3110</v>
      </c>
      <c r="K6" s="4">
        <f>Hotel!W11</f>
        <v>2170</v>
      </c>
      <c r="L6" s="4">
        <f>Hotel!X11</f>
        <v>3500</v>
      </c>
      <c r="M6" s="4">
        <f>Hotel!Y11</f>
        <v>4730</v>
      </c>
      <c r="N6" s="4">
        <f>Hotel!Z11</f>
        <v>2270</v>
      </c>
      <c r="O6" s="4">
        <f>Hotel!AA11</f>
        <v>2730</v>
      </c>
      <c r="P6" s="4">
        <f>Hotel!AB11</f>
        <v>6160</v>
      </c>
      <c r="Q6" s="4">
        <f>Hotel!AC11</f>
        <v>8890</v>
      </c>
      <c r="R6" s="4">
        <f>Hotel!AT11</f>
        <v>0</v>
      </c>
      <c r="S6" s="4">
        <f>Hotel!BA11</f>
        <v>517.88099999999997</v>
      </c>
      <c r="T6" s="4">
        <f>Hotel!AX11</f>
        <v>0</v>
      </c>
      <c r="U6" s="4">
        <f>Hotel!B11</f>
        <v>57</v>
      </c>
    </row>
    <row r="7" spans="1:21" x14ac:dyDescent="0.25">
      <c r="A7" s="21" t="s">
        <v>31</v>
      </c>
      <c r="B7" s="2">
        <f t="shared" si="0"/>
        <v>6</v>
      </c>
      <c r="C7" s="3">
        <f>TOTAL!C7</f>
        <v>10</v>
      </c>
      <c r="D7" s="11">
        <f>TOTAL!D7</f>
        <v>2020</v>
      </c>
      <c r="E7" s="4">
        <f>Hotel!Q12</f>
        <v>1020</v>
      </c>
      <c r="F7" s="4">
        <f>Hotel!R12</f>
        <v>15190</v>
      </c>
      <c r="G7" s="4">
        <f>Hotel!S12</f>
        <v>3980</v>
      </c>
      <c r="H7" s="4">
        <f>Hotel!T12</f>
        <v>1610</v>
      </c>
      <c r="I7" s="4">
        <f>Hotel!U12</f>
        <v>4540</v>
      </c>
      <c r="J7" s="4">
        <f>Hotel!V12</f>
        <v>3350</v>
      </c>
      <c r="K7" s="4">
        <f>Hotel!W12</f>
        <v>2370</v>
      </c>
      <c r="L7" s="4">
        <f>Hotel!X12</f>
        <v>3730</v>
      </c>
      <c r="M7" s="4">
        <f>Hotel!Y12</f>
        <v>5050</v>
      </c>
      <c r="N7" s="4">
        <f>Hotel!Z12</f>
        <v>2510</v>
      </c>
      <c r="O7" s="4">
        <f>Hotel!AA12</f>
        <v>3050</v>
      </c>
      <c r="P7" s="4">
        <f>Hotel!AB12</f>
        <v>6650</v>
      </c>
      <c r="Q7" s="4">
        <f>Hotel!AC12</f>
        <v>9840</v>
      </c>
      <c r="R7" s="4">
        <f>Hotel!AT12</f>
        <v>0</v>
      </c>
      <c r="S7" s="4">
        <f>Hotel!BA12</f>
        <v>570.57000000000005</v>
      </c>
      <c r="T7" s="4">
        <f>Hotel!AX12</f>
        <v>0</v>
      </c>
      <c r="U7" s="4">
        <f>Hotel!B12</f>
        <v>61</v>
      </c>
    </row>
    <row r="8" spans="1:21" x14ac:dyDescent="0.25">
      <c r="A8" s="21" t="s">
        <v>31</v>
      </c>
      <c r="B8" s="2">
        <f t="shared" si="0"/>
        <v>7</v>
      </c>
      <c r="C8" s="3">
        <f>TOTAL!C8</f>
        <v>10</v>
      </c>
      <c r="D8" s="11">
        <f>TOTAL!D8</f>
        <v>2020</v>
      </c>
      <c r="E8" s="4">
        <f>Hotel!Q13</f>
        <v>1040</v>
      </c>
      <c r="F8" s="4">
        <f>Hotel!R13</f>
        <v>13460</v>
      </c>
      <c r="G8" s="4">
        <f>Hotel!S13</f>
        <v>3320</v>
      </c>
      <c r="H8" s="4">
        <f>Hotel!T13</f>
        <v>1610</v>
      </c>
      <c r="I8" s="4">
        <f>Hotel!U13</f>
        <v>4650</v>
      </c>
      <c r="J8" s="4">
        <f>Hotel!V13</f>
        <v>3330</v>
      </c>
      <c r="K8" s="4">
        <f>Hotel!W13</f>
        <v>2450</v>
      </c>
      <c r="L8" s="4">
        <f>Hotel!X13</f>
        <v>3770</v>
      </c>
      <c r="M8" s="4">
        <f>Hotel!Y13</f>
        <v>5070</v>
      </c>
      <c r="N8" s="4">
        <f>Hotel!Z13</f>
        <v>2660</v>
      </c>
      <c r="O8" s="4">
        <f>Hotel!AA13</f>
        <v>3030</v>
      </c>
      <c r="P8" s="4">
        <f>Hotel!AB13</f>
        <v>6880</v>
      </c>
      <c r="Q8" s="4">
        <f>Hotel!AC13</f>
        <v>10780</v>
      </c>
      <c r="R8" s="4">
        <f>Hotel!AT13</f>
        <v>0</v>
      </c>
      <c r="S8" s="4">
        <f>Hotel!BA13</f>
        <v>732.73199999999997</v>
      </c>
      <c r="T8" s="4">
        <f>Hotel!AX13</f>
        <v>0</v>
      </c>
      <c r="U8" s="4">
        <f>Hotel!B13</f>
        <v>63</v>
      </c>
    </row>
    <row r="9" spans="1:21" x14ac:dyDescent="0.25">
      <c r="A9" s="21" t="s">
        <v>31</v>
      </c>
      <c r="B9" s="2">
        <f t="shared" si="0"/>
        <v>8</v>
      </c>
      <c r="C9" s="3">
        <f>TOTAL!C9</f>
        <v>10</v>
      </c>
      <c r="D9" s="11">
        <f>TOTAL!D9</f>
        <v>2020</v>
      </c>
      <c r="E9" s="4">
        <f>Hotel!Q14</f>
        <v>990</v>
      </c>
      <c r="F9" s="4">
        <f>Hotel!R14</f>
        <v>12370</v>
      </c>
      <c r="G9" s="4">
        <f>Hotel!S14</f>
        <v>3010</v>
      </c>
      <c r="H9" s="4">
        <f>Hotel!T14</f>
        <v>1500</v>
      </c>
      <c r="I9" s="4">
        <f>Hotel!U14</f>
        <v>4440</v>
      </c>
      <c r="J9" s="4">
        <f>Hotel!V14</f>
        <v>3230</v>
      </c>
      <c r="K9" s="4">
        <f>Hotel!W14</f>
        <v>2260</v>
      </c>
      <c r="L9" s="4">
        <f>Hotel!X14</f>
        <v>3490</v>
      </c>
      <c r="M9" s="4">
        <f>Hotel!Y14</f>
        <v>4740</v>
      </c>
      <c r="N9" s="4">
        <f>Hotel!Z14</f>
        <v>2640</v>
      </c>
      <c r="O9" s="4">
        <f>Hotel!AA14</f>
        <v>3210</v>
      </c>
      <c r="P9" s="4">
        <f>Hotel!AB14</f>
        <v>6740</v>
      </c>
      <c r="Q9" s="4">
        <f>Hotel!AC14</f>
        <v>10090</v>
      </c>
      <c r="R9" s="4">
        <f>Hotel!AT14</f>
        <v>0</v>
      </c>
      <c r="S9" s="4">
        <f>Hotel!BA14</f>
        <v>419.87400000000002</v>
      </c>
      <c r="T9" s="4">
        <f>Hotel!AX14</f>
        <v>0</v>
      </c>
      <c r="U9" s="4">
        <f>Hotel!B14</f>
        <v>136</v>
      </c>
    </row>
    <row r="10" spans="1:21" x14ac:dyDescent="0.25">
      <c r="A10" s="21" t="s">
        <v>31</v>
      </c>
      <c r="B10" s="2">
        <f t="shared" si="0"/>
        <v>9</v>
      </c>
      <c r="C10" s="3">
        <f>TOTAL!C10</f>
        <v>10</v>
      </c>
      <c r="D10" s="11">
        <f>TOTAL!D10</f>
        <v>2020</v>
      </c>
      <c r="E10" s="4">
        <f>Hotel!Q15</f>
        <v>1040</v>
      </c>
      <c r="F10" s="4">
        <f>Hotel!R15</f>
        <v>12930</v>
      </c>
      <c r="G10" s="4">
        <f>Hotel!S15</f>
        <v>3160</v>
      </c>
      <c r="H10" s="4">
        <f>Hotel!T15</f>
        <v>1590</v>
      </c>
      <c r="I10" s="4">
        <f>Hotel!U15</f>
        <v>4910</v>
      </c>
      <c r="J10" s="4">
        <f>Hotel!V15</f>
        <v>3500</v>
      </c>
      <c r="K10" s="4">
        <f>Hotel!W15</f>
        <v>2380</v>
      </c>
      <c r="L10" s="4">
        <f>Hotel!X15</f>
        <v>3880</v>
      </c>
      <c r="M10" s="4">
        <f>Hotel!Y15</f>
        <v>5370</v>
      </c>
      <c r="N10" s="4">
        <f>Hotel!Z15</f>
        <v>2930</v>
      </c>
      <c r="O10" s="4">
        <f>Hotel!AA15</f>
        <v>3850</v>
      </c>
      <c r="P10" s="4">
        <f>Hotel!AB15</f>
        <v>7140</v>
      </c>
      <c r="Q10" s="4">
        <f>Hotel!AC15</f>
        <v>10810</v>
      </c>
      <c r="R10" s="4">
        <f>Hotel!AT15</f>
        <v>0</v>
      </c>
      <c r="S10" s="4">
        <f>Hotel!BA15</f>
        <v>723.44999999999993</v>
      </c>
      <c r="T10" s="4">
        <f>Hotel!AX15</f>
        <v>0</v>
      </c>
      <c r="U10" s="4">
        <f>Hotel!B15</f>
        <v>172</v>
      </c>
    </row>
    <row r="11" spans="1:21" x14ac:dyDescent="0.25">
      <c r="A11" s="21" t="s">
        <v>31</v>
      </c>
      <c r="B11" s="2">
        <f t="shared" si="0"/>
        <v>10</v>
      </c>
      <c r="C11" s="3">
        <f>TOTAL!C11</f>
        <v>10</v>
      </c>
      <c r="D11" s="11">
        <f>TOTAL!D11</f>
        <v>2020</v>
      </c>
      <c r="E11" s="4">
        <f>Hotel!Q16</f>
        <v>1010</v>
      </c>
      <c r="F11" s="4">
        <f>Hotel!R16</f>
        <v>12360</v>
      </c>
      <c r="G11" s="4">
        <f>Hotel!S16</f>
        <v>3010</v>
      </c>
      <c r="H11" s="4">
        <f>Hotel!T16</f>
        <v>1550</v>
      </c>
      <c r="I11" s="4">
        <f>Hotel!U16</f>
        <v>4830</v>
      </c>
      <c r="J11" s="4">
        <f>Hotel!V16</f>
        <v>3400</v>
      </c>
      <c r="K11" s="4">
        <f>Hotel!W16</f>
        <v>2370</v>
      </c>
      <c r="L11" s="4">
        <f>Hotel!X16</f>
        <v>3810</v>
      </c>
      <c r="M11" s="4">
        <f>Hotel!Y16</f>
        <v>5290</v>
      </c>
      <c r="N11" s="4">
        <f>Hotel!Z16</f>
        <v>2750</v>
      </c>
      <c r="O11" s="4">
        <f>Hotel!AA16</f>
        <v>3620</v>
      </c>
      <c r="P11" s="4">
        <f>Hotel!AB16</f>
        <v>6980</v>
      </c>
      <c r="Q11" s="4">
        <f>Hotel!AC16</f>
        <v>11420</v>
      </c>
      <c r="R11" s="4">
        <f>Hotel!AT16</f>
        <v>0</v>
      </c>
      <c r="S11" s="4">
        <f>Hotel!BA16</f>
        <v>575.21100000000001</v>
      </c>
      <c r="T11" s="4">
        <f>Hotel!AX16</f>
        <v>0</v>
      </c>
      <c r="U11" s="4">
        <f>Hotel!B16</f>
        <v>101</v>
      </c>
    </row>
    <row r="12" spans="1:21" x14ac:dyDescent="0.25">
      <c r="A12" s="21" t="s">
        <v>31</v>
      </c>
      <c r="B12" s="2">
        <f t="shared" si="0"/>
        <v>11</v>
      </c>
      <c r="C12" s="3">
        <f>TOTAL!C12</f>
        <v>10</v>
      </c>
      <c r="D12" s="11">
        <f>TOTAL!D12</f>
        <v>2020</v>
      </c>
      <c r="E12" s="4">
        <f>Hotel!Q17</f>
        <v>1000</v>
      </c>
      <c r="F12" s="4">
        <f>Hotel!R17</f>
        <v>12050</v>
      </c>
      <c r="G12" s="4">
        <f>Hotel!S17</f>
        <v>2930</v>
      </c>
      <c r="H12" s="4">
        <f>Hotel!T17</f>
        <v>1520</v>
      </c>
      <c r="I12" s="4">
        <f>Hotel!U17</f>
        <v>4290</v>
      </c>
      <c r="J12" s="4">
        <f>Hotel!V17</f>
        <v>3160</v>
      </c>
      <c r="K12" s="4">
        <f>Hotel!W17</f>
        <v>2350</v>
      </c>
      <c r="L12" s="4">
        <f>Hotel!X17</f>
        <v>3390</v>
      </c>
      <c r="M12" s="4">
        <f>Hotel!Y17</f>
        <v>5070</v>
      </c>
      <c r="N12" s="4">
        <f>Hotel!Z17</f>
        <v>2490</v>
      </c>
      <c r="O12" s="4">
        <f>Hotel!AA17</f>
        <v>3360</v>
      </c>
      <c r="P12" s="4">
        <f>Hotel!AB17</f>
        <v>6680</v>
      </c>
      <c r="Q12" s="4">
        <f>Hotel!AC17</f>
        <v>11610</v>
      </c>
      <c r="R12" s="4">
        <f>Hotel!AT17</f>
        <v>0</v>
      </c>
      <c r="S12" s="4">
        <f>Hotel!BA17</f>
        <v>585.85800000000006</v>
      </c>
      <c r="T12" s="4">
        <f>Hotel!AX17</f>
        <v>0</v>
      </c>
      <c r="U12" s="4">
        <f>Hotel!B17</f>
        <v>71</v>
      </c>
    </row>
    <row r="13" spans="1:21" x14ac:dyDescent="0.25">
      <c r="A13" s="21" t="s">
        <v>31</v>
      </c>
      <c r="B13" s="2">
        <f t="shared" si="0"/>
        <v>12</v>
      </c>
      <c r="C13" s="3">
        <f>TOTAL!C13</f>
        <v>10</v>
      </c>
      <c r="D13" s="11">
        <f>TOTAL!D13</f>
        <v>2020</v>
      </c>
      <c r="E13" s="4">
        <f>Hotel!Q18</f>
        <v>1020</v>
      </c>
      <c r="F13" s="4">
        <f>Hotel!R18</f>
        <v>12220</v>
      </c>
      <c r="G13" s="4">
        <f>Hotel!S18</f>
        <v>2970</v>
      </c>
      <c r="H13" s="4">
        <f>Hotel!T18</f>
        <v>1550</v>
      </c>
      <c r="I13" s="4">
        <f>Hotel!U18</f>
        <v>4580</v>
      </c>
      <c r="J13" s="4">
        <f>Hotel!V18</f>
        <v>3250</v>
      </c>
      <c r="K13" s="4">
        <f>Hotel!W18</f>
        <v>2420</v>
      </c>
      <c r="L13" s="4">
        <f>Hotel!X18</f>
        <v>3720</v>
      </c>
      <c r="M13" s="4">
        <f>Hotel!Y18</f>
        <v>5210</v>
      </c>
      <c r="N13" s="4">
        <f>Hotel!Z18</f>
        <v>2530</v>
      </c>
      <c r="O13" s="4">
        <f>Hotel!AA18</f>
        <v>3260</v>
      </c>
      <c r="P13" s="4">
        <f>Hotel!AB18</f>
        <v>6700</v>
      </c>
      <c r="Q13" s="4">
        <f>Hotel!AC18</f>
        <v>11260</v>
      </c>
      <c r="R13" s="4">
        <f>Hotel!AT18</f>
        <v>0</v>
      </c>
      <c r="S13" s="4">
        <f>Hotel!BA18</f>
        <v>610.97400000000005</v>
      </c>
      <c r="T13" s="4">
        <f>Hotel!AX18</f>
        <v>0</v>
      </c>
      <c r="U13" s="4">
        <f>Hotel!B18</f>
        <v>69</v>
      </c>
    </row>
    <row r="14" spans="1:21" x14ac:dyDescent="0.25">
      <c r="A14" s="21" t="s">
        <v>31</v>
      </c>
      <c r="B14" s="2">
        <f t="shared" si="0"/>
        <v>13</v>
      </c>
      <c r="C14" s="3">
        <f>TOTAL!C14</f>
        <v>10</v>
      </c>
      <c r="D14" s="11">
        <f>TOTAL!D14</f>
        <v>2020</v>
      </c>
      <c r="E14" s="4">
        <f>Hotel!Q19</f>
        <v>1000</v>
      </c>
      <c r="F14" s="4">
        <f>Hotel!R19</f>
        <v>12030</v>
      </c>
      <c r="G14" s="4">
        <f>Hotel!S19</f>
        <v>2900</v>
      </c>
      <c r="H14" s="4">
        <f>Hotel!T19</f>
        <v>1550</v>
      </c>
      <c r="I14" s="4">
        <f>Hotel!U19</f>
        <v>4510</v>
      </c>
      <c r="J14" s="4">
        <f>Hotel!V19</f>
        <v>3310</v>
      </c>
      <c r="K14" s="4">
        <f>Hotel!W19</f>
        <v>2430</v>
      </c>
      <c r="L14" s="4">
        <f>Hotel!X19</f>
        <v>3820</v>
      </c>
      <c r="M14" s="4">
        <f>Hotel!Y19</f>
        <v>5230</v>
      </c>
      <c r="N14" s="4">
        <f>Hotel!Z19</f>
        <v>2470</v>
      </c>
      <c r="O14" s="4">
        <f>Hotel!AA19</f>
        <v>3000</v>
      </c>
      <c r="P14" s="4">
        <f>Hotel!AB19</f>
        <v>6850</v>
      </c>
      <c r="Q14" s="4">
        <f>Hotel!AC19</f>
        <v>10580</v>
      </c>
      <c r="R14" s="4">
        <f>Hotel!AT19</f>
        <v>0</v>
      </c>
      <c r="S14" s="4">
        <f>Hotel!BA19</f>
        <v>534.80700000000002</v>
      </c>
      <c r="T14" s="4">
        <f>Hotel!AX19</f>
        <v>0</v>
      </c>
      <c r="U14" s="4">
        <f>Hotel!B19</f>
        <v>59</v>
      </c>
    </row>
    <row r="15" spans="1:21" x14ac:dyDescent="0.25">
      <c r="A15" s="21" t="s">
        <v>31</v>
      </c>
      <c r="B15" s="2">
        <f t="shared" si="0"/>
        <v>14</v>
      </c>
      <c r="C15" s="3">
        <f>TOTAL!C15</f>
        <v>10</v>
      </c>
      <c r="D15" s="11">
        <f>TOTAL!D15</f>
        <v>2020</v>
      </c>
      <c r="E15" s="4">
        <f>Hotel!Q20</f>
        <v>1020</v>
      </c>
      <c r="F15" s="4">
        <f>Hotel!R20</f>
        <v>12190</v>
      </c>
      <c r="G15" s="4">
        <f>Hotel!S20</f>
        <v>2950</v>
      </c>
      <c r="H15" s="4">
        <f>Hotel!T20</f>
        <v>1570</v>
      </c>
      <c r="I15" s="4">
        <f>Hotel!U20</f>
        <v>4500</v>
      </c>
      <c r="J15" s="4">
        <f>Hotel!V20</f>
        <v>3120</v>
      </c>
      <c r="K15" s="4">
        <f>Hotel!W20</f>
        <v>2430</v>
      </c>
      <c r="L15" s="4">
        <f>Hotel!X20</f>
        <v>3720</v>
      </c>
      <c r="M15" s="4">
        <f>Hotel!Y20</f>
        <v>5150</v>
      </c>
      <c r="N15" s="4">
        <f>Hotel!Z20</f>
        <v>2530</v>
      </c>
      <c r="O15" s="4">
        <f>Hotel!AA20</f>
        <v>3220</v>
      </c>
      <c r="P15" s="4">
        <f>Hotel!AB20</f>
        <v>6820</v>
      </c>
      <c r="Q15" s="4">
        <f>Hotel!AC20</f>
        <v>10060</v>
      </c>
      <c r="R15" s="4">
        <f>Hotel!AT20</f>
        <v>0</v>
      </c>
      <c r="S15" s="4">
        <f>Hotel!BA20</f>
        <v>530.16599999999994</v>
      </c>
      <c r="T15" s="4">
        <f>Hotel!AX20</f>
        <v>0</v>
      </c>
      <c r="U15" s="4">
        <f>Hotel!B20</f>
        <v>71</v>
      </c>
    </row>
    <row r="16" spans="1:21" x14ac:dyDescent="0.25">
      <c r="A16" s="21" t="s">
        <v>31</v>
      </c>
      <c r="B16" s="2">
        <f t="shared" si="0"/>
        <v>15</v>
      </c>
      <c r="C16" s="3">
        <f>TOTAL!C16</f>
        <v>10</v>
      </c>
      <c r="D16" s="11">
        <f>TOTAL!D16</f>
        <v>2020</v>
      </c>
      <c r="E16" s="4">
        <f>Hotel!Q21</f>
        <v>1010</v>
      </c>
      <c r="F16" s="4">
        <f>Hotel!R21</f>
        <v>11990</v>
      </c>
      <c r="G16" s="4">
        <f>Hotel!S21</f>
        <v>2880</v>
      </c>
      <c r="H16" s="4">
        <f>Hotel!T21</f>
        <v>1540</v>
      </c>
      <c r="I16" s="4">
        <f>Hotel!U21</f>
        <v>4660</v>
      </c>
      <c r="J16" s="4">
        <f>Hotel!V21</f>
        <v>3130</v>
      </c>
      <c r="K16" s="4">
        <f>Hotel!W21</f>
        <v>2380</v>
      </c>
      <c r="L16" s="4">
        <f>Hotel!X21</f>
        <v>3740</v>
      </c>
      <c r="M16" s="4">
        <f>Hotel!Y21</f>
        <v>5200</v>
      </c>
      <c r="N16" s="4">
        <f>Hotel!Z21</f>
        <v>2660</v>
      </c>
      <c r="O16" s="4">
        <f>Hotel!AA21</f>
        <v>3210</v>
      </c>
      <c r="P16" s="4">
        <f>Hotel!AB21</f>
        <v>6720</v>
      </c>
      <c r="Q16" s="4">
        <f>Hotel!AC21</f>
        <v>9860</v>
      </c>
      <c r="R16" s="4">
        <f>Hotel!AT21</f>
        <v>0</v>
      </c>
      <c r="S16" s="4">
        <f>Hotel!BA21</f>
        <v>430.52100000000002</v>
      </c>
      <c r="T16" s="4">
        <f>Hotel!AX21</f>
        <v>0</v>
      </c>
      <c r="U16" s="4">
        <f>Hotel!B21</f>
        <v>109</v>
      </c>
    </row>
    <row r="17" spans="1:21" x14ac:dyDescent="0.25">
      <c r="A17" s="21" t="s">
        <v>31</v>
      </c>
      <c r="B17" s="2">
        <f t="shared" si="0"/>
        <v>16</v>
      </c>
      <c r="C17" s="3">
        <f>TOTAL!C17</f>
        <v>10</v>
      </c>
      <c r="D17" s="11">
        <f>TOTAL!D17</f>
        <v>2020</v>
      </c>
      <c r="E17" s="4">
        <f>Hotel!Q22</f>
        <v>1060</v>
      </c>
      <c r="F17" s="4">
        <f>Hotel!R22</f>
        <v>13440</v>
      </c>
      <c r="G17" s="4">
        <f>Hotel!S22</f>
        <v>2410</v>
      </c>
      <c r="H17" s="4">
        <f>Hotel!T22</f>
        <v>1630</v>
      </c>
      <c r="I17" s="4">
        <f>Hotel!U22</f>
        <v>5100</v>
      </c>
      <c r="J17" s="4">
        <f>Hotel!V22</f>
        <v>3320</v>
      </c>
      <c r="K17" s="4">
        <f>Hotel!W22</f>
        <v>2470</v>
      </c>
      <c r="L17" s="4">
        <f>Hotel!X22</f>
        <v>3980</v>
      </c>
      <c r="M17" s="4">
        <f>Hotel!Y22</f>
        <v>5810</v>
      </c>
      <c r="N17" s="4">
        <f>Hotel!Z22</f>
        <v>2910</v>
      </c>
      <c r="O17" s="4">
        <f>Hotel!AA22</f>
        <v>3730</v>
      </c>
      <c r="P17" s="4">
        <f>Hotel!AB22</f>
        <v>7200</v>
      </c>
      <c r="Q17" s="4">
        <f>Hotel!AC22</f>
        <v>10840</v>
      </c>
      <c r="R17" s="4">
        <f>Hotel!AT22</f>
        <v>0</v>
      </c>
      <c r="S17" s="4">
        <f>Hotel!BA22</f>
        <v>614.25</v>
      </c>
      <c r="T17" s="4">
        <f>Hotel!AX22</f>
        <v>0</v>
      </c>
      <c r="U17" s="4">
        <f>Hotel!B22</f>
        <v>137</v>
      </c>
    </row>
    <row r="18" spans="1:21" x14ac:dyDescent="0.25">
      <c r="A18" s="21" t="s">
        <v>31</v>
      </c>
      <c r="B18" s="2">
        <f t="shared" si="0"/>
        <v>17</v>
      </c>
      <c r="C18" s="3">
        <f>TOTAL!C18</f>
        <v>10</v>
      </c>
      <c r="D18" s="11">
        <f>TOTAL!D18</f>
        <v>2020</v>
      </c>
      <c r="E18" s="4">
        <f>Hotel!Q23</f>
        <v>1060</v>
      </c>
      <c r="F18" s="4">
        <f>Hotel!R23</f>
        <v>12610</v>
      </c>
      <c r="G18" s="4">
        <f>Hotel!S23</f>
        <v>3050</v>
      </c>
      <c r="H18" s="4">
        <f>Hotel!T23</f>
        <v>1640</v>
      </c>
      <c r="I18" s="4">
        <f>Hotel!U23</f>
        <v>4960</v>
      </c>
      <c r="J18" s="4">
        <f>Hotel!V23</f>
        <v>3300</v>
      </c>
      <c r="K18" s="4">
        <f>Hotel!W23</f>
        <v>2490</v>
      </c>
      <c r="L18" s="4">
        <f>Hotel!X23</f>
        <v>3870</v>
      </c>
      <c r="M18" s="4">
        <f>Hotel!Y23</f>
        <v>5860</v>
      </c>
      <c r="N18" s="4">
        <f>Hotel!Z23</f>
        <v>2810</v>
      </c>
      <c r="O18" s="4">
        <f>Hotel!AA23</f>
        <v>3430</v>
      </c>
      <c r="P18" s="4">
        <f>Hotel!AB23</f>
        <v>7180</v>
      </c>
      <c r="Q18" s="4">
        <f>Hotel!AC23</f>
        <v>10830</v>
      </c>
      <c r="R18" s="4">
        <f>Hotel!AT23</f>
        <v>0</v>
      </c>
      <c r="S18" s="4">
        <f>Hotel!BA23</f>
        <v>558.55799999999999</v>
      </c>
      <c r="T18" s="4">
        <f>Hotel!AX23</f>
        <v>0</v>
      </c>
      <c r="U18" s="4">
        <f>Hotel!B23</f>
        <v>61</v>
      </c>
    </row>
    <row r="19" spans="1:21" x14ac:dyDescent="0.25">
      <c r="A19" s="21" t="s">
        <v>31</v>
      </c>
      <c r="B19" s="2">
        <f t="shared" si="0"/>
        <v>18</v>
      </c>
      <c r="C19" s="3">
        <f>TOTAL!C19</f>
        <v>10</v>
      </c>
      <c r="D19" s="11">
        <f>TOTAL!D19</f>
        <v>2020</v>
      </c>
      <c r="E19" s="4">
        <f>Hotel!Q24</f>
        <v>940</v>
      </c>
      <c r="F19" s="4">
        <f>Hotel!R24</f>
        <v>11130</v>
      </c>
      <c r="G19" s="4">
        <f>Hotel!S24</f>
        <v>2670</v>
      </c>
      <c r="H19" s="4">
        <f>Hotel!T24</f>
        <v>1440</v>
      </c>
      <c r="I19" s="4">
        <f>Hotel!U24</f>
        <v>4080</v>
      </c>
      <c r="J19" s="4">
        <f>Hotel!V24</f>
        <v>2850</v>
      </c>
      <c r="K19" s="4">
        <f>Hotel!W24</f>
        <v>2230</v>
      </c>
      <c r="L19" s="4">
        <f>Hotel!X24</f>
        <v>3110</v>
      </c>
      <c r="M19" s="4">
        <f>Hotel!Y24</f>
        <v>4660</v>
      </c>
      <c r="N19" s="4">
        <f>Hotel!Z24</f>
        <v>2320</v>
      </c>
      <c r="O19" s="4">
        <f>Hotel!AA24</f>
        <v>2830</v>
      </c>
      <c r="P19" s="4">
        <f>Hotel!AB24</f>
        <v>6080</v>
      </c>
      <c r="Q19" s="4">
        <f>Hotel!AC24</f>
        <v>9180</v>
      </c>
      <c r="R19" s="4">
        <f>Hotel!AT24</f>
        <v>0</v>
      </c>
      <c r="S19" s="4">
        <f>Hotel!BA24</f>
        <v>518.42700000000002</v>
      </c>
      <c r="T19" s="4">
        <f>Hotel!AX24</f>
        <v>0</v>
      </c>
      <c r="U19" s="4">
        <f>Hotel!B24</f>
        <v>49</v>
      </c>
    </row>
    <row r="20" spans="1:21" x14ac:dyDescent="0.25">
      <c r="A20" s="21" t="s">
        <v>31</v>
      </c>
      <c r="B20" s="2">
        <f t="shared" si="0"/>
        <v>19</v>
      </c>
      <c r="C20" s="3">
        <f>TOTAL!C20</f>
        <v>10</v>
      </c>
      <c r="D20" s="11">
        <f>TOTAL!D20</f>
        <v>2020</v>
      </c>
      <c r="E20" s="4">
        <f>Hotel!Q25</f>
        <v>1000</v>
      </c>
      <c r="F20" s="4">
        <f>Hotel!R25</f>
        <v>12050</v>
      </c>
      <c r="G20" s="4">
        <f>Hotel!S25</f>
        <v>2890</v>
      </c>
      <c r="H20" s="4">
        <f>Hotel!T25</f>
        <v>1560</v>
      </c>
      <c r="I20" s="4">
        <f>Hotel!U25</f>
        <v>4440</v>
      </c>
      <c r="J20" s="4">
        <f>Hotel!V25</f>
        <v>3060</v>
      </c>
      <c r="K20" s="4">
        <f>Hotel!W25</f>
        <v>2380</v>
      </c>
      <c r="L20" s="4">
        <f>Hotel!X25</f>
        <v>3610</v>
      </c>
      <c r="M20" s="4">
        <f>Hotel!Y25</f>
        <v>5040</v>
      </c>
      <c r="N20" s="4">
        <f>Hotel!Z25</f>
        <v>2480</v>
      </c>
      <c r="O20" s="4">
        <f>Hotel!AA25</f>
        <v>2970</v>
      </c>
      <c r="P20" s="4">
        <f>Hotel!AB25</f>
        <v>6650</v>
      </c>
      <c r="Q20" s="4">
        <f>Hotel!AC25</f>
        <v>11380</v>
      </c>
      <c r="R20" s="4">
        <f>Hotel!AT25</f>
        <v>0</v>
      </c>
      <c r="S20" s="4">
        <f>Hotel!BA25</f>
        <v>469.83300000000003</v>
      </c>
      <c r="T20" s="4">
        <f>Hotel!AX25</f>
        <v>0</v>
      </c>
      <c r="U20" s="4">
        <f>Hotel!B25</f>
        <v>55</v>
      </c>
    </row>
    <row r="21" spans="1:21" x14ac:dyDescent="0.25">
      <c r="A21" s="21" t="s">
        <v>31</v>
      </c>
      <c r="B21" s="2">
        <f t="shared" si="0"/>
        <v>20</v>
      </c>
      <c r="C21" s="3">
        <f>TOTAL!C21</f>
        <v>10</v>
      </c>
      <c r="D21" s="11">
        <f>TOTAL!D21</f>
        <v>2020</v>
      </c>
      <c r="E21" s="4">
        <f>Hotel!Q26</f>
        <v>1060</v>
      </c>
      <c r="F21" s="4">
        <f>Hotel!R26</f>
        <v>12460</v>
      </c>
      <c r="G21" s="4">
        <f>Hotel!S26</f>
        <v>2990</v>
      </c>
      <c r="H21" s="4">
        <f>Hotel!T26</f>
        <v>1610</v>
      </c>
      <c r="I21" s="4">
        <f>Hotel!U26</f>
        <v>4630</v>
      </c>
      <c r="J21" s="4">
        <f>Hotel!V26</f>
        <v>3170</v>
      </c>
      <c r="K21" s="4">
        <f>Hotel!W26</f>
        <v>2500</v>
      </c>
      <c r="L21" s="4">
        <f>Hotel!X26</f>
        <v>3840</v>
      </c>
      <c r="M21" s="4">
        <f>Hotel!Y26</f>
        <v>5390</v>
      </c>
      <c r="N21" s="4">
        <f>Hotel!Z26</f>
        <v>2510</v>
      </c>
      <c r="O21" s="4">
        <f>Hotel!AA26</f>
        <v>3100</v>
      </c>
      <c r="P21" s="4">
        <f>Hotel!AB26</f>
        <v>7120</v>
      </c>
      <c r="Q21" s="4">
        <f>Hotel!AC26</f>
        <v>11880</v>
      </c>
      <c r="R21" s="4">
        <f>Hotel!AT26</f>
        <v>0</v>
      </c>
      <c r="S21" s="4">
        <f>Hotel!BA26</f>
        <v>543.54300000000001</v>
      </c>
      <c r="T21" s="4">
        <f>Hotel!AX26</f>
        <v>0</v>
      </c>
      <c r="U21" s="4">
        <f>Hotel!B26</f>
        <v>56</v>
      </c>
    </row>
    <row r="22" spans="1:21" x14ac:dyDescent="0.25">
      <c r="A22" s="21" t="s">
        <v>31</v>
      </c>
      <c r="B22" s="2">
        <f t="shared" si="0"/>
        <v>21</v>
      </c>
      <c r="C22" s="3">
        <f>TOTAL!C22</f>
        <v>10</v>
      </c>
      <c r="D22" s="11">
        <f>TOTAL!D22</f>
        <v>2020</v>
      </c>
      <c r="E22" s="4">
        <f>Hotel!Q27</f>
        <v>1010</v>
      </c>
      <c r="F22" s="4">
        <f>Hotel!R27</f>
        <v>11810</v>
      </c>
      <c r="G22" s="4">
        <f>Hotel!S27</f>
        <v>2820</v>
      </c>
      <c r="H22" s="4">
        <f>Hotel!T27</f>
        <v>1550</v>
      </c>
      <c r="I22" s="4">
        <f>Hotel!U27</f>
        <v>4350</v>
      </c>
      <c r="J22" s="4">
        <f>Hotel!V27</f>
        <v>3050</v>
      </c>
      <c r="K22" s="4">
        <f>Hotel!W27</f>
        <v>2410</v>
      </c>
      <c r="L22" s="4">
        <f>Hotel!X27</f>
        <v>3650</v>
      </c>
      <c r="M22" s="4">
        <f>Hotel!Y27</f>
        <v>5240</v>
      </c>
      <c r="N22" s="4">
        <f>Hotel!Z27</f>
        <v>2410</v>
      </c>
      <c r="O22" s="4">
        <f>Hotel!AA27</f>
        <v>2930</v>
      </c>
      <c r="P22" s="4">
        <f>Hotel!AB27</f>
        <v>6780</v>
      </c>
      <c r="Q22" s="4">
        <f>Hotel!AC27</f>
        <v>10610</v>
      </c>
      <c r="R22" s="4">
        <f>Hotel!AT27</f>
        <v>0</v>
      </c>
      <c r="S22" s="4">
        <f>Hotel!BA27</f>
        <v>205.02300000000002</v>
      </c>
      <c r="T22" s="4">
        <f>Hotel!AX27</f>
        <v>0</v>
      </c>
      <c r="U22" s="4">
        <f>Hotel!B27</f>
        <v>68</v>
      </c>
    </row>
    <row r="23" spans="1:21" x14ac:dyDescent="0.25">
      <c r="A23" s="21" t="s">
        <v>31</v>
      </c>
      <c r="B23" s="2">
        <f t="shared" si="0"/>
        <v>22</v>
      </c>
      <c r="C23" s="3">
        <f>TOTAL!C23</f>
        <v>10</v>
      </c>
      <c r="D23" s="11">
        <f>TOTAL!D23</f>
        <v>2020</v>
      </c>
      <c r="E23" s="4">
        <f>Hotel!Q28</f>
        <v>1140</v>
      </c>
      <c r="F23" s="4">
        <f>Hotel!R28</f>
        <v>13240</v>
      </c>
      <c r="G23" s="4">
        <f>Hotel!S28</f>
        <v>2250</v>
      </c>
      <c r="H23" s="4">
        <f>Hotel!T28</f>
        <v>1770</v>
      </c>
      <c r="I23" s="4">
        <f>Hotel!U28</f>
        <v>5190</v>
      </c>
      <c r="J23" s="4">
        <f>Hotel!V28</f>
        <v>3440</v>
      </c>
      <c r="K23" s="4">
        <f>Hotel!W28</f>
        <v>2690</v>
      </c>
      <c r="L23" s="4">
        <f>Hotel!X28</f>
        <v>2950</v>
      </c>
      <c r="M23" s="4">
        <f>Hotel!Y28</f>
        <v>5950</v>
      </c>
      <c r="N23" s="4">
        <f>Hotel!Z28</f>
        <v>2940</v>
      </c>
      <c r="O23" s="4">
        <f>Hotel!AA28</f>
        <v>3540</v>
      </c>
      <c r="P23" s="4">
        <f>Hotel!AB28</f>
        <v>7660</v>
      </c>
      <c r="Q23" s="4">
        <f>Hotel!AC28</f>
        <v>12340</v>
      </c>
      <c r="R23" s="4">
        <f>Hotel!AT28</f>
        <v>0</v>
      </c>
      <c r="S23" s="4">
        <f>Hotel!BA28</f>
        <v>904.995</v>
      </c>
      <c r="T23" s="4">
        <f>Hotel!AX28</f>
        <v>0</v>
      </c>
      <c r="U23" s="4">
        <f>Hotel!B28</f>
        <v>120</v>
      </c>
    </row>
    <row r="24" spans="1:21" x14ac:dyDescent="0.25">
      <c r="A24" s="21" t="s">
        <v>31</v>
      </c>
      <c r="B24" s="2">
        <f t="shared" si="0"/>
        <v>23</v>
      </c>
      <c r="C24" s="3">
        <f>TOTAL!C24</f>
        <v>10</v>
      </c>
      <c r="D24" s="11">
        <f>TOTAL!D24</f>
        <v>2020</v>
      </c>
      <c r="E24" s="4">
        <f>Hotel!Q29</f>
        <v>910</v>
      </c>
      <c r="F24" s="4">
        <f>Hotel!R29</f>
        <v>10790</v>
      </c>
      <c r="G24" s="4">
        <f>Hotel!S29</f>
        <v>3490</v>
      </c>
      <c r="H24" s="4">
        <f>Hotel!T29</f>
        <v>1370</v>
      </c>
      <c r="I24" s="4">
        <f>Hotel!U29</f>
        <v>4470</v>
      </c>
      <c r="J24" s="4">
        <f>Hotel!V29</f>
        <v>2890</v>
      </c>
      <c r="K24" s="4">
        <f>Hotel!W29</f>
        <v>2220</v>
      </c>
      <c r="L24" s="4">
        <f>Hotel!X29</f>
        <v>4590</v>
      </c>
      <c r="M24" s="4">
        <f>Hotel!Y29</f>
        <v>5250</v>
      </c>
      <c r="N24" s="4">
        <f>Hotel!Z29</f>
        <v>2480</v>
      </c>
      <c r="O24" s="4">
        <f>Hotel!AA29</f>
        <v>2940</v>
      </c>
      <c r="P24" s="4">
        <f>Hotel!AB29</f>
        <v>6230</v>
      </c>
      <c r="Q24" s="4">
        <f>Hotel!AC29</f>
        <v>9400</v>
      </c>
      <c r="R24" s="4">
        <f>Hotel!AT29</f>
        <v>0</v>
      </c>
      <c r="S24" s="4">
        <f>Hotel!BA29</f>
        <v>434.07</v>
      </c>
      <c r="T24" s="4">
        <f>Hotel!AX29</f>
        <v>0</v>
      </c>
      <c r="U24" s="4">
        <f>Hotel!B29</f>
        <v>142</v>
      </c>
    </row>
    <row r="25" spans="1:21" x14ac:dyDescent="0.25">
      <c r="A25" s="21" t="s">
        <v>31</v>
      </c>
      <c r="B25" s="2">
        <f t="shared" si="0"/>
        <v>24</v>
      </c>
      <c r="C25" s="3">
        <f>TOTAL!C25</f>
        <v>10</v>
      </c>
      <c r="D25" s="11">
        <f>TOTAL!D25</f>
        <v>2020</v>
      </c>
      <c r="E25" s="4">
        <f>Hotel!Q30</f>
        <v>1040</v>
      </c>
      <c r="F25" s="4">
        <f>Hotel!R30</f>
        <v>12070</v>
      </c>
      <c r="G25" s="4">
        <f>Hotel!S30</f>
        <v>2880</v>
      </c>
      <c r="H25" s="4">
        <f>Hotel!T30</f>
        <v>1610</v>
      </c>
      <c r="I25" s="4">
        <f>Hotel!U30</f>
        <v>5090</v>
      </c>
      <c r="J25" s="4">
        <f>Hotel!V30</f>
        <v>3200</v>
      </c>
      <c r="K25" s="4">
        <f>Hotel!W30</f>
        <v>2460</v>
      </c>
      <c r="L25" s="4">
        <f>Hotel!X30</f>
        <v>3700</v>
      </c>
      <c r="M25" s="4">
        <f>Hotel!Y30</f>
        <v>5720</v>
      </c>
      <c r="N25" s="4">
        <f>Hotel!Z30</f>
        <v>2680</v>
      </c>
      <c r="O25" s="4">
        <f>Hotel!AA30</f>
        <v>3350</v>
      </c>
      <c r="P25" s="4">
        <f>Hotel!AB30</f>
        <v>6970</v>
      </c>
      <c r="Q25" s="4">
        <f>Hotel!AC30</f>
        <v>10370</v>
      </c>
      <c r="R25" s="4">
        <f>Hotel!AT30</f>
        <v>0</v>
      </c>
      <c r="S25" s="4">
        <f>Hotel!BA30</f>
        <v>491.673</v>
      </c>
      <c r="T25" s="4">
        <f>Hotel!AX30</f>
        <v>0</v>
      </c>
      <c r="U25" s="4">
        <f>Hotel!B30</f>
        <v>77</v>
      </c>
    </row>
    <row r="26" spans="1:21" x14ac:dyDescent="0.25">
      <c r="A26" s="21" t="s">
        <v>31</v>
      </c>
      <c r="B26" s="2">
        <f>B25+1</f>
        <v>25</v>
      </c>
      <c r="C26" s="3">
        <f>TOTAL!C26</f>
        <v>10</v>
      </c>
      <c r="D26" s="11">
        <f>TOTAL!D26</f>
        <v>2020</v>
      </c>
      <c r="E26" s="4">
        <f>Hotel!Q31</f>
        <v>1000</v>
      </c>
      <c r="F26" s="4">
        <f>Hotel!R31</f>
        <v>11520</v>
      </c>
      <c r="G26" s="4">
        <f>Hotel!S31</f>
        <v>2730</v>
      </c>
      <c r="H26" s="4">
        <f>Hotel!T31</f>
        <v>1570</v>
      </c>
      <c r="I26" s="4">
        <f>Hotel!U31</f>
        <v>4630</v>
      </c>
      <c r="J26" s="4">
        <f>Hotel!V31</f>
        <v>2980</v>
      </c>
      <c r="K26" s="4">
        <f>Hotel!W31</f>
        <v>2380</v>
      </c>
      <c r="L26" s="4">
        <f>Hotel!X31</f>
        <v>3340</v>
      </c>
      <c r="M26" s="4">
        <f>Hotel!Y31</f>
        <v>5170</v>
      </c>
      <c r="N26" s="4">
        <f>Hotel!Z31</f>
        <v>2460</v>
      </c>
      <c r="O26" s="4">
        <f>Hotel!AA31</f>
        <v>2990</v>
      </c>
      <c r="P26" s="4">
        <f>Hotel!AB31</f>
        <v>6670</v>
      </c>
      <c r="Q26" s="4">
        <f>Hotel!AC31</f>
        <v>9320</v>
      </c>
      <c r="R26" s="4">
        <f>Hotel!AT31</f>
        <v>0</v>
      </c>
      <c r="S26" s="4">
        <f>Hotel!BA31</f>
        <v>633.90599999999995</v>
      </c>
      <c r="T26" s="4">
        <f>Hotel!AX31</f>
        <v>0</v>
      </c>
      <c r="U26" s="4">
        <f>Hotel!B31</f>
        <v>61</v>
      </c>
    </row>
    <row r="27" spans="1:21" x14ac:dyDescent="0.25">
      <c r="A27" s="21" t="s">
        <v>31</v>
      </c>
      <c r="B27" s="2">
        <f t="shared" si="0"/>
        <v>26</v>
      </c>
      <c r="C27" s="3">
        <f>TOTAL!C27</f>
        <v>10</v>
      </c>
      <c r="D27" s="11">
        <f>TOTAL!D27</f>
        <v>2020</v>
      </c>
      <c r="E27" s="4">
        <f>Hotel!Q32</f>
        <v>1040</v>
      </c>
      <c r="F27" s="4">
        <f>Hotel!R32</f>
        <v>12000</v>
      </c>
      <c r="G27" s="4">
        <f>Hotel!S32</f>
        <v>2840</v>
      </c>
      <c r="H27" s="4">
        <f>Hotel!T32</f>
        <v>1640</v>
      </c>
      <c r="I27" s="4">
        <f>Hotel!U32</f>
        <v>4760</v>
      </c>
      <c r="J27" s="4">
        <f>Hotel!V32</f>
        <v>3140</v>
      </c>
      <c r="K27" s="4">
        <f>Hotel!W32</f>
        <v>2500</v>
      </c>
      <c r="L27" s="4">
        <f>Hotel!X32</f>
        <v>3730</v>
      </c>
      <c r="M27" s="4">
        <f>Hotel!Y32</f>
        <v>5480</v>
      </c>
      <c r="N27" s="4">
        <f>Hotel!Z32</f>
        <v>2500</v>
      </c>
      <c r="O27" s="4">
        <f>Hotel!AA32</f>
        <v>3120</v>
      </c>
      <c r="P27" s="4">
        <f>Hotel!AB32</f>
        <v>7000</v>
      </c>
      <c r="Q27" s="4">
        <f>Hotel!AC32</f>
        <v>10380</v>
      </c>
      <c r="R27" s="4">
        <f>Hotel!AT32</f>
        <v>0</v>
      </c>
      <c r="S27" s="4">
        <f>Hotel!BA32</f>
        <v>465.46500000000003</v>
      </c>
      <c r="T27" s="4">
        <f>Hotel!AX32</f>
        <v>0</v>
      </c>
      <c r="U27" s="4">
        <f>Hotel!B32</f>
        <v>60</v>
      </c>
    </row>
    <row r="28" spans="1:21" x14ac:dyDescent="0.25">
      <c r="A28" s="21" t="s">
        <v>31</v>
      </c>
      <c r="B28" s="2">
        <f t="shared" si="0"/>
        <v>27</v>
      </c>
      <c r="C28" s="3">
        <f>TOTAL!C28</f>
        <v>10</v>
      </c>
      <c r="D28" s="11">
        <f>TOTAL!D28</f>
        <v>2020</v>
      </c>
      <c r="E28" s="4">
        <f>Hotel!Q33</f>
        <v>1000</v>
      </c>
      <c r="F28" s="4">
        <f>Hotel!R33</f>
        <v>11400</v>
      </c>
      <c r="G28" s="4">
        <f>Hotel!S33</f>
        <v>2680</v>
      </c>
      <c r="H28" s="4">
        <f>Hotel!T33</f>
        <v>1570</v>
      </c>
      <c r="I28" s="4">
        <f>Hotel!U33</f>
        <v>4980</v>
      </c>
      <c r="J28" s="4">
        <f>Hotel!V33</f>
        <v>3070</v>
      </c>
      <c r="K28" s="4">
        <f>Hotel!W33</f>
        <v>2430</v>
      </c>
      <c r="L28" s="4">
        <f>Hotel!X33</f>
        <v>3580</v>
      </c>
      <c r="M28" s="4">
        <f>Hotel!Y33</f>
        <v>5270</v>
      </c>
      <c r="N28" s="4">
        <f>Hotel!Z33</f>
        <v>2540</v>
      </c>
      <c r="O28" s="4">
        <f>Hotel!AA33</f>
        <v>2970</v>
      </c>
      <c r="P28" s="4">
        <f>Hotel!AB33</f>
        <v>6970</v>
      </c>
      <c r="Q28" s="4">
        <f>Hotel!AC33</f>
        <v>9460</v>
      </c>
      <c r="R28" s="4">
        <f>Hotel!AT33</f>
        <v>0</v>
      </c>
      <c r="S28" s="4">
        <f>Hotel!BA33</f>
        <v>462.73500000000001</v>
      </c>
      <c r="T28" s="4">
        <f>Hotel!AX33</f>
        <v>0</v>
      </c>
      <c r="U28" s="4">
        <f>Hotel!B33</f>
        <v>77</v>
      </c>
    </row>
    <row r="29" spans="1:21" x14ac:dyDescent="0.25">
      <c r="A29" s="21" t="s">
        <v>31</v>
      </c>
      <c r="B29" s="2">
        <f t="shared" si="0"/>
        <v>28</v>
      </c>
      <c r="C29" s="3">
        <f>TOTAL!C29</f>
        <v>10</v>
      </c>
      <c r="D29" s="11">
        <f>TOTAL!D29</f>
        <v>2020</v>
      </c>
      <c r="E29" s="4">
        <f>Hotel!Q34</f>
        <v>770</v>
      </c>
      <c r="F29" s="4">
        <f>Hotel!R34</f>
        <v>13750</v>
      </c>
      <c r="G29" s="4">
        <f>Hotel!S34</f>
        <v>1212</v>
      </c>
      <c r="H29" s="4">
        <f>Hotel!T34</f>
        <v>1620</v>
      </c>
      <c r="I29" s="4">
        <f>Hotel!U34</f>
        <v>5140</v>
      </c>
      <c r="J29" s="4">
        <f>Hotel!V34</f>
        <v>3500</v>
      </c>
      <c r="K29" s="4">
        <f>Hotel!W34</f>
        <v>2580</v>
      </c>
      <c r="L29" s="4">
        <f>Hotel!X34</f>
        <v>3880</v>
      </c>
      <c r="M29" s="4">
        <f>Hotel!Y34</f>
        <v>5760</v>
      </c>
      <c r="N29" s="4">
        <f>Hotel!Z34</f>
        <v>2740</v>
      </c>
      <c r="O29" s="4">
        <f>Hotel!AA34</f>
        <v>3360</v>
      </c>
      <c r="P29" s="4">
        <f>Hotel!AB34</f>
        <v>7360</v>
      </c>
      <c r="Q29" s="4">
        <f>Hotel!AC34</f>
        <v>9920</v>
      </c>
      <c r="R29" s="4">
        <f>Hotel!AT34</f>
        <v>0</v>
      </c>
      <c r="S29" s="4">
        <f>Hotel!BA34</f>
        <v>775.32</v>
      </c>
      <c r="T29" s="4">
        <f>Hotel!AX34</f>
        <v>0</v>
      </c>
      <c r="U29" s="4">
        <f>Hotel!B34</f>
        <v>104</v>
      </c>
    </row>
    <row r="30" spans="1:21" x14ac:dyDescent="0.25">
      <c r="A30" s="21" t="s">
        <v>31</v>
      </c>
      <c r="B30" s="2">
        <f>B29+1</f>
        <v>29</v>
      </c>
      <c r="C30" s="3">
        <f>TOTAL!C30</f>
        <v>10</v>
      </c>
      <c r="D30" s="11">
        <f>TOTAL!D30</f>
        <v>2020</v>
      </c>
      <c r="E30" s="4">
        <f>Hotel!Q35</f>
        <v>480</v>
      </c>
      <c r="F30" s="4">
        <f>Hotel!R35</f>
        <v>13510</v>
      </c>
      <c r="G30" s="4">
        <f>Hotel!S35</f>
        <v>18</v>
      </c>
      <c r="H30" s="4">
        <f>Hotel!T35</f>
        <v>1450</v>
      </c>
      <c r="I30" s="4">
        <f>Hotel!U35</f>
        <v>4920</v>
      </c>
      <c r="J30" s="4">
        <f>Hotel!V35</f>
        <v>3240</v>
      </c>
      <c r="K30" s="4">
        <f>Hotel!W35</f>
        <v>2380</v>
      </c>
      <c r="L30" s="4">
        <f>Hotel!X35</f>
        <v>3480</v>
      </c>
      <c r="M30" s="4">
        <f>Hotel!Y35</f>
        <v>5450</v>
      </c>
      <c r="N30" s="4">
        <f>Hotel!Z35</f>
        <v>2750</v>
      </c>
      <c r="O30" s="4">
        <f>Hotel!AA35</f>
        <v>3490</v>
      </c>
      <c r="P30" s="4">
        <f>Hotel!AB35</f>
        <v>6750</v>
      </c>
      <c r="Q30" s="4">
        <f>Hotel!AC35</f>
        <v>9290</v>
      </c>
      <c r="R30" s="4">
        <f>Hotel!AT35</f>
        <v>0</v>
      </c>
      <c r="S30" s="4">
        <f>Hotel!BA35</f>
        <v>524.43299999999999</v>
      </c>
      <c r="T30" s="4">
        <f>Hotel!AX35</f>
        <v>0</v>
      </c>
      <c r="U30" s="4">
        <f>Hotel!B35</f>
        <v>161</v>
      </c>
    </row>
    <row r="31" spans="1:21" x14ac:dyDescent="0.25">
      <c r="A31" s="21" t="s">
        <v>31</v>
      </c>
      <c r="B31" s="2">
        <f>B30+1</f>
        <v>30</v>
      </c>
      <c r="C31" s="3">
        <f>TOTAL!C31</f>
        <v>10</v>
      </c>
      <c r="D31" s="11">
        <f>TOTAL!D31</f>
        <v>2020</v>
      </c>
      <c r="E31" s="4">
        <f>Hotel!Q36</f>
        <v>510</v>
      </c>
      <c r="F31" s="4">
        <f>Hotel!R36</f>
        <v>14270</v>
      </c>
      <c r="G31" s="4">
        <f>Hotel!S36</f>
        <v>30</v>
      </c>
      <c r="H31" s="4">
        <f>Hotel!T36</f>
        <v>1530</v>
      </c>
      <c r="I31" s="4">
        <f>Hotel!U36</f>
        <v>4960</v>
      </c>
      <c r="J31" s="4">
        <f>Hotel!V36</f>
        <v>3420</v>
      </c>
      <c r="K31" s="4">
        <f>Hotel!W36</f>
        <v>2460</v>
      </c>
      <c r="L31" s="4">
        <f>Hotel!X36</f>
        <v>3720</v>
      </c>
      <c r="M31" s="4">
        <f>Hotel!Y36</f>
        <v>5840</v>
      </c>
      <c r="N31" s="4">
        <f>Hotel!Z36</f>
        <v>2930</v>
      </c>
      <c r="O31" s="4">
        <f>Hotel!AA36</f>
        <v>3700</v>
      </c>
      <c r="P31" s="4">
        <f>Hotel!AB36</f>
        <v>7140</v>
      </c>
      <c r="Q31" s="4">
        <f>Hotel!AC36</f>
        <v>9900</v>
      </c>
      <c r="R31" s="4">
        <f>Hotel!AT36</f>
        <v>0</v>
      </c>
      <c r="S31" s="4">
        <f>Hotel!BA36</f>
        <v>552.55200000000002</v>
      </c>
      <c r="T31" s="4">
        <f>Hotel!AX36</f>
        <v>0</v>
      </c>
      <c r="U31" s="4">
        <f>Hotel!B36</f>
        <v>153</v>
      </c>
    </row>
    <row r="32" spans="1:21" x14ac:dyDescent="0.25">
      <c r="A32" s="21" t="s">
        <v>31</v>
      </c>
      <c r="B32" s="2">
        <f>B31+1</f>
        <v>31</v>
      </c>
      <c r="C32" s="3">
        <f>TOTAL!C32</f>
        <v>10</v>
      </c>
      <c r="D32" s="11">
        <f>TOTAL!D32</f>
        <v>2020</v>
      </c>
      <c r="E32" s="4">
        <f>Hotel!Q37</f>
        <v>530</v>
      </c>
      <c r="F32" s="4">
        <f>Hotel!R37</f>
        <v>14820</v>
      </c>
      <c r="G32" s="4">
        <f>Hotel!S37</f>
        <v>40</v>
      </c>
      <c r="H32" s="4">
        <f>Hotel!T37</f>
        <v>1610</v>
      </c>
      <c r="I32" s="4">
        <f>Hotel!U37</f>
        <v>5130</v>
      </c>
      <c r="J32" s="4">
        <f>Hotel!V37</f>
        <v>3542</v>
      </c>
      <c r="K32" s="4">
        <f>Hotel!W37</f>
        <v>2550</v>
      </c>
      <c r="L32" s="4">
        <f>Hotel!X37</f>
        <v>3910</v>
      </c>
      <c r="M32" s="4">
        <f>Hotel!Y37</f>
        <v>5980</v>
      </c>
      <c r="N32" s="4">
        <f>Hotel!Z37</f>
        <v>2810</v>
      </c>
      <c r="O32" s="4">
        <f>Hotel!AA37</f>
        <v>3620</v>
      </c>
      <c r="P32" s="4">
        <f>Hotel!AB37</f>
        <v>7340</v>
      </c>
      <c r="Q32" s="4">
        <f>Hotel!AC37</f>
        <v>10440</v>
      </c>
      <c r="R32" s="4">
        <f>Hotel!AT37</f>
        <v>0</v>
      </c>
      <c r="S32" s="4">
        <f>Hotel!BA37</f>
        <v>621.07499999999993</v>
      </c>
      <c r="T32" s="4">
        <f>Hotel!AX37</f>
        <v>0</v>
      </c>
      <c r="U32" s="4">
        <f>Hotel!B37</f>
        <v>71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B47"/>
  <sheetViews>
    <sheetView tabSelected="1" topLeftCell="AR13" zoomScale="93" zoomScaleNormal="93" workbookViewId="0">
      <selection activeCell="AY10" sqref="AY1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9.28515625" style="49" customWidth="1"/>
    <col min="47" max="47" width="7.28515625" customWidth="1"/>
    <col min="48" max="50" width="11.85546875" style="52" customWidth="1"/>
    <col min="51" max="51" width="11.85546875" style="56" customWidth="1"/>
    <col min="52" max="53" width="14.7109375" customWidth="1"/>
    <col min="54" max="54" width="10.85546875" customWidth="1"/>
  </cols>
  <sheetData>
    <row r="1" spans="1:54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4" x14ac:dyDescent="0.25">
      <c r="A2" s="23">
        <v>44104</v>
      </c>
      <c r="B2" s="40">
        <v>129</v>
      </c>
      <c r="C2" s="24">
        <v>6372950</v>
      </c>
      <c r="D2" s="24">
        <v>14333460</v>
      </c>
      <c r="E2" s="24">
        <v>2079800</v>
      </c>
      <c r="F2" s="24">
        <v>3047500</v>
      </c>
      <c r="G2" s="24">
        <v>9246040</v>
      </c>
      <c r="H2" s="24">
        <v>4705110</v>
      </c>
      <c r="I2" s="24">
        <v>4488810</v>
      </c>
      <c r="J2" s="70">
        <v>5038520</v>
      </c>
      <c r="K2" s="24">
        <v>7911320</v>
      </c>
      <c r="L2" s="24">
        <v>3202030</v>
      </c>
      <c r="M2" s="24">
        <v>7073920</v>
      </c>
      <c r="N2" s="24">
        <v>10320730</v>
      </c>
      <c r="O2" s="24">
        <v>13944190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V2" s="53"/>
      <c r="AW2" s="53"/>
      <c r="AX2" s="53"/>
      <c r="AY2" s="73">
        <v>211195</v>
      </c>
    </row>
    <row r="4" spans="1:54" ht="20.25" customHeight="1" x14ac:dyDescent="0.25">
      <c r="A4" s="26" t="s">
        <v>22</v>
      </c>
      <c r="B4" s="41" t="s">
        <v>47</v>
      </c>
      <c r="C4" s="27" t="s">
        <v>58</v>
      </c>
      <c r="D4" s="62" t="s">
        <v>23</v>
      </c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Q4" s="64" t="s">
        <v>24</v>
      </c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6"/>
      <c r="AD4" s="28" t="s">
        <v>25</v>
      </c>
      <c r="AF4" s="67" t="s">
        <v>26</v>
      </c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29" t="s">
        <v>27</v>
      </c>
      <c r="AT4" s="68" t="s">
        <v>51</v>
      </c>
      <c r="AV4" s="69" t="s">
        <v>53</v>
      </c>
      <c r="AW4" s="69" t="s">
        <v>55</v>
      </c>
      <c r="AX4" s="69" t="s">
        <v>56</v>
      </c>
      <c r="AY4" s="58" t="s">
        <v>28</v>
      </c>
      <c r="AZ4" s="59" t="s">
        <v>29</v>
      </c>
      <c r="BA4" s="59" t="s">
        <v>48</v>
      </c>
      <c r="BB4" s="61" t="s">
        <v>30</v>
      </c>
    </row>
    <row r="5" spans="1:54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T5" s="68"/>
      <c r="AV5" s="69"/>
      <c r="AW5" s="69"/>
      <c r="AX5" s="69"/>
      <c r="AY5" s="58"/>
      <c r="AZ5" s="60"/>
      <c r="BA5" s="60"/>
      <c r="BB5" s="61"/>
    </row>
    <row r="6" spans="1:54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V6" s="53">
        <v>298912</v>
      </c>
      <c r="AW6" s="53"/>
      <c r="AX6" s="53" t="s">
        <v>57</v>
      </c>
      <c r="AY6" s="73">
        <v>211195</v>
      </c>
    </row>
    <row r="7" spans="1:54" x14ac:dyDescent="0.25">
      <c r="A7" s="23">
        <v>44105</v>
      </c>
      <c r="B7" s="40">
        <v>162</v>
      </c>
      <c r="C7" s="24">
        <v>6373960</v>
      </c>
      <c r="D7" s="24">
        <v>14350250</v>
      </c>
      <c r="E7" s="24">
        <v>2084360</v>
      </c>
      <c r="F7" s="24">
        <v>3049140</v>
      </c>
      <c r="G7" s="24">
        <v>9251310</v>
      </c>
      <c r="H7" s="24">
        <v>4708610</v>
      </c>
      <c r="I7" s="24">
        <v>4491200</v>
      </c>
      <c r="J7" s="24">
        <v>5042210</v>
      </c>
      <c r="K7" s="24">
        <v>7916570</v>
      </c>
      <c r="L7" s="24">
        <v>3205170</v>
      </c>
      <c r="M7" s="24">
        <v>7077630</v>
      </c>
      <c r="N7" s="24">
        <v>10327770</v>
      </c>
      <c r="O7" s="24">
        <v>13953540</v>
      </c>
      <c r="Q7" s="37">
        <f t="shared" ref="Q7:AC7" si="0">IF((C7-C2&lt;0), "0",C7-C2)</f>
        <v>1010</v>
      </c>
      <c r="R7" s="37">
        <f t="shared" si="0"/>
        <v>16790</v>
      </c>
      <c r="S7" s="37">
        <f t="shared" si="0"/>
        <v>4560</v>
      </c>
      <c r="T7" s="37">
        <f t="shared" si="0"/>
        <v>1640</v>
      </c>
      <c r="U7" s="37">
        <f t="shared" si="0"/>
        <v>5270</v>
      </c>
      <c r="V7" s="37">
        <f t="shared" si="0"/>
        <v>3500</v>
      </c>
      <c r="W7" s="37">
        <f t="shared" si="0"/>
        <v>2390</v>
      </c>
      <c r="X7" s="37">
        <f t="shared" si="0"/>
        <v>3690</v>
      </c>
      <c r="Y7" s="37">
        <f t="shared" si="0"/>
        <v>5250</v>
      </c>
      <c r="Z7" s="37">
        <f t="shared" si="0"/>
        <v>3140</v>
      </c>
      <c r="AA7" s="37">
        <f t="shared" si="0"/>
        <v>3710</v>
      </c>
      <c r="AB7" s="37">
        <f t="shared" si="0"/>
        <v>7040</v>
      </c>
      <c r="AC7" s="37">
        <f t="shared" si="0"/>
        <v>9350</v>
      </c>
      <c r="AD7" s="34">
        <f>SUM(Q7:AC7)</f>
        <v>67340</v>
      </c>
      <c r="AF7" s="20">
        <f t="shared" ref="AF7:AF36" si="1">Q7*$D$39</f>
        <v>5.05</v>
      </c>
      <c r="AG7" s="20">
        <f t="shared" ref="AG7:AG36" si="2">R7*$D$39</f>
        <v>83.95</v>
      </c>
      <c r="AH7" s="20">
        <f t="shared" ref="AH7:AH36" si="3">S7*$D$39</f>
        <v>22.8</v>
      </c>
      <c r="AI7" s="20">
        <f t="shared" ref="AI7:AI36" si="4">T7*$D$39</f>
        <v>8.1999999999999993</v>
      </c>
      <c r="AJ7" s="20">
        <f t="shared" ref="AJ7:AJ36" si="5">U7*$D$39</f>
        <v>26.35</v>
      </c>
      <c r="AK7" s="20">
        <f t="shared" ref="AK7:AK36" si="6">V7*$D$39</f>
        <v>17.5</v>
      </c>
      <c r="AL7" s="20">
        <f t="shared" ref="AL7:AL36" si="7">W7*$D$39</f>
        <v>11.950000000000001</v>
      </c>
      <c r="AM7" s="20">
        <f t="shared" ref="AM7:AM36" si="8">X7*$D$39</f>
        <v>18.45</v>
      </c>
      <c r="AN7" s="20">
        <f t="shared" ref="AN7:AN36" si="9">Y7*$D$39</f>
        <v>26.25</v>
      </c>
      <c r="AO7" s="20">
        <f t="shared" ref="AO7:AO36" si="10">Z7*$D$39</f>
        <v>15.700000000000001</v>
      </c>
      <c r="AP7" s="20">
        <f t="shared" ref="AP7:AP36" si="11">AA7*$D$39</f>
        <v>18.55</v>
      </c>
      <c r="AQ7" s="20">
        <f t="shared" ref="AQ7:AQ36" si="12">AB7*$D$39</f>
        <v>35.200000000000003</v>
      </c>
      <c r="AR7" s="20">
        <f t="shared" ref="AR7:AR36" si="13">AC7*$D$39</f>
        <v>46.75</v>
      </c>
      <c r="AS7" s="35">
        <f>SUM(AF7:AR7)</f>
        <v>336.7</v>
      </c>
      <c r="AT7" s="50"/>
      <c r="AV7" s="54">
        <v>0</v>
      </c>
      <c r="AW7" s="53">
        <f t="shared" ref="AW7:AW39" si="14">(AV8-AV7)*1000</f>
        <v>0</v>
      </c>
      <c r="AX7" s="55">
        <f>AW7*$AX$44</f>
        <v>0</v>
      </c>
      <c r="AY7" s="73">
        <v>213640</v>
      </c>
      <c r="AZ7" s="37">
        <f>(IF((AY7-AY6&lt;0),"0",AY7-AY6))*100</f>
        <v>244500</v>
      </c>
      <c r="BA7" s="37">
        <f>AZ7*$AZ$44*60%</f>
        <v>667.48500000000001</v>
      </c>
      <c r="BB7" s="48">
        <f>BA7*0.4444</f>
        <v>296.630334</v>
      </c>
    </row>
    <row r="8" spans="1:54" x14ac:dyDescent="0.25">
      <c r="A8" s="23">
        <v>44106</v>
      </c>
      <c r="B8" s="40">
        <v>177</v>
      </c>
      <c r="C8" s="24">
        <v>6374930</v>
      </c>
      <c r="D8" s="24">
        <v>14366250</v>
      </c>
      <c r="E8" s="24">
        <v>2088680</v>
      </c>
      <c r="F8" s="24">
        <v>3050720</v>
      </c>
      <c r="G8" s="24">
        <v>9256630</v>
      </c>
      <c r="H8" s="24">
        <v>4712010</v>
      </c>
      <c r="I8" s="24">
        <v>4493510</v>
      </c>
      <c r="J8" s="24">
        <v>5045860</v>
      </c>
      <c r="K8" s="24">
        <v>7921890</v>
      </c>
      <c r="L8" s="24">
        <v>3208190</v>
      </c>
      <c r="M8" s="24">
        <v>7081360</v>
      </c>
      <c r="N8" s="24">
        <v>10334710</v>
      </c>
      <c r="O8" s="24">
        <v>13962060</v>
      </c>
      <c r="Q8" s="37">
        <f>IF((C8-C7&lt;0), "0",C8-C7)</f>
        <v>970</v>
      </c>
      <c r="R8" s="37">
        <f t="shared" ref="R8:AC8" si="15">IF((D8-D7&lt;0), "0",D8-D7)</f>
        <v>16000</v>
      </c>
      <c r="S8" s="37">
        <f t="shared" ref="S8:S35" si="16">IF((E8-E7&lt;0), "0",E8-E7)</f>
        <v>4320</v>
      </c>
      <c r="T8" s="37">
        <f t="shared" si="15"/>
        <v>1580</v>
      </c>
      <c r="U8" s="37">
        <f t="shared" si="15"/>
        <v>5320</v>
      </c>
      <c r="V8" s="37">
        <f t="shared" si="15"/>
        <v>3400</v>
      </c>
      <c r="W8" s="37">
        <f t="shared" si="15"/>
        <v>2310</v>
      </c>
      <c r="X8" s="37">
        <f t="shared" si="15"/>
        <v>3650</v>
      </c>
      <c r="Y8" s="37">
        <f t="shared" si="15"/>
        <v>5320</v>
      </c>
      <c r="Z8" s="37">
        <f t="shared" si="15"/>
        <v>3020</v>
      </c>
      <c r="AA8" s="37">
        <f t="shared" si="15"/>
        <v>3730</v>
      </c>
      <c r="AB8" s="37">
        <f t="shared" si="15"/>
        <v>6940</v>
      </c>
      <c r="AC8" s="37">
        <f t="shared" si="15"/>
        <v>8520</v>
      </c>
      <c r="AD8" s="35">
        <f>SUM(Q8:AC8)</f>
        <v>65080</v>
      </c>
      <c r="AF8" s="20">
        <f t="shared" si="1"/>
        <v>4.8500000000000005</v>
      </c>
      <c r="AG8" s="20">
        <f t="shared" si="2"/>
        <v>80</v>
      </c>
      <c r="AH8" s="20">
        <f t="shared" si="3"/>
        <v>21.6</v>
      </c>
      <c r="AI8" s="20">
        <f t="shared" si="4"/>
        <v>7.9</v>
      </c>
      <c r="AJ8" s="20">
        <f t="shared" si="5"/>
        <v>26.6</v>
      </c>
      <c r="AK8" s="20">
        <f t="shared" si="6"/>
        <v>17</v>
      </c>
      <c r="AL8" s="20">
        <f t="shared" si="7"/>
        <v>11.55</v>
      </c>
      <c r="AM8" s="20">
        <f t="shared" si="8"/>
        <v>18.25</v>
      </c>
      <c r="AN8" s="20">
        <f t="shared" si="9"/>
        <v>26.6</v>
      </c>
      <c r="AO8" s="20">
        <f t="shared" si="10"/>
        <v>15.1</v>
      </c>
      <c r="AP8" s="20">
        <f t="shared" si="11"/>
        <v>18.650000000000002</v>
      </c>
      <c r="AQ8" s="20">
        <f t="shared" si="12"/>
        <v>34.700000000000003</v>
      </c>
      <c r="AR8" s="20">
        <f t="shared" si="13"/>
        <v>42.6</v>
      </c>
      <c r="AS8" s="35">
        <f>SUM(AF8:AR8)</f>
        <v>325.40000000000003</v>
      </c>
      <c r="AT8" s="50"/>
      <c r="AV8" s="54">
        <v>0</v>
      </c>
      <c r="AW8" s="53">
        <f t="shared" si="14"/>
        <v>0</v>
      </c>
      <c r="AX8" s="55">
        <f t="shared" ref="AX8:AX39" si="17">AW8*$AX$44</f>
        <v>0</v>
      </c>
      <c r="AY8" s="73">
        <v>215737</v>
      </c>
      <c r="AZ8" s="37">
        <f t="shared" ref="AZ8:AZ38" si="18">(IF((AY8-AY7&lt;0),"0",AY8-AY7))*100</f>
        <v>209700</v>
      </c>
      <c r="BA8" s="37">
        <f t="shared" ref="BA8:BA39" si="19">AZ8*$AZ$44*60%</f>
        <v>572.48099999999999</v>
      </c>
      <c r="BB8" s="48">
        <f t="shared" ref="BB8:BB38" si="20">BA8*0.4444</f>
        <v>254.41055640000002</v>
      </c>
    </row>
    <row r="9" spans="1:54" x14ac:dyDescent="0.25">
      <c r="A9" s="23">
        <v>44107</v>
      </c>
      <c r="B9" s="40">
        <v>93</v>
      </c>
      <c r="C9" s="24">
        <v>6375930</v>
      </c>
      <c r="D9" s="24">
        <v>14380670</v>
      </c>
      <c r="E9" s="24">
        <v>2092420</v>
      </c>
      <c r="F9" s="24">
        <v>3052330</v>
      </c>
      <c r="G9" s="24">
        <v>9261610</v>
      </c>
      <c r="H9" s="24">
        <v>4715390</v>
      </c>
      <c r="I9" s="24">
        <v>4495890</v>
      </c>
      <c r="J9" s="24">
        <v>5049460</v>
      </c>
      <c r="K9" s="24">
        <v>7927430</v>
      </c>
      <c r="L9" s="24">
        <v>3211080</v>
      </c>
      <c r="M9" s="24">
        <v>7084890</v>
      </c>
      <c r="N9" s="24">
        <v>10341720</v>
      </c>
      <c r="O9" s="24">
        <v>13971370</v>
      </c>
      <c r="Q9" s="37">
        <f t="shared" ref="Q9:Q30" si="21">IF((C9-C8&lt;0), "0",C9-C8)</f>
        <v>1000</v>
      </c>
      <c r="R9" s="37">
        <f t="shared" ref="R9:R37" si="22">IF((D9-D8&lt;0), "0",D9-D8)</f>
        <v>14420</v>
      </c>
      <c r="S9" s="37">
        <f t="shared" si="16"/>
        <v>3740</v>
      </c>
      <c r="T9" s="37">
        <f t="shared" ref="T9:T35" si="23">IF((F9-F8&lt;0), "0",F9-F8)</f>
        <v>1610</v>
      </c>
      <c r="U9" s="37">
        <f t="shared" ref="U9:U35" si="24">IF((G9-G8&lt;0), "0",G9-G8)</f>
        <v>4980</v>
      </c>
      <c r="V9" s="37">
        <f t="shared" ref="V9:V35" si="25">IF((H9-H8&lt;0), "0",H9-H8)</f>
        <v>3380</v>
      </c>
      <c r="W9" s="37">
        <f t="shared" ref="W9:W35" si="26">IF((I9-I8&lt;0), "0",I9-I8)</f>
        <v>2380</v>
      </c>
      <c r="X9" s="37">
        <f t="shared" ref="X9:X37" si="27">IF((J9-J8&lt;0), "0",J9-J8)</f>
        <v>3600</v>
      </c>
      <c r="Y9" s="37">
        <f t="shared" ref="Y9:Y35" si="28">IF((K9-K8&lt;0), "0",K9-K8)</f>
        <v>5540</v>
      </c>
      <c r="Z9" s="37">
        <f t="shared" ref="Z9:Z35" si="29">IF((L9-L8&lt;0), "0",L9-L8)</f>
        <v>2890</v>
      </c>
      <c r="AA9" s="37">
        <f t="shared" ref="AA9:AA35" si="30">IF((M9-M8&lt;0), "0",M9-M8)</f>
        <v>3530</v>
      </c>
      <c r="AB9" s="37">
        <f t="shared" ref="AB9:AB37" si="31">IF((N9-N8&lt;0), "0",N9-N8)</f>
        <v>7010</v>
      </c>
      <c r="AC9" s="37">
        <f t="shared" ref="AC9:AC37" si="32">IF((O9-O8&lt;0), "0",O9-O8)</f>
        <v>9310</v>
      </c>
      <c r="AD9" s="35">
        <f t="shared" ref="AD9:AD37" si="33">SUM(Q9:AC9)</f>
        <v>63390</v>
      </c>
      <c r="AF9" s="20">
        <f t="shared" si="1"/>
        <v>5</v>
      </c>
      <c r="AG9" s="20">
        <f t="shared" si="2"/>
        <v>72.100000000000009</v>
      </c>
      <c r="AH9" s="20">
        <f t="shared" si="3"/>
        <v>18.7</v>
      </c>
      <c r="AI9" s="20">
        <f t="shared" si="4"/>
        <v>8.0500000000000007</v>
      </c>
      <c r="AJ9" s="20">
        <f t="shared" si="5"/>
        <v>24.900000000000002</v>
      </c>
      <c r="AK9" s="20">
        <f t="shared" si="6"/>
        <v>16.899999999999999</v>
      </c>
      <c r="AL9" s="20">
        <f t="shared" si="7"/>
        <v>11.9</v>
      </c>
      <c r="AM9" s="20">
        <f t="shared" si="8"/>
        <v>18</v>
      </c>
      <c r="AN9" s="20">
        <f t="shared" si="9"/>
        <v>27.7</v>
      </c>
      <c r="AO9" s="20">
        <f t="shared" si="10"/>
        <v>14.450000000000001</v>
      </c>
      <c r="AP9" s="20">
        <f t="shared" si="11"/>
        <v>17.650000000000002</v>
      </c>
      <c r="AQ9" s="20">
        <f t="shared" si="12"/>
        <v>35.050000000000004</v>
      </c>
      <c r="AR9" s="20">
        <f t="shared" si="13"/>
        <v>46.550000000000004</v>
      </c>
      <c r="AS9" s="35">
        <f t="shared" ref="AS9:AS33" si="34">SUM(AF9:AR9)</f>
        <v>316.95</v>
      </c>
      <c r="AT9" s="50"/>
      <c r="AV9" s="54">
        <v>0</v>
      </c>
      <c r="AW9" s="53">
        <f t="shared" si="14"/>
        <v>0</v>
      </c>
      <c r="AX9" s="55">
        <f t="shared" si="17"/>
        <v>0</v>
      </c>
      <c r="AY9" s="73">
        <v>218525</v>
      </c>
      <c r="AZ9" s="37">
        <f t="shared" si="18"/>
        <v>278800</v>
      </c>
      <c r="BA9" s="37">
        <f t="shared" si="19"/>
        <v>761.12399999999991</v>
      </c>
      <c r="BB9" s="48">
        <f t="shared" si="20"/>
        <v>338.24350559999999</v>
      </c>
    </row>
    <row r="10" spans="1:54" x14ac:dyDescent="0.25">
      <c r="A10" s="23">
        <v>44108</v>
      </c>
      <c r="B10" s="40">
        <v>65</v>
      </c>
      <c r="C10" s="24">
        <v>6377030</v>
      </c>
      <c r="D10" s="24">
        <v>14395630</v>
      </c>
      <c r="E10" s="24">
        <v>2096230</v>
      </c>
      <c r="F10" s="24">
        <v>3054050</v>
      </c>
      <c r="G10" s="24">
        <v>9266530</v>
      </c>
      <c r="H10" s="24">
        <v>4718980</v>
      </c>
      <c r="I10" s="24">
        <v>4498460</v>
      </c>
      <c r="J10" s="24">
        <v>5053240</v>
      </c>
      <c r="K10" s="24">
        <v>7933000</v>
      </c>
      <c r="L10" s="24">
        <v>3213940</v>
      </c>
      <c r="M10" s="24">
        <v>7088410</v>
      </c>
      <c r="N10" s="24">
        <v>10349080</v>
      </c>
      <c r="O10" s="24">
        <v>13981810</v>
      </c>
      <c r="Q10" s="37">
        <f t="shared" si="21"/>
        <v>1100</v>
      </c>
      <c r="R10" s="37">
        <f t="shared" si="22"/>
        <v>14960</v>
      </c>
      <c r="S10" s="37">
        <f t="shared" si="16"/>
        <v>3810</v>
      </c>
      <c r="T10" s="37">
        <f t="shared" si="23"/>
        <v>1720</v>
      </c>
      <c r="U10" s="37">
        <f t="shared" si="24"/>
        <v>4920</v>
      </c>
      <c r="V10" s="37">
        <f t="shared" si="25"/>
        <v>3590</v>
      </c>
      <c r="W10" s="37">
        <f t="shared" si="26"/>
        <v>2570</v>
      </c>
      <c r="X10" s="37">
        <f t="shared" si="27"/>
        <v>3780</v>
      </c>
      <c r="Y10" s="37">
        <f t="shared" si="28"/>
        <v>5570</v>
      </c>
      <c r="Z10" s="37">
        <f t="shared" si="29"/>
        <v>2860</v>
      </c>
      <c r="AA10" s="37">
        <f t="shared" si="30"/>
        <v>3520</v>
      </c>
      <c r="AB10" s="37">
        <f t="shared" si="31"/>
        <v>7360</v>
      </c>
      <c r="AC10" s="37">
        <f t="shared" si="32"/>
        <v>10440</v>
      </c>
      <c r="AD10" s="35">
        <f t="shared" si="33"/>
        <v>66200</v>
      </c>
      <c r="AF10" s="20">
        <f t="shared" si="1"/>
        <v>5.5</v>
      </c>
      <c r="AG10" s="20">
        <f t="shared" si="2"/>
        <v>74.8</v>
      </c>
      <c r="AH10" s="20">
        <f t="shared" si="3"/>
        <v>19.05</v>
      </c>
      <c r="AI10" s="20">
        <f t="shared" si="4"/>
        <v>8.6</v>
      </c>
      <c r="AJ10" s="20">
        <f t="shared" si="5"/>
        <v>24.6</v>
      </c>
      <c r="AK10" s="20">
        <f t="shared" si="6"/>
        <v>17.95</v>
      </c>
      <c r="AL10" s="20">
        <f t="shared" si="7"/>
        <v>12.85</v>
      </c>
      <c r="AM10" s="20">
        <f t="shared" si="8"/>
        <v>18.900000000000002</v>
      </c>
      <c r="AN10" s="20">
        <f t="shared" si="9"/>
        <v>27.85</v>
      </c>
      <c r="AO10" s="20">
        <f t="shared" si="10"/>
        <v>14.3</v>
      </c>
      <c r="AP10" s="20">
        <f t="shared" si="11"/>
        <v>17.600000000000001</v>
      </c>
      <c r="AQ10" s="20">
        <f t="shared" si="12"/>
        <v>36.800000000000004</v>
      </c>
      <c r="AR10" s="20">
        <f t="shared" si="13"/>
        <v>52.2</v>
      </c>
      <c r="AS10" s="35">
        <f t="shared" si="34"/>
        <v>330.99999999999994</v>
      </c>
      <c r="AT10" s="50"/>
      <c r="AV10" s="54">
        <v>0</v>
      </c>
      <c r="AW10" s="53">
        <f t="shared" si="14"/>
        <v>0</v>
      </c>
      <c r="AX10" s="55">
        <f t="shared" si="17"/>
        <v>0</v>
      </c>
      <c r="AY10" s="73">
        <v>220926</v>
      </c>
      <c r="AZ10" s="37">
        <f t="shared" si="18"/>
        <v>240100</v>
      </c>
      <c r="BA10" s="37">
        <f t="shared" si="19"/>
        <v>655.47300000000007</v>
      </c>
      <c r="BB10" s="48">
        <f t="shared" si="20"/>
        <v>291.29220120000002</v>
      </c>
    </row>
    <row r="11" spans="1:54" x14ac:dyDescent="0.25">
      <c r="A11" s="23">
        <v>44109</v>
      </c>
      <c r="B11" s="40">
        <v>57</v>
      </c>
      <c r="C11" s="24">
        <v>6377940</v>
      </c>
      <c r="D11" s="24">
        <v>14409250</v>
      </c>
      <c r="E11" s="24">
        <v>2099810</v>
      </c>
      <c r="F11" s="24">
        <v>3055480</v>
      </c>
      <c r="G11" s="24">
        <v>9270740</v>
      </c>
      <c r="H11" s="24">
        <v>4722090</v>
      </c>
      <c r="I11" s="24">
        <v>4500630</v>
      </c>
      <c r="J11" s="24">
        <v>5056740</v>
      </c>
      <c r="K11" s="24">
        <v>7937730</v>
      </c>
      <c r="L11" s="24">
        <v>3216210</v>
      </c>
      <c r="M11" s="24">
        <v>7091140</v>
      </c>
      <c r="N11" s="24">
        <v>10355240</v>
      </c>
      <c r="O11" s="24">
        <v>13990700</v>
      </c>
      <c r="Q11" s="37">
        <f t="shared" si="21"/>
        <v>910</v>
      </c>
      <c r="R11" s="37">
        <f t="shared" si="22"/>
        <v>13620</v>
      </c>
      <c r="S11" s="37">
        <f t="shared" si="16"/>
        <v>3580</v>
      </c>
      <c r="T11" s="37">
        <f t="shared" si="23"/>
        <v>1430</v>
      </c>
      <c r="U11" s="37">
        <f t="shared" si="24"/>
        <v>4210</v>
      </c>
      <c r="V11" s="37">
        <f t="shared" si="25"/>
        <v>3110</v>
      </c>
      <c r="W11" s="37">
        <f t="shared" si="26"/>
        <v>2170</v>
      </c>
      <c r="X11" s="37">
        <f t="shared" si="27"/>
        <v>3500</v>
      </c>
      <c r="Y11" s="37">
        <f t="shared" si="28"/>
        <v>4730</v>
      </c>
      <c r="Z11" s="37">
        <f t="shared" si="29"/>
        <v>2270</v>
      </c>
      <c r="AA11" s="37">
        <f t="shared" si="30"/>
        <v>2730</v>
      </c>
      <c r="AB11" s="37">
        <f t="shared" si="31"/>
        <v>6160</v>
      </c>
      <c r="AC11" s="37">
        <f t="shared" si="32"/>
        <v>8890</v>
      </c>
      <c r="AD11" s="35">
        <f t="shared" si="33"/>
        <v>57310</v>
      </c>
      <c r="AF11" s="20">
        <f t="shared" si="1"/>
        <v>4.55</v>
      </c>
      <c r="AG11" s="20">
        <f t="shared" si="2"/>
        <v>68.099999999999994</v>
      </c>
      <c r="AH11" s="20">
        <f t="shared" si="3"/>
        <v>17.900000000000002</v>
      </c>
      <c r="AI11" s="20">
        <f t="shared" si="4"/>
        <v>7.15</v>
      </c>
      <c r="AJ11" s="20">
        <f t="shared" si="5"/>
        <v>21.05</v>
      </c>
      <c r="AK11" s="20">
        <f t="shared" si="6"/>
        <v>15.55</v>
      </c>
      <c r="AL11" s="20">
        <f t="shared" si="7"/>
        <v>10.85</v>
      </c>
      <c r="AM11" s="20">
        <f t="shared" si="8"/>
        <v>17.5</v>
      </c>
      <c r="AN11" s="20">
        <f t="shared" si="9"/>
        <v>23.650000000000002</v>
      </c>
      <c r="AO11" s="20">
        <f t="shared" si="10"/>
        <v>11.35</v>
      </c>
      <c r="AP11" s="20">
        <f t="shared" si="11"/>
        <v>13.65</v>
      </c>
      <c r="AQ11" s="20">
        <f t="shared" si="12"/>
        <v>30.8</v>
      </c>
      <c r="AR11" s="20">
        <f t="shared" si="13"/>
        <v>44.45</v>
      </c>
      <c r="AS11" s="35">
        <f t="shared" si="34"/>
        <v>286.55</v>
      </c>
      <c r="AT11" s="50"/>
      <c r="AV11" s="54">
        <v>0</v>
      </c>
      <c r="AW11" s="53">
        <f t="shared" si="14"/>
        <v>0</v>
      </c>
      <c r="AX11" s="55">
        <f t="shared" si="17"/>
        <v>0</v>
      </c>
      <c r="AY11" s="73">
        <v>222823</v>
      </c>
      <c r="AZ11" s="37">
        <f t="shared" si="18"/>
        <v>189700</v>
      </c>
      <c r="BA11" s="37">
        <f t="shared" si="19"/>
        <v>517.88099999999997</v>
      </c>
      <c r="BB11" s="48">
        <f t="shared" si="20"/>
        <v>230.14631639999999</v>
      </c>
    </row>
    <row r="12" spans="1:54" x14ac:dyDescent="0.25">
      <c r="A12" s="23">
        <v>44110</v>
      </c>
      <c r="B12" s="40">
        <v>61</v>
      </c>
      <c r="C12" s="71">
        <v>6378960</v>
      </c>
      <c r="D12" s="24">
        <v>14424440</v>
      </c>
      <c r="E12" s="24">
        <v>2103790</v>
      </c>
      <c r="F12" s="24">
        <v>3057090</v>
      </c>
      <c r="G12" s="24">
        <v>9275280</v>
      </c>
      <c r="H12" s="24">
        <v>4725440</v>
      </c>
      <c r="I12" s="24">
        <v>4503000</v>
      </c>
      <c r="J12" s="24">
        <v>5060470</v>
      </c>
      <c r="K12" s="24">
        <v>7942780</v>
      </c>
      <c r="L12" s="24">
        <v>3218720</v>
      </c>
      <c r="M12" s="24">
        <v>7094190</v>
      </c>
      <c r="N12" s="24">
        <v>10361890</v>
      </c>
      <c r="O12" s="24">
        <v>14000540</v>
      </c>
      <c r="Q12" s="37">
        <f t="shared" si="21"/>
        <v>1020</v>
      </c>
      <c r="R12" s="37">
        <f t="shared" si="22"/>
        <v>15190</v>
      </c>
      <c r="S12" s="37">
        <f t="shared" si="16"/>
        <v>3980</v>
      </c>
      <c r="T12" s="37">
        <f t="shared" ref="T12:W14" si="35">IF((F12-F11&lt;0), "0",F12-F11)</f>
        <v>1610</v>
      </c>
      <c r="U12" s="37">
        <f t="shared" si="35"/>
        <v>4540</v>
      </c>
      <c r="V12" s="37">
        <f t="shared" si="35"/>
        <v>3350</v>
      </c>
      <c r="W12" s="37">
        <f t="shared" si="35"/>
        <v>2370</v>
      </c>
      <c r="X12" s="37">
        <f t="shared" si="27"/>
        <v>3730</v>
      </c>
      <c r="Y12" s="37">
        <f t="shared" si="28"/>
        <v>5050</v>
      </c>
      <c r="Z12" s="37">
        <f>IF((L12-L11&lt;0), "0",L12-L11)</f>
        <v>2510</v>
      </c>
      <c r="AA12" s="37">
        <f t="shared" si="30"/>
        <v>3050</v>
      </c>
      <c r="AB12" s="37">
        <f t="shared" si="31"/>
        <v>6650</v>
      </c>
      <c r="AC12" s="37">
        <f t="shared" si="32"/>
        <v>9840</v>
      </c>
      <c r="AD12" s="35">
        <f t="shared" si="33"/>
        <v>62890</v>
      </c>
      <c r="AF12" s="20">
        <f t="shared" si="1"/>
        <v>5.1000000000000005</v>
      </c>
      <c r="AG12" s="20">
        <f t="shared" si="2"/>
        <v>75.95</v>
      </c>
      <c r="AH12" s="20">
        <f t="shared" si="3"/>
        <v>19.900000000000002</v>
      </c>
      <c r="AI12" s="20">
        <f t="shared" si="4"/>
        <v>8.0500000000000007</v>
      </c>
      <c r="AJ12" s="20">
        <f t="shared" si="5"/>
        <v>22.7</v>
      </c>
      <c r="AK12" s="20">
        <f t="shared" si="6"/>
        <v>16.75</v>
      </c>
      <c r="AL12" s="20">
        <f t="shared" si="7"/>
        <v>11.85</v>
      </c>
      <c r="AM12" s="20">
        <f t="shared" si="8"/>
        <v>18.650000000000002</v>
      </c>
      <c r="AN12" s="20">
        <f t="shared" si="9"/>
        <v>25.25</v>
      </c>
      <c r="AO12" s="20">
        <f t="shared" si="10"/>
        <v>12.55</v>
      </c>
      <c r="AP12" s="20">
        <f t="shared" si="11"/>
        <v>15.25</v>
      </c>
      <c r="AQ12" s="20">
        <f t="shared" si="12"/>
        <v>33.25</v>
      </c>
      <c r="AR12" s="20">
        <f t="shared" si="13"/>
        <v>49.2</v>
      </c>
      <c r="AS12" s="35">
        <f t="shared" si="34"/>
        <v>314.45</v>
      </c>
      <c r="AT12" s="50"/>
      <c r="AV12" s="54">
        <v>0</v>
      </c>
      <c r="AW12" s="53">
        <f t="shared" si="14"/>
        <v>0</v>
      </c>
      <c r="AX12" s="55">
        <f t="shared" si="17"/>
        <v>0</v>
      </c>
      <c r="AY12" s="73">
        <v>224913</v>
      </c>
      <c r="AZ12" s="37">
        <f t="shared" si="18"/>
        <v>209000</v>
      </c>
      <c r="BA12" s="37">
        <f t="shared" si="19"/>
        <v>570.57000000000005</v>
      </c>
      <c r="BB12" s="48">
        <f t="shared" si="20"/>
        <v>253.56130800000003</v>
      </c>
    </row>
    <row r="13" spans="1:54" x14ac:dyDescent="0.25">
      <c r="A13" s="23">
        <v>44111</v>
      </c>
      <c r="B13" s="40">
        <v>63</v>
      </c>
      <c r="C13" s="24">
        <v>6380000</v>
      </c>
      <c r="D13" s="24">
        <v>14437900</v>
      </c>
      <c r="E13" s="24">
        <v>2107110</v>
      </c>
      <c r="F13" s="24">
        <v>3058700</v>
      </c>
      <c r="G13" s="24">
        <v>9279930</v>
      </c>
      <c r="H13" s="24">
        <v>4728770</v>
      </c>
      <c r="I13" s="24">
        <v>4505450</v>
      </c>
      <c r="J13" s="24">
        <v>5064240</v>
      </c>
      <c r="K13" s="24">
        <v>7947850</v>
      </c>
      <c r="L13" s="24">
        <v>3221380</v>
      </c>
      <c r="M13" s="24">
        <v>7097220</v>
      </c>
      <c r="N13" s="24">
        <v>10368770</v>
      </c>
      <c r="O13" s="24">
        <v>14011320</v>
      </c>
      <c r="Q13" s="37">
        <f t="shared" si="21"/>
        <v>1040</v>
      </c>
      <c r="R13" s="37">
        <f t="shared" si="22"/>
        <v>13460</v>
      </c>
      <c r="S13" s="37">
        <f t="shared" si="16"/>
        <v>3320</v>
      </c>
      <c r="T13" s="37">
        <f t="shared" si="35"/>
        <v>1610</v>
      </c>
      <c r="U13" s="37">
        <f t="shared" si="35"/>
        <v>4650</v>
      </c>
      <c r="V13" s="37">
        <f t="shared" si="35"/>
        <v>3330</v>
      </c>
      <c r="W13" s="37">
        <f t="shared" si="35"/>
        <v>2450</v>
      </c>
      <c r="X13" s="37">
        <f t="shared" si="27"/>
        <v>3770</v>
      </c>
      <c r="Y13" s="37">
        <f t="shared" si="28"/>
        <v>5070</v>
      </c>
      <c r="Z13" s="37">
        <f>IF((L13-L12&lt;0), "0",L13-L12)</f>
        <v>2660</v>
      </c>
      <c r="AA13" s="37">
        <f t="shared" si="30"/>
        <v>3030</v>
      </c>
      <c r="AB13" s="37">
        <f t="shared" si="31"/>
        <v>6880</v>
      </c>
      <c r="AC13" s="37">
        <f t="shared" si="32"/>
        <v>10780</v>
      </c>
      <c r="AD13" s="35">
        <f t="shared" si="33"/>
        <v>62050</v>
      </c>
      <c r="AF13" s="20">
        <f t="shared" si="1"/>
        <v>5.2</v>
      </c>
      <c r="AG13" s="20">
        <f t="shared" si="2"/>
        <v>67.3</v>
      </c>
      <c r="AH13" s="20">
        <f t="shared" si="3"/>
        <v>16.600000000000001</v>
      </c>
      <c r="AI13" s="20">
        <f t="shared" si="4"/>
        <v>8.0500000000000007</v>
      </c>
      <c r="AJ13" s="20">
        <f t="shared" si="5"/>
        <v>23.25</v>
      </c>
      <c r="AK13" s="20">
        <f t="shared" si="6"/>
        <v>16.649999999999999</v>
      </c>
      <c r="AL13" s="20">
        <f t="shared" si="7"/>
        <v>12.25</v>
      </c>
      <c r="AM13" s="20">
        <f t="shared" si="8"/>
        <v>18.850000000000001</v>
      </c>
      <c r="AN13" s="20">
        <f t="shared" si="9"/>
        <v>25.35</v>
      </c>
      <c r="AO13" s="20">
        <f t="shared" si="10"/>
        <v>13.3</v>
      </c>
      <c r="AP13" s="20">
        <f t="shared" si="11"/>
        <v>15.15</v>
      </c>
      <c r="AQ13" s="20">
        <f t="shared" si="12"/>
        <v>34.4</v>
      </c>
      <c r="AR13" s="20">
        <f t="shared" si="13"/>
        <v>53.9</v>
      </c>
      <c r="AS13" s="35">
        <f t="shared" si="34"/>
        <v>310.24999999999994</v>
      </c>
      <c r="AT13" s="50"/>
      <c r="AV13" s="54">
        <v>0</v>
      </c>
      <c r="AW13" s="53">
        <f t="shared" si="14"/>
        <v>0</v>
      </c>
      <c r="AX13" s="55">
        <f t="shared" si="17"/>
        <v>0</v>
      </c>
      <c r="AY13" s="73">
        <v>227597</v>
      </c>
      <c r="AZ13" s="37">
        <f t="shared" si="18"/>
        <v>268400</v>
      </c>
      <c r="BA13" s="37">
        <f t="shared" si="19"/>
        <v>732.73199999999997</v>
      </c>
      <c r="BB13" s="48">
        <f t="shared" si="20"/>
        <v>325.62610080000002</v>
      </c>
    </row>
    <row r="14" spans="1:54" x14ac:dyDescent="0.25">
      <c r="A14" s="23">
        <v>44112</v>
      </c>
      <c r="B14" s="40">
        <v>136</v>
      </c>
      <c r="C14" s="24">
        <v>6380990</v>
      </c>
      <c r="D14" s="24">
        <v>14450270</v>
      </c>
      <c r="E14" s="24">
        <v>2110120</v>
      </c>
      <c r="F14" s="24">
        <v>3060200</v>
      </c>
      <c r="G14" s="24">
        <v>9284370</v>
      </c>
      <c r="H14" s="24">
        <v>4732000</v>
      </c>
      <c r="I14" s="24">
        <v>4507710</v>
      </c>
      <c r="J14" s="24">
        <v>5067730</v>
      </c>
      <c r="K14" s="24">
        <v>7952590</v>
      </c>
      <c r="L14" s="24">
        <v>3224020</v>
      </c>
      <c r="M14" s="24">
        <v>7100430</v>
      </c>
      <c r="N14" s="24">
        <v>10375510</v>
      </c>
      <c r="O14" s="24">
        <v>14021410</v>
      </c>
      <c r="P14" s="47"/>
      <c r="Q14" s="37">
        <f t="shared" si="21"/>
        <v>990</v>
      </c>
      <c r="R14" s="37">
        <f t="shared" si="22"/>
        <v>12370</v>
      </c>
      <c r="S14" s="37">
        <f t="shared" si="16"/>
        <v>3010</v>
      </c>
      <c r="T14" s="37">
        <f t="shared" si="35"/>
        <v>1500</v>
      </c>
      <c r="U14" s="37">
        <f t="shared" si="35"/>
        <v>4440</v>
      </c>
      <c r="V14" s="37">
        <f t="shared" si="35"/>
        <v>3230</v>
      </c>
      <c r="W14" s="37">
        <f t="shared" si="35"/>
        <v>2260</v>
      </c>
      <c r="X14" s="37">
        <f t="shared" si="27"/>
        <v>3490</v>
      </c>
      <c r="Y14" s="37">
        <f t="shared" si="28"/>
        <v>4740</v>
      </c>
      <c r="Z14" s="37">
        <f>IF((L14-L13&lt;0), "0",L14-L13)</f>
        <v>2640</v>
      </c>
      <c r="AA14" s="37">
        <f t="shared" si="30"/>
        <v>3210</v>
      </c>
      <c r="AB14" s="37">
        <f t="shared" si="31"/>
        <v>6740</v>
      </c>
      <c r="AC14" s="37">
        <f t="shared" si="32"/>
        <v>10090</v>
      </c>
      <c r="AD14" s="35">
        <f t="shared" si="33"/>
        <v>58710</v>
      </c>
      <c r="AF14" s="20">
        <f t="shared" si="1"/>
        <v>4.95</v>
      </c>
      <c r="AG14" s="20">
        <f t="shared" si="2"/>
        <v>61.85</v>
      </c>
      <c r="AH14" s="20">
        <f t="shared" si="3"/>
        <v>15.05</v>
      </c>
      <c r="AI14" s="20">
        <f t="shared" si="4"/>
        <v>7.5</v>
      </c>
      <c r="AJ14" s="20">
        <f t="shared" si="5"/>
        <v>22.2</v>
      </c>
      <c r="AK14" s="20">
        <f t="shared" si="6"/>
        <v>16.149999999999999</v>
      </c>
      <c r="AL14" s="20">
        <f t="shared" si="7"/>
        <v>11.3</v>
      </c>
      <c r="AM14" s="20">
        <f t="shared" si="8"/>
        <v>17.45</v>
      </c>
      <c r="AN14" s="20">
        <f t="shared" si="9"/>
        <v>23.7</v>
      </c>
      <c r="AO14" s="20">
        <f t="shared" si="10"/>
        <v>13.200000000000001</v>
      </c>
      <c r="AP14" s="20">
        <f t="shared" si="11"/>
        <v>16.05</v>
      </c>
      <c r="AQ14" s="20">
        <f t="shared" si="12"/>
        <v>33.700000000000003</v>
      </c>
      <c r="AR14" s="20">
        <f t="shared" si="13"/>
        <v>50.45</v>
      </c>
      <c r="AS14" s="35">
        <f t="shared" si="34"/>
        <v>293.54999999999995</v>
      </c>
      <c r="AT14" s="50"/>
      <c r="AV14" s="54">
        <v>0</v>
      </c>
      <c r="AW14" s="53">
        <f t="shared" si="14"/>
        <v>0</v>
      </c>
      <c r="AX14" s="55">
        <f t="shared" si="17"/>
        <v>0</v>
      </c>
      <c r="AY14" s="73">
        <v>229135</v>
      </c>
      <c r="AZ14" s="37">
        <f t="shared" si="18"/>
        <v>153800</v>
      </c>
      <c r="BA14" s="37">
        <f t="shared" si="19"/>
        <v>419.87400000000002</v>
      </c>
      <c r="BB14" s="48">
        <f t="shared" si="20"/>
        <v>186.59200560000002</v>
      </c>
    </row>
    <row r="15" spans="1:54" x14ac:dyDescent="0.25">
      <c r="A15" s="23">
        <v>44113</v>
      </c>
      <c r="B15" s="40">
        <v>172</v>
      </c>
      <c r="C15" s="24">
        <v>6382030</v>
      </c>
      <c r="D15" s="24">
        <v>14463200</v>
      </c>
      <c r="E15" s="24">
        <v>2113280</v>
      </c>
      <c r="F15" s="24">
        <v>3061790</v>
      </c>
      <c r="G15" s="24">
        <v>9289280</v>
      </c>
      <c r="H15" s="24">
        <v>4735500</v>
      </c>
      <c r="I15" s="24">
        <v>4510090</v>
      </c>
      <c r="J15" s="24">
        <v>5071610</v>
      </c>
      <c r="K15" s="24">
        <v>7957960</v>
      </c>
      <c r="L15" s="24">
        <v>3226950</v>
      </c>
      <c r="M15" s="24">
        <v>7104280</v>
      </c>
      <c r="N15" s="24">
        <v>10382650</v>
      </c>
      <c r="O15" s="24">
        <v>14032220</v>
      </c>
      <c r="Q15" s="37">
        <f t="shared" si="21"/>
        <v>1040</v>
      </c>
      <c r="R15" s="37">
        <f t="shared" si="22"/>
        <v>12930</v>
      </c>
      <c r="S15" s="37">
        <f t="shared" si="16"/>
        <v>3160</v>
      </c>
      <c r="T15" s="37">
        <f t="shared" si="23"/>
        <v>1590</v>
      </c>
      <c r="U15" s="37">
        <f t="shared" si="24"/>
        <v>4910</v>
      </c>
      <c r="V15" s="37">
        <f t="shared" si="25"/>
        <v>3500</v>
      </c>
      <c r="W15" s="37">
        <f t="shared" si="26"/>
        <v>2380</v>
      </c>
      <c r="X15" s="37">
        <f t="shared" si="27"/>
        <v>3880</v>
      </c>
      <c r="Y15" s="37">
        <f t="shared" si="28"/>
        <v>5370</v>
      </c>
      <c r="Z15" s="37">
        <f t="shared" si="29"/>
        <v>2930</v>
      </c>
      <c r="AA15" s="37">
        <f t="shared" si="30"/>
        <v>3850</v>
      </c>
      <c r="AB15" s="37">
        <f t="shared" si="31"/>
        <v>7140</v>
      </c>
      <c r="AC15" s="37">
        <f t="shared" si="32"/>
        <v>10810</v>
      </c>
      <c r="AD15" s="35">
        <f t="shared" si="33"/>
        <v>63490</v>
      </c>
      <c r="AF15" s="20">
        <f t="shared" si="1"/>
        <v>5.2</v>
      </c>
      <c r="AG15" s="20">
        <f t="shared" si="2"/>
        <v>64.650000000000006</v>
      </c>
      <c r="AH15" s="20">
        <f t="shared" si="3"/>
        <v>15.8</v>
      </c>
      <c r="AI15" s="20">
        <f t="shared" si="4"/>
        <v>7.95</v>
      </c>
      <c r="AJ15" s="20">
        <f t="shared" si="5"/>
        <v>24.55</v>
      </c>
      <c r="AK15" s="20">
        <f t="shared" si="6"/>
        <v>17.5</v>
      </c>
      <c r="AL15" s="20">
        <f t="shared" si="7"/>
        <v>11.9</v>
      </c>
      <c r="AM15" s="20">
        <f t="shared" si="8"/>
        <v>19.400000000000002</v>
      </c>
      <c r="AN15" s="20">
        <f t="shared" si="9"/>
        <v>26.85</v>
      </c>
      <c r="AO15" s="20">
        <f t="shared" si="10"/>
        <v>14.65</v>
      </c>
      <c r="AP15" s="20">
        <f t="shared" si="11"/>
        <v>19.25</v>
      </c>
      <c r="AQ15" s="20">
        <f t="shared" si="12"/>
        <v>35.700000000000003</v>
      </c>
      <c r="AR15" s="20">
        <f t="shared" si="13"/>
        <v>54.050000000000004</v>
      </c>
      <c r="AS15" s="35">
        <f t="shared" si="34"/>
        <v>317.45000000000005</v>
      </c>
      <c r="AT15" s="50"/>
      <c r="AV15" s="54">
        <v>0</v>
      </c>
      <c r="AW15" s="53">
        <f t="shared" si="14"/>
        <v>0</v>
      </c>
      <c r="AX15" s="55">
        <f t="shared" si="17"/>
        <v>0</v>
      </c>
      <c r="AY15" s="73">
        <v>231785</v>
      </c>
      <c r="AZ15" s="37">
        <f t="shared" si="18"/>
        <v>265000</v>
      </c>
      <c r="BA15" s="37">
        <f t="shared" si="19"/>
        <v>723.44999999999993</v>
      </c>
      <c r="BB15" s="48">
        <f t="shared" si="20"/>
        <v>321.50117999999998</v>
      </c>
    </row>
    <row r="16" spans="1:54" x14ac:dyDescent="0.25">
      <c r="A16" s="23">
        <v>44114</v>
      </c>
      <c r="B16" s="40">
        <v>101</v>
      </c>
      <c r="C16" s="24">
        <v>6383040</v>
      </c>
      <c r="D16" s="24">
        <v>14475560</v>
      </c>
      <c r="E16" s="24">
        <v>2116290</v>
      </c>
      <c r="F16" s="24">
        <v>3063340</v>
      </c>
      <c r="G16" s="24">
        <v>9294110</v>
      </c>
      <c r="H16" s="24">
        <v>4738900</v>
      </c>
      <c r="I16" s="24">
        <v>4512460</v>
      </c>
      <c r="J16" s="24">
        <v>5075420</v>
      </c>
      <c r="K16" s="24">
        <v>7963250</v>
      </c>
      <c r="L16" s="24">
        <v>3229700</v>
      </c>
      <c r="M16" s="24">
        <v>7107900</v>
      </c>
      <c r="N16" s="24">
        <v>10389630</v>
      </c>
      <c r="O16" s="24">
        <v>14043640</v>
      </c>
      <c r="Q16" s="37">
        <f t="shared" si="21"/>
        <v>1010</v>
      </c>
      <c r="R16" s="37">
        <f t="shared" si="22"/>
        <v>12360</v>
      </c>
      <c r="S16" s="37">
        <f t="shared" si="16"/>
        <v>3010</v>
      </c>
      <c r="T16" s="37">
        <f t="shared" si="23"/>
        <v>1550</v>
      </c>
      <c r="U16" s="37">
        <f>IF((G16-G15&lt;0), "0",G16-G15)</f>
        <v>4830</v>
      </c>
      <c r="V16" s="37">
        <f>IF((H16-H15&lt;0), "0",H16-H15)</f>
        <v>3400</v>
      </c>
      <c r="W16" s="37">
        <f t="shared" si="26"/>
        <v>2370</v>
      </c>
      <c r="X16" s="37">
        <f t="shared" si="27"/>
        <v>3810</v>
      </c>
      <c r="Y16" s="37">
        <f t="shared" si="28"/>
        <v>5290</v>
      </c>
      <c r="Z16" s="37">
        <f t="shared" si="29"/>
        <v>2750</v>
      </c>
      <c r="AA16" s="37">
        <f t="shared" si="30"/>
        <v>3620</v>
      </c>
      <c r="AB16" s="37">
        <f t="shared" si="31"/>
        <v>6980</v>
      </c>
      <c r="AC16" s="37">
        <f t="shared" si="32"/>
        <v>11420</v>
      </c>
      <c r="AD16" s="35">
        <f t="shared" si="33"/>
        <v>62400</v>
      </c>
      <c r="AF16" s="20">
        <f t="shared" si="1"/>
        <v>5.05</v>
      </c>
      <c r="AG16" s="20">
        <f t="shared" si="2"/>
        <v>61.800000000000004</v>
      </c>
      <c r="AH16" s="20">
        <f t="shared" si="3"/>
        <v>15.05</v>
      </c>
      <c r="AI16" s="20">
        <f t="shared" si="4"/>
        <v>7.75</v>
      </c>
      <c r="AJ16" s="20">
        <f t="shared" si="5"/>
        <v>24.150000000000002</v>
      </c>
      <c r="AK16" s="20">
        <f t="shared" si="6"/>
        <v>17</v>
      </c>
      <c r="AL16" s="20">
        <f t="shared" si="7"/>
        <v>11.85</v>
      </c>
      <c r="AM16" s="20">
        <f t="shared" si="8"/>
        <v>19.05</v>
      </c>
      <c r="AN16" s="20">
        <f t="shared" si="9"/>
        <v>26.45</v>
      </c>
      <c r="AO16" s="20">
        <f t="shared" si="10"/>
        <v>13.75</v>
      </c>
      <c r="AP16" s="20">
        <f t="shared" si="11"/>
        <v>18.100000000000001</v>
      </c>
      <c r="AQ16" s="20">
        <f t="shared" si="12"/>
        <v>34.9</v>
      </c>
      <c r="AR16" s="20">
        <f t="shared" si="13"/>
        <v>57.1</v>
      </c>
      <c r="AS16" s="35">
        <f t="shared" si="34"/>
        <v>312</v>
      </c>
      <c r="AT16" s="50"/>
      <c r="AV16" s="54">
        <v>0</v>
      </c>
      <c r="AW16" s="53">
        <f t="shared" si="14"/>
        <v>0</v>
      </c>
      <c r="AX16" s="55">
        <f t="shared" si="17"/>
        <v>0</v>
      </c>
      <c r="AY16" s="73">
        <v>233892</v>
      </c>
      <c r="AZ16" s="37">
        <f t="shared" si="18"/>
        <v>210700</v>
      </c>
      <c r="BA16" s="37">
        <f t="shared" si="19"/>
        <v>575.21100000000001</v>
      </c>
      <c r="BB16" s="48">
        <f t="shared" si="20"/>
        <v>255.62376840000002</v>
      </c>
    </row>
    <row r="17" spans="1:54" x14ac:dyDescent="0.25">
      <c r="A17" s="23">
        <v>44115</v>
      </c>
      <c r="B17" s="40">
        <v>71</v>
      </c>
      <c r="C17" s="24">
        <v>6384040</v>
      </c>
      <c r="D17" s="24">
        <v>14487610</v>
      </c>
      <c r="E17" s="24">
        <v>2119220</v>
      </c>
      <c r="F17" s="24">
        <v>3064860</v>
      </c>
      <c r="G17" s="24">
        <v>9298400</v>
      </c>
      <c r="H17" s="24">
        <v>4742060</v>
      </c>
      <c r="I17" s="24">
        <v>4514810</v>
      </c>
      <c r="J17" s="24">
        <v>5078810</v>
      </c>
      <c r="K17" s="24">
        <v>7968320</v>
      </c>
      <c r="L17" s="24">
        <v>3232190</v>
      </c>
      <c r="M17" s="24">
        <v>7111260</v>
      </c>
      <c r="N17" s="24">
        <v>10396310</v>
      </c>
      <c r="O17" s="24">
        <v>14055250</v>
      </c>
      <c r="Q17" s="37">
        <f t="shared" si="21"/>
        <v>1000</v>
      </c>
      <c r="R17" s="37">
        <f t="shared" si="22"/>
        <v>12050</v>
      </c>
      <c r="S17" s="37">
        <f t="shared" si="16"/>
        <v>2930</v>
      </c>
      <c r="T17" s="37">
        <f t="shared" si="23"/>
        <v>1520</v>
      </c>
      <c r="U17" s="37">
        <f>IF((G17-G16&lt;0), "0",G17-G16)</f>
        <v>4290</v>
      </c>
      <c r="V17" s="37">
        <f>IF((H17-H16&lt;0), "0",H17-H16)</f>
        <v>3160</v>
      </c>
      <c r="W17" s="37">
        <f t="shared" si="26"/>
        <v>2350</v>
      </c>
      <c r="X17" s="37">
        <f t="shared" si="27"/>
        <v>3390</v>
      </c>
      <c r="Y17" s="37">
        <f t="shared" si="28"/>
        <v>5070</v>
      </c>
      <c r="Z17" s="37">
        <f t="shared" si="29"/>
        <v>2490</v>
      </c>
      <c r="AA17" s="37">
        <f t="shared" si="30"/>
        <v>3360</v>
      </c>
      <c r="AB17" s="37">
        <f t="shared" si="31"/>
        <v>6680</v>
      </c>
      <c r="AC17" s="37">
        <f t="shared" si="32"/>
        <v>11610</v>
      </c>
      <c r="AD17" s="35">
        <f t="shared" si="33"/>
        <v>59900</v>
      </c>
      <c r="AF17" s="20">
        <f t="shared" si="1"/>
        <v>5</v>
      </c>
      <c r="AG17" s="20">
        <f t="shared" si="2"/>
        <v>60.25</v>
      </c>
      <c r="AH17" s="20">
        <f t="shared" si="3"/>
        <v>14.65</v>
      </c>
      <c r="AI17" s="20">
        <f t="shared" si="4"/>
        <v>7.6000000000000005</v>
      </c>
      <c r="AJ17" s="20">
        <f t="shared" si="5"/>
        <v>21.45</v>
      </c>
      <c r="AK17" s="20">
        <f t="shared" si="6"/>
        <v>15.8</v>
      </c>
      <c r="AL17" s="20">
        <f t="shared" si="7"/>
        <v>11.75</v>
      </c>
      <c r="AM17" s="20">
        <f t="shared" si="8"/>
        <v>16.95</v>
      </c>
      <c r="AN17" s="20">
        <f t="shared" si="9"/>
        <v>25.35</v>
      </c>
      <c r="AO17" s="20">
        <f t="shared" si="10"/>
        <v>12.450000000000001</v>
      </c>
      <c r="AP17" s="20">
        <f t="shared" si="11"/>
        <v>16.8</v>
      </c>
      <c r="AQ17" s="20">
        <f t="shared" si="12"/>
        <v>33.4</v>
      </c>
      <c r="AR17" s="20">
        <f t="shared" si="13"/>
        <v>58.050000000000004</v>
      </c>
      <c r="AS17" s="35">
        <f t="shared" si="34"/>
        <v>299.5</v>
      </c>
      <c r="AT17" s="50"/>
      <c r="AV17" s="54">
        <v>0</v>
      </c>
      <c r="AW17" s="53">
        <f t="shared" si="14"/>
        <v>0</v>
      </c>
      <c r="AX17" s="55">
        <f t="shared" si="17"/>
        <v>0</v>
      </c>
      <c r="AY17" s="73">
        <v>236038</v>
      </c>
      <c r="AZ17" s="37">
        <f t="shared" si="18"/>
        <v>214600</v>
      </c>
      <c r="BA17" s="37">
        <f t="shared" si="19"/>
        <v>585.85800000000006</v>
      </c>
      <c r="BB17" s="48">
        <f t="shared" si="20"/>
        <v>260.35529520000006</v>
      </c>
    </row>
    <row r="18" spans="1:54" x14ac:dyDescent="0.25">
      <c r="A18" s="23">
        <v>44116</v>
      </c>
      <c r="B18" s="40">
        <v>69</v>
      </c>
      <c r="C18" s="24">
        <v>6385060</v>
      </c>
      <c r="D18" s="24">
        <v>14499830</v>
      </c>
      <c r="E18" s="24">
        <v>2122190</v>
      </c>
      <c r="F18" s="24">
        <v>3066410</v>
      </c>
      <c r="G18" s="24">
        <v>9302980</v>
      </c>
      <c r="H18" s="24">
        <v>4745310</v>
      </c>
      <c r="I18" s="24">
        <v>4517230</v>
      </c>
      <c r="J18" s="24">
        <v>5082530</v>
      </c>
      <c r="K18" s="24">
        <v>7973530</v>
      </c>
      <c r="L18" s="24">
        <v>3234720</v>
      </c>
      <c r="M18" s="24">
        <v>7114520</v>
      </c>
      <c r="N18" s="24">
        <v>10403010</v>
      </c>
      <c r="O18" s="24">
        <v>14066510</v>
      </c>
      <c r="Q18" s="37">
        <f t="shared" si="21"/>
        <v>1020</v>
      </c>
      <c r="R18" s="37">
        <f t="shared" si="22"/>
        <v>12220</v>
      </c>
      <c r="S18" s="37">
        <f t="shared" si="16"/>
        <v>2970</v>
      </c>
      <c r="T18" s="37">
        <f t="shared" si="23"/>
        <v>1550</v>
      </c>
      <c r="U18" s="37">
        <f t="shared" si="24"/>
        <v>4580</v>
      </c>
      <c r="V18" s="37">
        <f t="shared" si="25"/>
        <v>3250</v>
      </c>
      <c r="W18" s="37">
        <f t="shared" si="26"/>
        <v>2420</v>
      </c>
      <c r="X18" s="37">
        <f t="shared" si="27"/>
        <v>3720</v>
      </c>
      <c r="Y18" s="37">
        <f t="shared" si="28"/>
        <v>5210</v>
      </c>
      <c r="Z18" s="37">
        <f t="shared" si="29"/>
        <v>2530</v>
      </c>
      <c r="AA18" s="37">
        <f t="shared" si="30"/>
        <v>3260</v>
      </c>
      <c r="AB18" s="37">
        <f t="shared" si="31"/>
        <v>6700</v>
      </c>
      <c r="AC18" s="37">
        <f t="shared" si="32"/>
        <v>11260</v>
      </c>
      <c r="AD18" s="35">
        <f t="shared" si="33"/>
        <v>60690</v>
      </c>
      <c r="AF18" s="20">
        <f t="shared" si="1"/>
        <v>5.1000000000000005</v>
      </c>
      <c r="AG18" s="20">
        <f t="shared" si="2"/>
        <v>61.1</v>
      </c>
      <c r="AH18" s="20">
        <f t="shared" si="3"/>
        <v>14.85</v>
      </c>
      <c r="AI18" s="20">
        <f t="shared" si="4"/>
        <v>7.75</v>
      </c>
      <c r="AJ18" s="20">
        <f t="shared" si="5"/>
        <v>22.900000000000002</v>
      </c>
      <c r="AK18" s="20">
        <f t="shared" si="6"/>
        <v>16.25</v>
      </c>
      <c r="AL18" s="20">
        <f t="shared" si="7"/>
        <v>12.1</v>
      </c>
      <c r="AM18" s="20">
        <f t="shared" si="8"/>
        <v>18.600000000000001</v>
      </c>
      <c r="AN18" s="20">
        <f t="shared" si="9"/>
        <v>26.05</v>
      </c>
      <c r="AO18" s="20">
        <f t="shared" si="10"/>
        <v>12.65</v>
      </c>
      <c r="AP18" s="20">
        <f t="shared" si="11"/>
        <v>16.3</v>
      </c>
      <c r="AQ18" s="20">
        <f t="shared" si="12"/>
        <v>33.5</v>
      </c>
      <c r="AR18" s="20">
        <f t="shared" si="13"/>
        <v>56.300000000000004</v>
      </c>
      <c r="AS18" s="35">
        <f t="shared" si="34"/>
        <v>303.45000000000005</v>
      </c>
      <c r="AT18" s="50"/>
      <c r="AV18" s="54">
        <v>0</v>
      </c>
      <c r="AW18" s="53">
        <f t="shared" si="14"/>
        <v>0</v>
      </c>
      <c r="AX18" s="55">
        <f t="shared" si="17"/>
        <v>0</v>
      </c>
      <c r="AY18" s="73">
        <v>238276</v>
      </c>
      <c r="AZ18" s="37">
        <f t="shared" si="18"/>
        <v>223800</v>
      </c>
      <c r="BA18" s="37">
        <f t="shared" si="19"/>
        <v>610.97400000000005</v>
      </c>
      <c r="BB18" s="48">
        <f t="shared" si="20"/>
        <v>271.51684560000001</v>
      </c>
    </row>
    <row r="19" spans="1:54" x14ac:dyDescent="0.25">
      <c r="A19" s="23">
        <v>44117</v>
      </c>
      <c r="B19" s="40">
        <v>59</v>
      </c>
      <c r="C19" s="24">
        <v>6386060</v>
      </c>
      <c r="D19" s="24">
        <v>14511860</v>
      </c>
      <c r="E19" s="24">
        <v>2125090</v>
      </c>
      <c r="F19" s="24">
        <v>3067960</v>
      </c>
      <c r="G19" s="24">
        <v>9307490</v>
      </c>
      <c r="H19" s="24">
        <v>4748620</v>
      </c>
      <c r="I19" s="24">
        <v>4519660</v>
      </c>
      <c r="J19" s="24">
        <v>5086350</v>
      </c>
      <c r="K19" s="24">
        <v>7978760</v>
      </c>
      <c r="L19" s="24">
        <v>3237190</v>
      </c>
      <c r="M19" s="24">
        <v>7117520</v>
      </c>
      <c r="N19" s="24">
        <v>10409860</v>
      </c>
      <c r="O19" s="24">
        <v>14077090</v>
      </c>
      <c r="Q19" s="37">
        <f t="shared" si="21"/>
        <v>1000</v>
      </c>
      <c r="R19" s="37">
        <f t="shared" si="22"/>
        <v>12030</v>
      </c>
      <c r="S19" s="37">
        <f t="shared" si="16"/>
        <v>2900</v>
      </c>
      <c r="T19" s="37">
        <f t="shared" si="23"/>
        <v>1550</v>
      </c>
      <c r="U19" s="37">
        <f t="shared" si="24"/>
        <v>4510</v>
      </c>
      <c r="V19" s="37">
        <f t="shared" si="25"/>
        <v>3310</v>
      </c>
      <c r="W19" s="37">
        <f t="shared" si="26"/>
        <v>2430</v>
      </c>
      <c r="X19" s="37">
        <f t="shared" si="27"/>
        <v>3820</v>
      </c>
      <c r="Y19" s="37">
        <f t="shared" si="28"/>
        <v>5230</v>
      </c>
      <c r="Z19" s="37">
        <f t="shared" si="29"/>
        <v>2470</v>
      </c>
      <c r="AA19" s="37">
        <f t="shared" si="30"/>
        <v>3000</v>
      </c>
      <c r="AB19" s="37">
        <f t="shared" si="31"/>
        <v>6850</v>
      </c>
      <c r="AC19" s="37">
        <f t="shared" si="32"/>
        <v>10580</v>
      </c>
      <c r="AD19" s="35">
        <f t="shared" si="33"/>
        <v>59680</v>
      </c>
      <c r="AF19" s="20">
        <f t="shared" si="1"/>
        <v>5</v>
      </c>
      <c r="AG19" s="20">
        <f t="shared" si="2"/>
        <v>60.15</v>
      </c>
      <c r="AH19" s="20">
        <f t="shared" si="3"/>
        <v>14.5</v>
      </c>
      <c r="AI19" s="20">
        <f t="shared" si="4"/>
        <v>7.75</v>
      </c>
      <c r="AJ19" s="20">
        <f t="shared" si="5"/>
        <v>22.55</v>
      </c>
      <c r="AK19" s="20">
        <f t="shared" si="6"/>
        <v>16.55</v>
      </c>
      <c r="AL19" s="20">
        <f t="shared" si="7"/>
        <v>12.15</v>
      </c>
      <c r="AM19" s="20">
        <f t="shared" si="8"/>
        <v>19.100000000000001</v>
      </c>
      <c r="AN19" s="20">
        <f t="shared" si="9"/>
        <v>26.150000000000002</v>
      </c>
      <c r="AO19" s="20">
        <f t="shared" si="10"/>
        <v>12.35</v>
      </c>
      <c r="AP19" s="20">
        <f t="shared" si="11"/>
        <v>15</v>
      </c>
      <c r="AQ19" s="20">
        <f t="shared" si="12"/>
        <v>34.25</v>
      </c>
      <c r="AR19" s="20">
        <f t="shared" si="13"/>
        <v>52.9</v>
      </c>
      <c r="AS19" s="35">
        <f t="shared" si="34"/>
        <v>298.39999999999998</v>
      </c>
      <c r="AT19" s="50"/>
      <c r="AV19" s="54">
        <v>0</v>
      </c>
      <c r="AW19" s="53">
        <f t="shared" si="14"/>
        <v>0</v>
      </c>
      <c r="AX19" s="55">
        <f t="shared" si="17"/>
        <v>0</v>
      </c>
      <c r="AY19" s="73">
        <v>240235</v>
      </c>
      <c r="AZ19" s="37">
        <f t="shared" si="18"/>
        <v>195900</v>
      </c>
      <c r="BA19" s="37">
        <f t="shared" si="19"/>
        <v>534.80700000000002</v>
      </c>
      <c r="BB19" s="48">
        <f t="shared" si="20"/>
        <v>237.6682308</v>
      </c>
    </row>
    <row r="20" spans="1:54" x14ac:dyDescent="0.25">
      <c r="A20" s="23">
        <v>44118</v>
      </c>
      <c r="B20" s="40">
        <v>71</v>
      </c>
      <c r="C20" s="24">
        <v>6387080</v>
      </c>
      <c r="D20" s="24">
        <v>14524050</v>
      </c>
      <c r="E20" s="24">
        <v>2128040</v>
      </c>
      <c r="F20" s="24">
        <v>3069530</v>
      </c>
      <c r="G20" s="24">
        <v>9311990</v>
      </c>
      <c r="H20" s="24">
        <v>4751740</v>
      </c>
      <c r="I20" s="24">
        <v>4522090</v>
      </c>
      <c r="J20" s="24">
        <v>5090070</v>
      </c>
      <c r="K20" s="24">
        <v>7983910</v>
      </c>
      <c r="L20" s="24">
        <v>3239720</v>
      </c>
      <c r="M20" s="24">
        <v>7120740</v>
      </c>
      <c r="N20" s="24">
        <v>10416680</v>
      </c>
      <c r="O20" s="24">
        <v>14087150</v>
      </c>
      <c r="Q20" s="37">
        <f t="shared" si="21"/>
        <v>1020</v>
      </c>
      <c r="R20" s="37">
        <f t="shared" si="22"/>
        <v>12190</v>
      </c>
      <c r="S20" s="37">
        <f t="shared" si="16"/>
        <v>2950</v>
      </c>
      <c r="T20" s="37">
        <f t="shared" si="23"/>
        <v>1570</v>
      </c>
      <c r="U20" s="37">
        <f t="shared" si="24"/>
        <v>4500</v>
      </c>
      <c r="V20" s="37">
        <f t="shared" si="25"/>
        <v>3120</v>
      </c>
      <c r="W20" s="37">
        <f t="shared" si="26"/>
        <v>2430</v>
      </c>
      <c r="X20" s="37">
        <f t="shared" si="27"/>
        <v>3720</v>
      </c>
      <c r="Y20" s="37">
        <f t="shared" si="28"/>
        <v>5150</v>
      </c>
      <c r="Z20" s="37">
        <f t="shared" si="29"/>
        <v>2530</v>
      </c>
      <c r="AA20" s="37">
        <f t="shared" si="30"/>
        <v>3220</v>
      </c>
      <c r="AB20" s="37">
        <f t="shared" si="31"/>
        <v>6820</v>
      </c>
      <c r="AC20" s="37">
        <f t="shared" si="32"/>
        <v>10060</v>
      </c>
      <c r="AD20" s="35">
        <f t="shared" si="33"/>
        <v>59280</v>
      </c>
      <c r="AF20" s="20">
        <f t="shared" si="1"/>
        <v>5.1000000000000005</v>
      </c>
      <c r="AG20" s="20">
        <f t="shared" si="2"/>
        <v>60.95</v>
      </c>
      <c r="AH20" s="20">
        <f t="shared" si="3"/>
        <v>14.75</v>
      </c>
      <c r="AI20" s="20">
        <f t="shared" si="4"/>
        <v>7.8500000000000005</v>
      </c>
      <c r="AJ20" s="20">
        <f t="shared" si="5"/>
        <v>22.5</v>
      </c>
      <c r="AK20" s="20">
        <f t="shared" si="6"/>
        <v>15.6</v>
      </c>
      <c r="AL20" s="20">
        <f t="shared" si="7"/>
        <v>12.15</v>
      </c>
      <c r="AM20" s="20">
        <f t="shared" si="8"/>
        <v>18.600000000000001</v>
      </c>
      <c r="AN20" s="20">
        <f t="shared" si="9"/>
        <v>25.75</v>
      </c>
      <c r="AO20" s="20">
        <f t="shared" si="10"/>
        <v>12.65</v>
      </c>
      <c r="AP20" s="20">
        <f t="shared" si="11"/>
        <v>16.100000000000001</v>
      </c>
      <c r="AQ20" s="20">
        <f t="shared" si="12"/>
        <v>34.1</v>
      </c>
      <c r="AR20" s="20">
        <f t="shared" si="13"/>
        <v>50.300000000000004</v>
      </c>
      <c r="AS20" s="35">
        <f t="shared" si="34"/>
        <v>296.39999999999998</v>
      </c>
      <c r="AT20" s="50"/>
      <c r="AV20" s="54">
        <v>0</v>
      </c>
      <c r="AW20" s="53">
        <f t="shared" si="14"/>
        <v>0</v>
      </c>
      <c r="AX20" s="55">
        <f t="shared" si="17"/>
        <v>0</v>
      </c>
      <c r="AY20" s="73">
        <v>242177</v>
      </c>
      <c r="AZ20" s="37">
        <f t="shared" si="18"/>
        <v>194200</v>
      </c>
      <c r="BA20" s="37">
        <f t="shared" si="19"/>
        <v>530.16599999999994</v>
      </c>
      <c r="BB20" s="48">
        <f t="shared" si="20"/>
        <v>235.60577039999998</v>
      </c>
    </row>
    <row r="21" spans="1:54" x14ac:dyDescent="0.25">
      <c r="A21" s="23">
        <v>44119</v>
      </c>
      <c r="B21" s="40">
        <v>109</v>
      </c>
      <c r="C21" s="24">
        <v>6388090</v>
      </c>
      <c r="D21" s="24">
        <v>14536040</v>
      </c>
      <c r="E21" s="24">
        <v>2130920</v>
      </c>
      <c r="F21" s="24">
        <v>3071070</v>
      </c>
      <c r="G21" s="24">
        <v>9316650</v>
      </c>
      <c r="H21" s="24">
        <v>4754870</v>
      </c>
      <c r="I21" s="24">
        <v>4524470</v>
      </c>
      <c r="J21" s="24">
        <v>5093810</v>
      </c>
      <c r="K21" s="24">
        <v>7989110</v>
      </c>
      <c r="L21" s="24">
        <v>3242380</v>
      </c>
      <c r="M21" s="24">
        <v>7123950</v>
      </c>
      <c r="N21" s="24">
        <v>10423400</v>
      </c>
      <c r="O21" s="24">
        <v>14097010</v>
      </c>
      <c r="Q21" s="37">
        <f t="shared" si="21"/>
        <v>1010</v>
      </c>
      <c r="R21" s="37">
        <f t="shared" si="22"/>
        <v>11990</v>
      </c>
      <c r="S21" s="37">
        <f t="shared" si="16"/>
        <v>2880</v>
      </c>
      <c r="T21" s="37">
        <f t="shared" si="23"/>
        <v>1540</v>
      </c>
      <c r="U21" s="37">
        <f t="shared" si="24"/>
        <v>4660</v>
      </c>
      <c r="V21" s="37">
        <f t="shared" si="25"/>
        <v>3130</v>
      </c>
      <c r="W21" s="37">
        <f t="shared" si="26"/>
        <v>2380</v>
      </c>
      <c r="X21" s="37">
        <f t="shared" si="27"/>
        <v>3740</v>
      </c>
      <c r="Y21" s="37">
        <f t="shared" si="28"/>
        <v>5200</v>
      </c>
      <c r="Z21" s="37">
        <f t="shared" si="29"/>
        <v>2660</v>
      </c>
      <c r="AA21" s="37">
        <f t="shared" si="30"/>
        <v>3210</v>
      </c>
      <c r="AB21" s="37">
        <f t="shared" si="31"/>
        <v>6720</v>
      </c>
      <c r="AC21" s="37">
        <f t="shared" si="32"/>
        <v>9860</v>
      </c>
      <c r="AD21" s="35">
        <f t="shared" si="33"/>
        <v>58980</v>
      </c>
      <c r="AF21" s="20">
        <f t="shared" si="1"/>
        <v>5.05</v>
      </c>
      <c r="AG21" s="20">
        <f t="shared" si="2"/>
        <v>59.95</v>
      </c>
      <c r="AH21" s="20">
        <f t="shared" si="3"/>
        <v>14.4</v>
      </c>
      <c r="AI21" s="20">
        <f t="shared" si="4"/>
        <v>7.7</v>
      </c>
      <c r="AJ21" s="20">
        <f t="shared" si="5"/>
        <v>23.3</v>
      </c>
      <c r="AK21" s="20">
        <f t="shared" si="6"/>
        <v>15.65</v>
      </c>
      <c r="AL21" s="20">
        <f t="shared" si="7"/>
        <v>11.9</v>
      </c>
      <c r="AM21" s="20">
        <f t="shared" si="8"/>
        <v>18.7</v>
      </c>
      <c r="AN21" s="20">
        <f t="shared" si="9"/>
        <v>26</v>
      </c>
      <c r="AO21" s="20">
        <f t="shared" si="10"/>
        <v>13.3</v>
      </c>
      <c r="AP21" s="20">
        <f t="shared" si="11"/>
        <v>16.05</v>
      </c>
      <c r="AQ21" s="20">
        <f t="shared" si="12"/>
        <v>33.6</v>
      </c>
      <c r="AR21" s="20">
        <f t="shared" si="13"/>
        <v>49.300000000000004</v>
      </c>
      <c r="AS21" s="35">
        <f t="shared" si="34"/>
        <v>294.90000000000003</v>
      </c>
      <c r="AT21" s="50"/>
      <c r="AV21" s="54">
        <v>0</v>
      </c>
      <c r="AW21" s="53">
        <f t="shared" si="14"/>
        <v>0</v>
      </c>
      <c r="AX21" s="55">
        <f t="shared" si="17"/>
        <v>0</v>
      </c>
      <c r="AY21" s="73">
        <v>243754</v>
      </c>
      <c r="AZ21" s="37">
        <f t="shared" si="18"/>
        <v>157700</v>
      </c>
      <c r="BA21" s="37">
        <f t="shared" si="19"/>
        <v>430.52100000000002</v>
      </c>
      <c r="BB21" s="48">
        <f t="shared" si="20"/>
        <v>191.3235324</v>
      </c>
    </row>
    <row r="22" spans="1:54" x14ac:dyDescent="0.25">
      <c r="A22" s="23">
        <v>44120</v>
      </c>
      <c r="B22" s="40">
        <v>137</v>
      </c>
      <c r="C22" s="24">
        <v>6389150</v>
      </c>
      <c r="D22" s="24">
        <v>14549480</v>
      </c>
      <c r="E22" s="24">
        <v>2133330</v>
      </c>
      <c r="F22" s="24">
        <v>3072700</v>
      </c>
      <c r="G22" s="24">
        <v>9321750</v>
      </c>
      <c r="H22" s="24">
        <v>4758190</v>
      </c>
      <c r="I22" s="24">
        <v>4526940</v>
      </c>
      <c r="J22" s="72">
        <v>5097790</v>
      </c>
      <c r="K22" s="24">
        <v>7994920</v>
      </c>
      <c r="L22" s="24">
        <v>3245290</v>
      </c>
      <c r="M22" s="24">
        <v>7127680</v>
      </c>
      <c r="N22" s="24">
        <v>10430600</v>
      </c>
      <c r="O22" s="72">
        <v>14107850</v>
      </c>
      <c r="Q22" s="37">
        <f t="shared" si="21"/>
        <v>1060</v>
      </c>
      <c r="R22" s="37">
        <f t="shared" si="22"/>
        <v>13440</v>
      </c>
      <c r="S22" s="37">
        <f t="shared" si="16"/>
        <v>2410</v>
      </c>
      <c r="T22" s="37">
        <f t="shared" si="23"/>
        <v>1630</v>
      </c>
      <c r="U22" s="37">
        <f t="shared" si="24"/>
        <v>5100</v>
      </c>
      <c r="V22" s="37">
        <f t="shared" si="25"/>
        <v>3320</v>
      </c>
      <c r="W22" s="37">
        <f t="shared" si="26"/>
        <v>2470</v>
      </c>
      <c r="X22" s="37">
        <f t="shared" si="27"/>
        <v>3980</v>
      </c>
      <c r="Y22" s="37">
        <f t="shared" si="28"/>
        <v>5810</v>
      </c>
      <c r="Z22" s="37">
        <f t="shared" si="29"/>
        <v>2910</v>
      </c>
      <c r="AA22" s="37">
        <f t="shared" si="30"/>
        <v>3730</v>
      </c>
      <c r="AB22" s="37">
        <f t="shared" si="31"/>
        <v>7200</v>
      </c>
      <c r="AC22" s="37">
        <f t="shared" si="32"/>
        <v>10840</v>
      </c>
      <c r="AD22" s="35">
        <f t="shared" si="33"/>
        <v>63900</v>
      </c>
      <c r="AF22" s="20">
        <f t="shared" si="1"/>
        <v>5.3</v>
      </c>
      <c r="AG22" s="20">
        <f t="shared" si="2"/>
        <v>67.2</v>
      </c>
      <c r="AH22" s="20">
        <f t="shared" si="3"/>
        <v>12.05</v>
      </c>
      <c r="AI22" s="20">
        <f t="shared" si="4"/>
        <v>8.15</v>
      </c>
      <c r="AJ22" s="20">
        <f t="shared" si="5"/>
        <v>25.5</v>
      </c>
      <c r="AK22" s="20">
        <f t="shared" si="6"/>
        <v>16.600000000000001</v>
      </c>
      <c r="AL22" s="20">
        <f t="shared" si="7"/>
        <v>12.35</v>
      </c>
      <c r="AM22" s="20">
        <f t="shared" si="8"/>
        <v>19.900000000000002</v>
      </c>
      <c r="AN22" s="20">
        <f t="shared" si="9"/>
        <v>29.05</v>
      </c>
      <c r="AO22" s="20">
        <f t="shared" si="10"/>
        <v>14.55</v>
      </c>
      <c r="AP22" s="20">
        <f t="shared" si="11"/>
        <v>18.650000000000002</v>
      </c>
      <c r="AQ22" s="20">
        <f t="shared" si="12"/>
        <v>36</v>
      </c>
      <c r="AR22" s="20">
        <f t="shared" si="13"/>
        <v>54.2</v>
      </c>
      <c r="AS22" s="35">
        <f t="shared" si="34"/>
        <v>319.50000000000006</v>
      </c>
      <c r="AT22" s="50"/>
      <c r="AV22" s="54">
        <v>0</v>
      </c>
      <c r="AW22" s="53">
        <f t="shared" si="14"/>
        <v>0</v>
      </c>
      <c r="AX22" s="55">
        <f t="shared" si="17"/>
        <v>0</v>
      </c>
      <c r="AY22" s="73">
        <v>246004</v>
      </c>
      <c r="AZ22" s="37">
        <f t="shared" si="18"/>
        <v>225000</v>
      </c>
      <c r="BA22" s="37">
        <f t="shared" si="19"/>
        <v>614.25</v>
      </c>
      <c r="BB22" s="48">
        <f t="shared" si="20"/>
        <v>272.97270000000003</v>
      </c>
    </row>
    <row r="23" spans="1:54" x14ac:dyDescent="0.25">
      <c r="A23" s="23">
        <v>44121</v>
      </c>
      <c r="B23" s="40">
        <v>61</v>
      </c>
      <c r="C23" s="24">
        <v>6390210</v>
      </c>
      <c r="D23" s="24">
        <v>14562090</v>
      </c>
      <c r="E23" s="24">
        <v>2136380</v>
      </c>
      <c r="F23" s="24">
        <v>3074340</v>
      </c>
      <c r="G23" s="24">
        <v>9326710</v>
      </c>
      <c r="H23" s="24">
        <v>4761490</v>
      </c>
      <c r="I23" s="24">
        <v>4529430</v>
      </c>
      <c r="J23" s="24">
        <v>5101660</v>
      </c>
      <c r="K23" s="24">
        <v>8000780</v>
      </c>
      <c r="L23" s="24">
        <v>3248100</v>
      </c>
      <c r="M23" s="24">
        <v>7131110</v>
      </c>
      <c r="N23" s="24">
        <v>10437780</v>
      </c>
      <c r="O23" s="24">
        <v>14118680</v>
      </c>
      <c r="Q23" s="37">
        <f t="shared" si="21"/>
        <v>1060</v>
      </c>
      <c r="R23" s="37">
        <f t="shared" si="22"/>
        <v>12610</v>
      </c>
      <c r="S23" s="37">
        <f t="shared" si="16"/>
        <v>3050</v>
      </c>
      <c r="T23" s="37">
        <f t="shared" si="23"/>
        <v>1640</v>
      </c>
      <c r="U23" s="37">
        <f t="shared" si="24"/>
        <v>4960</v>
      </c>
      <c r="V23" s="37">
        <f t="shared" si="25"/>
        <v>3300</v>
      </c>
      <c r="W23" s="37">
        <f t="shared" si="26"/>
        <v>2490</v>
      </c>
      <c r="X23" s="37">
        <f t="shared" si="27"/>
        <v>3870</v>
      </c>
      <c r="Y23" s="37">
        <f t="shared" si="28"/>
        <v>5860</v>
      </c>
      <c r="Z23" s="37">
        <f t="shared" si="29"/>
        <v>2810</v>
      </c>
      <c r="AA23" s="37">
        <f t="shared" si="30"/>
        <v>3430</v>
      </c>
      <c r="AB23" s="37">
        <f t="shared" si="31"/>
        <v>7180</v>
      </c>
      <c r="AC23" s="37">
        <f t="shared" si="32"/>
        <v>10830</v>
      </c>
      <c r="AD23" s="35">
        <f t="shared" si="33"/>
        <v>63090</v>
      </c>
      <c r="AF23" s="20">
        <f t="shared" si="1"/>
        <v>5.3</v>
      </c>
      <c r="AG23" s="20">
        <f t="shared" si="2"/>
        <v>63.050000000000004</v>
      </c>
      <c r="AH23" s="20">
        <f t="shared" si="3"/>
        <v>15.25</v>
      </c>
      <c r="AI23" s="20">
        <f t="shared" si="4"/>
        <v>8.1999999999999993</v>
      </c>
      <c r="AJ23" s="20">
        <f t="shared" si="5"/>
        <v>24.8</v>
      </c>
      <c r="AK23" s="20">
        <f t="shared" si="6"/>
        <v>16.5</v>
      </c>
      <c r="AL23" s="20">
        <f t="shared" si="7"/>
        <v>12.450000000000001</v>
      </c>
      <c r="AM23" s="20">
        <f t="shared" si="8"/>
        <v>19.350000000000001</v>
      </c>
      <c r="AN23" s="20">
        <f t="shared" si="9"/>
        <v>29.3</v>
      </c>
      <c r="AO23" s="20">
        <f t="shared" si="10"/>
        <v>14.05</v>
      </c>
      <c r="AP23" s="20">
        <f t="shared" si="11"/>
        <v>17.150000000000002</v>
      </c>
      <c r="AQ23" s="20">
        <f t="shared" si="12"/>
        <v>35.9</v>
      </c>
      <c r="AR23" s="20">
        <f t="shared" si="13"/>
        <v>54.15</v>
      </c>
      <c r="AS23" s="35">
        <f t="shared" si="34"/>
        <v>315.45</v>
      </c>
      <c r="AT23" s="50"/>
      <c r="AV23" s="54">
        <v>0</v>
      </c>
      <c r="AW23" s="53">
        <f t="shared" si="14"/>
        <v>0</v>
      </c>
      <c r="AX23" s="55">
        <f t="shared" si="17"/>
        <v>0</v>
      </c>
      <c r="AY23" s="73">
        <v>248050</v>
      </c>
      <c r="AZ23" s="37">
        <f t="shared" si="18"/>
        <v>204600</v>
      </c>
      <c r="BA23" s="37">
        <f t="shared" si="19"/>
        <v>558.55799999999999</v>
      </c>
      <c r="BB23" s="48">
        <f t="shared" si="20"/>
        <v>248.22317520000001</v>
      </c>
    </row>
    <row r="24" spans="1:54" x14ac:dyDescent="0.25">
      <c r="A24" s="23">
        <v>44122</v>
      </c>
      <c r="B24" s="40">
        <v>49</v>
      </c>
      <c r="C24" s="24">
        <v>6391150</v>
      </c>
      <c r="D24" s="24">
        <v>14573220</v>
      </c>
      <c r="E24" s="24">
        <v>2139050</v>
      </c>
      <c r="F24" s="24">
        <v>3075780</v>
      </c>
      <c r="G24" s="24">
        <v>9330790</v>
      </c>
      <c r="H24" s="24">
        <v>4764340</v>
      </c>
      <c r="I24" s="24">
        <v>4531660</v>
      </c>
      <c r="J24" s="24">
        <v>5104770</v>
      </c>
      <c r="K24" s="24">
        <v>8005440</v>
      </c>
      <c r="L24" s="24">
        <v>3250420</v>
      </c>
      <c r="M24" s="24">
        <v>7133940</v>
      </c>
      <c r="N24" s="24">
        <v>10443860</v>
      </c>
      <c r="O24" s="24">
        <v>14127860</v>
      </c>
      <c r="Q24" s="37">
        <f t="shared" si="21"/>
        <v>940</v>
      </c>
      <c r="R24" s="37">
        <f t="shared" si="22"/>
        <v>11130</v>
      </c>
      <c r="S24" s="37">
        <f t="shared" si="16"/>
        <v>2670</v>
      </c>
      <c r="T24" s="37">
        <f t="shared" si="23"/>
        <v>1440</v>
      </c>
      <c r="U24" s="37">
        <f t="shared" si="24"/>
        <v>4080</v>
      </c>
      <c r="V24" s="37">
        <f t="shared" si="25"/>
        <v>2850</v>
      </c>
      <c r="W24" s="37">
        <f t="shared" si="26"/>
        <v>2230</v>
      </c>
      <c r="X24" s="37">
        <f t="shared" si="27"/>
        <v>3110</v>
      </c>
      <c r="Y24" s="37">
        <f t="shared" si="28"/>
        <v>4660</v>
      </c>
      <c r="Z24" s="37">
        <f t="shared" si="29"/>
        <v>2320</v>
      </c>
      <c r="AA24" s="37">
        <f t="shared" si="30"/>
        <v>2830</v>
      </c>
      <c r="AB24" s="37">
        <f t="shared" si="31"/>
        <v>6080</v>
      </c>
      <c r="AC24" s="37">
        <f t="shared" si="32"/>
        <v>9180</v>
      </c>
      <c r="AD24" s="35">
        <f t="shared" si="33"/>
        <v>53520</v>
      </c>
      <c r="AF24" s="20">
        <f t="shared" si="1"/>
        <v>4.7</v>
      </c>
      <c r="AG24" s="20">
        <f t="shared" si="2"/>
        <v>55.65</v>
      </c>
      <c r="AH24" s="20">
        <f t="shared" si="3"/>
        <v>13.35</v>
      </c>
      <c r="AI24" s="20">
        <f t="shared" si="4"/>
        <v>7.2</v>
      </c>
      <c r="AJ24" s="20">
        <f t="shared" si="5"/>
        <v>20.400000000000002</v>
      </c>
      <c r="AK24" s="20">
        <f t="shared" si="6"/>
        <v>14.25</v>
      </c>
      <c r="AL24" s="20">
        <f t="shared" si="7"/>
        <v>11.15</v>
      </c>
      <c r="AM24" s="20">
        <f t="shared" si="8"/>
        <v>15.55</v>
      </c>
      <c r="AN24" s="20">
        <f t="shared" si="9"/>
        <v>23.3</v>
      </c>
      <c r="AO24" s="20">
        <f t="shared" si="10"/>
        <v>11.6</v>
      </c>
      <c r="AP24" s="20">
        <f t="shared" si="11"/>
        <v>14.15</v>
      </c>
      <c r="AQ24" s="20">
        <f t="shared" si="12"/>
        <v>30.400000000000002</v>
      </c>
      <c r="AR24" s="20">
        <f t="shared" si="13"/>
        <v>45.9</v>
      </c>
      <c r="AS24" s="35">
        <f t="shared" si="34"/>
        <v>267.60000000000002</v>
      </c>
      <c r="AT24" s="50"/>
      <c r="AV24" s="54">
        <v>0</v>
      </c>
      <c r="AW24" s="53">
        <f t="shared" si="14"/>
        <v>0</v>
      </c>
      <c r="AX24" s="55">
        <f t="shared" si="17"/>
        <v>0</v>
      </c>
      <c r="AY24" s="73">
        <v>249949</v>
      </c>
      <c r="AZ24" s="37">
        <f t="shared" si="18"/>
        <v>189900</v>
      </c>
      <c r="BA24" s="37">
        <f t="shared" si="19"/>
        <v>518.42700000000002</v>
      </c>
      <c r="BB24" s="48">
        <f t="shared" si="20"/>
        <v>230.38895880000001</v>
      </c>
    </row>
    <row r="25" spans="1:54" x14ac:dyDescent="0.25">
      <c r="A25" s="23">
        <v>44123</v>
      </c>
      <c r="B25" s="40">
        <v>55</v>
      </c>
      <c r="C25" s="24">
        <v>6392150</v>
      </c>
      <c r="D25" s="24">
        <v>14585270</v>
      </c>
      <c r="E25" s="24">
        <v>2141940</v>
      </c>
      <c r="F25" s="24">
        <v>3077340</v>
      </c>
      <c r="G25" s="24">
        <v>9335230</v>
      </c>
      <c r="H25" s="24">
        <v>4767400</v>
      </c>
      <c r="I25" s="24">
        <v>4534040</v>
      </c>
      <c r="J25" s="24">
        <v>5108380</v>
      </c>
      <c r="K25" s="24">
        <v>8010480</v>
      </c>
      <c r="L25" s="24">
        <v>3252900</v>
      </c>
      <c r="M25" s="24">
        <v>7136910</v>
      </c>
      <c r="N25" s="24">
        <v>10450510</v>
      </c>
      <c r="O25" s="24">
        <v>14139240</v>
      </c>
      <c r="Q25" s="37">
        <f t="shared" ref="Q25:AC27" si="36">IF((C25-C24&lt;0), "0",C25-C24)</f>
        <v>1000</v>
      </c>
      <c r="R25" s="37">
        <f t="shared" si="22"/>
        <v>12050</v>
      </c>
      <c r="S25" s="37">
        <f t="shared" si="36"/>
        <v>2890</v>
      </c>
      <c r="T25" s="37">
        <f t="shared" si="36"/>
        <v>1560</v>
      </c>
      <c r="U25" s="37">
        <f t="shared" si="36"/>
        <v>4440</v>
      </c>
      <c r="V25" s="37">
        <f t="shared" si="36"/>
        <v>3060</v>
      </c>
      <c r="W25" s="37">
        <f t="shared" si="36"/>
        <v>2380</v>
      </c>
      <c r="X25" s="37">
        <f t="shared" si="36"/>
        <v>3610</v>
      </c>
      <c r="Y25" s="37">
        <f t="shared" si="36"/>
        <v>5040</v>
      </c>
      <c r="Z25" s="37">
        <f t="shared" si="36"/>
        <v>2480</v>
      </c>
      <c r="AA25" s="37">
        <f t="shared" si="36"/>
        <v>2970</v>
      </c>
      <c r="AB25" s="37">
        <f t="shared" si="36"/>
        <v>6650</v>
      </c>
      <c r="AC25" s="37">
        <f t="shared" si="36"/>
        <v>11380</v>
      </c>
      <c r="AD25" s="35">
        <f t="shared" si="33"/>
        <v>59510</v>
      </c>
      <c r="AF25" s="20">
        <f t="shared" si="1"/>
        <v>5</v>
      </c>
      <c r="AG25" s="20">
        <f t="shared" si="2"/>
        <v>60.25</v>
      </c>
      <c r="AH25" s="20">
        <f t="shared" si="3"/>
        <v>14.450000000000001</v>
      </c>
      <c r="AI25" s="20">
        <f t="shared" si="4"/>
        <v>7.8</v>
      </c>
      <c r="AJ25" s="20">
        <f t="shared" si="5"/>
        <v>22.2</v>
      </c>
      <c r="AK25" s="20">
        <f t="shared" si="6"/>
        <v>15.3</v>
      </c>
      <c r="AL25" s="20">
        <f t="shared" si="7"/>
        <v>11.9</v>
      </c>
      <c r="AM25" s="20">
        <f t="shared" si="8"/>
        <v>18.05</v>
      </c>
      <c r="AN25" s="20">
        <f t="shared" si="9"/>
        <v>25.2</v>
      </c>
      <c r="AO25" s="20">
        <f t="shared" si="10"/>
        <v>12.4</v>
      </c>
      <c r="AP25" s="20">
        <f t="shared" si="11"/>
        <v>14.85</v>
      </c>
      <c r="AQ25" s="20">
        <f t="shared" si="12"/>
        <v>33.25</v>
      </c>
      <c r="AR25" s="20">
        <f t="shared" si="13"/>
        <v>56.9</v>
      </c>
      <c r="AS25" s="35">
        <f t="shared" si="34"/>
        <v>297.55</v>
      </c>
      <c r="AT25" s="50"/>
      <c r="AV25" s="54">
        <v>0</v>
      </c>
      <c r="AW25" s="53">
        <f t="shared" si="14"/>
        <v>0</v>
      </c>
      <c r="AX25" s="55">
        <f t="shared" si="17"/>
        <v>0</v>
      </c>
      <c r="AY25" s="73">
        <v>251670</v>
      </c>
      <c r="AZ25" s="37">
        <f t="shared" si="18"/>
        <v>172100</v>
      </c>
      <c r="BA25" s="37">
        <f t="shared" si="19"/>
        <v>469.83300000000003</v>
      </c>
      <c r="BB25" s="48">
        <f t="shared" si="20"/>
        <v>208.79378520000003</v>
      </c>
    </row>
    <row r="26" spans="1:54" x14ac:dyDescent="0.25">
      <c r="A26" s="23">
        <v>44124</v>
      </c>
      <c r="B26" s="40">
        <v>56</v>
      </c>
      <c r="C26" s="24">
        <v>6393210</v>
      </c>
      <c r="D26" s="24">
        <v>14597730</v>
      </c>
      <c r="E26" s="24">
        <v>2144930</v>
      </c>
      <c r="F26" s="24">
        <v>3078950</v>
      </c>
      <c r="G26" s="24">
        <v>9339860</v>
      </c>
      <c r="H26" s="24">
        <v>4770570</v>
      </c>
      <c r="I26" s="24">
        <v>4536540</v>
      </c>
      <c r="J26" s="24">
        <v>5112220</v>
      </c>
      <c r="K26" s="24">
        <v>8015870</v>
      </c>
      <c r="L26" s="24">
        <v>3255410</v>
      </c>
      <c r="M26" s="24">
        <v>7140010</v>
      </c>
      <c r="N26" s="24">
        <v>10457630</v>
      </c>
      <c r="O26" s="24">
        <v>14151120</v>
      </c>
      <c r="Q26" s="37">
        <f t="shared" si="36"/>
        <v>1060</v>
      </c>
      <c r="R26" s="37">
        <f t="shared" si="22"/>
        <v>12460</v>
      </c>
      <c r="S26" s="37">
        <f t="shared" si="36"/>
        <v>2990</v>
      </c>
      <c r="T26" s="37">
        <f t="shared" si="36"/>
        <v>1610</v>
      </c>
      <c r="U26" s="37">
        <f t="shared" si="36"/>
        <v>4630</v>
      </c>
      <c r="V26" s="37">
        <f t="shared" si="36"/>
        <v>3170</v>
      </c>
      <c r="W26" s="37">
        <f t="shared" si="36"/>
        <v>2500</v>
      </c>
      <c r="X26" s="37">
        <f t="shared" si="36"/>
        <v>3840</v>
      </c>
      <c r="Y26" s="37">
        <f t="shared" si="36"/>
        <v>5390</v>
      </c>
      <c r="Z26" s="37">
        <f t="shared" si="36"/>
        <v>2510</v>
      </c>
      <c r="AA26" s="37">
        <f t="shared" si="36"/>
        <v>3100</v>
      </c>
      <c r="AB26" s="37">
        <f t="shared" si="36"/>
        <v>7120</v>
      </c>
      <c r="AC26" s="37">
        <f t="shared" si="36"/>
        <v>11880</v>
      </c>
      <c r="AD26" s="35">
        <f t="shared" si="33"/>
        <v>62260</v>
      </c>
      <c r="AF26" s="20">
        <f t="shared" si="1"/>
        <v>5.3</v>
      </c>
      <c r="AG26" s="20">
        <f t="shared" si="2"/>
        <v>62.300000000000004</v>
      </c>
      <c r="AH26" s="20">
        <f t="shared" si="3"/>
        <v>14.950000000000001</v>
      </c>
      <c r="AI26" s="20">
        <f t="shared" si="4"/>
        <v>8.0500000000000007</v>
      </c>
      <c r="AJ26" s="20">
        <f t="shared" si="5"/>
        <v>23.150000000000002</v>
      </c>
      <c r="AK26" s="20">
        <f t="shared" si="6"/>
        <v>15.85</v>
      </c>
      <c r="AL26" s="20">
        <f t="shared" si="7"/>
        <v>12.5</v>
      </c>
      <c r="AM26" s="20">
        <f t="shared" si="8"/>
        <v>19.2</v>
      </c>
      <c r="AN26" s="20">
        <f t="shared" si="9"/>
        <v>26.95</v>
      </c>
      <c r="AO26" s="20">
        <f t="shared" si="10"/>
        <v>12.55</v>
      </c>
      <c r="AP26" s="20">
        <f t="shared" si="11"/>
        <v>15.5</v>
      </c>
      <c r="AQ26" s="20">
        <f t="shared" si="12"/>
        <v>35.6</v>
      </c>
      <c r="AR26" s="20">
        <f t="shared" si="13"/>
        <v>59.4</v>
      </c>
      <c r="AS26" s="35">
        <f t="shared" si="34"/>
        <v>311.3</v>
      </c>
      <c r="AT26" s="50"/>
      <c r="AV26" s="54">
        <v>0</v>
      </c>
      <c r="AW26" s="53">
        <f t="shared" si="14"/>
        <v>0</v>
      </c>
      <c r="AX26" s="55">
        <f t="shared" si="17"/>
        <v>0</v>
      </c>
      <c r="AY26" s="73">
        <v>253661</v>
      </c>
      <c r="AZ26" s="37">
        <f t="shared" si="18"/>
        <v>199100</v>
      </c>
      <c r="BA26" s="37">
        <f t="shared" si="19"/>
        <v>543.54300000000001</v>
      </c>
      <c r="BB26" s="48">
        <f t="shared" si="20"/>
        <v>241.55050920000002</v>
      </c>
    </row>
    <row r="27" spans="1:54" x14ac:dyDescent="0.25">
      <c r="A27" s="23">
        <v>44125</v>
      </c>
      <c r="B27" s="40">
        <v>68</v>
      </c>
      <c r="C27" s="24">
        <v>6394220</v>
      </c>
      <c r="D27" s="24">
        <v>14609540</v>
      </c>
      <c r="E27" s="24">
        <v>2147750</v>
      </c>
      <c r="F27" s="24">
        <v>3080500</v>
      </c>
      <c r="G27" s="24">
        <v>9344210</v>
      </c>
      <c r="H27" s="24">
        <v>4773620</v>
      </c>
      <c r="I27" s="24">
        <v>4538950</v>
      </c>
      <c r="J27" s="24">
        <v>5115870</v>
      </c>
      <c r="K27" s="24">
        <v>8021110</v>
      </c>
      <c r="L27" s="24">
        <v>3257820</v>
      </c>
      <c r="M27" s="24">
        <v>7142940</v>
      </c>
      <c r="N27" s="24">
        <v>10464410</v>
      </c>
      <c r="O27" s="24">
        <v>14161730</v>
      </c>
      <c r="Q27" s="37">
        <f t="shared" si="36"/>
        <v>1010</v>
      </c>
      <c r="R27" s="37">
        <f t="shared" si="22"/>
        <v>11810</v>
      </c>
      <c r="S27" s="37">
        <f t="shared" si="36"/>
        <v>2820</v>
      </c>
      <c r="T27" s="37">
        <f t="shared" si="36"/>
        <v>1550</v>
      </c>
      <c r="U27" s="37">
        <f t="shared" si="36"/>
        <v>4350</v>
      </c>
      <c r="V27" s="37">
        <f t="shared" si="36"/>
        <v>3050</v>
      </c>
      <c r="W27" s="37">
        <f t="shared" si="36"/>
        <v>2410</v>
      </c>
      <c r="X27" s="37">
        <f t="shared" si="36"/>
        <v>3650</v>
      </c>
      <c r="Y27" s="37">
        <f t="shared" si="36"/>
        <v>5240</v>
      </c>
      <c r="Z27" s="37">
        <f t="shared" si="36"/>
        <v>2410</v>
      </c>
      <c r="AA27" s="37">
        <f t="shared" si="36"/>
        <v>2930</v>
      </c>
      <c r="AB27" s="37">
        <f t="shared" si="36"/>
        <v>6780</v>
      </c>
      <c r="AC27" s="37">
        <f t="shared" si="36"/>
        <v>10610</v>
      </c>
      <c r="AD27" s="35">
        <f t="shared" si="33"/>
        <v>58620</v>
      </c>
      <c r="AF27" s="20">
        <f t="shared" si="1"/>
        <v>5.05</v>
      </c>
      <c r="AG27" s="20">
        <f t="shared" si="2"/>
        <v>59.050000000000004</v>
      </c>
      <c r="AH27" s="20">
        <f t="shared" si="3"/>
        <v>14.1</v>
      </c>
      <c r="AI27" s="20">
        <f t="shared" si="4"/>
        <v>7.75</v>
      </c>
      <c r="AJ27" s="20">
        <f t="shared" si="5"/>
        <v>21.75</v>
      </c>
      <c r="AK27" s="20">
        <f t="shared" si="6"/>
        <v>15.25</v>
      </c>
      <c r="AL27" s="20">
        <f t="shared" si="7"/>
        <v>12.05</v>
      </c>
      <c r="AM27" s="20">
        <f t="shared" si="8"/>
        <v>18.25</v>
      </c>
      <c r="AN27" s="20">
        <f t="shared" si="9"/>
        <v>26.2</v>
      </c>
      <c r="AO27" s="20">
        <f t="shared" si="10"/>
        <v>12.05</v>
      </c>
      <c r="AP27" s="20">
        <f t="shared" si="11"/>
        <v>14.65</v>
      </c>
      <c r="AQ27" s="20">
        <f t="shared" si="12"/>
        <v>33.9</v>
      </c>
      <c r="AR27" s="20">
        <f t="shared" si="13"/>
        <v>53.050000000000004</v>
      </c>
      <c r="AS27" s="35">
        <f t="shared" si="34"/>
        <v>293.10000000000002</v>
      </c>
      <c r="AT27" s="50"/>
      <c r="AV27" s="54">
        <v>0</v>
      </c>
      <c r="AW27" s="53">
        <f t="shared" si="14"/>
        <v>0</v>
      </c>
      <c r="AX27" s="55">
        <f t="shared" si="17"/>
        <v>0</v>
      </c>
      <c r="AY27" s="73">
        <v>254412</v>
      </c>
      <c r="AZ27" s="37">
        <f t="shared" si="18"/>
        <v>75100</v>
      </c>
      <c r="BA27" s="37">
        <f t="shared" si="19"/>
        <v>205.02300000000002</v>
      </c>
      <c r="BB27" s="48">
        <f t="shared" si="20"/>
        <v>91.112221200000008</v>
      </c>
    </row>
    <row r="28" spans="1:54" x14ac:dyDescent="0.25">
      <c r="A28" s="23">
        <v>44126</v>
      </c>
      <c r="B28" s="40">
        <v>120</v>
      </c>
      <c r="C28" s="24">
        <v>6395360</v>
      </c>
      <c r="D28" s="24">
        <v>14622780</v>
      </c>
      <c r="E28" s="24">
        <v>2150000</v>
      </c>
      <c r="F28" s="24">
        <v>3082270</v>
      </c>
      <c r="G28" s="24">
        <v>9349400</v>
      </c>
      <c r="H28" s="24">
        <v>4777060</v>
      </c>
      <c r="I28" s="24">
        <v>4541640</v>
      </c>
      <c r="J28" s="24">
        <v>5118820</v>
      </c>
      <c r="K28" s="24">
        <v>8027060</v>
      </c>
      <c r="L28" s="24">
        <v>3260760</v>
      </c>
      <c r="M28" s="24">
        <v>7146480</v>
      </c>
      <c r="N28" s="24">
        <v>10472070</v>
      </c>
      <c r="O28" s="24">
        <v>14174070</v>
      </c>
      <c r="Q28" s="37">
        <f t="shared" si="21"/>
        <v>1140</v>
      </c>
      <c r="R28" s="37">
        <f t="shared" si="22"/>
        <v>13240</v>
      </c>
      <c r="S28" s="37">
        <f t="shared" si="16"/>
        <v>2250</v>
      </c>
      <c r="T28" s="37">
        <f t="shared" si="23"/>
        <v>1770</v>
      </c>
      <c r="U28" s="37">
        <f t="shared" si="24"/>
        <v>5190</v>
      </c>
      <c r="V28" s="37">
        <f t="shared" si="25"/>
        <v>3440</v>
      </c>
      <c r="W28" s="37">
        <f t="shared" si="26"/>
        <v>2690</v>
      </c>
      <c r="X28" s="37">
        <f t="shared" si="27"/>
        <v>2950</v>
      </c>
      <c r="Y28" s="37">
        <f t="shared" si="28"/>
        <v>5950</v>
      </c>
      <c r="Z28" s="37">
        <f t="shared" si="29"/>
        <v>2940</v>
      </c>
      <c r="AA28" s="37">
        <f t="shared" si="30"/>
        <v>3540</v>
      </c>
      <c r="AB28" s="37">
        <f t="shared" si="31"/>
        <v>7660</v>
      </c>
      <c r="AC28" s="37">
        <f t="shared" si="32"/>
        <v>12340</v>
      </c>
      <c r="AD28" s="35">
        <f t="shared" si="33"/>
        <v>65100</v>
      </c>
      <c r="AF28" s="20">
        <f t="shared" si="1"/>
        <v>5.7</v>
      </c>
      <c r="AG28" s="20">
        <f t="shared" si="2"/>
        <v>66.2</v>
      </c>
      <c r="AH28" s="20">
        <f t="shared" si="3"/>
        <v>11.25</v>
      </c>
      <c r="AI28" s="20">
        <f t="shared" si="4"/>
        <v>8.85</v>
      </c>
      <c r="AJ28" s="20">
        <f t="shared" si="5"/>
        <v>25.95</v>
      </c>
      <c r="AK28" s="20">
        <f t="shared" si="6"/>
        <v>17.2</v>
      </c>
      <c r="AL28" s="20">
        <f t="shared" si="7"/>
        <v>13.450000000000001</v>
      </c>
      <c r="AM28" s="20">
        <f t="shared" si="8"/>
        <v>14.75</v>
      </c>
      <c r="AN28" s="20">
        <f t="shared" si="9"/>
        <v>29.75</v>
      </c>
      <c r="AO28" s="20">
        <f t="shared" si="10"/>
        <v>14.700000000000001</v>
      </c>
      <c r="AP28" s="20">
        <f t="shared" si="11"/>
        <v>17.7</v>
      </c>
      <c r="AQ28" s="20">
        <f t="shared" si="12"/>
        <v>38.300000000000004</v>
      </c>
      <c r="AR28" s="20">
        <f t="shared" si="13"/>
        <v>61.7</v>
      </c>
      <c r="AS28" s="35">
        <f t="shared" si="34"/>
        <v>325.49999999999994</v>
      </c>
      <c r="AT28" s="50"/>
      <c r="AV28" s="54">
        <v>0</v>
      </c>
      <c r="AW28" s="53">
        <f t="shared" si="14"/>
        <v>0</v>
      </c>
      <c r="AX28" s="55">
        <f t="shared" si="17"/>
        <v>0</v>
      </c>
      <c r="AY28" s="73">
        <v>257727</v>
      </c>
      <c r="AZ28" s="37">
        <f t="shared" si="18"/>
        <v>331500</v>
      </c>
      <c r="BA28" s="37">
        <f t="shared" si="19"/>
        <v>904.995</v>
      </c>
      <c r="BB28" s="48">
        <f t="shared" si="20"/>
        <v>402.179778</v>
      </c>
    </row>
    <row r="29" spans="1:54" x14ac:dyDescent="0.25">
      <c r="A29" s="23">
        <v>44127</v>
      </c>
      <c r="B29" s="40">
        <v>142</v>
      </c>
      <c r="C29" s="24">
        <v>6396270</v>
      </c>
      <c r="D29" s="24">
        <v>14633570</v>
      </c>
      <c r="E29" s="24">
        <v>2153490</v>
      </c>
      <c r="F29" s="24">
        <v>3083640</v>
      </c>
      <c r="G29" s="24">
        <v>9353870</v>
      </c>
      <c r="H29" s="24">
        <v>4779950</v>
      </c>
      <c r="I29" s="24">
        <v>4543860</v>
      </c>
      <c r="J29" s="24">
        <v>5123410</v>
      </c>
      <c r="K29" s="24">
        <v>8032310</v>
      </c>
      <c r="L29" s="24">
        <v>3263240</v>
      </c>
      <c r="M29" s="24">
        <v>7149420</v>
      </c>
      <c r="N29" s="24">
        <v>10478300</v>
      </c>
      <c r="O29" s="24">
        <v>14183470</v>
      </c>
      <c r="Q29" s="37">
        <f t="shared" si="21"/>
        <v>910</v>
      </c>
      <c r="R29" s="37">
        <f t="shared" si="22"/>
        <v>10790</v>
      </c>
      <c r="S29" s="37">
        <f t="shared" si="16"/>
        <v>3490</v>
      </c>
      <c r="T29" s="37">
        <f t="shared" si="23"/>
        <v>1370</v>
      </c>
      <c r="U29" s="37">
        <f t="shared" si="24"/>
        <v>4470</v>
      </c>
      <c r="V29" s="37">
        <f t="shared" si="25"/>
        <v>2890</v>
      </c>
      <c r="W29" s="37">
        <f t="shared" si="26"/>
        <v>2220</v>
      </c>
      <c r="X29" s="37">
        <f t="shared" si="27"/>
        <v>4590</v>
      </c>
      <c r="Y29" s="37">
        <f t="shared" si="28"/>
        <v>5250</v>
      </c>
      <c r="Z29" s="37">
        <f t="shared" si="29"/>
        <v>2480</v>
      </c>
      <c r="AA29" s="37">
        <f t="shared" si="30"/>
        <v>2940</v>
      </c>
      <c r="AB29" s="37">
        <f t="shared" si="31"/>
        <v>6230</v>
      </c>
      <c r="AC29" s="37">
        <f t="shared" si="32"/>
        <v>9400</v>
      </c>
      <c r="AD29" s="35">
        <f t="shared" si="33"/>
        <v>57030</v>
      </c>
      <c r="AF29" s="20">
        <f t="shared" si="1"/>
        <v>4.55</v>
      </c>
      <c r="AG29" s="20">
        <f t="shared" si="2"/>
        <v>53.95</v>
      </c>
      <c r="AH29" s="20">
        <f t="shared" si="3"/>
        <v>17.45</v>
      </c>
      <c r="AI29" s="20">
        <f t="shared" si="4"/>
        <v>6.8500000000000005</v>
      </c>
      <c r="AJ29" s="20">
        <f t="shared" si="5"/>
        <v>22.35</v>
      </c>
      <c r="AK29" s="20">
        <f t="shared" si="6"/>
        <v>14.450000000000001</v>
      </c>
      <c r="AL29" s="20">
        <f t="shared" si="7"/>
        <v>11.1</v>
      </c>
      <c r="AM29" s="20">
        <f t="shared" si="8"/>
        <v>22.95</v>
      </c>
      <c r="AN29" s="20">
        <f t="shared" si="9"/>
        <v>26.25</v>
      </c>
      <c r="AO29" s="20">
        <f t="shared" si="10"/>
        <v>12.4</v>
      </c>
      <c r="AP29" s="20">
        <f t="shared" si="11"/>
        <v>14.700000000000001</v>
      </c>
      <c r="AQ29" s="20">
        <f t="shared" si="12"/>
        <v>31.150000000000002</v>
      </c>
      <c r="AR29" s="20">
        <f t="shared" si="13"/>
        <v>47</v>
      </c>
      <c r="AS29" s="35">
        <f t="shared" si="34"/>
        <v>285.14999999999998</v>
      </c>
      <c r="AT29" s="50"/>
      <c r="AV29" s="54">
        <v>0</v>
      </c>
      <c r="AW29" s="53">
        <f t="shared" si="14"/>
        <v>0</v>
      </c>
      <c r="AX29" s="55">
        <f t="shared" si="17"/>
        <v>0</v>
      </c>
      <c r="AY29" s="73">
        <v>259317</v>
      </c>
      <c r="AZ29" s="37">
        <f t="shared" si="18"/>
        <v>159000</v>
      </c>
      <c r="BA29" s="37">
        <f t="shared" si="19"/>
        <v>434.07</v>
      </c>
      <c r="BB29" s="48">
        <f t="shared" si="20"/>
        <v>192.90070800000001</v>
      </c>
    </row>
    <row r="30" spans="1:54" x14ac:dyDescent="0.25">
      <c r="A30" s="23">
        <v>44128</v>
      </c>
      <c r="B30" s="40">
        <v>77</v>
      </c>
      <c r="C30" s="24">
        <v>6397310</v>
      </c>
      <c r="D30" s="24">
        <v>14645640</v>
      </c>
      <c r="E30" s="24">
        <v>2156370</v>
      </c>
      <c r="F30" s="24">
        <v>3085250</v>
      </c>
      <c r="G30" s="24">
        <v>9358960</v>
      </c>
      <c r="H30" s="24">
        <v>4783150</v>
      </c>
      <c r="I30" s="24">
        <v>4546320</v>
      </c>
      <c r="J30" s="24">
        <v>5127110</v>
      </c>
      <c r="K30" s="24">
        <v>8038030</v>
      </c>
      <c r="L30" s="24">
        <v>3265920</v>
      </c>
      <c r="M30" s="24">
        <v>7152770</v>
      </c>
      <c r="N30" s="24">
        <v>10485270</v>
      </c>
      <c r="O30" s="24">
        <v>14193840</v>
      </c>
      <c r="Q30" s="37">
        <f t="shared" si="21"/>
        <v>1040</v>
      </c>
      <c r="R30" s="37">
        <f t="shared" si="22"/>
        <v>12070</v>
      </c>
      <c r="S30" s="37">
        <f t="shared" si="16"/>
        <v>2880</v>
      </c>
      <c r="T30" s="37">
        <f t="shared" si="23"/>
        <v>1610</v>
      </c>
      <c r="U30" s="37">
        <f t="shared" si="24"/>
        <v>5090</v>
      </c>
      <c r="V30" s="37">
        <f t="shared" si="25"/>
        <v>3200</v>
      </c>
      <c r="W30" s="37">
        <f t="shared" si="26"/>
        <v>2460</v>
      </c>
      <c r="X30" s="37">
        <f t="shared" si="27"/>
        <v>3700</v>
      </c>
      <c r="Y30" s="37">
        <f t="shared" si="28"/>
        <v>5720</v>
      </c>
      <c r="Z30" s="37">
        <f t="shared" si="29"/>
        <v>2680</v>
      </c>
      <c r="AA30" s="37">
        <f t="shared" si="30"/>
        <v>3350</v>
      </c>
      <c r="AB30" s="37">
        <f t="shared" si="31"/>
        <v>6970</v>
      </c>
      <c r="AC30" s="37">
        <f t="shared" si="32"/>
        <v>10370</v>
      </c>
      <c r="AD30" s="35">
        <f t="shared" si="33"/>
        <v>61140</v>
      </c>
      <c r="AF30" s="20">
        <f t="shared" si="1"/>
        <v>5.2</v>
      </c>
      <c r="AG30" s="20">
        <f t="shared" si="2"/>
        <v>60.35</v>
      </c>
      <c r="AH30" s="20">
        <f t="shared" si="3"/>
        <v>14.4</v>
      </c>
      <c r="AI30" s="20">
        <f t="shared" si="4"/>
        <v>8.0500000000000007</v>
      </c>
      <c r="AJ30" s="20">
        <f t="shared" si="5"/>
        <v>25.45</v>
      </c>
      <c r="AK30" s="20">
        <f t="shared" si="6"/>
        <v>16</v>
      </c>
      <c r="AL30" s="20">
        <f t="shared" si="7"/>
        <v>12.3</v>
      </c>
      <c r="AM30" s="20">
        <f t="shared" si="8"/>
        <v>18.5</v>
      </c>
      <c r="AN30" s="20">
        <f t="shared" si="9"/>
        <v>28.6</v>
      </c>
      <c r="AO30" s="20">
        <f t="shared" si="10"/>
        <v>13.4</v>
      </c>
      <c r="AP30" s="20">
        <f t="shared" si="11"/>
        <v>16.75</v>
      </c>
      <c r="AQ30" s="20">
        <f t="shared" si="12"/>
        <v>34.85</v>
      </c>
      <c r="AR30" s="20">
        <f t="shared" si="13"/>
        <v>51.85</v>
      </c>
      <c r="AS30" s="35">
        <f t="shared" si="34"/>
        <v>305.7</v>
      </c>
      <c r="AT30" s="50"/>
      <c r="AV30" s="54">
        <v>0</v>
      </c>
      <c r="AW30" s="53">
        <f t="shared" si="14"/>
        <v>0</v>
      </c>
      <c r="AX30" s="55">
        <f t="shared" si="17"/>
        <v>0</v>
      </c>
      <c r="AY30" s="73">
        <v>261118</v>
      </c>
      <c r="AZ30" s="37">
        <f t="shared" si="18"/>
        <v>180100</v>
      </c>
      <c r="BA30" s="37">
        <f t="shared" si="19"/>
        <v>491.673</v>
      </c>
      <c r="BB30" s="48">
        <f t="shared" si="20"/>
        <v>218.49948120000002</v>
      </c>
    </row>
    <row r="31" spans="1:54" x14ac:dyDescent="0.25">
      <c r="A31" s="23">
        <v>44129</v>
      </c>
      <c r="B31" s="40">
        <v>61</v>
      </c>
      <c r="C31" s="24">
        <v>6398310</v>
      </c>
      <c r="D31" s="24">
        <v>14657160</v>
      </c>
      <c r="E31" s="24">
        <v>2159100</v>
      </c>
      <c r="F31" s="24">
        <v>3086820</v>
      </c>
      <c r="G31" s="24">
        <v>9363590</v>
      </c>
      <c r="H31" s="24">
        <v>4786130</v>
      </c>
      <c r="I31" s="24">
        <v>4548700</v>
      </c>
      <c r="J31" s="24">
        <v>5130450</v>
      </c>
      <c r="K31" s="24">
        <v>8043200</v>
      </c>
      <c r="L31" s="24">
        <v>3268380</v>
      </c>
      <c r="M31" s="24">
        <v>7155760</v>
      </c>
      <c r="N31" s="24">
        <v>10491940</v>
      </c>
      <c r="O31" s="24">
        <v>14203160</v>
      </c>
      <c r="Q31" s="37">
        <f>IF((C31-C30&lt;0), "0",C31-C30)</f>
        <v>1000</v>
      </c>
      <c r="R31" s="37">
        <f t="shared" si="22"/>
        <v>11520</v>
      </c>
      <c r="S31" s="37">
        <f t="shared" si="16"/>
        <v>2730</v>
      </c>
      <c r="T31" s="37">
        <f t="shared" si="23"/>
        <v>1570</v>
      </c>
      <c r="U31" s="37">
        <f t="shared" si="24"/>
        <v>4630</v>
      </c>
      <c r="V31" s="37">
        <f t="shared" si="25"/>
        <v>2980</v>
      </c>
      <c r="W31" s="37">
        <f t="shared" si="26"/>
        <v>2380</v>
      </c>
      <c r="X31" s="37">
        <f t="shared" si="27"/>
        <v>3340</v>
      </c>
      <c r="Y31" s="37">
        <f t="shared" si="28"/>
        <v>5170</v>
      </c>
      <c r="Z31" s="37">
        <f t="shared" si="29"/>
        <v>2460</v>
      </c>
      <c r="AA31" s="37">
        <f t="shared" si="30"/>
        <v>2990</v>
      </c>
      <c r="AB31" s="37">
        <f t="shared" si="31"/>
        <v>6670</v>
      </c>
      <c r="AC31" s="37">
        <f t="shared" si="32"/>
        <v>9320</v>
      </c>
      <c r="AD31" s="35">
        <f t="shared" si="33"/>
        <v>56760</v>
      </c>
      <c r="AF31" s="20">
        <f t="shared" si="1"/>
        <v>5</v>
      </c>
      <c r="AG31" s="20">
        <f t="shared" si="2"/>
        <v>57.6</v>
      </c>
      <c r="AH31" s="20">
        <f t="shared" si="3"/>
        <v>13.65</v>
      </c>
      <c r="AI31" s="20">
        <f t="shared" si="4"/>
        <v>7.8500000000000005</v>
      </c>
      <c r="AJ31" s="20">
        <f t="shared" si="5"/>
        <v>23.150000000000002</v>
      </c>
      <c r="AK31" s="20">
        <f t="shared" si="6"/>
        <v>14.9</v>
      </c>
      <c r="AL31" s="20">
        <f t="shared" si="7"/>
        <v>11.9</v>
      </c>
      <c r="AM31" s="20">
        <f t="shared" si="8"/>
        <v>16.7</v>
      </c>
      <c r="AN31" s="20">
        <f t="shared" si="9"/>
        <v>25.85</v>
      </c>
      <c r="AO31" s="20">
        <f t="shared" si="10"/>
        <v>12.3</v>
      </c>
      <c r="AP31" s="20">
        <f t="shared" si="11"/>
        <v>14.950000000000001</v>
      </c>
      <c r="AQ31" s="20">
        <f t="shared" si="12"/>
        <v>33.35</v>
      </c>
      <c r="AR31" s="20">
        <f t="shared" si="13"/>
        <v>46.6</v>
      </c>
      <c r="AS31" s="35">
        <f t="shared" si="34"/>
        <v>283.8</v>
      </c>
      <c r="AT31" s="50"/>
      <c r="AV31" s="54">
        <v>0</v>
      </c>
      <c r="AW31" s="53">
        <f t="shared" si="14"/>
        <v>0</v>
      </c>
      <c r="AX31" s="55">
        <f t="shared" si="17"/>
        <v>0</v>
      </c>
      <c r="AY31" s="73">
        <v>263440</v>
      </c>
      <c r="AZ31" s="37">
        <f t="shared" si="18"/>
        <v>232200</v>
      </c>
      <c r="BA31" s="37">
        <f t="shared" si="19"/>
        <v>633.90599999999995</v>
      </c>
      <c r="BB31" s="48">
        <f t="shared" si="20"/>
        <v>281.70782639999999</v>
      </c>
    </row>
    <row r="32" spans="1:54" x14ac:dyDescent="0.25">
      <c r="A32" s="23">
        <v>44130</v>
      </c>
      <c r="B32" s="40">
        <v>60</v>
      </c>
      <c r="C32" s="24">
        <v>6399350</v>
      </c>
      <c r="D32" s="24">
        <v>14669160</v>
      </c>
      <c r="E32" s="24">
        <v>2161940</v>
      </c>
      <c r="F32" s="24">
        <v>3088460</v>
      </c>
      <c r="G32" s="24">
        <v>9368350</v>
      </c>
      <c r="H32" s="24">
        <v>4789270</v>
      </c>
      <c r="I32" s="24">
        <v>4551200</v>
      </c>
      <c r="J32" s="24">
        <v>5134180</v>
      </c>
      <c r="K32" s="24">
        <v>8048680</v>
      </c>
      <c r="L32" s="24">
        <v>3270880</v>
      </c>
      <c r="M32" s="24">
        <v>7158880</v>
      </c>
      <c r="N32" s="24">
        <v>10498940</v>
      </c>
      <c r="O32" s="24">
        <v>14213540</v>
      </c>
      <c r="Q32" s="37">
        <f>IF((C32-C31&lt;0), "0",C32-C31)</f>
        <v>1040</v>
      </c>
      <c r="R32" s="37">
        <f t="shared" si="22"/>
        <v>12000</v>
      </c>
      <c r="S32" s="37">
        <f t="shared" si="16"/>
        <v>2840</v>
      </c>
      <c r="T32" s="37">
        <f t="shared" si="23"/>
        <v>1640</v>
      </c>
      <c r="U32" s="37">
        <f t="shared" si="24"/>
        <v>4760</v>
      </c>
      <c r="V32" s="37">
        <f t="shared" si="25"/>
        <v>3140</v>
      </c>
      <c r="W32" s="37">
        <f t="shared" si="26"/>
        <v>2500</v>
      </c>
      <c r="X32" s="37">
        <f t="shared" si="27"/>
        <v>3730</v>
      </c>
      <c r="Y32" s="37">
        <f t="shared" si="28"/>
        <v>5480</v>
      </c>
      <c r="Z32" s="37">
        <f t="shared" si="29"/>
        <v>2500</v>
      </c>
      <c r="AA32" s="37">
        <f t="shared" si="30"/>
        <v>3120</v>
      </c>
      <c r="AB32" s="37">
        <f t="shared" si="31"/>
        <v>7000</v>
      </c>
      <c r="AC32" s="37">
        <f t="shared" si="32"/>
        <v>10380</v>
      </c>
      <c r="AD32" s="35">
        <f t="shared" si="33"/>
        <v>60130</v>
      </c>
      <c r="AF32" s="20">
        <f t="shared" si="1"/>
        <v>5.2</v>
      </c>
      <c r="AG32" s="20">
        <f t="shared" si="2"/>
        <v>60</v>
      </c>
      <c r="AH32" s="20">
        <f t="shared" si="3"/>
        <v>14.200000000000001</v>
      </c>
      <c r="AI32" s="20">
        <f t="shared" si="4"/>
        <v>8.1999999999999993</v>
      </c>
      <c r="AJ32" s="20">
        <f t="shared" si="5"/>
        <v>23.8</v>
      </c>
      <c r="AK32" s="20">
        <f t="shared" si="6"/>
        <v>15.700000000000001</v>
      </c>
      <c r="AL32" s="20">
        <f t="shared" si="7"/>
        <v>12.5</v>
      </c>
      <c r="AM32" s="20">
        <f t="shared" si="8"/>
        <v>18.650000000000002</v>
      </c>
      <c r="AN32" s="20">
        <f t="shared" si="9"/>
        <v>27.400000000000002</v>
      </c>
      <c r="AO32" s="20">
        <f t="shared" si="10"/>
        <v>12.5</v>
      </c>
      <c r="AP32" s="20">
        <f t="shared" si="11"/>
        <v>15.6</v>
      </c>
      <c r="AQ32" s="20">
        <f t="shared" si="12"/>
        <v>35</v>
      </c>
      <c r="AR32" s="20">
        <f t="shared" si="13"/>
        <v>51.9</v>
      </c>
      <c r="AS32" s="35">
        <f t="shared" si="34"/>
        <v>300.65000000000003</v>
      </c>
      <c r="AT32" s="50"/>
      <c r="AV32" s="54">
        <v>0</v>
      </c>
      <c r="AW32" s="53">
        <f t="shared" si="14"/>
        <v>0</v>
      </c>
      <c r="AX32" s="55">
        <f t="shared" si="17"/>
        <v>0</v>
      </c>
      <c r="AY32" s="73">
        <v>265145</v>
      </c>
      <c r="AZ32" s="37">
        <f t="shared" si="18"/>
        <v>170500</v>
      </c>
      <c r="BA32" s="37">
        <f t="shared" si="19"/>
        <v>465.46500000000003</v>
      </c>
      <c r="BB32" s="48">
        <f t="shared" si="20"/>
        <v>206.85264600000002</v>
      </c>
    </row>
    <row r="33" spans="1:54" x14ac:dyDescent="0.25">
      <c r="A33" s="23">
        <v>44131</v>
      </c>
      <c r="B33" s="40">
        <v>77</v>
      </c>
      <c r="C33" s="24">
        <v>6400350</v>
      </c>
      <c r="D33" s="24">
        <v>14680560</v>
      </c>
      <c r="E33" s="24">
        <v>2164620</v>
      </c>
      <c r="F33" s="24">
        <v>3090030</v>
      </c>
      <c r="G33" s="24">
        <v>9373330</v>
      </c>
      <c r="H33" s="24">
        <v>4792340</v>
      </c>
      <c r="I33" s="24">
        <v>4553630</v>
      </c>
      <c r="J33" s="24">
        <v>5137760</v>
      </c>
      <c r="K33" s="24">
        <v>8053950</v>
      </c>
      <c r="L33" s="24">
        <v>3273420</v>
      </c>
      <c r="M33" s="24">
        <v>7161850</v>
      </c>
      <c r="N33" s="24">
        <v>10505910</v>
      </c>
      <c r="O33" s="24">
        <v>14223000</v>
      </c>
      <c r="Q33" s="37">
        <f>IF((C33-C32&lt;0), "0",C33-C32)</f>
        <v>1000</v>
      </c>
      <c r="R33" s="37">
        <f t="shared" si="22"/>
        <v>11400</v>
      </c>
      <c r="S33" s="37">
        <f t="shared" si="16"/>
        <v>2680</v>
      </c>
      <c r="T33" s="37">
        <f t="shared" si="23"/>
        <v>1570</v>
      </c>
      <c r="U33" s="37">
        <f t="shared" si="24"/>
        <v>4980</v>
      </c>
      <c r="V33" s="37">
        <f t="shared" si="25"/>
        <v>3070</v>
      </c>
      <c r="W33" s="37">
        <f t="shared" si="26"/>
        <v>2430</v>
      </c>
      <c r="X33" s="37">
        <f t="shared" si="27"/>
        <v>3580</v>
      </c>
      <c r="Y33" s="37">
        <f t="shared" si="28"/>
        <v>5270</v>
      </c>
      <c r="Z33" s="37">
        <f t="shared" si="29"/>
        <v>2540</v>
      </c>
      <c r="AA33" s="37">
        <f t="shared" si="30"/>
        <v>2970</v>
      </c>
      <c r="AB33" s="37">
        <f t="shared" si="31"/>
        <v>6970</v>
      </c>
      <c r="AC33" s="37">
        <f t="shared" si="32"/>
        <v>9460</v>
      </c>
      <c r="AD33" s="35">
        <f t="shared" si="33"/>
        <v>57920</v>
      </c>
      <c r="AF33" s="20">
        <f t="shared" si="1"/>
        <v>5</v>
      </c>
      <c r="AG33" s="20">
        <f t="shared" si="2"/>
        <v>57</v>
      </c>
      <c r="AH33" s="20">
        <f t="shared" si="3"/>
        <v>13.4</v>
      </c>
      <c r="AI33" s="20">
        <f t="shared" si="4"/>
        <v>7.8500000000000005</v>
      </c>
      <c r="AJ33" s="20">
        <f t="shared" si="5"/>
        <v>24.900000000000002</v>
      </c>
      <c r="AK33" s="20">
        <f t="shared" si="6"/>
        <v>15.35</v>
      </c>
      <c r="AL33" s="20">
        <f t="shared" si="7"/>
        <v>12.15</v>
      </c>
      <c r="AM33" s="20">
        <f t="shared" si="8"/>
        <v>17.900000000000002</v>
      </c>
      <c r="AN33" s="20">
        <f t="shared" si="9"/>
        <v>26.35</v>
      </c>
      <c r="AO33" s="20">
        <f t="shared" si="10"/>
        <v>12.700000000000001</v>
      </c>
      <c r="AP33" s="20">
        <f t="shared" si="11"/>
        <v>14.85</v>
      </c>
      <c r="AQ33" s="20">
        <f t="shared" si="12"/>
        <v>34.85</v>
      </c>
      <c r="AR33" s="20">
        <f t="shared" si="13"/>
        <v>47.300000000000004</v>
      </c>
      <c r="AS33" s="35">
        <f t="shared" si="34"/>
        <v>289.59999999999997</v>
      </c>
      <c r="AT33" s="50"/>
      <c r="AV33" s="54">
        <v>0</v>
      </c>
      <c r="AW33" s="53">
        <f t="shared" si="14"/>
        <v>0</v>
      </c>
      <c r="AX33" s="55">
        <f t="shared" si="17"/>
        <v>0</v>
      </c>
      <c r="AY33" s="73">
        <v>266840</v>
      </c>
      <c r="AZ33" s="37">
        <f t="shared" si="18"/>
        <v>169500</v>
      </c>
      <c r="BA33" s="37">
        <f t="shared" si="19"/>
        <v>462.73500000000001</v>
      </c>
      <c r="BB33" s="48">
        <f t="shared" si="20"/>
        <v>205.63943400000002</v>
      </c>
    </row>
    <row r="34" spans="1:54" x14ac:dyDescent="0.25">
      <c r="A34" s="23">
        <v>44132</v>
      </c>
      <c r="B34" s="46">
        <v>104</v>
      </c>
      <c r="C34" s="45">
        <v>6401120</v>
      </c>
      <c r="D34" s="24">
        <v>14694310</v>
      </c>
      <c r="E34" s="24">
        <v>2165832</v>
      </c>
      <c r="F34" s="24">
        <v>3091650</v>
      </c>
      <c r="G34" s="24">
        <v>9378470</v>
      </c>
      <c r="H34" s="24">
        <v>4795840</v>
      </c>
      <c r="I34" s="24">
        <v>4556210</v>
      </c>
      <c r="J34" s="24">
        <v>5141640</v>
      </c>
      <c r="K34" s="24">
        <v>8059710</v>
      </c>
      <c r="L34" s="24">
        <v>3276160</v>
      </c>
      <c r="M34" s="24">
        <v>7165210</v>
      </c>
      <c r="N34" s="24">
        <v>10513270</v>
      </c>
      <c r="O34" s="24">
        <v>14232920</v>
      </c>
      <c r="Q34" s="37">
        <f>IF((C34-C33&lt;0), "0",C34-C33)</f>
        <v>770</v>
      </c>
      <c r="R34" s="37">
        <f t="shared" si="22"/>
        <v>13750</v>
      </c>
      <c r="S34" s="37">
        <f t="shared" si="16"/>
        <v>1212</v>
      </c>
      <c r="T34" s="37">
        <f t="shared" si="23"/>
        <v>1620</v>
      </c>
      <c r="U34" s="37">
        <f t="shared" si="24"/>
        <v>5140</v>
      </c>
      <c r="V34" s="37">
        <f t="shared" si="25"/>
        <v>3500</v>
      </c>
      <c r="W34" s="37">
        <f t="shared" si="26"/>
        <v>2580</v>
      </c>
      <c r="X34" s="37">
        <f t="shared" si="27"/>
        <v>3880</v>
      </c>
      <c r="Y34" s="37">
        <f t="shared" si="28"/>
        <v>5760</v>
      </c>
      <c r="Z34" s="37">
        <f t="shared" si="29"/>
        <v>2740</v>
      </c>
      <c r="AA34" s="37">
        <f t="shared" si="30"/>
        <v>3360</v>
      </c>
      <c r="AB34" s="37">
        <f t="shared" si="31"/>
        <v>7360</v>
      </c>
      <c r="AC34" s="37">
        <f t="shared" si="32"/>
        <v>9920</v>
      </c>
      <c r="AD34" s="35">
        <f t="shared" si="33"/>
        <v>61592</v>
      </c>
      <c r="AF34" s="20">
        <f>Q34*$D$39</f>
        <v>3.85</v>
      </c>
      <c r="AG34" s="20">
        <f t="shared" si="2"/>
        <v>68.75</v>
      </c>
      <c r="AH34" s="20">
        <f t="shared" si="3"/>
        <v>6.0600000000000005</v>
      </c>
      <c r="AI34" s="20">
        <f t="shared" si="4"/>
        <v>8.1</v>
      </c>
      <c r="AJ34" s="20">
        <f t="shared" si="5"/>
        <v>25.7</v>
      </c>
      <c r="AK34" s="20">
        <f t="shared" si="6"/>
        <v>17.5</v>
      </c>
      <c r="AL34" s="20">
        <f t="shared" si="7"/>
        <v>12.9</v>
      </c>
      <c r="AM34" s="20">
        <f t="shared" si="8"/>
        <v>19.400000000000002</v>
      </c>
      <c r="AN34" s="20">
        <f t="shared" si="9"/>
        <v>28.8</v>
      </c>
      <c r="AO34" s="20">
        <f t="shared" si="10"/>
        <v>13.700000000000001</v>
      </c>
      <c r="AP34" s="20">
        <f t="shared" si="11"/>
        <v>16.8</v>
      </c>
      <c r="AQ34" s="20">
        <f t="shared" si="12"/>
        <v>36.800000000000004</v>
      </c>
      <c r="AR34" s="20">
        <f t="shared" si="13"/>
        <v>49.6</v>
      </c>
      <c r="AS34" s="35">
        <f>SUM(AF34:AR34)</f>
        <v>307.96000000000004</v>
      </c>
      <c r="AT34" s="50"/>
      <c r="AV34" s="54">
        <v>0</v>
      </c>
      <c r="AW34" s="53">
        <f t="shared" si="14"/>
        <v>0</v>
      </c>
      <c r="AX34" s="55">
        <f t="shared" si="17"/>
        <v>0</v>
      </c>
      <c r="AY34" s="73">
        <v>269680</v>
      </c>
      <c r="AZ34" s="37">
        <f t="shared" si="18"/>
        <v>284000</v>
      </c>
      <c r="BA34" s="37">
        <f t="shared" si="19"/>
        <v>775.32</v>
      </c>
      <c r="BB34" s="48">
        <f t="shared" si="20"/>
        <v>344.55220800000001</v>
      </c>
    </row>
    <row r="35" spans="1:54" x14ac:dyDescent="0.25">
      <c r="A35" s="23">
        <v>44133</v>
      </c>
      <c r="B35" s="40">
        <v>161</v>
      </c>
      <c r="C35" s="24">
        <v>6401600</v>
      </c>
      <c r="D35" s="24">
        <v>14707820</v>
      </c>
      <c r="E35" s="24">
        <v>2165850</v>
      </c>
      <c r="F35" s="24">
        <v>3093100</v>
      </c>
      <c r="G35" s="24">
        <v>9383390</v>
      </c>
      <c r="H35" s="24">
        <v>4799080</v>
      </c>
      <c r="I35" s="24">
        <v>4558590</v>
      </c>
      <c r="J35" s="24">
        <v>5145120</v>
      </c>
      <c r="K35" s="24">
        <v>8065160</v>
      </c>
      <c r="L35" s="24">
        <v>3278910</v>
      </c>
      <c r="M35" s="24">
        <v>7168700</v>
      </c>
      <c r="N35" s="24">
        <v>10520020</v>
      </c>
      <c r="O35" s="24">
        <v>14242210</v>
      </c>
      <c r="Q35" s="37">
        <f>IF((C35-C34&lt;0), "0",C35-C34)</f>
        <v>480</v>
      </c>
      <c r="R35" s="37">
        <f t="shared" si="22"/>
        <v>13510</v>
      </c>
      <c r="S35" s="37">
        <f t="shared" si="16"/>
        <v>18</v>
      </c>
      <c r="T35" s="37">
        <f t="shared" si="23"/>
        <v>1450</v>
      </c>
      <c r="U35" s="37">
        <f t="shared" si="24"/>
        <v>4920</v>
      </c>
      <c r="V35" s="37">
        <f t="shared" si="25"/>
        <v>3240</v>
      </c>
      <c r="W35" s="37">
        <f t="shared" si="26"/>
        <v>2380</v>
      </c>
      <c r="X35" s="37">
        <f t="shared" si="27"/>
        <v>3480</v>
      </c>
      <c r="Y35" s="37">
        <f t="shared" si="28"/>
        <v>5450</v>
      </c>
      <c r="Z35" s="37">
        <f t="shared" si="29"/>
        <v>2750</v>
      </c>
      <c r="AA35" s="37">
        <f t="shared" si="30"/>
        <v>3490</v>
      </c>
      <c r="AB35" s="37">
        <f t="shared" si="31"/>
        <v>6750</v>
      </c>
      <c r="AC35" s="37">
        <f t="shared" si="32"/>
        <v>9290</v>
      </c>
      <c r="AD35" s="35">
        <f t="shared" si="33"/>
        <v>57208</v>
      </c>
      <c r="AF35" s="20">
        <f t="shared" si="1"/>
        <v>2.4</v>
      </c>
      <c r="AG35" s="20">
        <f t="shared" si="2"/>
        <v>67.55</v>
      </c>
      <c r="AH35" s="20">
        <f t="shared" si="3"/>
        <v>0.09</v>
      </c>
      <c r="AI35" s="20">
        <f t="shared" si="4"/>
        <v>7.25</v>
      </c>
      <c r="AJ35" s="20">
        <f t="shared" si="5"/>
        <v>24.6</v>
      </c>
      <c r="AK35" s="20">
        <f t="shared" si="6"/>
        <v>16.2</v>
      </c>
      <c r="AL35" s="20">
        <f t="shared" si="7"/>
        <v>11.9</v>
      </c>
      <c r="AM35" s="20">
        <f t="shared" si="8"/>
        <v>17.400000000000002</v>
      </c>
      <c r="AN35" s="20">
        <f t="shared" si="9"/>
        <v>27.25</v>
      </c>
      <c r="AO35" s="20">
        <f t="shared" si="10"/>
        <v>13.75</v>
      </c>
      <c r="AP35" s="20">
        <f t="shared" si="11"/>
        <v>17.45</v>
      </c>
      <c r="AQ35" s="20">
        <f t="shared" si="12"/>
        <v>33.75</v>
      </c>
      <c r="AR35" s="20">
        <f t="shared" si="13"/>
        <v>46.45</v>
      </c>
      <c r="AS35" s="35">
        <f>SUM(AF35:AR35)</f>
        <v>286.04000000000002</v>
      </c>
      <c r="AT35" s="50"/>
      <c r="AV35" s="54">
        <v>0</v>
      </c>
      <c r="AW35" s="53">
        <f t="shared" si="14"/>
        <v>0</v>
      </c>
      <c r="AX35" s="55">
        <f t="shared" si="17"/>
        <v>0</v>
      </c>
      <c r="AY35" s="73">
        <v>271601</v>
      </c>
      <c r="AZ35" s="37">
        <f t="shared" si="18"/>
        <v>192100</v>
      </c>
      <c r="BA35" s="37">
        <f t="shared" si="19"/>
        <v>524.43299999999999</v>
      </c>
      <c r="BB35" s="48">
        <f t="shared" si="20"/>
        <v>233.0580252</v>
      </c>
    </row>
    <row r="36" spans="1:54" x14ac:dyDescent="0.25">
      <c r="A36" s="23">
        <v>44134</v>
      </c>
      <c r="B36" s="40">
        <v>153</v>
      </c>
      <c r="C36" s="24">
        <v>6402110</v>
      </c>
      <c r="D36" s="24">
        <v>14722090</v>
      </c>
      <c r="E36" s="24">
        <v>2165880</v>
      </c>
      <c r="F36" s="24">
        <v>3094630</v>
      </c>
      <c r="G36" s="24">
        <v>9388350</v>
      </c>
      <c r="H36" s="24">
        <v>4802500</v>
      </c>
      <c r="I36" s="24">
        <v>4561050</v>
      </c>
      <c r="J36" s="70">
        <v>5148840</v>
      </c>
      <c r="K36" s="24">
        <v>8071000</v>
      </c>
      <c r="L36" s="24">
        <v>3281840</v>
      </c>
      <c r="M36" s="24">
        <v>7172400</v>
      </c>
      <c r="N36" s="24">
        <v>10527160</v>
      </c>
      <c r="O36" s="24">
        <v>14252110</v>
      </c>
      <c r="Q36" s="37">
        <f t="shared" ref="Q36:AA36" si="37">IF((C36-C35&lt;0), "0",C36-C35)</f>
        <v>510</v>
      </c>
      <c r="R36" s="37">
        <f t="shared" si="22"/>
        <v>14270</v>
      </c>
      <c r="S36" s="37">
        <f t="shared" si="37"/>
        <v>30</v>
      </c>
      <c r="T36" s="37">
        <f t="shared" si="37"/>
        <v>1530</v>
      </c>
      <c r="U36" s="37">
        <f t="shared" si="37"/>
        <v>4960</v>
      </c>
      <c r="V36" s="37">
        <f t="shared" si="37"/>
        <v>3420</v>
      </c>
      <c r="W36" s="37">
        <f t="shared" si="37"/>
        <v>2460</v>
      </c>
      <c r="X36" s="37">
        <f t="shared" si="27"/>
        <v>3720</v>
      </c>
      <c r="Y36" s="37">
        <f t="shared" si="37"/>
        <v>5840</v>
      </c>
      <c r="Z36" s="37">
        <f t="shared" si="37"/>
        <v>2930</v>
      </c>
      <c r="AA36" s="37">
        <f t="shared" si="37"/>
        <v>3700</v>
      </c>
      <c r="AB36" s="37">
        <f t="shared" si="31"/>
        <v>7140</v>
      </c>
      <c r="AC36" s="37">
        <f t="shared" si="32"/>
        <v>9900</v>
      </c>
      <c r="AD36" s="35">
        <f t="shared" si="33"/>
        <v>60410</v>
      </c>
      <c r="AF36" s="20">
        <f t="shared" si="1"/>
        <v>2.5500000000000003</v>
      </c>
      <c r="AG36" s="20">
        <f t="shared" si="2"/>
        <v>71.350000000000009</v>
      </c>
      <c r="AH36" s="20">
        <f t="shared" si="3"/>
        <v>0.15</v>
      </c>
      <c r="AI36" s="20">
        <f t="shared" si="4"/>
        <v>7.65</v>
      </c>
      <c r="AJ36" s="20">
        <f t="shared" si="5"/>
        <v>24.8</v>
      </c>
      <c r="AK36" s="20">
        <f t="shared" si="6"/>
        <v>17.100000000000001</v>
      </c>
      <c r="AL36" s="20">
        <f t="shared" si="7"/>
        <v>12.3</v>
      </c>
      <c r="AM36" s="20">
        <f t="shared" si="8"/>
        <v>18.600000000000001</v>
      </c>
      <c r="AN36" s="20">
        <f t="shared" si="9"/>
        <v>29.2</v>
      </c>
      <c r="AO36" s="20">
        <f t="shared" si="10"/>
        <v>14.65</v>
      </c>
      <c r="AP36" s="20">
        <f t="shared" si="11"/>
        <v>18.5</v>
      </c>
      <c r="AQ36" s="20">
        <f t="shared" si="12"/>
        <v>35.700000000000003</v>
      </c>
      <c r="AR36" s="20">
        <f t="shared" si="13"/>
        <v>49.5</v>
      </c>
      <c r="AS36" s="35">
        <f>SUM(AF36:AR36)</f>
        <v>302.05</v>
      </c>
      <c r="AT36" s="50"/>
      <c r="AV36" s="54">
        <v>0</v>
      </c>
      <c r="AW36" s="53">
        <f t="shared" si="14"/>
        <v>0</v>
      </c>
      <c r="AX36" s="55">
        <f t="shared" si="17"/>
        <v>0</v>
      </c>
      <c r="AY36" s="73">
        <v>273625</v>
      </c>
      <c r="AZ36" s="37">
        <f t="shared" si="18"/>
        <v>202400</v>
      </c>
      <c r="BA36" s="37">
        <f t="shared" si="19"/>
        <v>552.55200000000002</v>
      </c>
      <c r="BB36" s="48">
        <f t="shared" si="20"/>
        <v>245.55410880000002</v>
      </c>
    </row>
    <row r="37" spans="1:54" x14ac:dyDescent="0.25">
      <c r="A37" s="23">
        <v>44135</v>
      </c>
      <c r="B37" s="40">
        <v>71</v>
      </c>
      <c r="C37" s="24">
        <v>6402640</v>
      </c>
      <c r="D37" s="24">
        <v>14736910</v>
      </c>
      <c r="E37" s="24">
        <v>2165920</v>
      </c>
      <c r="F37" s="24">
        <v>3096240</v>
      </c>
      <c r="G37" s="24">
        <v>9393480</v>
      </c>
      <c r="H37" s="24">
        <v>4806042</v>
      </c>
      <c r="I37" s="24">
        <v>4563600</v>
      </c>
      <c r="J37" s="24">
        <v>5152750</v>
      </c>
      <c r="K37" s="24">
        <v>8076980</v>
      </c>
      <c r="L37" s="24">
        <v>3284650</v>
      </c>
      <c r="M37" s="24">
        <v>7176020</v>
      </c>
      <c r="N37" s="24">
        <v>10534500</v>
      </c>
      <c r="O37" s="24">
        <v>14262550</v>
      </c>
      <c r="Q37" s="37">
        <f t="shared" ref="Q37" si="38">IF((C37-C36&lt;0), "0",C37-C36)</f>
        <v>530</v>
      </c>
      <c r="R37" s="37">
        <f t="shared" si="22"/>
        <v>14820</v>
      </c>
      <c r="S37" s="37">
        <f t="shared" ref="S37" si="39">IF((E37-E36&lt;0), "0",E37-E36)</f>
        <v>40</v>
      </c>
      <c r="T37" s="37">
        <f t="shared" ref="T37" si="40">IF((F37-F36&lt;0), "0",F37-F36)</f>
        <v>1610</v>
      </c>
      <c r="U37" s="37">
        <f t="shared" ref="U37" si="41">IF((G37-G36&lt;0), "0",G37-G36)</f>
        <v>5130</v>
      </c>
      <c r="V37" s="37">
        <f t="shared" ref="V37" si="42">IF((H37-H36&lt;0), "0",H37-H36)</f>
        <v>3542</v>
      </c>
      <c r="W37" s="37">
        <f t="shared" ref="W37" si="43">IF((I37-I36&lt;0), "0",I37-I36)</f>
        <v>2550</v>
      </c>
      <c r="X37" s="37">
        <f t="shared" si="27"/>
        <v>3910</v>
      </c>
      <c r="Y37" s="37">
        <f t="shared" ref="Y37" si="44">IF((K37-K36&lt;0), "0",K37-K36)</f>
        <v>5980</v>
      </c>
      <c r="Z37" s="37">
        <f t="shared" ref="Z37" si="45">IF((L37-L36&lt;0), "0",L37-L36)</f>
        <v>2810</v>
      </c>
      <c r="AA37" s="37">
        <f t="shared" ref="AA37" si="46">IF((M37-M36&lt;0), "0",M37-M36)</f>
        <v>3620</v>
      </c>
      <c r="AB37" s="37">
        <f t="shared" si="31"/>
        <v>7340</v>
      </c>
      <c r="AC37" s="37">
        <f t="shared" si="32"/>
        <v>10440</v>
      </c>
      <c r="AD37" s="35">
        <f t="shared" si="33"/>
        <v>62322</v>
      </c>
      <c r="AF37" s="20">
        <f t="shared" ref="AF37" si="47">Q37*$D$39</f>
        <v>2.65</v>
      </c>
      <c r="AG37" s="20">
        <f t="shared" ref="AG37" si="48">R37*$D$39</f>
        <v>74.100000000000009</v>
      </c>
      <c r="AH37" s="20">
        <f t="shared" ref="AH37" si="49">S37*$D$39</f>
        <v>0.2</v>
      </c>
      <c r="AI37" s="20">
        <f t="shared" ref="AI37" si="50">T37*$D$39</f>
        <v>8.0500000000000007</v>
      </c>
      <c r="AJ37" s="20">
        <f t="shared" ref="AJ37" si="51">U37*$D$39</f>
        <v>25.650000000000002</v>
      </c>
      <c r="AK37" s="20">
        <f t="shared" ref="AK37" si="52">V37*$D$39</f>
        <v>17.71</v>
      </c>
      <c r="AL37" s="20">
        <f t="shared" ref="AL37" si="53">W37*$D$39</f>
        <v>12.75</v>
      </c>
      <c r="AM37" s="20">
        <f t="shared" ref="AM37" si="54">X37*$D$39</f>
        <v>19.55</v>
      </c>
      <c r="AN37" s="20">
        <f t="shared" ref="AN37" si="55">Y37*$D$39</f>
        <v>29.900000000000002</v>
      </c>
      <c r="AO37" s="20">
        <f t="shared" ref="AO37" si="56">Z37*$D$39</f>
        <v>14.05</v>
      </c>
      <c r="AP37" s="20">
        <f t="shared" ref="AP37" si="57">AA37*$D$39</f>
        <v>18.100000000000001</v>
      </c>
      <c r="AQ37" s="20">
        <f t="shared" ref="AQ37" si="58">AB37*$D$39</f>
        <v>36.700000000000003</v>
      </c>
      <c r="AR37" s="20">
        <f t="shared" ref="AR37" si="59">AC37*$D$39</f>
        <v>52.2</v>
      </c>
      <c r="AS37" s="35">
        <f>SUM(AF37:AR37)</f>
        <v>311.61</v>
      </c>
      <c r="AT37" s="50"/>
      <c r="AV37" s="54">
        <v>0</v>
      </c>
      <c r="AW37" s="53">
        <f t="shared" si="14"/>
        <v>0</v>
      </c>
      <c r="AX37" s="55">
        <f t="shared" si="17"/>
        <v>0</v>
      </c>
      <c r="AY37" s="73">
        <v>275900</v>
      </c>
      <c r="AZ37" s="37">
        <f t="shared" si="18"/>
        <v>227500</v>
      </c>
      <c r="BA37" s="37">
        <f t="shared" si="19"/>
        <v>621.07499999999993</v>
      </c>
      <c r="BB37" s="48">
        <f t="shared" si="20"/>
        <v>276.00572999999997</v>
      </c>
    </row>
    <row r="38" spans="1:54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29690</v>
      </c>
      <c r="R38" s="38">
        <f t="shared" ref="R38:AD38" si="60">SUM(R7:R37)</f>
        <v>403450</v>
      </c>
      <c r="S38" s="38">
        <f t="shared" si="60"/>
        <v>86120</v>
      </c>
      <c r="T38" s="38">
        <f t="shared" si="60"/>
        <v>48740</v>
      </c>
      <c r="U38" s="38">
        <f t="shared" si="60"/>
        <v>147440</v>
      </c>
      <c r="V38" s="38">
        <f t="shared" si="60"/>
        <v>100932</v>
      </c>
      <c r="W38" s="38">
        <f t="shared" si="60"/>
        <v>74790</v>
      </c>
      <c r="X38" s="38">
        <f t="shared" si="60"/>
        <v>114230</v>
      </c>
      <c r="Y38" s="38">
        <f t="shared" si="60"/>
        <v>165660</v>
      </c>
      <c r="Z38" s="38">
        <f t="shared" si="60"/>
        <v>82620</v>
      </c>
      <c r="AA38" s="38">
        <f t="shared" si="60"/>
        <v>102100</v>
      </c>
      <c r="AB38" s="38">
        <f t="shared" si="60"/>
        <v>213770</v>
      </c>
      <c r="AC38" s="38">
        <f t="shared" si="60"/>
        <v>318360</v>
      </c>
      <c r="AD38" s="38">
        <f t="shared" si="60"/>
        <v>1887902</v>
      </c>
      <c r="AF38" s="35">
        <f>SUM(AF7:AF37)</f>
        <v>148.45000000000002</v>
      </c>
      <c r="AG38" s="35">
        <f t="shared" ref="AG38:AT38" si="61">SUM(AG7:AG37)</f>
        <v>2017.2499999999998</v>
      </c>
      <c r="AH38" s="35">
        <f t="shared" si="61"/>
        <v>430.59999999999991</v>
      </c>
      <c r="AI38" s="35">
        <f t="shared" si="61"/>
        <v>243.7</v>
      </c>
      <c r="AJ38" s="35">
        <f t="shared" si="61"/>
        <v>737.19999999999993</v>
      </c>
      <c r="AK38" s="35">
        <f t="shared" si="61"/>
        <v>504.66</v>
      </c>
      <c r="AL38" s="35">
        <f t="shared" si="61"/>
        <v>373.95</v>
      </c>
      <c r="AM38" s="35">
        <f t="shared" si="61"/>
        <v>571.14999999999986</v>
      </c>
      <c r="AN38" s="35">
        <f t="shared" si="61"/>
        <v>828.30000000000007</v>
      </c>
      <c r="AO38" s="35">
        <f t="shared" si="61"/>
        <v>413.09999999999997</v>
      </c>
      <c r="AP38" s="35">
        <f t="shared" si="61"/>
        <v>510.50000000000006</v>
      </c>
      <c r="AQ38" s="35">
        <f t="shared" si="61"/>
        <v>1068.8499999999999</v>
      </c>
      <c r="AR38" s="35">
        <f t="shared" si="61"/>
        <v>1591.7999999999997</v>
      </c>
      <c r="AS38" s="35">
        <f t="shared" si="61"/>
        <v>9439.5099999999984</v>
      </c>
      <c r="AT38" s="51">
        <f t="shared" si="61"/>
        <v>0</v>
      </c>
      <c r="AV38" s="54">
        <v>0</v>
      </c>
      <c r="AW38" s="53">
        <f t="shared" si="14"/>
        <v>0</v>
      </c>
      <c r="AX38" s="55">
        <f t="shared" si="17"/>
        <v>0</v>
      </c>
      <c r="AY38" s="57"/>
      <c r="AZ38" s="37">
        <f t="shared" si="18"/>
        <v>0</v>
      </c>
      <c r="BA38" s="37">
        <f>SUM(BA7:BA37)</f>
        <v>17664.465000000004</v>
      </c>
      <c r="BB38" s="48">
        <f t="shared" si="20"/>
        <v>7850.0882460000021</v>
      </c>
    </row>
    <row r="39" spans="1:54" x14ac:dyDescent="0.25">
      <c r="B39" s="39">
        <f>SUM(B7:B37)</f>
        <v>2918</v>
      </c>
      <c r="D39">
        <v>5.0000000000000001E-3</v>
      </c>
      <c r="AV39" s="54">
        <v>0</v>
      </c>
      <c r="AW39" s="53">
        <f t="shared" si="14"/>
        <v>0</v>
      </c>
      <c r="AX39" s="55">
        <f t="shared" si="17"/>
        <v>0</v>
      </c>
      <c r="AZ39" s="36"/>
      <c r="BA39" s="37">
        <f t="shared" si="19"/>
        <v>0</v>
      </c>
    </row>
    <row r="40" spans="1:54" x14ac:dyDescent="0.25">
      <c r="D40">
        <v>2E-3</v>
      </c>
    </row>
    <row r="41" spans="1:54" x14ac:dyDescent="0.25">
      <c r="BB41" t="s">
        <v>46</v>
      </c>
    </row>
    <row r="44" spans="1:54" x14ac:dyDescent="0.25">
      <c r="AV44" s="52">
        <v>0.52800000000000002</v>
      </c>
      <c r="AX44" s="52">
        <v>3.79E-3</v>
      </c>
      <c r="AY44" s="56">
        <v>0.52800000000000002</v>
      </c>
      <c r="AZ44">
        <v>4.5500000000000002E-3</v>
      </c>
    </row>
    <row r="46" spans="1:54" x14ac:dyDescent="0.25">
      <c r="AZ46">
        <f>0.002/4.5</f>
        <v>4.4444444444444447E-4</v>
      </c>
    </row>
    <row r="47" spans="1:54" x14ac:dyDescent="0.25">
      <c r="AZ47">
        <f>AZ46*1000</f>
        <v>0.44444444444444448</v>
      </c>
    </row>
  </sheetData>
  <mergeCells count="11">
    <mergeCell ref="AY4:AY5"/>
    <mergeCell ref="AZ4:AZ5"/>
    <mergeCell ref="BB4:BB5"/>
    <mergeCell ref="D4:O4"/>
    <mergeCell ref="Q4:AC4"/>
    <mergeCell ref="AF4:AR4"/>
    <mergeCell ref="BA4:BA5"/>
    <mergeCell ref="AT4:AT5"/>
    <mergeCell ref="AV4:AV5"/>
    <mergeCell ref="AX4:AX5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80A4D165494396A8FE06BFCB2637" ma:contentTypeVersion="4" ma:contentTypeDescription="Create a new document." ma:contentTypeScope="" ma:versionID="0f7489dd0a968cf128156b5facf1be1c">
  <xsd:schema xmlns:xsd="http://www.w3.org/2001/XMLSchema" xmlns:xs="http://www.w3.org/2001/XMLSchema" xmlns:p="http://schemas.microsoft.com/office/2006/metadata/properties" xmlns:ns2="e419f9df-0dd9-45a2-9af2-6e1ea94d9c6f" targetNamespace="http://schemas.microsoft.com/office/2006/metadata/properties" ma:root="true" ma:fieldsID="2c873f3ed95fae4f106e9fba98572cf0" ns2:_="">
    <xsd:import namespace="e419f9df-0dd9-45a2-9af2-6e1ea94d9c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9f9df-0dd9-45a2-9af2-6e1ea94d9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28F3FE-43DE-4AB1-8BAF-8B1BE4D82E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9f9df-0dd9-45a2-9af2-6e1ea94d9c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F55A10-C69C-46E2-AF26-76DB1BB732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7D1F6B-A7C1-4B05-BDE7-70036B260CA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2023-02-14T18:53:47Z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0x010100FEDD80A4D165494396A8FE06BFCB2637</vt:lpwstr>
  </property>
  <property fmtid="{D5CDD505-2E9C-101B-9397-08002B2CF9AE}" pid="3" name="Order">
    <vt:r8>203600</vt:r8>
  </property>
</Properties>
</file>