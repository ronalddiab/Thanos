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paul_hemmings_fourseasons_com/Documents/DESKTOP/HEP UTILITY UPLOAD/2023/"/>
    </mc:Choice>
  </mc:AlternateContent>
  <xr:revisionPtr revIDLastSave="1" documentId="14_{FEC95539-02E1-4741-A6C2-4CC4B84AF89D}" xr6:coauthVersionLast="47" xr6:coauthVersionMax="47" xr10:uidLastSave="{C55EAE94-8F2E-48B1-AA18-8078FF99B173}"/>
  <bookViews>
    <workbookView xWindow="-120" yWindow="-120" windowWidth="29040" windowHeight="15720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4" i="2" l="1"/>
  <c r="S34" i="2"/>
  <c r="T34" i="2"/>
  <c r="U34" i="2"/>
  <c r="V34" i="2"/>
  <c r="W34" i="2"/>
  <c r="X34" i="2"/>
  <c r="Y34" i="2"/>
  <c r="R34" i="2"/>
  <c r="Q34" i="2"/>
  <c r="O34" i="2"/>
  <c r="P34" i="2"/>
  <c r="N34" i="2"/>
  <c r="M34" i="2"/>
  <c r="L34" i="2"/>
  <c r="E34" i="2"/>
  <c r="F34" i="2"/>
  <c r="G34" i="2"/>
  <c r="H34" i="2"/>
  <c r="I34" i="2"/>
  <c r="J34" i="2"/>
  <c r="K34" i="2"/>
  <c r="D34" i="2"/>
  <c r="C34" i="2"/>
  <c r="B34" i="2"/>
  <c r="AA4" i="2"/>
  <c r="AA5" i="2"/>
  <c r="AA6" i="2"/>
  <c r="AA7" i="2"/>
  <c r="AA8" i="2"/>
  <c r="AA9" i="2"/>
  <c r="AA10" i="2"/>
  <c r="AA11" i="2"/>
  <c r="AA12" i="2"/>
  <c r="AA13" i="2"/>
  <c r="AA14" i="2"/>
  <c r="AE32" i="2"/>
  <c r="AD32" i="2"/>
  <c r="AA32" i="2"/>
  <c r="AE31" i="2"/>
  <c r="AD31" i="2"/>
  <c r="AA31" i="2"/>
  <c r="AE30" i="2"/>
  <c r="AD30" i="2"/>
  <c r="AA30" i="2"/>
  <c r="AE29" i="2"/>
  <c r="AD29" i="2"/>
  <c r="AA29" i="2"/>
  <c r="AE28" i="2"/>
  <c r="AD28" i="2"/>
  <c r="AA28" i="2"/>
  <c r="AE27" i="2"/>
  <c r="AD27" i="2"/>
  <c r="AA27" i="2"/>
  <c r="AE26" i="2"/>
  <c r="AD26" i="2"/>
  <c r="AA26" i="2"/>
  <c r="AE25" i="2"/>
  <c r="AD25" i="2"/>
  <c r="AA25" i="2"/>
  <c r="AE24" i="2"/>
  <c r="AD24" i="2"/>
  <c r="AA24" i="2"/>
  <c r="AE23" i="2"/>
  <c r="AD23" i="2"/>
  <c r="AA23" i="2"/>
  <c r="AE22" i="2"/>
  <c r="AD22" i="2"/>
  <c r="AA22" i="2"/>
  <c r="AE21" i="2"/>
  <c r="AD21" i="2"/>
  <c r="AA21" i="2"/>
  <c r="AE20" i="2"/>
  <c r="AD20" i="2"/>
  <c r="AA20" i="2"/>
  <c r="AE19" i="2"/>
  <c r="AD19" i="2"/>
  <c r="AA19" i="2"/>
  <c r="AE18" i="2"/>
  <c r="AD18" i="2"/>
  <c r="AA18" i="2"/>
  <c r="AE17" i="2"/>
  <c r="AD17" i="2"/>
  <c r="AA17" i="2"/>
  <c r="AE16" i="2"/>
  <c r="AD16" i="2"/>
  <c r="AA16" i="2"/>
  <c r="AE15" i="2"/>
  <c r="AD15" i="2"/>
  <c r="AA15" i="2"/>
  <c r="AE14" i="2"/>
  <c r="AD14" i="2"/>
  <c r="AE13" i="2"/>
  <c r="AD13" i="2"/>
  <c r="AE12" i="2"/>
  <c r="AD12" i="2"/>
  <c r="AE11" i="2"/>
  <c r="AD11" i="2"/>
  <c r="AE10" i="2"/>
  <c r="AD10" i="2"/>
  <c r="AE9" i="2"/>
  <c r="AD9" i="2"/>
  <c r="AE8" i="2"/>
  <c r="AD8" i="2"/>
  <c r="AE7" i="2"/>
  <c r="AD7" i="2"/>
  <c r="AE6" i="2"/>
  <c r="AD6" i="2"/>
  <c r="AE5" i="2"/>
  <c r="AD5" i="2"/>
  <c r="AE4" i="2"/>
  <c r="AD4" i="2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2" i="3"/>
  <c r="O2" i="3"/>
  <c r="N2" i="3"/>
  <c r="E2" i="3"/>
  <c r="G2" i="3"/>
  <c r="G3" i="3"/>
  <c r="H2" i="3"/>
  <c r="I2" i="3"/>
  <c r="J2" i="3"/>
  <c r="K2" i="3"/>
  <c r="L2" i="3"/>
  <c r="M2" i="3"/>
  <c r="P29" i="3"/>
  <c r="O29" i="3"/>
  <c r="N29" i="3"/>
  <c r="M29" i="3"/>
  <c r="L29" i="3"/>
  <c r="K29" i="3"/>
  <c r="J29" i="3"/>
  <c r="I29" i="3"/>
  <c r="H29" i="3"/>
  <c r="G29" i="3"/>
  <c r="E29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S2" i="3" l="1"/>
  <c r="S3" i="3"/>
  <c r="S4" i="3"/>
  <c r="S5" i="3"/>
  <c r="S6" i="3"/>
  <c r="L2" i="1"/>
  <c r="R2" i="3"/>
  <c r="R3" i="3"/>
  <c r="R4" i="3"/>
  <c r="R5" i="3"/>
  <c r="R6" i="3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I29" i="1"/>
  <c r="E29" i="1"/>
  <c r="K2" i="1" l="1"/>
  <c r="E28" i="1"/>
  <c r="I22" i="1"/>
  <c r="I23" i="1"/>
  <c r="E25" i="1"/>
  <c r="E26" i="1"/>
  <c r="I26" i="1"/>
  <c r="E27" i="1"/>
  <c r="I27" i="1"/>
  <c r="I28" i="1"/>
  <c r="E7" i="1"/>
  <c r="E8" i="1"/>
  <c r="E11" i="1"/>
  <c r="E12" i="1"/>
  <c r="E15" i="1"/>
  <c r="E16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I4" i="1"/>
  <c r="I7" i="1"/>
  <c r="I8" i="1"/>
  <c r="I9" i="1"/>
  <c r="I13" i="1"/>
  <c r="I16" i="1"/>
  <c r="I17" i="1"/>
  <c r="I18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3" i="1"/>
  <c r="I2" i="1"/>
  <c r="I20" i="1"/>
  <c r="I19" i="1"/>
  <c r="I6" i="1"/>
  <c r="I5" i="1"/>
  <c r="I25" i="1"/>
  <c r="I24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<sst xmlns="http://schemas.openxmlformats.org/spreadsheetml/2006/main" count="149" uniqueCount="62">
  <si>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</si>
  <si>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</si>
  <si>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</si>
  <si>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</si>
  <si>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</si>
  <si>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</si>
  <si>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</si>
  <si>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</si>
  <si>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</si>
  <si>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</si>
  <si>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</si>
  <si>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</si>
  <si>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Hampshire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</si>
  <si>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</si>
  <si>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</si>
  <si>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</si>
  <si>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</si>
  <si>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</si>
  <si>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</si>
  <si>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</si>
  <si>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</si>
  <si>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Gas- KWh</t>
  </si>
  <si>
    <t>Main Site Water Meter - m3</t>
  </si>
  <si>
    <t>Hard Water Supply- m3</t>
  </si>
  <si>
    <t>Pool Supply- m3</t>
  </si>
  <si>
    <t xml:space="preserve">Kids Pool </t>
  </si>
  <si>
    <t xml:space="preserve"> </t>
  </si>
  <si>
    <t>Electrical</t>
  </si>
  <si>
    <t xml:space="preserve">Main Site Gas Meter </t>
  </si>
  <si>
    <t xml:space="preserve">Banquet Gas Meter </t>
  </si>
  <si>
    <t xml:space="preserve">WC
Kitchen Gas Meter </t>
  </si>
  <si>
    <t>Main Site Water Meter</t>
  </si>
  <si>
    <t>EAST
LTHW
Sub Meter</t>
  </si>
  <si>
    <t>SPA
LTHW
Sub Meter</t>
  </si>
  <si>
    <t>CHW
Sub Meter</t>
  </si>
  <si>
    <t>Water Softener 
Sub Meter</t>
  </si>
  <si>
    <t>Hard Water Supply Sub Meter</t>
  </si>
  <si>
    <t>Chlorine Dioxide Water Meter</t>
  </si>
  <si>
    <t>Pool Supply Sub Meter</t>
  </si>
  <si>
    <t xml:space="preserve">Kids pool Sub Meter </t>
  </si>
  <si>
    <t>Main Pool
Backwash</t>
  </si>
  <si>
    <t>Room Night</t>
  </si>
  <si>
    <t>Guest</t>
  </si>
  <si>
    <t>Main Site Electric Meter 1</t>
  </si>
  <si>
    <t>Main Site Electric Meter 2</t>
  </si>
  <si>
    <t>East   MCC Sub Meter</t>
  </si>
  <si>
    <t>South    MCC 1 Sub Meter</t>
  </si>
  <si>
    <t>South       MCC 2 Sub Meter</t>
  </si>
  <si>
    <t>West    MCC 
Sub Meter</t>
  </si>
  <si>
    <t>Kitchen sub meter</t>
  </si>
  <si>
    <t>Spa electric Sub Meter</t>
  </si>
  <si>
    <t>East CHP 41 Electric generated</t>
  </si>
  <si>
    <t>Spa CHP 42 Electric generated</t>
  </si>
  <si>
    <t>GAS</t>
  </si>
  <si>
    <t>East LTHW Water</t>
  </si>
  <si>
    <t>Tuesday</t>
  </si>
  <si>
    <t>Wednesday</t>
  </si>
  <si>
    <t>Thursday</t>
  </si>
  <si>
    <t>Friday</t>
  </si>
  <si>
    <t>Saturday</t>
  </si>
  <si>
    <t>Sunday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</si>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</sst>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7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0CECE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4" fillId="0" borderId="0" xfId="0" applyFon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8" fillId="0" borderId="7" xfId="0" applyFont="1" applyBorder="1"/>
    <xf numFmtId="0" fontId="9" fillId="0" borderId="0" xfId="0" applyFont="1" applyAlignment="1">
      <alignment horizontal="center"/>
    </xf>
    <xf numFmtId="0" fontId="0" fillId="0" borderId="7" xfId="0" applyBorder="1"/>
    <xf numFmtId="1" fontId="0" fillId="0" borderId="7" xfId="0" applyNumberFormat="1" applyBorder="1"/>
    <xf numFmtId="0" fontId="8" fillId="0" borderId="0" xfId="0" applyFont="1"/>
    <xf numFmtId="0" fontId="10" fillId="0" borderId="7" xfId="0" applyFont="1" applyBorder="1"/>
    <xf numFmtId="0" fontId="10" fillId="0" borderId="15" xfId="0" applyFont="1" applyBorder="1"/>
    <xf numFmtId="0" fontId="8" fillId="0" borderId="7" xfId="0" applyFont="1" applyBorder="1" applyAlignment="1">
      <alignment horizontal="right"/>
    </xf>
    <xf numFmtId="0" fontId="0" fillId="0" borderId="0" xfId="0" applyAlignment="1">
      <alignment horizontal="right"/>
    </xf>
    <xf numFmtId="1" fontId="8" fillId="0" borderId="7" xfId="0" applyNumberFormat="1" applyFont="1" applyBorder="1"/>
    <xf numFmtId="164" fontId="8" fillId="8" borderId="7" xfId="0" applyNumberFormat="1" applyFont="1" applyFill="1" applyBorder="1"/>
    <xf numFmtId="2" fontId="8" fillId="8" borderId="7" xfId="0" applyNumberFormat="1" applyFont="1" applyFill="1" applyBorder="1"/>
    <xf numFmtId="164" fontId="0" fillId="8" borderId="7" xfId="0" applyNumberFormat="1" applyFill="1" applyBorder="1"/>
    <xf numFmtId="2" fontId="0" fillId="8" borderId="7" xfId="0" applyNumberFormat="1" applyFill="1" applyBorder="1"/>
    <xf numFmtId="164" fontId="0" fillId="0" borderId="0" xfId="0" applyNumberFormat="1"/>
    <xf numFmtId="2" fontId="0" fillId="0" borderId="0" xfId="0" applyNumberFormat="1"/>
    <xf numFmtId="164" fontId="0" fillId="0" borderId="7" xfId="0" applyNumberFormat="1" applyBorder="1"/>
    <xf numFmtId="164" fontId="8" fillId="0" borderId="7" xfId="0" applyNumberFormat="1" applyFont="1" applyBorder="1"/>
    <xf numFmtId="49" fontId="0" fillId="0" borderId="0" xfId="0" applyNumberFormat="1"/>
    <xf numFmtId="0" fontId="0" fillId="0" borderId="0" xfId="0" applyAlignment="1">
      <alignment wrapText="1"/>
    </xf>
    <xf numFmtId="165" fontId="2" fillId="0" borderId="0" xfId="1" applyNumberFormat="1" applyFont="1" applyAlignment="1">
      <alignment horizontal="center"/>
    </xf>
    <xf numFmtId="0" fontId="8" fillId="0" borderId="0" xfId="0" applyFont="1" applyAlignment="1">
      <alignment horizontal="center"/>
    </xf>
    <xf numFmtId="165" fontId="2" fillId="0" borderId="10" xfId="1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right"/>
    </xf>
    <xf numFmtId="164" fontId="0" fillId="0" borderId="17" xfId="0" applyNumberFormat="1" applyBorder="1"/>
    <xf numFmtId="0" fontId="8" fillId="10" borderId="2" xfId="0" applyFont="1" applyFill="1" applyBorder="1" applyAlignment="1">
      <alignment horizontal="center"/>
    </xf>
    <xf numFmtId="1" fontId="0" fillId="10" borderId="2" xfId="0" applyNumberForma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/>
    <xf numFmtId="0" fontId="0" fillId="0" borderId="7" xfId="0" applyBorder="1" applyAlignment="1">
      <alignment horizontal="right"/>
    </xf>
    <xf numFmtId="1" fontId="0" fillId="0" borderId="0" xfId="0" applyNumberFormat="1"/>
    <xf numFmtId="4" fontId="2" fillId="0" borderId="0" xfId="1" applyNumberFormat="1" applyFont="1" applyAlignment="1">
      <alignment horizontal="center"/>
    </xf>
    <xf numFmtId="4" fontId="0" fillId="0" borderId="0" xfId="0" applyNumberFormat="1"/>
    <xf numFmtId="3" fontId="8" fillId="0" borderId="0" xfId="0" applyNumberFormat="1" applyFont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164" fontId="2" fillId="7" borderId="2" xfId="1" applyNumberFormat="1" applyFont="1" applyFill="1" applyBorder="1" applyAlignment="1">
      <alignment horizontal="center" wrapText="1"/>
    </xf>
    <xf numFmtId="164" fontId="1" fillId="7" borderId="2" xfId="1" applyNumberFormat="1" applyFill="1" applyBorder="1" applyAlignment="1">
      <alignment horizontal="center"/>
    </xf>
    <xf numFmtId="2" fontId="2" fillId="7" borderId="2" xfId="1" applyNumberFormat="1" applyFont="1" applyFill="1" applyBorder="1" applyAlignment="1">
      <alignment horizontal="center" wrapText="1"/>
    </xf>
    <xf numFmtId="2" fontId="1" fillId="7" borderId="2" xfId="1" applyNumberFormat="1" applyFill="1" applyBorder="1" applyAlignment="1">
      <alignment horizontal="center"/>
    </xf>
    <xf numFmtId="164" fontId="11" fillId="3" borderId="2" xfId="1" applyNumberFormat="1" applyFont="1" applyFill="1" applyBorder="1" applyAlignment="1">
      <alignment horizontal="center" wrapText="1"/>
    </xf>
    <xf numFmtId="164" fontId="12" fillId="3" borderId="2" xfId="1" applyNumberFormat="1" applyFont="1" applyFill="1" applyBorder="1" applyAlignment="1">
      <alignment horizontal="center"/>
    </xf>
    <xf numFmtId="0" fontId="2" fillId="3" borderId="9" xfId="1" applyFont="1" applyFill="1" applyBorder="1" applyAlignment="1">
      <alignment horizontal="center" wrapText="1"/>
    </xf>
    <xf numFmtId="0" fontId="2" fillId="3" borderId="18" xfId="1" applyFont="1" applyFill="1" applyBorder="1" applyAlignment="1">
      <alignment horizontal="center" wrapText="1"/>
    </xf>
    <xf numFmtId="0" fontId="2" fillId="3" borderId="12" xfId="1" applyFont="1" applyFill="1" applyBorder="1" applyAlignment="1">
      <alignment horizontal="center" wrapText="1"/>
    </xf>
    <xf numFmtId="0" fontId="3" fillId="9" borderId="0" xfId="0" applyFont="1" applyFill="1" applyAlignment="1">
      <alignment horizontal="center" vertical="center" wrapText="1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2" fillId="5" borderId="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2" fillId="5" borderId="9" xfId="1" applyFont="1" applyFill="1" applyBorder="1" applyAlignment="1">
      <alignment horizontal="center" wrapText="1"/>
    </xf>
    <xf numFmtId="0" fontId="2" fillId="5" borderId="1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/>
    </xf>
    <xf numFmtId="0" fontId="2" fillId="5" borderId="8" xfId="1" applyFont="1" applyFill="1" applyBorder="1" applyAlignment="1">
      <alignment horizontal="center"/>
    </xf>
    <xf numFmtId="0" fontId="2" fillId="5" borderId="13" xfId="1" applyFont="1" applyFill="1" applyBorder="1" applyAlignment="1">
      <alignment horizontal="center"/>
    </xf>
    <xf numFmtId="0" fontId="2" fillId="5" borderId="14" xfId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1" fontId="3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tabSelected="1" workbookViewId="0">
      <selection activeCell="F22" sqref="F22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6</v>
      </c>
      <c r="H1" s="11" t="s">
        <v>7</v>
      </c>
      <c r="I1" s="7" t="s">
        <v>8</v>
      </c>
      <c r="J1" s="14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97">
        <v>1</v>
      </c>
      <c r="C2" s="2">
        <v>2</v>
      </c>
      <c r="D2" s="2">
        <v>2023</v>
      </c>
      <c r="E2" s="4">
        <f>(Submetering!E2+Submetering!F2)</f>
        <v>6319</v>
      </c>
      <c r="F2" s="12">
        <v>0.35</v>
      </c>
      <c r="G2" s="4">
        <f>Submetering!M2</f>
        <v>3246</v>
      </c>
      <c r="H2" s="12">
        <v>0.6</v>
      </c>
      <c r="I2" s="4">
        <f>Submetering!N2</f>
        <v>58</v>
      </c>
      <c r="J2" s="13">
        <v>2.5</v>
      </c>
      <c r="K2" s="4">
        <f>'Hampshire Daily'!B5</f>
        <v>19</v>
      </c>
      <c r="L2" s="4">
        <f>'Hampshire Daily'!C5</f>
        <v>28</v>
      </c>
    </row>
    <row r="3" spans="1:24" x14ac:dyDescent="0.25">
      <c r="A3" s="3" t="s">
        <v>12</v>
      </c>
      <c r="B3" s="97">
        <f>B2+1</f>
        <v>2</v>
      </c>
      <c r="C3" s="2">
        <v>2</v>
      </c>
      <c r="D3" s="2">
        <v>2023</v>
      </c>
      <c r="E3" s="4">
        <f>Submetering!E3+Submetering!F3</f>
        <v>5661</v>
      </c>
      <c r="F3" s="12">
        <v>0.35</v>
      </c>
      <c r="G3" s="4">
        <f>Submetering!M3</f>
        <v>2965</v>
      </c>
      <c r="H3" s="12">
        <v>0.6</v>
      </c>
      <c r="I3" s="4">
        <f>Submetering!N3</f>
        <v>78</v>
      </c>
      <c r="J3" s="13">
        <v>2.5</v>
      </c>
      <c r="K3" s="4">
        <f>'Hampshire Daily'!B6</f>
        <v>79</v>
      </c>
      <c r="L3" s="4">
        <f>'Hampshire Daily'!C6</f>
        <v>96</v>
      </c>
    </row>
    <row r="4" spans="1:24" x14ac:dyDescent="0.25">
      <c r="A4" s="3" t="s">
        <v>12</v>
      </c>
      <c r="B4" s="97">
        <f t="shared" ref="B4:B29" si="0">B3+1</f>
        <v>3</v>
      </c>
      <c r="C4" s="2">
        <v>2</v>
      </c>
      <c r="D4" s="2">
        <v>2023</v>
      </c>
      <c r="E4" s="4">
        <f>Submetering!E4+Submetering!F4</f>
        <v>5840</v>
      </c>
      <c r="F4" s="12">
        <v>0.35</v>
      </c>
      <c r="G4" s="4">
        <f>Submetering!M4</f>
        <v>3066</v>
      </c>
      <c r="H4" s="12">
        <v>0.6</v>
      </c>
      <c r="I4" s="4">
        <f>Submetering!N4</f>
        <v>74</v>
      </c>
      <c r="J4" s="13">
        <v>2.5</v>
      </c>
      <c r="K4" s="4">
        <f>'Hampshire Daily'!B7</f>
        <v>68</v>
      </c>
      <c r="L4" s="4">
        <f>'Hampshire Daily'!C7</f>
        <v>144</v>
      </c>
    </row>
    <row r="5" spans="1:24" x14ac:dyDescent="0.25">
      <c r="A5" s="3" t="s">
        <v>12</v>
      </c>
      <c r="B5" s="97">
        <f t="shared" si="0"/>
        <v>4</v>
      </c>
      <c r="C5" s="2">
        <v>2</v>
      </c>
      <c r="D5" s="2">
        <v>2023</v>
      </c>
      <c r="E5" s="4">
        <f>Submetering!E5+Submetering!F5</f>
        <v>5802</v>
      </c>
      <c r="F5" s="12">
        <v>0.35</v>
      </c>
      <c r="G5" s="4">
        <f>Submetering!M5</f>
        <v>2841</v>
      </c>
      <c r="H5" s="12">
        <v>0.6</v>
      </c>
      <c r="I5" s="4">
        <f>Submetering!N5</f>
        <v>85</v>
      </c>
      <c r="J5" s="13">
        <v>2.5</v>
      </c>
      <c r="K5" s="4">
        <f>'Hampshire Daily'!B8</f>
        <v>77</v>
      </c>
      <c r="L5" s="4">
        <f>'Hampshire Daily'!C8</f>
        <v>177</v>
      </c>
    </row>
    <row r="6" spans="1:24" x14ac:dyDescent="0.25">
      <c r="A6" s="3" t="s">
        <v>12</v>
      </c>
      <c r="B6" s="97">
        <f t="shared" si="0"/>
        <v>5</v>
      </c>
      <c r="C6" s="2">
        <v>2</v>
      </c>
      <c r="D6" s="2">
        <v>2023</v>
      </c>
      <c r="E6" s="4">
        <f>Submetering!E6+Submetering!F6</f>
        <v>5896</v>
      </c>
      <c r="F6" s="12">
        <v>0.35</v>
      </c>
      <c r="G6" s="4">
        <f>Submetering!M6</f>
        <v>2964</v>
      </c>
      <c r="H6" s="12">
        <v>0.6</v>
      </c>
      <c r="I6" s="4">
        <f>Submetering!N6</f>
        <v>88</v>
      </c>
      <c r="J6" s="13">
        <v>2.5</v>
      </c>
      <c r="K6" s="4">
        <f>'Hampshire Daily'!B9</f>
        <v>28</v>
      </c>
      <c r="L6" s="4">
        <f>'Hampshire Daily'!C9</f>
        <v>42</v>
      </c>
    </row>
    <row r="7" spans="1:24" x14ac:dyDescent="0.25">
      <c r="A7" s="3" t="s">
        <v>12</v>
      </c>
      <c r="B7" s="97">
        <f t="shared" si="0"/>
        <v>6</v>
      </c>
      <c r="C7" s="2">
        <v>2</v>
      </c>
      <c r="D7" s="2">
        <v>2023</v>
      </c>
      <c r="E7" s="4">
        <f>Submetering!E7+Submetering!F7</f>
        <v>6473</v>
      </c>
      <c r="F7" s="12">
        <v>0.35</v>
      </c>
      <c r="G7" s="4">
        <f>Submetering!M7</f>
        <v>3325</v>
      </c>
      <c r="H7" s="12">
        <v>0.6</v>
      </c>
      <c r="I7" s="4">
        <f>Submetering!N7</f>
        <v>86</v>
      </c>
      <c r="J7" s="13">
        <v>2.5</v>
      </c>
      <c r="K7" s="4">
        <f>'Hampshire Daily'!B10</f>
        <v>15</v>
      </c>
      <c r="L7" s="4">
        <f>'Hampshire Daily'!C10</f>
        <v>29</v>
      </c>
    </row>
    <row r="8" spans="1:24" x14ac:dyDescent="0.25">
      <c r="A8" s="3" t="s">
        <v>12</v>
      </c>
      <c r="B8" s="97">
        <f t="shared" si="0"/>
        <v>7</v>
      </c>
      <c r="C8" s="2">
        <v>2</v>
      </c>
      <c r="D8" s="2">
        <v>2023</v>
      </c>
      <c r="E8" s="4">
        <f>Submetering!E8+Submetering!F8</f>
        <v>5576</v>
      </c>
      <c r="F8" s="12">
        <v>0.35</v>
      </c>
      <c r="G8" s="4">
        <f>Submetering!M8</f>
        <v>3126</v>
      </c>
      <c r="H8" s="12">
        <v>0.6</v>
      </c>
      <c r="I8" s="4">
        <f>Submetering!N8</f>
        <v>61</v>
      </c>
      <c r="J8" s="13">
        <v>2.5</v>
      </c>
      <c r="K8" s="4">
        <f>'Hampshire Daily'!B11</f>
        <v>13</v>
      </c>
      <c r="L8" s="4">
        <f>'Hampshire Daily'!C11</f>
        <v>29</v>
      </c>
    </row>
    <row r="9" spans="1:24" x14ac:dyDescent="0.25">
      <c r="A9" s="3" t="s">
        <v>12</v>
      </c>
      <c r="B9" s="97">
        <f t="shared" si="0"/>
        <v>8</v>
      </c>
      <c r="C9" s="2">
        <v>2</v>
      </c>
      <c r="D9" s="2">
        <v>2023</v>
      </c>
      <c r="E9" s="4">
        <f>Submetering!E9+Submetering!F9</f>
        <v>5897</v>
      </c>
      <c r="F9" s="12">
        <v>0.35</v>
      </c>
      <c r="G9" s="4">
        <f>Submetering!M9</f>
        <v>3380</v>
      </c>
      <c r="H9" s="12">
        <v>0.6</v>
      </c>
      <c r="I9" s="4">
        <f>Submetering!N9</f>
        <v>78</v>
      </c>
      <c r="J9" s="13">
        <v>2.5</v>
      </c>
      <c r="K9" s="4">
        <f>'Hampshire Daily'!B12</f>
        <v>21</v>
      </c>
      <c r="L9" s="4">
        <f>'Hampshire Daily'!C12</f>
        <v>41</v>
      </c>
    </row>
    <row r="10" spans="1:24" x14ac:dyDescent="0.25">
      <c r="A10" s="3" t="s">
        <v>12</v>
      </c>
      <c r="B10" s="97">
        <f t="shared" si="0"/>
        <v>9</v>
      </c>
      <c r="C10" s="2">
        <v>2</v>
      </c>
      <c r="D10" s="2">
        <v>2023</v>
      </c>
      <c r="E10" s="4">
        <f>Submetering!E10+Submetering!F10</f>
        <v>5984</v>
      </c>
      <c r="F10" s="12">
        <v>0.35</v>
      </c>
      <c r="G10" s="4">
        <f>Submetering!M10</f>
        <v>3393</v>
      </c>
      <c r="H10" s="12">
        <v>0.6</v>
      </c>
      <c r="I10" s="4">
        <f>Submetering!N10</f>
        <v>72</v>
      </c>
      <c r="J10" s="13">
        <v>2.5</v>
      </c>
      <c r="K10" s="4">
        <f>'Hampshire Daily'!B13</f>
        <v>26</v>
      </c>
      <c r="L10" s="4">
        <f>'Hampshire Daily'!C13</f>
        <v>62</v>
      </c>
    </row>
    <row r="11" spans="1:24" x14ac:dyDescent="0.25">
      <c r="A11" s="3" t="s">
        <v>12</v>
      </c>
      <c r="B11" s="97">
        <f t="shared" si="0"/>
        <v>10</v>
      </c>
      <c r="C11" s="2">
        <v>2</v>
      </c>
      <c r="D11" s="2">
        <v>2023</v>
      </c>
      <c r="E11" s="4">
        <f>Submetering!E11+Submetering!F11</f>
        <v>5870</v>
      </c>
      <c r="F11" s="12">
        <v>0.35</v>
      </c>
      <c r="G11" s="4">
        <f>Submetering!M11</f>
        <v>3227</v>
      </c>
      <c r="H11" s="12">
        <v>0.6</v>
      </c>
      <c r="I11" s="4">
        <f>Submetering!N11</f>
        <v>52</v>
      </c>
      <c r="J11" s="13">
        <v>2.5</v>
      </c>
      <c r="K11" s="4">
        <f>'Hampshire Daily'!B14</f>
        <v>54</v>
      </c>
      <c r="L11" s="4">
        <f>'Hampshire Daily'!C14</f>
        <v>134</v>
      </c>
    </row>
    <row r="12" spans="1:24" x14ac:dyDescent="0.25">
      <c r="A12" s="3" t="s">
        <v>12</v>
      </c>
      <c r="B12" s="97">
        <f t="shared" si="0"/>
        <v>11</v>
      </c>
      <c r="C12" s="2">
        <v>2</v>
      </c>
      <c r="D12" s="2">
        <v>2023</v>
      </c>
      <c r="E12" s="4">
        <f>Submetering!E12+Submetering!F12</f>
        <v>6131</v>
      </c>
      <c r="F12" s="12">
        <v>0.35</v>
      </c>
      <c r="G12" s="4">
        <f>Submetering!M12</f>
        <v>3037</v>
      </c>
      <c r="H12" s="12">
        <v>0.6</v>
      </c>
      <c r="I12" s="4">
        <f>Submetering!N12</f>
        <v>81</v>
      </c>
      <c r="J12" s="13">
        <v>2.5</v>
      </c>
      <c r="K12" s="4">
        <f>'Hampshire Daily'!B15</f>
        <v>100</v>
      </c>
      <c r="L12" s="4">
        <f>'Hampshire Daily'!C15</f>
        <v>250</v>
      </c>
    </row>
    <row r="13" spans="1:24" x14ac:dyDescent="0.25">
      <c r="A13" s="3" t="s">
        <v>12</v>
      </c>
      <c r="B13" s="97">
        <f t="shared" si="0"/>
        <v>12</v>
      </c>
      <c r="C13" s="2">
        <v>2</v>
      </c>
      <c r="D13" s="2">
        <v>2023</v>
      </c>
      <c r="E13" s="4">
        <f>Submetering!E13+Submetering!F13</f>
        <v>6284</v>
      </c>
      <c r="F13" s="12">
        <v>0.35</v>
      </c>
      <c r="G13" s="4">
        <f>Submetering!M13</f>
        <v>3046</v>
      </c>
      <c r="H13" s="12">
        <v>0.6</v>
      </c>
      <c r="I13" s="4">
        <f>Submetering!N13</f>
        <v>92</v>
      </c>
      <c r="J13" s="13">
        <v>2.5</v>
      </c>
      <c r="K13" s="4">
        <f>'Hampshire Daily'!B16</f>
        <v>99</v>
      </c>
      <c r="L13" s="4">
        <f>'Hampshire Daily'!C16</f>
        <v>261</v>
      </c>
    </row>
    <row r="14" spans="1:24" x14ac:dyDescent="0.25">
      <c r="A14" s="3" t="s">
        <v>12</v>
      </c>
      <c r="B14" s="97">
        <f t="shared" si="0"/>
        <v>13</v>
      </c>
      <c r="C14" s="2">
        <v>2</v>
      </c>
      <c r="D14" s="2">
        <v>2023</v>
      </c>
      <c r="E14" s="4">
        <f>Submetering!E14+Submetering!F14</f>
        <v>6103</v>
      </c>
      <c r="F14" s="12">
        <v>0.35</v>
      </c>
      <c r="G14" s="4">
        <f>Submetering!M14</f>
        <v>3105</v>
      </c>
      <c r="H14" s="12">
        <v>0.6</v>
      </c>
      <c r="I14" s="4">
        <f>Submetering!N14</f>
        <v>124</v>
      </c>
      <c r="J14" s="13">
        <v>2.5</v>
      </c>
      <c r="K14" s="4">
        <f>'Hampshire Daily'!B17</f>
        <v>97</v>
      </c>
      <c r="L14" s="4">
        <f>'Hampshire Daily'!C17</f>
        <v>241</v>
      </c>
    </row>
    <row r="15" spans="1:24" x14ac:dyDescent="0.25">
      <c r="A15" s="3" t="s">
        <v>12</v>
      </c>
      <c r="B15" s="97">
        <f t="shared" si="0"/>
        <v>14</v>
      </c>
      <c r="C15" s="2">
        <v>2</v>
      </c>
      <c r="D15" s="2">
        <v>2023</v>
      </c>
      <c r="E15" s="4">
        <f>Submetering!E15+Submetering!F15</f>
        <v>8893</v>
      </c>
      <c r="F15" s="12">
        <v>0.35</v>
      </c>
      <c r="G15" s="4">
        <f>Submetering!M15</f>
        <v>2095</v>
      </c>
      <c r="H15" s="12">
        <v>0.6</v>
      </c>
      <c r="I15" s="4">
        <f>Submetering!N15</f>
        <v>102</v>
      </c>
      <c r="J15" s="13">
        <v>2.5</v>
      </c>
      <c r="K15" s="4">
        <f>'Hampshire Daily'!B18</f>
        <v>96</v>
      </c>
      <c r="L15" s="4">
        <f>'Hampshire Daily'!C18</f>
        <v>239</v>
      </c>
    </row>
    <row r="16" spans="1:24" x14ac:dyDescent="0.25">
      <c r="A16" s="3" t="s">
        <v>12</v>
      </c>
      <c r="B16" s="97">
        <f t="shared" si="0"/>
        <v>15</v>
      </c>
      <c r="C16" s="2">
        <v>2</v>
      </c>
      <c r="D16" s="2">
        <v>2023</v>
      </c>
      <c r="E16" s="4">
        <f>Submetering!E16+Submetering!F16</f>
        <v>6841</v>
      </c>
      <c r="F16" s="12">
        <v>0.35</v>
      </c>
      <c r="G16" s="4">
        <f>Submetering!M16</f>
        <v>3457</v>
      </c>
      <c r="H16" s="12">
        <v>0.6</v>
      </c>
      <c r="I16" s="4">
        <f>Submetering!N16</f>
        <v>144</v>
      </c>
      <c r="J16" s="13">
        <v>2.5</v>
      </c>
      <c r="K16" s="4">
        <f>'Hampshire Daily'!B19</f>
        <v>80</v>
      </c>
      <c r="L16" s="4">
        <f>'Hampshire Daily'!C19</f>
        <v>213</v>
      </c>
    </row>
    <row r="17" spans="1:12" x14ac:dyDescent="0.25">
      <c r="A17" s="3" t="s">
        <v>12</v>
      </c>
      <c r="B17" s="97">
        <f t="shared" si="0"/>
        <v>16</v>
      </c>
      <c r="C17" s="2">
        <v>2</v>
      </c>
      <c r="D17" s="2">
        <v>2023</v>
      </c>
      <c r="E17" s="4">
        <f>Submetering!E17+Submetering!F17</f>
        <v>5445</v>
      </c>
      <c r="F17" s="12">
        <v>0.35</v>
      </c>
      <c r="G17" s="4">
        <f>Submetering!M17</f>
        <v>2864</v>
      </c>
      <c r="H17" s="12">
        <v>0.6</v>
      </c>
      <c r="I17" s="4">
        <f>Submetering!N17</f>
        <v>85</v>
      </c>
      <c r="J17" s="13">
        <v>2.5</v>
      </c>
      <c r="K17" s="4">
        <f>'Hampshire Daily'!B20</f>
        <v>82</v>
      </c>
      <c r="L17" s="4">
        <f>'Hampshire Daily'!C20</f>
        <v>223</v>
      </c>
    </row>
    <row r="18" spans="1:12" x14ac:dyDescent="0.25">
      <c r="A18" s="3" t="s">
        <v>12</v>
      </c>
      <c r="B18" s="97">
        <f t="shared" si="0"/>
        <v>17</v>
      </c>
      <c r="C18" s="2">
        <v>2</v>
      </c>
      <c r="D18" s="2">
        <v>2023</v>
      </c>
      <c r="E18" s="4">
        <f>Submetering!E18+Submetering!F18</f>
        <v>5627</v>
      </c>
      <c r="F18" s="12">
        <v>0.35</v>
      </c>
      <c r="G18" s="4">
        <f>Submetering!M18</f>
        <v>2678</v>
      </c>
      <c r="H18" s="12">
        <v>0.6</v>
      </c>
      <c r="I18" s="4">
        <f>Submetering!N18</f>
        <v>97</v>
      </c>
      <c r="J18" s="13">
        <v>2.5</v>
      </c>
      <c r="K18" s="4">
        <f>'Hampshire Daily'!B21</f>
        <v>98</v>
      </c>
      <c r="L18" s="4">
        <f>'Hampshire Daily'!C21</f>
        <v>263</v>
      </c>
    </row>
    <row r="19" spans="1:12" x14ac:dyDescent="0.25">
      <c r="A19" s="3" t="s">
        <v>12</v>
      </c>
      <c r="B19" s="97">
        <f t="shared" si="0"/>
        <v>18</v>
      </c>
      <c r="C19" s="2">
        <v>2</v>
      </c>
      <c r="D19" s="2">
        <v>2023</v>
      </c>
      <c r="E19" s="4">
        <f>Submetering!E19+Submetering!F19</f>
        <v>6358</v>
      </c>
      <c r="F19" s="12">
        <v>0.35</v>
      </c>
      <c r="G19" s="4">
        <f>Submetering!M19</f>
        <v>2892</v>
      </c>
      <c r="H19" s="12">
        <v>0.6</v>
      </c>
      <c r="I19" s="4">
        <f>Submetering!N19</f>
        <v>114</v>
      </c>
      <c r="J19" s="13">
        <v>2.5</v>
      </c>
      <c r="K19" s="4">
        <f>'Hampshire Daily'!B22</f>
        <v>114</v>
      </c>
      <c r="L19" s="4">
        <f>'Hampshire Daily'!C22</f>
        <v>301</v>
      </c>
    </row>
    <row r="20" spans="1:12" x14ac:dyDescent="0.25">
      <c r="A20" s="3" t="s">
        <v>12</v>
      </c>
      <c r="B20" s="97">
        <f t="shared" si="0"/>
        <v>19</v>
      </c>
      <c r="C20" s="2">
        <v>2</v>
      </c>
      <c r="D20" s="2">
        <v>2023</v>
      </c>
      <c r="E20" s="4">
        <f>Submetering!E20+Submetering!F20</f>
        <v>6513</v>
      </c>
      <c r="F20" s="12">
        <v>0.35</v>
      </c>
      <c r="G20" s="4">
        <f>Submetering!M20</f>
        <v>2938</v>
      </c>
      <c r="H20" s="12">
        <v>0.6</v>
      </c>
      <c r="I20" s="4">
        <f>Submetering!N20</f>
        <v>104</v>
      </c>
      <c r="J20" s="13">
        <v>2.5</v>
      </c>
      <c r="K20" s="4">
        <f>'Hampshire Daily'!B23</f>
        <v>39</v>
      </c>
      <c r="L20" s="4">
        <f>'Hampshire Daily'!C23</f>
        <v>92</v>
      </c>
    </row>
    <row r="21" spans="1:12" x14ac:dyDescent="0.25">
      <c r="A21" s="3" t="s">
        <v>12</v>
      </c>
      <c r="B21" s="97">
        <f t="shared" si="0"/>
        <v>20</v>
      </c>
      <c r="C21" s="2">
        <v>2</v>
      </c>
      <c r="D21" s="2">
        <v>2023</v>
      </c>
      <c r="E21" s="4">
        <f>Submetering!E21+Submetering!F21</f>
        <v>5609</v>
      </c>
      <c r="F21" s="12">
        <v>0.35</v>
      </c>
      <c r="G21" s="4">
        <f>Submetering!M21</f>
        <v>2802</v>
      </c>
      <c r="H21" s="12">
        <v>0.6</v>
      </c>
      <c r="I21" s="4">
        <f>Submetering!N21</f>
        <v>77</v>
      </c>
      <c r="J21" s="13">
        <v>2.5</v>
      </c>
      <c r="K21" s="4">
        <f>'Hampshire Daily'!B24</f>
        <v>20</v>
      </c>
      <c r="L21" s="4">
        <f>'Hampshire Daily'!C24</f>
        <v>45</v>
      </c>
    </row>
    <row r="22" spans="1:12" x14ac:dyDescent="0.25">
      <c r="A22" s="3" t="s">
        <v>12</v>
      </c>
      <c r="B22" s="97">
        <f t="shared" si="0"/>
        <v>21</v>
      </c>
      <c r="C22" s="2">
        <v>2</v>
      </c>
      <c r="D22" s="2">
        <v>2023</v>
      </c>
      <c r="E22" s="4">
        <f>Submetering!E22+Submetering!F22</f>
        <v>5823</v>
      </c>
      <c r="F22" s="12">
        <v>0.35</v>
      </c>
      <c r="G22" s="4">
        <f>Submetering!M22</f>
        <v>2427</v>
      </c>
      <c r="H22" s="12">
        <v>0.6</v>
      </c>
      <c r="I22" s="4">
        <f>Submetering!N22</f>
        <v>116</v>
      </c>
      <c r="J22" s="13">
        <v>2.5</v>
      </c>
      <c r="K22" s="4">
        <f>'Hampshire Daily'!B25</f>
        <v>24</v>
      </c>
      <c r="L22" s="4">
        <f>'Hampshire Daily'!C25</f>
        <v>55</v>
      </c>
    </row>
    <row r="23" spans="1:12" x14ac:dyDescent="0.25">
      <c r="A23" s="3" t="s">
        <v>12</v>
      </c>
      <c r="B23" s="97">
        <f t="shared" si="0"/>
        <v>22</v>
      </c>
      <c r="C23" s="2">
        <v>2</v>
      </c>
      <c r="D23" s="2">
        <v>2023</v>
      </c>
      <c r="E23" s="4">
        <f>Submetering!E23+Submetering!F23</f>
        <v>5598</v>
      </c>
      <c r="F23" s="12">
        <v>0.35</v>
      </c>
      <c r="G23" s="4">
        <f>Submetering!M23</f>
        <v>2857</v>
      </c>
      <c r="H23" s="12">
        <v>0.6</v>
      </c>
      <c r="I23" s="4">
        <f>Submetering!N23</f>
        <v>77</v>
      </c>
      <c r="J23" s="13">
        <v>2.5</v>
      </c>
      <c r="K23" s="4">
        <f>'Hampshire Daily'!B26</f>
        <v>30</v>
      </c>
      <c r="L23" s="4">
        <f>'Hampshire Daily'!C26</f>
        <v>58</v>
      </c>
    </row>
    <row r="24" spans="1:12" x14ac:dyDescent="0.25">
      <c r="A24" s="3" t="s">
        <v>12</v>
      </c>
      <c r="B24" s="97">
        <f t="shared" si="0"/>
        <v>23</v>
      </c>
      <c r="C24" s="2">
        <v>2</v>
      </c>
      <c r="D24" s="2">
        <v>2023</v>
      </c>
      <c r="E24" s="4">
        <f>Submetering!E24+Submetering!F24</f>
        <v>5560</v>
      </c>
      <c r="F24" s="12">
        <v>0.35</v>
      </c>
      <c r="G24" s="4">
        <f>Submetering!M24</f>
        <v>2962</v>
      </c>
      <c r="H24" s="12">
        <v>0.6</v>
      </c>
      <c r="I24" s="4">
        <f>Submetering!N24</f>
        <v>77</v>
      </c>
      <c r="J24" s="13">
        <v>2.5</v>
      </c>
      <c r="K24" s="4">
        <f>'Hampshire Daily'!B27</f>
        <v>25</v>
      </c>
      <c r="L24" s="4">
        <f>'Hampshire Daily'!C27</f>
        <v>52</v>
      </c>
    </row>
    <row r="25" spans="1:12" x14ac:dyDescent="0.25">
      <c r="A25" s="3" t="s">
        <v>12</v>
      </c>
      <c r="B25" s="97">
        <f t="shared" si="0"/>
        <v>24</v>
      </c>
      <c r="C25" s="2">
        <v>2</v>
      </c>
      <c r="D25" s="2">
        <v>2023</v>
      </c>
      <c r="E25" s="4">
        <f>Submetering!E25+Submetering!F25</f>
        <v>5949</v>
      </c>
      <c r="F25" s="12">
        <v>0.35</v>
      </c>
      <c r="G25" s="4">
        <f>Submetering!M25</f>
        <v>3057</v>
      </c>
      <c r="H25" s="12">
        <v>0.6</v>
      </c>
      <c r="I25" s="4">
        <f>Submetering!N25</f>
        <v>89</v>
      </c>
      <c r="J25" s="13">
        <v>2.5</v>
      </c>
      <c r="K25" s="4">
        <f>'Hampshire Daily'!B28</f>
        <v>65</v>
      </c>
      <c r="L25" s="4">
        <f>'Hampshire Daily'!C28</f>
        <v>143</v>
      </c>
    </row>
    <row r="26" spans="1:12" x14ac:dyDescent="0.25">
      <c r="A26" s="3" t="s">
        <v>12</v>
      </c>
      <c r="B26" s="97">
        <f>B25+1</f>
        <v>25</v>
      </c>
      <c r="C26" s="2">
        <v>2</v>
      </c>
      <c r="D26" s="2">
        <v>2023</v>
      </c>
      <c r="E26" s="4">
        <f>Submetering!E26+Submetering!F26</f>
        <v>6507</v>
      </c>
      <c r="F26" s="12">
        <v>0.35</v>
      </c>
      <c r="G26" s="4">
        <f>Submetering!M26</f>
        <v>3416</v>
      </c>
      <c r="H26" s="12">
        <v>0.6</v>
      </c>
      <c r="I26" s="4">
        <f>Submetering!N26</f>
        <v>116</v>
      </c>
      <c r="J26" s="13">
        <v>2.5</v>
      </c>
      <c r="K26" s="4">
        <f>'Hampshire Daily'!B29</f>
        <v>78</v>
      </c>
      <c r="L26" s="4">
        <f>'Hampshire Daily'!C29</f>
        <v>174</v>
      </c>
    </row>
    <row r="27" spans="1:12" x14ac:dyDescent="0.25">
      <c r="A27" s="3" t="s">
        <v>12</v>
      </c>
      <c r="B27" s="97">
        <f t="shared" si="0"/>
        <v>26</v>
      </c>
      <c r="C27" s="2">
        <v>2</v>
      </c>
      <c r="D27" s="2">
        <v>2023</v>
      </c>
      <c r="E27" s="4">
        <f>Submetering!E27+Submetering!F27</f>
        <v>5686</v>
      </c>
      <c r="F27" s="12">
        <v>0.35</v>
      </c>
      <c r="G27" s="4">
        <f>Submetering!M27</f>
        <v>3265</v>
      </c>
      <c r="H27" s="12">
        <v>0.6</v>
      </c>
      <c r="I27" s="4">
        <f>Submetering!N27</f>
        <v>104</v>
      </c>
      <c r="J27" s="13">
        <v>2.5</v>
      </c>
      <c r="K27" s="4">
        <f>'Hampshire Daily'!B30</f>
        <v>26</v>
      </c>
      <c r="L27" s="4">
        <f>'Hampshire Daily'!C30</f>
        <v>52</v>
      </c>
    </row>
    <row r="28" spans="1:12" x14ac:dyDescent="0.25">
      <c r="A28" s="3" t="s">
        <v>12</v>
      </c>
      <c r="B28" s="97">
        <f t="shared" si="0"/>
        <v>27</v>
      </c>
      <c r="C28" s="2">
        <v>2</v>
      </c>
      <c r="D28" s="2">
        <v>2023</v>
      </c>
      <c r="E28" s="4">
        <f>Submetering!E28+Submetering!F28</f>
        <v>5390</v>
      </c>
      <c r="F28" s="12">
        <v>0.35</v>
      </c>
      <c r="G28" s="4">
        <f>Submetering!M28</f>
        <v>3243</v>
      </c>
      <c r="H28" s="12">
        <v>0.6</v>
      </c>
      <c r="I28" s="4">
        <f>Submetering!N28</f>
        <v>91</v>
      </c>
      <c r="J28" s="13">
        <v>2.5</v>
      </c>
      <c r="K28" s="4">
        <f>'Hampshire Daily'!B31</f>
        <v>38</v>
      </c>
      <c r="L28" s="4">
        <f>'Hampshire Daily'!C31</f>
        <v>60</v>
      </c>
    </row>
    <row r="29" spans="1:12" x14ac:dyDescent="0.25">
      <c r="A29" s="3" t="s">
        <v>12</v>
      </c>
      <c r="B29" s="97">
        <f t="shared" si="0"/>
        <v>28</v>
      </c>
      <c r="C29" s="2">
        <v>2</v>
      </c>
      <c r="D29" s="2">
        <v>2023</v>
      </c>
      <c r="E29" s="4">
        <f>Submetering!E29+Submetering!F29</f>
        <v>5658</v>
      </c>
      <c r="F29" s="12">
        <v>0.35</v>
      </c>
      <c r="G29" s="4">
        <f>Submetering!M29</f>
        <v>3580</v>
      </c>
      <c r="H29" s="12">
        <v>0.6</v>
      </c>
      <c r="I29" s="4">
        <f>Submetering!N29</f>
        <v>83</v>
      </c>
      <c r="J29" s="13">
        <v>2.5</v>
      </c>
      <c r="K29" s="4">
        <f>'Hampshire Daily'!B32</f>
        <v>14</v>
      </c>
      <c r="L29" s="4">
        <f>'Hampshire Daily'!C32</f>
        <v>24</v>
      </c>
    </row>
    <row r="30" spans="1:12" x14ac:dyDescent="0.25">
      <c r="E30" s="4"/>
      <c r="F30" s="12"/>
      <c r="G30" s="4"/>
      <c r="H30" s="12"/>
      <c r="I30" s="4"/>
      <c r="J30" s="13"/>
      <c r="K30" s="4"/>
      <c r="L30" s="4"/>
    </row>
    <row r="31" spans="1:12" x14ac:dyDescent="0.25">
      <c r="E31" s="4"/>
      <c r="F31" s="12"/>
      <c r="G31" s="4"/>
      <c r="H31" s="12"/>
      <c r="I31" s="4"/>
      <c r="J31" s="13"/>
      <c r="K31" s="4"/>
      <c r="L31" s="4"/>
    </row>
    <row r="32" spans="1:12" x14ac:dyDescent="0.25">
      <c r="E32" s="4"/>
      <c r="F32" s="12"/>
      <c r="G32" s="4"/>
      <c r="H32" s="12"/>
      <c r="I32" s="4"/>
      <c r="J32" s="13"/>
      <c r="K32" s="4"/>
      <c r="L3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15" sqref="L15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"/>
    <col min="4" max="4" width="13.42578125" style="1" customWidth="1"/>
    <col min="5" max="16" width="12.5703125" style="4" customWidth="1"/>
    <col min="17" max="17" width="11.5703125" style="4"/>
  </cols>
  <sheetData>
    <row r="1" spans="1:23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10" t="s">
        <v>25</v>
      </c>
      <c r="R1" s="10" t="s">
        <v>10</v>
      </c>
      <c r="S1" s="9" t="s">
        <v>11</v>
      </c>
    </row>
    <row r="2" spans="1:23" ht="15" customHeight="1" x14ac:dyDescent="0.25">
      <c r="A2" s="3" t="s">
        <v>12</v>
      </c>
      <c r="B2" s="1">
        <v>1</v>
      </c>
      <c r="C2" s="1">
        <v>2</v>
      </c>
      <c r="D2" s="1">
        <v>2023</v>
      </c>
      <c r="E2" s="4">
        <f>'Hampshire Daily'!D5-'Hampshire Daily'!D4</f>
        <v>3377</v>
      </c>
      <c r="F2" s="4">
        <f>'Hampshire Daily'!E5-'Hampshire Daily'!E4</f>
        <v>2942</v>
      </c>
      <c r="G2" s="4">
        <f>'Hampshire Daily'!F5-'Hampshire Daily'!F4</f>
        <v>4</v>
      </c>
      <c r="H2" s="4">
        <f>'Hampshire Daily'!G5-'Hampshire Daily'!G4</f>
        <v>2009</v>
      </c>
      <c r="I2" s="4">
        <f>'Hampshire Daily'!H5-'Hampshire Daily'!H4</f>
        <v>0</v>
      </c>
      <c r="J2" s="4">
        <f>'Hampshire Daily'!I5-'Hampshire Daily'!I4</f>
        <v>2228</v>
      </c>
      <c r="K2" s="4">
        <f>'Hampshire Daily'!J5-'Hampshire Daily'!J4</f>
        <v>966</v>
      </c>
      <c r="L2" s="4">
        <f>'Hampshire Daily'!K5-'Hampshire Daily'!K4</f>
        <v>44</v>
      </c>
      <c r="M2" s="4">
        <f>'Hampshire Daily'!N5-'Hampshire Daily'!N4</f>
        <v>3246</v>
      </c>
      <c r="N2" s="4">
        <f>'Hampshire Daily'!Q5-'Hampshire Daily'!Q4</f>
        <v>58</v>
      </c>
      <c r="O2" s="4">
        <f>'Hampshire Daily'!U5-'Hampshire Daily'!U4</f>
        <v>41</v>
      </c>
      <c r="P2" s="4">
        <f>'Hampshire Daily'!V5-'Hampshire Daily'!V4</f>
        <v>49</v>
      </c>
      <c r="Q2" s="4">
        <f>'Hampshire Daily'!Z5-'Hampshire Daily'!Z4</f>
        <v>2</v>
      </c>
      <c r="R2" s="4">
        <f>'Hampshire Daily'!B5</f>
        <v>19</v>
      </c>
      <c r="S2" s="4">
        <f>'Hampshire Daily'!C5</f>
        <v>28</v>
      </c>
    </row>
    <row r="3" spans="1:23" x14ac:dyDescent="0.25">
      <c r="A3" s="3" t="s">
        <v>12</v>
      </c>
      <c r="B3" s="1">
        <f>B2+1</f>
        <v>2</v>
      </c>
      <c r="C3" s="1">
        <v>2</v>
      </c>
      <c r="D3" s="1">
        <v>2023</v>
      </c>
      <c r="E3" s="4">
        <f>'Hampshire Daily'!D6-'Hampshire Daily'!D5</f>
        <v>2711</v>
      </c>
      <c r="F3" s="4">
        <f>'Hampshire Daily'!E6-'Hampshire Daily'!E5</f>
        <v>2950</v>
      </c>
      <c r="G3" s="4">
        <f>'Hampshire Daily'!F6-'Hampshire Daily'!F5</f>
        <v>50</v>
      </c>
      <c r="H3" s="4">
        <f>'Hampshire Daily'!G6-'Hampshire Daily'!G5</f>
        <v>1861</v>
      </c>
      <c r="I3" s="4">
        <f>'Hampshire Daily'!H6-'Hampshire Daily'!H5</f>
        <v>0</v>
      </c>
      <c r="J3" s="4">
        <f>'Hampshire Daily'!I6-'Hampshire Daily'!I5</f>
        <v>2274</v>
      </c>
      <c r="K3" s="4">
        <f>'Hampshire Daily'!J6-'Hampshire Daily'!J5</f>
        <v>975</v>
      </c>
      <c r="L3" s="4">
        <f>'Hampshire Daily'!K6-'Hampshire Daily'!K5</f>
        <v>0</v>
      </c>
      <c r="M3" s="4">
        <f>'Hampshire Daily'!N6-'Hampshire Daily'!N5</f>
        <v>2965</v>
      </c>
      <c r="N3" s="4">
        <f>'Hampshire Daily'!Q6-'Hampshire Daily'!Q5</f>
        <v>78</v>
      </c>
      <c r="O3" s="4">
        <f>'Hampshire Daily'!U6-'Hampshire Daily'!U5</f>
        <v>28</v>
      </c>
      <c r="P3" s="4">
        <f>'Hampshire Daily'!V6-'Hampshire Daily'!V5</f>
        <v>40</v>
      </c>
      <c r="Q3" s="4">
        <f>'Hampshire Daily'!Z6-'Hampshire Daily'!Z5</f>
        <v>6</v>
      </c>
      <c r="R3" s="4">
        <f>'Hampshire Daily'!B6</f>
        <v>79</v>
      </c>
      <c r="S3" s="4">
        <f>'Hampshire Daily'!C6</f>
        <v>96</v>
      </c>
      <c r="T3" t="s">
        <v>26</v>
      </c>
      <c r="U3" t="s">
        <v>26</v>
      </c>
      <c r="V3" t="s">
        <v>26</v>
      </c>
      <c r="W3" t="s">
        <v>26</v>
      </c>
    </row>
    <row r="4" spans="1:23" x14ac:dyDescent="0.25">
      <c r="A4" s="3" t="s">
        <v>12</v>
      </c>
      <c r="B4" s="1">
        <f t="shared" ref="B4:B29" si="0">B3+1</f>
        <v>3</v>
      </c>
      <c r="C4" s="1">
        <v>2</v>
      </c>
      <c r="D4" s="1">
        <v>2023</v>
      </c>
      <c r="E4" s="4">
        <f>'Hampshire Daily'!D7-'Hampshire Daily'!D6</f>
        <v>2600</v>
      </c>
      <c r="F4" s="4">
        <f>'Hampshire Daily'!E7-'Hampshire Daily'!E6</f>
        <v>3240</v>
      </c>
      <c r="G4" s="4">
        <f>'Hampshire Daily'!F7-'Hampshire Daily'!F6</f>
        <v>0</v>
      </c>
      <c r="H4" s="4">
        <f>'Hampshire Daily'!G7-'Hampshire Daily'!G6</f>
        <v>1933</v>
      </c>
      <c r="I4" s="4">
        <f>'Hampshire Daily'!H7-'Hampshire Daily'!H6</f>
        <v>0</v>
      </c>
      <c r="J4" s="4">
        <f>'Hampshire Daily'!I7-'Hampshire Daily'!I6</f>
        <v>2315</v>
      </c>
      <c r="K4" s="4">
        <f>'Hampshire Daily'!J7-'Hampshire Daily'!J6</f>
        <v>989</v>
      </c>
      <c r="L4" s="4">
        <f>'Hampshire Daily'!K7-'Hampshire Daily'!K6</f>
        <v>3</v>
      </c>
      <c r="M4" s="4">
        <f>'Hampshire Daily'!N7-'Hampshire Daily'!N6</f>
        <v>3066</v>
      </c>
      <c r="N4" s="4">
        <f>'Hampshire Daily'!Q7-'Hampshire Daily'!Q6</f>
        <v>74</v>
      </c>
      <c r="O4" s="4">
        <f>'Hampshire Daily'!U7-'Hampshire Daily'!U6</f>
        <v>38</v>
      </c>
      <c r="P4" s="4">
        <f>'Hampshire Daily'!V7-'Hampshire Daily'!V6</f>
        <v>52</v>
      </c>
      <c r="Q4" s="4">
        <f>'Hampshire Daily'!Z7-'Hampshire Daily'!Z6</f>
        <v>3</v>
      </c>
      <c r="R4" s="4">
        <f>'Hampshire Daily'!B7</f>
        <v>68</v>
      </c>
      <c r="S4" s="4">
        <f>'Hampshire Daily'!C7</f>
        <v>144</v>
      </c>
      <c r="T4" t="s">
        <v>26</v>
      </c>
    </row>
    <row r="5" spans="1:23" x14ac:dyDescent="0.25">
      <c r="A5" s="3" t="s">
        <v>12</v>
      </c>
      <c r="B5" s="1">
        <f t="shared" si="0"/>
        <v>4</v>
      </c>
      <c r="C5" s="1">
        <v>2</v>
      </c>
      <c r="D5" s="1">
        <v>2023</v>
      </c>
      <c r="E5" s="4">
        <f>'Hampshire Daily'!D8-'Hampshire Daily'!D7</f>
        <v>2158</v>
      </c>
      <c r="F5" s="4">
        <f>'Hampshire Daily'!E8-'Hampshire Daily'!E7</f>
        <v>3644</v>
      </c>
      <c r="G5" s="4">
        <f>'Hampshire Daily'!F8-'Hampshire Daily'!F7</f>
        <v>0</v>
      </c>
      <c r="H5" s="4">
        <f>'Hampshire Daily'!G8-'Hampshire Daily'!G7</f>
        <v>1802</v>
      </c>
      <c r="I5" s="4">
        <f>'Hampshire Daily'!H8-'Hampshire Daily'!H7</f>
        <v>0</v>
      </c>
      <c r="J5" s="4">
        <f>'Hampshire Daily'!I8-'Hampshire Daily'!I7</f>
        <v>2501</v>
      </c>
      <c r="K5" s="4">
        <f>'Hampshire Daily'!J8-'Hampshire Daily'!J7</f>
        <v>1085</v>
      </c>
      <c r="L5" s="4">
        <f>'Hampshire Daily'!K8-'Hampshire Daily'!K7</f>
        <v>1</v>
      </c>
      <c r="M5" s="4">
        <f>'Hampshire Daily'!N8-'Hampshire Daily'!N7</f>
        <v>2841</v>
      </c>
      <c r="N5" s="4">
        <f>'Hampshire Daily'!Q8-'Hampshire Daily'!Q7</f>
        <v>85</v>
      </c>
      <c r="O5" s="4">
        <f>'Hampshire Daily'!U8-'Hampshire Daily'!U7</f>
        <v>52</v>
      </c>
      <c r="P5" s="4">
        <f>'Hampshire Daily'!V8-'Hampshire Daily'!V7</f>
        <v>61</v>
      </c>
      <c r="Q5" s="4">
        <f>'Hampshire Daily'!Z8-'Hampshire Daily'!Z7</f>
        <v>3</v>
      </c>
      <c r="R5" s="4">
        <f>'Hampshire Daily'!B8</f>
        <v>77</v>
      </c>
      <c r="S5" s="4">
        <f>'Hampshire Daily'!C8</f>
        <v>177</v>
      </c>
    </row>
    <row r="6" spans="1:23" x14ac:dyDescent="0.25">
      <c r="A6" s="3" t="s">
        <v>12</v>
      </c>
      <c r="B6" s="1">
        <f t="shared" si="0"/>
        <v>5</v>
      </c>
      <c r="C6" s="1">
        <v>2</v>
      </c>
      <c r="D6" s="1">
        <v>2023</v>
      </c>
      <c r="E6" s="4">
        <f>'Hampshire Daily'!D9-'Hampshire Daily'!D8</f>
        <v>2033</v>
      </c>
      <c r="F6" s="4">
        <f>'Hampshire Daily'!E9-'Hampshire Daily'!E8</f>
        <v>3863</v>
      </c>
      <c r="G6" s="4">
        <f>'Hampshire Daily'!F9-'Hampshire Daily'!F8</f>
        <v>0</v>
      </c>
      <c r="H6" s="4">
        <f>'Hampshire Daily'!G9-'Hampshire Daily'!G8</f>
        <v>1862</v>
      </c>
      <c r="I6" s="4">
        <f>'Hampshire Daily'!H9-'Hampshire Daily'!H8</f>
        <v>0</v>
      </c>
      <c r="J6" s="4">
        <f>'Hampshire Daily'!I9-'Hampshire Daily'!I8</f>
        <v>2667</v>
      </c>
      <c r="K6" s="4">
        <f>'Hampshire Daily'!J9-'Hampshire Daily'!J8</f>
        <v>1233</v>
      </c>
      <c r="L6" s="4">
        <f>'Hampshire Daily'!K9-'Hampshire Daily'!K8</f>
        <v>1</v>
      </c>
      <c r="M6" s="4">
        <f>'Hampshire Daily'!N9-'Hampshire Daily'!N8</f>
        <v>2964</v>
      </c>
      <c r="N6" s="4">
        <f>'Hampshire Daily'!Q9-'Hampshire Daily'!Q8</f>
        <v>88</v>
      </c>
      <c r="O6" s="4">
        <f>'Hampshire Daily'!U9-'Hampshire Daily'!U8</f>
        <v>58</v>
      </c>
      <c r="P6" s="4">
        <f>'Hampshire Daily'!V9-'Hampshire Daily'!V8</f>
        <v>66</v>
      </c>
      <c r="Q6" s="4">
        <f>'Hampshire Daily'!Z9-'Hampshire Daily'!Z8</f>
        <v>7</v>
      </c>
      <c r="R6" s="4">
        <f>'Hampshire Daily'!B9</f>
        <v>28</v>
      </c>
      <c r="S6" s="4">
        <f>'Hampshire Daily'!C9</f>
        <v>42</v>
      </c>
    </row>
    <row r="7" spans="1:23" x14ac:dyDescent="0.25">
      <c r="A7" s="3" t="s">
        <v>12</v>
      </c>
      <c r="B7" s="1">
        <f t="shared" si="0"/>
        <v>6</v>
      </c>
      <c r="C7" s="1">
        <v>2</v>
      </c>
      <c r="D7" s="1">
        <v>2023</v>
      </c>
      <c r="E7" s="4">
        <f>'Hampshire Daily'!D10-'Hampshire Daily'!D9</f>
        <v>2374</v>
      </c>
      <c r="F7" s="4">
        <f>'Hampshire Daily'!E10-'Hampshire Daily'!E9</f>
        <v>4099</v>
      </c>
      <c r="G7" s="4">
        <f>'Hampshire Daily'!F10-'Hampshire Daily'!F9</f>
        <v>0</v>
      </c>
      <c r="H7" s="4">
        <f>'Hampshire Daily'!G10-'Hampshire Daily'!G9</f>
        <v>1929</v>
      </c>
      <c r="I7" s="4">
        <f>'Hampshire Daily'!H10-'Hampshire Daily'!H9</f>
        <v>0</v>
      </c>
      <c r="J7" s="4">
        <f>'Hampshire Daily'!I10-'Hampshire Daily'!I9</f>
        <v>2676</v>
      </c>
      <c r="K7" s="4">
        <f>'Hampshire Daily'!J10-'Hampshire Daily'!J9</f>
        <v>1203</v>
      </c>
      <c r="L7" s="4">
        <f>'Hampshire Daily'!K10-'Hampshire Daily'!K9</f>
        <v>1</v>
      </c>
      <c r="M7" s="4">
        <f>'Hampshire Daily'!N10-'Hampshire Daily'!N9</f>
        <v>3325</v>
      </c>
      <c r="N7" s="4">
        <f>'Hampshire Daily'!Q10-'Hampshire Daily'!Q9</f>
        <v>86</v>
      </c>
      <c r="O7" s="4">
        <f>'Hampshire Daily'!U10-'Hampshire Daily'!U9</f>
        <v>54</v>
      </c>
      <c r="P7" s="4">
        <f>'Hampshire Daily'!V10-'Hampshire Daily'!V9</f>
        <v>61</v>
      </c>
      <c r="Q7" s="4">
        <f>'Hampshire Daily'!Z10-'Hampshire Daily'!Z9</f>
        <v>3</v>
      </c>
      <c r="R7" s="4">
        <f>'Hampshire Daily'!B10</f>
        <v>15</v>
      </c>
      <c r="S7" s="4">
        <f>'Hampshire Daily'!C10</f>
        <v>29</v>
      </c>
    </row>
    <row r="8" spans="1:23" x14ac:dyDescent="0.25">
      <c r="A8" s="3" t="s">
        <v>12</v>
      </c>
      <c r="B8" s="1">
        <f t="shared" si="0"/>
        <v>7</v>
      </c>
      <c r="C8" s="1">
        <v>2</v>
      </c>
      <c r="D8" s="1">
        <v>2023</v>
      </c>
      <c r="E8" s="4">
        <f>'Hampshire Daily'!D11-'Hampshire Daily'!D10</f>
        <v>2733</v>
      </c>
      <c r="F8" s="4">
        <f>'Hampshire Daily'!E11-'Hampshire Daily'!E10</f>
        <v>2843</v>
      </c>
      <c r="G8" s="4">
        <f>'Hampshire Daily'!F11-'Hampshire Daily'!F10</f>
        <v>0</v>
      </c>
      <c r="H8" s="4">
        <f>'Hampshire Daily'!G11-'Hampshire Daily'!G10</f>
        <v>1347</v>
      </c>
      <c r="I8" s="4">
        <f>'Hampshire Daily'!H11-'Hampshire Daily'!H10</f>
        <v>0</v>
      </c>
      <c r="J8" s="4">
        <f>'Hampshire Daily'!I11-'Hampshire Daily'!I10</f>
        <v>2134</v>
      </c>
      <c r="K8" s="4">
        <f>'Hampshire Daily'!J11-'Hampshire Daily'!J10</f>
        <v>890</v>
      </c>
      <c r="L8" s="4">
        <f>'Hampshire Daily'!K11-'Hampshire Daily'!K10</f>
        <v>1</v>
      </c>
      <c r="M8" s="4">
        <f>'Hampshire Daily'!N11-'Hampshire Daily'!N10</f>
        <v>3126</v>
      </c>
      <c r="N8" s="4">
        <f>'Hampshire Daily'!Q11-'Hampshire Daily'!Q10</f>
        <v>61</v>
      </c>
      <c r="O8" s="4">
        <f>'Hampshire Daily'!U11-'Hampshire Daily'!U10</f>
        <v>26</v>
      </c>
      <c r="P8" s="4">
        <f>'Hampshire Daily'!V11-'Hampshire Daily'!V10</f>
        <v>46</v>
      </c>
      <c r="Q8" s="4">
        <f>'Hampshire Daily'!Z11-'Hampshire Daily'!Z10</f>
        <v>2</v>
      </c>
      <c r="R8" s="4">
        <f>'Hampshire Daily'!B11</f>
        <v>13</v>
      </c>
      <c r="S8" s="4">
        <f>'Hampshire Daily'!C11</f>
        <v>29</v>
      </c>
    </row>
    <row r="9" spans="1:23" x14ac:dyDescent="0.25">
      <c r="A9" s="3" t="s">
        <v>12</v>
      </c>
      <c r="B9" s="1">
        <f t="shared" si="0"/>
        <v>8</v>
      </c>
      <c r="C9" s="1">
        <v>2</v>
      </c>
      <c r="D9" s="1">
        <v>2023</v>
      </c>
      <c r="E9" s="4">
        <f>'Hampshire Daily'!D12-'Hampshire Daily'!D11</f>
        <v>3139</v>
      </c>
      <c r="F9" s="4">
        <f>'Hampshire Daily'!E12-'Hampshire Daily'!E11</f>
        <v>2758</v>
      </c>
      <c r="G9" s="4">
        <f>'Hampshire Daily'!F12-'Hampshire Daily'!F11</f>
        <v>2</v>
      </c>
      <c r="H9" s="4">
        <f>'Hampshire Daily'!G12-'Hampshire Daily'!G11</f>
        <v>2653</v>
      </c>
      <c r="I9" s="4">
        <f>'Hampshire Daily'!H12-'Hampshire Daily'!H11</f>
        <v>0</v>
      </c>
      <c r="J9" s="4">
        <f>'Hampshire Daily'!I12-'Hampshire Daily'!I11</f>
        <v>2232</v>
      </c>
      <c r="K9" s="4">
        <f>'Hampshire Daily'!J12-'Hampshire Daily'!J11</f>
        <v>899</v>
      </c>
      <c r="L9" s="4">
        <f>'Hampshire Daily'!K12-'Hampshire Daily'!K11</f>
        <v>17</v>
      </c>
      <c r="M9" s="4">
        <f>'Hampshire Daily'!N12-'Hampshire Daily'!N11</f>
        <v>3380</v>
      </c>
      <c r="N9" s="4">
        <f>'Hampshire Daily'!Q12-'Hampshire Daily'!Q11</f>
        <v>78</v>
      </c>
      <c r="O9" s="4">
        <f>'Hampshire Daily'!U12-'Hampshire Daily'!U11</f>
        <v>36</v>
      </c>
      <c r="P9" s="4">
        <f>'Hampshire Daily'!V12-'Hampshire Daily'!V11</f>
        <v>45</v>
      </c>
      <c r="Q9" s="4">
        <f>'Hampshire Daily'!Z12-'Hampshire Daily'!Z11</f>
        <v>3</v>
      </c>
      <c r="R9" s="4">
        <f>'Hampshire Daily'!B12</f>
        <v>21</v>
      </c>
      <c r="S9" s="4">
        <f>'Hampshire Daily'!C12</f>
        <v>41</v>
      </c>
    </row>
    <row r="10" spans="1:23" x14ac:dyDescent="0.25">
      <c r="A10" s="3" t="s">
        <v>12</v>
      </c>
      <c r="B10" s="1">
        <f t="shared" si="0"/>
        <v>9</v>
      </c>
      <c r="C10" s="1">
        <v>2</v>
      </c>
      <c r="D10" s="1">
        <v>2023</v>
      </c>
      <c r="E10" s="4">
        <f>'Hampshire Daily'!D13-'Hampshire Daily'!D12</f>
        <v>2400</v>
      </c>
      <c r="F10" s="4">
        <f>'Hampshire Daily'!E13-'Hampshire Daily'!E12</f>
        <v>3584</v>
      </c>
      <c r="G10" s="4">
        <f>'Hampshire Daily'!F13-'Hampshire Daily'!F12</f>
        <v>0</v>
      </c>
      <c r="H10" s="4">
        <f>'Hampshire Daily'!G13-'Hampshire Daily'!G12</f>
        <v>2025</v>
      </c>
      <c r="I10" s="4">
        <f>'Hampshire Daily'!H13-'Hampshire Daily'!H12</f>
        <v>0</v>
      </c>
      <c r="J10" s="4">
        <f>'Hampshire Daily'!I13-'Hampshire Daily'!I12</f>
        <v>2333</v>
      </c>
      <c r="K10" s="4">
        <f>'Hampshire Daily'!J13-'Hampshire Daily'!J12</f>
        <v>1028</v>
      </c>
      <c r="L10" s="4">
        <f>'Hampshire Daily'!K13-'Hampshire Daily'!K12</f>
        <v>1</v>
      </c>
      <c r="M10" s="4">
        <f>'Hampshire Daily'!N13-'Hampshire Daily'!N12</f>
        <v>3393</v>
      </c>
      <c r="N10" s="4">
        <f>'Hampshire Daily'!Q13-'Hampshire Daily'!Q12</f>
        <v>72</v>
      </c>
      <c r="O10" s="4">
        <f>'Hampshire Daily'!U13-'Hampshire Daily'!U12</f>
        <v>35</v>
      </c>
      <c r="P10" s="4">
        <f>'Hampshire Daily'!V13-'Hampshire Daily'!V12</f>
        <v>42</v>
      </c>
      <c r="Q10" s="4">
        <f>'Hampshire Daily'!Z13-'Hampshire Daily'!Z12</f>
        <v>2</v>
      </c>
      <c r="R10" s="4">
        <f>'Hampshire Daily'!B13</f>
        <v>26</v>
      </c>
      <c r="S10" s="4">
        <f>'Hampshire Daily'!C13</f>
        <v>62</v>
      </c>
    </row>
    <row r="11" spans="1:23" x14ac:dyDescent="0.25">
      <c r="A11" s="3" t="s">
        <v>12</v>
      </c>
      <c r="B11" s="1">
        <f t="shared" si="0"/>
        <v>10</v>
      </c>
      <c r="C11" s="1">
        <v>2</v>
      </c>
      <c r="D11" s="1">
        <v>2023</v>
      </c>
      <c r="E11" s="4">
        <f>'Hampshire Daily'!D14-'Hampshire Daily'!D13</f>
        <v>2098</v>
      </c>
      <c r="F11" s="4">
        <f>'Hampshire Daily'!E14-'Hampshire Daily'!E13</f>
        <v>3772</v>
      </c>
      <c r="G11" s="4">
        <f>'Hampshire Daily'!F14-'Hampshire Daily'!F13</f>
        <v>0</v>
      </c>
      <c r="H11" s="4">
        <f>'Hampshire Daily'!G14-'Hampshire Daily'!G13</f>
        <v>1845</v>
      </c>
      <c r="I11" s="4">
        <f>'Hampshire Daily'!H14-'Hampshire Daily'!H13</f>
        <v>0</v>
      </c>
      <c r="J11" s="4">
        <f>'Hampshire Daily'!I14-'Hampshire Daily'!I13</f>
        <v>2292</v>
      </c>
      <c r="K11" s="4">
        <f>'Hampshire Daily'!J14-'Hampshire Daily'!J13</f>
        <v>1010</v>
      </c>
      <c r="L11" s="4">
        <f>'Hampshire Daily'!K14-'Hampshire Daily'!K13</f>
        <v>0</v>
      </c>
      <c r="M11" s="4">
        <f>'Hampshire Daily'!N14-'Hampshire Daily'!N13</f>
        <v>3227</v>
      </c>
      <c r="N11" s="4">
        <f>'Hampshire Daily'!Q14-'Hampshire Daily'!Q13</f>
        <v>52</v>
      </c>
      <c r="O11" s="4">
        <f>'Hampshire Daily'!U14-'Hampshire Daily'!U13</f>
        <v>33</v>
      </c>
      <c r="P11" s="4">
        <f>'Hampshire Daily'!V14-'Hampshire Daily'!V13</f>
        <v>40</v>
      </c>
      <c r="Q11" s="4">
        <f>'Hampshire Daily'!Z14-'Hampshire Daily'!Z13</f>
        <v>4</v>
      </c>
      <c r="R11" s="4">
        <f>'Hampshire Daily'!B14</f>
        <v>54</v>
      </c>
      <c r="S11" s="4">
        <f>'Hampshire Daily'!C14</f>
        <v>134</v>
      </c>
    </row>
    <row r="12" spans="1:23" x14ac:dyDescent="0.25">
      <c r="A12" s="3" t="s">
        <v>12</v>
      </c>
      <c r="B12" s="1">
        <f t="shared" si="0"/>
        <v>11</v>
      </c>
      <c r="C12" s="1">
        <v>2</v>
      </c>
      <c r="D12" s="1">
        <v>2023</v>
      </c>
      <c r="E12" s="4">
        <f>'Hampshire Daily'!D15-'Hampshire Daily'!D14</f>
        <v>2255</v>
      </c>
      <c r="F12" s="4">
        <f>'Hampshire Daily'!E15-'Hampshire Daily'!E14</f>
        <v>3876</v>
      </c>
      <c r="G12" s="4">
        <f>'Hampshire Daily'!F15-'Hampshire Daily'!F14</f>
        <v>0</v>
      </c>
      <c r="H12" s="4">
        <f>'Hampshire Daily'!G15-'Hampshire Daily'!G14</f>
        <v>2041</v>
      </c>
      <c r="I12" s="4">
        <f>'Hampshire Daily'!H15-'Hampshire Daily'!H14</f>
        <v>0</v>
      </c>
      <c r="J12" s="4">
        <f>'Hampshire Daily'!I15-'Hampshire Daily'!I14</f>
        <v>2624</v>
      </c>
      <c r="K12" s="4">
        <f>'Hampshire Daily'!J15-'Hampshire Daily'!J14</f>
        <v>1124</v>
      </c>
      <c r="L12" s="4">
        <f>'Hampshire Daily'!K15-'Hampshire Daily'!K14</f>
        <v>2</v>
      </c>
      <c r="M12" s="4">
        <f>'Hampshire Daily'!N15-'Hampshire Daily'!N14</f>
        <v>3037</v>
      </c>
      <c r="N12" s="4">
        <f>'Hampshire Daily'!Q15-'Hampshire Daily'!Q14</f>
        <v>81</v>
      </c>
      <c r="O12" s="4">
        <f>'Hampshire Daily'!U15-'Hampshire Daily'!U14</f>
        <v>49</v>
      </c>
      <c r="P12" s="4">
        <f>'Hampshire Daily'!V15-'Hampshire Daily'!V14</f>
        <v>55</v>
      </c>
      <c r="Q12" s="4">
        <f>'Hampshire Daily'!Z15-'Hampshire Daily'!Z14</f>
        <v>7</v>
      </c>
      <c r="R12" s="4">
        <f>'Hampshire Daily'!B15</f>
        <v>100</v>
      </c>
      <c r="S12" s="4">
        <f>'Hampshire Daily'!C15</f>
        <v>250</v>
      </c>
    </row>
    <row r="13" spans="1:23" x14ac:dyDescent="0.25">
      <c r="A13" s="3" t="s">
        <v>12</v>
      </c>
      <c r="B13" s="1">
        <f t="shared" si="0"/>
        <v>12</v>
      </c>
      <c r="C13" s="1">
        <v>2</v>
      </c>
      <c r="D13" s="1">
        <v>2023</v>
      </c>
      <c r="E13" s="4">
        <f>'Hampshire Daily'!D16-'Hampshire Daily'!D15</f>
        <v>2155</v>
      </c>
      <c r="F13" s="4">
        <f>'Hampshire Daily'!E16-'Hampshire Daily'!E15</f>
        <v>4129</v>
      </c>
      <c r="G13" s="4">
        <f>'Hampshire Daily'!F16-'Hampshire Daily'!F15</f>
        <v>0</v>
      </c>
      <c r="H13" s="4">
        <f>'Hampshire Daily'!G16-'Hampshire Daily'!G15</f>
        <v>1830</v>
      </c>
      <c r="I13" s="4">
        <f>'Hampshire Daily'!H16-'Hampshire Daily'!H15</f>
        <v>0</v>
      </c>
      <c r="J13" s="4">
        <f>'Hampshire Daily'!I16-'Hampshire Daily'!I15</f>
        <v>2685</v>
      </c>
      <c r="K13" s="4">
        <f>'Hampshire Daily'!J16-'Hampshire Daily'!J15</f>
        <v>1174</v>
      </c>
      <c r="L13" s="4">
        <f>'Hampshire Daily'!K16-'Hampshire Daily'!K15</f>
        <v>2</v>
      </c>
      <c r="M13" s="4">
        <f>'Hampshire Daily'!N16-'Hampshire Daily'!N15</f>
        <v>3046</v>
      </c>
      <c r="N13" s="4">
        <f>'Hampshire Daily'!Q16-'Hampshire Daily'!Q15</f>
        <v>92</v>
      </c>
      <c r="O13" s="4">
        <f>'Hampshire Daily'!U16-'Hampshire Daily'!U15</f>
        <v>66</v>
      </c>
      <c r="P13" s="4">
        <f>'Hampshire Daily'!V16-'Hampshire Daily'!V15</f>
        <v>72</v>
      </c>
      <c r="Q13" s="4">
        <f>'Hampshire Daily'!Z16-'Hampshire Daily'!Z15</f>
        <v>5</v>
      </c>
      <c r="R13" s="4">
        <f>'Hampshire Daily'!B16</f>
        <v>99</v>
      </c>
      <c r="S13" s="4">
        <f>'Hampshire Daily'!C16</f>
        <v>261</v>
      </c>
    </row>
    <row r="14" spans="1:23" x14ac:dyDescent="0.25">
      <c r="A14" s="3" t="s">
        <v>12</v>
      </c>
      <c r="B14" s="1">
        <f t="shared" si="0"/>
        <v>13</v>
      </c>
      <c r="C14" s="1">
        <v>2</v>
      </c>
      <c r="D14" s="1">
        <v>2023</v>
      </c>
      <c r="E14" s="4">
        <f>'Hampshire Daily'!D17-'Hampshire Daily'!D16</f>
        <v>2021</v>
      </c>
      <c r="F14" s="4">
        <f>'Hampshire Daily'!E17-'Hampshire Daily'!E16</f>
        <v>4082</v>
      </c>
      <c r="G14" s="4">
        <f>'Hampshire Daily'!F17-'Hampshire Daily'!F16</f>
        <v>0</v>
      </c>
      <c r="H14" s="4">
        <f>'Hampshire Daily'!G17-'Hampshire Daily'!G16</f>
        <v>1758</v>
      </c>
      <c r="I14" s="4">
        <f>'Hampshire Daily'!H17-'Hampshire Daily'!H16</f>
        <v>0</v>
      </c>
      <c r="J14" s="4">
        <f>'Hampshire Daily'!I17-'Hampshire Daily'!I16</f>
        <v>2701</v>
      </c>
      <c r="K14" s="4">
        <f>'Hampshire Daily'!J17-'Hampshire Daily'!J16</f>
        <v>1270</v>
      </c>
      <c r="L14" s="4">
        <f>'Hampshire Daily'!K17-'Hampshire Daily'!K16</f>
        <v>2</v>
      </c>
      <c r="M14" s="4">
        <f>'Hampshire Daily'!N17-'Hampshire Daily'!N16</f>
        <v>3105</v>
      </c>
      <c r="N14" s="4">
        <f>'Hampshire Daily'!Q17-'Hampshire Daily'!Q16</f>
        <v>124</v>
      </c>
      <c r="O14" s="4">
        <f>'Hampshire Daily'!U17-'Hampshire Daily'!U16</f>
        <v>83</v>
      </c>
      <c r="P14" s="4">
        <f>'Hampshire Daily'!V17-'Hampshire Daily'!V16</f>
        <v>86</v>
      </c>
      <c r="Q14" s="4">
        <f>'Hampshire Daily'!Z17-'Hampshire Daily'!Z16</f>
        <v>4</v>
      </c>
      <c r="R14" s="4">
        <f>'Hampshire Daily'!B17</f>
        <v>97</v>
      </c>
      <c r="S14" s="4">
        <f>'Hampshire Daily'!C17</f>
        <v>241</v>
      </c>
    </row>
    <row r="15" spans="1:23" x14ac:dyDescent="0.25">
      <c r="A15" s="3" t="s">
        <v>12</v>
      </c>
      <c r="B15" s="1">
        <f t="shared" si="0"/>
        <v>14</v>
      </c>
      <c r="C15" s="1">
        <v>2</v>
      </c>
      <c r="D15" s="1">
        <v>2023</v>
      </c>
      <c r="E15" s="4">
        <f>'Hampshire Daily'!D18-'Hampshire Daily'!D17</f>
        <v>3629</v>
      </c>
      <c r="F15" s="4">
        <f>'Hampshire Daily'!E18-'Hampshire Daily'!E17</f>
        <v>5264</v>
      </c>
      <c r="G15" s="4">
        <f>'Hampshire Daily'!F18-'Hampshire Daily'!F17</f>
        <v>389</v>
      </c>
      <c r="H15" s="4">
        <f>'Hampshire Daily'!G18-'Hampshire Daily'!G17</f>
        <v>1851</v>
      </c>
      <c r="I15" s="4">
        <f>'Hampshire Daily'!H18-'Hampshire Daily'!H17</f>
        <v>0</v>
      </c>
      <c r="J15" s="4">
        <f>'Hampshire Daily'!I18-'Hampshire Daily'!I17</f>
        <v>2779</v>
      </c>
      <c r="K15" s="4">
        <f>'Hampshire Daily'!J18-'Hampshire Daily'!J17</f>
        <v>1294</v>
      </c>
      <c r="L15" s="4">
        <f>'Hampshire Daily'!K18-'Hampshire Daily'!K17</f>
        <v>494</v>
      </c>
      <c r="M15" s="4">
        <f>'Hampshire Daily'!N18-'Hampshire Daily'!N17</f>
        <v>2095</v>
      </c>
      <c r="N15" s="4">
        <f>'Hampshire Daily'!Q18-'Hampshire Daily'!Q17</f>
        <v>102</v>
      </c>
      <c r="O15" s="4">
        <f>'Hampshire Daily'!U18-'Hampshire Daily'!U17</f>
        <v>70</v>
      </c>
      <c r="P15" s="4">
        <f>'Hampshire Daily'!V18-'Hampshire Daily'!V17</f>
        <v>78</v>
      </c>
      <c r="Q15" s="4">
        <f>'Hampshire Daily'!Z18-'Hampshire Daily'!Z17</f>
        <v>5</v>
      </c>
      <c r="R15" s="4">
        <f>'Hampshire Daily'!B18</f>
        <v>96</v>
      </c>
      <c r="S15" s="4">
        <f>'Hampshire Daily'!C18</f>
        <v>239</v>
      </c>
    </row>
    <row r="16" spans="1:23" x14ac:dyDescent="0.25">
      <c r="A16" s="3" t="s">
        <v>12</v>
      </c>
      <c r="B16" s="1">
        <f t="shared" si="0"/>
        <v>15</v>
      </c>
      <c r="C16" s="1">
        <v>2</v>
      </c>
      <c r="D16" s="1">
        <v>2023</v>
      </c>
      <c r="E16" s="4">
        <f>'Hampshire Daily'!D19-'Hampshire Daily'!D18</f>
        <v>2523</v>
      </c>
      <c r="F16" s="4">
        <f>'Hampshire Daily'!E19-'Hampshire Daily'!E18</f>
        <v>4318</v>
      </c>
      <c r="G16" s="4">
        <f>'Hampshire Daily'!F19-'Hampshire Daily'!F18</f>
        <v>0</v>
      </c>
      <c r="H16" s="4">
        <f>'Hampshire Daily'!G19-'Hampshire Daily'!G18</f>
        <v>2254</v>
      </c>
      <c r="I16" s="4">
        <f>'Hampshire Daily'!H19-'Hampshire Daily'!H18</f>
        <v>0</v>
      </c>
      <c r="J16" s="4">
        <f>'Hampshire Daily'!I19-'Hampshire Daily'!I18</f>
        <v>2641</v>
      </c>
      <c r="K16" s="4">
        <f>'Hampshire Daily'!J19-'Hampshire Daily'!J18</f>
        <v>1181</v>
      </c>
      <c r="L16" s="4">
        <f>'Hampshire Daily'!K19-'Hampshire Daily'!K18</f>
        <v>18</v>
      </c>
      <c r="M16" s="4">
        <f>'Hampshire Daily'!N19-'Hampshire Daily'!N18</f>
        <v>3457</v>
      </c>
      <c r="N16" s="4">
        <f>'Hampshire Daily'!Q19-'Hampshire Daily'!Q18</f>
        <v>144</v>
      </c>
      <c r="O16" s="4">
        <f>'Hampshire Daily'!U19-'Hampshire Daily'!U18</f>
        <v>92</v>
      </c>
      <c r="P16" s="4">
        <f>'Hampshire Daily'!V19-'Hampshire Daily'!V18</f>
        <v>94</v>
      </c>
      <c r="Q16" s="4">
        <f>'Hampshire Daily'!Z19-'Hampshire Daily'!Z18</f>
        <v>5</v>
      </c>
      <c r="R16" s="4">
        <f>'Hampshire Daily'!B19</f>
        <v>80</v>
      </c>
      <c r="S16" s="4">
        <f>'Hampshire Daily'!C19</f>
        <v>213</v>
      </c>
    </row>
    <row r="17" spans="1:19" x14ac:dyDescent="0.25">
      <c r="A17" s="3" t="s">
        <v>12</v>
      </c>
      <c r="B17" s="1">
        <f t="shared" si="0"/>
        <v>16</v>
      </c>
      <c r="C17" s="1">
        <v>2</v>
      </c>
      <c r="D17" s="1">
        <v>2023</v>
      </c>
      <c r="E17" s="4">
        <f>'Hampshire Daily'!D20-'Hampshire Daily'!D19</f>
        <v>1922</v>
      </c>
      <c r="F17" s="4">
        <f>'Hampshire Daily'!E20-'Hampshire Daily'!E19</f>
        <v>3523</v>
      </c>
      <c r="G17" s="4">
        <f>'Hampshire Daily'!F20-'Hampshire Daily'!F19</f>
        <v>0</v>
      </c>
      <c r="H17" s="4">
        <f>'Hampshire Daily'!G20-'Hampshire Daily'!G19</f>
        <v>1402</v>
      </c>
      <c r="I17" s="4">
        <f>'Hampshire Daily'!H20-'Hampshire Daily'!H19</f>
        <v>0</v>
      </c>
      <c r="J17" s="4">
        <f>'Hampshire Daily'!I20-'Hampshire Daily'!I19</f>
        <v>2640</v>
      </c>
      <c r="K17" s="4">
        <f>'Hampshire Daily'!J20-'Hampshire Daily'!J19</f>
        <v>1181</v>
      </c>
      <c r="L17" s="4">
        <f>'Hampshire Daily'!K20-'Hampshire Daily'!K19</f>
        <v>3</v>
      </c>
      <c r="M17" s="4">
        <f>'Hampshire Daily'!N20-'Hampshire Daily'!N19</f>
        <v>2864</v>
      </c>
      <c r="N17" s="4">
        <f>'Hampshire Daily'!Q20-'Hampshire Daily'!Q19</f>
        <v>85</v>
      </c>
      <c r="O17" s="4">
        <f>'Hampshire Daily'!U20-'Hampshire Daily'!U19</f>
        <v>58</v>
      </c>
      <c r="P17" s="4">
        <f>'Hampshire Daily'!V20-'Hampshire Daily'!V19</f>
        <v>64</v>
      </c>
      <c r="Q17" s="4">
        <f>'Hampshire Daily'!Z20-'Hampshire Daily'!Z19</f>
        <v>4</v>
      </c>
      <c r="R17" s="4">
        <f>'Hampshire Daily'!B20</f>
        <v>82</v>
      </c>
      <c r="S17" s="4">
        <f>'Hampshire Daily'!C20</f>
        <v>223</v>
      </c>
    </row>
    <row r="18" spans="1:19" x14ac:dyDescent="0.25">
      <c r="A18" s="3" t="s">
        <v>12</v>
      </c>
      <c r="B18" s="1">
        <f t="shared" si="0"/>
        <v>17</v>
      </c>
      <c r="C18" s="1">
        <v>2</v>
      </c>
      <c r="D18" s="1">
        <v>2023</v>
      </c>
      <c r="E18" s="4">
        <f>'Hampshire Daily'!D21-'Hampshire Daily'!D20</f>
        <v>1932</v>
      </c>
      <c r="F18" s="4">
        <f>'Hampshire Daily'!E21-'Hampshire Daily'!E20</f>
        <v>3695</v>
      </c>
      <c r="G18" s="4">
        <f>'Hampshire Daily'!F21-'Hampshire Daily'!F20</f>
        <v>0</v>
      </c>
      <c r="H18" s="4">
        <f>'Hampshire Daily'!G21-'Hampshire Daily'!G20</f>
        <v>1839</v>
      </c>
      <c r="I18" s="4">
        <f>'Hampshire Daily'!H21-'Hampshire Daily'!H20</f>
        <v>0</v>
      </c>
      <c r="J18" s="4">
        <f>'Hampshire Daily'!I21-'Hampshire Daily'!I20</f>
        <v>2648</v>
      </c>
      <c r="K18" s="4">
        <f>'Hampshire Daily'!J21-'Hampshire Daily'!J20</f>
        <v>1197</v>
      </c>
      <c r="L18" s="4">
        <f>'Hampshire Daily'!K21-'Hampshire Daily'!K20</f>
        <v>1</v>
      </c>
      <c r="M18" s="4">
        <f>'Hampshire Daily'!N21-'Hampshire Daily'!N20</f>
        <v>2678</v>
      </c>
      <c r="N18" s="4">
        <f>'Hampshire Daily'!Q21-'Hampshire Daily'!Q20</f>
        <v>97</v>
      </c>
      <c r="O18" s="4">
        <f>'Hampshire Daily'!U21-'Hampshire Daily'!U20</f>
        <v>72</v>
      </c>
      <c r="P18" s="4">
        <f>'Hampshire Daily'!V21-'Hampshire Daily'!V20</f>
        <v>78</v>
      </c>
      <c r="Q18" s="4">
        <f>'Hampshire Daily'!Z21-'Hampshire Daily'!Z20</f>
        <v>7</v>
      </c>
      <c r="R18" s="4">
        <f>'Hampshire Daily'!B21</f>
        <v>98</v>
      </c>
      <c r="S18" s="4">
        <f>'Hampshire Daily'!C21</f>
        <v>263</v>
      </c>
    </row>
    <row r="19" spans="1:19" x14ac:dyDescent="0.25">
      <c r="A19" s="3" t="s">
        <v>12</v>
      </c>
      <c r="B19" s="1">
        <f t="shared" si="0"/>
        <v>18</v>
      </c>
      <c r="C19" s="1">
        <v>2</v>
      </c>
      <c r="D19" s="1">
        <v>2023</v>
      </c>
      <c r="E19" s="4">
        <f>'Hampshire Daily'!D22-'Hampshire Daily'!D21</f>
        <v>2101</v>
      </c>
      <c r="F19" s="4">
        <f>'Hampshire Daily'!E22-'Hampshire Daily'!E21</f>
        <v>4257</v>
      </c>
      <c r="G19" s="4">
        <f>'Hampshire Daily'!F22-'Hampshire Daily'!F21</f>
        <v>0</v>
      </c>
      <c r="H19" s="4">
        <f>'Hampshire Daily'!G22-'Hampshire Daily'!G21</f>
        <v>1794</v>
      </c>
      <c r="I19" s="4">
        <f>'Hampshire Daily'!H22-'Hampshire Daily'!H21</f>
        <v>0</v>
      </c>
      <c r="J19" s="4">
        <f>'Hampshire Daily'!I22-'Hampshire Daily'!I21</f>
        <v>2853</v>
      </c>
      <c r="K19" s="4">
        <f>'Hampshire Daily'!J22-'Hampshire Daily'!J21</f>
        <v>1292</v>
      </c>
      <c r="L19" s="4">
        <f>'Hampshire Daily'!K22-'Hampshire Daily'!K21</f>
        <v>2</v>
      </c>
      <c r="M19" s="4">
        <f>'Hampshire Daily'!N22-'Hampshire Daily'!N21</f>
        <v>2892</v>
      </c>
      <c r="N19" s="4">
        <f>'Hampshire Daily'!Q22-'Hampshire Daily'!Q21</f>
        <v>114</v>
      </c>
      <c r="O19" s="4">
        <f>'Hampshire Daily'!U22-'Hampshire Daily'!U21</f>
        <v>72</v>
      </c>
      <c r="P19" s="4">
        <f>'Hampshire Daily'!V22-'Hampshire Daily'!V21</f>
        <v>80</v>
      </c>
      <c r="Q19" s="4">
        <f>'Hampshire Daily'!Z22-'Hampshire Daily'!Z21</f>
        <v>4</v>
      </c>
      <c r="R19" s="4">
        <f>'Hampshire Daily'!B22</f>
        <v>114</v>
      </c>
      <c r="S19" s="4">
        <f>'Hampshire Daily'!C22</f>
        <v>301</v>
      </c>
    </row>
    <row r="20" spans="1:19" x14ac:dyDescent="0.25">
      <c r="A20" s="3" t="s">
        <v>12</v>
      </c>
      <c r="B20" s="1">
        <f t="shared" si="0"/>
        <v>19</v>
      </c>
      <c r="C20" s="1">
        <v>2</v>
      </c>
      <c r="D20" s="1">
        <v>2023</v>
      </c>
      <c r="E20" s="4">
        <f>'Hampshire Daily'!D23-'Hampshire Daily'!D22</f>
        <v>2303</v>
      </c>
      <c r="F20" s="4">
        <f>'Hampshire Daily'!E23-'Hampshire Daily'!E22</f>
        <v>4210</v>
      </c>
      <c r="G20" s="4">
        <f>'Hampshire Daily'!F23-'Hampshire Daily'!F22</f>
        <v>0</v>
      </c>
      <c r="H20" s="4">
        <f>'Hampshire Daily'!G23-'Hampshire Daily'!G22</f>
        <v>1893</v>
      </c>
      <c r="I20" s="4">
        <f>'Hampshire Daily'!H23-'Hampshire Daily'!H22</f>
        <v>0</v>
      </c>
      <c r="J20" s="4">
        <f>'Hampshire Daily'!I23-'Hampshire Daily'!I22</f>
        <v>2930</v>
      </c>
      <c r="K20" s="4">
        <f>'Hampshire Daily'!J23-'Hampshire Daily'!J22</f>
        <v>1402</v>
      </c>
      <c r="L20" s="4">
        <f>'Hampshire Daily'!K23-'Hampshire Daily'!K22</f>
        <v>3</v>
      </c>
      <c r="M20" s="4">
        <f>'Hampshire Daily'!N23-'Hampshire Daily'!N22</f>
        <v>2938</v>
      </c>
      <c r="N20" s="4">
        <f>'Hampshire Daily'!Q23-'Hampshire Daily'!Q22</f>
        <v>104</v>
      </c>
      <c r="O20" s="4">
        <f>'Hampshire Daily'!U23-'Hampshire Daily'!U22</f>
        <v>81</v>
      </c>
      <c r="P20" s="4">
        <f>'Hampshire Daily'!V23-'Hampshire Daily'!V22</f>
        <v>85</v>
      </c>
      <c r="Q20" s="4">
        <f>'Hampshire Daily'!Z23-'Hampshire Daily'!Z22</f>
        <v>8</v>
      </c>
      <c r="R20" s="4">
        <f>'Hampshire Daily'!B23</f>
        <v>39</v>
      </c>
      <c r="S20" s="4">
        <f>'Hampshire Daily'!C23</f>
        <v>92</v>
      </c>
    </row>
    <row r="21" spans="1:19" x14ac:dyDescent="0.25">
      <c r="A21" s="3" t="s">
        <v>12</v>
      </c>
      <c r="B21" s="1">
        <f t="shared" si="0"/>
        <v>20</v>
      </c>
      <c r="C21" s="1">
        <v>2</v>
      </c>
      <c r="D21" s="1">
        <v>2023</v>
      </c>
      <c r="E21" s="4">
        <f>'Hampshire Daily'!D24-'Hampshire Daily'!D23</f>
        <v>1853</v>
      </c>
      <c r="F21" s="4">
        <f>'Hampshire Daily'!E24-'Hampshire Daily'!E23</f>
        <v>3756</v>
      </c>
      <c r="G21" s="4">
        <f>'Hampshire Daily'!F24-'Hampshire Daily'!F23</f>
        <v>0</v>
      </c>
      <c r="H21" s="4">
        <f>'Hampshire Daily'!G24-'Hampshire Daily'!G23</f>
        <v>1781</v>
      </c>
      <c r="I21" s="4">
        <f>'Hampshire Daily'!H24-'Hampshire Daily'!H23</f>
        <v>0</v>
      </c>
      <c r="J21" s="4">
        <f>'Hampshire Daily'!I24-'Hampshire Daily'!I23</f>
        <v>2549</v>
      </c>
      <c r="K21" s="4">
        <f>'Hampshire Daily'!J24-'Hampshire Daily'!J23</f>
        <v>1184</v>
      </c>
      <c r="L21" s="4">
        <f>'Hampshire Daily'!K24-'Hampshire Daily'!K23</f>
        <v>0</v>
      </c>
      <c r="M21" s="4">
        <f>'Hampshire Daily'!N24-'Hampshire Daily'!N23</f>
        <v>2802</v>
      </c>
      <c r="N21" s="4">
        <f>'Hampshire Daily'!Q24-'Hampshire Daily'!Q23</f>
        <v>77</v>
      </c>
      <c r="O21" s="4">
        <f>'Hampshire Daily'!U24-'Hampshire Daily'!U23</f>
        <v>62</v>
      </c>
      <c r="P21" s="4">
        <f>'Hampshire Daily'!V24-'Hampshire Daily'!V23</f>
        <v>71</v>
      </c>
      <c r="Q21" s="4">
        <f>'Hampshire Daily'!Z24-'Hampshire Daily'!Z23</f>
        <v>7</v>
      </c>
      <c r="R21" s="4">
        <f>'Hampshire Daily'!B24</f>
        <v>20</v>
      </c>
      <c r="S21" s="4">
        <f>'Hampshire Daily'!C24</f>
        <v>45</v>
      </c>
    </row>
    <row r="22" spans="1:19" x14ac:dyDescent="0.25">
      <c r="A22" s="3" t="s">
        <v>12</v>
      </c>
      <c r="B22" s="1">
        <f t="shared" si="0"/>
        <v>21</v>
      </c>
      <c r="C22" s="1">
        <v>2</v>
      </c>
      <c r="D22" s="1">
        <v>2023</v>
      </c>
      <c r="E22" s="4">
        <f>'Hampshire Daily'!D25-'Hampshire Daily'!D24</f>
        <v>2505</v>
      </c>
      <c r="F22" s="4">
        <f>'Hampshire Daily'!E25-'Hampshire Daily'!E24</f>
        <v>3318</v>
      </c>
      <c r="G22" s="4">
        <f>'Hampshire Daily'!F25-'Hampshire Daily'!F24</f>
        <v>201</v>
      </c>
      <c r="H22" s="4">
        <f>'Hampshire Daily'!G25-'Hampshire Daily'!G24</f>
        <v>1593</v>
      </c>
      <c r="I22" s="4">
        <f>'Hampshire Daily'!H25-'Hampshire Daily'!H24</f>
        <v>0</v>
      </c>
      <c r="J22" s="4">
        <f>'Hampshire Daily'!I25-'Hampshire Daily'!I24</f>
        <v>2329</v>
      </c>
      <c r="K22" s="4">
        <f>'Hampshire Daily'!J25-'Hampshire Daily'!J24</f>
        <v>965</v>
      </c>
      <c r="L22" s="4">
        <f>'Hampshire Daily'!K25-'Hampshire Daily'!K24</f>
        <v>1</v>
      </c>
      <c r="M22" s="4">
        <f>'Hampshire Daily'!N25-'Hampshire Daily'!N24</f>
        <v>2427</v>
      </c>
      <c r="N22" s="4">
        <f>'Hampshire Daily'!Q25-'Hampshire Daily'!Q24</f>
        <v>116</v>
      </c>
      <c r="O22" s="4">
        <f>'Hampshire Daily'!U25-'Hampshire Daily'!U24</f>
        <v>43</v>
      </c>
      <c r="P22" s="4">
        <f>'Hampshire Daily'!V25-'Hampshire Daily'!V24</f>
        <v>50</v>
      </c>
      <c r="Q22" s="4">
        <f>'Hampshire Daily'!Z25-'Hampshire Daily'!Z24</f>
        <v>3</v>
      </c>
      <c r="R22" s="4">
        <f>'Hampshire Daily'!B25</f>
        <v>24</v>
      </c>
      <c r="S22" s="4">
        <f>'Hampshire Daily'!C25</f>
        <v>55</v>
      </c>
    </row>
    <row r="23" spans="1:19" x14ac:dyDescent="0.25">
      <c r="A23" s="3" t="s">
        <v>12</v>
      </c>
      <c r="B23" s="1">
        <f t="shared" si="0"/>
        <v>22</v>
      </c>
      <c r="C23" s="1">
        <v>2</v>
      </c>
      <c r="D23" s="1">
        <v>2023</v>
      </c>
      <c r="E23" s="4">
        <f>'Hampshire Daily'!D26-'Hampshire Daily'!D25</f>
        <v>2867</v>
      </c>
      <c r="F23" s="4">
        <f>'Hampshire Daily'!E26-'Hampshire Daily'!E25</f>
        <v>2731</v>
      </c>
      <c r="G23" s="4">
        <f>'Hampshire Daily'!F26-'Hampshire Daily'!F25</f>
        <v>2</v>
      </c>
      <c r="H23" s="4">
        <f>'Hampshire Daily'!G26-'Hampshire Daily'!G25</f>
        <v>1807</v>
      </c>
      <c r="I23" s="4">
        <f>'Hampshire Daily'!H26-'Hampshire Daily'!H25</f>
        <v>0</v>
      </c>
      <c r="J23" s="4">
        <f>'Hampshire Daily'!I26-'Hampshire Daily'!I25</f>
        <v>2383</v>
      </c>
      <c r="K23" s="4">
        <f>'Hampshire Daily'!J26-'Hampshire Daily'!J25</f>
        <v>998</v>
      </c>
      <c r="L23" s="4">
        <f>'Hampshire Daily'!K26-'Hampshire Daily'!K25</f>
        <v>54</v>
      </c>
      <c r="M23" s="4">
        <f>'Hampshire Daily'!N26-'Hampshire Daily'!N25</f>
        <v>2857</v>
      </c>
      <c r="N23" s="4">
        <f>'Hampshire Daily'!Q26-'Hampshire Daily'!Q25</f>
        <v>77</v>
      </c>
      <c r="O23" s="4">
        <f>'Hampshire Daily'!U26-'Hampshire Daily'!U25</f>
        <v>38</v>
      </c>
      <c r="P23" s="4">
        <f>'Hampshire Daily'!V26-'Hampshire Daily'!V25</f>
        <v>44</v>
      </c>
      <c r="Q23" s="4">
        <f>'Hampshire Daily'!Z26-'Hampshire Daily'!Z25</f>
        <v>5</v>
      </c>
      <c r="R23" s="4">
        <f>'Hampshire Daily'!B26</f>
        <v>30</v>
      </c>
      <c r="S23" s="4">
        <f>'Hampshire Daily'!C26</f>
        <v>58</v>
      </c>
    </row>
    <row r="24" spans="1:19" x14ac:dyDescent="0.25">
      <c r="A24" s="3" t="s">
        <v>12</v>
      </c>
      <c r="B24" s="1">
        <f t="shared" si="0"/>
        <v>23</v>
      </c>
      <c r="C24" s="1">
        <v>2</v>
      </c>
      <c r="D24" s="1">
        <v>2023</v>
      </c>
      <c r="E24" s="4">
        <f>'Hampshire Daily'!D27-'Hampshire Daily'!D26</f>
        <v>2766</v>
      </c>
      <c r="F24" s="4">
        <f>'Hampshire Daily'!E27-'Hampshire Daily'!E26</f>
        <v>2794</v>
      </c>
      <c r="G24" s="4">
        <f>'Hampshire Daily'!F27-'Hampshire Daily'!F26</f>
        <v>0</v>
      </c>
      <c r="H24" s="4">
        <f>'Hampshire Daily'!G27-'Hampshire Daily'!G26</f>
        <v>1755</v>
      </c>
      <c r="I24" s="4">
        <f>'Hampshire Daily'!H27-'Hampshire Daily'!H26</f>
        <v>0</v>
      </c>
      <c r="J24" s="4">
        <f>'Hampshire Daily'!I27-'Hampshire Daily'!I26</f>
        <v>2552</v>
      </c>
      <c r="K24" s="4">
        <f>'Hampshire Daily'!J27-'Hampshire Daily'!J26</f>
        <v>1128</v>
      </c>
      <c r="L24" s="4">
        <f>'Hampshire Daily'!K27-'Hampshire Daily'!K26</f>
        <v>1</v>
      </c>
      <c r="M24" s="4">
        <f>'Hampshire Daily'!N27-'Hampshire Daily'!N26</f>
        <v>2962</v>
      </c>
      <c r="N24" s="4">
        <f>'Hampshire Daily'!Q27-'Hampshire Daily'!Q26</f>
        <v>77</v>
      </c>
      <c r="O24" s="4">
        <f>'Hampshire Daily'!U27-'Hampshire Daily'!U26</f>
        <v>40</v>
      </c>
      <c r="P24" s="4">
        <f>'Hampshire Daily'!V27-'Hampshire Daily'!V26</f>
        <v>50</v>
      </c>
      <c r="Q24" s="4">
        <f>'Hampshire Daily'!Z27-'Hampshire Daily'!Z26</f>
        <v>4</v>
      </c>
      <c r="R24" s="4">
        <f>'Hampshire Daily'!B27</f>
        <v>25</v>
      </c>
      <c r="S24" s="4">
        <f>'Hampshire Daily'!C27</f>
        <v>52</v>
      </c>
    </row>
    <row r="25" spans="1:19" x14ac:dyDescent="0.25">
      <c r="A25" s="3" t="s">
        <v>12</v>
      </c>
      <c r="B25" s="1">
        <f t="shared" si="0"/>
        <v>24</v>
      </c>
      <c r="C25" s="1">
        <v>2</v>
      </c>
      <c r="D25" s="1">
        <v>2023</v>
      </c>
      <c r="E25" s="4">
        <f>'Hampshire Daily'!D28-'Hampshire Daily'!D27</f>
        <v>3048</v>
      </c>
      <c r="F25" s="4">
        <f>'Hampshire Daily'!E28-'Hampshire Daily'!E27</f>
        <v>2901</v>
      </c>
      <c r="G25" s="4">
        <f>'Hampshire Daily'!F28-'Hampshire Daily'!F27</f>
        <v>0</v>
      </c>
      <c r="H25" s="4">
        <f>'Hampshire Daily'!G28-'Hampshire Daily'!G27</f>
        <v>1922</v>
      </c>
      <c r="I25" s="4">
        <f>'Hampshire Daily'!H28-'Hampshire Daily'!H27</f>
        <v>0</v>
      </c>
      <c r="J25" s="4">
        <f>'Hampshire Daily'!I28-'Hampshire Daily'!I27</f>
        <v>2571</v>
      </c>
      <c r="K25" s="4">
        <f>'Hampshire Daily'!J28-'Hampshire Daily'!J27</f>
        <v>1114</v>
      </c>
      <c r="L25" s="4">
        <f>'Hampshire Daily'!K28-'Hampshire Daily'!K27</f>
        <v>0</v>
      </c>
      <c r="M25" s="4">
        <f>'Hampshire Daily'!N28-'Hampshire Daily'!N27</f>
        <v>3057</v>
      </c>
      <c r="N25" s="4">
        <f>'Hampshire Daily'!Q28-'Hampshire Daily'!Q27</f>
        <v>89</v>
      </c>
      <c r="O25" s="4">
        <f>'Hampshire Daily'!U28-'Hampshire Daily'!U27</f>
        <v>36</v>
      </c>
      <c r="P25" s="4">
        <f>'Hampshire Daily'!V28-'Hampshire Daily'!V27</f>
        <v>46</v>
      </c>
      <c r="Q25" s="4">
        <f>'Hampshire Daily'!Z28-'Hampshire Daily'!Z27</f>
        <v>17</v>
      </c>
      <c r="R25" s="4">
        <f>'Hampshire Daily'!B28</f>
        <v>65</v>
      </c>
      <c r="S25" s="4">
        <f>'Hampshire Daily'!C28</f>
        <v>143</v>
      </c>
    </row>
    <row r="26" spans="1:19" x14ac:dyDescent="0.25">
      <c r="A26" s="3" t="s">
        <v>12</v>
      </c>
      <c r="B26" s="22">
        <f>B25+1</f>
        <v>25</v>
      </c>
      <c r="C26" s="1">
        <v>2</v>
      </c>
      <c r="D26" s="1">
        <v>2023</v>
      </c>
      <c r="E26" s="4">
        <f>'Hampshire Daily'!D29-'Hampshire Daily'!D28</f>
        <v>3389</v>
      </c>
      <c r="F26" s="4">
        <f>'Hampshire Daily'!E29-'Hampshire Daily'!E28</f>
        <v>3118</v>
      </c>
      <c r="G26" s="4">
        <f>'Hampshire Daily'!F29-'Hampshire Daily'!F28</f>
        <v>0</v>
      </c>
      <c r="H26" s="4">
        <f>'Hampshire Daily'!G29-'Hampshire Daily'!G28</f>
        <v>1873</v>
      </c>
      <c r="I26" s="4">
        <f>'Hampshire Daily'!H29-'Hampshire Daily'!H28</f>
        <v>0</v>
      </c>
      <c r="J26" s="4">
        <f>'Hampshire Daily'!I29-'Hampshire Daily'!I28</f>
        <v>2355</v>
      </c>
      <c r="K26" s="4">
        <f>'Hampshire Daily'!J29-'Hampshire Daily'!J28</f>
        <v>1040</v>
      </c>
      <c r="L26" s="4">
        <f>'Hampshire Daily'!K29-'Hampshire Daily'!K28</f>
        <v>0</v>
      </c>
      <c r="M26" s="4">
        <f>'Hampshire Daily'!N29-'Hampshire Daily'!N28</f>
        <v>3416</v>
      </c>
      <c r="N26" s="4">
        <f>'Hampshire Daily'!Q29-'Hampshire Daily'!Q28</f>
        <v>116</v>
      </c>
      <c r="O26" s="4">
        <f>'Hampshire Daily'!U29-'Hampshire Daily'!U28</f>
        <v>61</v>
      </c>
      <c r="P26" s="4">
        <f>'Hampshire Daily'!V29-'Hampshire Daily'!V28</f>
        <v>66</v>
      </c>
      <c r="Q26" s="4">
        <f>'Hampshire Daily'!Z29-'Hampshire Daily'!Z28</f>
        <v>47</v>
      </c>
      <c r="R26" s="4">
        <f>'Hampshire Daily'!B29</f>
        <v>78</v>
      </c>
      <c r="S26" s="4">
        <f>'Hampshire Daily'!C29</f>
        <v>174</v>
      </c>
    </row>
    <row r="27" spans="1:19" x14ac:dyDescent="0.25">
      <c r="A27" s="3" t="s">
        <v>12</v>
      </c>
      <c r="B27" s="1">
        <f t="shared" si="0"/>
        <v>26</v>
      </c>
      <c r="C27" s="1">
        <v>2</v>
      </c>
      <c r="D27" s="1">
        <v>2023</v>
      </c>
      <c r="E27" s="4">
        <f>'Hampshire Daily'!D30-'Hampshire Daily'!D29</f>
        <v>2656</v>
      </c>
      <c r="F27" s="4">
        <f>'Hampshire Daily'!E30-'Hampshire Daily'!E29</f>
        <v>3030</v>
      </c>
      <c r="G27" s="4">
        <f>'Hampshire Daily'!F30-'Hampshire Daily'!F29</f>
        <v>0</v>
      </c>
      <c r="H27" s="4">
        <f>'Hampshire Daily'!G30-'Hampshire Daily'!G29</f>
        <v>1832</v>
      </c>
      <c r="I27" s="4">
        <f>'Hampshire Daily'!H30-'Hampshire Daily'!H29</f>
        <v>0</v>
      </c>
      <c r="J27" s="4">
        <f>'Hampshire Daily'!I30-'Hampshire Daily'!I29</f>
        <v>2687</v>
      </c>
      <c r="K27" s="4">
        <f>'Hampshire Daily'!J30-'Hampshire Daily'!J29</f>
        <v>1237</v>
      </c>
      <c r="L27" s="4">
        <f>'Hampshire Daily'!K30-'Hampshire Daily'!K29</f>
        <v>56</v>
      </c>
      <c r="M27" s="4">
        <f>'Hampshire Daily'!N30-'Hampshire Daily'!N29</f>
        <v>3265</v>
      </c>
      <c r="N27" s="4">
        <f>'Hampshire Daily'!Q30-'Hampshire Daily'!Q29</f>
        <v>104</v>
      </c>
      <c r="O27" s="4">
        <f>'Hampshire Daily'!U30-'Hampshire Daily'!U29</f>
        <v>66</v>
      </c>
      <c r="P27" s="4">
        <f>'Hampshire Daily'!V30-'Hampshire Daily'!V29</f>
        <v>70</v>
      </c>
      <c r="Q27" s="4">
        <f>'Hampshire Daily'!Z30-'Hampshire Daily'!Z29</f>
        <v>4</v>
      </c>
      <c r="R27" s="4">
        <f>'Hampshire Daily'!B30</f>
        <v>26</v>
      </c>
      <c r="S27" s="4">
        <f>'Hampshire Daily'!C30</f>
        <v>52</v>
      </c>
    </row>
    <row r="28" spans="1:19" x14ac:dyDescent="0.25">
      <c r="A28" s="3" t="s">
        <v>12</v>
      </c>
      <c r="B28" s="1">
        <f t="shared" si="0"/>
        <v>27</v>
      </c>
      <c r="C28" s="1">
        <v>2</v>
      </c>
      <c r="D28" s="1">
        <v>2023</v>
      </c>
      <c r="E28" s="4">
        <f>'Hampshire Daily'!D31-'Hampshire Daily'!D30</f>
        <v>2671</v>
      </c>
      <c r="F28" s="4">
        <f>'Hampshire Daily'!E31-'Hampshire Daily'!E30</f>
        <v>2719</v>
      </c>
      <c r="G28" s="4">
        <f>'Hampshire Daily'!F31-'Hampshire Daily'!F30</f>
        <v>0</v>
      </c>
      <c r="H28" s="4">
        <f>'Hampshire Daily'!G31-'Hampshire Daily'!G30</f>
        <v>1999</v>
      </c>
      <c r="I28" s="4">
        <f>'Hampshire Daily'!H31-'Hampshire Daily'!H30</f>
        <v>0</v>
      </c>
      <c r="J28" s="4">
        <f>'Hampshire Daily'!I31-'Hampshire Daily'!I30</f>
        <v>2606</v>
      </c>
      <c r="K28" s="4">
        <f>'Hampshire Daily'!J31-'Hampshire Daily'!J30</f>
        <v>1118</v>
      </c>
      <c r="L28" s="4">
        <f>'Hampshire Daily'!K31-'Hampshire Daily'!K30</f>
        <v>0</v>
      </c>
      <c r="M28" s="4">
        <f>'Hampshire Daily'!N31-'Hampshire Daily'!N30</f>
        <v>3243</v>
      </c>
      <c r="N28" s="4">
        <f>'Hampshire Daily'!Q31-'Hampshire Daily'!Q30</f>
        <v>91</v>
      </c>
      <c r="O28" s="4">
        <f>'Hampshire Daily'!U31-'Hampshire Daily'!U30</f>
        <v>56</v>
      </c>
      <c r="P28" s="4">
        <f>'Hampshire Daily'!V31-'Hampshire Daily'!V30</f>
        <v>61</v>
      </c>
      <c r="Q28" s="4">
        <f>'Hampshire Daily'!Z31-'Hampshire Daily'!Z30</f>
        <v>0</v>
      </c>
      <c r="R28" s="4">
        <f>'Hampshire Daily'!B31</f>
        <v>38</v>
      </c>
      <c r="S28" s="4">
        <f>'Hampshire Daily'!C31</f>
        <v>60</v>
      </c>
    </row>
    <row r="29" spans="1:19" x14ac:dyDescent="0.25">
      <c r="A29" s="3" t="s">
        <v>12</v>
      </c>
      <c r="B29" s="1">
        <f t="shared" si="0"/>
        <v>28</v>
      </c>
      <c r="C29" s="1">
        <v>2</v>
      </c>
      <c r="D29" s="1">
        <v>2023</v>
      </c>
      <c r="E29" s="4">
        <f>'Hampshire Daily'!D32-'Hampshire Daily'!D31</f>
        <v>3151</v>
      </c>
      <c r="F29" s="4">
        <f>'Hampshire Daily'!E32-'Hampshire Daily'!E31</f>
        <v>2507</v>
      </c>
      <c r="G29" s="4">
        <f>'Hampshire Daily'!F32-'Hampshire Daily'!F31</f>
        <v>0</v>
      </c>
      <c r="H29" s="4">
        <f>'Hampshire Daily'!G32-'Hampshire Daily'!G31</f>
        <v>1898</v>
      </c>
      <c r="I29" s="4">
        <f>'Hampshire Daily'!H32-'Hampshire Daily'!H31</f>
        <v>0</v>
      </c>
      <c r="J29" s="4">
        <f>'Hampshire Daily'!I32-'Hampshire Daily'!I31</f>
        <v>2203</v>
      </c>
      <c r="K29" s="4">
        <f>'Hampshire Daily'!J32-'Hampshire Daily'!J31</f>
        <v>906</v>
      </c>
      <c r="L29" s="4">
        <f>'Hampshire Daily'!K32-'Hampshire Daily'!K31</f>
        <v>50</v>
      </c>
      <c r="M29" s="4">
        <f>'Hampshire Daily'!N32-'Hampshire Daily'!N31</f>
        <v>3580</v>
      </c>
      <c r="N29" s="4">
        <f>'Hampshire Daily'!Q32-'Hampshire Daily'!Q31</f>
        <v>83</v>
      </c>
      <c r="O29" s="4">
        <f>'Hampshire Daily'!U32-'Hampshire Daily'!U31</f>
        <v>34</v>
      </c>
      <c r="P29" s="4">
        <f>'Hampshire Daily'!V32-'Hampshire Daily'!V31</f>
        <v>51</v>
      </c>
      <c r="Q29" s="4">
        <f>'Hampshire Daily'!Z32-'Hampshire Daily'!Z31</f>
        <v>4</v>
      </c>
      <c r="R29" s="4">
        <f>'Hampshire Daily'!B32</f>
        <v>14</v>
      </c>
      <c r="S29" s="4">
        <f>'Hampshire Daily'!C32</f>
        <v>24</v>
      </c>
    </row>
    <row r="30" spans="1:19" x14ac:dyDescent="0.25">
      <c r="R30" s="4"/>
      <c r="S30" s="4"/>
    </row>
    <row r="31" spans="1:19" x14ac:dyDescent="0.25">
      <c r="R31" s="4"/>
      <c r="S31" s="4"/>
    </row>
    <row r="32" spans="1:19" x14ac:dyDescent="0.25">
      <c r="R32" s="4"/>
      <c r="S32" s="4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F236"/>
  <sheetViews>
    <sheetView zoomScaleNormal="100" workbookViewId="0">
      <pane xSplit="1" ySplit="3" topLeftCell="B10" activePane="bottomRight" state="frozen"/>
      <selection pane="topRight"/>
      <selection pane="bottomLeft"/>
      <selection pane="bottomRight" activeCell="K18" sqref="K18"/>
    </sheetView>
  </sheetViews>
  <sheetFormatPr defaultRowHeight="15" x14ac:dyDescent="0.25"/>
  <cols>
    <col min="1" max="1" width="8.7109375" style="16" customWidth="1"/>
    <col min="2" max="3" width="8.7109375" style="20" customWidth="1"/>
    <col min="4" max="4" width="10" customWidth="1"/>
    <col min="5" max="5" width="9.7109375" customWidth="1"/>
    <col min="6" max="6" width="9.42578125" customWidth="1"/>
    <col min="7" max="7" width="10.28515625" customWidth="1"/>
    <col min="8" max="9" width="10.140625" customWidth="1"/>
    <col min="11" max="11" width="10.5703125" customWidth="1"/>
    <col min="12" max="12" width="11.42578125" style="1" customWidth="1"/>
    <col min="13" max="13" width="10.5703125" style="1" customWidth="1"/>
    <col min="15" max="15" width="11.42578125" style="35" customWidth="1"/>
    <col min="16" max="16" width="10.7109375" style="36" customWidth="1"/>
    <col min="18" max="18" width="9.28515625" bestFit="1" customWidth="1"/>
    <col min="19" max="19" width="9.140625" style="35"/>
    <col min="20" max="20" width="10.42578125" style="35" bestFit="1" customWidth="1"/>
    <col min="23" max="24" width="10.42578125" customWidth="1"/>
    <col min="27" max="27" width="9.28515625" customWidth="1"/>
    <col min="28" max="28" width="11.7109375" style="39" customWidth="1"/>
    <col min="31" max="31" width="10.7109375" customWidth="1"/>
  </cols>
  <sheetData>
    <row r="1" spans="1:32" ht="15" customHeight="1" x14ac:dyDescent="0.25">
      <c r="A1" s="80"/>
      <c r="B1" s="19"/>
      <c r="C1" s="19"/>
      <c r="D1" s="90" t="s">
        <v>27</v>
      </c>
      <c r="E1" s="91"/>
      <c r="F1" s="91"/>
      <c r="G1" s="91"/>
      <c r="H1" s="91"/>
      <c r="I1" s="91"/>
      <c r="J1" s="91"/>
      <c r="K1" s="91"/>
      <c r="L1" s="91"/>
      <c r="M1" s="92"/>
      <c r="N1" s="63" t="s">
        <v>28</v>
      </c>
      <c r="O1" s="70" t="s">
        <v>29</v>
      </c>
      <c r="P1" s="72" t="s">
        <v>30</v>
      </c>
      <c r="Q1" s="65" t="s">
        <v>31</v>
      </c>
      <c r="R1" s="74" t="s">
        <v>32</v>
      </c>
      <c r="S1" s="74" t="s">
        <v>33</v>
      </c>
      <c r="T1" s="74" t="s">
        <v>34</v>
      </c>
      <c r="U1" s="65" t="s">
        <v>35</v>
      </c>
      <c r="V1" s="67"/>
      <c r="W1" s="65" t="s">
        <v>36</v>
      </c>
      <c r="X1" s="76" t="s">
        <v>37</v>
      </c>
      <c r="Y1" s="68" t="s">
        <v>38</v>
      </c>
      <c r="Z1" s="93" t="s">
        <v>39</v>
      </c>
      <c r="AA1" s="79" t="s">
        <v>40</v>
      </c>
    </row>
    <row r="2" spans="1:32" ht="15" customHeight="1" x14ac:dyDescent="0.25">
      <c r="A2" s="81"/>
      <c r="B2" s="85" t="s">
        <v>41</v>
      </c>
      <c r="C2" s="85" t="s">
        <v>42</v>
      </c>
      <c r="D2" s="87" t="s">
        <v>43</v>
      </c>
      <c r="E2" s="83" t="s">
        <v>44</v>
      </c>
      <c r="F2" s="83" t="s">
        <v>45</v>
      </c>
      <c r="G2" s="83" t="s">
        <v>46</v>
      </c>
      <c r="H2" s="83" t="s">
        <v>47</v>
      </c>
      <c r="I2" s="83" t="s">
        <v>48</v>
      </c>
      <c r="J2" s="83" t="s">
        <v>49</v>
      </c>
      <c r="K2" s="83" t="s">
        <v>50</v>
      </c>
      <c r="L2" s="96" t="s">
        <v>51</v>
      </c>
      <c r="M2" s="96" t="s">
        <v>52</v>
      </c>
      <c r="N2" s="64"/>
      <c r="O2" s="71"/>
      <c r="P2" s="73"/>
      <c r="Q2" s="65"/>
      <c r="R2" s="74"/>
      <c r="S2" s="74"/>
      <c r="T2" s="74"/>
      <c r="U2" s="65"/>
      <c r="V2" s="67"/>
      <c r="W2" s="65"/>
      <c r="X2" s="77"/>
      <c r="Y2" s="68"/>
      <c r="Z2" s="94"/>
      <c r="AA2" s="79"/>
    </row>
    <row r="3" spans="1:32" ht="27" customHeight="1" x14ac:dyDescent="0.25">
      <c r="A3" s="82"/>
      <c r="B3" s="86"/>
      <c r="C3" s="86"/>
      <c r="D3" s="88"/>
      <c r="E3" s="89"/>
      <c r="F3" s="83"/>
      <c r="G3" s="83"/>
      <c r="H3" s="83"/>
      <c r="I3" s="83"/>
      <c r="J3" s="83"/>
      <c r="K3" s="84"/>
      <c r="L3" s="96"/>
      <c r="M3" s="96"/>
      <c r="N3" s="64"/>
      <c r="O3" s="71"/>
      <c r="P3" s="73"/>
      <c r="Q3" s="66"/>
      <c r="R3" s="75"/>
      <c r="S3" s="75"/>
      <c r="T3" s="75"/>
      <c r="U3" s="67"/>
      <c r="V3" s="67"/>
      <c r="W3" s="66"/>
      <c r="X3" s="78"/>
      <c r="Y3" s="69"/>
      <c r="Z3" s="95"/>
      <c r="AA3" s="79"/>
      <c r="AD3" t="s">
        <v>53</v>
      </c>
      <c r="AE3" s="40" t="s">
        <v>54</v>
      </c>
    </row>
    <row r="4" spans="1:32" s="17" customFormat="1" ht="19.899999999999999" customHeight="1" x14ac:dyDescent="0.25">
      <c r="A4" s="18">
        <v>44957</v>
      </c>
      <c r="B4" s="53">
        <v>25</v>
      </c>
      <c r="C4" s="54">
        <v>40</v>
      </c>
      <c r="D4" s="55">
        <v>2559588</v>
      </c>
      <c r="E4" s="23">
        <v>2478632</v>
      </c>
      <c r="F4" s="23">
        <v>355418</v>
      </c>
      <c r="G4" s="23">
        <v>8287487</v>
      </c>
      <c r="H4" s="23">
        <v>34978</v>
      </c>
      <c r="I4" s="23">
        <v>6574872</v>
      </c>
      <c r="J4" s="23">
        <v>374216</v>
      </c>
      <c r="K4" s="23">
        <v>2703596</v>
      </c>
      <c r="L4" s="56">
        <v>3572</v>
      </c>
      <c r="M4" s="56">
        <v>2788</v>
      </c>
      <c r="N4" s="23">
        <v>2440886</v>
      </c>
      <c r="O4" s="21">
        <v>51823</v>
      </c>
      <c r="P4" s="21">
        <v>364717</v>
      </c>
      <c r="Q4" s="23">
        <v>421600</v>
      </c>
      <c r="R4" s="37">
        <v>1140.2719999999999</v>
      </c>
      <c r="S4" s="37">
        <v>490.45699999999999</v>
      </c>
      <c r="T4" s="37">
        <v>3896.4969999999998</v>
      </c>
      <c r="U4" s="23">
        <v>370588</v>
      </c>
      <c r="V4" s="23">
        <v>75950</v>
      </c>
      <c r="W4" s="23">
        <v>56174</v>
      </c>
      <c r="X4" s="23">
        <v>191916</v>
      </c>
      <c r="Y4" s="23">
        <v>32056</v>
      </c>
      <c r="Z4" s="23">
        <v>5133</v>
      </c>
      <c r="AA4">
        <f>SUM(Y4-32056)</f>
        <v>0</v>
      </c>
      <c r="AB4" s="39" t="s">
        <v>55</v>
      </c>
      <c r="AC4"/>
      <c r="AD4">
        <f>N4-0</f>
        <v>2440886</v>
      </c>
      <c r="AE4" s="35">
        <f>R4-0</f>
        <v>1140.2719999999999</v>
      </c>
      <c r="AF4"/>
    </row>
    <row r="5" spans="1:32" x14ac:dyDescent="0.25">
      <c r="A5" s="18">
        <f>A4+1</f>
        <v>44958</v>
      </c>
      <c r="B5" s="50">
        <v>19</v>
      </c>
      <c r="C5" s="50">
        <v>28</v>
      </c>
      <c r="D5" s="21">
        <v>2562965</v>
      </c>
      <c r="E5" s="21">
        <v>2481574</v>
      </c>
      <c r="F5" s="21">
        <v>355422</v>
      </c>
      <c r="G5" s="21">
        <v>8289496</v>
      </c>
      <c r="H5" s="30">
        <v>34978</v>
      </c>
      <c r="I5" s="30">
        <v>6577100</v>
      </c>
      <c r="J5" s="21">
        <v>375182</v>
      </c>
      <c r="K5" s="21">
        <v>2703640</v>
      </c>
      <c r="L5" s="27">
        <v>3435</v>
      </c>
      <c r="M5" s="27">
        <v>2924</v>
      </c>
      <c r="N5" s="21">
        <v>2444132</v>
      </c>
      <c r="O5" s="31"/>
      <c r="P5" s="32"/>
      <c r="Q5" s="21">
        <v>421658</v>
      </c>
      <c r="R5" s="38">
        <v>1140.3599999999999</v>
      </c>
      <c r="S5" s="38">
        <v>490.45699999999999</v>
      </c>
      <c r="T5" s="37">
        <v>3896.4969999999998</v>
      </c>
      <c r="U5" s="21">
        <v>370629</v>
      </c>
      <c r="V5" s="21">
        <v>75999</v>
      </c>
      <c r="W5" s="21">
        <v>56182</v>
      </c>
      <c r="X5" s="21">
        <v>191964</v>
      </c>
      <c r="Y5" s="21">
        <v>32057</v>
      </c>
      <c r="Z5" s="21">
        <v>5135</v>
      </c>
      <c r="AA5">
        <f t="shared" ref="AA5:AA32" si="0">SUM(Y5-Y4)</f>
        <v>1</v>
      </c>
      <c r="AB5" s="39" t="s">
        <v>56</v>
      </c>
      <c r="AD5">
        <f>N5-N4</f>
        <v>3246</v>
      </c>
      <c r="AE5" s="35">
        <f>R5-R4</f>
        <v>8.7999999999965439E-2</v>
      </c>
    </row>
    <row r="6" spans="1:32" x14ac:dyDescent="0.25">
      <c r="A6" s="18">
        <f t="shared" ref="A6:A32" si="1">A5+1</f>
        <v>44959</v>
      </c>
      <c r="B6" s="50">
        <v>79</v>
      </c>
      <c r="C6" s="50">
        <v>96</v>
      </c>
      <c r="D6" s="21">
        <v>2565676</v>
      </c>
      <c r="E6" s="21">
        <v>2484524</v>
      </c>
      <c r="F6" s="21">
        <v>355472</v>
      </c>
      <c r="G6" s="21">
        <v>8291357</v>
      </c>
      <c r="H6" s="30">
        <v>34978</v>
      </c>
      <c r="I6" s="30">
        <v>6579374</v>
      </c>
      <c r="J6" s="21">
        <v>376157</v>
      </c>
      <c r="K6" s="21">
        <v>2703640</v>
      </c>
      <c r="L6" s="27">
        <v>3584</v>
      </c>
      <c r="M6" s="27">
        <v>2919</v>
      </c>
      <c r="N6" s="21">
        <v>2447097</v>
      </c>
      <c r="O6" s="31"/>
      <c r="P6" s="32"/>
      <c r="Q6" s="21">
        <v>421736</v>
      </c>
      <c r="R6" s="21">
        <v>1140.431</v>
      </c>
      <c r="S6" s="38">
        <v>490.45699999999999</v>
      </c>
      <c r="T6" s="38">
        <v>3896.4969999999998</v>
      </c>
      <c r="U6" s="21">
        <v>370657</v>
      </c>
      <c r="V6" s="21">
        <v>76039</v>
      </c>
      <c r="W6" s="21">
        <v>56186</v>
      </c>
      <c r="X6" s="21">
        <v>192005</v>
      </c>
      <c r="Y6" s="21">
        <v>32067</v>
      </c>
      <c r="Z6" s="21">
        <v>5141</v>
      </c>
      <c r="AA6">
        <f t="shared" si="0"/>
        <v>10</v>
      </c>
      <c r="AB6" s="39" t="s">
        <v>57</v>
      </c>
      <c r="AC6" s="25"/>
      <c r="AD6">
        <f t="shared" ref="AD6:AD32" si="2">N6-N5</f>
        <v>2965</v>
      </c>
      <c r="AE6" s="35">
        <f t="shared" ref="AE6:AE32" si="3">R6-R5</f>
        <v>7.1000000000140062E-2</v>
      </c>
    </row>
    <row r="7" spans="1:32" x14ac:dyDescent="0.25">
      <c r="A7" s="18">
        <f t="shared" si="1"/>
        <v>44960</v>
      </c>
      <c r="B7" s="50">
        <v>68</v>
      </c>
      <c r="C7" s="50">
        <v>144</v>
      </c>
      <c r="D7" s="21">
        <v>2568276</v>
      </c>
      <c r="E7" s="21">
        <v>2487764</v>
      </c>
      <c r="F7" s="21">
        <v>355472</v>
      </c>
      <c r="G7" s="21">
        <v>8293290</v>
      </c>
      <c r="H7" s="30">
        <v>34978</v>
      </c>
      <c r="I7" s="30">
        <v>6581689</v>
      </c>
      <c r="J7" s="21">
        <v>377146</v>
      </c>
      <c r="K7" s="21">
        <v>2703643</v>
      </c>
      <c r="L7" s="27">
        <v>3587</v>
      </c>
      <c r="M7" s="27">
        <v>2898</v>
      </c>
      <c r="N7" s="21">
        <v>2450163</v>
      </c>
      <c r="O7" s="31"/>
      <c r="P7" s="32"/>
      <c r="Q7" s="21">
        <v>421810</v>
      </c>
      <c r="R7" s="21">
        <v>1140.519</v>
      </c>
      <c r="S7" s="38">
        <v>490.45699999999999</v>
      </c>
      <c r="T7" s="38">
        <v>3896.5059999999999</v>
      </c>
      <c r="U7" s="21">
        <v>370695</v>
      </c>
      <c r="V7" s="21">
        <v>76091</v>
      </c>
      <c r="W7" s="21">
        <v>56191</v>
      </c>
      <c r="X7" s="21">
        <v>192058</v>
      </c>
      <c r="Y7" s="21">
        <v>32067</v>
      </c>
      <c r="Z7" s="21">
        <v>5144</v>
      </c>
      <c r="AA7">
        <f t="shared" si="0"/>
        <v>0</v>
      </c>
      <c r="AB7" s="39" t="s">
        <v>58</v>
      </c>
      <c r="AD7">
        <f t="shared" si="2"/>
        <v>3066</v>
      </c>
      <c r="AE7" s="35">
        <f t="shared" si="3"/>
        <v>8.7999999999965439E-2</v>
      </c>
    </row>
    <row r="8" spans="1:32" x14ac:dyDescent="0.25">
      <c r="A8" s="18">
        <f t="shared" si="1"/>
        <v>44961</v>
      </c>
      <c r="B8" s="50">
        <v>77</v>
      </c>
      <c r="C8" s="50">
        <v>177</v>
      </c>
      <c r="D8" s="21">
        <v>2570434</v>
      </c>
      <c r="E8" s="21">
        <v>2491408</v>
      </c>
      <c r="F8" s="21">
        <v>355472</v>
      </c>
      <c r="G8" s="21">
        <v>8295092</v>
      </c>
      <c r="H8" s="30">
        <v>34978</v>
      </c>
      <c r="I8" s="30">
        <v>6584190</v>
      </c>
      <c r="J8" s="21">
        <v>378231</v>
      </c>
      <c r="K8" s="21">
        <v>2703644</v>
      </c>
      <c r="L8" s="27">
        <v>3586</v>
      </c>
      <c r="M8" s="27">
        <v>2900</v>
      </c>
      <c r="N8" s="21">
        <v>2453004</v>
      </c>
      <c r="O8" s="31"/>
      <c r="P8" s="32"/>
      <c r="Q8" s="21">
        <v>421895</v>
      </c>
      <c r="R8" s="21">
        <v>1140.588</v>
      </c>
      <c r="S8" s="38">
        <v>490.45699999999999</v>
      </c>
      <c r="T8" s="38">
        <v>3896.5059999999999</v>
      </c>
      <c r="U8" s="21">
        <v>370747</v>
      </c>
      <c r="V8" s="21">
        <v>76152</v>
      </c>
      <c r="W8" s="21">
        <v>56197</v>
      </c>
      <c r="X8" s="21">
        <v>192119</v>
      </c>
      <c r="Y8" s="21">
        <v>32067</v>
      </c>
      <c r="Z8" s="21">
        <v>5147</v>
      </c>
      <c r="AA8">
        <f t="shared" si="0"/>
        <v>0</v>
      </c>
      <c r="AB8" s="39" t="s">
        <v>59</v>
      </c>
      <c r="AD8">
        <f t="shared" si="2"/>
        <v>2841</v>
      </c>
      <c r="AE8" s="35">
        <f t="shared" si="3"/>
        <v>6.8999999999959982E-2</v>
      </c>
    </row>
    <row r="9" spans="1:32" x14ac:dyDescent="0.25">
      <c r="A9" s="18">
        <f t="shared" si="1"/>
        <v>44962</v>
      </c>
      <c r="B9" s="50">
        <v>28</v>
      </c>
      <c r="C9" s="50">
        <v>42</v>
      </c>
      <c r="D9" s="21">
        <v>2572467</v>
      </c>
      <c r="E9" s="21">
        <v>2495271</v>
      </c>
      <c r="F9" s="21">
        <v>355472</v>
      </c>
      <c r="G9" s="21">
        <v>8296954</v>
      </c>
      <c r="H9" s="30">
        <v>34978</v>
      </c>
      <c r="I9" s="30">
        <v>6586857</v>
      </c>
      <c r="J9" s="21">
        <v>379464</v>
      </c>
      <c r="K9" s="21">
        <v>2703645</v>
      </c>
      <c r="L9" s="27">
        <v>3585</v>
      </c>
      <c r="M9" s="27">
        <v>2905</v>
      </c>
      <c r="N9" s="21">
        <v>2455968</v>
      </c>
      <c r="O9" s="31"/>
      <c r="P9" s="32"/>
      <c r="Q9" s="21">
        <v>421983</v>
      </c>
      <c r="R9" s="21">
        <v>1140.682</v>
      </c>
      <c r="S9" s="38">
        <v>490.45699999999999</v>
      </c>
      <c r="T9" s="38">
        <v>3896.5059999999999</v>
      </c>
      <c r="U9" s="21">
        <v>370805</v>
      </c>
      <c r="V9" s="21">
        <v>76218</v>
      </c>
      <c r="W9" s="21">
        <v>56205</v>
      </c>
      <c r="X9" s="21">
        <v>192185</v>
      </c>
      <c r="Y9" s="21">
        <v>32068</v>
      </c>
      <c r="Z9" s="21">
        <v>5154</v>
      </c>
      <c r="AA9">
        <f t="shared" si="0"/>
        <v>1</v>
      </c>
      <c r="AB9" s="39" t="s">
        <v>60</v>
      </c>
      <c r="AD9">
        <f t="shared" si="2"/>
        <v>2964</v>
      </c>
      <c r="AE9" s="35">
        <f t="shared" si="3"/>
        <v>9.4000000000050932E-2</v>
      </c>
    </row>
    <row r="10" spans="1:32" x14ac:dyDescent="0.25">
      <c r="A10" s="18">
        <f t="shared" si="1"/>
        <v>44963</v>
      </c>
      <c r="B10" s="50">
        <v>15</v>
      </c>
      <c r="C10" s="50">
        <v>29</v>
      </c>
      <c r="D10" s="21">
        <v>2574841</v>
      </c>
      <c r="E10" s="21">
        <v>2499370</v>
      </c>
      <c r="F10" s="21">
        <v>355472</v>
      </c>
      <c r="G10" s="21">
        <v>8298883</v>
      </c>
      <c r="H10" s="30">
        <v>34978</v>
      </c>
      <c r="I10" s="30">
        <v>6589533</v>
      </c>
      <c r="J10" s="21">
        <v>380667</v>
      </c>
      <c r="K10" s="21">
        <v>2703646</v>
      </c>
      <c r="L10" s="27">
        <v>3584</v>
      </c>
      <c r="M10" s="27">
        <v>2924</v>
      </c>
      <c r="N10" s="21">
        <v>2459293</v>
      </c>
      <c r="O10" s="31"/>
      <c r="P10" s="32"/>
      <c r="Q10" s="21">
        <v>422069</v>
      </c>
      <c r="R10" s="21">
        <v>1140.7829999999999</v>
      </c>
      <c r="S10" s="38">
        <v>490.45699999999999</v>
      </c>
      <c r="T10" s="38">
        <v>3896.5059999999999</v>
      </c>
      <c r="U10" s="21">
        <v>370859</v>
      </c>
      <c r="V10" s="21">
        <v>76279</v>
      </c>
      <c r="W10" s="21">
        <v>56213</v>
      </c>
      <c r="X10" s="21">
        <v>192246</v>
      </c>
      <c r="Y10" s="21">
        <v>32069</v>
      </c>
      <c r="Z10" s="21">
        <v>5157</v>
      </c>
      <c r="AA10">
        <f t="shared" si="0"/>
        <v>1</v>
      </c>
      <c r="AB10" s="39" t="s">
        <v>61</v>
      </c>
      <c r="AD10">
        <f t="shared" si="2"/>
        <v>3325</v>
      </c>
      <c r="AE10" s="35">
        <f t="shared" si="3"/>
        <v>0.1009999999998854</v>
      </c>
    </row>
    <row r="11" spans="1:32" x14ac:dyDescent="0.25">
      <c r="A11" s="18">
        <f t="shared" si="1"/>
        <v>44964</v>
      </c>
      <c r="B11" s="50">
        <v>13</v>
      </c>
      <c r="C11" s="50">
        <v>29</v>
      </c>
      <c r="D11" s="21">
        <v>2577574</v>
      </c>
      <c r="E11" s="21">
        <v>2502213</v>
      </c>
      <c r="F11" s="21">
        <v>355472</v>
      </c>
      <c r="G11" s="21">
        <v>8300230</v>
      </c>
      <c r="H11" s="30">
        <v>34978</v>
      </c>
      <c r="I11" s="30">
        <v>6591667</v>
      </c>
      <c r="J11" s="21">
        <v>381557</v>
      </c>
      <c r="K11" s="21">
        <v>2703647</v>
      </c>
      <c r="L11" s="27">
        <v>3571</v>
      </c>
      <c r="M11" s="27">
        <v>2884</v>
      </c>
      <c r="N11" s="21">
        <v>2462419</v>
      </c>
      <c r="O11" s="31"/>
      <c r="P11" s="32"/>
      <c r="Q11" s="21">
        <v>422130</v>
      </c>
      <c r="R11" s="21">
        <v>1140.8779999999999</v>
      </c>
      <c r="S11" s="38">
        <v>490.45699999999999</v>
      </c>
      <c r="T11" s="38">
        <v>3896.51</v>
      </c>
      <c r="U11" s="21">
        <v>370885</v>
      </c>
      <c r="V11" s="21">
        <v>76325</v>
      </c>
      <c r="W11" s="21">
        <v>56219</v>
      </c>
      <c r="X11" s="21">
        <v>192293</v>
      </c>
      <c r="Y11" s="21">
        <v>32070</v>
      </c>
      <c r="Z11" s="21">
        <v>5159</v>
      </c>
      <c r="AA11">
        <f t="shared" si="0"/>
        <v>1</v>
      </c>
      <c r="AB11" s="39" t="s">
        <v>55</v>
      </c>
      <c r="AD11">
        <f t="shared" si="2"/>
        <v>3126</v>
      </c>
      <c r="AE11" s="35">
        <f t="shared" si="3"/>
        <v>9.5000000000027285E-2</v>
      </c>
    </row>
    <row r="12" spans="1:32" x14ac:dyDescent="0.25">
      <c r="A12" s="18">
        <f t="shared" si="1"/>
        <v>44965</v>
      </c>
      <c r="B12" s="50">
        <v>21</v>
      </c>
      <c r="C12" s="50">
        <v>41</v>
      </c>
      <c r="D12" s="21">
        <v>2580713</v>
      </c>
      <c r="E12" s="21">
        <v>2504971</v>
      </c>
      <c r="F12" s="21">
        <v>355474</v>
      </c>
      <c r="G12" s="21">
        <v>8302883</v>
      </c>
      <c r="H12" s="30">
        <v>34978</v>
      </c>
      <c r="I12" s="30">
        <v>6593899</v>
      </c>
      <c r="J12" s="21">
        <v>382456</v>
      </c>
      <c r="K12" s="21">
        <v>2703664</v>
      </c>
      <c r="L12" s="27">
        <v>3584</v>
      </c>
      <c r="M12" s="27">
        <v>2923</v>
      </c>
      <c r="N12" s="21">
        <v>2465799</v>
      </c>
      <c r="O12" s="31"/>
      <c r="P12" s="32"/>
      <c r="Q12" s="21">
        <v>422208</v>
      </c>
      <c r="R12" s="21">
        <v>1140.982</v>
      </c>
      <c r="S12" s="38">
        <v>490.45699999999999</v>
      </c>
      <c r="T12" s="38">
        <v>3896.51</v>
      </c>
      <c r="U12" s="21">
        <v>370921</v>
      </c>
      <c r="V12" s="21">
        <v>76370</v>
      </c>
      <c r="W12" s="21">
        <v>56227</v>
      </c>
      <c r="X12" s="21">
        <v>192338</v>
      </c>
      <c r="Y12" s="21">
        <v>32071</v>
      </c>
      <c r="Z12" s="21">
        <v>5162</v>
      </c>
      <c r="AA12">
        <f t="shared" si="0"/>
        <v>1</v>
      </c>
      <c r="AB12" s="39" t="s">
        <v>56</v>
      </c>
      <c r="AD12">
        <f t="shared" si="2"/>
        <v>3380</v>
      </c>
      <c r="AE12" s="35">
        <f t="shared" si="3"/>
        <v>0.10400000000004184</v>
      </c>
    </row>
    <row r="13" spans="1:32" x14ac:dyDescent="0.25">
      <c r="A13" s="18">
        <f t="shared" si="1"/>
        <v>44966</v>
      </c>
      <c r="B13" s="51">
        <v>26</v>
      </c>
      <c r="C13" s="51">
        <v>62</v>
      </c>
      <c r="D13" s="21">
        <v>2583113</v>
      </c>
      <c r="E13" s="21">
        <v>2508555</v>
      </c>
      <c r="F13" s="21">
        <v>355474</v>
      </c>
      <c r="G13" s="21">
        <v>8304908</v>
      </c>
      <c r="H13" s="30">
        <v>34978</v>
      </c>
      <c r="I13" s="30">
        <v>6596232</v>
      </c>
      <c r="J13" s="21">
        <v>383484</v>
      </c>
      <c r="K13" s="21">
        <v>2703665</v>
      </c>
      <c r="L13" s="27">
        <v>3584</v>
      </c>
      <c r="M13" s="27">
        <v>2918</v>
      </c>
      <c r="N13" s="21">
        <v>2469192</v>
      </c>
      <c r="O13" s="31"/>
      <c r="P13" s="32"/>
      <c r="Q13" s="21">
        <v>422280</v>
      </c>
      <c r="R13" s="21">
        <v>1141.075</v>
      </c>
      <c r="S13" s="38">
        <v>490.45699999999999</v>
      </c>
      <c r="T13" s="38">
        <v>3896.51</v>
      </c>
      <c r="U13" s="21">
        <v>370956</v>
      </c>
      <c r="V13" s="21">
        <v>76412</v>
      </c>
      <c r="W13" s="21">
        <v>56237</v>
      </c>
      <c r="X13" s="21">
        <v>192380</v>
      </c>
      <c r="Y13" s="21">
        <v>32071</v>
      </c>
      <c r="Z13" s="21">
        <v>5164</v>
      </c>
      <c r="AA13">
        <f t="shared" si="0"/>
        <v>0</v>
      </c>
      <c r="AB13" s="39" t="s">
        <v>57</v>
      </c>
      <c r="AD13">
        <f t="shared" si="2"/>
        <v>3393</v>
      </c>
      <c r="AE13" s="35">
        <f t="shared" si="3"/>
        <v>9.3000000000074579E-2</v>
      </c>
    </row>
    <row r="14" spans="1:32" x14ac:dyDescent="0.25">
      <c r="A14" s="18">
        <f t="shared" si="1"/>
        <v>44967</v>
      </c>
      <c r="B14" s="50">
        <v>54</v>
      </c>
      <c r="C14" s="50">
        <v>134</v>
      </c>
      <c r="D14" s="21">
        <v>2585211</v>
      </c>
      <c r="E14" s="21">
        <v>2512327</v>
      </c>
      <c r="F14" s="21">
        <v>355474</v>
      </c>
      <c r="G14" s="21">
        <v>8306753</v>
      </c>
      <c r="H14" s="30">
        <v>34978</v>
      </c>
      <c r="I14" s="30">
        <v>6598524</v>
      </c>
      <c r="J14" s="21">
        <v>384494</v>
      </c>
      <c r="K14" s="21">
        <v>2703665</v>
      </c>
      <c r="L14" s="27">
        <v>3584</v>
      </c>
      <c r="M14" s="27">
        <v>2923</v>
      </c>
      <c r="N14" s="21">
        <v>2472419</v>
      </c>
      <c r="O14" s="31"/>
      <c r="P14" s="32"/>
      <c r="Q14" s="21">
        <v>422332</v>
      </c>
      <c r="R14" s="21">
        <v>1141.165</v>
      </c>
      <c r="S14" s="38">
        <v>490.45699999999999</v>
      </c>
      <c r="T14" s="38">
        <v>3896.51</v>
      </c>
      <c r="U14" s="21">
        <v>370989</v>
      </c>
      <c r="V14" s="21">
        <v>76452</v>
      </c>
      <c r="W14" s="21">
        <v>56245</v>
      </c>
      <c r="X14" s="21">
        <v>192423</v>
      </c>
      <c r="Y14" s="21">
        <v>32072</v>
      </c>
      <c r="Z14" s="21">
        <v>5168</v>
      </c>
      <c r="AA14">
        <f t="shared" si="0"/>
        <v>1</v>
      </c>
      <c r="AB14" s="39" t="s">
        <v>58</v>
      </c>
      <c r="AD14">
        <f t="shared" si="2"/>
        <v>3227</v>
      </c>
      <c r="AE14" s="35">
        <f t="shared" si="3"/>
        <v>8.9999999999918145E-2</v>
      </c>
    </row>
    <row r="15" spans="1:32" x14ac:dyDescent="0.25">
      <c r="A15" s="18">
        <f t="shared" si="1"/>
        <v>44968</v>
      </c>
      <c r="B15" s="50">
        <v>100</v>
      </c>
      <c r="C15" s="50">
        <v>250</v>
      </c>
      <c r="D15" s="21">
        <v>2587466</v>
      </c>
      <c r="E15" s="21">
        <v>2516203</v>
      </c>
      <c r="F15" s="21">
        <v>355474</v>
      </c>
      <c r="G15" s="21">
        <v>8308794</v>
      </c>
      <c r="H15" s="30">
        <v>34978</v>
      </c>
      <c r="I15" s="30">
        <v>6601148</v>
      </c>
      <c r="J15" s="21">
        <v>385618</v>
      </c>
      <c r="K15" s="21">
        <v>2703667</v>
      </c>
      <c r="L15" s="27">
        <v>3584</v>
      </c>
      <c r="M15" s="27">
        <v>2919</v>
      </c>
      <c r="N15" s="21">
        <v>2475456</v>
      </c>
      <c r="O15" s="31"/>
      <c r="P15" s="32"/>
      <c r="Q15" s="21">
        <v>422413</v>
      </c>
      <c r="R15" s="21">
        <v>1141.2380000000001</v>
      </c>
      <c r="S15" s="38">
        <v>490.45699999999999</v>
      </c>
      <c r="T15" s="38">
        <v>3896.51</v>
      </c>
      <c r="U15" s="21">
        <v>371038</v>
      </c>
      <c r="V15" s="21">
        <v>76507</v>
      </c>
      <c r="W15" s="21">
        <v>56253</v>
      </c>
      <c r="X15" s="21">
        <v>192477</v>
      </c>
      <c r="Y15" s="21">
        <v>32075</v>
      </c>
      <c r="Z15" s="21">
        <v>5175</v>
      </c>
      <c r="AA15">
        <f t="shared" si="0"/>
        <v>3</v>
      </c>
      <c r="AB15" s="39" t="s">
        <v>59</v>
      </c>
      <c r="AD15">
        <f t="shared" si="2"/>
        <v>3037</v>
      </c>
      <c r="AE15" s="35">
        <f t="shared" si="3"/>
        <v>7.3000000000092768E-2</v>
      </c>
    </row>
    <row r="16" spans="1:32" x14ac:dyDescent="0.25">
      <c r="A16" s="18">
        <f t="shared" si="1"/>
        <v>44969</v>
      </c>
      <c r="B16" s="50">
        <v>99</v>
      </c>
      <c r="C16" s="50">
        <v>261</v>
      </c>
      <c r="D16" s="21">
        <v>2589621</v>
      </c>
      <c r="E16" s="21">
        <v>2520332</v>
      </c>
      <c r="F16" s="21">
        <v>355474</v>
      </c>
      <c r="G16" s="21">
        <v>8310624</v>
      </c>
      <c r="H16" s="30">
        <v>34978</v>
      </c>
      <c r="I16" s="30">
        <v>6603833</v>
      </c>
      <c r="J16" s="21">
        <v>386792</v>
      </c>
      <c r="K16" s="21">
        <v>2703669</v>
      </c>
      <c r="L16" s="27">
        <v>3583</v>
      </c>
      <c r="M16" s="27">
        <v>2908</v>
      </c>
      <c r="N16" s="21">
        <v>2478502</v>
      </c>
      <c r="O16" s="31"/>
      <c r="P16" s="32"/>
      <c r="Q16" s="21">
        <v>422505</v>
      </c>
      <c r="R16" s="21">
        <v>1141.2919999999999</v>
      </c>
      <c r="S16" s="38">
        <v>490.45699999999999</v>
      </c>
      <c r="T16" s="38">
        <v>3896.51</v>
      </c>
      <c r="U16" s="21">
        <v>371104</v>
      </c>
      <c r="V16" s="21">
        <v>76579</v>
      </c>
      <c r="W16" s="21">
        <v>56260</v>
      </c>
      <c r="X16" s="21">
        <v>192550</v>
      </c>
      <c r="Y16" s="21">
        <v>32075</v>
      </c>
      <c r="Z16" s="21">
        <v>5180</v>
      </c>
      <c r="AA16">
        <f t="shared" si="0"/>
        <v>0</v>
      </c>
      <c r="AB16" s="39" t="s">
        <v>60</v>
      </c>
      <c r="AD16">
        <f t="shared" si="2"/>
        <v>3046</v>
      </c>
      <c r="AE16" s="35">
        <f t="shared" si="3"/>
        <v>5.3999999999859938E-2</v>
      </c>
    </row>
    <row r="17" spans="1:31" x14ac:dyDescent="0.25">
      <c r="A17" s="18">
        <f t="shared" si="1"/>
        <v>44970</v>
      </c>
      <c r="B17" s="50">
        <v>97</v>
      </c>
      <c r="C17" s="50">
        <v>241</v>
      </c>
      <c r="D17" s="21">
        <v>2591642</v>
      </c>
      <c r="E17" s="21">
        <v>2524414</v>
      </c>
      <c r="F17" s="21">
        <v>355474</v>
      </c>
      <c r="G17" s="21">
        <v>8312382</v>
      </c>
      <c r="H17" s="30">
        <v>34978</v>
      </c>
      <c r="I17" s="30">
        <v>6606534</v>
      </c>
      <c r="J17" s="21">
        <v>388062</v>
      </c>
      <c r="K17" s="21">
        <v>2703671</v>
      </c>
      <c r="L17" s="27">
        <v>2252</v>
      </c>
      <c r="M17" s="27">
        <v>1357</v>
      </c>
      <c r="N17" s="21">
        <v>2481607</v>
      </c>
      <c r="O17" s="31"/>
      <c r="P17" s="32"/>
      <c r="Q17" s="21">
        <v>422629</v>
      </c>
      <c r="R17" s="21">
        <v>1141.373</v>
      </c>
      <c r="S17" s="38">
        <v>490.45699999999999</v>
      </c>
      <c r="T17" s="38">
        <v>3896.51</v>
      </c>
      <c r="U17" s="21">
        <v>371187</v>
      </c>
      <c r="V17" s="21">
        <v>76665</v>
      </c>
      <c r="W17" s="21">
        <v>56269</v>
      </c>
      <c r="X17" s="21">
        <v>192635</v>
      </c>
      <c r="Y17" s="21">
        <v>32082</v>
      </c>
      <c r="Z17" s="21">
        <v>5184</v>
      </c>
      <c r="AA17">
        <f t="shared" si="0"/>
        <v>7</v>
      </c>
      <c r="AB17" s="39" t="s">
        <v>61</v>
      </c>
      <c r="AD17">
        <f t="shared" si="2"/>
        <v>3105</v>
      </c>
      <c r="AE17" s="35">
        <f t="shared" si="3"/>
        <v>8.1000000000130967E-2</v>
      </c>
    </row>
    <row r="18" spans="1:31" x14ac:dyDescent="0.25">
      <c r="A18" s="18">
        <f t="shared" si="1"/>
        <v>44971</v>
      </c>
      <c r="B18" s="50">
        <v>96</v>
      </c>
      <c r="C18" s="50">
        <v>239</v>
      </c>
      <c r="D18" s="21">
        <v>2595271</v>
      </c>
      <c r="E18" s="21">
        <v>2529678</v>
      </c>
      <c r="F18" s="21">
        <v>355863</v>
      </c>
      <c r="G18" s="21">
        <v>8314233</v>
      </c>
      <c r="H18" s="30">
        <v>34978</v>
      </c>
      <c r="I18" s="30">
        <v>6609313</v>
      </c>
      <c r="J18" s="21">
        <v>389356</v>
      </c>
      <c r="K18" s="21">
        <v>2704165</v>
      </c>
      <c r="L18" s="26">
        <v>3584</v>
      </c>
      <c r="M18" s="26">
        <v>2876</v>
      </c>
      <c r="N18" s="21">
        <v>2483702</v>
      </c>
      <c r="O18" s="31"/>
      <c r="P18" s="32"/>
      <c r="Q18" s="21">
        <v>422731</v>
      </c>
      <c r="R18" s="21">
        <v>1141.828</v>
      </c>
      <c r="S18" s="38">
        <v>490.45699999999999</v>
      </c>
      <c r="T18" s="38">
        <v>3896.511</v>
      </c>
      <c r="U18" s="21">
        <v>371257</v>
      </c>
      <c r="V18" s="21">
        <v>76743</v>
      </c>
      <c r="W18" s="21">
        <v>56278</v>
      </c>
      <c r="X18" s="21">
        <v>192712</v>
      </c>
      <c r="Y18" s="21">
        <v>32082</v>
      </c>
      <c r="Z18" s="21">
        <v>5189</v>
      </c>
      <c r="AA18">
        <f t="shared" si="0"/>
        <v>0</v>
      </c>
      <c r="AB18" s="39" t="s">
        <v>55</v>
      </c>
      <c r="AD18">
        <f t="shared" si="2"/>
        <v>2095</v>
      </c>
      <c r="AE18" s="35">
        <f t="shared" si="3"/>
        <v>0.45499999999992724</v>
      </c>
    </row>
    <row r="19" spans="1:31" x14ac:dyDescent="0.25">
      <c r="A19" s="18">
        <f t="shared" si="1"/>
        <v>44972</v>
      </c>
      <c r="B19" s="50">
        <v>80</v>
      </c>
      <c r="C19" s="50">
        <v>213</v>
      </c>
      <c r="D19" s="21">
        <v>2597794</v>
      </c>
      <c r="E19" s="21">
        <v>2533996</v>
      </c>
      <c r="F19" s="21">
        <v>355863</v>
      </c>
      <c r="G19" s="21">
        <v>8316487</v>
      </c>
      <c r="H19" s="30">
        <v>34978</v>
      </c>
      <c r="I19" s="30">
        <v>6611954</v>
      </c>
      <c r="J19" s="30">
        <v>390537</v>
      </c>
      <c r="K19" s="21">
        <v>2704183</v>
      </c>
      <c r="L19" s="27">
        <v>3583</v>
      </c>
      <c r="M19" s="27">
        <v>2914</v>
      </c>
      <c r="N19" s="21">
        <v>2487159</v>
      </c>
      <c r="O19" s="31"/>
      <c r="P19" s="32"/>
      <c r="Q19" s="21">
        <v>422875</v>
      </c>
      <c r="R19" s="21">
        <v>1141.883</v>
      </c>
      <c r="S19" s="38">
        <v>490.45699999999999</v>
      </c>
      <c r="T19" s="38">
        <v>3896.511</v>
      </c>
      <c r="U19" s="21">
        <v>371349</v>
      </c>
      <c r="V19" s="21">
        <v>76837</v>
      </c>
      <c r="W19" s="21">
        <v>56288</v>
      </c>
      <c r="X19" s="21">
        <v>192825</v>
      </c>
      <c r="Y19" s="21">
        <v>32083</v>
      </c>
      <c r="Z19" s="21">
        <v>5194</v>
      </c>
      <c r="AA19">
        <f t="shared" si="0"/>
        <v>1</v>
      </c>
      <c r="AB19" s="39" t="s">
        <v>56</v>
      </c>
      <c r="AD19">
        <f t="shared" si="2"/>
        <v>3457</v>
      </c>
      <c r="AE19" s="35">
        <f t="shared" si="3"/>
        <v>5.5000000000063665E-2</v>
      </c>
    </row>
    <row r="20" spans="1:31" x14ac:dyDescent="0.25">
      <c r="A20" s="18">
        <f t="shared" si="1"/>
        <v>44973</v>
      </c>
      <c r="B20" s="50">
        <v>82</v>
      </c>
      <c r="C20" s="50">
        <v>223</v>
      </c>
      <c r="D20" s="21">
        <v>2599716</v>
      </c>
      <c r="E20" s="21">
        <v>2537519</v>
      </c>
      <c r="F20" s="21">
        <v>355863</v>
      </c>
      <c r="G20" s="21">
        <v>8317889</v>
      </c>
      <c r="H20" s="30">
        <v>34978</v>
      </c>
      <c r="I20" s="30">
        <v>6614594</v>
      </c>
      <c r="J20" s="21">
        <v>391718</v>
      </c>
      <c r="K20" s="21">
        <v>2704186</v>
      </c>
      <c r="L20" s="27">
        <v>3584</v>
      </c>
      <c r="M20" s="27">
        <v>2883</v>
      </c>
      <c r="N20" s="21">
        <v>2490023</v>
      </c>
      <c r="O20" s="31"/>
      <c r="P20" s="32"/>
      <c r="Q20" s="21">
        <v>422960</v>
      </c>
      <c r="R20" s="21">
        <v>1141.931</v>
      </c>
      <c r="S20" s="38">
        <v>490.45699999999999</v>
      </c>
      <c r="T20" s="38">
        <v>3896.511</v>
      </c>
      <c r="U20" s="21">
        <v>371407</v>
      </c>
      <c r="V20" s="21">
        <v>76901</v>
      </c>
      <c r="W20" s="21">
        <v>56297</v>
      </c>
      <c r="X20" s="21">
        <v>192888</v>
      </c>
      <c r="Y20" s="21">
        <v>32092</v>
      </c>
      <c r="Z20" s="21">
        <v>5198</v>
      </c>
      <c r="AA20">
        <f t="shared" si="0"/>
        <v>9</v>
      </c>
      <c r="AB20" s="39" t="s">
        <v>57</v>
      </c>
      <c r="AD20">
        <f t="shared" si="2"/>
        <v>2864</v>
      </c>
      <c r="AE20" s="35">
        <f t="shared" si="3"/>
        <v>4.8000000000001819E-2</v>
      </c>
    </row>
    <row r="21" spans="1:31" x14ac:dyDescent="0.25">
      <c r="A21" s="18">
        <f t="shared" si="1"/>
        <v>44974</v>
      </c>
      <c r="B21" s="50">
        <v>98</v>
      </c>
      <c r="C21" s="50">
        <v>263</v>
      </c>
      <c r="D21" s="21">
        <v>2601648</v>
      </c>
      <c r="E21" s="21">
        <v>2541214</v>
      </c>
      <c r="F21" s="21">
        <v>355863</v>
      </c>
      <c r="G21" s="21">
        <v>8319728</v>
      </c>
      <c r="H21" s="30">
        <v>34978</v>
      </c>
      <c r="I21" s="30">
        <v>6617242</v>
      </c>
      <c r="J21" s="21">
        <v>392915</v>
      </c>
      <c r="K21" s="21">
        <v>2704187</v>
      </c>
      <c r="L21" s="27">
        <v>3584</v>
      </c>
      <c r="M21" s="27">
        <v>2493</v>
      </c>
      <c r="N21" s="21">
        <v>2492701</v>
      </c>
      <c r="O21" s="31"/>
      <c r="P21" s="32"/>
      <c r="Q21" s="21">
        <v>423057</v>
      </c>
      <c r="R21" s="21">
        <v>1142.019</v>
      </c>
      <c r="S21" s="38">
        <v>490.45699999999999</v>
      </c>
      <c r="T21" s="38">
        <v>3896.511</v>
      </c>
      <c r="U21" s="21">
        <v>371479</v>
      </c>
      <c r="V21" s="21">
        <v>76979</v>
      </c>
      <c r="W21" s="21">
        <v>56305</v>
      </c>
      <c r="X21" s="21">
        <v>192951</v>
      </c>
      <c r="Y21" s="21">
        <v>32092</v>
      </c>
      <c r="Z21" s="21">
        <v>5205</v>
      </c>
      <c r="AA21">
        <f t="shared" si="0"/>
        <v>0</v>
      </c>
      <c r="AB21" s="39" t="s">
        <v>58</v>
      </c>
      <c r="AD21">
        <f t="shared" si="2"/>
        <v>2678</v>
      </c>
      <c r="AE21" s="35">
        <f t="shared" si="3"/>
        <v>8.7999999999965439E-2</v>
      </c>
    </row>
    <row r="22" spans="1:31" x14ac:dyDescent="0.25">
      <c r="A22" s="18">
        <f t="shared" si="1"/>
        <v>44975</v>
      </c>
      <c r="B22" s="50">
        <v>114</v>
      </c>
      <c r="C22" s="50">
        <v>301</v>
      </c>
      <c r="D22" s="21">
        <v>2603749</v>
      </c>
      <c r="E22" s="21">
        <v>2545471</v>
      </c>
      <c r="F22" s="21">
        <v>355863</v>
      </c>
      <c r="G22" s="21">
        <v>8321522</v>
      </c>
      <c r="H22" s="30">
        <v>34978</v>
      </c>
      <c r="I22" s="30">
        <v>6620095</v>
      </c>
      <c r="J22" s="21">
        <v>394207</v>
      </c>
      <c r="K22" s="21">
        <v>2704189</v>
      </c>
      <c r="L22" s="27">
        <v>3585</v>
      </c>
      <c r="M22" s="27">
        <v>2896</v>
      </c>
      <c r="N22" s="21">
        <v>2495593</v>
      </c>
      <c r="O22" s="31"/>
      <c r="P22" s="32"/>
      <c r="Q22" s="21">
        <v>423171</v>
      </c>
      <c r="R22" s="21">
        <v>1142.1590000000001</v>
      </c>
      <c r="S22" s="38">
        <v>490.45699999999999</v>
      </c>
      <c r="T22" s="38">
        <v>3896.5120000000002</v>
      </c>
      <c r="U22" s="21">
        <v>371551</v>
      </c>
      <c r="V22" s="21">
        <v>77059</v>
      </c>
      <c r="W22" s="21">
        <v>56316</v>
      </c>
      <c r="X22" s="21">
        <v>193031</v>
      </c>
      <c r="Y22" s="21">
        <v>32093</v>
      </c>
      <c r="Z22" s="21">
        <v>5209</v>
      </c>
      <c r="AA22">
        <f t="shared" si="0"/>
        <v>1</v>
      </c>
      <c r="AB22" s="39" t="s">
        <v>59</v>
      </c>
      <c r="AD22">
        <f t="shared" si="2"/>
        <v>2892</v>
      </c>
      <c r="AE22" s="35">
        <f t="shared" si="3"/>
        <v>0.14000000000010004</v>
      </c>
    </row>
    <row r="23" spans="1:31" x14ac:dyDescent="0.25">
      <c r="A23" s="18">
        <f t="shared" si="1"/>
        <v>44976</v>
      </c>
      <c r="B23" s="50">
        <v>39</v>
      </c>
      <c r="C23" s="50">
        <v>92</v>
      </c>
      <c r="D23" s="21">
        <v>2606052</v>
      </c>
      <c r="E23" s="21">
        <v>2549681</v>
      </c>
      <c r="F23" s="21">
        <v>355863</v>
      </c>
      <c r="G23" s="21">
        <v>8323415</v>
      </c>
      <c r="H23" s="30">
        <v>34978</v>
      </c>
      <c r="I23" s="30">
        <v>6623025</v>
      </c>
      <c r="J23" s="21">
        <v>395609</v>
      </c>
      <c r="K23" s="21">
        <v>2704192</v>
      </c>
      <c r="L23" s="27">
        <v>3584</v>
      </c>
      <c r="M23" s="27">
        <v>2911</v>
      </c>
      <c r="N23" s="21">
        <v>2498531</v>
      </c>
      <c r="O23" s="31"/>
      <c r="P23" s="32"/>
      <c r="Q23" s="21">
        <v>423275</v>
      </c>
      <c r="R23" s="21">
        <v>1142.259</v>
      </c>
      <c r="S23" s="38">
        <v>490.45699999999999</v>
      </c>
      <c r="T23" s="38">
        <v>3896.5160000000001</v>
      </c>
      <c r="U23" s="21">
        <v>371632</v>
      </c>
      <c r="V23" s="21">
        <v>77144</v>
      </c>
      <c r="W23" s="21">
        <v>56327</v>
      </c>
      <c r="X23" s="21">
        <v>193117</v>
      </c>
      <c r="Y23" s="21">
        <v>32094</v>
      </c>
      <c r="Z23" s="21">
        <v>5217</v>
      </c>
      <c r="AA23">
        <f t="shared" si="0"/>
        <v>1</v>
      </c>
      <c r="AB23" s="39" t="s">
        <v>60</v>
      </c>
      <c r="AD23">
        <f t="shared" si="2"/>
        <v>2938</v>
      </c>
      <c r="AE23" s="35">
        <f t="shared" si="3"/>
        <v>9.9999999999909051E-2</v>
      </c>
    </row>
    <row r="24" spans="1:31" x14ac:dyDescent="0.25">
      <c r="A24" s="18">
        <f t="shared" si="1"/>
        <v>44977</v>
      </c>
      <c r="B24" s="50">
        <v>20</v>
      </c>
      <c r="C24" s="50">
        <v>45</v>
      </c>
      <c r="D24" s="21">
        <v>2607905</v>
      </c>
      <c r="E24" s="21">
        <v>2553437</v>
      </c>
      <c r="F24" s="21">
        <v>355863</v>
      </c>
      <c r="G24" s="21">
        <v>8325196</v>
      </c>
      <c r="H24" s="30">
        <v>34978</v>
      </c>
      <c r="I24" s="30">
        <v>6625574</v>
      </c>
      <c r="J24" s="21">
        <v>396793</v>
      </c>
      <c r="K24" s="21">
        <v>2704192</v>
      </c>
      <c r="L24" s="27">
        <v>2910</v>
      </c>
      <c r="M24" s="27">
        <v>2905</v>
      </c>
      <c r="N24" s="21">
        <v>2501333</v>
      </c>
      <c r="O24" s="31"/>
      <c r="P24" s="32"/>
      <c r="Q24" s="21">
        <v>423352</v>
      </c>
      <c r="R24" s="21">
        <v>1142.335</v>
      </c>
      <c r="S24" s="38">
        <v>490.45699999999999</v>
      </c>
      <c r="T24" s="38">
        <v>3896.5210000000002</v>
      </c>
      <c r="U24" s="21">
        <v>371694</v>
      </c>
      <c r="V24" s="21">
        <v>77215</v>
      </c>
      <c r="W24" s="21">
        <v>56338</v>
      </c>
      <c r="X24" s="21">
        <v>193187</v>
      </c>
      <c r="Y24" s="21">
        <v>32106</v>
      </c>
      <c r="Z24" s="21">
        <v>5224</v>
      </c>
      <c r="AA24">
        <f t="shared" si="0"/>
        <v>12</v>
      </c>
      <c r="AB24" s="39" t="s">
        <v>61</v>
      </c>
      <c r="AD24">
        <f t="shared" si="2"/>
        <v>2802</v>
      </c>
      <c r="AE24" s="35">
        <f t="shared" si="3"/>
        <v>7.6000000000021828E-2</v>
      </c>
    </row>
    <row r="25" spans="1:31" x14ac:dyDescent="0.25">
      <c r="A25" s="18">
        <f t="shared" si="1"/>
        <v>44978</v>
      </c>
      <c r="B25" s="50">
        <v>24</v>
      </c>
      <c r="C25" s="50">
        <v>55</v>
      </c>
      <c r="D25" s="21">
        <v>2610410</v>
      </c>
      <c r="E25" s="21">
        <v>2556755</v>
      </c>
      <c r="F25" s="21">
        <v>356064</v>
      </c>
      <c r="G25" s="21">
        <v>8326789</v>
      </c>
      <c r="H25" s="30">
        <v>34978</v>
      </c>
      <c r="I25" s="30">
        <v>6627903</v>
      </c>
      <c r="J25" s="21">
        <v>397758</v>
      </c>
      <c r="K25" s="21">
        <v>2704193</v>
      </c>
      <c r="L25" s="29">
        <v>3571</v>
      </c>
      <c r="M25" s="28">
        <v>2772</v>
      </c>
      <c r="N25" s="21">
        <v>2503760</v>
      </c>
      <c r="O25" s="31"/>
      <c r="P25" s="32"/>
      <c r="Q25" s="21">
        <v>423468</v>
      </c>
      <c r="R25" s="21">
        <v>1142.5519999999999</v>
      </c>
      <c r="S25" s="38">
        <v>490.45699999999999</v>
      </c>
      <c r="T25" s="38">
        <v>3896.53</v>
      </c>
      <c r="U25" s="21">
        <v>371737</v>
      </c>
      <c r="V25" s="21">
        <v>77265</v>
      </c>
      <c r="W25" s="21">
        <v>56348</v>
      </c>
      <c r="X25" s="21">
        <v>193237</v>
      </c>
      <c r="Y25" s="21">
        <v>32106</v>
      </c>
      <c r="Z25" s="21">
        <v>5227</v>
      </c>
      <c r="AA25">
        <f t="shared" si="0"/>
        <v>0</v>
      </c>
      <c r="AB25" s="39" t="s">
        <v>55</v>
      </c>
      <c r="AD25">
        <f t="shared" si="2"/>
        <v>2427</v>
      </c>
      <c r="AE25" s="35">
        <f t="shared" si="3"/>
        <v>0.21699999999987085</v>
      </c>
    </row>
    <row r="26" spans="1:31" x14ac:dyDescent="0.25">
      <c r="A26" s="18">
        <f t="shared" si="1"/>
        <v>44979</v>
      </c>
      <c r="B26" s="50">
        <v>30</v>
      </c>
      <c r="C26" s="52">
        <v>58</v>
      </c>
      <c r="D26" s="23">
        <v>2613277</v>
      </c>
      <c r="E26" s="23">
        <v>2559486</v>
      </c>
      <c r="F26" s="23">
        <v>356066</v>
      </c>
      <c r="G26" s="23">
        <v>8328596</v>
      </c>
      <c r="H26" s="30">
        <v>34978</v>
      </c>
      <c r="I26" s="24">
        <v>6630286</v>
      </c>
      <c r="J26" s="24">
        <v>398756</v>
      </c>
      <c r="K26" s="23">
        <v>2704247</v>
      </c>
      <c r="L26" s="28">
        <v>3583</v>
      </c>
      <c r="M26" s="28">
        <v>2924</v>
      </c>
      <c r="N26" s="23">
        <v>2506617</v>
      </c>
      <c r="O26" s="33"/>
      <c r="P26" s="34"/>
      <c r="Q26" s="23">
        <v>423545</v>
      </c>
      <c r="R26" s="37">
        <v>1142.6420000000001</v>
      </c>
      <c r="S26" s="37">
        <v>490.45699999999999</v>
      </c>
      <c r="T26" s="37">
        <v>3896.5360000000001</v>
      </c>
      <c r="U26" s="23">
        <v>371775</v>
      </c>
      <c r="V26" s="23">
        <v>77309</v>
      </c>
      <c r="W26" s="23">
        <v>56355</v>
      </c>
      <c r="X26" s="23">
        <v>193283</v>
      </c>
      <c r="Y26" s="23">
        <v>32107</v>
      </c>
      <c r="Z26" s="23">
        <v>5232</v>
      </c>
      <c r="AA26">
        <f t="shared" si="0"/>
        <v>1</v>
      </c>
      <c r="AB26" s="39" t="s">
        <v>56</v>
      </c>
      <c r="AD26">
        <f t="shared" si="2"/>
        <v>2857</v>
      </c>
      <c r="AE26" s="35">
        <f t="shared" si="3"/>
        <v>9.0000000000145519E-2</v>
      </c>
    </row>
    <row r="27" spans="1:31" x14ac:dyDescent="0.25">
      <c r="A27" s="18">
        <f t="shared" si="1"/>
        <v>44980</v>
      </c>
      <c r="B27" s="50">
        <v>25</v>
      </c>
      <c r="C27" s="52">
        <v>52</v>
      </c>
      <c r="D27" s="23">
        <v>2616043</v>
      </c>
      <c r="E27" s="23">
        <v>2562280</v>
      </c>
      <c r="F27" s="23">
        <v>356066</v>
      </c>
      <c r="G27" s="23">
        <v>8330351</v>
      </c>
      <c r="H27" s="30">
        <v>34978</v>
      </c>
      <c r="I27" s="24">
        <v>6632838</v>
      </c>
      <c r="J27" s="24">
        <v>399884</v>
      </c>
      <c r="K27" s="23">
        <v>2704248</v>
      </c>
      <c r="L27" s="28">
        <v>3585</v>
      </c>
      <c r="M27" s="28">
        <v>2923</v>
      </c>
      <c r="N27" s="23">
        <v>2509579</v>
      </c>
      <c r="O27" s="33"/>
      <c r="P27" s="34"/>
      <c r="Q27" s="24">
        <v>423622</v>
      </c>
      <c r="R27" s="37">
        <v>1142.731</v>
      </c>
      <c r="S27" s="37">
        <v>490.45699999999999</v>
      </c>
      <c r="T27" s="37">
        <v>3896.5459999999998</v>
      </c>
      <c r="U27" s="23">
        <v>371815</v>
      </c>
      <c r="V27" s="23">
        <v>77359</v>
      </c>
      <c r="W27" s="23">
        <v>56364</v>
      </c>
      <c r="X27" s="23">
        <v>193332</v>
      </c>
      <c r="Y27" s="23">
        <v>32116</v>
      </c>
      <c r="Z27" s="23">
        <v>5236</v>
      </c>
      <c r="AA27">
        <f t="shared" si="0"/>
        <v>9</v>
      </c>
      <c r="AB27" s="39" t="s">
        <v>57</v>
      </c>
      <c r="AD27">
        <f t="shared" si="2"/>
        <v>2962</v>
      </c>
      <c r="AE27" s="35">
        <f t="shared" si="3"/>
        <v>8.8999999999941792E-2</v>
      </c>
    </row>
    <row r="28" spans="1:31" x14ac:dyDescent="0.25">
      <c r="A28" s="18">
        <f t="shared" si="1"/>
        <v>44981</v>
      </c>
      <c r="B28" s="50">
        <v>65</v>
      </c>
      <c r="C28" s="52">
        <v>143</v>
      </c>
      <c r="D28" s="23">
        <v>2619091</v>
      </c>
      <c r="E28" s="23">
        <v>2565181</v>
      </c>
      <c r="F28" s="23">
        <v>356066</v>
      </c>
      <c r="G28" s="23">
        <v>8332273</v>
      </c>
      <c r="H28" s="30">
        <v>34978</v>
      </c>
      <c r="I28" s="24">
        <v>6635409</v>
      </c>
      <c r="J28" s="24">
        <v>400998</v>
      </c>
      <c r="K28" s="23">
        <v>2704248</v>
      </c>
      <c r="L28" s="28">
        <v>3584</v>
      </c>
      <c r="M28" s="28">
        <v>2924</v>
      </c>
      <c r="N28" s="23">
        <v>2512636</v>
      </c>
      <c r="O28" s="33"/>
      <c r="P28" s="34"/>
      <c r="Q28" s="24">
        <v>423711</v>
      </c>
      <c r="R28" s="37">
        <v>1143.0650000000001</v>
      </c>
      <c r="S28" s="37">
        <v>490.45699999999999</v>
      </c>
      <c r="T28" s="37">
        <v>3896.556</v>
      </c>
      <c r="U28" s="23">
        <v>371851</v>
      </c>
      <c r="V28" s="23">
        <v>77405</v>
      </c>
      <c r="W28" s="23">
        <v>56372</v>
      </c>
      <c r="X28" s="23">
        <v>193377</v>
      </c>
      <c r="Y28" s="23">
        <v>32116</v>
      </c>
      <c r="Z28" s="23">
        <v>5253</v>
      </c>
      <c r="AA28">
        <f t="shared" si="0"/>
        <v>0</v>
      </c>
      <c r="AB28" s="39" t="s">
        <v>58</v>
      </c>
      <c r="AD28">
        <f t="shared" si="2"/>
        <v>3057</v>
      </c>
      <c r="AE28" s="35">
        <f t="shared" si="3"/>
        <v>0.33400000000006003</v>
      </c>
    </row>
    <row r="29" spans="1:31" x14ac:dyDescent="0.25">
      <c r="A29" s="18">
        <f t="shared" si="1"/>
        <v>44982</v>
      </c>
      <c r="B29" s="50">
        <v>78</v>
      </c>
      <c r="C29" s="52">
        <v>174</v>
      </c>
      <c r="D29" s="23">
        <v>2622480</v>
      </c>
      <c r="E29" s="23">
        <v>2568299</v>
      </c>
      <c r="F29" s="23">
        <v>356066</v>
      </c>
      <c r="G29" s="23">
        <v>8334146</v>
      </c>
      <c r="H29" s="24">
        <v>34978</v>
      </c>
      <c r="I29" s="24">
        <v>6637764</v>
      </c>
      <c r="J29" s="24">
        <v>402038</v>
      </c>
      <c r="K29" s="23">
        <v>2704248</v>
      </c>
      <c r="L29" s="28">
        <v>3583</v>
      </c>
      <c r="M29" s="28">
        <v>2741</v>
      </c>
      <c r="N29" s="23">
        <v>2516052</v>
      </c>
      <c r="O29" s="33"/>
      <c r="P29" s="34"/>
      <c r="Q29" s="24">
        <v>423827</v>
      </c>
      <c r="R29" s="37">
        <v>1143.107</v>
      </c>
      <c r="S29" s="37">
        <v>490.45699999999999</v>
      </c>
      <c r="T29" s="37">
        <v>3896.5659999999998</v>
      </c>
      <c r="U29" s="23">
        <v>371912</v>
      </c>
      <c r="V29" s="23">
        <v>77471</v>
      </c>
      <c r="W29" s="23">
        <v>56382</v>
      </c>
      <c r="X29" s="23">
        <v>193444</v>
      </c>
      <c r="Y29" s="23">
        <v>32117</v>
      </c>
      <c r="Z29" s="23">
        <v>5300</v>
      </c>
      <c r="AA29">
        <f t="shared" si="0"/>
        <v>1</v>
      </c>
      <c r="AB29" s="39" t="s">
        <v>59</v>
      </c>
      <c r="AD29">
        <f t="shared" si="2"/>
        <v>3416</v>
      </c>
      <c r="AE29" s="35">
        <f t="shared" si="3"/>
        <v>4.1999999999916326E-2</v>
      </c>
    </row>
    <row r="30" spans="1:31" x14ac:dyDescent="0.25">
      <c r="A30" s="18">
        <f t="shared" si="1"/>
        <v>44983</v>
      </c>
      <c r="B30" s="50">
        <v>26</v>
      </c>
      <c r="C30" s="52">
        <v>52</v>
      </c>
      <c r="D30" s="23">
        <v>2625136</v>
      </c>
      <c r="E30" s="23">
        <v>2571329</v>
      </c>
      <c r="F30" s="23">
        <v>356066</v>
      </c>
      <c r="G30" s="23">
        <v>8335978</v>
      </c>
      <c r="H30" s="24">
        <v>34978</v>
      </c>
      <c r="I30" s="24">
        <v>6640451</v>
      </c>
      <c r="J30" s="23">
        <v>403275</v>
      </c>
      <c r="K30" s="23">
        <v>2704304</v>
      </c>
      <c r="L30" s="28">
        <v>3584</v>
      </c>
      <c r="M30" s="28">
        <v>2925</v>
      </c>
      <c r="N30" s="23">
        <v>2519317</v>
      </c>
      <c r="O30" s="33"/>
      <c r="P30" s="34"/>
      <c r="Q30" s="23">
        <v>423931</v>
      </c>
      <c r="R30" s="23">
        <v>1143.1579999999999</v>
      </c>
      <c r="S30" s="37">
        <v>490.45699999999999</v>
      </c>
      <c r="T30" s="37">
        <v>3896.578</v>
      </c>
      <c r="U30" s="23">
        <v>371978</v>
      </c>
      <c r="V30" s="23">
        <v>77541</v>
      </c>
      <c r="W30" s="23">
        <v>56392</v>
      </c>
      <c r="X30" s="23">
        <v>193546</v>
      </c>
      <c r="Y30" s="23">
        <v>32118</v>
      </c>
      <c r="Z30" s="23">
        <v>5304</v>
      </c>
      <c r="AA30">
        <f t="shared" si="0"/>
        <v>1</v>
      </c>
      <c r="AB30" s="39" t="s">
        <v>60</v>
      </c>
      <c r="AD30">
        <f t="shared" si="2"/>
        <v>3265</v>
      </c>
      <c r="AE30" s="35">
        <f t="shared" si="3"/>
        <v>5.0999999999930878E-2</v>
      </c>
    </row>
    <row r="31" spans="1:31" x14ac:dyDescent="0.25">
      <c r="A31" s="18">
        <f t="shared" si="1"/>
        <v>44984</v>
      </c>
      <c r="B31" s="50">
        <v>38</v>
      </c>
      <c r="C31" s="52">
        <v>60</v>
      </c>
      <c r="D31" s="23">
        <v>2627807</v>
      </c>
      <c r="E31" s="23">
        <v>2574048</v>
      </c>
      <c r="F31" s="23">
        <v>356066</v>
      </c>
      <c r="G31" s="23">
        <v>8337977</v>
      </c>
      <c r="H31" s="24">
        <v>34978</v>
      </c>
      <c r="I31" s="24">
        <v>6643057</v>
      </c>
      <c r="J31" s="23">
        <v>404393</v>
      </c>
      <c r="K31" s="23">
        <v>2704304</v>
      </c>
      <c r="L31" s="28">
        <v>3584</v>
      </c>
      <c r="M31" s="28">
        <v>2875</v>
      </c>
      <c r="N31" s="23">
        <v>2522560</v>
      </c>
      <c r="O31" s="33"/>
      <c r="P31" s="34"/>
      <c r="Q31" s="23">
        <v>424022</v>
      </c>
      <c r="R31" s="23">
        <v>1143.2090000000001</v>
      </c>
      <c r="S31" s="37">
        <v>490.45699999999999</v>
      </c>
      <c r="T31" s="37">
        <v>3896.587</v>
      </c>
      <c r="U31" s="23">
        <v>372034</v>
      </c>
      <c r="V31" s="23">
        <v>77602</v>
      </c>
      <c r="W31" s="23">
        <v>56401</v>
      </c>
      <c r="X31" s="23">
        <v>193576</v>
      </c>
      <c r="Y31" s="23">
        <v>32131</v>
      </c>
      <c r="Z31" s="23">
        <v>5304</v>
      </c>
      <c r="AA31">
        <f t="shared" si="0"/>
        <v>13</v>
      </c>
      <c r="AB31" s="39" t="s">
        <v>61</v>
      </c>
      <c r="AD31">
        <f t="shared" si="2"/>
        <v>3243</v>
      </c>
      <c r="AE31" s="35">
        <f t="shared" si="3"/>
        <v>5.1000000000158252E-2</v>
      </c>
    </row>
    <row r="32" spans="1:31" x14ac:dyDescent="0.25">
      <c r="A32" s="18">
        <f t="shared" si="1"/>
        <v>44985</v>
      </c>
      <c r="B32" s="50">
        <v>14</v>
      </c>
      <c r="C32" s="52">
        <v>24</v>
      </c>
      <c r="D32" s="23">
        <v>2630958</v>
      </c>
      <c r="E32" s="23">
        <v>2576555</v>
      </c>
      <c r="F32" s="23">
        <v>356066</v>
      </c>
      <c r="G32" s="23">
        <v>8339875</v>
      </c>
      <c r="H32" s="24">
        <v>34978</v>
      </c>
      <c r="I32" s="24">
        <v>6645260</v>
      </c>
      <c r="J32" s="23">
        <v>405299</v>
      </c>
      <c r="K32" s="23">
        <v>2704354</v>
      </c>
      <c r="L32" s="28">
        <v>3575</v>
      </c>
      <c r="M32" s="28">
        <v>2839</v>
      </c>
      <c r="N32" s="23">
        <v>2526140</v>
      </c>
      <c r="O32" s="21">
        <v>51968</v>
      </c>
      <c r="P32" s="21">
        <v>366821</v>
      </c>
      <c r="Q32" s="23">
        <v>424105</v>
      </c>
      <c r="R32" s="37">
        <v>1143.269</v>
      </c>
      <c r="S32" s="37">
        <v>490.45699999999999</v>
      </c>
      <c r="T32" s="37">
        <v>3896.5909999999999</v>
      </c>
      <c r="U32" s="23">
        <v>372068</v>
      </c>
      <c r="V32" s="23">
        <v>77653</v>
      </c>
      <c r="W32" s="23">
        <v>56413</v>
      </c>
      <c r="X32" s="23">
        <v>193645</v>
      </c>
      <c r="Y32" s="23">
        <v>32131</v>
      </c>
      <c r="Z32" s="23">
        <v>5308</v>
      </c>
      <c r="AA32">
        <f t="shared" si="0"/>
        <v>0</v>
      </c>
      <c r="AB32" s="39" t="s">
        <v>55</v>
      </c>
      <c r="AD32">
        <f t="shared" si="2"/>
        <v>3580</v>
      </c>
      <c r="AE32" s="35">
        <f t="shared" si="3"/>
        <v>5.999999999994543E-2</v>
      </c>
    </row>
    <row r="33" spans="1:31" x14ac:dyDescent="0.25">
      <c r="A33" s="43"/>
      <c r="B33" s="44"/>
      <c r="C33" s="45"/>
      <c r="D33" s="46"/>
      <c r="E33" s="47"/>
      <c r="F33" s="47"/>
      <c r="G33" s="47"/>
      <c r="H33" s="47"/>
      <c r="I33" s="47"/>
      <c r="J33" s="47"/>
      <c r="K33" s="47"/>
      <c r="L33" s="48"/>
      <c r="M33" s="48"/>
      <c r="N33" s="47"/>
      <c r="O33" s="57"/>
      <c r="P33" s="57"/>
      <c r="Q33" s="47"/>
      <c r="R33" s="49"/>
      <c r="S33" s="49"/>
      <c r="T33" s="49"/>
      <c r="U33" s="47"/>
      <c r="V33" s="47"/>
      <c r="W33" s="47"/>
      <c r="X33" s="47"/>
      <c r="Y33" s="47"/>
      <c r="Z33" s="47"/>
      <c r="AE33" s="35"/>
    </row>
    <row r="34" spans="1:31" s="59" customFormat="1" x14ac:dyDescent="0.25">
      <c r="A34" s="58"/>
      <c r="B34" s="60">
        <f>SUM(B5:B32)</f>
        <v>1525</v>
      </c>
      <c r="C34" s="60">
        <f>SUM(C5:C32)</f>
        <v>3528</v>
      </c>
      <c r="D34" s="61">
        <f>SUM(D32-D4)</f>
        <v>71370</v>
      </c>
      <c r="E34" s="61">
        <f t="shared" ref="E34:K34" si="4">SUM(E32-E4)</f>
        <v>97923</v>
      </c>
      <c r="F34" s="61">
        <f t="shared" si="4"/>
        <v>648</v>
      </c>
      <c r="G34" s="61">
        <f t="shared" si="4"/>
        <v>52388</v>
      </c>
      <c r="H34" s="61">
        <f t="shared" si="4"/>
        <v>0</v>
      </c>
      <c r="I34" s="61">
        <f t="shared" si="4"/>
        <v>70388</v>
      </c>
      <c r="J34" s="61">
        <f t="shared" si="4"/>
        <v>31083</v>
      </c>
      <c r="K34" s="61">
        <f t="shared" si="4"/>
        <v>758</v>
      </c>
      <c r="L34" s="62">
        <f>SUM(L5:L32)</f>
        <v>98166</v>
      </c>
      <c r="M34" s="62">
        <f>SUM(M5:M32)</f>
        <v>79103</v>
      </c>
      <c r="N34" s="61">
        <f>SUM(N32-N4)</f>
        <v>85254</v>
      </c>
      <c r="O34" s="61">
        <f t="shared" ref="O34:Z34" si="5">SUM(O32-O4)</f>
        <v>145</v>
      </c>
      <c r="P34" s="61">
        <f t="shared" si="5"/>
        <v>2104</v>
      </c>
      <c r="Q34" s="61">
        <f t="shared" si="5"/>
        <v>2505</v>
      </c>
      <c r="R34" s="59">
        <f t="shared" si="5"/>
        <v>2.9970000000000709</v>
      </c>
      <c r="S34" s="59">
        <f t="shared" si="5"/>
        <v>0</v>
      </c>
      <c r="T34" s="59">
        <f t="shared" si="5"/>
        <v>9.4000000000050932E-2</v>
      </c>
      <c r="U34" s="61">
        <f t="shared" si="5"/>
        <v>1480</v>
      </c>
      <c r="V34" s="61">
        <f t="shared" si="5"/>
        <v>1703</v>
      </c>
      <c r="W34" s="61">
        <f t="shared" si="5"/>
        <v>239</v>
      </c>
      <c r="X34" s="61">
        <f t="shared" si="5"/>
        <v>1729</v>
      </c>
      <c r="Y34" s="61">
        <f t="shared" si="5"/>
        <v>75</v>
      </c>
      <c r="Z34" s="61">
        <f t="shared" si="5"/>
        <v>175</v>
      </c>
    </row>
    <row r="35" spans="1:31" x14ac:dyDescent="0.25">
      <c r="A35" s="41"/>
      <c r="B35" s="42"/>
      <c r="C35" s="1"/>
      <c r="L35" s="29"/>
      <c r="M35" s="29"/>
      <c r="AE35" s="35"/>
    </row>
    <row r="36" spans="1:31" x14ac:dyDescent="0.25">
      <c r="B36"/>
      <c r="C36"/>
    </row>
    <row r="37" spans="1:31" x14ac:dyDescent="0.25">
      <c r="B37"/>
      <c r="C37"/>
    </row>
    <row r="38" spans="1:31" x14ac:dyDescent="0.25">
      <c r="B38"/>
      <c r="C38"/>
    </row>
    <row r="39" spans="1:31" x14ac:dyDescent="0.25">
      <c r="B39"/>
      <c r="C39"/>
    </row>
    <row r="40" spans="1:31" x14ac:dyDescent="0.25">
      <c r="B40"/>
      <c r="C40"/>
    </row>
    <row r="41" spans="1:31" x14ac:dyDescent="0.25">
      <c r="B41"/>
      <c r="C41"/>
    </row>
    <row r="42" spans="1:31" x14ac:dyDescent="0.25">
      <c r="B42"/>
      <c r="C42"/>
    </row>
    <row r="43" spans="1:31" x14ac:dyDescent="0.25">
      <c r="B43"/>
      <c r="C43"/>
    </row>
    <row r="44" spans="1:31" x14ac:dyDescent="0.25">
      <c r="B44"/>
      <c r="C44"/>
    </row>
    <row r="45" spans="1:31" x14ac:dyDescent="0.25">
      <c r="B45"/>
      <c r="C45"/>
    </row>
    <row r="46" spans="1:31" x14ac:dyDescent="0.25">
      <c r="B46"/>
      <c r="C46"/>
    </row>
    <row r="47" spans="1:31" x14ac:dyDescent="0.25">
      <c r="B47"/>
      <c r="C47"/>
    </row>
    <row r="48" spans="1:31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</sheetData>
  <mergeCells count="27">
    <mergeCell ref="AA1:AA3"/>
    <mergeCell ref="A1:A3"/>
    <mergeCell ref="I2:I3"/>
    <mergeCell ref="J2:J3"/>
    <mergeCell ref="K2:K3"/>
    <mergeCell ref="B2:B3"/>
    <mergeCell ref="C2:C3"/>
    <mergeCell ref="D2:D3"/>
    <mergeCell ref="E2:E3"/>
    <mergeCell ref="F2:F3"/>
    <mergeCell ref="G2:G3"/>
    <mergeCell ref="H2:H3"/>
    <mergeCell ref="D1:M1"/>
    <mergeCell ref="Z1:Z3"/>
    <mergeCell ref="M2:M3"/>
    <mergeCell ref="L2:L3"/>
    <mergeCell ref="N1:N3"/>
    <mergeCell ref="Q1:Q3"/>
    <mergeCell ref="U1:V3"/>
    <mergeCell ref="W1:W3"/>
    <mergeCell ref="Y1:Y3"/>
    <mergeCell ref="O1:O3"/>
    <mergeCell ref="P1:P3"/>
    <mergeCell ref="R1:R3"/>
    <mergeCell ref="S1:S3"/>
    <mergeCell ref="T1:T3"/>
    <mergeCell ref="X1:X3"/>
  </mergeCells>
  <conditionalFormatting sqref="AB1:AB3 AB33:AB1048576">
    <cfRule type="containsText" dxfId="3" priority="4" operator="containsText" text="Thursday">
      <formula>NOT(ISERROR(SEARCH("Thursday",AB1)))</formula>
    </cfRule>
  </conditionalFormatting>
  <conditionalFormatting sqref="AB1:AB3 AB33:AB1048576">
    <cfRule type="containsText" dxfId="2" priority="3" operator="containsText" text="Monday">
      <formula>NOT(ISERROR(SEARCH("Monday",AB1)))</formula>
    </cfRule>
  </conditionalFormatting>
  <conditionalFormatting sqref="AB4:AB32">
    <cfRule type="containsText" dxfId="1" priority="2" operator="containsText" text="Thursday">
      <formula>NOT(ISERROR(SEARCH("Thursday",AB4)))</formula>
    </cfRule>
  </conditionalFormatting>
  <conditionalFormatting sqref="AB4:AB32">
    <cfRule type="containsText" dxfId="0" priority="1" operator="containsText" text="Monday">
      <formula>NOT(ISERROR(SEARCH("Monday",AB4)))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6" ma:contentTypeDescription="Create a new document." ma:contentTypeScope="" ma:versionID="81b0e45494f70d550f0933c8704a847b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f0359d90319941969adcf037f8ce83d9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ff7659-e828-429d-9d0c-0fbe586886a6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9026B4ED-FA14-4519-B185-E2F6A2D693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BACACF-264B-4E80-A364-6E53198B6D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D560-7822-4EA1-8593-5175C6066E7C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Paul Hemmings</cp:lastModifiedBy>
  <cp:revision/>
  <dcterms:created xsi:type="dcterms:W3CDTF">2017-05-03T09:23:30Z</dcterms:created>
  <dcterms:modified xsi:type="dcterms:W3CDTF">2023-03-01T14:16:09Z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