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19" documentId="13_ncr:1_{A150F12E-A5F3-4ABD-A7D4-FF6BD82385D6}" xr6:coauthVersionLast="47" xr6:coauthVersionMax="47" xr10:uidLastSave="{DBF61A47-8608-4956-A259-6B2CEB892006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C30" i="1" l="1"/>
  <c r="C31" i="1"/>
  <c r="C32" i="1"/>
  <c r="E30" i="1"/>
  <c r="E31" i="1"/>
  <c r="E32" i="1"/>
  <c r="G30" i="1"/>
  <c r="G31" i="1"/>
  <c r="G32" i="1"/>
  <c r="K30" i="1"/>
  <c r="K31" i="1"/>
  <c r="K32" i="1"/>
  <c r="M30" i="1"/>
  <c r="M31" i="1"/>
  <c r="M32" i="1"/>
  <c r="O30" i="1"/>
  <c r="O31" i="1"/>
  <c r="O32" i="1"/>
  <c r="Q30" i="1"/>
  <c r="Q31" i="1"/>
  <c r="Q32" i="1"/>
  <c r="U30" i="1"/>
  <c r="U31" i="1"/>
  <c r="U32" i="1"/>
  <c r="K32" i="2" s="1"/>
  <c r="AB30" i="1"/>
  <c r="AB31" i="1"/>
  <c r="AB32" i="1"/>
  <c r="AD30" i="1"/>
  <c r="AD31" i="1"/>
  <c r="AD32" i="1"/>
  <c r="AF30" i="1"/>
  <c r="AF31" i="1"/>
  <c r="AF32" i="1"/>
  <c r="AF22" i="1"/>
  <c r="AF23" i="1"/>
  <c r="AF24" i="1"/>
  <c r="AF25" i="1"/>
  <c r="AF26" i="1"/>
  <c r="AF27" i="1"/>
  <c r="AF28" i="1"/>
  <c r="AF29" i="1"/>
  <c r="AD22" i="1"/>
  <c r="AD23" i="1"/>
  <c r="AD24" i="1"/>
  <c r="AD25" i="1"/>
  <c r="AD26" i="1"/>
  <c r="AD27" i="1"/>
  <c r="AD28" i="1"/>
  <c r="AD29" i="1"/>
  <c r="AB22" i="1"/>
  <c r="AB23" i="1"/>
  <c r="AB24" i="1"/>
  <c r="AB25" i="1"/>
  <c r="AB26" i="1"/>
  <c r="AB27" i="1"/>
  <c r="AB28" i="1"/>
  <c r="AB29" i="1"/>
  <c r="U22" i="1"/>
  <c r="U23" i="1"/>
  <c r="U24" i="1"/>
  <c r="U25" i="1"/>
  <c r="U26" i="1"/>
  <c r="U27" i="1"/>
  <c r="U28" i="1"/>
  <c r="U29" i="1"/>
  <c r="Q22" i="1"/>
  <c r="Q23" i="1"/>
  <c r="Q24" i="1"/>
  <c r="Q25" i="1"/>
  <c r="Q26" i="1"/>
  <c r="Q27" i="1"/>
  <c r="Q28" i="1"/>
  <c r="Q29" i="1"/>
  <c r="O22" i="1"/>
  <c r="O23" i="1"/>
  <c r="O24" i="1"/>
  <c r="O25" i="1"/>
  <c r="O26" i="1"/>
  <c r="O27" i="1"/>
  <c r="O28" i="1"/>
  <c r="O29" i="1"/>
  <c r="M22" i="1"/>
  <c r="M23" i="1"/>
  <c r="M24" i="1"/>
  <c r="M25" i="1"/>
  <c r="M26" i="1"/>
  <c r="M27" i="1"/>
  <c r="M28" i="1"/>
  <c r="M29" i="1"/>
  <c r="K22" i="1"/>
  <c r="K23" i="1"/>
  <c r="K24" i="1"/>
  <c r="K25" i="1"/>
  <c r="K26" i="1"/>
  <c r="K27" i="1"/>
  <c r="K28" i="1"/>
  <c r="K29" i="1"/>
  <c r="G22" i="1"/>
  <c r="G23" i="1"/>
  <c r="G24" i="1"/>
  <c r="G25" i="1"/>
  <c r="G26" i="1"/>
  <c r="G27" i="1"/>
  <c r="G28" i="1"/>
  <c r="G29" i="1"/>
  <c r="E22" i="1"/>
  <c r="E23" i="1"/>
  <c r="E24" i="1"/>
  <c r="E25" i="1"/>
  <c r="E26" i="1"/>
  <c r="E27" i="1"/>
  <c r="E28" i="1"/>
  <c r="E29" i="1"/>
  <c r="C22" i="1"/>
  <c r="C23" i="1"/>
  <c r="C24" i="1"/>
  <c r="C25" i="1"/>
  <c r="C26" i="1"/>
  <c r="C27" i="1"/>
  <c r="C28" i="1"/>
  <c r="C29" i="1"/>
  <c r="AF15" i="1"/>
  <c r="AF16" i="1"/>
  <c r="AF17" i="1"/>
  <c r="AF18" i="1"/>
  <c r="AF19" i="1"/>
  <c r="AF20" i="1"/>
  <c r="AF21" i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Q16" i="1"/>
  <c r="Q17" i="1"/>
  <c r="Q18" i="1"/>
  <c r="Q19" i="1"/>
  <c r="Q20" i="1"/>
  <c r="Q21" i="1"/>
  <c r="O15" i="1"/>
  <c r="O16" i="1"/>
  <c r="O17" i="1"/>
  <c r="O18" i="1"/>
  <c r="O19" i="1"/>
  <c r="O20" i="1"/>
  <c r="O21" i="1"/>
  <c r="M15" i="1"/>
  <c r="M16" i="1"/>
  <c r="M17" i="1"/>
  <c r="M18" i="1"/>
  <c r="M19" i="1"/>
  <c r="M20" i="1"/>
  <c r="M21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AF8" i="1"/>
  <c r="AF9" i="1"/>
  <c r="AF10" i="1"/>
  <c r="AF11" i="1"/>
  <c r="AF12" i="1"/>
  <c r="AF13" i="1"/>
  <c r="AF14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C2" i="1"/>
  <c r="E2" i="1"/>
  <c r="G2" i="1"/>
  <c r="K2" i="1"/>
  <c r="N32" i="2"/>
  <c r="M32" i="2"/>
  <c r="I32" i="2"/>
  <c r="AF4" i="1"/>
  <c r="AF5" i="1"/>
  <c r="AF6" i="1"/>
  <c r="AF7" i="1"/>
  <c r="AD4" i="1"/>
  <c r="AD5" i="1"/>
  <c r="AD6" i="1"/>
  <c r="AD7" i="1"/>
  <c r="AB4" i="1"/>
  <c r="AB5" i="1"/>
  <c r="AB6" i="1"/>
  <c r="AB7" i="1"/>
  <c r="U4" i="1"/>
  <c r="U5" i="1"/>
  <c r="U6" i="1"/>
  <c r="U7" i="1"/>
  <c r="Q4" i="1"/>
  <c r="Q5" i="1"/>
  <c r="Q6" i="1"/>
  <c r="Q7" i="1"/>
  <c r="O4" i="1"/>
  <c r="O5" i="1"/>
  <c r="O6" i="1"/>
  <c r="O7" i="1"/>
  <c r="K4" i="1"/>
  <c r="K5" i="1"/>
  <c r="K6" i="1"/>
  <c r="K7" i="1"/>
  <c r="M4" i="1"/>
  <c r="M5" i="1"/>
  <c r="M6" i="1"/>
  <c r="M7" i="1"/>
  <c r="H2" i="1" l="1"/>
  <c r="G4" i="1"/>
  <c r="G5" i="1"/>
  <c r="G6" i="1"/>
  <c r="G7" i="1"/>
  <c r="E4" i="1"/>
  <c r="E5" i="1"/>
  <c r="E6" i="1"/>
  <c r="E7" i="1"/>
  <c r="C4" i="1"/>
  <c r="C5" i="1"/>
  <c r="C6" i="1"/>
  <c r="C7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2" i="1" l="1"/>
  <c r="G32" i="2" s="1"/>
  <c r="Z30" i="1"/>
  <c r="Z31" i="1"/>
  <c r="G31" i="2" s="1"/>
  <c r="Z29" i="1"/>
  <c r="G29" i="2" s="1"/>
  <c r="Z28" i="1"/>
  <c r="Z27" i="1"/>
  <c r="Z26" i="1"/>
  <c r="Z25" i="1"/>
  <c r="Z24" i="1"/>
  <c r="Z22" i="1"/>
  <c r="Z23" i="1"/>
  <c r="Z21" i="1"/>
  <c r="G21" i="2" s="1"/>
  <c r="Z20" i="1"/>
  <c r="G20" i="2" s="1"/>
  <c r="Z19" i="1"/>
  <c r="G19" i="2" s="1"/>
  <c r="Z18" i="1"/>
  <c r="G18" i="2" s="1"/>
  <c r="Z17" i="1"/>
  <c r="G17" i="2" s="1"/>
  <c r="Z16" i="1"/>
  <c r="G16" i="2" s="1"/>
  <c r="Z15" i="1"/>
  <c r="Z13" i="1"/>
  <c r="Z9" i="1"/>
  <c r="Z12" i="1"/>
  <c r="G12" i="2" s="1"/>
  <c r="Z8" i="1"/>
  <c r="G8" i="2" s="1"/>
  <c r="Z11" i="1"/>
  <c r="G11" i="2" s="1"/>
  <c r="Z14" i="1"/>
  <c r="G14" i="2" s="1"/>
  <c r="Z10" i="1"/>
  <c r="G25" i="2"/>
  <c r="G13" i="2"/>
  <c r="G9" i="2"/>
  <c r="Z7" i="1"/>
  <c r="G7" i="2" s="1"/>
  <c r="Z6" i="1"/>
  <c r="G6" i="2" s="1"/>
  <c r="Z5" i="1"/>
  <c r="G5" i="2" s="1"/>
  <c r="Z4" i="1"/>
  <c r="G4" i="2" s="1"/>
  <c r="G30" i="2"/>
  <c r="G28" i="2"/>
  <c r="G27" i="2"/>
  <c r="G26" i="2"/>
  <c r="G24" i="2"/>
  <c r="G23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<sst xmlns="http://schemas.openxmlformats.org/spreadsheetml/2006/main" count="82" uniqueCount="41">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</sst>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2" sqref="F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10</v>
      </c>
      <c r="D2" s="140">
        <v>2024</v>
      </c>
      <c r="E2" s="119">
        <f>IF(ALMYRA!H2&lt;0,"0",ALMYRA!H2)</f>
        <v>7442</v>
      </c>
      <c r="F2" s="120">
        <f>(ALMYRA!C2*0.24)/E2</f>
        <v>0.17988712711636656</v>
      </c>
      <c r="G2" s="124">
        <f>ALMYRA!Z2</f>
        <v>200.00000000000045</v>
      </c>
      <c r="H2" s="125">
        <v>0.65800000000000003</v>
      </c>
      <c r="I2" s="128">
        <f>IF(ALMYRA!AB2&lt;0,"0",ALMYRA!AB2)</f>
        <v>99</v>
      </c>
      <c r="J2" s="129">
        <v>2.4</v>
      </c>
      <c r="K2" s="132">
        <f>ALMYRA!U2</f>
        <v>97</v>
      </c>
      <c r="L2" s="133">
        <v>0.88</v>
      </c>
      <c r="M2" s="136">
        <f>ALMYRA!AJ2</f>
        <v>157</v>
      </c>
      <c r="N2" s="136">
        <f>ALMYRA!AK2</f>
        <v>318</v>
      </c>
    </row>
    <row r="3" spans="1:14" ht="15" x14ac:dyDescent="0.25">
      <c r="A3" s="115" t="s">
        <v>13</v>
      </c>
      <c r="B3" s="5">
        <f>B2+1</f>
        <v>2</v>
      </c>
      <c r="C3" s="139">
        <v>10</v>
      </c>
      <c r="D3" s="140">
        <v>2024</v>
      </c>
      <c r="E3" s="119">
        <f>IF(ALMYRA!H3&lt;0,"0",ALMYRA!H3)</f>
        <v>7266</v>
      </c>
      <c r="F3" s="120">
        <f>(ALMYRA!C3*0.24)/E3</f>
        <v>0.17390586292320395</v>
      </c>
      <c r="G3" s="124">
        <f>ALMYRA!Z3</f>
        <v>200</v>
      </c>
      <c r="H3" s="125">
        <v>0.65800000000000003</v>
      </c>
      <c r="I3" s="128">
        <f>IF(ALMYRA!AB3&lt;0,"0",ALMYRA!AB3)</f>
        <v>104</v>
      </c>
      <c r="J3" s="129">
        <v>2.4</v>
      </c>
      <c r="K3" s="132">
        <f>ALMYRA!U3</f>
        <v>195</v>
      </c>
      <c r="L3" s="133">
        <v>0.88</v>
      </c>
      <c r="M3" s="136">
        <f>ALMYRA!AJ3</f>
        <v>172</v>
      </c>
      <c r="N3" s="136">
        <f>ALMYRA!AK3</f>
        <v>350</v>
      </c>
    </row>
    <row r="4" spans="1:14" ht="15" x14ac:dyDescent="0.25">
      <c r="A4" s="115" t="s">
        <v>13</v>
      </c>
      <c r="B4" s="5">
        <f t="shared" ref="B4:B32" si="0">B3+1</f>
        <v>3</v>
      </c>
      <c r="C4" s="139">
        <v>10</v>
      </c>
      <c r="D4" s="140">
        <v>2024</v>
      </c>
      <c r="E4" s="119">
        <f>IF(ALMYRA!H4&lt;0,"0",ALMYRA!H4)</f>
        <v>7274</v>
      </c>
      <c r="F4" s="120">
        <f>(ALMYRA!C4*0.24)/E4</f>
        <v>0.17467143249931261</v>
      </c>
      <c r="G4" s="124">
        <f>ALMYRA!Z4</f>
        <v>100</v>
      </c>
      <c r="H4" s="125">
        <v>0.65800000000000003</v>
      </c>
      <c r="I4" s="128">
        <f>IF(ALMYRA!AB4&lt;0,"0",ALMYRA!AB4)</f>
        <v>101</v>
      </c>
      <c r="J4" s="129">
        <v>2.4</v>
      </c>
      <c r="K4" s="132">
        <f>ALMYRA!U4</f>
        <v>98</v>
      </c>
      <c r="L4" s="133">
        <v>0.88</v>
      </c>
      <c r="M4" s="136">
        <f>ALMYRA!AJ4</f>
        <v>176</v>
      </c>
      <c r="N4" s="136">
        <f>ALMYRA!AK4</f>
        <v>355</v>
      </c>
    </row>
    <row r="5" spans="1:14" ht="15" x14ac:dyDescent="0.25">
      <c r="A5" s="115" t="s">
        <v>13</v>
      </c>
      <c r="B5" s="5">
        <f t="shared" si="0"/>
        <v>4</v>
      </c>
      <c r="C5" s="139">
        <v>10</v>
      </c>
      <c r="D5" s="140">
        <v>2024</v>
      </c>
      <c r="E5" s="119">
        <f>IF(ALMYRA!H5&lt;0,"0",ALMYRA!H5)</f>
        <v>7071</v>
      </c>
      <c r="F5" s="120">
        <f>(ALMYRA!C5*0.24)/E5</f>
        <v>0.17337293169282986</v>
      </c>
      <c r="G5" s="124">
        <f>ALMYRA!Z5</f>
        <v>225</v>
      </c>
      <c r="H5" s="125">
        <v>0.65800000000000003</v>
      </c>
      <c r="I5" s="128">
        <f>IF(ALMYRA!AB5&lt;0,"0",ALMYRA!AB5)</f>
        <v>93</v>
      </c>
      <c r="J5" s="129">
        <v>2.4</v>
      </c>
      <c r="K5" s="132">
        <f>ALMYRA!U5</f>
        <v>103</v>
      </c>
      <c r="L5" s="133">
        <v>0.88</v>
      </c>
      <c r="M5" s="136">
        <f>ALMYRA!AJ5</f>
        <v>169</v>
      </c>
      <c r="N5" s="136">
        <f>ALMYRA!AK5</f>
        <v>345</v>
      </c>
    </row>
    <row r="6" spans="1:14" ht="15" x14ac:dyDescent="0.25">
      <c r="A6" s="115" t="s">
        <v>13</v>
      </c>
      <c r="B6" s="5">
        <f t="shared" si="0"/>
        <v>5</v>
      </c>
      <c r="C6" s="139">
        <v>10</v>
      </c>
      <c r="D6" s="140">
        <v>2024</v>
      </c>
      <c r="E6" s="119">
        <f>IF(ALMYRA!H6&lt;0,"0",ALMYRA!H6)</f>
        <v>7183</v>
      </c>
      <c r="F6" s="120">
        <f>(ALMYRA!C6*0.24)/E6</f>
        <v>0.17511346234163996</v>
      </c>
      <c r="G6" s="124">
        <f>ALMYRA!Z6</f>
        <v>100</v>
      </c>
      <c r="H6" s="125">
        <v>0.65800000000000003</v>
      </c>
      <c r="I6" s="128">
        <f>IF(ALMYRA!AB6&lt;0,"0",ALMYRA!AB6)</f>
        <v>86</v>
      </c>
      <c r="J6" s="129">
        <v>2.4</v>
      </c>
      <c r="K6" s="132">
        <f>ALMYRA!U6</f>
        <v>94</v>
      </c>
      <c r="L6" s="133">
        <v>0.88</v>
      </c>
      <c r="M6" s="136">
        <f>ALMYRA!AJ6</f>
        <v>179</v>
      </c>
      <c r="N6" s="136">
        <f>ALMYRA!AK6</f>
        <v>357</v>
      </c>
    </row>
    <row r="7" spans="1:14" ht="15" x14ac:dyDescent="0.25">
      <c r="A7" s="115" t="s">
        <v>13</v>
      </c>
      <c r="B7" s="5">
        <f t="shared" si="0"/>
        <v>6</v>
      </c>
      <c r="C7" s="139">
        <v>10</v>
      </c>
      <c r="D7" s="140">
        <v>2024</v>
      </c>
      <c r="E7" s="119">
        <f>IF(ALMYRA!H7&lt;0,"0",ALMYRA!H7)</f>
        <v>7306</v>
      </c>
      <c r="F7" s="120">
        <f>(ALMYRA!C7*0.24)/E7</f>
        <v>0.17702710101286612</v>
      </c>
      <c r="G7" s="124">
        <f>ALMYRA!Z7</f>
        <v>150</v>
      </c>
      <c r="H7" s="125">
        <v>0.65800000000000003</v>
      </c>
      <c r="I7" s="128">
        <f>IF(ALMYRA!AB7&lt;0,"0",ALMYRA!AB7)</f>
        <v>89</v>
      </c>
      <c r="J7" s="129">
        <v>2.4</v>
      </c>
      <c r="K7" s="132">
        <f>ALMYRA!U7</f>
        <v>98</v>
      </c>
      <c r="L7" s="133">
        <v>0.88</v>
      </c>
      <c r="M7" s="136">
        <f>ALMYRA!AJ7</f>
        <v>161</v>
      </c>
      <c r="N7" s="136">
        <f>ALMYRA!AK7</f>
        <v>305</v>
      </c>
    </row>
    <row r="8" spans="1:14" ht="15" x14ac:dyDescent="0.25">
      <c r="A8" s="115" t="s">
        <v>13</v>
      </c>
      <c r="B8" s="5">
        <f t="shared" si="0"/>
        <v>7</v>
      </c>
      <c r="C8" s="139">
        <v>10</v>
      </c>
      <c r="D8" s="140">
        <v>2024</v>
      </c>
      <c r="E8" s="119">
        <f>IF(ALMYRA!H8&lt;0,"0",ALMYRA!H8)</f>
        <v>7071</v>
      </c>
      <c r="F8" s="120">
        <f>(ALMYRA!C8*0.24)/E8</f>
        <v>0.17669919389053884</v>
      </c>
      <c r="G8" s="124">
        <f>ALMYRA!Z8</f>
        <v>241.85000000000036</v>
      </c>
      <c r="H8" s="125">
        <v>0.65800000000000003</v>
      </c>
      <c r="I8" s="128">
        <f>IF(ALMYRA!AB8&lt;0,"0",ALMYRA!AB8)</f>
        <v>77</v>
      </c>
      <c r="J8" s="129">
        <v>2.4</v>
      </c>
      <c r="K8" s="132">
        <f>ALMYRA!U8</f>
        <v>99</v>
      </c>
      <c r="L8" s="133">
        <v>0.88</v>
      </c>
      <c r="M8" s="136">
        <f>ALMYRA!AJ8</f>
        <v>129</v>
      </c>
      <c r="N8" s="136">
        <f>ALMYRA!AK8</f>
        <v>250</v>
      </c>
    </row>
    <row r="9" spans="1:14" ht="15" x14ac:dyDescent="0.25">
      <c r="A9" s="115" t="s">
        <v>13</v>
      </c>
      <c r="B9" s="5">
        <f t="shared" si="0"/>
        <v>8</v>
      </c>
      <c r="C9" s="139">
        <v>10</v>
      </c>
      <c r="D9" s="140">
        <v>2024</v>
      </c>
      <c r="E9" s="119">
        <f>IF(ALMYRA!H9&lt;0,"0",ALMYRA!H9)</f>
        <v>6957</v>
      </c>
      <c r="F9" s="120">
        <f>(ALMYRA!C9*0.24)/E9</f>
        <v>0.17490297542043984</v>
      </c>
      <c r="G9" s="124">
        <f>ALMYRA!Z9</f>
        <v>275</v>
      </c>
      <c r="H9" s="125">
        <v>0.65800000000000003</v>
      </c>
      <c r="I9" s="128">
        <f>IF(ALMYRA!AB9&lt;0,"0",ALMYRA!AB9)</f>
        <v>76</v>
      </c>
      <c r="J9" s="129">
        <v>2.4</v>
      </c>
      <c r="K9" s="132">
        <f>ALMYRA!U9</f>
        <v>99</v>
      </c>
      <c r="L9" s="133">
        <v>0.88</v>
      </c>
      <c r="M9" s="136">
        <f>ALMYRA!AJ9</f>
        <v>123</v>
      </c>
      <c r="N9" s="136">
        <f>ALMYRA!AK9</f>
        <v>240</v>
      </c>
    </row>
    <row r="10" spans="1:14" ht="15" x14ac:dyDescent="0.25">
      <c r="A10" s="115" t="s">
        <v>13</v>
      </c>
      <c r="B10" s="5">
        <f t="shared" si="0"/>
        <v>9</v>
      </c>
      <c r="C10" s="139">
        <v>10</v>
      </c>
      <c r="D10" s="140">
        <v>2024</v>
      </c>
      <c r="E10" s="119">
        <f>IF(ALMYRA!H10&lt;0,"0",ALMYRA!H10)</f>
        <v>6799</v>
      </c>
      <c r="F10" s="120">
        <f>(ALMYRA!C10*0.24)/E10</f>
        <v>0.1740961906162671</v>
      </c>
      <c r="G10" s="124">
        <f>ALMYRA!Z10</f>
        <v>25</v>
      </c>
      <c r="H10" s="125">
        <v>0.65800000000000003</v>
      </c>
      <c r="I10" s="128">
        <f>IF(ALMYRA!AB10&lt;0,"0",ALMYRA!AB10)</f>
        <v>73</v>
      </c>
      <c r="J10" s="129">
        <v>2.4</v>
      </c>
      <c r="K10" s="132">
        <f>ALMYRA!U10</f>
        <v>100</v>
      </c>
      <c r="L10" s="133">
        <v>0.88</v>
      </c>
      <c r="M10" s="136">
        <f>ALMYRA!AJ10</f>
        <v>143</v>
      </c>
      <c r="N10" s="136">
        <f>ALMYRA!AK10</f>
        <v>275</v>
      </c>
    </row>
    <row r="11" spans="1:14" ht="15" x14ac:dyDescent="0.25">
      <c r="A11" s="115" t="s">
        <v>13</v>
      </c>
      <c r="B11" s="5">
        <f t="shared" si="0"/>
        <v>10</v>
      </c>
      <c r="C11" s="139">
        <v>10</v>
      </c>
      <c r="D11" s="140">
        <v>2024</v>
      </c>
      <c r="E11" s="119">
        <f>IF(ALMYRA!H11&lt;0,"0",ALMYRA!H11)</f>
        <v>6958</v>
      </c>
      <c r="F11" s="120">
        <f>(ALMYRA!C11*0.24)/E11</f>
        <v>0.17808565679793043</v>
      </c>
      <c r="G11" s="124">
        <f>ALMYRA!Z11</f>
        <v>150</v>
      </c>
      <c r="H11" s="125">
        <v>0.65800000000000003</v>
      </c>
      <c r="I11" s="128">
        <f>IF(ALMYRA!AB11&lt;0,"0",ALMYRA!AB11)</f>
        <v>77</v>
      </c>
      <c r="J11" s="129">
        <v>2.4</v>
      </c>
      <c r="K11" s="132">
        <f>ALMYRA!U11</f>
        <v>199</v>
      </c>
      <c r="L11" s="133">
        <v>0.88</v>
      </c>
      <c r="M11" s="136">
        <f>ALMYRA!AJ11</f>
        <v>145</v>
      </c>
      <c r="N11" s="136">
        <f>ALMYRA!AK11</f>
        <v>265</v>
      </c>
    </row>
    <row r="12" spans="1:14" ht="15" x14ac:dyDescent="0.25">
      <c r="A12" s="115" t="s">
        <v>13</v>
      </c>
      <c r="B12" s="5">
        <f t="shared" si="0"/>
        <v>11</v>
      </c>
      <c r="C12" s="139">
        <v>10</v>
      </c>
      <c r="D12" s="140">
        <v>2024</v>
      </c>
      <c r="E12" s="119">
        <f>IF(ALMYRA!H12&lt;0,"0",ALMYRA!H12)</f>
        <v>7013</v>
      </c>
      <c r="F12" s="120">
        <f>(ALMYRA!C12*0.24)/E12</f>
        <v>0.19226008840724368</v>
      </c>
      <c r="G12" s="124">
        <f>ALMYRA!Z12</f>
        <v>150</v>
      </c>
      <c r="H12" s="125">
        <v>0.65800000000000003</v>
      </c>
      <c r="I12" s="128">
        <f>IF(ALMYRA!AB12&lt;0,"0",ALMYRA!AB12)</f>
        <v>88</v>
      </c>
      <c r="J12" s="129">
        <v>2.4</v>
      </c>
      <c r="K12" s="132">
        <f>ALMYRA!U12</f>
        <v>100</v>
      </c>
      <c r="L12" s="133">
        <v>0.88</v>
      </c>
      <c r="M12" s="136">
        <f>ALMYRA!AJ12</f>
        <v>167</v>
      </c>
      <c r="N12" s="136">
        <f>ALMYRA!AK12</f>
        <v>322</v>
      </c>
    </row>
    <row r="13" spans="1:14" ht="15" x14ac:dyDescent="0.25">
      <c r="A13" s="115" t="s">
        <v>13</v>
      </c>
      <c r="B13" s="5">
        <f t="shared" si="0"/>
        <v>12</v>
      </c>
      <c r="C13" s="139">
        <v>10</v>
      </c>
      <c r="D13" s="140">
        <v>2024</v>
      </c>
      <c r="E13" s="119">
        <f>IF(ALMYRA!H13&lt;0,"0",ALMYRA!H13)</f>
        <v>7068</v>
      </c>
      <c r="F13" s="120">
        <f>(ALMYRA!C13*0.24)/E13</f>
        <v>0.18139219015280134</v>
      </c>
      <c r="G13" s="124">
        <f>ALMYRA!Z13</f>
        <v>150</v>
      </c>
      <c r="H13" s="125">
        <v>0.65800000000000003</v>
      </c>
      <c r="I13" s="128">
        <f>IF(ALMYRA!AB13&lt;0,"0",ALMYRA!AB13)</f>
        <v>86</v>
      </c>
      <c r="J13" s="129">
        <v>2.4</v>
      </c>
      <c r="K13" s="132">
        <f>ALMYRA!U13</f>
        <v>50</v>
      </c>
      <c r="L13" s="133">
        <v>0.88</v>
      </c>
      <c r="M13" s="136">
        <f>ALMYRA!AJ13</f>
        <v>171</v>
      </c>
      <c r="N13" s="136">
        <f>ALMYRA!AK13</f>
        <v>323</v>
      </c>
    </row>
    <row r="14" spans="1:14" ht="15" x14ac:dyDescent="0.25">
      <c r="A14" s="115" t="s">
        <v>13</v>
      </c>
      <c r="B14" s="5">
        <f t="shared" si="0"/>
        <v>13</v>
      </c>
      <c r="C14" s="139">
        <v>10</v>
      </c>
      <c r="D14" s="140">
        <v>2024</v>
      </c>
      <c r="E14" s="119">
        <f>IF(ALMYRA!H14&lt;0,"0",ALMYRA!H14)</f>
        <v>6903</v>
      </c>
      <c r="F14" s="120">
        <f>(ALMYRA!C14*0.24)/E14</f>
        <v>0.18419817470664929</v>
      </c>
      <c r="G14" s="124">
        <f>ALMYRA!Z14</f>
        <v>100</v>
      </c>
      <c r="H14" s="125">
        <v>0.65800000000000003</v>
      </c>
      <c r="I14" s="128">
        <f>IF(ALMYRA!AB14&lt;0,"0",ALMYRA!AB14)</f>
        <v>87</v>
      </c>
      <c r="J14" s="129">
        <v>2.4</v>
      </c>
      <c r="K14" s="132">
        <f>ALMYRA!U14</f>
        <v>150</v>
      </c>
      <c r="L14" s="133">
        <v>0.88</v>
      </c>
      <c r="M14" s="136">
        <f>ALMYRA!AJ14</f>
        <v>141</v>
      </c>
      <c r="N14" s="136">
        <f>ALMYRA!AK14</f>
        <v>263</v>
      </c>
    </row>
    <row r="15" spans="1:14" ht="15" x14ac:dyDescent="0.25">
      <c r="A15" s="115" t="s">
        <v>13</v>
      </c>
      <c r="B15" s="5">
        <f t="shared" si="0"/>
        <v>14</v>
      </c>
      <c r="C15" s="139">
        <v>10</v>
      </c>
      <c r="D15" s="140">
        <v>2024</v>
      </c>
      <c r="E15" s="119">
        <f>IF(ALMYRA!H15&lt;0,"0",ALMYRA!H15)</f>
        <v>7055</v>
      </c>
      <c r="F15" s="120">
        <f>(ALMYRA!C15*0.24)/E15</f>
        <v>0.18159036144578311</v>
      </c>
      <c r="G15" s="124">
        <f>ALMYRA!Z15</f>
        <v>331.57999999999993</v>
      </c>
      <c r="H15" s="125">
        <v>0.65800000000000003</v>
      </c>
      <c r="I15" s="128">
        <f>IF(ALMYRA!AB15&lt;0,"0",ALMYRA!AB15)</f>
        <v>80</v>
      </c>
      <c r="J15" s="129">
        <v>2.4</v>
      </c>
      <c r="K15" s="132">
        <f>ALMYRA!U15</f>
        <v>100</v>
      </c>
      <c r="L15" s="133">
        <v>0.88</v>
      </c>
      <c r="M15" s="136">
        <f>ALMYRA!AJ15</f>
        <v>142</v>
      </c>
      <c r="N15" s="136">
        <f>ALMYRA!AK15</f>
        <v>262</v>
      </c>
    </row>
    <row r="16" spans="1:14" ht="15" x14ac:dyDescent="0.25">
      <c r="A16" s="115" t="s">
        <v>13</v>
      </c>
      <c r="B16" s="5">
        <f t="shared" si="0"/>
        <v>15</v>
      </c>
      <c r="C16" s="139">
        <v>10</v>
      </c>
      <c r="D16" s="140">
        <v>2024</v>
      </c>
      <c r="E16" s="119">
        <f>IF(ALMYRA!H16&lt;0,"0",ALMYRA!H16)</f>
        <v>7142</v>
      </c>
      <c r="F16" s="120">
        <f>(ALMYRA!C16*0.24)/E16</f>
        <v>0.18724166900028003</v>
      </c>
      <c r="G16" s="124">
        <f>ALMYRA!Z16</f>
        <v>75</v>
      </c>
      <c r="H16" s="125">
        <v>0.65800000000000003</v>
      </c>
      <c r="I16" s="128">
        <f>IF(ALMYRA!AB16&lt;0,"0",ALMYRA!AB16)</f>
        <v>82</v>
      </c>
      <c r="J16" s="129">
        <v>2.4</v>
      </c>
      <c r="K16" s="132">
        <f>ALMYRA!U16</f>
        <v>0</v>
      </c>
      <c r="L16" s="133">
        <v>0.88</v>
      </c>
      <c r="M16" s="136">
        <f>ALMYRA!AJ16</f>
        <v>138</v>
      </c>
      <c r="N16" s="136">
        <f>ALMYRA!AK16</f>
        <v>270</v>
      </c>
    </row>
    <row r="17" spans="1:14" ht="15" x14ac:dyDescent="0.25">
      <c r="A17" s="115" t="s">
        <v>13</v>
      </c>
      <c r="B17" s="5">
        <f t="shared" si="0"/>
        <v>16</v>
      </c>
      <c r="C17" s="139">
        <v>10</v>
      </c>
      <c r="D17" s="140">
        <v>2024</v>
      </c>
      <c r="E17" s="119">
        <f>IF(ALMYRA!H17&lt;0,"0",ALMYRA!H17)</f>
        <v>7101</v>
      </c>
      <c r="F17" s="120">
        <f>(ALMYRA!C17*0.24)/E17</f>
        <v>0.19291930713983943</v>
      </c>
      <c r="G17" s="124">
        <f>ALMYRA!Z17</f>
        <v>175</v>
      </c>
      <c r="H17" s="125">
        <v>0.65800000000000003</v>
      </c>
      <c r="I17" s="128">
        <f>IF(ALMYRA!AB17&lt;0,"0",ALMYRA!AB17)</f>
        <v>99</v>
      </c>
      <c r="J17" s="129">
        <v>2.4</v>
      </c>
      <c r="K17" s="132">
        <f>ALMYRA!U17</f>
        <v>100</v>
      </c>
      <c r="L17" s="133">
        <v>0.88</v>
      </c>
      <c r="M17" s="136">
        <f>ALMYRA!AJ17</f>
        <v>143</v>
      </c>
      <c r="N17" s="136">
        <f>ALMYRA!AK17</f>
        <v>295</v>
      </c>
    </row>
    <row r="18" spans="1:14" ht="15" x14ac:dyDescent="0.25">
      <c r="A18" s="115" t="s">
        <v>13</v>
      </c>
      <c r="B18" s="5">
        <f t="shared" si="0"/>
        <v>17</v>
      </c>
      <c r="C18" s="139">
        <v>10</v>
      </c>
      <c r="D18" s="140">
        <v>2024</v>
      </c>
      <c r="E18" s="119">
        <f>IF(ALMYRA!H18&lt;0,"0",ALMYRA!H18)</f>
        <v>6982</v>
      </c>
      <c r="F18" s="120">
        <f>(ALMYRA!C18*0.24)/E18</f>
        <v>0.1866170151818963</v>
      </c>
      <c r="G18" s="124">
        <f>ALMYRA!Z18</f>
        <v>125</v>
      </c>
      <c r="H18" s="125">
        <v>0.65800000000000003</v>
      </c>
      <c r="I18" s="128">
        <f>IF(ALMYRA!AB18&lt;0,"0",ALMYRA!AB18)</f>
        <v>84</v>
      </c>
      <c r="J18" s="129">
        <v>2.4</v>
      </c>
      <c r="K18" s="132">
        <f>ALMYRA!U18</f>
        <v>101</v>
      </c>
      <c r="L18" s="133">
        <v>0.88</v>
      </c>
      <c r="M18" s="136">
        <f>ALMYRA!AJ18</f>
        <v>158</v>
      </c>
      <c r="N18" s="136">
        <f>ALMYRA!AK18</f>
        <v>334</v>
      </c>
    </row>
    <row r="19" spans="1:14" ht="15" x14ac:dyDescent="0.25">
      <c r="A19" s="115" t="s">
        <v>13</v>
      </c>
      <c r="B19" s="5">
        <f t="shared" si="0"/>
        <v>18</v>
      </c>
      <c r="C19" s="139">
        <v>10</v>
      </c>
      <c r="D19" s="140">
        <v>2024</v>
      </c>
      <c r="E19" s="119">
        <f>IF(ALMYRA!H19&lt;0,"0",ALMYRA!H19)</f>
        <v>6843</v>
      </c>
      <c r="F19" s="120">
        <f>(ALMYRA!C19*0.24)/E19</f>
        <v>0.18318281455501972</v>
      </c>
      <c r="G19" s="124">
        <f>ALMYRA!Z19</f>
        <v>200</v>
      </c>
      <c r="H19" s="125">
        <v>0.65800000000000003</v>
      </c>
      <c r="I19" s="128">
        <f>IF(ALMYRA!AB19&lt;0,"0",ALMYRA!AB19)</f>
        <v>108</v>
      </c>
      <c r="J19" s="129">
        <v>2.4</v>
      </c>
      <c r="K19" s="132">
        <f>ALMYRA!U19</f>
        <v>100</v>
      </c>
      <c r="L19" s="133">
        <v>0.88</v>
      </c>
      <c r="M19" s="136">
        <f>ALMYRA!AJ19</f>
        <v>167</v>
      </c>
      <c r="N19" s="136">
        <f>ALMYRA!AK19</f>
        <v>353</v>
      </c>
    </row>
    <row r="20" spans="1:14" ht="15" x14ac:dyDescent="0.25">
      <c r="A20" s="115" t="s">
        <v>13</v>
      </c>
      <c r="B20" s="5">
        <f t="shared" si="0"/>
        <v>19</v>
      </c>
      <c r="C20" s="139">
        <v>10</v>
      </c>
      <c r="D20" s="140">
        <v>2024</v>
      </c>
      <c r="E20" s="119">
        <f>IF(ALMYRA!H20&lt;0,"0",ALMYRA!H20)</f>
        <v>6518</v>
      </c>
      <c r="F20" s="120">
        <f>(ALMYRA!C20*0.24)/E20</f>
        <v>0.18005523166615525</v>
      </c>
      <c r="G20" s="124">
        <f>ALMYRA!Z20</f>
        <v>50</v>
      </c>
      <c r="H20" s="125">
        <v>0.65800000000000003</v>
      </c>
      <c r="I20" s="128">
        <f>IF(ALMYRA!AB20&lt;0,"0",ALMYRA!AB20)</f>
        <v>99</v>
      </c>
      <c r="J20" s="129">
        <v>2.4</v>
      </c>
      <c r="K20" s="132">
        <f>ALMYRA!U20</f>
        <v>101</v>
      </c>
      <c r="L20" s="133">
        <v>0.88</v>
      </c>
      <c r="M20" s="136">
        <f>ALMYRA!AJ20</f>
        <v>182</v>
      </c>
      <c r="N20" s="136">
        <f>ALMYRA!AK20</f>
        <v>403</v>
      </c>
    </row>
    <row r="21" spans="1:14" ht="15" x14ac:dyDescent="0.25">
      <c r="A21" s="115" t="s">
        <v>13</v>
      </c>
      <c r="B21" s="5">
        <f t="shared" si="0"/>
        <v>20</v>
      </c>
      <c r="C21" s="139">
        <v>10</v>
      </c>
      <c r="D21" s="140">
        <v>2024</v>
      </c>
      <c r="E21" s="119">
        <f>IF(ALMYRA!H21&lt;0,"0",ALMYRA!H21)</f>
        <v>6597</v>
      </c>
      <c r="F21" s="120">
        <f>(ALMYRA!C21*0.24)/E21</f>
        <v>0.17993633469758979</v>
      </c>
      <c r="G21" s="124">
        <f>ALMYRA!Z21</f>
        <v>200</v>
      </c>
      <c r="H21" s="125">
        <v>0.65800000000000003</v>
      </c>
      <c r="I21" s="128">
        <f>IF(ALMYRA!AB21&lt;0,"0",ALMYRA!AB21)</f>
        <v>98</v>
      </c>
      <c r="J21" s="129">
        <v>2.4</v>
      </c>
      <c r="K21" s="132">
        <f>ALMYRA!U21</f>
        <v>101</v>
      </c>
      <c r="L21" s="133">
        <v>0.88</v>
      </c>
      <c r="M21" s="136">
        <f>ALMYRA!AJ21</f>
        <v>173</v>
      </c>
      <c r="N21" s="136">
        <f>ALMYRA!AK21</f>
        <v>370</v>
      </c>
    </row>
    <row r="22" spans="1:14" ht="15" x14ac:dyDescent="0.25">
      <c r="A22" s="115" t="s">
        <v>13</v>
      </c>
      <c r="B22" s="5">
        <f t="shared" si="0"/>
        <v>21</v>
      </c>
      <c r="C22" s="139">
        <v>10</v>
      </c>
      <c r="D22" s="140">
        <v>2024</v>
      </c>
      <c r="E22" s="119">
        <f>IF(ALMYRA!H22&lt;0,"0",ALMYRA!H22)</f>
        <v>5627</v>
      </c>
      <c r="F22" s="120">
        <f>(ALMYRA!C22*0.24)/E22</f>
        <v>0.16817487115692198</v>
      </c>
      <c r="G22" s="124">
        <f>ALMYRA!Z22</f>
        <v>393.56999999999971</v>
      </c>
      <c r="H22" s="125">
        <v>0.65800000000000003</v>
      </c>
      <c r="I22" s="128">
        <f>IF(ALMYRA!AB22&lt;0,"0",ALMYRA!AB22)</f>
        <v>89</v>
      </c>
      <c r="J22" s="129">
        <v>2.4</v>
      </c>
      <c r="K22" s="132">
        <f>ALMYRA!U22</f>
        <v>100</v>
      </c>
      <c r="L22" s="133">
        <v>0.88</v>
      </c>
      <c r="M22" s="136">
        <f>ALMYRA!AJ22</f>
        <v>182</v>
      </c>
      <c r="N22" s="136">
        <f>ALMYRA!AK22</f>
        <v>383</v>
      </c>
    </row>
    <row r="23" spans="1:14" ht="15" x14ac:dyDescent="0.25">
      <c r="A23" s="115" t="s">
        <v>13</v>
      </c>
      <c r="B23" s="5">
        <f t="shared" si="0"/>
        <v>22</v>
      </c>
      <c r="C23" s="139">
        <v>10</v>
      </c>
      <c r="D23" s="140">
        <v>2024</v>
      </c>
      <c r="E23" s="119">
        <f>IF(ALMYRA!H23&lt;0,"0",ALMYRA!H23)</f>
        <v>5950</v>
      </c>
      <c r="F23" s="120">
        <f>(ALMYRA!C23*0.24)/E23</f>
        <v>0.17292100840336133</v>
      </c>
      <c r="G23" s="124">
        <f>ALMYRA!Z23</f>
        <v>125</v>
      </c>
      <c r="H23" s="125">
        <v>0.65800000000000003</v>
      </c>
      <c r="I23" s="128">
        <f>IF(ALMYRA!AB23&lt;0,"0",ALMYRA!AB23)</f>
        <v>97</v>
      </c>
      <c r="J23" s="129">
        <v>2.4</v>
      </c>
      <c r="K23" s="132">
        <f>ALMYRA!U23</f>
        <v>202</v>
      </c>
      <c r="L23" s="133">
        <v>0.88</v>
      </c>
      <c r="M23" s="136">
        <f>ALMYRA!AJ23</f>
        <v>173</v>
      </c>
      <c r="N23" s="136">
        <f>ALMYRA!AK23</f>
        <v>355</v>
      </c>
    </row>
    <row r="24" spans="1:14" ht="15" x14ac:dyDescent="0.25">
      <c r="A24" s="115" t="s">
        <v>13</v>
      </c>
      <c r="B24" s="5">
        <f t="shared" si="0"/>
        <v>23</v>
      </c>
      <c r="C24" s="139">
        <v>10</v>
      </c>
      <c r="D24" s="140">
        <v>2024</v>
      </c>
      <c r="E24" s="119">
        <f>IF(ALMYRA!H24&lt;0,"0",ALMYRA!H24)</f>
        <v>6003</v>
      </c>
      <c r="F24" s="120">
        <f>(ALMYRA!C24*0.24)/E24</f>
        <v>0.17371314342828584</v>
      </c>
      <c r="G24" s="124">
        <f>ALMYRA!Z24</f>
        <v>275</v>
      </c>
      <c r="H24" s="125">
        <v>0.65800000000000003</v>
      </c>
      <c r="I24" s="128">
        <f>IF(ALMYRA!AB24&lt;0,"0",ALMYRA!AB24)</f>
        <v>109</v>
      </c>
      <c r="J24" s="129">
        <v>2.4</v>
      </c>
      <c r="K24" s="132">
        <f>ALMYRA!U24</f>
        <v>202</v>
      </c>
      <c r="L24" s="133">
        <v>0.88</v>
      </c>
      <c r="M24" s="136">
        <f>ALMYRA!AJ24</f>
        <v>184</v>
      </c>
      <c r="N24" s="136">
        <f>ALMYRA!AK24</f>
        <v>371</v>
      </c>
    </row>
    <row r="25" spans="1:14" ht="15" x14ac:dyDescent="0.25">
      <c r="A25" s="115" t="s">
        <v>13</v>
      </c>
      <c r="B25" s="5">
        <f t="shared" si="0"/>
        <v>24</v>
      </c>
      <c r="C25" s="139">
        <v>10</v>
      </c>
      <c r="D25" s="140">
        <v>2024</v>
      </c>
      <c r="E25" s="119">
        <f>IF(ALMYRA!H25&lt;0,"0",ALMYRA!H25)</f>
        <v>5862</v>
      </c>
      <c r="F25" s="120">
        <f>(ALMYRA!C25*0.24)/E25</f>
        <v>0.17285568065506651</v>
      </c>
      <c r="G25" s="124">
        <f>ALMYRA!Z25</f>
        <v>650</v>
      </c>
      <c r="H25" s="125">
        <v>0.65800000000000003</v>
      </c>
      <c r="I25" s="128">
        <f>IF(ALMYRA!AB25&lt;0,"0",ALMYRA!AB25)</f>
        <v>101</v>
      </c>
      <c r="J25" s="129">
        <v>2.4</v>
      </c>
      <c r="K25" s="132">
        <f>ALMYRA!U25</f>
        <v>100</v>
      </c>
      <c r="L25" s="133">
        <v>0.88</v>
      </c>
      <c r="M25" s="136">
        <f>ALMYRA!AJ25</f>
        <v>181</v>
      </c>
      <c r="N25" s="136">
        <f>ALMYRA!AK25</f>
        <v>362</v>
      </c>
    </row>
    <row r="26" spans="1:14" ht="15" x14ac:dyDescent="0.25">
      <c r="A26" s="115" t="s">
        <v>13</v>
      </c>
      <c r="B26" s="5">
        <f>B25+1</f>
        <v>25</v>
      </c>
      <c r="C26" s="139">
        <v>10</v>
      </c>
      <c r="D26" s="140">
        <v>2024</v>
      </c>
      <c r="E26" s="119">
        <f>IF(ALMYRA!H26&lt;0,"0",ALMYRA!H26)</f>
        <v>6071</v>
      </c>
      <c r="F26" s="120">
        <f>(ALMYRA!C26*0.24)/E26</f>
        <v>0.17643221874485257</v>
      </c>
      <c r="G26" s="124">
        <f>ALMYRA!Z26</f>
        <v>212.72000000000025</v>
      </c>
      <c r="H26" s="125">
        <v>0.65800000000000003</v>
      </c>
      <c r="I26" s="128">
        <f>IF(ALMYRA!AB26&lt;0,"0",ALMYRA!AB26)</f>
        <v>102</v>
      </c>
      <c r="J26" s="129">
        <v>2.4</v>
      </c>
      <c r="K26" s="132">
        <f>ALMYRA!U26</f>
        <v>202</v>
      </c>
      <c r="L26" s="133">
        <v>0.88</v>
      </c>
      <c r="M26" s="136">
        <f>ALMYRA!AJ26</f>
        <v>188</v>
      </c>
      <c r="N26" s="136">
        <f>ALMYRA!AK26</f>
        <v>384</v>
      </c>
    </row>
    <row r="27" spans="1:14" ht="15" x14ac:dyDescent="0.25">
      <c r="A27" s="115" t="s">
        <v>13</v>
      </c>
      <c r="B27" s="5">
        <f t="shared" si="0"/>
        <v>26</v>
      </c>
      <c r="C27" s="139">
        <v>10</v>
      </c>
      <c r="D27" s="140">
        <v>2024</v>
      </c>
      <c r="E27" s="119">
        <f>IF(ALMYRA!H27&lt;0,"0",ALMYRA!H27)</f>
        <v>5961</v>
      </c>
      <c r="F27" s="120">
        <f>(ALMYRA!C27*0.24)/E27</f>
        <v>0.17497735279315552</v>
      </c>
      <c r="G27" s="124">
        <f>ALMYRA!Z27</f>
        <v>525</v>
      </c>
      <c r="H27" s="125">
        <v>0.65800000000000003</v>
      </c>
      <c r="I27" s="128">
        <f>IF(ALMYRA!AB27&lt;0,"0",ALMYRA!AB27)</f>
        <v>89</v>
      </c>
      <c r="J27" s="129">
        <v>2.4</v>
      </c>
      <c r="K27" s="132">
        <f>ALMYRA!U27</f>
        <v>101</v>
      </c>
      <c r="L27" s="133">
        <v>0.88</v>
      </c>
      <c r="M27" s="136">
        <f>ALMYRA!AJ27</f>
        <v>185</v>
      </c>
      <c r="N27" s="136">
        <f>ALMYRA!AK27</f>
        <v>386</v>
      </c>
    </row>
    <row r="28" spans="1:14" ht="15" x14ac:dyDescent="0.25">
      <c r="A28" s="115" t="s">
        <v>13</v>
      </c>
      <c r="B28" s="5">
        <f t="shared" si="0"/>
        <v>27</v>
      </c>
      <c r="C28" s="139">
        <v>10</v>
      </c>
      <c r="D28" s="140">
        <v>2024</v>
      </c>
      <c r="E28" s="119">
        <f>IF(ALMYRA!H28&lt;0,"0",ALMYRA!H28)</f>
        <v>5943</v>
      </c>
      <c r="F28" s="120">
        <f>(ALMYRA!C28*0.24)/E28</f>
        <v>0.17522463402322058</v>
      </c>
      <c r="G28" s="124">
        <f>ALMYRA!Z28</f>
        <v>350</v>
      </c>
      <c r="H28" s="125">
        <v>0.65800000000000003</v>
      </c>
      <c r="I28" s="128">
        <f>IF(ALMYRA!AB28&lt;0,"0",ALMYRA!AB28)</f>
        <v>104</v>
      </c>
      <c r="J28" s="129">
        <v>2.4</v>
      </c>
      <c r="K28" s="132">
        <f>ALMYRA!U28</f>
        <v>201</v>
      </c>
      <c r="L28" s="133">
        <v>0.88</v>
      </c>
      <c r="M28" s="136">
        <f>ALMYRA!AJ28</f>
        <v>182</v>
      </c>
      <c r="N28" s="136">
        <f>ALMYRA!AK28</f>
        <v>370</v>
      </c>
    </row>
    <row r="29" spans="1:14" ht="15" x14ac:dyDescent="0.25">
      <c r="A29" s="115" t="s">
        <v>13</v>
      </c>
      <c r="B29" s="5">
        <f t="shared" si="0"/>
        <v>28</v>
      </c>
      <c r="C29" s="139">
        <v>10</v>
      </c>
      <c r="D29" s="140">
        <v>2024</v>
      </c>
      <c r="E29" s="119">
        <f>IF(ALMYRA!H29&lt;0,"0",ALMYRA!H29)</f>
        <v>5514</v>
      </c>
      <c r="F29" s="120">
        <f>(ALMYRA!C29*0.24)/E29</f>
        <v>0.17127312295973884</v>
      </c>
      <c r="G29" s="124">
        <f>ALMYRA!Z29</f>
        <v>250</v>
      </c>
      <c r="H29" s="125">
        <v>0.65800000000000003</v>
      </c>
      <c r="I29" s="128">
        <f>IF(ALMYRA!AB29&lt;0,"0",ALMYRA!AB29)</f>
        <v>93</v>
      </c>
      <c r="J29" s="129">
        <v>2.4</v>
      </c>
      <c r="K29" s="132">
        <f>ALMYRA!U29</f>
        <v>100</v>
      </c>
      <c r="L29" s="133">
        <v>0.88</v>
      </c>
      <c r="M29" s="136">
        <f>ALMYRA!AJ29</f>
        <v>155</v>
      </c>
      <c r="N29" s="136">
        <f>ALMYRA!AK29</f>
        <v>326</v>
      </c>
    </row>
    <row r="30" spans="1:14" ht="15" x14ac:dyDescent="0.25">
      <c r="A30" s="115" t="s">
        <v>13</v>
      </c>
      <c r="B30" s="5">
        <f t="shared" si="0"/>
        <v>29</v>
      </c>
      <c r="C30" s="139">
        <v>10</v>
      </c>
      <c r="D30" s="140">
        <v>2024</v>
      </c>
      <c r="E30" s="119">
        <f>IF(ALMYRA!H30&lt;0,"0",ALMYRA!H30)</f>
        <v>5689</v>
      </c>
      <c r="F30" s="120">
        <f>(ALMYRA!C30*0.24)/E30</f>
        <v>0.17342942520653892</v>
      </c>
      <c r="G30" s="124">
        <f>ALMYRA!Z30</f>
        <v>531.23999999999978</v>
      </c>
      <c r="H30" s="125">
        <v>0.65800000000000003</v>
      </c>
      <c r="I30" s="128">
        <f>IF(ALMYRA!AB30&lt;0,"0",ALMYRA!AB30)</f>
        <v>109</v>
      </c>
      <c r="J30" s="129">
        <v>2.4</v>
      </c>
      <c r="K30" s="132">
        <f>ALMYRA!U30</f>
        <v>201</v>
      </c>
      <c r="L30" s="133">
        <v>0.88</v>
      </c>
      <c r="M30" s="136">
        <f>ALMYRA!AJ30</f>
        <v>158</v>
      </c>
      <c r="N30" s="136">
        <f>ALMYRA!AK30</f>
        <v>331</v>
      </c>
    </row>
    <row r="31" spans="1:14" ht="15" x14ac:dyDescent="0.25">
      <c r="A31" s="115" t="s">
        <v>13</v>
      </c>
      <c r="B31" s="5">
        <f t="shared" si="0"/>
        <v>30</v>
      </c>
      <c r="C31" s="139">
        <v>10</v>
      </c>
      <c r="D31" s="140">
        <v>2024</v>
      </c>
      <c r="E31" s="119">
        <f>IF(ALMYRA!H31&lt;0,"0",ALMYRA!H31)</f>
        <v>5673</v>
      </c>
      <c r="F31" s="120">
        <f>(ALMYRA!C31*0.24)/E31</f>
        <v>0.17463775780010574</v>
      </c>
      <c r="G31" s="124">
        <f>ALMYRA!Z31</f>
        <v>375</v>
      </c>
      <c r="H31" s="125">
        <v>0.65800000000000003</v>
      </c>
      <c r="I31" s="128">
        <f>IF(ALMYRA!AB31&lt;0,"0",ALMYRA!AB31)</f>
        <v>91</v>
      </c>
      <c r="J31" s="129">
        <v>2.4</v>
      </c>
      <c r="K31" s="132">
        <f>ALMYRA!U31</f>
        <v>201</v>
      </c>
      <c r="L31" s="133">
        <v>0.88</v>
      </c>
      <c r="M31" s="136">
        <f>ALMYRA!AJ31</f>
        <v>135</v>
      </c>
      <c r="N31" s="136">
        <f>ALMYRA!AK31</f>
        <v>278</v>
      </c>
    </row>
    <row r="32" spans="1:14" ht="15" x14ac:dyDescent="0.25">
      <c r="A32" s="115" t="s">
        <v>13</v>
      </c>
      <c r="B32" s="5">
        <f t="shared" si="0"/>
        <v>31</v>
      </c>
      <c r="C32" s="139">
        <v>10</v>
      </c>
      <c r="D32" s="140">
        <v>2024</v>
      </c>
      <c r="E32" s="119">
        <f>IF(ALMYRA!H32&lt;0,"0",ALMYRA!H32)</f>
        <v>5503</v>
      </c>
      <c r="F32" s="120">
        <f>(ALMYRA!C32*0.24)/E32</f>
        <v>0.18116663638015626</v>
      </c>
      <c r="G32" s="124">
        <f>ALMYRA!Z32</f>
        <v>275</v>
      </c>
      <c r="H32" s="125">
        <v>0.65800000000000003</v>
      </c>
      <c r="I32" s="128">
        <f>IF(ALMYRA!AB32&lt;0,"0",ALMYRA!AB32)</f>
        <v>94</v>
      </c>
      <c r="J32" s="129">
        <v>2.4</v>
      </c>
      <c r="K32" s="132">
        <f>ALMYRA!U32</f>
        <v>148</v>
      </c>
      <c r="L32" s="133">
        <v>0.88</v>
      </c>
      <c r="M32" s="136">
        <f>ALMYRA!AJ32</f>
        <v>131</v>
      </c>
      <c r="N32" s="136">
        <f>ALMYRA!AK32</f>
        <v>262</v>
      </c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D39" s="141"/>
      <c r="E39" s="4"/>
      <c r="F39" s="141"/>
      <c r="G39" s="4"/>
      <c r="H39" s="142"/>
      <c r="I39" s="141"/>
      <c r="J39" s="141"/>
      <c r="K39"/>
      <c r="L39"/>
      <c r="M39" s="141"/>
      <c r="N39" s="141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141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4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I37" sqref="I37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45566</v>
      </c>
      <c r="B2" s="8">
        <v>32115761</v>
      </c>
      <c r="C2" s="16">
        <f>B3-B2</f>
        <v>5578</v>
      </c>
      <c r="D2" s="9">
        <v>935631</v>
      </c>
      <c r="E2" s="16">
        <f>D3-D2</f>
        <v>1864</v>
      </c>
      <c r="F2" s="34">
        <v>110459</v>
      </c>
      <c r="G2" s="96">
        <f>F3-F2</f>
        <v>0</v>
      </c>
      <c r="H2" s="100">
        <f>C2+E2-G2</f>
        <v>7442</v>
      </c>
      <c r="I2" s="105">
        <f>H2-K2-M2-O2-Q2</f>
        <v>6348.8225806449773</v>
      </c>
      <c r="J2" s="93">
        <v>4677477.2</v>
      </c>
      <c r="K2" s="41">
        <f>J3-J2</f>
        <v>889.20000000018626</v>
      </c>
      <c r="L2" s="14">
        <v>466448</v>
      </c>
      <c r="M2" s="41">
        <f>L3-L2</f>
        <v>23.193548387091141</v>
      </c>
      <c r="N2" s="14">
        <v>123818.3</v>
      </c>
      <c r="O2" s="41">
        <f>N3-N2</f>
        <v>70.554838709678734</v>
      </c>
      <c r="P2" s="93">
        <v>175978.9</v>
      </c>
      <c r="Q2" s="65">
        <f>P3-P2</f>
        <v>110.22903225806658</v>
      </c>
      <c r="R2" s="24">
        <f>A2</f>
        <v>45566</v>
      </c>
      <c r="S2" s="39">
        <v>9863</v>
      </c>
      <c r="T2" s="40">
        <v>0</v>
      </c>
      <c r="U2" s="41">
        <f>S2+T2-S3</f>
        <v>97</v>
      </c>
      <c r="V2" s="19">
        <v>0.81</v>
      </c>
      <c r="W2" s="48">
        <v>0.81</v>
      </c>
      <c r="X2" s="50">
        <f t="shared" ref="X2:X33" si="0">(V2*2500)+(W2*2500)</f>
        <v>4050.0000000000005</v>
      </c>
      <c r="Y2" s="49"/>
      <c r="Z2" s="41">
        <f>X2+Y2-X3</f>
        <v>200.00000000000045</v>
      </c>
      <c r="AA2" s="56">
        <v>104932</v>
      </c>
      <c r="AB2" s="41">
        <f>AA3-AA2</f>
        <v>99</v>
      </c>
      <c r="AC2" s="56">
        <v>550.29999999999995</v>
      </c>
      <c r="AD2" s="41">
        <f>AC3-AC2</f>
        <v>8.6000000000000227</v>
      </c>
      <c r="AE2" s="59">
        <v>71264</v>
      </c>
      <c r="AF2" s="41">
        <f>AE3-AE2</f>
        <v>7</v>
      </c>
      <c r="AG2" s="62">
        <v>3100</v>
      </c>
      <c r="AH2" s="73">
        <v>0</v>
      </c>
      <c r="AI2" s="41">
        <f>AG3+AH2-AG2</f>
        <v>0</v>
      </c>
      <c r="AJ2" s="12">
        <v>157</v>
      </c>
      <c r="AK2" s="22">
        <v>318</v>
      </c>
    </row>
    <row r="3" spans="1:37" x14ac:dyDescent="0.2">
      <c r="A3" s="25">
        <v>45567</v>
      </c>
      <c r="B3" s="10">
        <v>32121339</v>
      </c>
      <c r="C3" s="67">
        <f>B4-B3</f>
        <v>5265</v>
      </c>
      <c r="D3" s="11">
        <v>937495</v>
      </c>
      <c r="E3" s="17">
        <f>D4-D3</f>
        <v>2001</v>
      </c>
      <c r="F3" s="35">
        <v>110459</v>
      </c>
      <c r="G3" s="97">
        <f>F4-F3</f>
        <v>0</v>
      </c>
      <c r="H3" s="101">
        <f t="shared" ref="H3:H32" si="1">C3+E3-G3</f>
        <v>7266</v>
      </c>
      <c r="I3" s="106">
        <f t="shared" ref="I3:I32" si="2">H3-K3-M3-O3-Q3</f>
        <v>6118.0225806451635</v>
      </c>
      <c r="J3" s="94">
        <v>4678366.4000000004</v>
      </c>
      <c r="K3" s="44">
        <f>J4-J3</f>
        <v>944</v>
      </c>
      <c r="L3" s="15">
        <v>466471.19354838709</v>
      </c>
      <c r="M3" s="44">
        <f>L4-L3</f>
        <v>23.193548387091141</v>
      </c>
      <c r="N3" s="15">
        <v>123888.85483870968</v>
      </c>
      <c r="O3" s="44">
        <f>N4-N3</f>
        <v>70.554838709678734</v>
      </c>
      <c r="P3" s="94">
        <v>176089.12903225806</v>
      </c>
      <c r="Q3" s="66">
        <f>P4-P3</f>
        <v>110.22903225806658</v>
      </c>
      <c r="R3" s="25">
        <f>A3</f>
        <v>45567</v>
      </c>
      <c r="S3" s="42">
        <v>9766</v>
      </c>
      <c r="T3" s="43">
        <v>0</v>
      </c>
      <c r="U3" s="44">
        <f>S3+T3-S4</f>
        <v>195</v>
      </c>
      <c r="V3" s="20">
        <v>0.77</v>
      </c>
      <c r="W3" s="51">
        <v>0.77</v>
      </c>
      <c r="X3" s="52">
        <f t="shared" si="0"/>
        <v>3850</v>
      </c>
      <c r="Y3" s="49"/>
      <c r="Z3" s="53">
        <f t="shared" ref="Z3:Z32" si="3">X3+Y3-X4</f>
        <v>200</v>
      </c>
      <c r="AA3" s="57">
        <v>105031</v>
      </c>
      <c r="AB3" s="44">
        <f>AA4-AA3</f>
        <v>104</v>
      </c>
      <c r="AC3" s="57">
        <v>558.9</v>
      </c>
      <c r="AD3" s="44">
        <f>AC4-AC3</f>
        <v>8.3000000000000682</v>
      </c>
      <c r="AE3" s="60">
        <v>71271</v>
      </c>
      <c r="AF3" s="44">
        <f>AE4-AE3</f>
        <v>35</v>
      </c>
      <c r="AG3" s="63">
        <v>3100</v>
      </c>
      <c r="AH3" s="74">
        <v>0</v>
      </c>
      <c r="AI3" s="53">
        <f t="shared" ref="AI3:AI32" si="4">AG4+AH3-AG3</f>
        <v>0</v>
      </c>
      <c r="AJ3" s="13">
        <v>172</v>
      </c>
      <c r="AK3" s="23">
        <v>350</v>
      </c>
    </row>
    <row r="4" spans="1:37" x14ac:dyDescent="0.2">
      <c r="A4" s="25">
        <v>45568</v>
      </c>
      <c r="B4" s="10">
        <v>32126604</v>
      </c>
      <c r="C4" s="67">
        <f t="shared" ref="C4:C32" si="5">B5-B4</f>
        <v>5294</v>
      </c>
      <c r="D4" s="11">
        <v>939496</v>
      </c>
      <c r="E4" s="17">
        <f t="shared" ref="E4:E32" si="6">D5-D4</f>
        <v>1980</v>
      </c>
      <c r="F4" s="35">
        <v>110459</v>
      </c>
      <c r="G4" s="97">
        <f t="shared" ref="G4:G32" si="7">F5-F4</f>
        <v>0</v>
      </c>
      <c r="H4" s="101">
        <f t="shared" si="1"/>
        <v>7274</v>
      </c>
      <c r="I4" s="106">
        <f t="shared" si="2"/>
        <v>6176.0225806454109</v>
      </c>
      <c r="J4" s="94">
        <v>4679310.4000000004</v>
      </c>
      <c r="K4" s="44">
        <f t="shared" ref="K4:K32" si="8">J5-J4</f>
        <v>894</v>
      </c>
      <c r="L4" s="15">
        <v>466494.38709677418</v>
      </c>
      <c r="M4" s="44">
        <f t="shared" ref="M4:M12" si="9">L5-L4</f>
        <v>23.193548387091141</v>
      </c>
      <c r="N4" s="15">
        <v>123959.40967741936</v>
      </c>
      <c r="O4" s="44">
        <f t="shared" ref="O4:O32" si="10">N5-N4</f>
        <v>70.554838709635078</v>
      </c>
      <c r="P4" s="94">
        <v>176199.35806451613</v>
      </c>
      <c r="Q4" s="66">
        <f t="shared" ref="Q4:Q32" si="11">P5-P4</f>
        <v>110.22903225786285</v>
      </c>
      <c r="R4" s="25">
        <f t="shared" ref="R4:R32" si="12">A4</f>
        <v>45568</v>
      </c>
      <c r="S4" s="42">
        <v>9571</v>
      </c>
      <c r="T4" s="43">
        <v>0</v>
      </c>
      <c r="U4" s="44">
        <f t="shared" ref="U4:U32" si="13">S4+T4-S5</f>
        <v>98</v>
      </c>
      <c r="V4" s="20">
        <v>0.74</v>
      </c>
      <c r="W4" s="51">
        <v>0.72</v>
      </c>
      <c r="X4" s="52">
        <f t="shared" si="0"/>
        <v>3650</v>
      </c>
      <c r="Y4" s="49"/>
      <c r="Z4" s="53">
        <f t="shared" si="3"/>
        <v>100</v>
      </c>
      <c r="AA4" s="57">
        <v>105135</v>
      </c>
      <c r="AB4" s="44">
        <f t="shared" ref="AB4:AB32" si="14">AA5-AA4</f>
        <v>101</v>
      </c>
      <c r="AC4" s="57">
        <v>567.20000000000005</v>
      </c>
      <c r="AD4" s="44">
        <f t="shared" ref="AD4:AD32" si="15">AC5-AC4</f>
        <v>5.5</v>
      </c>
      <c r="AE4" s="60">
        <v>71306</v>
      </c>
      <c r="AF4" s="44">
        <f t="shared" ref="AF4:AF32" si="16">AE5-AE4</f>
        <v>56</v>
      </c>
      <c r="AG4" s="63">
        <v>3100</v>
      </c>
      <c r="AH4" s="74">
        <v>0</v>
      </c>
      <c r="AI4" s="53">
        <f t="shared" si="4"/>
        <v>0</v>
      </c>
      <c r="AJ4" s="13">
        <v>176</v>
      </c>
      <c r="AK4" s="23">
        <v>355</v>
      </c>
    </row>
    <row r="5" spans="1:37" x14ac:dyDescent="0.2">
      <c r="A5" s="25">
        <v>45569</v>
      </c>
      <c r="B5" s="10">
        <v>32131898</v>
      </c>
      <c r="C5" s="67">
        <f t="shared" si="5"/>
        <v>5108</v>
      </c>
      <c r="D5" s="11">
        <v>941476</v>
      </c>
      <c r="E5" s="17">
        <f t="shared" si="6"/>
        <v>1964</v>
      </c>
      <c r="F5" s="35">
        <v>110459</v>
      </c>
      <c r="G5" s="97">
        <f t="shared" si="7"/>
        <v>1</v>
      </c>
      <c r="H5" s="101">
        <f t="shared" si="1"/>
        <v>7071</v>
      </c>
      <c r="I5" s="106">
        <f t="shared" si="2"/>
        <v>5929.0225806452509</v>
      </c>
      <c r="J5" s="94">
        <v>4680204.4000000004</v>
      </c>
      <c r="K5" s="44">
        <f t="shared" si="8"/>
        <v>938</v>
      </c>
      <c r="L5" s="15">
        <v>466517.58064516127</v>
      </c>
      <c r="M5" s="44">
        <f t="shared" si="9"/>
        <v>23.193548386741895</v>
      </c>
      <c r="N5" s="15">
        <v>124029.964516129</v>
      </c>
      <c r="O5" s="44">
        <f t="shared" si="10"/>
        <v>70.554838709998876</v>
      </c>
      <c r="P5" s="94">
        <v>176309.58709677399</v>
      </c>
      <c r="Q5" s="66">
        <f t="shared" si="11"/>
        <v>110.22903225800837</v>
      </c>
      <c r="R5" s="25">
        <f t="shared" si="12"/>
        <v>45569</v>
      </c>
      <c r="S5" s="42">
        <v>9473</v>
      </c>
      <c r="T5" s="43">
        <v>0</v>
      </c>
      <c r="U5" s="44">
        <f t="shared" si="13"/>
        <v>103</v>
      </c>
      <c r="V5" s="20">
        <v>0.7</v>
      </c>
      <c r="W5" s="51">
        <v>0.72</v>
      </c>
      <c r="X5" s="52">
        <f t="shared" si="0"/>
        <v>3550</v>
      </c>
      <c r="Y5" s="49"/>
      <c r="Z5" s="53">
        <f t="shared" si="3"/>
        <v>225</v>
      </c>
      <c r="AA5" s="57">
        <v>105236</v>
      </c>
      <c r="AB5" s="44">
        <f t="shared" si="14"/>
        <v>93</v>
      </c>
      <c r="AC5" s="57">
        <v>572.70000000000005</v>
      </c>
      <c r="AD5" s="44">
        <f t="shared" si="15"/>
        <v>9.6999999999999318</v>
      </c>
      <c r="AE5" s="60">
        <v>71362</v>
      </c>
      <c r="AF5" s="44">
        <f t="shared" si="16"/>
        <v>34</v>
      </c>
      <c r="AG5" s="63">
        <v>3100</v>
      </c>
      <c r="AH5" s="74">
        <v>0</v>
      </c>
      <c r="AI5" s="53">
        <f t="shared" si="4"/>
        <v>0</v>
      </c>
      <c r="AJ5" s="13">
        <v>169</v>
      </c>
      <c r="AK5" s="23">
        <v>345</v>
      </c>
    </row>
    <row r="6" spans="1:37" x14ac:dyDescent="0.2">
      <c r="A6" s="25">
        <v>45570</v>
      </c>
      <c r="B6" s="10">
        <v>32137006</v>
      </c>
      <c r="C6" s="67">
        <f t="shared" si="5"/>
        <v>5241</v>
      </c>
      <c r="D6" s="11">
        <v>943440</v>
      </c>
      <c r="E6" s="17">
        <f t="shared" si="6"/>
        <v>1942</v>
      </c>
      <c r="F6" s="35">
        <v>110460</v>
      </c>
      <c r="G6" s="97">
        <f t="shared" si="7"/>
        <v>0</v>
      </c>
      <c r="H6" s="101">
        <f t="shared" si="1"/>
        <v>7183</v>
      </c>
      <c r="I6" s="106">
        <f t="shared" si="2"/>
        <v>6017.0225806460076</v>
      </c>
      <c r="J6" s="94">
        <v>4681142.4000000004</v>
      </c>
      <c r="K6" s="44">
        <f t="shared" si="8"/>
        <v>962</v>
      </c>
      <c r="L6" s="15">
        <v>466540.77419354802</v>
      </c>
      <c r="M6" s="44">
        <f>L7-L6</f>
        <v>23.193548386974726</v>
      </c>
      <c r="N6" s="15">
        <v>124100.51935483899</v>
      </c>
      <c r="O6" s="44">
        <f t="shared" si="10"/>
        <v>70.554838709009346</v>
      </c>
      <c r="P6" s="94">
        <v>176419.816129032</v>
      </c>
      <c r="Q6" s="66">
        <f t="shared" si="11"/>
        <v>110.22903225800837</v>
      </c>
      <c r="R6" s="25">
        <f t="shared" si="12"/>
        <v>45570</v>
      </c>
      <c r="S6" s="42">
        <v>9370</v>
      </c>
      <c r="T6" s="43">
        <v>0</v>
      </c>
      <c r="U6" s="44">
        <f t="shared" si="13"/>
        <v>94</v>
      </c>
      <c r="V6" s="20">
        <v>0.66</v>
      </c>
      <c r="W6" s="51">
        <v>0.67</v>
      </c>
      <c r="X6" s="52">
        <f t="shared" si="0"/>
        <v>3325</v>
      </c>
      <c r="Y6" s="49"/>
      <c r="Z6" s="53">
        <f t="shared" si="3"/>
        <v>100</v>
      </c>
      <c r="AA6" s="57">
        <v>105329</v>
      </c>
      <c r="AB6" s="44">
        <f t="shared" si="14"/>
        <v>86</v>
      </c>
      <c r="AC6" s="57">
        <v>582.4</v>
      </c>
      <c r="AD6" s="44">
        <f t="shared" si="15"/>
        <v>10.399999999999977</v>
      </c>
      <c r="AE6" s="60">
        <v>71396</v>
      </c>
      <c r="AF6" s="44">
        <f t="shared" si="16"/>
        <v>0</v>
      </c>
      <c r="AG6" s="63">
        <v>3100</v>
      </c>
      <c r="AH6" s="74">
        <v>0</v>
      </c>
      <c r="AI6" s="53">
        <f t="shared" si="4"/>
        <v>0</v>
      </c>
      <c r="AJ6" s="13">
        <v>179</v>
      </c>
      <c r="AK6" s="23">
        <v>357</v>
      </c>
    </row>
    <row r="7" spans="1:37" x14ac:dyDescent="0.2">
      <c r="A7" s="25">
        <v>45571</v>
      </c>
      <c r="B7" s="10">
        <v>32142247</v>
      </c>
      <c r="C7" s="67">
        <f t="shared" si="5"/>
        <v>5389</v>
      </c>
      <c r="D7" s="11">
        <v>945382</v>
      </c>
      <c r="E7" s="17">
        <f t="shared" si="6"/>
        <v>1918</v>
      </c>
      <c r="F7" s="35">
        <v>110460</v>
      </c>
      <c r="G7" s="97">
        <f t="shared" si="7"/>
        <v>1</v>
      </c>
      <c r="H7" s="101">
        <f t="shared" si="1"/>
        <v>7306</v>
      </c>
      <c r="I7" s="106">
        <f t="shared" si="2"/>
        <v>6185.2225806441857</v>
      </c>
      <c r="J7" s="94">
        <v>4682104.4000000004</v>
      </c>
      <c r="K7" s="44">
        <f t="shared" si="8"/>
        <v>916.79999999981374</v>
      </c>
      <c r="L7" s="15">
        <v>466563.96774193499</v>
      </c>
      <c r="M7" s="44">
        <f>L8-L7</f>
        <v>23.193548388022464</v>
      </c>
      <c r="N7" s="15">
        <v>124171.074193548</v>
      </c>
      <c r="O7" s="44">
        <f t="shared" si="10"/>
        <v>70.554838709998876</v>
      </c>
      <c r="P7" s="94">
        <v>176530.04516129001</v>
      </c>
      <c r="Q7" s="66">
        <f t="shared" si="11"/>
        <v>110.22903225797927</v>
      </c>
      <c r="R7" s="25">
        <f t="shared" si="12"/>
        <v>45571</v>
      </c>
      <c r="S7" s="42">
        <v>9276</v>
      </c>
      <c r="T7" s="43">
        <v>0</v>
      </c>
      <c r="U7" s="44">
        <f t="shared" si="13"/>
        <v>98</v>
      </c>
      <c r="V7" s="20">
        <v>0.65</v>
      </c>
      <c r="W7" s="51">
        <v>0.64</v>
      </c>
      <c r="X7" s="52">
        <f t="shared" si="0"/>
        <v>3225</v>
      </c>
      <c r="Y7" s="49"/>
      <c r="Z7" s="53">
        <f t="shared" si="3"/>
        <v>150</v>
      </c>
      <c r="AA7" s="57">
        <v>105415</v>
      </c>
      <c r="AB7" s="44">
        <f t="shared" si="14"/>
        <v>89</v>
      </c>
      <c r="AC7" s="57">
        <v>592.79999999999995</v>
      </c>
      <c r="AD7" s="44">
        <f t="shared" si="15"/>
        <v>5.5</v>
      </c>
      <c r="AE7" s="60">
        <v>71396</v>
      </c>
      <c r="AF7" s="44">
        <f t="shared" si="16"/>
        <v>81</v>
      </c>
      <c r="AG7" s="63">
        <v>3100</v>
      </c>
      <c r="AH7" s="74">
        <v>0</v>
      </c>
      <c r="AI7" s="53">
        <f t="shared" si="4"/>
        <v>0</v>
      </c>
      <c r="AJ7" s="13">
        <v>161</v>
      </c>
      <c r="AK7" s="23">
        <v>305</v>
      </c>
    </row>
    <row r="8" spans="1:37" x14ac:dyDescent="0.2">
      <c r="A8" s="25">
        <v>45572</v>
      </c>
      <c r="B8" s="10">
        <v>32147636</v>
      </c>
      <c r="C8" s="67">
        <f t="shared" si="5"/>
        <v>5206</v>
      </c>
      <c r="D8" s="11">
        <v>947300</v>
      </c>
      <c r="E8" s="17">
        <f t="shared" si="6"/>
        <v>1865</v>
      </c>
      <c r="F8" s="35">
        <v>110461</v>
      </c>
      <c r="G8" s="97">
        <f t="shared" si="7"/>
        <v>0</v>
      </c>
      <c r="H8" s="101">
        <f t="shared" si="1"/>
        <v>7071</v>
      </c>
      <c r="I8" s="106">
        <f t="shared" si="2"/>
        <v>5935.8225806448318</v>
      </c>
      <c r="J8" s="94">
        <v>4683021.2</v>
      </c>
      <c r="K8" s="44">
        <f t="shared" si="8"/>
        <v>931.20000000018626</v>
      </c>
      <c r="L8" s="15">
        <v>466587.16129032301</v>
      </c>
      <c r="M8" s="44">
        <f>L9-L8</f>
        <v>23.193548386974726</v>
      </c>
      <c r="N8" s="15">
        <v>124241.629032258</v>
      </c>
      <c r="O8" s="44">
        <f t="shared" si="10"/>
        <v>70.554838709998876</v>
      </c>
      <c r="P8" s="94">
        <v>176640.27419354799</v>
      </c>
      <c r="Q8" s="66">
        <f t="shared" si="11"/>
        <v>110.22903225800837</v>
      </c>
      <c r="R8" s="25">
        <f t="shared" si="12"/>
        <v>45572</v>
      </c>
      <c r="S8" s="42">
        <v>9178</v>
      </c>
      <c r="T8" s="43">
        <v>0</v>
      </c>
      <c r="U8" s="44">
        <f t="shared" si="13"/>
        <v>99</v>
      </c>
      <c r="V8" s="20">
        <v>0.6</v>
      </c>
      <c r="W8" s="51">
        <v>0.63</v>
      </c>
      <c r="X8" s="52">
        <f t="shared" si="0"/>
        <v>3075</v>
      </c>
      <c r="Y8" s="49">
        <v>1141.8499999999999</v>
      </c>
      <c r="Z8" s="53">
        <f t="shared" si="3"/>
        <v>241.85000000000036</v>
      </c>
      <c r="AA8" s="57">
        <v>105504</v>
      </c>
      <c r="AB8" s="44">
        <f t="shared" si="14"/>
        <v>77</v>
      </c>
      <c r="AC8" s="57">
        <v>598.29999999999995</v>
      </c>
      <c r="AD8" s="44">
        <f t="shared" si="15"/>
        <v>9.3000000000000682</v>
      </c>
      <c r="AE8" s="60">
        <v>71477</v>
      </c>
      <c r="AF8" s="44">
        <f t="shared" si="16"/>
        <v>47</v>
      </c>
      <c r="AG8" s="63">
        <v>3100</v>
      </c>
      <c r="AH8" s="74">
        <v>0</v>
      </c>
      <c r="AI8" s="53">
        <f t="shared" si="4"/>
        <v>0</v>
      </c>
      <c r="AJ8" s="13">
        <v>129</v>
      </c>
      <c r="AK8" s="23">
        <v>250</v>
      </c>
    </row>
    <row r="9" spans="1:37" x14ac:dyDescent="0.2">
      <c r="A9" s="25">
        <v>45573</v>
      </c>
      <c r="B9" s="10">
        <v>32152842</v>
      </c>
      <c r="C9" s="67">
        <f t="shared" si="5"/>
        <v>5070</v>
      </c>
      <c r="D9" s="11">
        <v>949165</v>
      </c>
      <c r="E9" s="17">
        <f t="shared" si="6"/>
        <v>1887</v>
      </c>
      <c r="F9" s="35">
        <v>110461</v>
      </c>
      <c r="G9" s="97">
        <f t="shared" si="7"/>
        <v>0</v>
      </c>
      <c r="H9" s="101">
        <f t="shared" si="1"/>
        <v>6957</v>
      </c>
      <c r="I9" s="106">
        <f t="shared" si="2"/>
        <v>5880.2225806451606</v>
      </c>
      <c r="J9" s="94">
        <v>4683952.4000000004</v>
      </c>
      <c r="K9" s="44">
        <f t="shared" si="8"/>
        <v>872.79999999981374</v>
      </c>
      <c r="L9" s="15">
        <v>466610.35483870999</v>
      </c>
      <c r="M9" s="44">
        <f t="shared" si="9"/>
        <v>23.193548387032934</v>
      </c>
      <c r="N9" s="15">
        <v>124312.183870968</v>
      </c>
      <c r="O9" s="44">
        <f t="shared" si="10"/>
        <v>70.554838708994794</v>
      </c>
      <c r="P9" s="94">
        <v>176750.50322580599</v>
      </c>
      <c r="Q9" s="66">
        <f t="shared" si="11"/>
        <v>110.2290322589979</v>
      </c>
      <c r="R9" s="25">
        <f t="shared" si="12"/>
        <v>45573</v>
      </c>
      <c r="S9" s="42">
        <v>9079</v>
      </c>
      <c r="T9" s="43">
        <v>0</v>
      </c>
      <c r="U9" s="44">
        <f t="shared" si="13"/>
        <v>99</v>
      </c>
      <c r="V9" s="20">
        <v>0.79</v>
      </c>
      <c r="W9" s="51">
        <v>0.8</v>
      </c>
      <c r="X9" s="52">
        <f t="shared" si="0"/>
        <v>3975</v>
      </c>
      <c r="Y9" s="49"/>
      <c r="Z9" s="53">
        <f t="shared" si="3"/>
        <v>275</v>
      </c>
      <c r="AA9" s="57">
        <v>105581</v>
      </c>
      <c r="AB9" s="44">
        <f t="shared" si="14"/>
        <v>76</v>
      </c>
      <c r="AC9" s="57">
        <v>607.6</v>
      </c>
      <c r="AD9" s="44">
        <f t="shared" si="15"/>
        <v>7.5</v>
      </c>
      <c r="AE9" s="60">
        <v>71524</v>
      </c>
      <c r="AF9" s="44">
        <f t="shared" si="16"/>
        <v>38</v>
      </c>
      <c r="AG9" s="63">
        <v>3100</v>
      </c>
      <c r="AH9" s="74">
        <v>0</v>
      </c>
      <c r="AI9" s="53">
        <f t="shared" si="4"/>
        <v>0</v>
      </c>
      <c r="AJ9" s="13">
        <v>123</v>
      </c>
      <c r="AK9" s="23">
        <v>240</v>
      </c>
    </row>
    <row r="10" spans="1:37" x14ac:dyDescent="0.2">
      <c r="A10" s="25">
        <v>45574</v>
      </c>
      <c r="B10" s="10">
        <v>32157912</v>
      </c>
      <c r="C10" s="67">
        <f t="shared" si="5"/>
        <v>4932</v>
      </c>
      <c r="D10" s="11">
        <v>951052</v>
      </c>
      <c r="E10" s="17">
        <f t="shared" si="6"/>
        <v>1867</v>
      </c>
      <c r="F10" s="35">
        <v>110461</v>
      </c>
      <c r="G10" s="97">
        <f t="shared" si="7"/>
        <v>0</v>
      </c>
      <c r="H10" s="101">
        <f t="shared" si="1"/>
        <v>6799</v>
      </c>
      <c r="I10" s="106">
        <f t="shared" si="2"/>
        <v>5711.8225806448318</v>
      </c>
      <c r="J10" s="94">
        <v>4684825.2</v>
      </c>
      <c r="K10" s="44">
        <f t="shared" si="8"/>
        <v>883.20000000018626</v>
      </c>
      <c r="L10" s="15">
        <v>466633.54838709702</v>
      </c>
      <c r="M10" s="44">
        <f t="shared" si="9"/>
        <v>23.193548386974726</v>
      </c>
      <c r="N10" s="15">
        <v>124382.738709677</v>
      </c>
      <c r="O10" s="44">
        <f t="shared" si="10"/>
        <v>70.554838709998876</v>
      </c>
      <c r="P10" s="94">
        <v>176860.73225806499</v>
      </c>
      <c r="Q10" s="66">
        <f t="shared" si="11"/>
        <v>110.22903225800837</v>
      </c>
      <c r="R10" s="25">
        <f t="shared" si="12"/>
        <v>45574</v>
      </c>
      <c r="S10" s="42">
        <v>8980</v>
      </c>
      <c r="T10" s="43">
        <v>0</v>
      </c>
      <c r="U10" s="44">
        <f t="shared" si="13"/>
        <v>100</v>
      </c>
      <c r="V10" s="20">
        <v>0.73</v>
      </c>
      <c r="W10" s="51">
        <v>0.75</v>
      </c>
      <c r="X10" s="52">
        <f t="shared" si="0"/>
        <v>3700</v>
      </c>
      <c r="Y10" s="49"/>
      <c r="Z10" s="53">
        <f t="shared" si="3"/>
        <v>25</v>
      </c>
      <c r="AA10" s="57">
        <v>105657</v>
      </c>
      <c r="AB10" s="44">
        <f t="shared" si="14"/>
        <v>73</v>
      </c>
      <c r="AC10" s="57">
        <v>615.1</v>
      </c>
      <c r="AD10" s="44">
        <f t="shared" si="15"/>
        <v>8.1999999999999318</v>
      </c>
      <c r="AE10" s="60">
        <v>71562</v>
      </c>
      <c r="AF10" s="44">
        <f t="shared" si="16"/>
        <v>31</v>
      </c>
      <c r="AG10" s="63">
        <v>3100</v>
      </c>
      <c r="AH10" s="74">
        <v>0</v>
      </c>
      <c r="AI10" s="53">
        <f t="shared" si="4"/>
        <v>0</v>
      </c>
      <c r="AJ10" s="13">
        <v>143</v>
      </c>
      <c r="AK10" s="23">
        <v>275</v>
      </c>
    </row>
    <row r="11" spans="1:37" x14ac:dyDescent="0.2">
      <c r="A11" s="25">
        <v>45575</v>
      </c>
      <c r="B11" s="10">
        <v>32162844</v>
      </c>
      <c r="C11" s="67">
        <f t="shared" si="5"/>
        <v>5163</v>
      </c>
      <c r="D11" s="11">
        <v>952919</v>
      </c>
      <c r="E11" s="17">
        <f t="shared" si="6"/>
        <v>1795</v>
      </c>
      <c r="F11" s="35">
        <v>110461</v>
      </c>
      <c r="G11" s="97">
        <f t="shared" si="7"/>
        <v>0</v>
      </c>
      <c r="H11" s="101">
        <f t="shared" si="1"/>
        <v>6958</v>
      </c>
      <c r="I11" s="106">
        <f t="shared" si="2"/>
        <v>5846.8225806457049</v>
      </c>
      <c r="J11" s="94">
        <v>4685708.4000000004</v>
      </c>
      <c r="K11" s="44">
        <f t="shared" si="8"/>
        <v>907.19999999925494</v>
      </c>
      <c r="L11" s="15">
        <v>466656.74193548399</v>
      </c>
      <c r="M11" s="44">
        <f t="shared" si="9"/>
        <v>23.193548387032934</v>
      </c>
      <c r="N11" s="15">
        <v>124453.293548387</v>
      </c>
      <c r="O11" s="44">
        <f t="shared" si="10"/>
        <v>70.554838709998876</v>
      </c>
      <c r="P11" s="94">
        <v>176970.961290323</v>
      </c>
      <c r="Q11" s="66">
        <f t="shared" si="11"/>
        <v>110.22903225800837</v>
      </c>
      <c r="R11" s="25">
        <f t="shared" si="12"/>
        <v>45575</v>
      </c>
      <c r="S11" s="42">
        <v>8880</v>
      </c>
      <c r="T11" s="43">
        <v>0</v>
      </c>
      <c r="U11" s="44">
        <f t="shared" si="13"/>
        <v>199</v>
      </c>
      <c r="V11" s="20">
        <v>0.72</v>
      </c>
      <c r="W11" s="51">
        <v>0.75</v>
      </c>
      <c r="X11" s="52">
        <f t="shared" si="0"/>
        <v>3675</v>
      </c>
      <c r="Y11" s="49"/>
      <c r="Z11" s="53">
        <f t="shared" si="3"/>
        <v>150</v>
      </c>
      <c r="AA11" s="57">
        <v>105730</v>
      </c>
      <c r="AB11" s="44">
        <f t="shared" si="14"/>
        <v>77</v>
      </c>
      <c r="AC11" s="57">
        <v>623.29999999999995</v>
      </c>
      <c r="AD11" s="44">
        <f t="shared" si="15"/>
        <v>9.2000000000000455</v>
      </c>
      <c r="AE11" s="60">
        <v>71593</v>
      </c>
      <c r="AF11" s="44">
        <f t="shared" si="16"/>
        <v>45</v>
      </c>
      <c r="AG11" s="63">
        <v>3100</v>
      </c>
      <c r="AH11" s="74">
        <v>0</v>
      </c>
      <c r="AI11" s="53">
        <f t="shared" si="4"/>
        <v>0</v>
      </c>
      <c r="AJ11" s="13">
        <v>145</v>
      </c>
      <c r="AK11" s="23">
        <v>265</v>
      </c>
    </row>
    <row r="12" spans="1:37" x14ac:dyDescent="0.2">
      <c r="A12" s="25">
        <v>45576</v>
      </c>
      <c r="B12" s="10">
        <v>32168007</v>
      </c>
      <c r="C12" s="67">
        <f t="shared" si="5"/>
        <v>5618</v>
      </c>
      <c r="D12" s="11">
        <v>954714</v>
      </c>
      <c r="E12" s="17">
        <f t="shared" si="6"/>
        <v>1395</v>
      </c>
      <c r="F12" s="35">
        <v>110461</v>
      </c>
      <c r="G12" s="97">
        <f t="shared" si="7"/>
        <v>0</v>
      </c>
      <c r="H12" s="101">
        <f t="shared" si="1"/>
        <v>7013</v>
      </c>
      <c r="I12" s="106">
        <f t="shared" si="2"/>
        <v>5957.8225806458504</v>
      </c>
      <c r="J12" s="94">
        <v>4686615.5999999996</v>
      </c>
      <c r="K12" s="44">
        <f t="shared" si="8"/>
        <v>851.20000000018626</v>
      </c>
      <c r="L12" s="15">
        <v>466679.93548387103</v>
      </c>
      <c r="M12" s="44">
        <f t="shared" si="9"/>
        <v>23.193548386974726</v>
      </c>
      <c r="N12" s="15">
        <v>124523.84838709699</v>
      </c>
      <c r="O12" s="44">
        <f t="shared" si="10"/>
        <v>70.554838709009346</v>
      </c>
      <c r="P12" s="94">
        <v>177081.19032258101</v>
      </c>
      <c r="Q12" s="66">
        <f t="shared" si="11"/>
        <v>110.22903225797927</v>
      </c>
      <c r="R12" s="25">
        <f t="shared" si="12"/>
        <v>45576</v>
      </c>
      <c r="S12" s="42">
        <v>8681</v>
      </c>
      <c r="T12" s="43">
        <v>0</v>
      </c>
      <c r="U12" s="44">
        <f t="shared" si="13"/>
        <v>100</v>
      </c>
      <c r="V12" s="20">
        <v>0.71</v>
      </c>
      <c r="W12" s="51">
        <v>0.7</v>
      </c>
      <c r="X12" s="52">
        <f t="shared" si="0"/>
        <v>3525</v>
      </c>
      <c r="Y12" s="49"/>
      <c r="Z12" s="53">
        <f t="shared" si="3"/>
        <v>150</v>
      </c>
      <c r="AA12" s="57">
        <v>105807</v>
      </c>
      <c r="AB12" s="44">
        <f t="shared" si="14"/>
        <v>88</v>
      </c>
      <c r="AC12" s="57">
        <v>632.5</v>
      </c>
      <c r="AD12" s="44">
        <f t="shared" si="15"/>
        <v>10.700000000000045</v>
      </c>
      <c r="AE12" s="60">
        <v>71638</v>
      </c>
      <c r="AF12" s="44">
        <f t="shared" si="16"/>
        <v>25</v>
      </c>
      <c r="AG12" s="63">
        <v>3100</v>
      </c>
      <c r="AH12" s="74">
        <v>0</v>
      </c>
      <c r="AI12" s="53">
        <f t="shared" si="4"/>
        <v>0</v>
      </c>
      <c r="AJ12" s="13">
        <v>167</v>
      </c>
      <c r="AK12" s="23">
        <v>322</v>
      </c>
    </row>
    <row r="13" spans="1:37" x14ac:dyDescent="0.2">
      <c r="A13" s="25">
        <v>45577</v>
      </c>
      <c r="B13" s="10">
        <v>32173625</v>
      </c>
      <c r="C13" s="67">
        <f t="shared" si="5"/>
        <v>5342</v>
      </c>
      <c r="D13" s="11">
        <v>956109</v>
      </c>
      <c r="E13" s="17">
        <f t="shared" si="6"/>
        <v>1726</v>
      </c>
      <c r="F13" s="35">
        <v>110461</v>
      </c>
      <c r="G13" s="97">
        <f t="shared" si="7"/>
        <v>0</v>
      </c>
      <c r="H13" s="101">
        <f t="shared" si="1"/>
        <v>7068</v>
      </c>
      <c r="I13" s="106">
        <f t="shared" si="2"/>
        <v>6010.4225806444592</v>
      </c>
      <c r="J13" s="94">
        <v>4687466.8</v>
      </c>
      <c r="K13" s="44">
        <f t="shared" si="8"/>
        <v>853.60000000055879</v>
      </c>
      <c r="L13" s="15">
        <v>466703.129032258</v>
      </c>
      <c r="M13" s="44">
        <f>L14-L13</f>
        <v>23.193548386974726</v>
      </c>
      <c r="N13" s="15">
        <v>124594.403225806</v>
      </c>
      <c r="O13" s="44">
        <f t="shared" si="10"/>
        <v>70.554838709998876</v>
      </c>
      <c r="P13" s="94">
        <v>177191.41935483899</v>
      </c>
      <c r="Q13" s="66">
        <f t="shared" si="11"/>
        <v>110.22903225800837</v>
      </c>
      <c r="R13" s="25">
        <f t="shared" si="12"/>
        <v>45577</v>
      </c>
      <c r="S13" s="42">
        <v>8581</v>
      </c>
      <c r="T13" s="43">
        <v>0</v>
      </c>
      <c r="U13" s="44">
        <f t="shared" si="13"/>
        <v>50</v>
      </c>
      <c r="V13" s="20">
        <v>0.66</v>
      </c>
      <c r="W13" s="51">
        <v>0.69</v>
      </c>
      <c r="X13" s="52">
        <f t="shared" si="0"/>
        <v>3375</v>
      </c>
      <c r="Y13" s="49"/>
      <c r="Z13" s="53">
        <f t="shared" si="3"/>
        <v>150</v>
      </c>
      <c r="AA13" s="57">
        <v>105895</v>
      </c>
      <c r="AB13" s="44">
        <f t="shared" si="14"/>
        <v>86</v>
      </c>
      <c r="AC13" s="57">
        <v>643.20000000000005</v>
      </c>
      <c r="AD13" s="44">
        <f t="shared" si="15"/>
        <v>5.3999999999999773</v>
      </c>
      <c r="AE13" s="60">
        <v>71663</v>
      </c>
      <c r="AF13" s="44">
        <f t="shared" si="16"/>
        <v>3</v>
      </c>
      <c r="AG13" s="63">
        <v>3100</v>
      </c>
      <c r="AH13" s="74">
        <v>0</v>
      </c>
      <c r="AI13" s="53">
        <f t="shared" si="4"/>
        <v>0</v>
      </c>
      <c r="AJ13" s="13">
        <v>171</v>
      </c>
      <c r="AK13" s="23">
        <v>323</v>
      </c>
    </row>
    <row r="14" spans="1:37" x14ac:dyDescent="0.2">
      <c r="A14" s="25">
        <v>45578</v>
      </c>
      <c r="B14" s="10">
        <v>32178967</v>
      </c>
      <c r="C14" s="67">
        <f t="shared" si="5"/>
        <v>5298</v>
      </c>
      <c r="D14" s="11">
        <v>957835</v>
      </c>
      <c r="E14" s="17">
        <f t="shared" si="6"/>
        <v>1605</v>
      </c>
      <c r="F14" s="35">
        <v>110461</v>
      </c>
      <c r="G14" s="97">
        <f t="shared" si="7"/>
        <v>0</v>
      </c>
      <c r="H14" s="101">
        <f t="shared" si="1"/>
        <v>6903</v>
      </c>
      <c r="I14" s="106">
        <f t="shared" si="2"/>
        <v>5757.0225806449598</v>
      </c>
      <c r="J14" s="94">
        <v>4688320.4000000004</v>
      </c>
      <c r="K14" s="44">
        <f t="shared" si="8"/>
        <v>942</v>
      </c>
      <c r="L14" s="15">
        <v>466726.32258064498</v>
      </c>
      <c r="M14" s="44">
        <f>L15-L14</f>
        <v>23.193548387032934</v>
      </c>
      <c r="N14" s="15">
        <v>124664.958064516</v>
      </c>
      <c r="O14" s="44">
        <f t="shared" si="10"/>
        <v>70.554838709998876</v>
      </c>
      <c r="P14" s="94">
        <v>177301.648387097</v>
      </c>
      <c r="Q14" s="66">
        <f t="shared" si="11"/>
        <v>110.22903225800837</v>
      </c>
      <c r="R14" s="25">
        <f t="shared" si="12"/>
        <v>45578</v>
      </c>
      <c r="S14" s="42">
        <v>8531</v>
      </c>
      <c r="T14" s="43">
        <v>0</v>
      </c>
      <c r="U14" s="44">
        <f t="shared" si="13"/>
        <v>150</v>
      </c>
      <c r="V14" s="20">
        <v>0.64</v>
      </c>
      <c r="W14" s="51">
        <v>0.65</v>
      </c>
      <c r="X14" s="52">
        <f t="shared" si="0"/>
        <v>3225</v>
      </c>
      <c r="Y14" s="49"/>
      <c r="Z14" s="53">
        <f t="shared" si="3"/>
        <v>100</v>
      </c>
      <c r="AA14" s="57">
        <v>105981</v>
      </c>
      <c r="AB14" s="44">
        <f t="shared" si="14"/>
        <v>87</v>
      </c>
      <c r="AC14" s="57">
        <v>648.6</v>
      </c>
      <c r="AD14" s="44">
        <f t="shared" si="15"/>
        <v>9.6999999999999318</v>
      </c>
      <c r="AE14" s="60">
        <v>71666</v>
      </c>
      <c r="AF14" s="44">
        <f t="shared" si="16"/>
        <v>40</v>
      </c>
      <c r="AG14" s="63">
        <v>3100</v>
      </c>
      <c r="AH14" s="74">
        <v>0</v>
      </c>
      <c r="AI14" s="53">
        <f t="shared" si="4"/>
        <v>0</v>
      </c>
      <c r="AJ14" s="13">
        <v>141</v>
      </c>
      <c r="AK14" s="23">
        <v>263</v>
      </c>
    </row>
    <row r="15" spans="1:37" x14ac:dyDescent="0.2">
      <c r="A15" s="25">
        <v>45579</v>
      </c>
      <c r="B15" s="10">
        <v>32184265</v>
      </c>
      <c r="C15" s="67">
        <f t="shared" si="5"/>
        <v>5338</v>
      </c>
      <c r="D15" s="11">
        <v>959440</v>
      </c>
      <c r="E15" s="17">
        <f t="shared" si="6"/>
        <v>1717</v>
      </c>
      <c r="F15" s="35">
        <v>110461</v>
      </c>
      <c r="G15" s="97">
        <f t="shared" si="7"/>
        <v>0</v>
      </c>
      <c r="H15" s="101">
        <f t="shared" si="1"/>
        <v>7055</v>
      </c>
      <c r="I15" s="106">
        <f t="shared" si="2"/>
        <v>5981.8225806457631</v>
      </c>
      <c r="J15" s="94">
        <v>4689262.4000000004</v>
      </c>
      <c r="K15" s="44">
        <f t="shared" si="8"/>
        <v>869.19999999925494</v>
      </c>
      <c r="L15" s="15">
        <v>466749.51612903201</v>
      </c>
      <c r="M15" s="44">
        <f t="shared" ref="M15:M32" si="17">L16-L15</f>
        <v>23.193548386974726</v>
      </c>
      <c r="N15" s="15">
        <v>124735.512903226</v>
      </c>
      <c r="O15" s="44">
        <f t="shared" si="10"/>
        <v>70.554838709998876</v>
      </c>
      <c r="P15" s="94">
        <v>177411.87741935501</v>
      </c>
      <c r="Q15" s="66">
        <f t="shared" si="11"/>
        <v>110.22903225800837</v>
      </c>
      <c r="R15" s="25">
        <f t="shared" si="12"/>
        <v>45579</v>
      </c>
      <c r="S15" s="42">
        <v>8381</v>
      </c>
      <c r="T15" s="43">
        <v>0</v>
      </c>
      <c r="U15" s="44">
        <f t="shared" si="13"/>
        <v>100</v>
      </c>
      <c r="V15" s="20">
        <v>0.6</v>
      </c>
      <c r="W15" s="51">
        <v>0.65</v>
      </c>
      <c r="X15" s="52">
        <f t="shared" si="0"/>
        <v>3125</v>
      </c>
      <c r="Y15" s="49">
        <v>1031.58</v>
      </c>
      <c r="Z15" s="53">
        <f t="shared" si="3"/>
        <v>331.57999999999993</v>
      </c>
      <c r="AA15" s="57">
        <v>106068</v>
      </c>
      <c r="AB15" s="44">
        <f t="shared" si="14"/>
        <v>80</v>
      </c>
      <c r="AC15" s="57">
        <v>658.3</v>
      </c>
      <c r="AD15" s="44">
        <f t="shared" si="15"/>
        <v>5.5</v>
      </c>
      <c r="AE15" s="60">
        <v>71706</v>
      </c>
      <c r="AF15" s="44">
        <f t="shared" si="16"/>
        <v>31</v>
      </c>
      <c r="AG15" s="63">
        <v>3100</v>
      </c>
      <c r="AH15" s="74">
        <v>0</v>
      </c>
      <c r="AI15" s="53">
        <f t="shared" si="4"/>
        <v>0</v>
      </c>
      <c r="AJ15" s="13">
        <v>142</v>
      </c>
      <c r="AK15" s="23">
        <v>262</v>
      </c>
    </row>
    <row r="16" spans="1:37" x14ac:dyDescent="0.2">
      <c r="A16" s="25">
        <v>45580</v>
      </c>
      <c r="B16" s="10">
        <v>32189603</v>
      </c>
      <c r="C16" s="67">
        <f t="shared" si="5"/>
        <v>5572</v>
      </c>
      <c r="D16" s="11">
        <v>961157</v>
      </c>
      <c r="E16" s="17">
        <f t="shared" si="6"/>
        <v>1570</v>
      </c>
      <c r="F16" s="35">
        <v>110461</v>
      </c>
      <c r="G16" s="97">
        <f t="shared" si="7"/>
        <v>0</v>
      </c>
      <c r="H16" s="101">
        <f t="shared" si="1"/>
        <v>7142</v>
      </c>
      <c r="I16" s="106">
        <f t="shared" si="2"/>
        <v>6006.022580645993</v>
      </c>
      <c r="J16" s="94">
        <v>4690131.5999999996</v>
      </c>
      <c r="K16" s="44">
        <f t="shared" si="8"/>
        <v>932</v>
      </c>
      <c r="L16" s="15">
        <v>466772.70967741898</v>
      </c>
      <c r="M16" s="44">
        <f t="shared" si="17"/>
        <v>23.193548387032934</v>
      </c>
      <c r="N16" s="15">
        <v>124806.067741936</v>
      </c>
      <c r="O16" s="44">
        <f t="shared" si="10"/>
        <v>70.554838708994794</v>
      </c>
      <c r="P16" s="94">
        <v>177522.10645161301</v>
      </c>
      <c r="Q16" s="66">
        <f t="shared" si="11"/>
        <v>110.22903225797927</v>
      </c>
      <c r="R16" s="25">
        <f t="shared" si="12"/>
        <v>45580</v>
      </c>
      <c r="S16" s="42">
        <v>8281</v>
      </c>
      <c r="T16" s="43">
        <v>0</v>
      </c>
      <c r="U16" s="44">
        <f t="shared" si="13"/>
        <v>0</v>
      </c>
      <c r="V16" s="20">
        <v>0.77</v>
      </c>
      <c r="W16" s="51">
        <v>0.76</v>
      </c>
      <c r="X16" s="52">
        <f t="shared" si="0"/>
        <v>3825</v>
      </c>
      <c r="Y16" s="49"/>
      <c r="Z16" s="53">
        <f t="shared" si="3"/>
        <v>75</v>
      </c>
      <c r="AA16" s="57">
        <v>106148</v>
      </c>
      <c r="AB16" s="44">
        <f t="shared" si="14"/>
        <v>82</v>
      </c>
      <c r="AC16" s="57">
        <v>663.8</v>
      </c>
      <c r="AD16" s="44">
        <f t="shared" si="15"/>
        <v>10.100000000000023</v>
      </c>
      <c r="AE16" s="60">
        <v>71737</v>
      </c>
      <c r="AF16" s="44">
        <f t="shared" si="16"/>
        <v>23</v>
      </c>
      <c r="AG16" s="63">
        <v>3100</v>
      </c>
      <c r="AH16" s="74">
        <v>0</v>
      </c>
      <c r="AI16" s="53">
        <f t="shared" si="4"/>
        <v>0</v>
      </c>
      <c r="AJ16" s="13">
        <v>138</v>
      </c>
      <c r="AK16" s="23">
        <v>270</v>
      </c>
    </row>
    <row r="17" spans="1:37" x14ac:dyDescent="0.2">
      <c r="A17" s="25">
        <v>45581</v>
      </c>
      <c r="B17" s="10">
        <v>32195175</v>
      </c>
      <c r="C17" s="67">
        <f t="shared" si="5"/>
        <v>5708</v>
      </c>
      <c r="D17" s="11">
        <v>962727</v>
      </c>
      <c r="E17" s="17">
        <f t="shared" si="6"/>
        <v>1394</v>
      </c>
      <c r="F17" s="35">
        <v>110461</v>
      </c>
      <c r="G17" s="97">
        <f t="shared" si="7"/>
        <v>1</v>
      </c>
      <c r="H17" s="101">
        <f t="shared" si="1"/>
        <v>7101</v>
      </c>
      <c r="I17" s="106">
        <f t="shared" si="2"/>
        <v>6000.222580644273</v>
      </c>
      <c r="J17" s="94">
        <v>4691063.5999999996</v>
      </c>
      <c r="K17" s="44">
        <f t="shared" si="8"/>
        <v>896.80000000074506</v>
      </c>
      <c r="L17" s="15">
        <v>466795.90322580602</v>
      </c>
      <c r="M17" s="44">
        <f t="shared" si="17"/>
        <v>23.193548386974726</v>
      </c>
      <c r="N17" s="15">
        <v>124876.62258064499</v>
      </c>
      <c r="O17" s="44">
        <f t="shared" si="10"/>
        <v>70.554838709998876</v>
      </c>
      <c r="P17" s="94">
        <v>177632.33548387099</v>
      </c>
      <c r="Q17" s="66">
        <f t="shared" si="11"/>
        <v>110.22903225800837</v>
      </c>
      <c r="R17" s="25">
        <f t="shared" si="12"/>
        <v>45581</v>
      </c>
      <c r="S17" s="42">
        <v>8281</v>
      </c>
      <c r="T17" s="43">
        <v>0</v>
      </c>
      <c r="U17" s="44">
        <f t="shared" si="13"/>
        <v>100</v>
      </c>
      <c r="V17" s="20">
        <v>0.74</v>
      </c>
      <c r="W17" s="51">
        <v>0.76</v>
      </c>
      <c r="X17" s="52">
        <f t="shared" si="0"/>
        <v>3750</v>
      </c>
      <c r="Y17" s="49"/>
      <c r="Z17" s="53">
        <f t="shared" si="3"/>
        <v>175</v>
      </c>
      <c r="AA17" s="57">
        <v>106230</v>
      </c>
      <c r="AB17" s="44">
        <f t="shared" si="14"/>
        <v>99</v>
      </c>
      <c r="AC17" s="57">
        <v>673.9</v>
      </c>
      <c r="AD17" s="44">
        <f t="shared" si="15"/>
        <v>10.300000000000068</v>
      </c>
      <c r="AE17" s="60">
        <v>71760</v>
      </c>
      <c r="AF17" s="44">
        <f t="shared" si="16"/>
        <v>20</v>
      </c>
      <c r="AG17" s="63">
        <v>3100</v>
      </c>
      <c r="AH17" s="74">
        <v>0</v>
      </c>
      <c r="AI17" s="53">
        <f t="shared" si="4"/>
        <v>0</v>
      </c>
      <c r="AJ17" s="13">
        <v>143</v>
      </c>
      <c r="AK17" s="23">
        <v>295</v>
      </c>
    </row>
    <row r="18" spans="1:37" x14ac:dyDescent="0.2">
      <c r="A18" s="25">
        <v>45582</v>
      </c>
      <c r="B18" s="10">
        <v>32200883</v>
      </c>
      <c r="C18" s="67">
        <f t="shared" si="5"/>
        <v>5429</v>
      </c>
      <c r="D18" s="11">
        <v>964121</v>
      </c>
      <c r="E18" s="17">
        <f t="shared" si="6"/>
        <v>1553</v>
      </c>
      <c r="F18" s="35">
        <v>110462</v>
      </c>
      <c r="G18" s="97">
        <f t="shared" si="7"/>
        <v>0</v>
      </c>
      <c r="H18" s="101">
        <f t="shared" si="1"/>
        <v>6982</v>
      </c>
      <c r="I18" s="106">
        <f t="shared" si="2"/>
        <v>5874.8225806447008</v>
      </c>
      <c r="J18" s="94">
        <v>4691960.4000000004</v>
      </c>
      <c r="K18" s="44">
        <f t="shared" si="8"/>
        <v>903.19999999925494</v>
      </c>
      <c r="L18" s="15">
        <v>466819.09677419299</v>
      </c>
      <c r="M18" s="44">
        <f t="shared" si="17"/>
        <v>23.193548388022464</v>
      </c>
      <c r="N18" s="15">
        <v>124947.17741935499</v>
      </c>
      <c r="O18" s="44">
        <f t="shared" si="10"/>
        <v>70.554838710013428</v>
      </c>
      <c r="P18" s="94">
        <v>177742.564516129</v>
      </c>
      <c r="Q18" s="66">
        <f t="shared" si="11"/>
        <v>110.22903225800837</v>
      </c>
      <c r="R18" s="25">
        <f t="shared" si="12"/>
        <v>45582</v>
      </c>
      <c r="S18" s="42">
        <v>8181</v>
      </c>
      <c r="T18" s="43">
        <v>0</v>
      </c>
      <c r="U18" s="44">
        <f t="shared" si="13"/>
        <v>101</v>
      </c>
      <c r="V18" s="20">
        <v>0.7</v>
      </c>
      <c r="W18" s="51">
        <v>0.73</v>
      </c>
      <c r="X18" s="52">
        <f t="shared" si="0"/>
        <v>3575</v>
      </c>
      <c r="Y18" s="49"/>
      <c r="Z18" s="53">
        <f t="shared" si="3"/>
        <v>125</v>
      </c>
      <c r="AA18" s="57">
        <v>106329</v>
      </c>
      <c r="AB18" s="44">
        <f t="shared" si="14"/>
        <v>84</v>
      </c>
      <c r="AC18" s="57">
        <v>684.2</v>
      </c>
      <c r="AD18" s="44">
        <f t="shared" si="15"/>
        <v>9.2999999999999545</v>
      </c>
      <c r="AE18" s="60">
        <v>71780</v>
      </c>
      <c r="AF18" s="44">
        <f t="shared" si="16"/>
        <v>38</v>
      </c>
      <c r="AG18" s="63">
        <v>3100</v>
      </c>
      <c r="AH18" s="74">
        <v>0</v>
      </c>
      <c r="AI18" s="53">
        <f t="shared" si="4"/>
        <v>0</v>
      </c>
      <c r="AJ18" s="13">
        <v>158</v>
      </c>
      <c r="AK18" s="23">
        <v>334</v>
      </c>
    </row>
    <row r="19" spans="1:37" x14ac:dyDescent="0.2">
      <c r="A19" s="25">
        <v>45583</v>
      </c>
      <c r="B19" s="10">
        <v>32206312</v>
      </c>
      <c r="C19" s="67">
        <f t="shared" si="5"/>
        <v>5223</v>
      </c>
      <c r="D19" s="11">
        <v>965674</v>
      </c>
      <c r="E19" s="17">
        <f t="shared" si="6"/>
        <v>1621</v>
      </c>
      <c r="F19" s="35">
        <v>110462</v>
      </c>
      <c r="G19" s="97">
        <f t="shared" si="7"/>
        <v>1</v>
      </c>
      <c r="H19" s="101">
        <f t="shared" si="1"/>
        <v>6843</v>
      </c>
      <c r="I19" s="106">
        <f t="shared" si="2"/>
        <v>5688.2225806453062</v>
      </c>
      <c r="J19" s="94">
        <v>4692863.5999999996</v>
      </c>
      <c r="K19" s="44">
        <f t="shared" si="8"/>
        <v>950.80000000074506</v>
      </c>
      <c r="L19" s="15">
        <v>466842.29032258102</v>
      </c>
      <c r="M19" s="44">
        <f t="shared" si="17"/>
        <v>23.193548386974726</v>
      </c>
      <c r="N19" s="15">
        <v>125017.73225806501</v>
      </c>
      <c r="O19" s="44">
        <f t="shared" si="10"/>
        <v>70.554838708994794</v>
      </c>
      <c r="P19" s="94">
        <v>177852.79354838701</v>
      </c>
      <c r="Q19" s="66">
        <f t="shared" si="11"/>
        <v>110.22903225797927</v>
      </c>
      <c r="R19" s="25">
        <f t="shared" si="12"/>
        <v>45583</v>
      </c>
      <c r="S19" s="42">
        <v>8080</v>
      </c>
      <c r="T19" s="43">
        <v>0</v>
      </c>
      <c r="U19" s="44">
        <f t="shared" si="13"/>
        <v>100</v>
      </c>
      <c r="V19" s="20">
        <v>0.68</v>
      </c>
      <c r="W19" s="51">
        <v>0.7</v>
      </c>
      <c r="X19" s="52">
        <f t="shared" si="0"/>
        <v>3450</v>
      </c>
      <c r="Y19" s="49"/>
      <c r="Z19" s="53">
        <f t="shared" si="3"/>
        <v>200</v>
      </c>
      <c r="AA19" s="57">
        <v>106413</v>
      </c>
      <c r="AB19" s="44">
        <f t="shared" si="14"/>
        <v>108</v>
      </c>
      <c r="AC19" s="57">
        <v>693.5</v>
      </c>
      <c r="AD19" s="44">
        <f t="shared" si="15"/>
        <v>14</v>
      </c>
      <c r="AE19" s="60">
        <v>71818</v>
      </c>
      <c r="AF19" s="44">
        <f t="shared" si="16"/>
        <v>23</v>
      </c>
      <c r="AG19" s="63">
        <v>3100</v>
      </c>
      <c r="AH19" s="74">
        <v>0</v>
      </c>
      <c r="AI19" s="53">
        <f t="shared" si="4"/>
        <v>0</v>
      </c>
      <c r="AJ19" s="13">
        <v>167</v>
      </c>
      <c r="AK19" s="23">
        <v>353</v>
      </c>
    </row>
    <row r="20" spans="1:37" x14ac:dyDescent="0.2">
      <c r="A20" s="25">
        <v>45584</v>
      </c>
      <c r="B20" s="10">
        <v>32211535</v>
      </c>
      <c r="C20" s="67">
        <f t="shared" si="5"/>
        <v>4890</v>
      </c>
      <c r="D20" s="11">
        <v>967295</v>
      </c>
      <c r="E20" s="17">
        <f t="shared" si="6"/>
        <v>1628</v>
      </c>
      <c r="F20" s="35">
        <v>110463</v>
      </c>
      <c r="G20" s="97">
        <f t="shared" si="7"/>
        <v>0</v>
      </c>
      <c r="H20" s="101">
        <f t="shared" si="1"/>
        <v>6518</v>
      </c>
      <c r="I20" s="106">
        <f t="shared" si="2"/>
        <v>5352.8225806457049</v>
      </c>
      <c r="J20" s="94">
        <v>4693814.4000000004</v>
      </c>
      <c r="K20" s="44">
        <f t="shared" si="8"/>
        <v>961.19999999925494</v>
      </c>
      <c r="L20" s="15">
        <v>466865.48387096799</v>
      </c>
      <c r="M20" s="44">
        <f t="shared" si="17"/>
        <v>23.193548387032934</v>
      </c>
      <c r="N20" s="15">
        <v>125088.287096774</v>
      </c>
      <c r="O20" s="44">
        <f t="shared" si="10"/>
        <v>70.554838709998876</v>
      </c>
      <c r="P20" s="94">
        <v>177963.02258064499</v>
      </c>
      <c r="Q20" s="66">
        <f t="shared" si="11"/>
        <v>110.22903225800837</v>
      </c>
      <c r="R20" s="25">
        <f t="shared" si="12"/>
        <v>45584</v>
      </c>
      <c r="S20" s="42">
        <v>7980</v>
      </c>
      <c r="T20" s="43">
        <v>0</v>
      </c>
      <c r="U20" s="44">
        <f t="shared" si="13"/>
        <v>101</v>
      </c>
      <c r="V20" s="20">
        <v>0.64</v>
      </c>
      <c r="W20" s="51">
        <v>0.66</v>
      </c>
      <c r="X20" s="52">
        <f t="shared" si="0"/>
        <v>3250</v>
      </c>
      <c r="Y20" s="49"/>
      <c r="Z20" s="53">
        <f t="shared" si="3"/>
        <v>50</v>
      </c>
      <c r="AA20" s="57">
        <v>106521</v>
      </c>
      <c r="AB20" s="44">
        <f t="shared" si="14"/>
        <v>99</v>
      </c>
      <c r="AC20" s="57">
        <v>707.5</v>
      </c>
      <c r="AD20" s="44">
        <f t="shared" si="15"/>
        <v>10.399999999999977</v>
      </c>
      <c r="AE20" s="60">
        <v>71841</v>
      </c>
      <c r="AF20" s="44">
        <f t="shared" si="16"/>
        <v>0</v>
      </c>
      <c r="AG20" s="63">
        <v>3100</v>
      </c>
      <c r="AH20" s="74">
        <v>0</v>
      </c>
      <c r="AI20" s="53">
        <f t="shared" si="4"/>
        <v>0</v>
      </c>
      <c r="AJ20" s="13">
        <v>182</v>
      </c>
      <c r="AK20" s="23">
        <v>403</v>
      </c>
    </row>
    <row r="21" spans="1:37" x14ac:dyDescent="0.2">
      <c r="A21" s="25">
        <v>45585</v>
      </c>
      <c r="B21" s="10">
        <v>32216425</v>
      </c>
      <c r="C21" s="67">
        <f t="shared" si="5"/>
        <v>4946</v>
      </c>
      <c r="D21" s="11">
        <v>968923</v>
      </c>
      <c r="E21" s="17">
        <f t="shared" si="6"/>
        <v>1651</v>
      </c>
      <c r="F21" s="35">
        <v>110463</v>
      </c>
      <c r="G21" s="97">
        <f t="shared" si="7"/>
        <v>0</v>
      </c>
      <c r="H21" s="101">
        <f t="shared" si="1"/>
        <v>6597</v>
      </c>
      <c r="I21" s="106">
        <f t="shared" si="2"/>
        <v>5561.022580645018</v>
      </c>
      <c r="J21" s="94">
        <v>4694775.5999999996</v>
      </c>
      <c r="K21" s="44">
        <f t="shared" si="8"/>
        <v>832</v>
      </c>
      <c r="L21" s="15">
        <v>466888.67741935502</v>
      </c>
      <c r="M21" s="44">
        <f t="shared" si="17"/>
        <v>23.193548386974726</v>
      </c>
      <c r="N21" s="15">
        <v>125158.841935484</v>
      </c>
      <c r="O21" s="44">
        <f t="shared" si="10"/>
        <v>70.554838709998876</v>
      </c>
      <c r="P21" s="94">
        <v>178073.251612903</v>
      </c>
      <c r="Q21" s="66">
        <f t="shared" si="11"/>
        <v>110.22903225800837</v>
      </c>
      <c r="R21" s="25">
        <f t="shared" si="12"/>
        <v>45585</v>
      </c>
      <c r="S21" s="42">
        <v>7879</v>
      </c>
      <c r="T21" s="43">
        <v>0</v>
      </c>
      <c r="U21" s="44">
        <f t="shared" si="13"/>
        <v>101</v>
      </c>
      <c r="V21" s="20">
        <v>0.63</v>
      </c>
      <c r="W21" s="51">
        <v>0.65</v>
      </c>
      <c r="X21" s="52">
        <f t="shared" si="0"/>
        <v>3200</v>
      </c>
      <c r="Y21" s="49"/>
      <c r="Z21" s="53">
        <f t="shared" si="3"/>
        <v>200</v>
      </c>
      <c r="AA21" s="57">
        <v>106620</v>
      </c>
      <c r="AB21" s="44">
        <f t="shared" si="14"/>
        <v>98</v>
      </c>
      <c r="AC21" s="57">
        <v>717.9</v>
      </c>
      <c r="AD21" s="44">
        <f t="shared" si="15"/>
        <v>12.200000000000045</v>
      </c>
      <c r="AE21" s="60">
        <v>71841</v>
      </c>
      <c r="AF21" s="44">
        <f t="shared" si="16"/>
        <v>66</v>
      </c>
      <c r="AG21" s="63">
        <v>3100</v>
      </c>
      <c r="AH21" s="74">
        <v>0</v>
      </c>
      <c r="AI21" s="53">
        <f t="shared" si="4"/>
        <v>0</v>
      </c>
      <c r="AJ21" s="13">
        <v>173</v>
      </c>
      <c r="AK21" s="23">
        <v>370</v>
      </c>
    </row>
    <row r="22" spans="1:37" x14ac:dyDescent="0.2">
      <c r="A22" s="25">
        <v>45586</v>
      </c>
      <c r="B22" s="10">
        <v>32221371</v>
      </c>
      <c r="C22" s="67">
        <f t="shared" si="5"/>
        <v>3943</v>
      </c>
      <c r="D22" s="11">
        <v>970574</v>
      </c>
      <c r="E22" s="17">
        <f t="shared" si="6"/>
        <v>1692</v>
      </c>
      <c r="F22" s="35">
        <v>110463</v>
      </c>
      <c r="G22" s="97">
        <f t="shared" si="7"/>
        <v>8</v>
      </c>
      <c r="H22" s="101">
        <f t="shared" si="1"/>
        <v>5627</v>
      </c>
      <c r="I22" s="106">
        <f t="shared" si="2"/>
        <v>4693.4225806454633</v>
      </c>
      <c r="J22" s="94">
        <v>4695607.5999999996</v>
      </c>
      <c r="K22" s="44">
        <f t="shared" si="8"/>
        <v>729.60000000055879</v>
      </c>
      <c r="L22" s="15">
        <v>466911.870967742</v>
      </c>
      <c r="M22" s="44">
        <f t="shared" si="17"/>
        <v>23.193548386974726</v>
      </c>
      <c r="N22" s="15">
        <v>125229.396774194</v>
      </c>
      <c r="O22" s="44">
        <f t="shared" si="10"/>
        <v>70.554838708994794</v>
      </c>
      <c r="P22" s="94">
        <v>178183.48064516101</v>
      </c>
      <c r="Q22" s="66">
        <f t="shared" si="11"/>
        <v>110.22903225800837</v>
      </c>
      <c r="R22" s="25">
        <f t="shared" si="12"/>
        <v>45586</v>
      </c>
      <c r="S22" s="42">
        <v>7778</v>
      </c>
      <c r="T22" s="43">
        <v>0</v>
      </c>
      <c r="U22" s="44">
        <f t="shared" si="13"/>
        <v>100</v>
      </c>
      <c r="V22" s="20">
        <v>0.61</v>
      </c>
      <c r="W22" s="51">
        <v>0.59</v>
      </c>
      <c r="X22" s="52">
        <f t="shared" si="0"/>
        <v>3000</v>
      </c>
      <c r="Y22" s="49">
        <v>1293.57</v>
      </c>
      <c r="Z22" s="53">
        <f t="shared" si="3"/>
        <v>393.56999999999971</v>
      </c>
      <c r="AA22" s="57">
        <v>106718</v>
      </c>
      <c r="AB22" s="44">
        <f t="shared" si="14"/>
        <v>89</v>
      </c>
      <c r="AC22" s="57">
        <v>730.1</v>
      </c>
      <c r="AD22" s="44">
        <f t="shared" si="15"/>
        <v>7.8999999999999773</v>
      </c>
      <c r="AE22" s="60">
        <v>71907</v>
      </c>
      <c r="AF22" s="44">
        <f t="shared" si="16"/>
        <v>24</v>
      </c>
      <c r="AG22" s="63">
        <v>3100</v>
      </c>
      <c r="AH22" s="74">
        <v>0</v>
      </c>
      <c r="AI22" s="53">
        <f t="shared" si="4"/>
        <v>0</v>
      </c>
      <c r="AJ22" s="13">
        <v>182</v>
      </c>
      <c r="AK22" s="23">
        <v>383</v>
      </c>
    </row>
    <row r="23" spans="1:37" x14ac:dyDescent="0.2">
      <c r="A23" s="25">
        <v>45587</v>
      </c>
      <c r="B23" s="10">
        <v>32225314</v>
      </c>
      <c r="C23" s="67">
        <f t="shared" si="5"/>
        <v>4287</v>
      </c>
      <c r="D23" s="11">
        <v>972266</v>
      </c>
      <c r="E23" s="17">
        <f t="shared" si="6"/>
        <v>1681</v>
      </c>
      <c r="F23" s="35">
        <v>110471</v>
      </c>
      <c r="G23" s="97">
        <f t="shared" si="7"/>
        <v>18</v>
      </c>
      <c r="H23" s="101">
        <f t="shared" si="1"/>
        <v>5950</v>
      </c>
      <c r="I23" s="106">
        <f t="shared" si="2"/>
        <v>4923.6225806455477</v>
      </c>
      <c r="J23" s="94">
        <v>4696337.2</v>
      </c>
      <c r="K23" s="44">
        <f t="shared" si="8"/>
        <v>822.39999999944121</v>
      </c>
      <c r="L23" s="15">
        <v>466935.06451612897</v>
      </c>
      <c r="M23" s="44">
        <f t="shared" si="17"/>
        <v>23.193548387032934</v>
      </c>
      <c r="N23" s="15">
        <v>125299.95161290299</v>
      </c>
      <c r="O23" s="44">
        <f t="shared" si="10"/>
        <v>70.554838709998876</v>
      </c>
      <c r="P23" s="94">
        <v>178293.70967741901</v>
      </c>
      <c r="Q23" s="66">
        <f t="shared" si="11"/>
        <v>110.22903225797927</v>
      </c>
      <c r="R23" s="25">
        <f t="shared" si="12"/>
        <v>45587</v>
      </c>
      <c r="S23" s="42">
        <v>7678</v>
      </c>
      <c r="T23" s="43">
        <v>0</v>
      </c>
      <c r="U23" s="44">
        <f t="shared" si="13"/>
        <v>202</v>
      </c>
      <c r="V23" s="20">
        <v>0.78</v>
      </c>
      <c r="W23" s="51">
        <v>0.78</v>
      </c>
      <c r="X23" s="52">
        <f t="shared" si="0"/>
        <v>3900</v>
      </c>
      <c r="Y23" s="49"/>
      <c r="Z23" s="53">
        <f t="shared" si="3"/>
        <v>125</v>
      </c>
      <c r="AA23" s="57">
        <v>106807</v>
      </c>
      <c r="AB23" s="44">
        <f t="shared" si="14"/>
        <v>97</v>
      </c>
      <c r="AC23" s="57">
        <v>738</v>
      </c>
      <c r="AD23" s="44">
        <f t="shared" si="15"/>
        <v>11.100000000000023</v>
      </c>
      <c r="AE23" s="60">
        <v>71931</v>
      </c>
      <c r="AF23" s="44">
        <f t="shared" si="16"/>
        <v>42</v>
      </c>
      <c r="AG23" s="63">
        <v>3100</v>
      </c>
      <c r="AH23" s="74">
        <v>0</v>
      </c>
      <c r="AI23" s="53">
        <f t="shared" si="4"/>
        <v>0</v>
      </c>
      <c r="AJ23" s="13">
        <v>173</v>
      </c>
      <c r="AK23" s="23">
        <v>355</v>
      </c>
    </row>
    <row r="24" spans="1:37" x14ac:dyDescent="0.2">
      <c r="A24" s="25">
        <v>45588</v>
      </c>
      <c r="B24" s="10">
        <v>32229601</v>
      </c>
      <c r="C24" s="67">
        <f t="shared" si="5"/>
        <v>4345</v>
      </c>
      <c r="D24" s="11">
        <v>973947</v>
      </c>
      <c r="E24" s="17">
        <f t="shared" si="6"/>
        <v>1661</v>
      </c>
      <c r="F24" s="35">
        <v>110489</v>
      </c>
      <c r="G24" s="97">
        <f t="shared" si="7"/>
        <v>3</v>
      </c>
      <c r="H24" s="101">
        <f t="shared" si="1"/>
        <v>6003</v>
      </c>
      <c r="I24" s="106">
        <f t="shared" si="2"/>
        <v>4763.0225806440139</v>
      </c>
      <c r="J24" s="94">
        <v>4697159.5999999996</v>
      </c>
      <c r="K24" s="44">
        <f t="shared" si="8"/>
        <v>1036</v>
      </c>
      <c r="L24" s="15">
        <v>466958.25806451601</v>
      </c>
      <c r="M24" s="44">
        <f t="shared" si="17"/>
        <v>23.193548386974726</v>
      </c>
      <c r="N24" s="15">
        <v>125370.50645161299</v>
      </c>
      <c r="O24" s="44">
        <f t="shared" si="10"/>
        <v>70.554838710013428</v>
      </c>
      <c r="P24" s="94">
        <v>178403.93870967699</v>
      </c>
      <c r="Q24" s="66">
        <f t="shared" si="11"/>
        <v>110.2290322589979</v>
      </c>
      <c r="R24" s="25">
        <f t="shared" si="12"/>
        <v>45588</v>
      </c>
      <c r="S24" s="42">
        <v>7476</v>
      </c>
      <c r="T24" s="43">
        <v>0</v>
      </c>
      <c r="U24" s="44">
        <f t="shared" si="13"/>
        <v>202</v>
      </c>
      <c r="V24" s="20">
        <v>0.74</v>
      </c>
      <c r="W24" s="51">
        <v>0.77</v>
      </c>
      <c r="X24" s="52">
        <f t="shared" si="0"/>
        <v>3775</v>
      </c>
      <c r="Y24" s="49"/>
      <c r="Z24" s="53">
        <f t="shared" si="3"/>
        <v>275</v>
      </c>
      <c r="AA24" s="57">
        <v>106904</v>
      </c>
      <c r="AB24" s="44">
        <f t="shared" si="14"/>
        <v>109</v>
      </c>
      <c r="AC24" s="57">
        <v>749.1</v>
      </c>
      <c r="AD24" s="44">
        <f t="shared" si="15"/>
        <v>7.1999999999999318</v>
      </c>
      <c r="AE24" s="60">
        <v>71973</v>
      </c>
      <c r="AF24" s="44">
        <f t="shared" si="16"/>
        <v>39</v>
      </c>
      <c r="AG24" s="63">
        <v>3100</v>
      </c>
      <c r="AH24" s="74">
        <v>0</v>
      </c>
      <c r="AI24" s="53">
        <f t="shared" si="4"/>
        <v>0</v>
      </c>
      <c r="AJ24" s="13">
        <v>184</v>
      </c>
      <c r="AK24" s="23">
        <v>371</v>
      </c>
    </row>
    <row r="25" spans="1:37" x14ac:dyDescent="0.2">
      <c r="A25" s="25">
        <v>45589</v>
      </c>
      <c r="B25" s="10">
        <v>32233946</v>
      </c>
      <c r="C25" s="67">
        <f t="shared" si="5"/>
        <v>4222</v>
      </c>
      <c r="D25" s="11">
        <v>975608</v>
      </c>
      <c r="E25" s="17">
        <f t="shared" si="6"/>
        <v>1651</v>
      </c>
      <c r="F25" s="35">
        <v>110492</v>
      </c>
      <c r="G25" s="97">
        <f t="shared" si="7"/>
        <v>11</v>
      </c>
      <c r="H25" s="101">
        <f t="shared" si="1"/>
        <v>5862</v>
      </c>
      <c r="I25" s="106">
        <f t="shared" si="2"/>
        <v>4795.6225806455914</v>
      </c>
      <c r="J25" s="94">
        <v>4698195.5999999996</v>
      </c>
      <c r="K25" s="44">
        <f t="shared" si="8"/>
        <v>862.40000000037253</v>
      </c>
      <c r="L25" s="15">
        <v>466981.45161290298</v>
      </c>
      <c r="M25" s="44">
        <f t="shared" si="17"/>
        <v>23.193548387032934</v>
      </c>
      <c r="N25" s="15">
        <v>125441.06129032301</v>
      </c>
      <c r="O25" s="44">
        <f t="shared" si="10"/>
        <v>70.554838708994794</v>
      </c>
      <c r="P25" s="94">
        <v>178514.16774193599</v>
      </c>
      <c r="Q25" s="66">
        <f t="shared" si="11"/>
        <v>110.22903225800837</v>
      </c>
      <c r="R25" s="25">
        <f t="shared" si="12"/>
        <v>45589</v>
      </c>
      <c r="S25" s="42">
        <v>7274</v>
      </c>
      <c r="T25" s="43">
        <v>0</v>
      </c>
      <c r="U25" s="44">
        <f t="shared" si="13"/>
        <v>100</v>
      </c>
      <c r="V25" s="20">
        <v>0.72</v>
      </c>
      <c r="W25" s="51">
        <v>0.68</v>
      </c>
      <c r="X25" s="52">
        <f t="shared" si="0"/>
        <v>3500</v>
      </c>
      <c r="Y25" s="49"/>
      <c r="Z25" s="53">
        <f t="shared" si="3"/>
        <v>650</v>
      </c>
      <c r="AA25" s="57">
        <v>107013</v>
      </c>
      <c r="AB25" s="44">
        <f t="shared" si="14"/>
        <v>101</v>
      </c>
      <c r="AC25" s="57">
        <v>756.3</v>
      </c>
      <c r="AD25" s="44">
        <f t="shared" si="15"/>
        <v>14.100000000000023</v>
      </c>
      <c r="AE25" s="60">
        <v>72012</v>
      </c>
      <c r="AF25" s="44">
        <f t="shared" si="16"/>
        <v>43</v>
      </c>
      <c r="AG25" s="63">
        <v>3100</v>
      </c>
      <c r="AH25" s="74">
        <v>0</v>
      </c>
      <c r="AI25" s="53">
        <f t="shared" si="4"/>
        <v>0</v>
      </c>
      <c r="AJ25" s="13">
        <v>181</v>
      </c>
      <c r="AK25" s="23">
        <v>362</v>
      </c>
    </row>
    <row r="26" spans="1:37" x14ac:dyDescent="0.2">
      <c r="A26" s="25">
        <v>45590</v>
      </c>
      <c r="B26" s="10">
        <v>32238168</v>
      </c>
      <c r="C26" s="67">
        <f t="shared" si="5"/>
        <v>4463</v>
      </c>
      <c r="D26" s="11">
        <v>977259</v>
      </c>
      <c r="E26" s="17">
        <f t="shared" si="6"/>
        <v>1626</v>
      </c>
      <c r="F26" s="35">
        <v>110503</v>
      </c>
      <c r="G26" s="97">
        <f t="shared" si="7"/>
        <v>18</v>
      </c>
      <c r="H26" s="101">
        <f t="shared" si="1"/>
        <v>6071</v>
      </c>
      <c r="I26" s="106">
        <f t="shared" si="2"/>
        <v>5060.6225806446455</v>
      </c>
      <c r="J26" s="94">
        <v>4699058</v>
      </c>
      <c r="K26" s="44">
        <f t="shared" si="8"/>
        <v>806.40000000037253</v>
      </c>
      <c r="L26" s="15">
        <v>467004.64516129001</v>
      </c>
      <c r="M26" s="44">
        <f t="shared" si="17"/>
        <v>23.193548386974726</v>
      </c>
      <c r="N26" s="15">
        <v>125511.616129032</v>
      </c>
      <c r="O26" s="44">
        <f t="shared" si="10"/>
        <v>70.554838709998876</v>
      </c>
      <c r="P26" s="94">
        <v>178624.396774194</v>
      </c>
      <c r="Q26" s="66">
        <f t="shared" si="11"/>
        <v>110.22903225800837</v>
      </c>
      <c r="R26" s="25">
        <f t="shared" si="12"/>
        <v>45590</v>
      </c>
      <c r="S26" s="42">
        <v>7174</v>
      </c>
      <c r="T26" s="43">
        <v>0</v>
      </c>
      <c r="U26" s="44">
        <f t="shared" si="13"/>
        <v>202</v>
      </c>
      <c r="V26" s="20">
        <v>0.57999999999999996</v>
      </c>
      <c r="W26" s="51">
        <v>0.56000000000000005</v>
      </c>
      <c r="X26" s="52">
        <f t="shared" si="0"/>
        <v>2850</v>
      </c>
      <c r="Y26" s="49">
        <v>987.72</v>
      </c>
      <c r="Z26" s="53">
        <f t="shared" si="3"/>
        <v>212.72000000000025</v>
      </c>
      <c r="AA26" s="57">
        <v>107114</v>
      </c>
      <c r="AB26" s="44">
        <f t="shared" si="14"/>
        <v>102</v>
      </c>
      <c r="AC26" s="57">
        <v>770.4</v>
      </c>
      <c r="AD26" s="44">
        <f t="shared" si="15"/>
        <v>14.399999999999977</v>
      </c>
      <c r="AE26" s="60">
        <v>72055</v>
      </c>
      <c r="AF26" s="44">
        <f t="shared" si="16"/>
        <v>23</v>
      </c>
      <c r="AG26" s="63">
        <v>3100</v>
      </c>
      <c r="AH26" s="74">
        <v>0</v>
      </c>
      <c r="AI26" s="53">
        <f t="shared" si="4"/>
        <v>0</v>
      </c>
      <c r="AJ26" s="13">
        <v>188</v>
      </c>
      <c r="AK26" s="23">
        <v>384</v>
      </c>
    </row>
    <row r="27" spans="1:37" x14ac:dyDescent="0.2">
      <c r="A27" s="25">
        <v>45591</v>
      </c>
      <c r="B27" s="10">
        <v>32242631</v>
      </c>
      <c r="C27" s="67">
        <f t="shared" si="5"/>
        <v>4346</v>
      </c>
      <c r="D27" s="11">
        <v>978885</v>
      </c>
      <c r="E27" s="17">
        <f t="shared" si="6"/>
        <v>1641</v>
      </c>
      <c r="F27" s="35">
        <v>110521</v>
      </c>
      <c r="G27" s="97">
        <f t="shared" si="7"/>
        <v>26</v>
      </c>
      <c r="H27" s="101">
        <f t="shared" si="1"/>
        <v>5961</v>
      </c>
      <c r="I27" s="106">
        <f t="shared" si="2"/>
        <v>5033.822580645734</v>
      </c>
      <c r="J27" s="94">
        <v>4699864.4000000004</v>
      </c>
      <c r="K27" s="44">
        <f t="shared" si="8"/>
        <v>723.19999999925494</v>
      </c>
      <c r="L27" s="15">
        <v>467027.83870967699</v>
      </c>
      <c r="M27" s="44">
        <f t="shared" si="17"/>
        <v>23.193548387032934</v>
      </c>
      <c r="N27" s="15">
        <v>125582.170967742</v>
      </c>
      <c r="O27" s="44">
        <f t="shared" si="10"/>
        <v>70.554838709998876</v>
      </c>
      <c r="P27" s="94">
        <v>178734.62580645201</v>
      </c>
      <c r="Q27" s="66">
        <f t="shared" si="11"/>
        <v>110.22903225797927</v>
      </c>
      <c r="R27" s="25">
        <f t="shared" si="12"/>
        <v>45591</v>
      </c>
      <c r="S27" s="42">
        <v>6972</v>
      </c>
      <c r="T27" s="43">
        <v>0</v>
      </c>
      <c r="U27" s="44">
        <f t="shared" si="13"/>
        <v>101</v>
      </c>
      <c r="V27" s="20">
        <v>0.74</v>
      </c>
      <c r="W27" s="51">
        <v>0.71</v>
      </c>
      <c r="X27" s="52">
        <f t="shared" si="0"/>
        <v>3625</v>
      </c>
      <c r="Y27" s="49"/>
      <c r="Z27" s="53">
        <f t="shared" si="3"/>
        <v>525</v>
      </c>
      <c r="AA27" s="57">
        <v>107216</v>
      </c>
      <c r="AB27" s="44">
        <f t="shared" si="14"/>
        <v>89</v>
      </c>
      <c r="AC27" s="57">
        <v>784.8</v>
      </c>
      <c r="AD27" s="44">
        <f t="shared" si="15"/>
        <v>8.4000000000000909</v>
      </c>
      <c r="AE27" s="60">
        <v>72078</v>
      </c>
      <c r="AF27" s="44">
        <f t="shared" si="16"/>
        <v>26</v>
      </c>
      <c r="AG27" s="63">
        <v>3100</v>
      </c>
      <c r="AH27" s="74">
        <v>0</v>
      </c>
      <c r="AI27" s="53">
        <f t="shared" si="4"/>
        <v>0</v>
      </c>
      <c r="AJ27" s="13">
        <v>185</v>
      </c>
      <c r="AK27" s="23">
        <v>386</v>
      </c>
    </row>
    <row r="28" spans="1:37" x14ac:dyDescent="0.2">
      <c r="A28" s="25">
        <v>45592</v>
      </c>
      <c r="B28" s="10">
        <v>32246977</v>
      </c>
      <c r="C28" s="67">
        <f t="shared" si="5"/>
        <v>4339</v>
      </c>
      <c r="D28" s="11">
        <v>980526</v>
      </c>
      <c r="E28" s="17">
        <f t="shared" si="6"/>
        <v>1611</v>
      </c>
      <c r="F28" s="35">
        <v>110547</v>
      </c>
      <c r="G28" s="97">
        <f t="shared" si="7"/>
        <v>7</v>
      </c>
      <c r="H28" s="101">
        <f t="shared" si="1"/>
        <v>5943</v>
      </c>
      <c r="I28" s="106">
        <f t="shared" si="2"/>
        <v>4934.222580645277</v>
      </c>
      <c r="J28" s="94">
        <v>4700587.5999999996</v>
      </c>
      <c r="K28" s="44">
        <f t="shared" si="8"/>
        <v>804.80000000074506</v>
      </c>
      <c r="L28" s="15">
        <v>467051.03225806402</v>
      </c>
      <c r="M28" s="44">
        <f t="shared" si="17"/>
        <v>23.193548386974726</v>
      </c>
      <c r="N28" s="15">
        <v>125652.725806452</v>
      </c>
      <c r="O28" s="44">
        <f t="shared" si="10"/>
        <v>70.554838708994794</v>
      </c>
      <c r="P28" s="94">
        <v>178844.85483870999</v>
      </c>
      <c r="Q28" s="66">
        <f t="shared" si="11"/>
        <v>110.22903225800837</v>
      </c>
      <c r="R28" s="25">
        <f t="shared" si="12"/>
        <v>45592</v>
      </c>
      <c r="S28" s="42">
        <v>6871</v>
      </c>
      <c r="T28" s="43">
        <v>0</v>
      </c>
      <c r="U28" s="44">
        <f t="shared" si="13"/>
        <v>201</v>
      </c>
      <c r="V28" s="20">
        <v>0.6</v>
      </c>
      <c r="W28" s="51">
        <v>0.64</v>
      </c>
      <c r="X28" s="52">
        <f t="shared" si="0"/>
        <v>3100</v>
      </c>
      <c r="Y28" s="49"/>
      <c r="Z28" s="53">
        <f t="shared" si="3"/>
        <v>350</v>
      </c>
      <c r="AA28" s="57">
        <v>107305</v>
      </c>
      <c r="AB28" s="44">
        <f t="shared" si="14"/>
        <v>104</v>
      </c>
      <c r="AC28" s="57">
        <v>793.2</v>
      </c>
      <c r="AD28" s="44">
        <f t="shared" si="15"/>
        <v>8.1999999999999318</v>
      </c>
      <c r="AE28" s="60">
        <v>72104</v>
      </c>
      <c r="AF28" s="44">
        <f t="shared" si="16"/>
        <v>45</v>
      </c>
      <c r="AG28" s="63">
        <v>3100</v>
      </c>
      <c r="AH28" s="74">
        <v>0</v>
      </c>
      <c r="AI28" s="53">
        <f t="shared" si="4"/>
        <v>0</v>
      </c>
      <c r="AJ28" s="13">
        <v>182</v>
      </c>
      <c r="AK28" s="23">
        <v>370</v>
      </c>
    </row>
    <row r="29" spans="1:37" x14ac:dyDescent="0.2">
      <c r="A29" s="25">
        <v>45593</v>
      </c>
      <c r="B29" s="10">
        <v>32251316</v>
      </c>
      <c r="C29" s="67">
        <f t="shared" si="5"/>
        <v>3935</v>
      </c>
      <c r="D29" s="11">
        <v>982137</v>
      </c>
      <c r="E29" s="17">
        <f t="shared" si="6"/>
        <v>1600</v>
      </c>
      <c r="F29" s="35">
        <v>110554</v>
      </c>
      <c r="G29" s="97">
        <f t="shared" si="7"/>
        <v>21</v>
      </c>
      <c r="H29" s="101">
        <f t="shared" si="1"/>
        <v>5514</v>
      </c>
      <c r="I29" s="106">
        <f t="shared" si="2"/>
        <v>4601.2225806441566</v>
      </c>
      <c r="J29" s="94">
        <v>4701392.4000000004</v>
      </c>
      <c r="K29" s="44">
        <f t="shared" si="8"/>
        <v>708.79999999981374</v>
      </c>
      <c r="L29" s="15">
        <v>467074.225806451</v>
      </c>
      <c r="M29" s="44">
        <f t="shared" si="17"/>
        <v>23.193548388022464</v>
      </c>
      <c r="N29" s="15">
        <v>125723.28064516099</v>
      </c>
      <c r="O29" s="44">
        <f t="shared" si="10"/>
        <v>70.554838709998876</v>
      </c>
      <c r="P29" s="94">
        <v>178955.083870968</v>
      </c>
      <c r="Q29" s="66">
        <f t="shared" si="11"/>
        <v>110.22903225800837</v>
      </c>
      <c r="R29" s="25">
        <f t="shared" si="12"/>
        <v>45593</v>
      </c>
      <c r="S29" s="42">
        <v>6670</v>
      </c>
      <c r="T29" s="43">
        <v>0</v>
      </c>
      <c r="U29" s="44">
        <f t="shared" si="13"/>
        <v>100</v>
      </c>
      <c r="V29" s="20">
        <v>0.54</v>
      </c>
      <c r="W29" s="51">
        <v>0.56000000000000005</v>
      </c>
      <c r="X29" s="52">
        <f t="shared" si="0"/>
        <v>2750</v>
      </c>
      <c r="Y29" s="49"/>
      <c r="Z29" s="53">
        <f t="shared" si="3"/>
        <v>250</v>
      </c>
      <c r="AA29" s="57">
        <v>107409</v>
      </c>
      <c r="AB29" s="44">
        <f t="shared" si="14"/>
        <v>93</v>
      </c>
      <c r="AC29" s="57">
        <v>801.4</v>
      </c>
      <c r="AD29" s="44">
        <f t="shared" si="15"/>
        <v>5.3999999999999773</v>
      </c>
      <c r="AE29" s="60">
        <v>72149</v>
      </c>
      <c r="AF29" s="44">
        <f t="shared" si="16"/>
        <v>39</v>
      </c>
      <c r="AG29" s="63">
        <v>3100</v>
      </c>
      <c r="AH29" s="74">
        <v>0</v>
      </c>
      <c r="AI29" s="53">
        <f t="shared" si="4"/>
        <v>0</v>
      </c>
      <c r="AJ29" s="13">
        <v>155</v>
      </c>
      <c r="AK29" s="23">
        <v>326</v>
      </c>
    </row>
    <row r="30" spans="1:37" x14ac:dyDescent="0.2">
      <c r="A30" s="25">
        <v>45594</v>
      </c>
      <c r="B30" s="10">
        <v>32255251</v>
      </c>
      <c r="C30" s="67">
        <f t="shared" si="5"/>
        <v>4111</v>
      </c>
      <c r="D30" s="11">
        <v>983737</v>
      </c>
      <c r="E30" s="17">
        <f t="shared" si="6"/>
        <v>1587</v>
      </c>
      <c r="F30" s="35">
        <v>110575</v>
      </c>
      <c r="G30" s="97">
        <f t="shared" si="7"/>
        <v>9</v>
      </c>
      <c r="H30" s="101">
        <f t="shared" si="1"/>
        <v>5689</v>
      </c>
      <c r="I30" s="106">
        <f t="shared" si="2"/>
        <v>4737.8225806448172</v>
      </c>
      <c r="J30" s="94">
        <v>4702101.2</v>
      </c>
      <c r="K30" s="44">
        <f t="shared" si="8"/>
        <v>747.20000000018626</v>
      </c>
      <c r="L30" s="15">
        <v>467097.41935483902</v>
      </c>
      <c r="M30" s="44">
        <f t="shared" si="17"/>
        <v>23.193548386974726</v>
      </c>
      <c r="N30" s="15">
        <v>125793.83548387099</v>
      </c>
      <c r="O30" s="44">
        <f t="shared" si="10"/>
        <v>70.554838710013428</v>
      </c>
      <c r="P30" s="94">
        <v>179065.312903226</v>
      </c>
      <c r="Q30" s="66">
        <f t="shared" si="11"/>
        <v>110.22903225800837</v>
      </c>
      <c r="R30" s="25">
        <f t="shared" si="12"/>
        <v>45594</v>
      </c>
      <c r="S30" s="42">
        <v>6570</v>
      </c>
      <c r="T30" s="43">
        <v>0</v>
      </c>
      <c r="U30" s="44">
        <f t="shared" si="13"/>
        <v>201</v>
      </c>
      <c r="V30" s="20">
        <v>0.49</v>
      </c>
      <c r="W30" s="51">
        <v>0.51</v>
      </c>
      <c r="X30" s="52">
        <f t="shared" si="0"/>
        <v>2500</v>
      </c>
      <c r="Y30" s="49">
        <v>1806.24</v>
      </c>
      <c r="Z30" s="53">
        <f t="shared" si="3"/>
        <v>531.23999999999978</v>
      </c>
      <c r="AA30" s="57">
        <v>107502</v>
      </c>
      <c r="AB30" s="44">
        <f t="shared" si="14"/>
        <v>109</v>
      </c>
      <c r="AC30" s="57">
        <v>806.8</v>
      </c>
      <c r="AD30" s="44">
        <f t="shared" si="15"/>
        <v>9.4000000000000909</v>
      </c>
      <c r="AE30" s="60">
        <v>72188</v>
      </c>
      <c r="AF30" s="44">
        <f t="shared" si="16"/>
        <v>39</v>
      </c>
      <c r="AG30" s="63">
        <v>3100</v>
      </c>
      <c r="AH30" s="74">
        <v>0</v>
      </c>
      <c r="AI30" s="53">
        <f t="shared" si="4"/>
        <v>0</v>
      </c>
      <c r="AJ30" s="13">
        <v>158</v>
      </c>
      <c r="AK30" s="23">
        <v>331</v>
      </c>
    </row>
    <row r="31" spans="1:37" x14ac:dyDescent="0.2">
      <c r="A31" s="25">
        <v>45595</v>
      </c>
      <c r="B31" s="10">
        <v>32259362</v>
      </c>
      <c r="C31" s="67">
        <f t="shared" si="5"/>
        <v>4128</v>
      </c>
      <c r="D31" s="11">
        <v>985324</v>
      </c>
      <c r="E31" s="17">
        <f t="shared" si="6"/>
        <v>1566</v>
      </c>
      <c r="F31" s="36">
        <v>110584</v>
      </c>
      <c r="G31" s="97">
        <f t="shared" si="7"/>
        <v>21</v>
      </c>
      <c r="H31" s="101">
        <f t="shared" si="1"/>
        <v>5673</v>
      </c>
      <c r="I31" s="106">
        <f t="shared" si="2"/>
        <v>4787.022580645993</v>
      </c>
      <c r="J31" s="98">
        <v>4702848.4000000004</v>
      </c>
      <c r="K31" s="44">
        <f t="shared" si="8"/>
        <v>682</v>
      </c>
      <c r="L31" s="15">
        <v>467120.61290322599</v>
      </c>
      <c r="M31" s="44">
        <f t="shared" si="17"/>
        <v>23.193548387032934</v>
      </c>
      <c r="N31" s="15">
        <v>125864.39032258101</v>
      </c>
      <c r="O31" s="44">
        <f t="shared" si="10"/>
        <v>70.554838708994794</v>
      </c>
      <c r="P31" s="94">
        <v>179175.54193548401</v>
      </c>
      <c r="Q31" s="66">
        <f t="shared" si="11"/>
        <v>110.22903225797927</v>
      </c>
      <c r="R31" s="25">
        <f t="shared" si="12"/>
        <v>45595</v>
      </c>
      <c r="S31" s="42">
        <v>6369</v>
      </c>
      <c r="T31" s="43">
        <v>0</v>
      </c>
      <c r="U31" s="44">
        <f t="shared" si="13"/>
        <v>201</v>
      </c>
      <c r="V31" s="20">
        <v>0.77</v>
      </c>
      <c r="W31" s="51">
        <v>0.74</v>
      </c>
      <c r="X31" s="52">
        <f t="shared" si="0"/>
        <v>3775</v>
      </c>
      <c r="Y31" s="49"/>
      <c r="Z31" s="53">
        <f t="shared" si="3"/>
        <v>375</v>
      </c>
      <c r="AA31" s="57">
        <v>107611</v>
      </c>
      <c r="AB31" s="44">
        <f t="shared" si="14"/>
        <v>91</v>
      </c>
      <c r="AC31" s="68">
        <v>816.2</v>
      </c>
      <c r="AD31" s="44">
        <f t="shared" si="15"/>
        <v>7.5</v>
      </c>
      <c r="AE31" s="60">
        <v>72227</v>
      </c>
      <c r="AF31" s="44">
        <f t="shared" si="16"/>
        <v>36</v>
      </c>
      <c r="AG31" s="63">
        <v>3100</v>
      </c>
      <c r="AH31" s="74">
        <v>0</v>
      </c>
      <c r="AI31" s="53">
        <f t="shared" si="4"/>
        <v>0</v>
      </c>
      <c r="AJ31" s="13">
        <v>135</v>
      </c>
      <c r="AK31" s="23">
        <v>278</v>
      </c>
    </row>
    <row r="32" spans="1:37" ht="13.5" thickBot="1" x14ac:dyDescent="0.25">
      <c r="A32" s="25">
        <v>45596</v>
      </c>
      <c r="B32" s="10">
        <v>32263490</v>
      </c>
      <c r="C32" s="67">
        <f t="shared" si="5"/>
        <v>4154</v>
      </c>
      <c r="D32" s="11">
        <v>986890</v>
      </c>
      <c r="E32" s="17">
        <f t="shared" si="6"/>
        <v>1353</v>
      </c>
      <c r="F32" s="36">
        <v>110605</v>
      </c>
      <c r="G32" s="97">
        <f t="shared" si="7"/>
        <v>4</v>
      </c>
      <c r="H32" s="102">
        <f t="shared" si="1"/>
        <v>5503</v>
      </c>
      <c r="I32" s="107">
        <f t="shared" si="2"/>
        <v>4565.022580645018</v>
      </c>
      <c r="J32" s="98">
        <v>4703530.4000000004</v>
      </c>
      <c r="K32" s="44">
        <f t="shared" si="8"/>
        <v>734</v>
      </c>
      <c r="L32" s="15">
        <v>467143.80645161303</v>
      </c>
      <c r="M32" s="44">
        <f t="shared" si="17"/>
        <v>23.193548386974726</v>
      </c>
      <c r="N32" s="15">
        <v>125934.94516129</v>
      </c>
      <c r="O32" s="44">
        <f t="shared" si="10"/>
        <v>70.554838709998876</v>
      </c>
      <c r="P32" s="94">
        <v>179285.77096774199</v>
      </c>
      <c r="Q32" s="66">
        <f t="shared" si="11"/>
        <v>110.22903225800837</v>
      </c>
      <c r="R32" s="25">
        <f t="shared" si="12"/>
        <v>45596</v>
      </c>
      <c r="S32" s="42">
        <v>6168</v>
      </c>
      <c r="T32" s="43">
        <v>0</v>
      </c>
      <c r="U32" s="44">
        <f t="shared" si="13"/>
        <v>148</v>
      </c>
      <c r="V32" s="20">
        <v>0.66</v>
      </c>
      <c r="W32" s="51">
        <v>0.7</v>
      </c>
      <c r="X32" s="52">
        <f t="shared" si="0"/>
        <v>3400</v>
      </c>
      <c r="Y32" s="49"/>
      <c r="Z32" s="53">
        <f t="shared" si="3"/>
        <v>275</v>
      </c>
      <c r="AA32" s="57">
        <v>107702</v>
      </c>
      <c r="AB32" s="44">
        <f t="shared" si="14"/>
        <v>94</v>
      </c>
      <c r="AC32" s="68">
        <v>823.7</v>
      </c>
      <c r="AD32" s="44">
        <f t="shared" si="15"/>
        <v>9.7999999999999545</v>
      </c>
      <c r="AE32" s="60">
        <v>72263</v>
      </c>
      <c r="AF32" s="44">
        <f t="shared" si="16"/>
        <v>37</v>
      </c>
      <c r="AG32" s="63">
        <v>3100</v>
      </c>
      <c r="AH32" s="74">
        <v>0</v>
      </c>
      <c r="AI32" s="78">
        <f t="shared" si="4"/>
        <v>0</v>
      </c>
      <c r="AJ32" s="79">
        <v>131</v>
      </c>
      <c r="AK32" s="80">
        <v>262</v>
      </c>
    </row>
    <row r="33" spans="1:37" ht="14.25" thickTop="1" thickBot="1" x14ac:dyDescent="0.25">
      <c r="A33" s="26">
        <v>45597</v>
      </c>
      <c r="B33" s="75">
        <v>32267644</v>
      </c>
      <c r="C33" s="91"/>
      <c r="D33" s="88">
        <v>988243</v>
      </c>
      <c r="E33" s="91"/>
      <c r="F33" s="89">
        <v>110609</v>
      </c>
      <c r="G33" s="148"/>
      <c r="H33" s="149"/>
      <c r="I33" s="150"/>
      <c r="J33" s="90">
        <v>4704264.4000000004</v>
      </c>
      <c r="K33" s="91"/>
      <c r="L33" s="87">
        <v>467167</v>
      </c>
      <c r="M33" s="91"/>
      <c r="N33" s="87">
        <v>126005.5</v>
      </c>
      <c r="O33" s="91"/>
      <c r="P33" s="87">
        <v>179396</v>
      </c>
      <c r="Q33" s="91"/>
      <c r="R33" s="86">
        <f>A33</f>
        <v>45597</v>
      </c>
      <c r="S33" s="69">
        <v>6020</v>
      </c>
      <c r="T33" s="92">
        <v>0</v>
      </c>
      <c r="U33" s="91"/>
      <c r="V33" s="85">
        <v>0.6</v>
      </c>
      <c r="W33" s="70">
        <v>0.65</v>
      </c>
      <c r="X33" s="54">
        <f t="shared" si="0"/>
        <v>3125</v>
      </c>
      <c r="Y33" s="76"/>
      <c r="Z33" s="91"/>
      <c r="AA33" s="84">
        <v>107796</v>
      </c>
      <c r="AB33" s="91"/>
      <c r="AC33" s="83">
        <v>833.5</v>
      </c>
      <c r="AD33" s="91"/>
      <c r="AE33" s="82">
        <v>72300</v>
      </c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151883</v>
      </c>
      <c r="D34" s="112"/>
      <c r="E34" s="143">
        <f>SUM(E2:E33)</f>
        <v>52612</v>
      </c>
      <c r="F34" s="113"/>
      <c r="G34" s="143">
        <f>SUM(G2:G33)</f>
        <v>150</v>
      </c>
      <c r="H34" s="143">
        <f>SUM(H2:H33)</f>
        <v>204345</v>
      </c>
      <c r="I34" s="143">
        <f>SUM(I2:I32)</f>
        <v>171234.4999999998</v>
      </c>
      <c r="J34" s="113"/>
      <c r="K34" s="143">
        <f>SUM(K2:K33)</f>
        <v>26787.200000000186</v>
      </c>
      <c r="L34" s="113"/>
      <c r="M34" s="143">
        <f>SUM(M2:M33)</f>
        <v>719</v>
      </c>
      <c r="N34" s="113"/>
      <c r="O34" s="143">
        <f>SUM(O2:O33)</f>
        <v>2187.1999999999971</v>
      </c>
      <c r="P34" s="113"/>
      <c r="Q34" s="143">
        <f>SUM(Q2:Q33)</f>
        <v>3417.1000000000058</v>
      </c>
      <c r="R34" s="111"/>
      <c r="S34" s="112"/>
      <c r="T34" s="112"/>
      <c r="U34" s="144">
        <f>SUM(U2:U33)</f>
        <v>3843</v>
      </c>
      <c r="V34" s="111"/>
      <c r="W34" s="111"/>
      <c r="X34" s="111"/>
      <c r="Y34" s="145">
        <f>SUM(Y2:Y33)</f>
        <v>6260.96</v>
      </c>
      <c r="Z34" s="143">
        <f>SUM(Z2:Z33)</f>
        <v>7185.96</v>
      </c>
      <c r="AA34" s="111"/>
      <c r="AB34" s="143">
        <f>SUM(AB2:AB33)</f>
        <v>2864</v>
      </c>
      <c r="AC34" s="113"/>
      <c r="AD34" s="143">
        <f>SUM(AD2:AD33)</f>
        <v>283.20000000000005</v>
      </c>
      <c r="AE34" s="111"/>
      <c r="AF34" s="144">
        <f>SUM(AF2:AF33)</f>
        <v>1036</v>
      </c>
      <c r="AG34" s="111"/>
      <c r="AH34" s="147">
        <f>SUM(AH2:AH33)</f>
        <v>0</v>
      </c>
      <c r="AI34" s="143">
        <f>SUM(AI2:AI33)</f>
        <v>0</v>
      </c>
      <c r="AJ34" s="146">
        <f>SUM(AJ2:AJ33)</f>
        <v>4990</v>
      </c>
      <c r="AK34" s="143">
        <f>SUM(AK2:AK32)</f>
        <v>10063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2024-11-01T07:36:37Z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